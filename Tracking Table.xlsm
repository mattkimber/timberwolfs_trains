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BE21BDFD-FB19-4061-9AF9-4514A1BCE23A}" xr6:coauthVersionLast="47" xr6:coauthVersionMax="47" xr10:uidLastSave="{00000000-0000-0000-0000-000000000000}"/>
  <bookViews>
    <workbookView xWindow="0" yWindow="660" windowWidth="25600" windowHeight="1462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Table!$A$1:$CG$325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45" i="1" l="1"/>
  <c r="CH45" i="1"/>
  <c r="CF45" i="1"/>
  <c r="CC45" i="1"/>
  <c r="CE45" i="1" s="1"/>
  <c r="BZ45" i="1"/>
  <c r="CB45" i="1" s="1"/>
  <c r="BH45" i="1"/>
  <c r="BG45" i="1"/>
  <c r="BF45" i="1"/>
  <c r="BE45" i="1"/>
  <c r="BD45" i="1"/>
  <c r="BC45" i="1"/>
  <c r="BB45" i="1"/>
  <c r="BA45" i="1"/>
  <c r="AY45" i="1"/>
  <c r="AL45" i="1"/>
  <c r="AN45" i="1" s="1"/>
  <c r="CD45" i="1" s="1" a="1"/>
  <c r="CD45" i="1" s="1"/>
  <c r="AC45" i="1"/>
  <c r="AA45" i="1"/>
  <c r="CI41" i="1"/>
  <c r="CH41" i="1"/>
  <c r="CF41" i="1"/>
  <c r="CC41" i="1"/>
  <c r="CE41" i="1" s="1"/>
  <c r="BZ41" i="1"/>
  <c r="CB41" i="1" s="1"/>
  <c r="BH41" i="1"/>
  <c r="BG41" i="1"/>
  <c r="BF41" i="1"/>
  <c r="BE41" i="1"/>
  <c r="BD41" i="1"/>
  <c r="BC41" i="1"/>
  <c r="BB41" i="1"/>
  <c r="BA41" i="1"/>
  <c r="AY41" i="1"/>
  <c r="AL41" i="1"/>
  <c r="AN41" i="1" s="1"/>
  <c r="CD41" i="1" s="1" a="1"/>
  <c r="CD41" i="1" s="1"/>
  <c r="AC41" i="1"/>
  <c r="AA41" i="1"/>
  <c r="CI54" i="1"/>
  <c r="CH54" i="1"/>
  <c r="CF54" i="1"/>
  <c r="CC54" i="1"/>
  <c r="CE54" i="1" s="1"/>
  <c r="BZ54" i="1"/>
  <c r="CB54" i="1" s="1"/>
  <c r="BH54" i="1"/>
  <c r="BG54" i="1"/>
  <c r="BF54" i="1"/>
  <c r="BE54" i="1"/>
  <c r="BD54" i="1"/>
  <c r="BC54" i="1"/>
  <c r="BB54" i="1"/>
  <c r="AY54" i="1"/>
  <c r="AL54" i="1"/>
  <c r="AN54" i="1" s="1"/>
  <c r="CD54" i="1" s="1" a="1"/>
  <c r="CD54" i="1" s="1"/>
  <c r="AC54" i="1"/>
  <c r="AA54" i="1"/>
  <c r="CI51" i="1"/>
  <c r="CH51" i="1"/>
  <c r="CF51" i="1"/>
  <c r="CC51" i="1"/>
  <c r="CE51" i="1" s="1"/>
  <c r="BZ51" i="1"/>
  <c r="CB51" i="1" s="1"/>
  <c r="BH51" i="1"/>
  <c r="BG51" i="1"/>
  <c r="BF51" i="1"/>
  <c r="BE51" i="1"/>
  <c r="BD51" i="1"/>
  <c r="BC51" i="1"/>
  <c r="BB51" i="1"/>
  <c r="BA51" i="1"/>
  <c r="AY51" i="1"/>
  <c r="AL51" i="1"/>
  <c r="AN51" i="1" s="1"/>
  <c r="CD51" i="1" s="1" a="1"/>
  <c r="CD51" i="1" s="1"/>
  <c r="AC51" i="1"/>
  <c r="AA51" i="1"/>
  <c r="CI52" i="1"/>
  <c r="CH52" i="1"/>
  <c r="CF52" i="1"/>
  <c r="CC52" i="1"/>
  <c r="CE52" i="1" s="1"/>
  <c r="BZ52" i="1"/>
  <c r="CB52" i="1" s="1"/>
  <c r="BH52" i="1"/>
  <c r="BG52" i="1"/>
  <c r="BF52" i="1"/>
  <c r="BE52" i="1"/>
  <c r="BD52" i="1"/>
  <c r="BC52" i="1"/>
  <c r="BB52" i="1"/>
  <c r="AY52" i="1"/>
  <c r="AL52" i="1"/>
  <c r="AN52" i="1" s="1"/>
  <c r="CD52" i="1" s="1" a="1"/>
  <c r="CD52" i="1" s="1"/>
  <c r="AC52" i="1"/>
  <c r="AA52" i="1"/>
  <c r="CI55" i="1"/>
  <c r="CH55" i="1"/>
  <c r="CF55" i="1"/>
  <c r="CC55" i="1"/>
  <c r="CE55" i="1" s="1"/>
  <c r="BZ55" i="1"/>
  <c r="CB55" i="1" s="1"/>
  <c r="BH55" i="1"/>
  <c r="BG55" i="1"/>
  <c r="BF55" i="1"/>
  <c r="BE55" i="1"/>
  <c r="BD55" i="1"/>
  <c r="BC55" i="1"/>
  <c r="BB55" i="1"/>
  <c r="BA55" i="1"/>
  <c r="AY55" i="1"/>
  <c r="AL55" i="1"/>
  <c r="AN55" i="1" s="1"/>
  <c r="CD55" i="1" s="1" a="1"/>
  <c r="CD55" i="1" s="1"/>
  <c r="AC55" i="1"/>
  <c r="AA55" i="1"/>
  <c r="CI49" i="1"/>
  <c r="CH49" i="1"/>
  <c r="CF49" i="1"/>
  <c r="CC49" i="1"/>
  <c r="CE49" i="1" s="1"/>
  <c r="BZ49" i="1"/>
  <c r="CB49" i="1" s="1"/>
  <c r="BH49" i="1"/>
  <c r="BG49" i="1"/>
  <c r="BF49" i="1"/>
  <c r="BE49" i="1"/>
  <c r="BD49" i="1"/>
  <c r="BC49" i="1"/>
  <c r="BB49" i="1"/>
  <c r="AY49" i="1"/>
  <c r="AL49" i="1"/>
  <c r="AN49" i="1" s="1"/>
  <c r="CD49" i="1" s="1" a="1"/>
  <c r="CD49" i="1" s="1"/>
  <c r="AC49" i="1"/>
  <c r="AA49" i="1"/>
  <c r="CI46" i="1"/>
  <c r="CH46" i="1"/>
  <c r="CF46" i="1"/>
  <c r="CC46" i="1"/>
  <c r="CE46" i="1" s="1"/>
  <c r="BZ46" i="1"/>
  <c r="CB46" i="1" s="1"/>
  <c r="BH46" i="1"/>
  <c r="BG46" i="1"/>
  <c r="BF46" i="1"/>
  <c r="BE46" i="1"/>
  <c r="BD46" i="1"/>
  <c r="BC46" i="1"/>
  <c r="BB46" i="1"/>
  <c r="BA46" i="1"/>
  <c r="AY46" i="1"/>
  <c r="AL46" i="1"/>
  <c r="AN46" i="1" s="1"/>
  <c r="CD46" i="1" s="1" a="1"/>
  <c r="CD46" i="1" s="1"/>
  <c r="AC46" i="1"/>
  <c r="AA46" i="1"/>
  <c r="CI48" i="1"/>
  <c r="CH48" i="1"/>
  <c r="CF48" i="1"/>
  <c r="CC48" i="1"/>
  <c r="CE48" i="1" s="1"/>
  <c r="BZ48" i="1"/>
  <c r="CB48" i="1" s="1"/>
  <c r="BH48" i="1"/>
  <c r="BG48" i="1"/>
  <c r="BF48" i="1"/>
  <c r="BE48" i="1"/>
  <c r="BD48" i="1"/>
  <c r="BC48" i="1"/>
  <c r="BB48" i="1"/>
  <c r="AY48" i="1"/>
  <c r="AL48" i="1"/>
  <c r="AN48" i="1" s="1"/>
  <c r="CD48" i="1" s="1" a="1"/>
  <c r="CD48" i="1" s="1"/>
  <c r="AC48" i="1"/>
  <c r="AA48" i="1"/>
  <c r="CI50" i="1"/>
  <c r="CH50" i="1"/>
  <c r="CF50" i="1"/>
  <c r="CC50" i="1"/>
  <c r="CE50" i="1" s="1"/>
  <c r="BZ50" i="1"/>
  <c r="CB50" i="1" s="1"/>
  <c r="BH50" i="1"/>
  <c r="BG50" i="1"/>
  <c r="BF50" i="1"/>
  <c r="BE50" i="1"/>
  <c r="BD50" i="1"/>
  <c r="BC50" i="1"/>
  <c r="BB50" i="1"/>
  <c r="BA50" i="1"/>
  <c r="AY50" i="1"/>
  <c r="AL50" i="1"/>
  <c r="AN50" i="1" s="1"/>
  <c r="CD50" i="1" s="1" a="1"/>
  <c r="CD50" i="1" s="1"/>
  <c r="AC50" i="1"/>
  <c r="AA50" i="1"/>
  <c r="CI43" i="1"/>
  <c r="CH43" i="1"/>
  <c r="CF43" i="1"/>
  <c r="CC43" i="1"/>
  <c r="CE43" i="1" s="1"/>
  <c r="BZ43" i="1"/>
  <c r="CB43" i="1" s="1"/>
  <c r="BH43" i="1"/>
  <c r="BG43" i="1"/>
  <c r="BF43" i="1"/>
  <c r="BE43" i="1"/>
  <c r="BD43" i="1"/>
  <c r="BC43" i="1"/>
  <c r="BB43" i="1"/>
  <c r="AY43" i="1"/>
  <c r="AL43" i="1"/>
  <c r="AN43" i="1" s="1"/>
  <c r="CD43" i="1" s="1" a="1"/>
  <c r="CD43" i="1" s="1"/>
  <c r="AC43" i="1"/>
  <c r="AA43" i="1"/>
  <c r="CI44" i="1"/>
  <c r="CH44" i="1"/>
  <c r="CF44" i="1"/>
  <c r="CC44" i="1"/>
  <c r="CE44" i="1" s="1"/>
  <c r="BZ44" i="1"/>
  <c r="CB44" i="1" s="1"/>
  <c r="BH44" i="1"/>
  <c r="BG44" i="1"/>
  <c r="BF44" i="1"/>
  <c r="BE44" i="1"/>
  <c r="BD44" i="1"/>
  <c r="BC44" i="1"/>
  <c r="BB44" i="1"/>
  <c r="AY44" i="1"/>
  <c r="AL44" i="1"/>
  <c r="AN44" i="1" s="1"/>
  <c r="CD44" i="1" s="1" a="1"/>
  <c r="CD44" i="1" s="1"/>
  <c r="AC44" i="1"/>
  <c r="AA44" i="1"/>
  <c r="CI40" i="1"/>
  <c r="CI325" i="1"/>
  <c r="CI324" i="1"/>
  <c r="CI323" i="1"/>
  <c r="CI322" i="1"/>
  <c r="CI321" i="1"/>
  <c r="CI320" i="1"/>
  <c r="CI319" i="1"/>
  <c r="CI318" i="1"/>
  <c r="CI317" i="1"/>
  <c r="CI316" i="1"/>
  <c r="CI315" i="1"/>
  <c r="CI314" i="1"/>
  <c r="CI313" i="1"/>
  <c r="CI312" i="1"/>
  <c r="CI311" i="1"/>
  <c r="CI310" i="1"/>
  <c r="CI309" i="1"/>
  <c r="CI308" i="1"/>
  <c r="CI307" i="1"/>
  <c r="CI306" i="1"/>
  <c r="CI305" i="1"/>
  <c r="CI304" i="1"/>
  <c r="CI303" i="1"/>
  <c r="CI302" i="1"/>
  <c r="CI301" i="1"/>
  <c r="CI300" i="1"/>
  <c r="CI299" i="1"/>
  <c r="CI298" i="1"/>
  <c r="CI297" i="1"/>
  <c r="CI296" i="1"/>
  <c r="CI295" i="1"/>
  <c r="CI294" i="1"/>
  <c r="CI293" i="1"/>
  <c r="CI292" i="1"/>
  <c r="CI291" i="1"/>
  <c r="CI290" i="1"/>
  <c r="CI289" i="1"/>
  <c r="CI288" i="1"/>
  <c r="CI287" i="1"/>
  <c r="CI286" i="1"/>
  <c r="CI285" i="1"/>
  <c r="CI284" i="1"/>
  <c r="CI283" i="1"/>
  <c r="CI282" i="1"/>
  <c r="CI281" i="1"/>
  <c r="CI280" i="1"/>
  <c r="CI279" i="1"/>
  <c r="CI278" i="1"/>
  <c r="CI277" i="1"/>
  <c r="CI276" i="1"/>
  <c r="CI275" i="1"/>
  <c r="CI274" i="1"/>
  <c r="CI273" i="1"/>
  <c r="CI272" i="1"/>
  <c r="CI271" i="1"/>
  <c r="CI270" i="1"/>
  <c r="CI269" i="1"/>
  <c r="CI268" i="1"/>
  <c r="CI267" i="1"/>
  <c r="CI266" i="1"/>
  <c r="CI265" i="1"/>
  <c r="CI264" i="1"/>
  <c r="CI263" i="1"/>
  <c r="CI262" i="1"/>
  <c r="CI261" i="1"/>
  <c r="CI260" i="1"/>
  <c r="CI259" i="1"/>
  <c r="CI258" i="1"/>
  <c r="CI257" i="1"/>
  <c r="CI256" i="1"/>
  <c r="CI255" i="1"/>
  <c r="CI254" i="1"/>
  <c r="CI253" i="1"/>
  <c r="CI252" i="1"/>
  <c r="CI251" i="1"/>
  <c r="CI250" i="1"/>
  <c r="CI249" i="1"/>
  <c r="CI248" i="1"/>
  <c r="CI247" i="1"/>
  <c r="CI246" i="1"/>
  <c r="CI245" i="1"/>
  <c r="CI244" i="1"/>
  <c r="CI243" i="1"/>
  <c r="CI242" i="1"/>
  <c r="CI241" i="1"/>
  <c r="CI240" i="1"/>
  <c r="CI239" i="1"/>
  <c r="CI238" i="1"/>
  <c r="CI237" i="1"/>
  <c r="CI236" i="1"/>
  <c r="CI235" i="1"/>
  <c r="CI234" i="1"/>
  <c r="CI233" i="1"/>
  <c r="CI232" i="1"/>
  <c r="CI231" i="1"/>
  <c r="CI230" i="1"/>
  <c r="CI229" i="1"/>
  <c r="CI228" i="1"/>
  <c r="CI227" i="1"/>
  <c r="CI226" i="1"/>
  <c r="CI225" i="1"/>
  <c r="CI224" i="1"/>
  <c r="CI223" i="1"/>
  <c r="CI222" i="1"/>
  <c r="CI221" i="1"/>
  <c r="CI220" i="1"/>
  <c r="CI219" i="1"/>
  <c r="CI218" i="1"/>
  <c r="CI217" i="1"/>
  <c r="CI216" i="1"/>
  <c r="CI215" i="1"/>
  <c r="CI214" i="1"/>
  <c r="CI213" i="1"/>
  <c r="CI212" i="1"/>
  <c r="CI211" i="1"/>
  <c r="CI210" i="1"/>
  <c r="CI209" i="1"/>
  <c r="CI208" i="1"/>
  <c r="CI207" i="1"/>
  <c r="CI206" i="1"/>
  <c r="CI205" i="1"/>
  <c r="CI204" i="1"/>
  <c r="CI203" i="1"/>
  <c r="CI202" i="1"/>
  <c r="CI201" i="1"/>
  <c r="CI200" i="1"/>
  <c r="CI199" i="1"/>
  <c r="CI198" i="1"/>
  <c r="CI197" i="1"/>
  <c r="CI196" i="1"/>
  <c r="CI195" i="1"/>
  <c r="CI194" i="1"/>
  <c r="CI193" i="1"/>
  <c r="CI192" i="1"/>
  <c r="CI191" i="1"/>
  <c r="CI190" i="1"/>
  <c r="CI189" i="1"/>
  <c r="CI188" i="1"/>
  <c r="CI187" i="1"/>
  <c r="CI186" i="1"/>
  <c r="CI185" i="1"/>
  <c r="CI184" i="1"/>
  <c r="CI183" i="1"/>
  <c r="CI182" i="1"/>
  <c r="CI181" i="1"/>
  <c r="CI180" i="1"/>
  <c r="CI179" i="1"/>
  <c r="CI178" i="1"/>
  <c r="CI177" i="1"/>
  <c r="CI176" i="1"/>
  <c r="CI175" i="1"/>
  <c r="CI174" i="1"/>
  <c r="CI173" i="1"/>
  <c r="CI172" i="1"/>
  <c r="CI171" i="1"/>
  <c r="CI170" i="1"/>
  <c r="CI169" i="1"/>
  <c r="CI168" i="1"/>
  <c r="CI167" i="1"/>
  <c r="CI166" i="1"/>
  <c r="CI165" i="1"/>
  <c r="CI164" i="1"/>
  <c r="CI163" i="1"/>
  <c r="CI162" i="1"/>
  <c r="CI161" i="1"/>
  <c r="CI160" i="1"/>
  <c r="CI159" i="1"/>
  <c r="CI158" i="1"/>
  <c r="CI157" i="1"/>
  <c r="CI156" i="1"/>
  <c r="CI155" i="1"/>
  <c r="CI154" i="1"/>
  <c r="CI153" i="1"/>
  <c r="CI152" i="1"/>
  <c r="CI151" i="1"/>
  <c r="CI150" i="1"/>
  <c r="CI149" i="1"/>
  <c r="CI148" i="1"/>
  <c r="CI147" i="1"/>
  <c r="CI146" i="1"/>
  <c r="CI145" i="1"/>
  <c r="CI144" i="1"/>
  <c r="CI143" i="1"/>
  <c r="CI142" i="1"/>
  <c r="CI141" i="1"/>
  <c r="CI140" i="1"/>
  <c r="CI139" i="1"/>
  <c r="CI138" i="1"/>
  <c r="CI137" i="1"/>
  <c r="CI136" i="1"/>
  <c r="CI135" i="1"/>
  <c r="CI134" i="1"/>
  <c r="CI133" i="1"/>
  <c r="CI132" i="1"/>
  <c r="CI131" i="1"/>
  <c r="CI130" i="1"/>
  <c r="CI129" i="1"/>
  <c r="CI128" i="1"/>
  <c r="CI127" i="1"/>
  <c r="CI126" i="1"/>
  <c r="CI125" i="1"/>
  <c r="CI124" i="1"/>
  <c r="CI123" i="1"/>
  <c r="CI122" i="1"/>
  <c r="CI121" i="1"/>
  <c r="CI120" i="1"/>
  <c r="CI119" i="1"/>
  <c r="CI118" i="1"/>
  <c r="CI117" i="1"/>
  <c r="CI116" i="1"/>
  <c r="CI115" i="1"/>
  <c r="CI114" i="1"/>
  <c r="CI113" i="1"/>
  <c r="CI112" i="1"/>
  <c r="CI111" i="1"/>
  <c r="CI110" i="1"/>
  <c r="CI109" i="1"/>
  <c r="CI108" i="1"/>
  <c r="CI107" i="1"/>
  <c r="CI106" i="1"/>
  <c r="CI105" i="1"/>
  <c r="CI104" i="1"/>
  <c r="CI103" i="1"/>
  <c r="CI102" i="1"/>
  <c r="CI101" i="1"/>
  <c r="CI100" i="1"/>
  <c r="CI99" i="1"/>
  <c r="CI98" i="1"/>
  <c r="CI97" i="1"/>
  <c r="CI96" i="1"/>
  <c r="CI95" i="1"/>
  <c r="CI94" i="1"/>
  <c r="CI93" i="1"/>
  <c r="CI92" i="1"/>
  <c r="CI91" i="1"/>
  <c r="CI90" i="1"/>
  <c r="CI89" i="1"/>
  <c r="CI88" i="1"/>
  <c r="CI87" i="1"/>
  <c r="CI86" i="1"/>
  <c r="CI85" i="1"/>
  <c r="CI84" i="1"/>
  <c r="CI83" i="1"/>
  <c r="CI82" i="1"/>
  <c r="CI81" i="1"/>
  <c r="CI80" i="1"/>
  <c r="CI79" i="1"/>
  <c r="CI78" i="1"/>
  <c r="CI77" i="1"/>
  <c r="CI76" i="1"/>
  <c r="CI75" i="1"/>
  <c r="CI74" i="1"/>
  <c r="CI73" i="1"/>
  <c r="CI72" i="1"/>
  <c r="CI71" i="1"/>
  <c r="CI70" i="1"/>
  <c r="CI69" i="1"/>
  <c r="CI68" i="1"/>
  <c r="CI67" i="1"/>
  <c r="CI66" i="1"/>
  <c r="CI65" i="1"/>
  <c r="CI64" i="1"/>
  <c r="CI63" i="1"/>
  <c r="CI62" i="1"/>
  <c r="CI61" i="1"/>
  <c r="CI60" i="1"/>
  <c r="CI59" i="1"/>
  <c r="CI58" i="1"/>
  <c r="CI57" i="1"/>
  <c r="CI56" i="1"/>
  <c r="CI53" i="1"/>
  <c r="CI47" i="1"/>
  <c r="CI42" i="1"/>
  <c r="CI39" i="1"/>
  <c r="CI38" i="1"/>
  <c r="CI37" i="1"/>
  <c r="CI36" i="1"/>
  <c r="CI35" i="1"/>
  <c r="CI34" i="1"/>
  <c r="CI33" i="1"/>
  <c r="CI32" i="1"/>
  <c r="CI31" i="1"/>
  <c r="CI30" i="1"/>
  <c r="CI29" i="1"/>
  <c r="CI28" i="1"/>
  <c r="CI27" i="1"/>
  <c r="CI26" i="1"/>
  <c r="CI25" i="1"/>
  <c r="CI24" i="1"/>
  <c r="CI23" i="1"/>
  <c r="CI22" i="1"/>
  <c r="CI21" i="1"/>
  <c r="CI20" i="1"/>
  <c r="CI19" i="1"/>
  <c r="CI18" i="1"/>
  <c r="CI17" i="1"/>
  <c r="CI16" i="1"/>
  <c r="CI15" i="1"/>
  <c r="CI14" i="1"/>
  <c r="CI13" i="1"/>
  <c r="CI12" i="1"/>
  <c r="CI11" i="1"/>
  <c r="CI10" i="1"/>
  <c r="CI9" i="1"/>
  <c r="CI8" i="1"/>
  <c r="CI7" i="1"/>
  <c r="CI6" i="1"/>
  <c r="CI5" i="1"/>
  <c r="CI4" i="1"/>
  <c r="CI3" i="1"/>
  <c r="CI2" i="1"/>
  <c r="CH325" i="1"/>
  <c r="CH324" i="1"/>
  <c r="CH323" i="1"/>
  <c r="CH322" i="1"/>
  <c r="CH321" i="1"/>
  <c r="CH320" i="1"/>
  <c r="CH319" i="1"/>
  <c r="CH318" i="1"/>
  <c r="CH317" i="1"/>
  <c r="CH316" i="1"/>
  <c r="CH315" i="1"/>
  <c r="CH314" i="1"/>
  <c r="CH313" i="1"/>
  <c r="CH312" i="1"/>
  <c r="CH311" i="1"/>
  <c r="CH310" i="1"/>
  <c r="CH309" i="1"/>
  <c r="CH308" i="1"/>
  <c r="CH307" i="1"/>
  <c r="CH306" i="1"/>
  <c r="CH305" i="1"/>
  <c r="CH304" i="1"/>
  <c r="CH303" i="1"/>
  <c r="CH302" i="1"/>
  <c r="CH301" i="1"/>
  <c r="CH300" i="1"/>
  <c r="CH299" i="1"/>
  <c r="CH298" i="1"/>
  <c r="CH297" i="1"/>
  <c r="CH296" i="1"/>
  <c r="CH295" i="1"/>
  <c r="CH294" i="1"/>
  <c r="CH293" i="1"/>
  <c r="CH292" i="1"/>
  <c r="CH291" i="1"/>
  <c r="CH290" i="1"/>
  <c r="CH289" i="1"/>
  <c r="CH288" i="1"/>
  <c r="CH287" i="1"/>
  <c r="CH286" i="1"/>
  <c r="CH285" i="1"/>
  <c r="CH284" i="1"/>
  <c r="CH283" i="1"/>
  <c r="CH282" i="1"/>
  <c r="CH281" i="1"/>
  <c r="CH280" i="1"/>
  <c r="CH279" i="1"/>
  <c r="CH278" i="1"/>
  <c r="CH277" i="1"/>
  <c r="CH276" i="1"/>
  <c r="CH275" i="1"/>
  <c r="CH274" i="1"/>
  <c r="CH273" i="1"/>
  <c r="CH272" i="1"/>
  <c r="CH271" i="1"/>
  <c r="CH270" i="1"/>
  <c r="CH269" i="1"/>
  <c r="CH268" i="1"/>
  <c r="CH267" i="1"/>
  <c r="CH266" i="1"/>
  <c r="CH265" i="1"/>
  <c r="CH264" i="1"/>
  <c r="CH263" i="1"/>
  <c r="CH262" i="1"/>
  <c r="CH261" i="1"/>
  <c r="CH260" i="1"/>
  <c r="CH259" i="1"/>
  <c r="CH258" i="1"/>
  <c r="CH257" i="1"/>
  <c r="CH256" i="1"/>
  <c r="CH255" i="1"/>
  <c r="CH254" i="1"/>
  <c r="CH253" i="1"/>
  <c r="CH252" i="1"/>
  <c r="CH251" i="1"/>
  <c r="CH250" i="1"/>
  <c r="CH249" i="1"/>
  <c r="CH248" i="1"/>
  <c r="CH247" i="1"/>
  <c r="CH246" i="1"/>
  <c r="CH245" i="1"/>
  <c r="CH244" i="1"/>
  <c r="CH243" i="1"/>
  <c r="CH242" i="1"/>
  <c r="CH241" i="1"/>
  <c r="CH240" i="1"/>
  <c r="CH239" i="1"/>
  <c r="CH238" i="1"/>
  <c r="CH237" i="1"/>
  <c r="CH236" i="1"/>
  <c r="CH235" i="1"/>
  <c r="CH234" i="1"/>
  <c r="CH233" i="1"/>
  <c r="CH232" i="1"/>
  <c r="CH231" i="1"/>
  <c r="CH230" i="1"/>
  <c r="CH229" i="1"/>
  <c r="CH228" i="1"/>
  <c r="CH227" i="1"/>
  <c r="CH226" i="1"/>
  <c r="CH225" i="1"/>
  <c r="CH224" i="1"/>
  <c r="CH223" i="1"/>
  <c r="CH222" i="1"/>
  <c r="CH221" i="1"/>
  <c r="CH220" i="1"/>
  <c r="CH219" i="1"/>
  <c r="CH218" i="1"/>
  <c r="CH217" i="1"/>
  <c r="CH216" i="1"/>
  <c r="CH215" i="1"/>
  <c r="CH214" i="1"/>
  <c r="CH213" i="1"/>
  <c r="CH212" i="1"/>
  <c r="CH211" i="1"/>
  <c r="CH210" i="1"/>
  <c r="CH209" i="1"/>
  <c r="CH208" i="1"/>
  <c r="CH207" i="1"/>
  <c r="CH206" i="1"/>
  <c r="CH205" i="1"/>
  <c r="CH204" i="1"/>
  <c r="CH203" i="1"/>
  <c r="CH202" i="1"/>
  <c r="CH201" i="1"/>
  <c r="CH200" i="1"/>
  <c r="CH199" i="1"/>
  <c r="CH198" i="1"/>
  <c r="CH197" i="1"/>
  <c r="CH196" i="1"/>
  <c r="CH195" i="1"/>
  <c r="CH194" i="1"/>
  <c r="CH193" i="1"/>
  <c r="CH192" i="1"/>
  <c r="CH191" i="1"/>
  <c r="CH190" i="1"/>
  <c r="CH189" i="1"/>
  <c r="CH188" i="1"/>
  <c r="CH187" i="1"/>
  <c r="CH186" i="1"/>
  <c r="CH185" i="1"/>
  <c r="CH184" i="1"/>
  <c r="CH183" i="1"/>
  <c r="CH182" i="1"/>
  <c r="CH181" i="1"/>
  <c r="CH180" i="1"/>
  <c r="CH179" i="1"/>
  <c r="CH178" i="1"/>
  <c r="CH177" i="1"/>
  <c r="CH176" i="1"/>
  <c r="CH175" i="1"/>
  <c r="CH174" i="1"/>
  <c r="CH173" i="1"/>
  <c r="CH172" i="1"/>
  <c r="CH171" i="1"/>
  <c r="CH170" i="1"/>
  <c r="CH169" i="1"/>
  <c r="CH168" i="1"/>
  <c r="CH167" i="1"/>
  <c r="CH166" i="1"/>
  <c r="CH165" i="1"/>
  <c r="CH164" i="1"/>
  <c r="CH163" i="1"/>
  <c r="CH162" i="1"/>
  <c r="CH161" i="1"/>
  <c r="CH160" i="1"/>
  <c r="CH159" i="1"/>
  <c r="CH158" i="1"/>
  <c r="CH157" i="1"/>
  <c r="CH156" i="1"/>
  <c r="CH155" i="1"/>
  <c r="CH154" i="1"/>
  <c r="CH153" i="1"/>
  <c r="CH152" i="1"/>
  <c r="CH151" i="1"/>
  <c r="CH150" i="1"/>
  <c r="CH149" i="1"/>
  <c r="CH148" i="1"/>
  <c r="CH147" i="1"/>
  <c r="CH146" i="1"/>
  <c r="CH145" i="1"/>
  <c r="CH144" i="1"/>
  <c r="CH143" i="1"/>
  <c r="CH142" i="1"/>
  <c r="CH141" i="1"/>
  <c r="CH140" i="1"/>
  <c r="CH139" i="1"/>
  <c r="CH138" i="1"/>
  <c r="CH137" i="1"/>
  <c r="CH136" i="1"/>
  <c r="CH135" i="1"/>
  <c r="CH134" i="1"/>
  <c r="CH133" i="1"/>
  <c r="CH132" i="1"/>
  <c r="CH131" i="1"/>
  <c r="CH130" i="1"/>
  <c r="CH129" i="1"/>
  <c r="CH128" i="1"/>
  <c r="CH127" i="1"/>
  <c r="CH126" i="1"/>
  <c r="CH125" i="1"/>
  <c r="CH124" i="1"/>
  <c r="CH123" i="1"/>
  <c r="CH122" i="1"/>
  <c r="CH121" i="1"/>
  <c r="CH120" i="1"/>
  <c r="CH119" i="1"/>
  <c r="CH118" i="1"/>
  <c r="CH117" i="1"/>
  <c r="CH116" i="1"/>
  <c r="CH115" i="1"/>
  <c r="CH114" i="1"/>
  <c r="CH113" i="1"/>
  <c r="CH112" i="1"/>
  <c r="CH111" i="1"/>
  <c r="CH110" i="1"/>
  <c r="CH109" i="1"/>
  <c r="CH108" i="1"/>
  <c r="CH107" i="1"/>
  <c r="CH106" i="1"/>
  <c r="CH105" i="1"/>
  <c r="CH104" i="1"/>
  <c r="CH103" i="1"/>
  <c r="CH102" i="1"/>
  <c r="CH101" i="1"/>
  <c r="CH100" i="1"/>
  <c r="CH99" i="1"/>
  <c r="CH98" i="1"/>
  <c r="CH97" i="1"/>
  <c r="CH96" i="1"/>
  <c r="CH95" i="1"/>
  <c r="CH94" i="1"/>
  <c r="CH93" i="1"/>
  <c r="CH92" i="1"/>
  <c r="CH91" i="1"/>
  <c r="CH90" i="1"/>
  <c r="CH89" i="1"/>
  <c r="CH88" i="1"/>
  <c r="CH87" i="1"/>
  <c r="CH86" i="1"/>
  <c r="CH85" i="1"/>
  <c r="CH84" i="1"/>
  <c r="CH83" i="1"/>
  <c r="CH82" i="1"/>
  <c r="CH81" i="1"/>
  <c r="CH80" i="1"/>
  <c r="CH79" i="1"/>
  <c r="CH78" i="1"/>
  <c r="CH77" i="1"/>
  <c r="CH76" i="1"/>
  <c r="CH75" i="1"/>
  <c r="CH74" i="1"/>
  <c r="CH73" i="1"/>
  <c r="CH72" i="1"/>
  <c r="CH71" i="1"/>
  <c r="CH70" i="1"/>
  <c r="CH69" i="1"/>
  <c r="CH68" i="1"/>
  <c r="CH67" i="1"/>
  <c r="CH66" i="1"/>
  <c r="CH65" i="1"/>
  <c r="CH64" i="1"/>
  <c r="CH63" i="1"/>
  <c r="CH61" i="1"/>
  <c r="CH60" i="1"/>
  <c r="CH59" i="1"/>
  <c r="CH58" i="1"/>
  <c r="CH57" i="1"/>
  <c r="CH56" i="1"/>
  <c r="CH53" i="1"/>
  <c r="CH47" i="1"/>
  <c r="CH42" i="1"/>
  <c r="CH40" i="1"/>
  <c r="CH39" i="1"/>
  <c r="CH38" i="1"/>
  <c r="CH37" i="1"/>
  <c r="CH36" i="1"/>
  <c r="CH35" i="1"/>
  <c r="CH34" i="1"/>
  <c r="CH33" i="1"/>
  <c r="CH32" i="1"/>
  <c r="CH31" i="1"/>
  <c r="CH30" i="1"/>
  <c r="CH29" i="1"/>
  <c r="CH28" i="1"/>
  <c r="CH27" i="1"/>
  <c r="CH26" i="1"/>
  <c r="CH25" i="1"/>
  <c r="CH24" i="1"/>
  <c r="CH23" i="1"/>
  <c r="CH22" i="1"/>
  <c r="CH21" i="1"/>
  <c r="CH20" i="1"/>
  <c r="CH19" i="1"/>
  <c r="CH18" i="1"/>
  <c r="CH17" i="1"/>
  <c r="CH16" i="1"/>
  <c r="CH15" i="1"/>
  <c r="CH14" i="1"/>
  <c r="CH13" i="1"/>
  <c r="CH12" i="1"/>
  <c r="CH11" i="1"/>
  <c r="CH10" i="1"/>
  <c r="CH9" i="1"/>
  <c r="CH8" i="1"/>
  <c r="CH7" i="1"/>
  <c r="CH6" i="1"/>
  <c r="CH5" i="1"/>
  <c r="CH4" i="1"/>
  <c r="CH3" i="1"/>
  <c r="CH2" i="1"/>
  <c r="CH62" i="1"/>
  <c r="BJ45" i="1" l="1"/>
  <c r="BL45" i="1" s="1"/>
  <c r="AK41" i="1"/>
  <c r="AK45" i="1"/>
  <c r="AK54" i="1"/>
  <c r="BJ41" i="1"/>
  <c r="BL41" i="1" s="1"/>
  <c r="CJ45" i="1"/>
  <c r="CJ41" i="1"/>
  <c r="BI45" i="1"/>
  <c r="BK45" i="1" s="1"/>
  <c r="BI41" i="1"/>
  <c r="BK41" i="1" s="1"/>
  <c r="BJ52" i="1"/>
  <c r="BL52" i="1" s="1"/>
  <c r="BI54" i="1"/>
  <c r="BK54" i="1" s="1"/>
  <c r="BJ54" i="1"/>
  <c r="BL54" i="1" s="1"/>
  <c r="CJ54" i="1"/>
  <c r="BI51" i="1"/>
  <c r="BK51" i="1" s="1"/>
  <c r="BJ51" i="1"/>
  <c r="BL51" i="1" s="1"/>
  <c r="BJ55" i="1"/>
  <c r="BL55" i="1" s="1"/>
  <c r="CJ51" i="1"/>
  <c r="AK51" i="1"/>
  <c r="AK52" i="1"/>
  <c r="CJ52" i="1"/>
  <c r="BI52" i="1"/>
  <c r="BK52" i="1" s="1"/>
  <c r="BJ46" i="1"/>
  <c r="BL46" i="1" s="1"/>
  <c r="CJ55" i="1"/>
  <c r="AK55" i="1"/>
  <c r="BI55" i="1"/>
  <c r="BK55" i="1" s="1"/>
  <c r="BJ49" i="1"/>
  <c r="BL49" i="1" s="1"/>
  <c r="CJ49" i="1"/>
  <c r="AK49" i="1"/>
  <c r="BI49" i="1"/>
  <c r="BK49" i="1" s="1"/>
  <c r="AK46" i="1"/>
  <c r="BJ48" i="1"/>
  <c r="BL48" i="1" s="1"/>
  <c r="BJ50" i="1"/>
  <c r="BL50" i="1" s="1"/>
  <c r="CJ46" i="1"/>
  <c r="BI46" i="1"/>
  <c r="BK46" i="1" s="1"/>
  <c r="CJ48" i="1"/>
  <c r="AK48" i="1"/>
  <c r="BI48" i="1"/>
  <c r="BK48" i="1" s="1"/>
  <c r="AK50" i="1"/>
  <c r="CJ50" i="1"/>
  <c r="BI50" i="1"/>
  <c r="BK50" i="1" s="1"/>
  <c r="BI44" i="1"/>
  <c r="BK44" i="1" s="1"/>
  <c r="BJ44" i="1"/>
  <c r="BL44" i="1" s="1"/>
  <c r="BJ43" i="1"/>
  <c r="BL43" i="1" s="1"/>
  <c r="BI43" i="1"/>
  <c r="BK43" i="1" s="1"/>
  <c r="CJ43" i="1"/>
  <c r="AK43" i="1"/>
  <c r="CJ44" i="1"/>
  <c r="AK44" i="1"/>
  <c r="CF40" i="1"/>
  <c r="CC40" i="1"/>
  <c r="CE40" i="1" s="1"/>
  <c r="BZ40" i="1"/>
  <c r="CB40" i="1" s="1"/>
  <c r="BH40" i="1"/>
  <c r="BG40" i="1"/>
  <c r="BF40" i="1"/>
  <c r="BE40" i="1"/>
  <c r="BD40" i="1"/>
  <c r="BC40" i="1"/>
  <c r="BB40" i="1"/>
  <c r="AY40" i="1"/>
  <c r="AL40" i="1"/>
  <c r="AN40" i="1" s="1"/>
  <c r="CD40" i="1" s="1" a="1"/>
  <c r="CD40" i="1" s="1"/>
  <c r="AC40" i="1"/>
  <c r="AA40" i="1"/>
  <c r="CF39" i="1"/>
  <c r="CC39" i="1"/>
  <c r="CE39" i="1" s="1"/>
  <c r="BZ39" i="1"/>
  <c r="CB39" i="1" s="1"/>
  <c r="BH39" i="1"/>
  <c r="BG39" i="1"/>
  <c r="BF39" i="1"/>
  <c r="BE39" i="1"/>
  <c r="BD39" i="1"/>
  <c r="BC39" i="1"/>
  <c r="BB39" i="1"/>
  <c r="AY39" i="1"/>
  <c r="AL39" i="1"/>
  <c r="AN39" i="1" s="1"/>
  <c r="CD39" i="1" s="1" a="1"/>
  <c r="CD39" i="1" s="1"/>
  <c r="AC39" i="1"/>
  <c r="AA39" i="1"/>
  <c r="CF38" i="1"/>
  <c r="CC38" i="1"/>
  <c r="CE38" i="1" s="1"/>
  <c r="BZ38" i="1"/>
  <c r="CB38" i="1" s="1"/>
  <c r="BH38" i="1"/>
  <c r="BG38" i="1"/>
  <c r="BF38" i="1"/>
  <c r="BE38" i="1"/>
  <c r="BD38" i="1"/>
  <c r="BC38" i="1"/>
  <c r="BB38" i="1"/>
  <c r="AY38" i="1"/>
  <c r="AL38" i="1"/>
  <c r="AN38" i="1" s="1"/>
  <c r="CD38" i="1" s="1" a="1"/>
  <c r="CD38" i="1" s="1"/>
  <c r="AC38" i="1"/>
  <c r="AA38" i="1"/>
  <c r="CF37" i="1"/>
  <c r="CC37" i="1"/>
  <c r="CE37" i="1" s="1"/>
  <c r="BZ37" i="1"/>
  <c r="CB37" i="1" s="1"/>
  <c r="BH37" i="1"/>
  <c r="BG37" i="1"/>
  <c r="BF37" i="1"/>
  <c r="BE37" i="1"/>
  <c r="BD37" i="1"/>
  <c r="BC37" i="1"/>
  <c r="BB37" i="1"/>
  <c r="BA37" i="1"/>
  <c r="AY37" i="1"/>
  <c r="AL37" i="1"/>
  <c r="AN37" i="1" s="1"/>
  <c r="CD37" i="1" s="1" a="1"/>
  <c r="CD37" i="1" s="1"/>
  <c r="AC37" i="1"/>
  <c r="AA37" i="1"/>
  <c r="CF36" i="1"/>
  <c r="CC36" i="1"/>
  <c r="CE36" i="1" s="1"/>
  <c r="BZ36" i="1"/>
  <c r="CB36" i="1" s="1"/>
  <c r="BH36" i="1"/>
  <c r="BG36" i="1"/>
  <c r="BF36" i="1"/>
  <c r="BE36" i="1"/>
  <c r="BD36" i="1"/>
  <c r="BC36" i="1"/>
  <c r="BB36" i="1"/>
  <c r="AY36" i="1"/>
  <c r="AL36" i="1"/>
  <c r="AN36" i="1" s="1"/>
  <c r="CD36" i="1" s="1" a="1"/>
  <c r="CD36" i="1" s="1"/>
  <c r="AC36" i="1"/>
  <c r="AA36" i="1"/>
  <c r="CD268" i="1" a="1"/>
  <c r="CD268" i="1" s="1"/>
  <c r="CD269" i="1" a="1"/>
  <c r="CD269" i="1" s="1"/>
  <c r="CD270" i="1" a="1"/>
  <c r="CD270" i="1" s="1"/>
  <c r="CD295" i="1" a="1"/>
  <c r="CD295" i="1" s="1"/>
  <c r="CF3" i="1"/>
  <c r="CC3" i="1"/>
  <c r="CE3" i="1" s="1"/>
  <c r="BZ3" i="1"/>
  <c r="CB3" i="1" s="1"/>
  <c r="BH3" i="1"/>
  <c r="BG3" i="1"/>
  <c r="BF3" i="1"/>
  <c r="BE3" i="1"/>
  <c r="BD3" i="1"/>
  <c r="BC3" i="1"/>
  <c r="BB3" i="1"/>
  <c r="AY3" i="1"/>
  <c r="AL3" i="1"/>
  <c r="AN3" i="1" s="1"/>
  <c r="AA3" i="1"/>
  <c r="CF119" i="1"/>
  <c r="CC119" i="1"/>
  <c r="CE119" i="1" s="1"/>
  <c r="BZ119" i="1"/>
  <c r="CB119" i="1" s="1"/>
  <c r="BH119" i="1"/>
  <c r="BG119" i="1"/>
  <c r="BF119" i="1"/>
  <c r="BE119" i="1"/>
  <c r="BD119" i="1"/>
  <c r="BC119" i="1"/>
  <c r="BB119" i="1"/>
  <c r="AY119" i="1"/>
  <c r="AL119" i="1"/>
  <c r="AC119" i="1"/>
  <c r="AA119" i="1"/>
  <c r="T119" i="1"/>
  <c r="V119" i="1" s="1"/>
  <c r="CF118" i="1"/>
  <c r="CC118" i="1"/>
  <c r="CE118" i="1" s="1"/>
  <c r="BZ118" i="1"/>
  <c r="CB118" i="1" s="1"/>
  <c r="BH118" i="1"/>
  <c r="BG118" i="1"/>
  <c r="BF118" i="1"/>
  <c r="BE118" i="1"/>
  <c r="BD118" i="1"/>
  <c r="BC118" i="1"/>
  <c r="BB118" i="1"/>
  <c r="AY118" i="1"/>
  <c r="AL118" i="1"/>
  <c r="AC118" i="1"/>
  <c r="AA118" i="1"/>
  <c r="T118" i="1"/>
  <c r="V118" i="1" s="1"/>
  <c r="CF88" i="1"/>
  <c r="CC88" i="1"/>
  <c r="CE88" i="1" s="1"/>
  <c r="BZ88" i="1"/>
  <c r="CB88" i="1" s="1"/>
  <c r="BH88" i="1"/>
  <c r="BG88" i="1"/>
  <c r="BF88" i="1"/>
  <c r="BE88" i="1"/>
  <c r="BD88" i="1"/>
  <c r="BC88" i="1"/>
  <c r="BB88" i="1"/>
  <c r="AY88" i="1"/>
  <c r="AL88" i="1"/>
  <c r="AK88" i="1" s="1"/>
  <c r="AC88" i="1"/>
  <c r="AA88" i="1"/>
  <c r="CF68" i="1"/>
  <c r="CC68" i="1"/>
  <c r="BZ68" i="1"/>
  <c r="CB68" i="1" s="1"/>
  <c r="BH68" i="1"/>
  <c r="BG68" i="1"/>
  <c r="BF68" i="1"/>
  <c r="BE68" i="1"/>
  <c r="BD68" i="1"/>
  <c r="BC68" i="1"/>
  <c r="BB68" i="1"/>
  <c r="AY68" i="1"/>
  <c r="AL68" i="1"/>
  <c r="AN68" i="1" s="1"/>
  <c r="AC68" i="1"/>
  <c r="AA68" i="1"/>
  <c r="CF85" i="1"/>
  <c r="CC85" i="1"/>
  <c r="BZ85" i="1"/>
  <c r="CB85" i="1" s="1"/>
  <c r="BH85" i="1"/>
  <c r="BG85" i="1"/>
  <c r="BF85" i="1"/>
  <c r="BE85" i="1"/>
  <c r="BD85" i="1"/>
  <c r="BC85" i="1"/>
  <c r="BB85" i="1"/>
  <c r="AY85" i="1"/>
  <c r="AL85" i="1"/>
  <c r="AN85" i="1" s="1"/>
  <c r="AC85" i="1"/>
  <c r="AA85" i="1"/>
  <c r="AC28" i="1"/>
  <c r="AC29" i="1"/>
  <c r="AC30" i="1"/>
  <c r="AC31" i="1"/>
  <c r="AC32" i="1"/>
  <c r="AC33" i="1"/>
  <c r="AC34" i="1"/>
  <c r="AC35" i="1"/>
  <c r="AC42" i="1"/>
  <c r="AC47" i="1"/>
  <c r="AC53" i="1"/>
  <c r="AC64" i="1"/>
  <c r="AC65" i="1"/>
  <c r="AC66" i="1"/>
  <c r="AC67" i="1"/>
  <c r="AC69" i="1"/>
  <c r="AC70" i="1"/>
  <c r="AC71" i="1"/>
  <c r="AC72" i="1"/>
  <c r="AC73" i="1"/>
  <c r="AC74" i="1"/>
  <c r="AC75" i="1"/>
  <c r="AC76" i="1"/>
  <c r="AC77" i="1"/>
  <c r="AC78" i="1"/>
  <c r="AC79" i="1"/>
  <c r="AC80" i="1"/>
  <c r="AC81" i="1"/>
  <c r="AC82" i="1"/>
  <c r="AC83" i="1"/>
  <c r="AC84" i="1"/>
  <c r="AC86" i="1"/>
  <c r="AC87" i="1"/>
  <c r="AC89" i="1"/>
  <c r="AC90" i="1"/>
  <c r="AC91" i="1"/>
  <c r="AC92" i="1"/>
  <c r="AC93" i="1"/>
  <c r="AC94" i="1"/>
  <c r="AC95" i="1"/>
  <c r="AC96" i="1"/>
  <c r="AC97" i="1"/>
  <c r="AC98" i="1"/>
  <c r="AC99" i="1"/>
  <c r="AC100" i="1"/>
  <c r="AC101" i="1"/>
  <c r="AC102" i="1"/>
  <c r="AC103" i="1"/>
  <c r="AC104" i="1"/>
  <c r="AC105" i="1"/>
  <c r="AC106" i="1"/>
  <c r="AC107" i="1"/>
  <c r="AC108" i="1"/>
  <c r="AC109" i="1"/>
  <c r="AC110" i="1"/>
  <c r="AC56" i="1"/>
  <c r="AC57" i="1"/>
  <c r="AC58" i="1"/>
  <c r="AC59" i="1"/>
  <c r="AC60" i="1"/>
  <c r="AC61" i="1"/>
  <c r="AC62" i="1"/>
  <c r="AC63" i="1"/>
  <c r="AC115" i="1"/>
  <c r="AC116" i="1"/>
  <c r="AC117"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237"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238"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9"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298" i="1"/>
  <c r="AC299" i="1"/>
  <c r="AC300" i="1"/>
  <c r="AC301" i="1"/>
  <c r="AC302" i="1"/>
  <c r="AC303" i="1"/>
  <c r="AC304" i="1"/>
  <c r="AC305" i="1"/>
  <c r="AC111" i="1"/>
  <c r="AC112" i="1"/>
  <c r="AC113" i="1"/>
  <c r="AC114" i="1"/>
  <c r="AC306" i="1"/>
  <c r="AC307" i="1"/>
  <c r="AC308" i="1"/>
  <c r="AC309" i="1"/>
  <c r="AC310" i="1"/>
  <c r="AC311" i="1"/>
  <c r="AC312" i="1"/>
  <c r="AC313" i="1"/>
  <c r="AC314" i="1"/>
  <c r="AC315" i="1"/>
  <c r="AC316" i="1"/>
  <c r="AC317" i="1"/>
  <c r="AC318" i="1"/>
  <c r="AC319" i="1"/>
  <c r="AC320" i="1"/>
  <c r="AC321" i="1"/>
  <c r="AC322" i="1"/>
  <c r="AC323" i="1"/>
  <c r="AC324" i="1"/>
  <c r="AC325" i="1"/>
  <c r="AC27" i="1"/>
  <c r="N28" i="2"/>
  <c r="CB305" i="1"/>
  <c r="BG305" i="1"/>
  <c r="BH305" i="1"/>
  <c r="BF305" i="1"/>
  <c r="AL305" i="1"/>
  <c r="AN305" i="1" s="1"/>
  <c r="BB305" i="1"/>
  <c r="AA305" i="1"/>
  <c r="BD305" i="1"/>
  <c r="BC305" i="1"/>
  <c r="CF305" i="1"/>
  <c r="AY305" i="1"/>
  <c r="BE305" i="1"/>
  <c r="CC305" i="1"/>
  <c r="BF324" i="1"/>
  <c r="AF324" i="1"/>
  <c r="CF324" i="1"/>
  <c r="CC324" i="1"/>
  <c r="BZ324" i="1"/>
  <c r="CB324" i="1" s="1"/>
  <c r="BH324" i="1"/>
  <c r="BG324" i="1"/>
  <c r="BE324" i="1"/>
  <c r="BD324" i="1"/>
  <c r="BC324" i="1"/>
  <c r="BB324" i="1"/>
  <c r="AY324" i="1"/>
  <c r="AL324" i="1"/>
  <c r="AN324" i="1" s="1"/>
  <c r="AA324" i="1"/>
  <c r="N27" i="2"/>
  <c r="AY4" i="1"/>
  <c r="AY5" i="1"/>
  <c r="AY6" i="1"/>
  <c r="AY7" i="1"/>
  <c r="AY8"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42" i="1"/>
  <c r="AY47" i="1"/>
  <c r="AY53" i="1"/>
  <c r="AY64" i="1"/>
  <c r="AY65" i="1"/>
  <c r="AY66" i="1"/>
  <c r="AY67" i="1"/>
  <c r="AY69" i="1"/>
  <c r="AY70" i="1"/>
  <c r="AY71" i="1"/>
  <c r="AY72" i="1"/>
  <c r="AY73" i="1"/>
  <c r="AY74" i="1"/>
  <c r="AY75" i="1"/>
  <c r="AY76" i="1"/>
  <c r="AY77" i="1"/>
  <c r="AY78" i="1"/>
  <c r="AY79" i="1"/>
  <c r="AY80" i="1"/>
  <c r="AY81" i="1"/>
  <c r="AY82" i="1"/>
  <c r="AY83" i="1"/>
  <c r="AY84" i="1"/>
  <c r="AY86" i="1"/>
  <c r="AY87" i="1"/>
  <c r="AY89" i="1"/>
  <c r="AY90" i="1"/>
  <c r="AY91" i="1"/>
  <c r="AY92" i="1"/>
  <c r="AY93" i="1"/>
  <c r="AY94" i="1"/>
  <c r="AY95" i="1"/>
  <c r="AY96" i="1"/>
  <c r="AY97" i="1"/>
  <c r="AY98" i="1"/>
  <c r="AY99" i="1"/>
  <c r="AY100" i="1"/>
  <c r="AY101" i="1"/>
  <c r="AY102" i="1"/>
  <c r="AY103" i="1"/>
  <c r="AY104" i="1"/>
  <c r="AY105" i="1"/>
  <c r="AY106" i="1"/>
  <c r="AY107" i="1"/>
  <c r="AY108" i="1"/>
  <c r="AY109" i="1"/>
  <c r="AY110" i="1"/>
  <c r="AY56" i="1"/>
  <c r="AY57" i="1"/>
  <c r="AY58" i="1"/>
  <c r="AY59" i="1"/>
  <c r="AY60" i="1"/>
  <c r="AY61" i="1"/>
  <c r="AY62" i="1"/>
  <c r="AY63" i="1"/>
  <c r="AY115" i="1"/>
  <c r="AY116" i="1"/>
  <c r="AY117" i="1"/>
  <c r="AY120" i="1"/>
  <c r="AY121" i="1"/>
  <c r="AY122" i="1"/>
  <c r="AY123" i="1"/>
  <c r="AY124" i="1"/>
  <c r="AY125" i="1"/>
  <c r="AY126" i="1"/>
  <c r="AY127" i="1"/>
  <c r="AY128" i="1"/>
  <c r="AY129" i="1"/>
  <c r="AY130" i="1"/>
  <c r="AY131" i="1"/>
  <c r="AY132" i="1"/>
  <c r="AY133" i="1"/>
  <c r="AY134" i="1"/>
  <c r="AY135" i="1"/>
  <c r="AY136" i="1"/>
  <c r="AY137" i="1"/>
  <c r="AY138" i="1"/>
  <c r="AY139" i="1"/>
  <c r="AY140" i="1"/>
  <c r="AY141" i="1"/>
  <c r="AY142" i="1"/>
  <c r="AY143" i="1"/>
  <c r="AY144" i="1"/>
  <c r="AY145" i="1"/>
  <c r="AY146" i="1"/>
  <c r="AY147" i="1"/>
  <c r="AY148" i="1"/>
  <c r="AY149" i="1"/>
  <c r="AY150" i="1"/>
  <c r="AY151" i="1"/>
  <c r="AY152" i="1"/>
  <c r="AY153" i="1"/>
  <c r="AY154" i="1"/>
  <c r="AY155" i="1"/>
  <c r="AY156" i="1"/>
  <c r="AY157" i="1"/>
  <c r="AY158" i="1"/>
  <c r="AY159" i="1"/>
  <c r="AY160" i="1"/>
  <c r="AY161" i="1"/>
  <c r="AY162" i="1"/>
  <c r="AY163" i="1"/>
  <c r="AY164" i="1"/>
  <c r="AY165" i="1"/>
  <c r="AY166" i="1"/>
  <c r="AY167" i="1"/>
  <c r="AY168" i="1"/>
  <c r="AY169" i="1"/>
  <c r="AY237" i="1"/>
  <c r="AY170" i="1"/>
  <c r="AY171" i="1"/>
  <c r="AY172" i="1"/>
  <c r="AY173" i="1"/>
  <c r="AY174" i="1"/>
  <c r="AY175" i="1"/>
  <c r="AY176" i="1"/>
  <c r="AY177" i="1"/>
  <c r="AY178" i="1"/>
  <c r="AY179" i="1"/>
  <c r="AY180" i="1"/>
  <c r="AY181" i="1"/>
  <c r="AY182" i="1"/>
  <c r="AY183" i="1"/>
  <c r="AY184" i="1"/>
  <c r="AY185" i="1"/>
  <c r="AY186" i="1"/>
  <c r="AY187" i="1"/>
  <c r="AY188" i="1"/>
  <c r="AY189" i="1"/>
  <c r="AY190" i="1"/>
  <c r="AY191" i="1"/>
  <c r="AY192" i="1"/>
  <c r="AY193" i="1"/>
  <c r="AY194" i="1"/>
  <c r="AY195" i="1"/>
  <c r="AY196" i="1"/>
  <c r="AY238" i="1"/>
  <c r="AY197" i="1"/>
  <c r="AY198" i="1"/>
  <c r="AY199" i="1"/>
  <c r="AY200" i="1"/>
  <c r="AY201" i="1"/>
  <c r="AY202" i="1"/>
  <c r="AY203" i="1"/>
  <c r="AY204" i="1"/>
  <c r="AY205" i="1"/>
  <c r="AY206" i="1"/>
  <c r="AY207" i="1"/>
  <c r="AY208" i="1"/>
  <c r="AY209" i="1"/>
  <c r="AY210" i="1"/>
  <c r="AY211" i="1"/>
  <c r="AY212" i="1"/>
  <c r="AY213" i="1"/>
  <c r="AY214" i="1"/>
  <c r="AY215" i="1"/>
  <c r="AY216" i="1"/>
  <c r="AY217" i="1"/>
  <c r="AY218" i="1"/>
  <c r="AY219" i="1"/>
  <c r="AY220" i="1"/>
  <c r="AY221" i="1"/>
  <c r="AY222" i="1"/>
  <c r="AY223" i="1"/>
  <c r="AY224" i="1"/>
  <c r="AY225" i="1"/>
  <c r="AY226" i="1"/>
  <c r="AY227" i="1"/>
  <c r="AY228" i="1"/>
  <c r="AY229" i="1"/>
  <c r="AY230" i="1"/>
  <c r="AY231" i="1"/>
  <c r="AY232" i="1"/>
  <c r="AY233" i="1"/>
  <c r="AY234" i="1"/>
  <c r="AY235" i="1"/>
  <c r="AY236" i="1"/>
  <c r="AY239" i="1"/>
  <c r="AY240" i="1"/>
  <c r="AY241" i="1"/>
  <c r="AY242" i="1"/>
  <c r="AY243" i="1"/>
  <c r="AY244" i="1"/>
  <c r="AY245" i="1"/>
  <c r="AY246" i="1"/>
  <c r="AY247" i="1"/>
  <c r="AY248" i="1"/>
  <c r="AY249" i="1"/>
  <c r="AY250" i="1"/>
  <c r="AY251" i="1"/>
  <c r="AY252" i="1"/>
  <c r="AY253" i="1"/>
  <c r="AY254" i="1"/>
  <c r="AY255" i="1"/>
  <c r="AY256" i="1"/>
  <c r="AY257" i="1"/>
  <c r="AY258" i="1"/>
  <c r="AY259" i="1"/>
  <c r="AY260" i="1"/>
  <c r="AY261" i="1"/>
  <c r="AY262" i="1"/>
  <c r="AY263" i="1"/>
  <c r="AY264" i="1"/>
  <c r="AY265" i="1"/>
  <c r="AY266" i="1"/>
  <c r="AY267" i="1"/>
  <c r="AY268" i="1"/>
  <c r="AY269" i="1"/>
  <c r="AY270" i="1"/>
  <c r="AY271" i="1"/>
  <c r="AY272" i="1"/>
  <c r="AY273" i="1"/>
  <c r="AY274" i="1"/>
  <c r="AY275" i="1"/>
  <c r="AY276" i="1"/>
  <c r="AY277" i="1"/>
  <c r="AY278" i="1"/>
  <c r="AY279" i="1"/>
  <c r="AY280" i="1"/>
  <c r="AY281" i="1"/>
  <c r="AY282" i="1"/>
  <c r="AY283" i="1"/>
  <c r="AY284" i="1"/>
  <c r="AY285" i="1"/>
  <c r="AY286" i="1"/>
  <c r="AY287" i="1"/>
  <c r="AY288" i="1"/>
  <c r="AY289" i="1"/>
  <c r="AY290" i="1"/>
  <c r="AY291" i="1"/>
  <c r="AY292" i="1"/>
  <c r="AY293" i="1"/>
  <c r="AY294" i="1"/>
  <c r="AY295" i="1"/>
  <c r="AY296" i="1"/>
  <c r="AY297" i="1"/>
  <c r="AY298" i="1"/>
  <c r="AY299" i="1"/>
  <c r="AY300" i="1"/>
  <c r="AY301" i="1"/>
  <c r="AY302" i="1"/>
  <c r="AY303" i="1"/>
  <c r="AY304" i="1"/>
  <c r="AY111" i="1"/>
  <c r="AY112" i="1"/>
  <c r="AY113" i="1"/>
  <c r="AY114" i="1"/>
  <c r="AY306" i="1"/>
  <c r="AY307" i="1"/>
  <c r="AY308" i="1"/>
  <c r="AY309" i="1"/>
  <c r="AY310" i="1"/>
  <c r="AY311" i="1"/>
  <c r="AY312" i="1"/>
  <c r="AY313" i="1"/>
  <c r="AY314" i="1"/>
  <c r="AY315" i="1"/>
  <c r="AY316" i="1"/>
  <c r="AY317" i="1"/>
  <c r="AY318" i="1"/>
  <c r="AY319" i="1"/>
  <c r="AY320" i="1"/>
  <c r="AY321" i="1"/>
  <c r="AY322" i="1"/>
  <c r="AY323" i="1"/>
  <c r="AY325" i="1"/>
  <c r="AY2" i="1"/>
  <c r="N26" i="2"/>
  <c r="CF140" i="1"/>
  <c r="CC140" i="1"/>
  <c r="BZ140" i="1"/>
  <c r="CB140" i="1" s="1"/>
  <c r="BH140" i="1"/>
  <c r="BG140" i="1"/>
  <c r="BF140" i="1"/>
  <c r="BE140" i="1"/>
  <c r="BD140" i="1"/>
  <c r="BC140" i="1"/>
  <c r="BB140" i="1"/>
  <c r="AL140" i="1"/>
  <c r="AA140" i="1"/>
  <c r="T140" i="1"/>
  <c r="V140" i="1" s="1"/>
  <c r="CF10" i="1"/>
  <c r="CC10" i="1"/>
  <c r="BZ10" i="1"/>
  <c r="CB10" i="1" s="1"/>
  <c r="BH10" i="1"/>
  <c r="BG10" i="1"/>
  <c r="BF10" i="1"/>
  <c r="BE10" i="1"/>
  <c r="BD10" i="1"/>
  <c r="BC10" i="1"/>
  <c r="BB10" i="1"/>
  <c r="AL10" i="1"/>
  <c r="AA10" i="1"/>
  <c r="CF128" i="1"/>
  <c r="CC128" i="1"/>
  <c r="BZ128" i="1"/>
  <c r="CB128" i="1" s="1"/>
  <c r="BH128" i="1"/>
  <c r="BG128" i="1"/>
  <c r="BF128" i="1"/>
  <c r="BE128" i="1"/>
  <c r="BD128" i="1"/>
  <c r="BC128" i="1"/>
  <c r="BB128" i="1"/>
  <c r="AL128" i="1"/>
  <c r="AA128" i="1"/>
  <c r="T128" i="1"/>
  <c r="V128" i="1" s="1"/>
  <c r="CB131" i="1"/>
  <c r="BH131" i="1"/>
  <c r="BG131" i="1"/>
  <c r="BF131" i="1"/>
  <c r="BC131" i="1"/>
  <c r="AL131" i="1"/>
  <c r="BB131" i="1"/>
  <c r="AA131" i="1"/>
  <c r="BD131" i="1"/>
  <c r="T131" i="1"/>
  <c r="V131" i="1" s="1"/>
  <c r="BE131" i="1"/>
  <c r="CC131" i="1"/>
  <c r="CF316" i="1"/>
  <c r="CC316" i="1"/>
  <c r="BZ316" i="1"/>
  <c r="CB316" i="1" s="1"/>
  <c r="BH316" i="1"/>
  <c r="BG316" i="1"/>
  <c r="BF316" i="1"/>
  <c r="BE316" i="1"/>
  <c r="BD316" i="1"/>
  <c r="BC316" i="1"/>
  <c r="BB316" i="1"/>
  <c r="AL316" i="1"/>
  <c r="AN316" i="1" s="1"/>
  <c r="W316" i="1"/>
  <c r="AA316" i="1" s="1"/>
  <c r="BJ37" i="1" l="1"/>
  <c r="BJ40" i="1"/>
  <c r="BJ38" i="1"/>
  <c r="BJ36" i="1"/>
  <c r="BJ39" i="1"/>
  <c r="AK36" i="1"/>
  <c r="AK39" i="1"/>
  <c r="AK37" i="1"/>
  <c r="BI40" i="1"/>
  <c r="BK40" i="1" s="1"/>
  <c r="CJ36" i="1"/>
  <c r="CJ37" i="1"/>
  <c r="CJ39" i="1"/>
  <c r="BL40" i="1"/>
  <c r="CJ40" i="1"/>
  <c r="CJ38" i="1"/>
  <c r="BL36" i="1"/>
  <c r="AK40" i="1"/>
  <c r="BL39" i="1"/>
  <c r="BL38" i="1"/>
  <c r="BL37" i="1"/>
  <c r="BI39" i="1"/>
  <c r="BK39" i="1" s="1"/>
  <c r="AK38" i="1"/>
  <c r="BI38" i="1"/>
  <c r="BK38" i="1" s="1"/>
  <c r="BI37" i="1"/>
  <c r="BK37" i="1" s="1"/>
  <c r="BI36" i="1"/>
  <c r="BK36" i="1" s="1"/>
  <c r="AN88" i="1"/>
  <c r="CD88" i="1" s="1" a="1"/>
  <c r="CD88" i="1" s="1"/>
  <c r="CJ88" i="1" s="1"/>
  <c r="AN10" i="1"/>
  <c r="AN128" i="1" s="1"/>
  <c r="CD128" i="1" s="1" a="1"/>
  <c r="CD128" i="1" s="1"/>
  <c r="CD316" i="1" a="1"/>
  <c r="CD316" i="1" s="1"/>
  <c r="CD68" i="1" a="1"/>
  <c r="CD68" i="1" s="1"/>
  <c r="CD85" i="1" a="1"/>
  <c r="CD85" i="1" s="1"/>
  <c r="CD324" i="1" a="1"/>
  <c r="CD324" i="1" s="1"/>
  <c r="CD3" i="1" a="1"/>
  <c r="CD3" i="1" s="1"/>
  <c r="CJ3" i="1" s="1"/>
  <c r="BJ3" i="1"/>
  <c r="BL3" i="1" s="1"/>
  <c r="AK3" i="1"/>
  <c r="BI3" i="1"/>
  <c r="BK3" i="1" s="1"/>
  <c r="BJ119" i="1"/>
  <c r="BL119" i="1" s="1"/>
  <c r="BI119" i="1"/>
  <c r="BK119" i="1" s="1"/>
  <c r="BJ118" i="1"/>
  <c r="BL118" i="1" s="1"/>
  <c r="AK119" i="1"/>
  <c r="AK118" i="1"/>
  <c r="BI118" i="1"/>
  <c r="BK118" i="1" s="1"/>
  <c r="BJ88" i="1"/>
  <c r="BL88" i="1" s="1"/>
  <c r="BI88" i="1"/>
  <c r="BK88" i="1" s="1"/>
  <c r="BJ68" i="1"/>
  <c r="BL68" i="1" s="1"/>
  <c r="BI68" i="1"/>
  <c r="BK68" i="1" s="1"/>
  <c r="BJ85" i="1"/>
  <c r="BL85" i="1" s="1"/>
  <c r="BI85" i="1"/>
  <c r="BK85" i="1" s="1"/>
  <c r="CD305" i="1" a="1"/>
  <c r="CD305" i="1" s="1"/>
  <c r="CE305" i="1"/>
  <c r="BI305" i="1"/>
  <c r="BK305" i="1" s="1"/>
  <c r="BJ305" i="1"/>
  <c r="BL305" i="1" s="1"/>
  <c r="BJ324" i="1"/>
  <c r="BL324" i="1" s="1"/>
  <c r="BI324" i="1"/>
  <c r="BK324" i="1" s="1"/>
  <c r="BJ140" i="1"/>
  <c r="BL140" i="1" s="1"/>
  <c r="BJ10" i="1"/>
  <c r="BL10" i="1" s="1"/>
  <c r="BI140" i="1"/>
  <c r="BK140" i="1" s="1"/>
  <c r="BI10" i="1"/>
  <c r="BK10" i="1" s="1"/>
  <c r="BI128" i="1"/>
  <c r="BK128" i="1" s="1"/>
  <c r="BJ128" i="1"/>
  <c r="BL128" i="1" s="1"/>
  <c r="BJ131" i="1"/>
  <c r="BL131" i="1" s="1"/>
  <c r="BI131" i="1"/>
  <c r="BK131" i="1" s="1"/>
  <c r="BJ316" i="1"/>
  <c r="BL316" i="1" s="1"/>
  <c r="BI316" i="1"/>
  <c r="BK316" i="1" s="1"/>
  <c r="CJ305" i="1" l="1"/>
  <c r="CD10" i="1" a="1"/>
  <c r="CD10" i="1" s="1"/>
  <c r="W307" i="1"/>
  <c r="N25" i="2" l="1"/>
  <c r="BZ325" i="1" l="1"/>
  <c r="CB325" i="1" s="1"/>
  <c r="BH325" i="1"/>
  <c r="BG325" i="1"/>
  <c r="BF325" i="1"/>
  <c r="AL325" i="1"/>
  <c r="BB325" i="1"/>
  <c r="AA325" i="1"/>
  <c r="BD325" i="1"/>
  <c r="BC325" i="1"/>
  <c r="CF325" i="1"/>
  <c r="BE325" i="1"/>
  <c r="CC325" i="1"/>
  <c r="AN325" i="1" l="1"/>
  <c r="CD325" i="1" s="1" a="1"/>
  <c r="CD325" i="1" s="1"/>
  <c r="BJ325" i="1"/>
  <c r="BL325" i="1" s="1"/>
  <c r="BI325" i="1"/>
  <c r="BK325" i="1" s="1"/>
  <c r="N24" i="2"/>
  <c r="W323" i="1" l="1"/>
  <c r="AA323" i="1" s="1"/>
  <c r="CF323" i="1"/>
  <c r="CC323" i="1"/>
  <c r="BZ323" i="1"/>
  <c r="CB323" i="1" s="1"/>
  <c r="BH323" i="1"/>
  <c r="BG323" i="1"/>
  <c r="BF323" i="1"/>
  <c r="BE323" i="1"/>
  <c r="BD323" i="1"/>
  <c r="BC323" i="1"/>
  <c r="BB323" i="1"/>
  <c r="AL323" i="1"/>
  <c r="AN323" i="1" l="1"/>
  <c r="CD323" i="1" s="1" a="1"/>
  <c r="CD323" i="1" s="1"/>
  <c r="BJ323" i="1"/>
  <c r="BL323" i="1" s="1"/>
  <c r="BI323" i="1"/>
  <c r="BK323" i="1" s="1"/>
  <c r="W321" i="1"/>
  <c r="CF260" i="1"/>
  <c r="CC260" i="1"/>
  <c r="BZ260" i="1"/>
  <c r="CB260" i="1" s="1"/>
  <c r="BH260" i="1"/>
  <c r="BG260" i="1"/>
  <c r="BF260" i="1"/>
  <c r="BE260" i="1"/>
  <c r="BD260" i="1"/>
  <c r="BB260" i="1"/>
  <c r="AL260" i="1"/>
  <c r="AA260" i="1"/>
  <c r="BC260" i="1"/>
  <c r="W320" i="1"/>
  <c r="AN260" i="1" l="1"/>
  <c r="CD260" i="1" s="1" a="1"/>
  <c r="CD260" i="1" s="1"/>
  <c r="BJ260" i="1"/>
  <c r="BL260" i="1" s="1"/>
  <c r="BI260" i="1"/>
  <c r="BK260" i="1" s="1"/>
  <c r="W319" i="1"/>
  <c r="W317" i="1" l="1"/>
  <c r="CC313" i="1"/>
  <c r="W318" i="1"/>
  <c r="W315" i="1"/>
  <c r="BF314" i="1" l="1"/>
  <c r="W314" i="1"/>
  <c r="W313" i="1"/>
  <c r="N23" i="2" l="1"/>
  <c r="W310" i="1"/>
  <c r="CE324" i="1" l="1"/>
  <c r="CJ324" i="1" s="1"/>
  <c r="CE316" i="1"/>
  <c r="CJ316" i="1" s="1"/>
  <c r="CE325" i="1"/>
  <c r="CJ325" i="1" s="1"/>
  <c r="CE323" i="1"/>
  <c r="CJ323" i="1" s="1"/>
  <c r="CF167" i="1"/>
  <c r="CC167" i="1"/>
  <c r="BZ167" i="1"/>
  <c r="CB167" i="1" s="1"/>
  <c r="BH167" i="1"/>
  <c r="BG167" i="1"/>
  <c r="BF167" i="1"/>
  <c r="BE167" i="1"/>
  <c r="BD167" i="1"/>
  <c r="BC167" i="1"/>
  <c r="BB167" i="1"/>
  <c r="AL167" i="1"/>
  <c r="AA167" i="1"/>
  <c r="BJ167" i="1" l="1"/>
  <c r="BL167" i="1" s="1"/>
  <c r="BI167" i="1"/>
  <c r="BK167" i="1" s="1"/>
  <c r="T129" i="1"/>
  <c r="V129" i="1" s="1"/>
  <c r="CF120" i="1"/>
  <c r="CC120" i="1"/>
  <c r="BZ120" i="1"/>
  <c r="CB120" i="1" s="1"/>
  <c r="BH120" i="1"/>
  <c r="BG120" i="1"/>
  <c r="BF120" i="1"/>
  <c r="BE120" i="1"/>
  <c r="BD120" i="1"/>
  <c r="BC120" i="1"/>
  <c r="BB120" i="1"/>
  <c r="AL120" i="1"/>
  <c r="AA120" i="1"/>
  <c r="AN120" i="1" l="1"/>
  <c r="CD120" i="1" s="1" a="1"/>
  <c r="CD120" i="1" s="1"/>
  <c r="BJ120" i="1"/>
  <c r="BL120" i="1" s="1"/>
  <c r="BI120" i="1"/>
  <c r="BK120" i="1" s="1"/>
  <c r="CF116" i="1"/>
  <c r="CC116" i="1"/>
  <c r="BZ116" i="1"/>
  <c r="CB116" i="1" s="1"/>
  <c r="BH116" i="1"/>
  <c r="BG116" i="1"/>
  <c r="BF116" i="1"/>
  <c r="BE116" i="1"/>
  <c r="BD116" i="1"/>
  <c r="BC116" i="1"/>
  <c r="BB116" i="1"/>
  <c r="AL116" i="1"/>
  <c r="AA116" i="1"/>
  <c r="T117" i="1"/>
  <c r="V117" i="1" s="1"/>
  <c r="AA117" i="1"/>
  <c r="AL117" i="1"/>
  <c r="AN117" i="1" s="1"/>
  <c r="BB117" i="1"/>
  <c r="BC117" i="1"/>
  <c r="BD117" i="1"/>
  <c r="BE117" i="1"/>
  <c r="BF117" i="1"/>
  <c r="BG117" i="1"/>
  <c r="BH117" i="1"/>
  <c r="BZ117" i="1"/>
  <c r="CB117" i="1" s="1"/>
  <c r="CC117" i="1"/>
  <c r="CF117" i="1"/>
  <c r="N22" i="2"/>
  <c r="CE120" i="1" s="1"/>
  <c r="CF115" i="1"/>
  <c r="CC115" i="1"/>
  <c r="BZ115" i="1"/>
  <c r="CB115" i="1" s="1"/>
  <c r="BH115" i="1"/>
  <c r="BG115" i="1"/>
  <c r="BF115" i="1"/>
  <c r="BE115" i="1"/>
  <c r="BD115" i="1"/>
  <c r="BC115" i="1"/>
  <c r="BB115" i="1"/>
  <c r="AL115" i="1"/>
  <c r="AA115" i="1"/>
  <c r="N21" i="2"/>
  <c r="N20" i="2"/>
  <c r="CF4" i="1"/>
  <c r="CC4" i="1"/>
  <c r="BZ4" i="1"/>
  <c r="CB4" i="1" s="1"/>
  <c r="BH4" i="1"/>
  <c r="BG4" i="1"/>
  <c r="BF4" i="1"/>
  <c r="BE4" i="1"/>
  <c r="BD4" i="1"/>
  <c r="BC4" i="1"/>
  <c r="BB4" i="1"/>
  <c r="AL4" i="1"/>
  <c r="AA4" i="1"/>
  <c r="CF56" i="1"/>
  <c r="CC56" i="1"/>
  <c r="BZ56" i="1"/>
  <c r="CB56" i="1" s="1"/>
  <c r="BH56" i="1"/>
  <c r="BG56" i="1"/>
  <c r="BF56" i="1"/>
  <c r="BE56" i="1"/>
  <c r="BD56" i="1"/>
  <c r="BC56" i="1"/>
  <c r="BB56" i="1"/>
  <c r="AL56" i="1"/>
  <c r="AA56" i="1"/>
  <c r="CF27" i="1"/>
  <c r="CC27" i="1"/>
  <c r="BZ27" i="1"/>
  <c r="CB27" i="1" s="1"/>
  <c r="BH27" i="1"/>
  <c r="BG27" i="1"/>
  <c r="BF27" i="1"/>
  <c r="BE27" i="1"/>
  <c r="BD27" i="1"/>
  <c r="BC27" i="1"/>
  <c r="BB27" i="1"/>
  <c r="AL27" i="1"/>
  <c r="AA27" i="1"/>
  <c r="CF5" i="1"/>
  <c r="CC5" i="1"/>
  <c r="BZ5" i="1"/>
  <c r="CB5" i="1" s="1"/>
  <c r="BH5" i="1"/>
  <c r="BG5" i="1"/>
  <c r="BF5" i="1"/>
  <c r="BE5" i="1"/>
  <c r="BD5" i="1"/>
  <c r="BC5" i="1"/>
  <c r="BB5" i="1"/>
  <c r="AL5" i="1"/>
  <c r="AA5" i="1"/>
  <c r="T121" i="1"/>
  <c r="V121" i="1" s="1"/>
  <c r="AA121" i="1"/>
  <c r="CF123" i="1"/>
  <c r="CC123" i="1"/>
  <c r="BZ123" i="1"/>
  <c r="CB123" i="1" s="1"/>
  <c r="BH123" i="1"/>
  <c r="BG123" i="1"/>
  <c r="BF123" i="1"/>
  <c r="BE123" i="1"/>
  <c r="BD123" i="1"/>
  <c r="BC123" i="1"/>
  <c r="BB123" i="1"/>
  <c r="AL123" i="1"/>
  <c r="AA123" i="1"/>
  <c r="T123" i="1"/>
  <c r="V123" i="1" s="1"/>
  <c r="T122" i="1"/>
  <c r="V122" i="1" s="1"/>
  <c r="CF6" i="1"/>
  <c r="CC6" i="1"/>
  <c r="BZ6" i="1"/>
  <c r="CB6" i="1" s="1"/>
  <c r="BH6" i="1"/>
  <c r="BG6" i="1"/>
  <c r="BF6" i="1"/>
  <c r="BE6" i="1"/>
  <c r="BD6" i="1"/>
  <c r="BC6" i="1"/>
  <c r="BB6" i="1"/>
  <c r="AL6" i="1"/>
  <c r="AA6" i="1"/>
  <c r="CF101" i="1"/>
  <c r="CC101" i="1"/>
  <c r="BZ101" i="1"/>
  <c r="CB101" i="1" s="1"/>
  <c r="BH101" i="1"/>
  <c r="BG101" i="1"/>
  <c r="BF101" i="1"/>
  <c r="BE101" i="1"/>
  <c r="BD101" i="1"/>
  <c r="BC101" i="1"/>
  <c r="BB101" i="1"/>
  <c r="AL101" i="1"/>
  <c r="AA101" i="1"/>
  <c r="BJ56" i="1" l="1"/>
  <c r="CJ120" i="1"/>
  <c r="AN4" i="1"/>
  <c r="AN101" i="1"/>
  <c r="CD101" i="1" s="1" a="1"/>
  <c r="CD101" i="1" s="1"/>
  <c r="AN6" i="1"/>
  <c r="CD6" i="1" s="1" a="1"/>
  <c r="CD6" i="1" s="1"/>
  <c r="AN116" i="1"/>
  <c r="CD116" i="1" s="1" a="1"/>
  <c r="CD116" i="1" s="1"/>
  <c r="AN56" i="1"/>
  <c r="CD56" i="1" s="1" a="1"/>
  <c r="CD56" i="1" s="1"/>
  <c r="AN115" i="1"/>
  <c r="CD115" i="1" s="1" a="1"/>
  <c r="CD115" i="1" s="1"/>
  <c r="AN5" i="1"/>
  <c r="AN27" i="1"/>
  <c r="CD27" i="1" s="1" a="1"/>
  <c r="CD27" i="1" s="1"/>
  <c r="CD117" i="1" a="1"/>
  <c r="CD117" i="1" s="1"/>
  <c r="CE117" i="1"/>
  <c r="CE115" i="1"/>
  <c r="CE27" i="1"/>
  <c r="CE116" i="1"/>
  <c r="BI117" i="1"/>
  <c r="BK117" i="1" s="1"/>
  <c r="BI116" i="1"/>
  <c r="BK116" i="1" s="1"/>
  <c r="BJ117" i="1"/>
  <c r="BL117" i="1" s="1"/>
  <c r="BJ116" i="1"/>
  <c r="BL116" i="1" s="1"/>
  <c r="BJ115" i="1"/>
  <c r="BL115" i="1" s="1"/>
  <c r="BI115" i="1"/>
  <c r="BK115" i="1" s="1"/>
  <c r="CE56" i="1"/>
  <c r="BI5" i="1"/>
  <c r="BK5" i="1" s="1"/>
  <c r="BI56" i="1"/>
  <c r="BK56" i="1" s="1"/>
  <c r="BJ4" i="1"/>
  <c r="BL4" i="1" s="1"/>
  <c r="BI4" i="1"/>
  <c r="BK4" i="1" s="1"/>
  <c r="BL56" i="1"/>
  <c r="BJ27" i="1"/>
  <c r="BL27" i="1" s="1"/>
  <c r="BJ5" i="1"/>
  <c r="BL5" i="1" s="1"/>
  <c r="BI27" i="1"/>
  <c r="BK27" i="1" s="1"/>
  <c r="BJ123" i="1"/>
  <c r="BL123" i="1" s="1"/>
  <c r="BI123" i="1"/>
  <c r="BK123" i="1" s="1"/>
  <c r="BI6" i="1"/>
  <c r="BK6" i="1" s="1"/>
  <c r="BJ6" i="1"/>
  <c r="BL6" i="1" s="1"/>
  <c r="BJ101" i="1"/>
  <c r="BL101" i="1" s="1"/>
  <c r="BI101" i="1"/>
  <c r="BK101" i="1" s="1"/>
  <c r="CF79" i="1"/>
  <c r="CC79" i="1"/>
  <c r="BZ79" i="1"/>
  <c r="CB79" i="1" s="1"/>
  <c r="BH79" i="1"/>
  <c r="BG79" i="1"/>
  <c r="BF79" i="1"/>
  <c r="BE79" i="1"/>
  <c r="BD79" i="1"/>
  <c r="BC79" i="1"/>
  <c r="BB79" i="1"/>
  <c r="AL79" i="1"/>
  <c r="AA79" i="1"/>
  <c r="CF111" i="1"/>
  <c r="CC111" i="1"/>
  <c r="CE111" i="1" s="1"/>
  <c r="BZ111" i="1"/>
  <c r="CB111" i="1" s="1"/>
  <c r="BH111" i="1"/>
  <c r="BG111" i="1"/>
  <c r="BF111" i="1"/>
  <c r="BE111" i="1"/>
  <c r="BD111" i="1"/>
  <c r="BC111" i="1"/>
  <c r="BB111" i="1"/>
  <c r="AL111" i="1"/>
  <c r="AA111" i="1"/>
  <c r="N19" i="2"/>
  <c r="CE101" i="1" s="1"/>
  <c r="CF64" i="1"/>
  <c r="CC64" i="1"/>
  <c r="BZ64" i="1"/>
  <c r="CB64" i="1" s="1"/>
  <c r="BH64" i="1"/>
  <c r="BG64" i="1"/>
  <c r="BF64" i="1"/>
  <c r="BE64" i="1"/>
  <c r="BD64" i="1"/>
  <c r="BC64" i="1"/>
  <c r="BB64" i="1"/>
  <c r="AL64" i="1"/>
  <c r="AA64" i="1"/>
  <c r="T124" i="1"/>
  <c r="V124" i="1" s="1"/>
  <c r="CF7" i="1"/>
  <c r="CC7" i="1"/>
  <c r="BZ7" i="1"/>
  <c r="CB7" i="1" s="1"/>
  <c r="BH7" i="1"/>
  <c r="BG7" i="1"/>
  <c r="BF7" i="1"/>
  <c r="BE7" i="1"/>
  <c r="BD7" i="1"/>
  <c r="BC7" i="1"/>
  <c r="BB7" i="1"/>
  <c r="AL7" i="1"/>
  <c r="AA7" i="1"/>
  <c r="T126" i="1"/>
  <c r="V126" i="1" s="1"/>
  <c r="CF8" i="1"/>
  <c r="CC8" i="1"/>
  <c r="BZ8" i="1"/>
  <c r="CB8" i="1" s="1"/>
  <c r="BH8" i="1"/>
  <c r="BG8" i="1"/>
  <c r="BF8" i="1"/>
  <c r="BE8" i="1"/>
  <c r="BD8" i="1"/>
  <c r="BC8" i="1"/>
  <c r="BB8" i="1"/>
  <c r="AL8" i="1"/>
  <c r="AA8" i="1"/>
  <c r="T125" i="1"/>
  <c r="V125" i="1" s="1"/>
  <c r="CF9" i="1"/>
  <c r="CC9" i="1"/>
  <c r="BZ9" i="1"/>
  <c r="CB9" i="1" s="1"/>
  <c r="BH9" i="1"/>
  <c r="BG9" i="1"/>
  <c r="BF9" i="1"/>
  <c r="BE9" i="1"/>
  <c r="BD9" i="1"/>
  <c r="BC9" i="1"/>
  <c r="BB9" i="1"/>
  <c r="AL9" i="1"/>
  <c r="AA9" i="1"/>
  <c r="T127" i="1"/>
  <c r="V127" i="1" s="1"/>
  <c r="CJ101" i="1" l="1"/>
  <c r="CJ56" i="1"/>
  <c r="CJ116" i="1"/>
  <c r="CJ115" i="1"/>
  <c r="CJ27" i="1"/>
  <c r="CJ117" i="1"/>
  <c r="AN123" i="1"/>
  <c r="CD123" i="1" s="1" a="1"/>
  <c r="CD123" i="1" s="1"/>
  <c r="AN9" i="1"/>
  <c r="AN64" i="1"/>
  <c r="CD64" i="1" s="1" a="1"/>
  <c r="CD64" i="1" s="1"/>
  <c r="AN8" i="1"/>
  <c r="CD8" i="1" s="1" a="1"/>
  <c r="CD8" i="1" s="1"/>
  <c r="AN111" i="1"/>
  <c r="CD111" i="1" s="1" a="1"/>
  <c r="CD111" i="1" s="1"/>
  <c r="CJ111" i="1" s="1"/>
  <c r="AN7" i="1"/>
  <c r="AN118" i="1"/>
  <c r="CD118" i="1" s="1" a="1"/>
  <c r="CD118" i="1" s="1"/>
  <c r="CJ118" i="1" s="1"/>
  <c r="AN119" i="1"/>
  <c r="CD119" i="1" s="1" a="1"/>
  <c r="CD119" i="1" s="1"/>
  <c r="CJ119" i="1" s="1"/>
  <c r="AN79" i="1"/>
  <c r="CD79" i="1" s="1" a="1"/>
  <c r="CD79" i="1" s="1"/>
  <c r="CD5" i="1" a="1"/>
  <c r="CD5" i="1" s="1"/>
  <c r="CD4" i="1" a="1"/>
  <c r="CD4" i="1" s="1"/>
  <c r="CE64" i="1"/>
  <c r="CE79" i="1"/>
  <c r="BI79" i="1"/>
  <c r="BK79" i="1" s="1"/>
  <c r="BJ79" i="1"/>
  <c r="BL79" i="1" s="1"/>
  <c r="BJ7" i="1"/>
  <c r="BL7" i="1" s="1"/>
  <c r="BJ111" i="1"/>
  <c r="BL111" i="1" s="1"/>
  <c r="BI9" i="1"/>
  <c r="BK9" i="1" s="1"/>
  <c r="BI7" i="1"/>
  <c r="BK7" i="1" s="1"/>
  <c r="BI111" i="1"/>
  <c r="BK111" i="1" s="1"/>
  <c r="BJ64" i="1"/>
  <c r="BL64" i="1" s="1"/>
  <c r="BI64" i="1"/>
  <c r="BK64" i="1" s="1"/>
  <c r="BJ8" i="1"/>
  <c r="BL8" i="1" s="1"/>
  <c r="BI8" i="1"/>
  <c r="BK8" i="1" s="1"/>
  <c r="BJ9" i="1"/>
  <c r="BL9" i="1" s="1"/>
  <c r="T130" i="1"/>
  <c r="V130" i="1" s="1"/>
  <c r="T135" i="1"/>
  <c r="V135" i="1" s="1"/>
  <c r="CJ64" i="1" l="1"/>
  <c r="CJ79" i="1"/>
  <c r="CD7" i="1" a="1"/>
  <c r="CD7" i="1" s="1"/>
  <c r="AN131" i="1"/>
  <c r="CD131" i="1" s="1" a="1"/>
  <c r="CD131" i="1" s="1"/>
  <c r="CD9" i="1" a="1"/>
  <c r="CD9" i="1" s="1"/>
  <c r="T134" i="1"/>
  <c r="V134" i="1" s="1"/>
  <c r="BB134" i="1"/>
  <c r="CF112" i="1" l="1"/>
  <c r="CC112" i="1"/>
  <c r="BZ112" i="1"/>
  <c r="CB112" i="1" s="1"/>
  <c r="BH112" i="1"/>
  <c r="BG112" i="1"/>
  <c r="BF112" i="1"/>
  <c r="BE112" i="1"/>
  <c r="BD112" i="1"/>
  <c r="BC112" i="1"/>
  <c r="BB112" i="1"/>
  <c r="AL112" i="1"/>
  <c r="AA112" i="1"/>
  <c r="T132" i="1"/>
  <c r="V132" i="1" s="1"/>
  <c r="CF58" i="1"/>
  <c r="CC58" i="1"/>
  <c r="BZ58" i="1"/>
  <c r="CB58" i="1" s="1"/>
  <c r="BH58" i="1"/>
  <c r="BG58" i="1"/>
  <c r="BF58" i="1"/>
  <c r="BE58" i="1"/>
  <c r="BD58" i="1"/>
  <c r="BC58" i="1"/>
  <c r="BB58" i="1"/>
  <c r="AL58" i="1"/>
  <c r="AA58" i="1"/>
  <c r="CF57" i="1"/>
  <c r="CC57" i="1"/>
  <c r="BZ57" i="1"/>
  <c r="CB57" i="1" s="1"/>
  <c r="BH57" i="1"/>
  <c r="BG57" i="1"/>
  <c r="BF57" i="1"/>
  <c r="BE57" i="1"/>
  <c r="BD57" i="1"/>
  <c r="BC57" i="1"/>
  <c r="BB57" i="1"/>
  <c r="AL57" i="1"/>
  <c r="AA57" i="1"/>
  <c r="CF133" i="1"/>
  <c r="CC133" i="1"/>
  <c r="BZ133" i="1"/>
  <c r="CB133" i="1" s="1"/>
  <c r="BH133" i="1"/>
  <c r="BG133" i="1"/>
  <c r="BF133" i="1"/>
  <c r="BE133" i="1"/>
  <c r="BD133" i="1"/>
  <c r="BC133" i="1"/>
  <c r="BB133" i="1"/>
  <c r="AL133" i="1"/>
  <c r="AA133" i="1"/>
  <c r="T133" i="1"/>
  <c r="V133" i="1" s="1"/>
  <c r="CF11" i="1"/>
  <c r="CC11" i="1"/>
  <c r="BZ11" i="1"/>
  <c r="CB11" i="1" s="1"/>
  <c r="BH11" i="1"/>
  <c r="BG11" i="1"/>
  <c r="BF11" i="1"/>
  <c r="BE11" i="1"/>
  <c r="BD11" i="1"/>
  <c r="BC11" i="1"/>
  <c r="BB11" i="1"/>
  <c r="AL11" i="1"/>
  <c r="AA11" i="1"/>
  <c r="T136" i="1"/>
  <c r="V136" i="1" s="1"/>
  <c r="T137" i="1"/>
  <c r="BJ57" i="1" l="1"/>
  <c r="AN112" i="1"/>
  <c r="CD112" i="1" s="1" a="1"/>
  <c r="CD112" i="1" s="1"/>
  <c r="AN11" i="1"/>
  <c r="AN58" i="1"/>
  <c r="CD58" i="1" s="1" a="1"/>
  <c r="CD58" i="1" s="1"/>
  <c r="AN57" i="1"/>
  <c r="CD57" i="1" s="1" a="1"/>
  <c r="CD57" i="1" s="1"/>
  <c r="BJ112" i="1"/>
  <c r="BL112" i="1" s="1"/>
  <c r="BI112" i="1"/>
  <c r="BK112" i="1" s="1"/>
  <c r="BJ58" i="1"/>
  <c r="BL58" i="1" s="1"/>
  <c r="BL57" i="1"/>
  <c r="BI57" i="1"/>
  <c r="BK57" i="1" s="1"/>
  <c r="BI58" i="1"/>
  <c r="BK58" i="1" s="1"/>
  <c r="BJ133" i="1"/>
  <c r="BL133" i="1" s="1"/>
  <c r="BI133" i="1"/>
  <c r="BK133" i="1" s="1"/>
  <c r="BJ11" i="1"/>
  <c r="BL11" i="1" s="1"/>
  <c r="BI11" i="1"/>
  <c r="BK11" i="1" s="1"/>
  <c r="V137" i="1"/>
  <c r="T138" i="1"/>
  <c r="V138" i="1" s="1"/>
  <c r="AN133" i="1" l="1"/>
  <c r="CD133" i="1" s="1" a="1"/>
  <c r="CD133" i="1" s="1"/>
  <c r="AN140" i="1"/>
  <c r="CD140" i="1" s="1" a="1"/>
  <c r="CD140" i="1" s="1"/>
  <c r="CD11" i="1" a="1"/>
  <c r="CD11" i="1" s="1"/>
  <c r="BG289" i="1"/>
  <c r="N18" i="2"/>
  <c r="AL289" i="1"/>
  <c r="BB289" i="1"/>
  <c r="BC289" i="1"/>
  <c r="BD289" i="1"/>
  <c r="BE289" i="1"/>
  <c r="BF289" i="1"/>
  <c r="BH289" i="1"/>
  <c r="BZ289" i="1"/>
  <c r="CB289" i="1" s="1"/>
  <c r="CC289" i="1"/>
  <c r="CE289" i="1" s="1"/>
  <c r="AA289" i="1"/>
  <c r="AN289" i="1" l="1"/>
  <c r="CD289" i="1" s="1" a="1"/>
  <c r="CD289" i="1" s="1"/>
  <c r="CJ289" i="1" s="1"/>
  <c r="BI289" i="1"/>
  <c r="BK289" i="1" s="1"/>
  <c r="BJ289" i="1"/>
  <c r="BL289" i="1" s="1"/>
  <c r="BE309" i="1"/>
  <c r="BE12" i="1"/>
  <c r="BE13" i="1"/>
  <c r="BE14" i="1"/>
  <c r="BE15" i="1"/>
  <c r="BE16" i="1"/>
  <c r="BE17" i="1"/>
  <c r="BE18" i="1"/>
  <c r="BE19" i="1"/>
  <c r="BE20" i="1"/>
  <c r="BE21" i="1"/>
  <c r="BE22" i="1"/>
  <c r="BE23" i="1"/>
  <c r="BE24" i="1"/>
  <c r="BE25" i="1"/>
  <c r="BE26" i="1"/>
  <c r="BE31" i="1"/>
  <c r="BE32" i="1"/>
  <c r="BE33" i="1"/>
  <c r="BE34" i="1"/>
  <c r="BE35" i="1"/>
  <c r="BE42" i="1"/>
  <c r="BE47" i="1"/>
  <c r="BE53" i="1"/>
  <c r="BE65" i="1"/>
  <c r="BE66" i="1"/>
  <c r="BE67" i="1"/>
  <c r="BE69" i="1"/>
  <c r="BE70" i="1"/>
  <c r="BE71" i="1"/>
  <c r="BE72" i="1"/>
  <c r="BE73" i="1"/>
  <c r="BE74" i="1"/>
  <c r="BE75" i="1"/>
  <c r="BE76" i="1"/>
  <c r="BE77" i="1"/>
  <c r="BE78" i="1"/>
  <c r="BE80" i="1"/>
  <c r="BE81" i="1"/>
  <c r="BE82" i="1"/>
  <c r="BE83" i="1"/>
  <c r="BE84" i="1"/>
  <c r="BE86" i="1"/>
  <c r="BE87" i="1"/>
  <c r="BE89" i="1"/>
  <c r="BE90" i="1"/>
  <c r="BE91" i="1"/>
  <c r="BE92" i="1"/>
  <c r="BE93" i="1"/>
  <c r="BE94" i="1"/>
  <c r="BE95" i="1"/>
  <c r="BE96" i="1"/>
  <c r="BE97" i="1"/>
  <c r="BE98" i="1"/>
  <c r="BE99" i="1"/>
  <c r="BE100" i="1"/>
  <c r="BE102" i="1"/>
  <c r="BE103" i="1"/>
  <c r="BE104" i="1"/>
  <c r="BE105" i="1"/>
  <c r="BE106" i="1"/>
  <c r="BE107" i="1"/>
  <c r="BE108" i="1"/>
  <c r="BE109" i="1"/>
  <c r="BE110" i="1"/>
  <c r="BE59" i="1"/>
  <c r="BE60" i="1"/>
  <c r="BE61" i="1"/>
  <c r="BE62" i="1"/>
  <c r="BE63" i="1"/>
  <c r="BE121" i="1"/>
  <c r="BE122" i="1"/>
  <c r="BE124" i="1"/>
  <c r="BE125" i="1"/>
  <c r="BE126" i="1"/>
  <c r="BE127" i="1"/>
  <c r="BE129" i="1"/>
  <c r="BE130" i="1"/>
  <c r="BE132" i="1"/>
  <c r="BE134" i="1"/>
  <c r="BE135" i="1"/>
  <c r="BE136" i="1"/>
  <c r="BE137" i="1"/>
  <c r="BE138" i="1"/>
  <c r="BE139" i="1"/>
  <c r="BE141" i="1"/>
  <c r="BE142" i="1"/>
  <c r="BE143" i="1"/>
  <c r="BE144" i="1"/>
  <c r="BE145" i="1"/>
  <c r="BE146" i="1"/>
  <c r="BE147" i="1"/>
  <c r="BE148" i="1"/>
  <c r="BE149" i="1"/>
  <c r="BE150" i="1"/>
  <c r="BE151" i="1"/>
  <c r="BE152" i="1"/>
  <c r="BE153" i="1"/>
  <c r="BE154" i="1"/>
  <c r="BE155" i="1"/>
  <c r="BE156" i="1"/>
  <c r="BE157" i="1"/>
  <c r="BE158" i="1"/>
  <c r="BE159" i="1"/>
  <c r="BE160" i="1"/>
  <c r="BE161" i="1"/>
  <c r="BE162" i="1"/>
  <c r="BE163" i="1"/>
  <c r="BE164" i="1"/>
  <c r="BE165" i="1"/>
  <c r="BE166" i="1"/>
  <c r="BE168" i="1"/>
  <c r="BE169" i="1"/>
  <c r="BE237"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238" i="1"/>
  <c r="BE197" i="1"/>
  <c r="BE198" i="1"/>
  <c r="BE199" i="1"/>
  <c r="BE200" i="1"/>
  <c r="BE201" i="1"/>
  <c r="BE202" i="1"/>
  <c r="BE203" i="1"/>
  <c r="BE204" i="1"/>
  <c r="BE205" i="1"/>
  <c r="BE206" i="1"/>
  <c r="BE207" i="1"/>
  <c r="BE208" i="1"/>
  <c r="BE209" i="1"/>
  <c r="BE210" i="1"/>
  <c r="BE211" i="1"/>
  <c r="BE212" i="1"/>
  <c r="BE213" i="1"/>
  <c r="BE214" i="1"/>
  <c r="BE215" i="1"/>
  <c r="BE216" i="1"/>
  <c r="BE217" i="1"/>
  <c r="BE218" i="1"/>
  <c r="BE219" i="1"/>
  <c r="BE220" i="1"/>
  <c r="BE221" i="1"/>
  <c r="BE222" i="1"/>
  <c r="BE223" i="1"/>
  <c r="BE224" i="1"/>
  <c r="BE225" i="1"/>
  <c r="BE226" i="1"/>
  <c r="BE227" i="1"/>
  <c r="BE228" i="1"/>
  <c r="BE230" i="1"/>
  <c r="BE231" i="1"/>
  <c r="BE232" i="1"/>
  <c r="BE233" i="1"/>
  <c r="BE234" i="1"/>
  <c r="BE235" i="1"/>
  <c r="BE236" i="1"/>
  <c r="BE239" i="1"/>
  <c r="BE240" i="1"/>
  <c r="BE241" i="1"/>
  <c r="BE242" i="1"/>
  <c r="BE243" i="1"/>
  <c r="BE244" i="1"/>
  <c r="BE245" i="1"/>
  <c r="BE246" i="1"/>
  <c r="BE247" i="1"/>
  <c r="BE248" i="1"/>
  <c r="BE249" i="1"/>
  <c r="BE250" i="1"/>
  <c r="BE251" i="1"/>
  <c r="BE252" i="1"/>
  <c r="BE253" i="1"/>
  <c r="BE254" i="1"/>
  <c r="BE255" i="1"/>
  <c r="BE256" i="1"/>
  <c r="BE257" i="1"/>
  <c r="BE258" i="1"/>
  <c r="BE259" i="1"/>
  <c r="BE261" i="1"/>
  <c r="BE262" i="1"/>
  <c r="BE263" i="1"/>
  <c r="BE264" i="1"/>
  <c r="BE265" i="1"/>
  <c r="BE266" i="1"/>
  <c r="BE267" i="1"/>
  <c r="BE268" i="1"/>
  <c r="BE269" i="1"/>
  <c r="BE270" i="1"/>
  <c r="BE271" i="1"/>
  <c r="BE272" i="1"/>
  <c r="BE273" i="1"/>
  <c r="BE274" i="1"/>
  <c r="BE275" i="1"/>
  <c r="BE276" i="1"/>
  <c r="BE277" i="1"/>
  <c r="BE278" i="1"/>
  <c r="BE279" i="1"/>
  <c r="BE280" i="1"/>
  <c r="BE281" i="1"/>
  <c r="BE282" i="1"/>
  <c r="BE283" i="1"/>
  <c r="BE284" i="1"/>
  <c r="BE285" i="1"/>
  <c r="BE286" i="1"/>
  <c r="BE287" i="1"/>
  <c r="BE288" i="1"/>
  <c r="BE290" i="1"/>
  <c r="BE291" i="1"/>
  <c r="BE292" i="1"/>
  <c r="BE293" i="1"/>
  <c r="BE304" i="1"/>
  <c r="BE294" i="1"/>
  <c r="BE295" i="1"/>
  <c r="BE296" i="1"/>
  <c r="BE113" i="1"/>
  <c r="BE114" i="1"/>
  <c r="BE28" i="1"/>
  <c r="BE29" i="1"/>
  <c r="BE30" i="1"/>
  <c r="BE306" i="1"/>
  <c r="BE307" i="1"/>
  <c r="BE308" i="1"/>
  <c r="BE298" i="1"/>
  <c r="BE301" i="1"/>
  <c r="BE302" i="1"/>
  <c r="BE300" i="1"/>
  <c r="BE297" i="1"/>
  <c r="BE303" i="1"/>
  <c r="BE299" i="1"/>
  <c r="BE310" i="1"/>
  <c r="BE311" i="1"/>
  <c r="BE312" i="1"/>
  <c r="BE313" i="1"/>
  <c r="BE314" i="1"/>
  <c r="BE315" i="1"/>
  <c r="BE317" i="1"/>
  <c r="BE318" i="1"/>
  <c r="BE321" i="1"/>
  <c r="BE322" i="1"/>
  <c r="BE320" i="1"/>
  <c r="BE319" i="1"/>
  <c r="BE229" i="1"/>
  <c r="BE2" i="1"/>
  <c r="CF291" i="1" l="1"/>
  <c r="CC291" i="1"/>
  <c r="BZ291" i="1"/>
  <c r="CB291" i="1" s="1"/>
  <c r="BH291" i="1"/>
  <c r="BG291" i="1"/>
  <c r="BF291" i="1"/>
  <c r="BD291" i="1"/>
  <c r="BB291" i="1"/>
  <c r="AL291" i="1"/>
  <c r="AA291" i="1"/>
  <c r="N291" i="1"/>
  <c r="BC291" i="1" s="1"/>
  <c r="CC277" i="1"/>
  <c r="BZ277" i="1"/>
  <c r="CB277" i="1" s="1"/>
  <c r="BH277" i="1"/>
  <c r="BG277" i="1"/>
  <c r="BF277" i="1"/>
  <c r="BD277" i="1"/>
  <c r="BB277" i="1"/>
  <c r="AL277" i="1"/>
  <c r="AA277" i="1"/>
  <c r="N277" i="1"/>
  <c r="BC277" i="1" s="1"/>
  <c r="CF304" i="1"/>
  <c r="CC304" i="1"/>
  <c r="BZ304" i="1"/>
  <c r="CB304" i="1" s="1"/>
  <c r="BH304" i="1"/>
  <c r="BG304" i="1"/>
  <c r="BF304" i="1"/>
  <c r="BD304" i="1"/>
  <c r="BC304" i="1"/>
  <c r="BB304" i="1"/>
  <c r="AL304" i="1"/>
  <c r="AA304" i="1"/>
  <c r="CF303" i="1"/>
  <c r="CC303" i="1"/>
  <c r="BZ303" i="1"/>
  <c r="CB303" i="1" s="1"/>
  <c r="BH303" i="1"/>
  <c r="BG303" i="1"/>
  <c r="BF303" i="1"/>
  <c r="BD303" i="1"/>
  <c r="BC303" i="1"/>
  <c r="BB303" i="1"/>
  <c r="AL303" i="1"/>
  <c r="AA303" i="1"/>
  <c r="CF302" i="1"/>
  <c r="CC302" i="1"/>
  <c r="BZ302" i="1"/>
  <c r="CB302" i="1" s="1"/>
  <c r="BH302" i="1"/>
  <c r="BG302" i="1"/>
  <c r="BF302" i="1"/>
  <c r="BD302" i="1"/>
  <c r="BC302" i="1"/>
  <c r="BB302" i="1"/>
  <c r="AL302" i="1"/>
  <c r="AA302" i="1"/>
  <c r="CF301" i="1"/>
  <c r="CC301" i="1"/>
  <c r="BZ301" i="1"/>
  <c r="CB301" i="1" s="1"/>
  <c r="BH301" i="1"/>
  <c r="BG301" i="1"/>
  <c r="BF301" i="1"/>
  <c r="BD301" i="1"/>
  <c r="BC301" i="1"/>
  <c r="BB301" i="1"/>
  <c r="AL301" i="1"/>
  <c r="AA301" i="1"/>
  <c r="AN301" i="1" l="1"/>
  <c r="CD301" i="1" s="1" a="1"/>
  <c r="CD301" i="1" s="1"/>
  <c r="AN302" i="1"/>
  <c r="CD302" i="1" s="1" a="1"/>
  <c r="CD302" i="1" s="1"/>
  <c r="AN277" i="1"/>
  <c r="CD277" i="1" s="1" a="1"/>
  <c r="CD277" i="1" s="1"/>
  <c r="CJ277" i="1" s="1"/>
  <c r="AN291" i="1"/>
  <c r="CD291" i="1" s="1" a="1"/>
  <c r="CD291" i="1" s="1"/>
  <c r="AN303" i="1"/>
  <c r="CD303" i="1" s="1" a="1"/>
  <c r="CD303" i="1" s="1"/>
  <c r="AN304" i="1"/>
  <c r="CD304" i="1" s="1" a="1"/>
  <c r="CD304" i="1" s="1"/>
  <c r="AK301" i="1"/>
  <c r="AK302" i="1"/>
  <c r="BJ291" i="1"/>
  <c r="BL291" i="1" s="1"/>
  <c r="BJ301" i="1"/>
  <c r="BL301" i="1" s="1"/>
  <c r="BJ303" i="1"/>
  <c r="BL303" i="1" s="1"/>
  <c r="BJ304" i="1"/>
  <c r="BL304" i="1" s="1"/>
  <c r="BJ277" i="1"/>
  <c r="BL277" i="1" s="1"/>
  <c r="BJ302" i="1"/>
  <c r="BL302" i="1" s="1"/>
  <c r="BI291" i="1"/>
  <c r="BK291" i="1" s="1"/>
  <c r="BI277" i="1"/>
  <c r="BK277" i="1" s="1"/>
  <c r="BI304" i="1"/>
  <c r="BK304" i="1" s="1"/>
  <c r="BI303" i="1"/>
  <c r="BK303" i="1" s="1"/>
  <c r="BI302" i="1"/>
  <c r="BK302" i="1" s="1"/>
  <c r="BI301" i="1"/>
  <c r="BK301" i="1" s="1"/>
  <c r="N296" i="1" l="1"/>
  <c r="N273" i="1" l="1"/>
  <c r="BH273" i="1" l="1"/>
  <c r="BG273" i="1"/>
  <c r="BF273" i="1"/>
  <c r="BH276" i="1"/>
  <c r="BG276" i="1"/>
  <c r="BF276" i="1"/>
  <c r="CC273" i="1"/>
  <c r="BZ273" i="1"/>
  <c r="CB273" i="1" s="1"/>
  <c r="BD273" i="1"/>
  <c r="BB273" i="1"/>
  <c r="AL273" i="1"/>
  <c r="AA273" i="1"/>
  <c r="BC273" i="1"/>
  <c r="CF299" i="1"/>
  <c r="CC299" i="1"/>
  <c r="BZ299" i="1"/>
  <c r="CB299" i="1" s="1"/>
  <c r="BH299" i="1"/>
  <c r="BG299" i="1"/>
  <c r="BF299" i="1"/>
  <c r="BD299" i="1"/>
  <c r="BC299" i="1"/>
  <c r="BB299" i="1"/>
  <c r="AL299" i="1"/>
  <c r="AA299" i="1"/>
  <c r="CF297" i="1"/>
  <c r="CC297" i="1"/>
  <c r="BZ297" i="1"/>
  <c r="CB297" i="1" s="1"/>
  <c r="BH297" i="1"/>
  <c r="BG297" i="1"/>
  <c r="BF297" i="1"/>
  <c r="BD297" i="1"/>
  <c r="BC297" i="1"/>
  <c r="BB297" i="1"/>
  <c r="AL297" i="1"/>
  <c r="AA297" i="1"/>
  <c r="CF300" i="1"/>
  <c r="CC300" i="1"/>
  <c r="BZ300" i="1"/>
  <c r="CB300" i="1" s="1"/>
  <c r="BH300" i="1"/>
  <c r="BG300" i="1"/>
  <c r="BF300" i="1"/>
  <c r="BD300" i="1"/>
  <c r="BC300" i="1"/>
  <c r="BB300" i="1"/>
  <c r="AL300" i="1"/>
  <c r="AA300" i="1"/>
  <c r="N276" i="1"/>
  <c r="BC276" i="1" s="1"/>
  <c r="AA276" i="1"/>
  <c r="AL276" i="1"/>
  <c r="BB276" i="1"/>
  <c r="BD276" i="1"/>
  <c r="BZ276" i="1"/>
  <c r="CB276" i="1" s="1"/>
  <c r="CC276" i="1"/>
  <c r="AN300" i="1" l="1"/>
  <c r="CD300" i="1" s="1" a="1"/>
  <c r="CD300" i="1" s="1"/>
  <c r="AN273" i="1"/>
  <c r="CD273" i="1" s="1" a="1"/>
  <c r="CD273" i="1" s="1"/>
  <c r="CJ273" i="1" s="1"/>
  <c r="AN299" i="1"/>
  <c r="CD299" i="1" s="1" a="1"/>
  <c r="CD299" i="1" s="1"/>
  <c r="AN276" i="1"/>
  <c r="CD276" i="1" s="1" a="1"/>
  <c r="CD276" i="1" s="1"/>
  <c r="CJ276" i="1" s="1"/>
  <c r="AN297" i="1"/>
  <c r="CD297" i="1" s="1" a="1"/>
  <c r="CD297" i="1" s="1"/>
  <c r="AK300" i="1"/>
  <c r="BJ299" i="1"/>
  <c r="BL299" i="1" s="1"/>
  <c r="BJ297" i="1"/>
  <c r="BL297" i="1" s="1"/>
  <c r="BJ276" i="1"/>
  <c r="BL276" i="1" s="1"/>
  <c r="BJ300" i="1"/>
  <c r="BL300" i="1" s="1"/>
  <c r="BJ273" i="1"/>
  <c r="BL273" i="1" s="1"/>
  <c r="BI276" i="1"/>
  <c r="BK276" i="1" s="1"/>
  <c r="BI273" i="1"/>
  <c r="BK273" i="1" s="1"/>
  <c r="BI297" i="1"/>
  <c r="BK297" i="1" s="1"/>
  <c r="BI299" i="1"/>
  <c r="BK299" i="1" s="1"/>
  <c r="BI300" i="1"/>
  <c r="BK300" i="1" s="1"/>
  <c r="B50" i="6"/>
  <c r="B49" i="6"/>
  <c r="F46" i="6"/>
  <c r="F47" i="6" s="1"/>
  <c r="E46" i="6"/>
  <c r="E47" i="6" s="1"/>
  <c r="D46" i="6"/>
  <c r="D47" i="6" s="1"/>
  <c r="C46" i="6"/>
  <c r="C47" i="6" s="1"/>
  <c r="B46" i="6"/>
  <c r="B52" i="6" s="1"/>
  <c r="B47" i="6" l="1"/>
  <c r="B51" i="6" s="1"/>
  <c r="N17" i="2"/>
  <c r="CE304" i="1" s="1"/>
  <c r="CJ304" i="1" s="1"/>
  <c r="C34" i="6" l="1"/>
  <c r="C35" i="6" s="1"/>
  <c r="D34" i="6"/>
  <c r="D35" i="6" s="1"/>
  <c r="E34" i="6"/>
  <c r="E35" i="6" s="1"/>
  <c r="F34" i="6"/>
  <c r="F35" i="6" s="1"/>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B34" i="6"/>
  <c r="B35" i="6" s="1"/>
  <c r="CF284" i="1"/>
  <c r="CC284" i="1"/>
  <c r="BZ284" i="1"/>
  <c r="CB284" i="1" s="1"/>
  <c r="BH284" i="1"/>
  <c r="BG284" i="1"/>
  <c r="BF284" i="1"/>
  <c r="BD284" i="1"/>
  <c r="BC284" i="1"/>
  <c r="BB284" i="1"/>
  <c r="AL284" i="1"/>
  <c r="AA284" i="1"/>
  <c r="AN284" i="1" l="1"/>
  <c r="CD284" i="1" s="1" a="1"/>
  <c r="CD284" i="1" s="1"/>
  <c r="B40" i="6"/>
  <c r="BJ284" i="1"/>
  <c r="BL284" i="1" s="1"/>
  <c r="B39" i="6"/>
  <c r="BI284" i="1"/>
  <c r="BK284" i="1" s="1"/>
  <c r="BZ224" i="1"/>
  <c r="CB224" i="1" s="1"/>
  <c r="BZ229" i="1"/>
  <c r="CB229" i="1" s="1"/>
  <c r="BB224" i="1"/>
  <c r="BC224" i="1"/>
  <c r="BD224" i="1"/>
  <c r="BB229" i="1"/>
  <c r="BC229" i="1"/>
  <c r="BD229" i="1"/>
  <c r="CC229" i="1"/>
  <c r="BH224" i="1"/>
  <c r="BH229" i="1"/>
  <c r="BG224" i="1"/>
  <c r="BG229" i="1"/>
  <c r="AL224" i="1"/>
  <c r="AL229" i="1"/>
  <c r="AA310" i="1"/>
  <c r="AA311" i="1"/>
  <c r="AA312" i="1"/>
  <c r="AA313" i="1"/>
  <c r="AA314" i="1"/>
  <c r="AA315" i="1"/>
  <c r="AA317" i="1"/>
  <c r="AA318" i="1"/>
  <c r="AA321" i="1"/>
  <c r="AA322" i="1"/>
  <c r="AA320" i="1"/>
  <c r="AA319" i="1"/>
  <c r="AA224" i="1"/>
  <c r="AA229" i="1"/>
  <c r="AN229" i="1" l="1"/>
  <c r="CD229" i="1" s="1" a="1"/>
  <c r="CD229" i="1" s="1"/>
  <c r="AN224" i="1"/>
  <c r="CD224" i="1" s="1" a="1"/>
  <c r="CD224" i="1" s="1"/>
  <c r="N13" i="2"/>
  <c r="CE112" i="1" s="1"/>
  <c r="CJ112" i="1" s="1"/>
  <c r="N14" i="2"/>
  <c r="N15" i="2"/>
  <c r="N16" i="2"/>
  <c r="N3" i="2"/>
  <c r="N4" i="2"/>
  <c r="N5" i="2"/>
  <c r="CE299" i="1" s="1"/>
  <c r="CJ299" i="1" s="1"/>
  <c r="N6" i="2"/>
  <c r="N7" i="2"/>
  <c r="N8" i="2"/>
  <c r="N9" i="2"/>
  <c r="N10" i="2"/>
  <c r="N11" i="2"/>
  <c r="N12" i="2"/>
  <c r="N2" i="2"/>
  <c r="CE229" i="1" s="1"/>
  <c r="CF12" i="1"/>
  <c r="CF13" i="1"/>
  <c r="CF14" i="1"/>
  <c r="CF15" i="1"/>
  <c r="CF16" i="1"/>
  <c r="CF17" i="1"/>
  <c r="CF18" i="1"/>
  <c r="CF19" i="1"/>
  <c r="CF20" i="1"/>
  <c r="CF21" i="1"/>
  <c r="CF22" i="1"/>
  <c r="CF23" i="1"/>
  <c r="CF24" i="1"/>
  <c r="CF25" i="1"/>
  <c r="CF26" i="1"/>
  <c r="CF31" i="1"/>
  <c r="CF32" i="1"/>
  <c r="CF33" i="1"/>
  <c r="CF34" i="1"/>
  <c r="CF35" i="1"/>
  <c r="CF42" i="1"/>
  <c r="CF47" i="1"/>
  <c r="CF53" i="1"/>
  <c r="CF65" i="1"/>
  <c r="CF66" i="1"/>
  <c r="CF67" i="1"/>
  <c r="CF69" i="1"/>
  <c r="CF70" i="1"/>
  <c r="CF71" i="1"/>
  <c r="CF72" i="1"/>
  <c r="CF73" i="1"/>
  <c r="CF74" i="1"/>
  <c r="CF75" i="1"/>
  <c r="CF76" i="1"/>
  <c r="CF77" i="1"/>
  <c r="CF78" i="1"/>
  <c r="CF80" i="1"/>
  <c r="CF81" i="1"/>
  <c r="CF82" i="1"/>
  <c r="CF83" i="1"/>
  <c r="CF84" i="1"/>
  <c r="CF86" i="1"/>
  <c r="CF87" i="1"/>
  <c r="CF89" i="1"/>
  <c r="CF90" i="1"/>
  <c r="CF91" i="1"/>
  <c r="CF92" i="1"/>
  <c r="CF93" i="1"/>
  <c r="CF94" i="1"/>
  <c r="CF95" i="1"/>
  <c r="CF96" i="1"/>
  <c r="CF97" i="1"/>
  <c r="CF98" i="1"/>
  <c r="CF99" i="1"/>
  <c r="CF100" i="1"/>
  <c r="CF102" i="1"/>
  <c r="CF103" i="1"/>
  <c r="CF104" i="1"/>
  <c r="CF105" i="1"/>
  <c r="CF106" i="1"/>
  <c r="CF107" i="1"/>
  <c r="CF108" i="1"/>
  <c r="CF109" i="1"/>
  <c r="CF110" i="1"/>
  <c r="CF59" i="1"/>
  <c r="CF60" i="1"/>
  <c r="CF61" i="1"/>
  <c r="CF62" i="1"/>
  <c r="CF63" i="1"/>
  <c r="CF121" i="1"/>
  <c r="CF122" i="1"/>
  <c r="CF124" i="1"/>
  <c r="CF125" i="1"/>
  <c r="CF126" i="1"/>
  <c r="CF127" i="1"/>
  <c r="CF129" i="1"/>
  <c r="CF130" i="1"/>
  <c r="CF132" i="1"/>
  <c r="CF134" i="1"/>
  <c r="CF135" i="1"/>
  <c r="CF136" i="1"/>
  <c r="CF137" i="1"/>
  <c r="CF138" i="1"/>
  <c r="CF139" i="1"/>
  <c r="CF141" i="1"/>
  <c r="CF142" i="1"/>
  <c r="CF143" i="1"/>
  <c r="CF144" i="1"/>
  <c r="CF145" i="1"/>
  <c r="CF146" i="1"/>
  <c r="CF147" i="1"/>
  <c r="CF148" i="1"/>
  <c r="CF150" i="1"/>
  <c r="CF152" i="1"/>
  <c r="CF149" i="1"/>
  <c r="CF151" i="1"/>
  <c r="CF154" i="1"/>
  <c r="CF156" i="1"/>
  <c r="CF158" i="1"/>
  <c r="CF160" i="1"/>
  <c r="CF153" i="1"/>
  <c r="CF155" i="1"/>
  <c r="CF157" i="1"/>
  <c r="CF159" i="1"/>
  <c r="CF161" i="1"/>
  <c r="CF162" i="1"/>
  <c r="CF163" i="1"/>
  <c r="CF164" i="1"/>
  <c r="CF165" i="1"/>
  <c r="CF166" i="1"/>
  <c r="CF168" i="1"/>
  <c r="CF169" i="1"/>
  <c r="CF237"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238"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5" i="1"/>
  <c r="CF226" i="1"/>
  <c r="CF227" i="1"/>
  <c r="CF228" i="1"/>
  <c r="CF230" i="1"/>
  <c r="CF231" i="1"/>
  <c r="CF232" i="1"/>
  <c r="CF233" i="1"/>
  <c r="CF234" i="1"/>
  <c r="CF235" i="1"/>
  <c r="CF236" i="1"/>
  <c r="CF239" i="1"/>
  <c r="CF240" i="1"/>
  <c r="CF241" i="1"/>
  <c r="CF242" i="1"/>
  <c r="CF243" i="1"/>
  <c r="CF244" i="1"/>
  <c r="CF245" i="1"/>
  <c r="CF246" i="1"/>
  <c r="CF247" i="1"/>
  <c r="CF248" i="1"/>
  <c r="CF249" i="1"/>
  <c r="CF250" i="1"/>
  <c r="CF251" i="1"/>
  <c r="CF252" i="1"/>
  <c r="CF253" i="1"/>
  <c r="CF254" i="1"/>
  <c r="CF255" i="1"/>
  <c r="CF256" i="1"/>
  <c r="CF257" i="1"/>
  <c r="CF258" i="1"/>
  <c r="CF259" i="1"/>
  <c r="CF261" i="1"/>
  <c r="CF262" i="1"/>
  <c r="CF263" i="1"/>
  <c r="CF264" i="1"/>
  <c r="CF265" i="1"/>
  <c r="CF266" i="1"/>
  <c r="CF267" i="1"/>
  <c r="CF268" i="1"/>
  <c r="CF269" i="1"/>
  <c r="CF270" i="1"/>
  <c r="CF271" i="1"/>
  <c r="CF272" i="1"/>
  <c r="CF274" i="1"/>
  <c r="CF275" i="1"/>
  <c r="CF278" i="1"/>
  <c r="CF279" i="1"/>
  <c r="CF280" i="1"/>
  <c r="CF281" i="1"/>
  <c r="CF282" i="1"/>
  <c r="CF283" i="1"/>
  <c r="CF285" i="1"/>
  <c r="CF286" i="1"/>
  <c r="CF294" i="1"/>
  <c r="CF287" i="1"/>
  <c r="CF288" i="1"/>
  <c r="CF290" i="1"/>
  <c r="CF292" i="1"/>
  <c r="CF113" i="1"/>
  <c r="CF114" i="1"/>
  <c r="CF28" i="1"/>
  <c r="CF29" i="1"/>
  <c r="CF30" i="1"/>
  <c r="CF306" i="1"/>
  <c r="CF307" i="1"/>
  <c r="CF308" i="1"/>
  <c r="CF309" i="1"/>
  <c r="CF295" i="1"/>
  <c r="CF293" i="1"/>
  <c r="CF296" i="1"/>
  <c r="CF298" i="1"/>
  <c r="CF310" i="1"/>
  <c r="CF311" i="1"/>
  <c r="CF312" i="1"/>
  <c r="CF313" i="1"/>
  <c r="CF314" i="1"/>
  <c r="CF315" i="1"/>
  <c r="CF317" i="1"/>
  <c r="CF318" i="1"/>
  <c r="CF321" i="1"/>
  <c r="CF322" i="1"/>
  <c r="CF320" i="1"/>
  <c r="CF319" i="1"/>
  <c r="CF224" i="1"/>
  <c r="CF2" i="1"/>
  <c r="CC12" i="1"/>
  <c r="CC13" i="1"/>
  <c r="CC14" i="1"/>
  <c r="CC15" i="1"/>
  <c r="CC16" i="1"/>
  <c r="CC17" i="1"/>
  <c r="CC18" i="1"/>
  <c r="CC19" i="1"/>
  <c r="CC20" i="1"/>
  <c r="CC21" i="1"/>
  <c r="CC22" i="1"/>
  <c r="CC23" i="1"/>
  <c r="CC24" i="1"/>
  <c r="CC25" i="1"/>
  <c r="CC26" i="1"/>
  <c r="CC31" i="1"/>
  <c r="CE31" i="1" s="1"/>
  <c r="CC32" i="1"/>
  <c r="CC33" i="1"/>
  <c r="CC34" i="1"/>
  <c r="CC35" i="1"/>
  <c r="CC42" i="1"/>
  <c r="CC47" i="1"/>
  <c r="CC53" i="1"/>
  <c r="CC65" i="1"/>
  <c r="CC66" i="1"/>
  <c r="CC67" i="1"/>
  <c r="CC69" i="1"/>
  <c r="CC70" i="1"/>
  <c r="CC71" i="1"/>
  <c r="CC72" i="1"/>
  <c r="CC73" i="1"/>
  <c r="CC74" i="1"/>
  <c r="CC75" i="1"/>
  <c r="CC76" i="1"/>
  <c r="CC77" i="1"/>
  <c r="CC78" i="1"/>
  <c r="CC80" i="1"/>
  <c r="CC81" i="1"/>
  <c r="CC82" i="1"/>
  <c r="CC83" i="1"/>
  <c r="CC84" i="1"/>
  <c r="CC86" i="1"/>
  <c r="CC87" i="1"/>
  <c r="CC89" i="1"/>
  <c r="CC90" i="1"/>
  <c r="CC91" i="1"/>
  <c r="CE91" i="1" s="1"/>
  <c r="CC92" i="1"/>
  <c r="CC93" i="1"/>
  <c r="CC94" i="1"/>
  <c r="CC95" i="1"/>
  <c r="CC96" i="1"/>
  <c r="CC97" i="1"/>
  <c r="CC98" i="1"/>
  <c r="CC99" i="1"/>
  <c r="CC100" i="1"/>
  <c r="CC102" i="1"/>
  <c r="CC103" i="1"/>
  <c r="CC104" i="1"/>
  <c r="CC105" i="1"/>
  <c r="CC106" i="1"/>
  <c r="CC107" i="1"/>
  <c r="CC108" i="1"/>
  <c r="CE108" i="1" s="1"/>
  <c r="CC109" i="1"/>
  <c r="CC110" i="1"/>
  <c r="CC59" i="1"/>
  <c r="CC60" i="1"/>
  <c r="CC61" i="1"/>
  <c r="CC62" i="1"/>
  <c r="CC63" i="1"/>
  <c r="CC121" i="1"/>
  <c r="CE121" i="1" s="1"/>
  <c r="CC122" i="1"/>
  <c r="CE122" i="1" s="1"/>
  <c r="CC124" i="1"/>
  <c r="CC125" i="1"/>
  <c r="CC126" i="1"/>
  <c r="CC127" i="1"/>
  <c r="CC129" i="1"/>
  <c r="CE129" i="1" s="1"/>
  <c r="CC130" i="1"/>
  <c r="CE130" i="1" s="1"/>
  <c r="CC132" i="1"/>
  <c r="CE132" i="1" s="1"/>
  <c r="CC134" i="1"/>
  <c r="CC135" i="1"/>
  <c r="CC136" i="1"/>
  <c r="CC137" i="1"/>
  <c r="CC138" i="1"/>
  <c r="CC139" i="1"/>
  <c r="CC141" i="1"/>
  <c r="CC142" i="1"/>
  <c r="CC143" i="1"/>
  <c r="CC144" i="1"/>
  <c r="CE144" i="1" s="1"/>
  <c r="CC145" i="1"/>
  <c r="CC146" i="1"/>
  <c r="CC147" i="1"/>
  <c r="CC148" i="1"/>
  <c r="CC150" i="1"/>
  <c r="CC152" i="1"/>
  <c r="CC149" i="1"/>
  <c r="CC151" i="1"/>
  <c r="CE151" i="1" s="1"/>
  <c r="CC154" i="1"/>
  <c r="CC156" i="1"/>
  <c r="CC158" i="1"/>
  <c r="CC160" i="1"/>
  <c r="CC153" i="1"/>
  <c r="CC155" i="1"/>
  <c r="CC157" i="1"/>
  <c r="CC159" i="1"/>
  <c r="CC161" i="1"/>
  <c r="CE161" i="1" s="1"/>
  <c r="CC162" i="1"/>
  <c r="CE162" i="1" s="1"/>
  <c r="CC163" i="1"/>
  <c r="CE163" i="1" s="1"/>
  <c r="CC164" i="1"/>
  <c r="CE164" i="1" s="1"/>
  <c r="CC165" i="1"/>
  <c r="CC166" i="1"/>
  <c r="CC168" i="1"/>
  <c r="CC169" i="1"/>
  <c r="CC237" i="1"/>
  <c r="CC170" i="1"/>
  <c r="CC171" i="1"/>
  <c r="CC172" i="1"/>
  <c r="CC173" i="1"/>
  <c r="CC174" i="1"/>
  <c r="CC175" i="1"/>
  <c r="CC176" i="1"/>
  <c r="CC177" i="1"/>
  <c r="CC178" i="1"/>
  <c r="CC179" i="1"/>
  <c r="CC180" i="1"/>
  <c r="CC181" i="1"/>
  <c r="CE181" i="1" s="1"/>
  <c r="CC182" i="1"/>
  <c r="CE182" i="1" s="1"/>
  <c r="CC183" i="1"/>
  <c r="CE183" i="1" s="1"/>
  <c r="CC184" i="1"/>
  <c r="CE184" i="1" s="1"/>
  <c r="CC185" i="1"/>
  <c r="CC186" i="1"/>
  <c r="CC187" i="1"/>
  <c r="CC188" i="1"/>
  <c r="CC189" i="1"/>
  <c r="CC190" i="1"/>
  <c r="CC191" i="1"/>
  <c r="CC192" i="1"/>
  <c r="CE192" i="1" s="1"/>
  <c r="CC193" i="1"/>
  <c r="CE193" i="1" s="1"/>
  <c r="CC194" i="1"/>
  <c r="CE194" i="1" s="1"/>
  <c r="CC195" i="1"/>
  <c r="CC196" i="1"/>
  <c r="CC238" i="1"/>
  <c r="CC197" i="1"/>
  <c r="CC198" i="1"/>
  <c r="CC199" i="1"/>
  <c r="CE199" i="1" s="1"/>
  <c r="CC200" i="1"/>
  <c r="CC201" i="1"/>
  <c r="CE201" i="1" s="1"/>
  <c r="CC202" i="1"/>
  <c r="CE202" i="1" s="1"/>
  <c r="CC203" i="1"/>
  <c r="CC204" i="1"/>
  <c r="CC205" i="1"/>
  <c r="CC206" i="1"/>
  <c r="CC207" i="1"/>
  <c r="CC208" i="1"/>
  <c r="CC209" i="1"/>
  <c r="CC210" i="1"/>
  <c r="CC211" i="1"/>
  <c r="CC212" i="1"/>
  <c r="CE212" i="1" s="1"/>
  <c r="CC213" i="1"/>
  <c r="CE213" i="1" s="1"/>
  <c r="CC214" i="1"/>
  <c r="CC215" i="1"/>
  <c r="CC216" i="1"/>
  <c r="CC217" i="1"/>
  <c r="CC218" i="1"/>
  <c r="CC219" i="1"/>
  <c r="CC220" i="1"/>
  <c r="CC221" i="1"/>
  <c r="CE221" i="1" s="1"/>
  <c r="CC222" i="1"/>
  <c r="CE222" i="1" s="1"/>
  <c r="CC223" i="1"/>
  <c r="CE223" i="1" s="1"/>
  <c r="CC225" i="1"/>
  <c r="CC226" i="1"/>
  <c r="CC227" i="1"/>
  <c r="CE227" i="1" s="1"/>
  <c r="CC228" i="1"/>
  <c r="CC230" i="1"/>
  <c r="CC231" i="1"/>
  <c r="CC232" i="1"/>
  <c r="CC233" i="1"/>
  <c r="CC234" i="1"/>
  <c r="CE234" i="1" s="1"/>
  <c r="CC235" i="1"/>
  <c r="CE235" i="1" s="1"/>
  <c r="CC236" i="1"/>
  <c r="CE236" i="1" s="1"/>
  <c r="CC239" i="1"/>
  <c r="CC240" i="1"/>
  <c r="CC241" i="1"/>
  <c r="CC242" i="1"/>
  <c r="CC243" i="1"/>
  <c r="CC244" i="1"/>
  <c r="CC245" i="1"/>
  <c r="CE245" i="1" s="1"/>
  <c r="CC246" i="1"/>
  <c r="CE246" i="1" s="1"/>
  <c r="CC247" i="1"/>
  <c r="CE247" i="1" s="1"/>
  <c r="CC248" i="1"/>
  <c r="CC249" i="1"/>
  <c r="CC250" i="1"/>
  <c r="CC251" i="1"/>
  <c r="CC252" i="1"/>
  <c r="CC253" i="1"/>
  <c r="CC254" i="1"/>
  <c r="CC255" i="1"/>
  <c r="CC256" i="1"/>
  <c r="CC257" i="1"/>
  <c r="CE257" i="1" s="1"/>
  <c r="CC258" i="1"/>
  <c r="CC259" i="1"/>
  <c r="CC261" i="1"/>
  <c r="CC262" i="1"/>
  <c r="CC263" i="1"/>
  <c r="CC264" i="1"/>
  <c r="CC265" i="1"/>
  <c r="CC266" i="1"/>
  <c r="CE266" i="1" s="1"/>
  <c r="CC267" i="1"/>
  <c r="CE267" i="1" s="1"/>
  <c r="CC268" i="1"/>
  <c r="CE268" i="1" s="1"/>
  <c r="CC269" i="1"/>
  <c r="CC270" i="1"/>
  <c r="CC271" i="1"/>
  <c r="CC272" i="1"/>
  <c r="CC274" i="1"/>
  <c r="CC275" i="1"/>
  <c r="CC278" i="1"/>
  <c r="CC279" i="1"/>
  <c r="CC280" i="1"/>
  <c r="CE280" i="1" s="1"/>
  <c r="CC281" i="1"/>
  <c r="CE281" i="1" s="1"/>
  <c r="CC282" i="1"/>
  <c r="CC283" i="1"/>
  <c r="CC285" i="1"/>
  <c r="CC286" i="1"/>
  <c r="CC294" i="1"/>
  <c r="CC287" i="1"/>
  <c r="CC288" i="1"/>
  <c r="CC290" i="1"/>
  <c r="CE290" i="1" s="1"/>
  <c r="CC292" i="1"/>
  <c r="CE292" i="1" s="1"/>
  <c r="CC113" i="1"/>
  <c r="CE113" i="1" s="1"/>
  <c r="CC114" i="1"/>
  <c r="CC28" i="1"/>
  <c r="CC29" i="1"/>
  <c r="CC30" i="1"/>
  <c r="CE30" i="1" s="1"/>
  <c r="CC306" i="1"/>
  <c r="CE306" i="1" s="1"/>
  <c r="CC307" i="1"/>
  <c r="CE307" i="1" s="1"/>
  <c r="CC308" i="1"/>
  <c r="CC309" i="1"/>
  <c r="CC295" i="1"/>
  <c r="CE295" i="1" s="1"/>
  <c r="CC293" i="1"/>
  <c r="CE293" i="1" s="1"/>
  <c r="CC296" i="1"/>
  <c r="CC298" i="1"/>
  <c r="CC310" i="1"/>
  <c r="CC311" i="1"/>
  <c r="CC312" i="1"/>
  <c r="CC314" i="1"/>
  <c r="CC315" i="1"/>
  <c r="CC317" i="1"/>
  <c r="CE317" i="1" s="1"/>
  <c r="CC318" i="1"/>
  <c r="CE318" i="1" s="1"/>
  <c r="CC321" i="1"/>
  <c r="CC322" i="1"/>
  <c r="CC320" i="1"/>
  <c r="CC319" i="1"/>
  <c r="CC224" i="1"/>
  <c r="CC2" i="1"/>
  <c r="CJ229" i="1" l="1"/>
  <c r="CE244" i="1"/>
  <c r="CE294" i="1"/>
  <c r="CE179" i="1"/>
  <c r="CE286" i="1"/>
  <c r="CE178" i="1"/>
  <c r="CE285" i="1"/>
  <c r="CE196" i="1"/>
  <c r="CE265" i="1"/>
  <c r="CE220" i="1"/>
  <c r="CE200" i="1"/>
  <c r="CE287" i="1"/>
  <c r="CE264" i="1"/>
  <c r="CE180" i="1"/>
  <c r="CE159" i="1"/>
  <c r="CE263" i="1"/>
  <c r="CE218" i="1"/>
  <c r="CE198" i="1"/>
  <c r="CE262" i="1"/>
  <c r="CE197" i="1"/>
  <c r="CE85" i="1"/>
  <c r="CJ85" i="1" s="1"/>
  <c r="CE68" i="1"/>
  <c r="CJ68" i="1" s="1"/>
  <c r="CE261" i="1"/>
  <c r="CE238" i="1"/>
  <c r="CE177" i="1"/>
  <c r="CE298" i="1"/>
  <c r="CE283" i="1"/>
  <c r="CE259" i="1"/>
  <c r="CE215" i="1"/>
  <c r="CE176" i="1"/>
  <c r="CE135" i="1"/>
  <c r="CE296" i="1"/>
  <c r="CE282" i="1"/>
  <c r="CE258" i="1"/>
  <c r="CE214" i="1"/>
  <c r="CE195" i="1"/>
  <c r="CE134" i="1"/>
  <c r="CE233" i="1"/>
  <c r="CE211" i="1"/>
  <c r="CE232" i="1"/>
  <c r="CE149" i="1"/>
  <c r="CE231" i="1"/>
  <c r="CE152" i="1"/>
  <c r="CE208" i="1"/>
  <c r="CE150" i="1"/>
  <c r="CE251" i="1"/>
  <c r="CE228" i="1"/>
  <c r="CE188" i="1"/>
  <c r="CE169" i="1"/>
  <c r="CE148" i="1"/>
  <c r="CE271" i="1"/>
  <c r="CE250" i="1"/>
  <c r="CE168" i="1"/>
  <c r="CE147" i="1"/>
  <c r="CE270" i="1"/>
  <c r="CE249" i="1"/>
  <c r="CE226" i="1"/>
  <c r="CE205" i="1"/>
  <c r="CE166" i="1"/>
  <c r="CE146" i="1"/>
  <c r="CE72" i="1"/>
  <c r="CE210" i="1"/>
  <c r="CE127" i="1"/>
  <c r="CE209" i="1"/>
  <c r="CE126" i="1"/>
  <c r="CE230" i="1"/>
  <c r="CE237" i="1"/>
  <c r="CE125" i="1"/>
  <c r="CE224" i="1"/>
  <c r="CJ224" i="1" s="1"/>
  <c r="CE272" i="1"/>
  <c r="CE207" i="1"/>
  <c r="CE124" i="1"/>
  <c r="CE114" i="1"/>
  <c r="CE269" i="1"/>
  <c r="CE248" i="1"/>
  <c r="CE225" i="1"/>
  <c r="CE204" i="1"/>
  <c r="CE165" i="1"/>
  <c r="CE145" i="1"/>
  <c r="CE128" i="1"/>
  <c r="CJ128" i="1" s="1"/>
  <c r="CE131" i="1"/>
  <c r="CJ131" i="1" s="1"/>
  <c r="CE140" i="1"/>
  <c r="CJ140" i="1" s="1"/>
  <c r="CE167" i="1"/>
  <c r="CE123" i="1"/>
  <c r="CJ123" i="1" s="1"/>
  <c r="CE133" i="1"/>
  <c r="CJ133" i="1" s="1"/>
  <c r="CE242" i="1"/>
  <c r="CE143" i="1"/>
  <c r="CE28" i="1"/>
  <c r="CE275" i="1"/>
  <c r="CE241" i="1"/>
  <c r="CE190" i="1"/>
  <c r="CE174" i="1"/>
  <c r="CE155" i="1"/>
  <c r="CE142" i="1"/>
  <c r="CE99" i="1"/>
  <c r="CE81" i="1"/>
  <c r="CE47" i="1"/>
  <c r="CE260" i="1"/>
  <c r="CJ260" i="1" s="1"/>
  <c r="CE301" i="1"/>
  <c r="CJ301" i="1" s="1"/>
  <c r="CE302" i="1"/>
  <c r="CJ302" i="1" s="1"/>
  <c r="CE284" i="1"/>
  <c r="CJ284" i="1" s="1"/>
  <c r="CE206" i="1"/>
  <c r="CE274" i="1"/>
  <c r="CE256" i="1"/>
  <c r="CE240" i="1"/>
  <c r="CE189" i="1"/>
  <c r="CE173" i="1"/>
  <c r="CE153" i="1"/>
  <c r="CE141" i="1"/>
  <c r="CE42" i="1"/>
  <c r="CE58" i="1"/>
  <c r="CJ58" i="1" s="1"/>
  <c r="CE57" i="1"/>
  <c r="CJ57" i="1" s="1"/>
  <c r="CE255" i="1"/>
  <c r="CE239" i="1"/>
  <c r="CE219" i="1"/>
  <c r="CE203" i="1"/>
  <c r="CE172" i="1"/>
  <c r="CE160" i="1"/>
  <c r="CE139" i="1"/>
  <c r="CE62" i="1"/>
  <c r="CE35" i="1"/>
  <c r="CE10" i="1"/>
  <c r="CJ10" i="1" s="1"/>
  <c r="CE5" i="1"/>
  <c r="CJ5" i="1" s="1"/>
  <c r="CE6" i="1"/>
  <c r="CJ6" i="1" s="1"/>
  <c r="CE4" i="1"/>
  <c r="CJ4" i="1" s="1"/>
  <c r="CE8" i="1"/>
  <c r="CJ8" i="1" s="1"/>
  <c r="CE7" i="1"/>
  <c r="CJ7" i="1" s="1"/>
  <c r="CE9" i="1"/>
  <c r="CJ9" i="1" s="1"/>
  <c r="CE11" i="1"/>
  <c r="CJ11" i="1" s="1"/>
  <c r="CE279" i="1"/>
  <c r="CE65" i="1"/>
  <c r="CE29" i="1"/>
  <c r="CE191" i="1"/>
  <c r="CE53" i="1"/>
  <c r="CE254" i="1"/>
  <c r="CE187" i="1"/>
  <c r="CE171" i="1"/>
  <c r="CE158" i="1"/>
  <c r="CE138" i="1"/>
  <c r="CE61" i="1"/>
  <c r="CE34" i="1"/>
  <c r="CE243" i="1"/>
  <c r="CE157" i="1"/>
  <c r="CE253" i="1"/>
  <c r="CE217" i="1"/>
  <c r="CE186" i="1"/>
  <c r="CE170" i="1"/>
  <c r="CE156" i="1"/>
  <c r="CE137" i="1"/>
  <c r="CE60" i="1"/>
  <c r="CE33" i="1"/>
  <c r="CE19" i="1"/>
  <c r="CE278" i="1"/>
  <c r="CE175" i="1"/>
  <c r="CE288" i="1"/>
  <c r="CE252" i="1"/>
  <c r="CE216" i="1"/>
  <c r="CE185" i="1"/>
  <c r="CE154" i="1"/>
  <c r="CE136" i="1"/>
  <c r="CE59" i="1"/>
  <c r="CE32" i="1"/>
  <c r="CE291" i="1"/>
  <c r="CJ291" i="1" s="1"/>
  <c r="CE303" i="1"/>
  <c r="CJ303" i="1" s="1"/>
  <c r="CE300" i="1"/>
  <c r="CJ300" i="1" s="1"/>
  <c r="CE297" i="1"/>
  <c r="CJ297" i="1" s="1"/>
  <c r="CE313" i="1"/>
  <c r="CE312" i="1"/>
  <c r="CE319" i="1"/>
  <c r="CE310" i="1"/>
  <c r="CE320" i="1"/>
  <c r="CE309" i="1"/>
  <c r="CE322" i="1"/>
  <c r="CE308" i="1"/>
  <c r="CE314" i="1"/>
  <c r="CE26" i="1"/>
  <c r="CE18" i="1"/>
  <c r="CE321" i="1"/>
  <c r="CE311" i="1"/>
  <c r="CE25" i="1"/>
  <c r="CE17" i="1"/>
  <c r="CE24" i="1"/>
  <c r="CE16" i="1"/>
  <c r="CE2" i="1"/>
  <c r="CE23" i="1"/>
  <c r="CE15" i="1"/>
  <c r="CE22" i="1"/>
  <c r="CE14" i="1"/>
  <c r="CE315" i="1"/>
  <c r="CE21" i="1"/>
  <c r="CE13" i="1"/>
  <c r="CE20" i="1"/>
  <c r="CE12" i="1"/>
  <c r="CE109" i="1"/>
  <c r="CE100" i="1"/>
  <c r="CE92" i="1"/>
  <c r="CE82" i="1"/>
  <c r="CE73" i="1"/>
  <c r="CE63" i="1"/>
  <c r="CE107" i="1"/>
  <c r="CE98" i="1"/>
  <c r="CE90" i="1"/>
  <c r="CE80" i="1"/>
  <c r="CE71" i="1"/>
  <c r="CE106" i="1"/>
  <c r="CE97" i="1"/>
  <c r="CE89" i="1"/>
  <c r="CE78" i="1"/>
  <c r="CE70" i="1"/>
  <c r="CE105" i="1"/>
  <c r="CE96" i="1"/>
  <c r="CE87" i="1"/>
  <c r="CE77" i="1"/>
  <c r="CE69" i="1"/>
  <c r="CE104" i="1"/>
  <c r="CE95" i="1"/>
  <c r="CE86" i="1"/>
  <c r="CE76" i="1"/>
  <c r="CE67" i="1"/>
  <c r="CE103" i="1"/>
  <c r="CE94" i="1"/>
  <c r="CE84" i="1"/>
  <c r="CE75" i="1"/>
  <c r="CE66" i="1"/>
  <c r="CE110" i="1"/>
  <c r="CE102" i="1"/>
  <c r="CE93" i="1"/>
  <c r="CE83" i="1"/>
  <c r="CE74" i="1"/>
  <c r="BZ13" i="1"/>
  <c r="CB13" i="1" s="1"/>
  <c r="BH13" i="1"/>
  <c r="BG13" i="1"/>
  <c r="BF13" i="1"/>
  <c r="BD13" i="1"/>
  <c r="BC13" i="1"/>
  <c r="BB13" i="1"/>
  <c r="AL13" i="1"/>
  <c r="AA13" i="1"/>
  <c r="AN13" i="1" l="1"/>
  <c r="BJ13" i="1"/>
  <c r="BL13" i="1" s="1"/>
  <c r="BI13" i="1"/>
  <c r="BK13" i="1" s="1"/>
  <c r="BZ146" i="1"/>
  <c r="CB146" i="1" s="1"/>
  <c r="BH146" i="1"/>
  <c r="BG146" i="1"/>
  <c r="BF146" i="1"/>
  <c r="BD146" i="1"/>
  <c r="BC146" i="1"/>
  <c r="BB146" i="1"/>
  <c r="AL146" i="1"/>
  <c r="AA146" i="1"/>
  <c r="T146" i="1"/>
  <c r="V146" i="1" s="1"/>
  <c r="AN146" i="1" l="1"/>
  <c r="CD146" i="1" s="1" a="1"/>
  <c r="CD146" i="1" s="1"/>
  <c r="CJ146" i="1" s="1"/>
  <c r="CD13" i="1" a="1"/>
  <c r="CD13" i="1" s="1"/>
  <c r="CJ13" i="1" s="1"/>
  <c r="BJ146" i="1"/>
  <c r="BL146" i="1" s="1"/>
  <c r="BI146" i="1"/>
  <c r="BK146" i="1" s="1"/>
  <c r="BF229" i="1"/>
  <c r="BJ229" i="1" s="1"/>
  <c r="BF224" i="1"/>
  <c r="BJ224" i="1" s="1"/>
  <c r="BI224" i="1" l="1"/>
  <c r="BK224" i="1" s="1"/>
  <c r="BL224" i="1"/>
  <c r="BI229" i="1"/>
  <c r="BK229" i="1" s="1"/>
  <c r="BL229" i="1"/>
  <c r="CJ268" i="1" l="1"/>
  <c r="CJ269" i="1"/>
  <c r="CJ270" i="1"/>
  <c r="CJ295" i="1"/>
  <c r="BZ14" i="1" l="1"/>
  <c r="CB14" i="1" s="1"/>
  <c r="BH14" i="1"/>
  <c r="BG14" i="1"/>
  <c r="BF14" i="1"/>
  <c r="BD14" i="1"/>
  <c r="BC14" i="1"/>
  <c r="BB14" i="1"/>
  <c r="AL14" i="1"/>
  <c r="AA14" i="1"/>
  <c r="BZ16" i="1"/>
  <c r="CB16" i="1" s="1"/>
  <c r="BH16" i="1"/>
  <c r="BG16" i="1"/>
  <c r="BF16" i="1"/>
  <c r="BD16" i="1"/>
  <c r="BC16" i="1"/>
  <c r="BB16" i="1"/>
  <c r="AL16" i="1"/>
  <c r="AA16" i="1"/>
  <c r="X156" i="1"/>
  <c r="AA156" i="1" s="1"/>
  <c r="T158" i="1"/>
  <c r="V158" i="1" s="1"/>
  <c r="T156" i="1"/>
  <c r="V156" i="1" s="1"/>
  <c r="X149" i="1"/>
  <c r="AA149" i="1" s="1"/>
  <c r="BZ156" i="1"/>
  <c r="CB156" i="1" s="1"/>
  <c r="BH156" i="1"/>
  <c r="BG156" i="1"/>
  <c r="BF156" i="1"/>
  <c r="BD156" i="1"/>
  <c r="BC156" i="1"/>
  <c r="BB156" i="1"/>
  <c r="AL156" i="1"/>
  <c r="BZ151" i="1"/>
  <c r="CB151" i="1" s="1"/>
  <c r="BH151" i="1"/>
  <c r="BG151" i="1"/>
  <c r="BF151" i="1"/>
  <c r="BD151" i="1"/>
  <c r="BC151" i="1"/>
  <c r="BB151" i="1"/>
  <c r="AL151" i="1"/>
  <c r="AA151" i="1"/>
  <c r="T151" i="1"/>
  <c r="V151" i="1" s="1"/>
  <c r="BZ160" i="1"/>
  <c r="CB160" i="1" s="1"/>
  <c r="BH160" i="1"/>
  <c r="BG160" i="1"/>
  <c r="BF160" i="1"/>
  <c r="BD160" i="1"/>
  <c r="BC160" i="1"/>
  <c r="BB160" i="1"/>
  <c r="AL160" i="1"/>
  <c r="AA160" i="1"/>
  <c r="T160" i="1"/>
  <c r="V160" i="1" s="1"/>
  <c r="BZ154" i="1"/>
  <c r="CB154" i="1" s="1"/>
  <c r="BH154" i="1"/>
  <c r="BG154" i="1"/>
  <c r="BF154" i="1"/>
  <c r="BD154" i="1"/>
  <c r="BC154" i="1"/>
  <c r="BB154" i="1"/>
  <c r="AL154" i="1"/>
  <c r="AA154" i="1"/>
  <c r="T154" i="1"/>
  <c r="V154" i="1" s="1"/>
  <c r="BZ149" i="1"/>
  <c r="CB149" i="1" s="1"/>
  <c r="BH149" i="1"/>
  <c r="BG149" i="1"/>
  <c r="BF149" i="1"/>
  <c r="BD149" i="1"/>
  <c r="BC149" i="1"/>
  <c r="BB149" i="1"/>
  <c r="AL149" i="1"/>
  <c r="T149" i="1"/>
  <c r="V149" i="1" s="1"/>
  <c r="AN16" i="1" l="1"/>
  <c r="AN156" i="1" s="1"/>
  <c r="CD156" i="1" s="1" a="1"/>
  <c r="CD156" i="1" s="1"/>
  <c r="CJ156" i="1" s="1"/>
  <c r="AN14" i="1"/>
  <c r="AN149" i="1" s="1"/>
  <c r="CD149" i="1" s="1" a="1"/>
  <c r="CD149" i="1" s="1"/>
  <c r="CJ149" i="1" s="1"/>
  <c r="AN154" i="1"/>
  <c r="CD154" i="1" s="1" a="1"/>
  <c r="CD154" i="1" s="1"/>
  <c r="CJ154" i="1" s="1"/>
  <c r="AN160" i="1"/>
  <c r="CD160" i="1" s="1" a="1"/>
  <c r="CD160" i="1" s="1"/>
  <c r="CJ160" i="1" s="1"/>
  <c r="BJ156" i="1"/>
  <c r="BL156" i="1" s="1"/>
  <c r="BJ160" i="1"/>
  <c r="BL160" i="1" s="1"/>
  <c r="BJ149" i="1"/>
  <c r="BL149" i="1" s="1"/>
  <c r="BJ16" i="1"/>
  <c r="BL16" i="1" s="1"/>
  <c r="BJ151" i="1"/>
  <c r="BL151" i="1" s="1"/>
  <c r="BJ14" i="1"/>
  <c r="BL14" i="1" s="1"/>
  <c r="BJ154" i="1"/>
  <c r="BL154" i="1" s="1"/>
  <c r="BI14" i="1"/>
  <c r="BK14" i="1" s="1"/>
  <c r="BI16" i="1"/>
  <c r="BK16" i="1" s="1"/>
  <c r="BI156" i="1"/>
  <c r="BK156" i="1" s="1"/>
  <c r="BI151" i="1"/>
  <c r="BK151" i="1" s="1"/>
  <c r="BI154" i="1"/>
  <c r="BK154" i="1" s="1"/>
  <c r="BI160" i="1"/>
  <c r="BK160" i="1" s="1"/>
  <c r="BI149" i="1"/>
  <c r="BK149" i="1" s="1"/>
  <c r="CD14" i="1" l="1" a="1"/>
  <c r="CD14" i="1" s="1"/>
  <c r="CJ14" i="1" s="1"/>
  <c r="CD16" i="1" a="1"/>
  <c r="CD16" i="1" s="1"/>
  <c r="CJ16" i="1" s="1"/>
  <c r="BZ62" i="1"/>
  <c r="CB62" i="1" s="1"/>
  <c r="BH62" i="1"/>
  <c r="BG62" i="1"/>
  <c r="BF62" i="1"/>
  <c r="BD62" i="1"/>
  <c r="BC62" i="1"/>
  <c r="BB62" i="1"/>
  <c r="AL62" i="1"/>
  <c r="AA62" i="1"/>
  <c r="BZ59" i="1"/>
  <c r="CB59" i="1" s="1"/>
  <c r="BH59" i="1"/>
  <c r="BG59" i="1"/>
  <c r="BF59" i="1"/>
  <c r="BD59" i="1"/>
  <c r="BC59" i="1"/>
  <c r="BB59" i="1"/>
  <c r="AL59" i="1"/>
  <c r="AA59" i="1"/>
  <c r="BZ61" i="1"/>
  <c r="CB61" i="1" s="1"/>
  <c r="BH61" i="1"/>
  <c r="BG61" i="1"/>
  <c r="BF61" i="1"/>
  <c r="BD61" i="1"/>
  <c r="BC61" i="1"/>
  <c r="BB61" i="1"/>
  <c r="AL61" i="1"/>
  <c r="AA61" i="1"/>
  <c r="BZ60" i="1"/>
  <c r="CB60" i="1" s="1"/>
  <c r="BH60" i="1"/>
  <c r="BG60" i="1"/>
  <c r="BF60" i="1"/>
  <c r="BD60" i="1"/>
  <c r="BC60" i="1"/>
  <c r="BB60" i="1"/>
  <c r="AL60" i="1"/>
  <c r="AA60" i="1"/>
  <c r="BA42" i="1"/>
  <c r="BA35" i="1"/>
  <c r="BA34" i="1"/>
  <c r="BA33" i="1"/>
  <c r="BA32" i="1"/>
  <c r="BA31" i="1"/>
  <c r="AN62" i="1" l="1"/>
  <c r="CD62" i="1" s="1" a="1"/>
  <c r="CD62" i="1" s="1"/>
  <c r="CJ62" i="1" s="1"/>
  <c r="AN61" i="1"/>
  <c r="CD61" i="1" s="1" a="1"/>
  <c r="CD61" i="1" s="1"/>
  <c r="CJ61" i="1" s="1"/>
  <c r="AN59" i="1"/>
  <c r="CD59" i="1" s="1" a="1"/>
  <c r="CD59" i="1" s="1"/>
  <c r="CJ59" i="1" s="1"/>
  <c r="AN60" i="1"/>
  <c r="CD60" i="1" s="1" a="1"/>
  <c r="CD60" i="1" s="1"/>
  <c r="CJ60" i="1" s="1"/>
  <c r="BJ59" i="1"/>
  <c r="BL59" i="1" s="1"/>
  <c r="BJ60" i="1"/>
  <c r="BL60" i="1" s="1"/>
  <c r="BJ62" i="1"/>
  <c r="BL62" i="1" s="1"/>
  <c r="BJ61" i="1"/>
  <c r="BL61" i="1" s="1"/>
  <c r="BI61" i="1"/>
  <c r="BK61" i="1" s="1"/>
  <c r="BI62" i="1"/>
  <c r="BK62" i="1" s="1"/>
  <c r="BI59" i="1"/>
  <c r="BK59" i="1" s="1"/>
  <c r="BI60" i="1"/>
  <c r="BK60" i="1" s="1"/>
  <c r="T139" i="1"/>
  <c r="V139" i="1" s="1"/>
  <c r="W280" i="1"/>
  <c r="AA280" i="1" s="1"/>
  <c r="BZ280" i="1"/>
  <c r="CB280" i="1" s="1"/>
  <c r="BH280" i="1"/>
  <c r="BG280" i="1"/>
  <c r="BF280" i="1"/>
  <c r="BD280" i="1"/>
  <c r="BC280" i="1"/>
  <c r="BB280" i="1"/>
  <c r="AL280" i="1"/>
  <c r="W254" i="1"/>
  <c r="AA254" i="1" s="1"/>
  <c r="BZ254" i="1"/>
  <c r="CB254" i="1" s="1"/>
  <c r="BH254" i="1"/>
  <c r="BG254" i="1"/>
  <c r="BF254" i="1"/>
  <c r="BD254" i="1"/>
  <c r="BC254" i="1"/>
  <c r="BB254" i="1"/>
  <c r="AL254" i="1"/>
  <c r="W275" i="1"/>
  <c r="BZ274" i="1"/>
  <c r="CB274" i="1" s="1"/>
  <c r="BH274" i="1"/>
  <c r="BG274" i="1"/>
  <c r="BD274" i="1"/>
  <c r="BC274" i="1"/>
  <c r="BB274" i="1"/>
  <c r="AL274" i="1"/>
  <c r="AJ274" i="1"/>
  <c r="BF274" i="1" s="1"/>
  <c r="AA274" i="1"/>
  <c r="W288" i="1"/>
  <c r="BZ287" i="1"/>
  <c r="CB287" i="1" s="1"/>
  <c r="BH287" i="1"/>
  <c r="BG287" i="1"/>
  <c r="BF287" i="1"/>
  <c r="BD287" i="1"/>
  <c r="BC287" i="1"/>
  <c r="BB287" i="1"/>
  <c r="AL287" i="1"/>
  <c r="AA287" i="1"/>
  <c r="W283" i="1"/>
  <c r="AA283" i="1" s="1"/>
  <c r="BZ283" i="1"/>
  <c r="CB283" i="1" s="1"/>
  <c r="BH283" i="1"/>
  <c r="BG283" i="1"/>
  <c r="BF283" i="1"/>
  <c r="BD283" i="1"/>
  <c r="BB283" i="1"/>
  <c r="AL283" i="1"/>
  <c r="N283" i="1"/>
  <c r="BC283" i="1" s="1"/>
  <c r="W263" i="1"/>
  <c r="AA263" i="1" s="1"/>
  <c r="BZ263" i="1"/>
  <c r="CB263" i="1" s="1"/>
  <c r="BH263" i="1"/>
  <c r="BG263" i="1"/>
  <c r="BF263" i="1"/>
  <c r="BD263" i="1"/>
  <c r="BC263" i="1"/>
  <c r="BB263" i="1"/>
  <c r="AL263" i="1"/>
  <c r="W247" i="1"/>
  <c r="AA247" i="1" s="1"/>
  <c r="BZ247" i="1"/>
  <c r="CB247" i="1" s="1"/>
  <c r="BH247" i="1"/>
  <c r="BG247" i="1"/>
  <c r="BF247" i="1"/>
  <c r="BD247" i="1"/>
  <c r="BC247" i="1"/>
  <c r="BB247" i="1"/>
  <c r="AL247" i="1"/>
  <c r="W270" i="1"/>
  <c r="AA270" i="1" s="1"/>
  <c r="W279" i="1"/>
  <c r="AA279" i="1" s="1"/>
  <c r="BZ279" i="1"/>
  <c r="CB279" i="1" s="1"/>
  <c r="BH279" i="1"/>
  <c r="BG279" i="1"/>
  <c r="BF279" i="1"/>
  <c r="BD279" i="1"/>
  <c r="BC279" i="1"/>
  <c r="BB279" i="1"/>
  <c r="AL279" i="1"/>
  <c r="W253" i="1"/>
  <c r="AA253" i="1" s="1"/>
  <c r="BZ253" i="1"/>
  <c r="CB253" i="1" s="1"/>
  <c r="BH253" i="1"/>
  <c r="BG253" i="1"/>
  <c r="BF253" i="1"/>
  <c r="BD253" i="1"/>
  <c r="BC253" i="1"/>
  <c r="BB253" i="1"/>
  <c r="AL253" i="1"/>
  <c r="BZ270" i="1"/>
  <c r="CB270" i="1" s="1"/>
  <c r="BH270" i="1"/>
  <c r="BG270" i="1"/>
  <c r="BF270" i="1"/>
  <c r="BD270" i="1"/>
  <c r="BC270" i="1"/>
  <c r="BB270" i="1"/>
  <c r="AL270" i="1"/>
  <c r="AN270" i="1" s="1"/>
  <c r="AN280" i="1" l="1"/>
  <c r="CD280" i="1" s="1" a="1"/>
  <c r="CD280" i="1" s="1"/>
  <c r="CJ280" i="1" s="1"/>
  <c r="AN279" i="1"/>
  <c r="CD279" i="1" s="1" a="1"/>
  <c r="CD279" i="1" s="1"/>
  <c r="CJ279" i="1" s="1"/>
  <c r="AN247" i="1"/>
  <c r="CD247" i="1" s="1" a="1"/>
  <c r="CD247" i="1" s="1"/>
  <c r="CJ247" i="1" s="1"/>
  <c r="AN274" i="1"/>
  <c r="CD274" i="1" s="1" a="1"/>
  <c r="CD274" i="1" s="1"/>
  <c r="CJ274" i="1" s="1"/>
  <c r="AN263" i="1"/>
  <c r="CD263" i="1" s="1" a="1"/>
  <c r="CD263" i="1" s="1"/>
  <c r="CJ263" i="1" s="1"/>
  <c r="AN253" i="1"/>
  <c r="CD253" i="1" s="1" a="1"/>
  <c r="CD253" i="1" s="1"/>
  <c r="CJ253" i="1" s="1"/>
  <c r="AN254" i="1"/>
  <c r="CD254" i="1" s="1" a="1"/>
  <c r="CD254" i="1" s="1"/>
  <c r="CJ254" i="1" s="1"/>
  <c r="AN283" i="1"/>
  <c r="CD283" i="1" s="1" a="1"/>
  <c r="CD283" i="1" s="1"/>
  <c r="CJ283" i="1" s="1"/>
  <c r="AN287" i="1"/>
  <c r="CD287" i="1" s="1" a="1"/>
  <c r="CD287" i="1" s="1"/>
  <c r="CJ287" i="1" s="1"/>
  <c r="BJ280" i="1"/>
  <c r="BL280" i="1" s="1"/>
  <c r="BJ287" i="1"/>
  <c r="BL287" i="1" s="1"/>
  <c r="BJ247" i="1"/>
  <c r="BL247" i="1" s="1"/>
  <c r="BJ270" i="1"/>
  <c r="BL270" i="1" s="1"/>
  <c r="BJ263" i="1"/>
  <c r="BL263" i="1" s="1"/>
  <c r="BJ274" i="1"/>
  <c r="BL274" i="1" s="1"/>
  <c r="BJ253" i="1"/>
  <c r="BL253" i="1" s="1"/>
  <c r="BJ283" i="1"/>
  <c r="BL283" i="1" s="1"/>
  <c r="BJ254" i="1"/>
  <c r="BL254" i="1" s="1"/>
  <c r="BJ279" i="1"/>
  <c r="BL279" i="1" s="1"/>
  <c r="BI287" i="1"/>
  <c r="BK287" i="1" s="1"/>
  <c r="BI274" i="1"/>
  <c r="BK274" i="1" s="1"/>
  <c r="BI270" i="1"/>
  <c r="BK270" i="1" s="1"/>
  <c r="BI279" i="1"/>
  <c r="BK279" i="1" s="1"/>
  <c r="BI283" i="1"/>
  <c r="BK283" i="1" s="1"/>
  <c r="BI263" i="1"/>
  <c r="BK263" i="1" s="1"/>
  <c r="BI280" i="1"/>
  <c r="BK280" i="1" s="1"/>
  <c r="BI254" i="1"/>
  <c r="BK254" i="1" s="1"/>
  <c r="AK287" i="1"/>
  <c r="AK263" i="1"/>
  <c r="BI247" i="1"/>
  <c r="BK247" i="1" s="1"/>
  <c r="BI253" i="1"/>
  <c r="BK253" i="1" s="1"/>
  <c r="AK270" i="1"/>
  <c r="BZ34" i="1"/>
  <c r="CB34" i="1" s="1"/>
  <c r="BH34" i="1"/>
  <c r="BG34" i="1"/>
  <c r="BF34" i="1"/>
  <c r="BD34" i="1"/>
  <c r="BC34" i="1"/>
  <c r="BB34" i="1"/>
  <c r="AL34" i="1"/>
  <c r="AA34" i="1"/>
  <c r="AN34" i="1" l="1"/>
  <c r="CD34" i="1" s="1" a="1"/>
  <c r="CD34" i="1" s="1"/>
  <c r="CJ34" i="1" s="1"/>
  <c r="BJ34" i="1"/>
  <c r="BL34" i="1" s="1"/>
  <c r="BI34" i="1"/>
  <c r="BK34" i="1" s="1"/>
  <c r="BH33" i="1" l="1"/>
  <c r="BH31" i="1"/>
  <c r="BH32" i="1"/>
  <c r="BH114" i="1"/>
  <c r="BH102" i="1"/>
  <c r="BH96" i="1"/>
  <c r="BH80" i="1"/>
  <c r="BH65" i="1"/>
  <c r="BH42" i="1"/>
  <c r="BH53" i="1"/>
  <c r="BH47" i="1"/>
  <c r="BH35" i="1"/>
  <c r="BH91" i="1"/>
  <c r="BH109" i="1"/>
  <c r="BH103" i="1"/>
  <c r="BH63" i="1"/>
  <c r="BH66" i="1"/>
  <c r="BH92" i="1"/>
  <c r="BH81" i="1"/>
  <c r="BH97" i="1"/>
  <c r="BH82" i="1"/>
  <c r="BH110" i="1"/>
  <c r="BH75" i="1"/>
  <c r="BH104" i="1"/>
  <c r="BH83" i="1"/>
  <c r="BH93" i="1"/>
  <c r="BH98" i="1"/>
  <c r="BH84" i="1"/>
  <c r="BH67" i="1"/>
  <c r="BH76" i="1"/>
  <c r="BH95" i="1"/>
  <c r="BH69" i="1"/>
  <c r="BH77" i="1"/>
  <c r="BH108" i="1"/>
  <c r="BH106" i="1"/>
  <c r="BH99" i="1"/>
  <c r="BH89" i="1"/>
  <c r="BH70" i="1"/>
  <c r="BH94" i="1"/>
  <c r="BH105" i="1"/>
  <c r="BH90" i="1"/>
  <c r="BH78" i="1"/>
  <c r="BH71" i="1"/>
  <c r="BH86" i="1"/>
  <c r="BH107" i="1"/>
  <c r="BH73" i="1"/>
  <c r="BH72" i="1"/>
  <c r="BH74" i="1"/>
  <c r="BH87" i="1"/>
  <c r="BH100" i="1"/>
  <c r="BH2" i="1"/>
  <c r="BH12" i="1"/>
  <c r="BH15" i="1"/>
  <c r="BH17" i="1"/>
  <c r="BH18" i="1"/>
  <c r="BH19" i="1"/>
  <c r="BH20" i="1"/>
  <c r="BH21" i="1"/>
  <c r="BH22" i="1"/>
  <c r="BH23" i="1"/>
  <c r="BH24" i="1"/>
  <c r="BH25" i="1"/>
  <c r="BH26" i="1"/>
  <c r="BH121" i="1"/>
  <c r="BH122" i="1"/>
  <c r="BH124" i="1"/>
  <c r="BH125" i="1"/>
  <c r="BH126" i="1"/>
  <c r="BH127" i="1"/>
  <c r="BH129" i="1"/>
  <c r="BH130" i="1"/>
  <c r="BH132" i="1"/>
  <c r="BH134" i="1"/>
  <c r="BH135" i="1"/>
  <c r="BH136" i="1"/>
  <c r="BH137" i="1"/>
  <c r="BH138" i="1"/>
  <c r="BH139" i="1"/>
  <c r="BH158" i="1"/>
  <c r="BH290" i="1"/>
  <c r="BH236" i="1"/>
  <c r="BH28" i="1"/>
  <c r="BH29" i="1"/>
  <c r="BH30" i="1"/>
  <c r="BH306" i="1"/>
  <c r="BH307" i="1"/>
  <c r="BH308" i="1"/>
  <c r="BH309" i="1"/>
  <c r="BH295" i="1"/>
  <c r="BH293" i="1"/>
  <c r="BH296" i="1"/>
  <c r="BH298" i="1"/>
  <c r="BH310" i="1"/>
  <c r="BH311" i="1"/>
  <c r="BH312" i="1"/>
  <c r="BH313" i="1"/>
  <c r="BH314" i="1"/>
  <c r="BH315" i="1"/>
  <c r="BH317" i="1"/>
  <c r="BH318" i="1"/>
  <c r="BH321" i="1"/>
  <c r="BH322" i="1"/>
  <c r="BH320" i="1"/>
  <c r="BH319" i="1"/>
  <c r="BH240" i="1"/>
  <c r="BH241" i="1"/>
  <c r="BH242" i="1"/>
  <c r="BH243" i="1"/>
  <c r="BH244" i="1"/>
  <c r="BH238" i="1"/>
  <c r="BH245" i="1"/>
  <c r="BH246" i="1"/>
  <c r="BH248" i="1"/>
  <c r="BH249" i="1"/>
  <c r="BH250" i="1"/>
  <c r="BH251" i="1"/>
  <c r="BH252" i="1"/>
  <c r="BH255" i="1"/>
  <c r="BH256" i="1"/>
  <c r="BH257" i="1"/>
  <c r="BH258" i="1"/>
  <c r="BH259" i="1"/>
  <c r="BH261" i="1"/>
  <c r="BH262" i="1"/>
  <c r="BH264" i="1"/>
  <c r="BH265" i="1"/>
  <c r="BH266" i="1"/>
  <c r="BH267" i="1"/>
  <c r="BH268" i="1"/>
  <c r="BH271" i="1"/>
  <c r="BH272" i="1"/>
  <c r="BH275" i="1"/>
  <c r="BH278" i="1"/>
  <c r="BH281" i="1"/>
  <c r="BH282" i="1"/>
  <c r="BH285" i="1"/>
  <c r="BH286" i="1"/>
  <c r="BH288" i="1"/>
  <c r="BH292" i="1"/>
  <c r="BH294" i="1"/>
  <c r="BH269" i="1"/>
  <c r="BH141" i="1"/>
  <c r="BH142" i="1"/>
  <c r="BH143" i="1"/>
  <c r="BH239" i="1"/>
  <c r="BH144" i="1"/>
  <c r="BH145" i="1"/>
  <c r="BH147" i="1"/>
  <c r="BH148" i="1"/>
  <c r="BH150" i="1"/>
  <c r="BH152" i="1"/>
  <c r="BH153" i="1"/>
  <c r="BH155" i="1"/>
  <c r="BH157" i="1"/>
  <c r="BH159" i="1"/>
  <c r="BH161" i="1"/>
  <c r="BH162" i="1"/>
  <c r="BH163" i="1"/>
  <c r="BH164" i="1"/>
  <c r="BH165" i="1"/>
  <c r="BH166" i="1"/>
  <c r="BH168" i="1"/>
  <c r="BH169" i="1"/>
  <c r="BH170" i="1"/>
  <c r="BH237"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5" i="1"/>
  <c r="BH226" i="1"/>
  <c r="BH227" i="1"/>
  <c r="BH228" i="1"/>
  <c r="BH230" i="1"/>
  <c r="BH231" i="1"/>
  <c r="BH232" i="1"/>
  <c r="BH233" i="1"/>
  <c r="BH234" i="1"/>
  <c r="BH235" i="1"/>
  <c r="BH113" i="1"/>
  <c r="BF33" i="1"/>
  <c r="BF31" i="1"/>
  <c r="BF32" i="1"/>
  <c r="BF114" i="1"/>
  <c r="BF102" i="1"/>
  <c r="BF96" i="1"/>
  <c r="BF80" i="1"/>
  <c r="BF65" i="1"/>
  <c r="BF42" i="1"/>
  <c r="BF53" i="1"/>
  <c r="BF47" i="1"/>
  <c r="BF35" i="1"/>
  <c r="BF91" i="1"/>
  <c r="BF109" i="1"/>
  <c r="BF103" i="1"/>
  <c r="BF63" i="1"/>
  <c r="BF66" i="1"/>
  <c r="BF92" i="1"/>
  <c r="BF81" i="1"/>
  <c r="BF97" i="1"/>
  <c r="BF82" i="1"/>
  <c r="BF110" i="1"/>
  <c r="BF75" i="1"/>
  <c r="BF104" i="1"/>
  <c r="BF83" i="1"/>
  <c r="BF93" i="1"/>
  <c r="BF98" i="1"/>
  <c r="BF67" i="1"/>
  <c r="BF76" i="1"/>
  <c r="BF95" i="1"/>
  <c r="BF69" i="1"/>
  <c r="BF77" i="1"/>
  <c r="BF108" i="1"/>
  <c r="BF106" i="1"/>
  <c r="BF99" i="1"/>
  <c r="BF89" i="1"/>
  <c r="BF70" i="1"/>
  <c r="BF94" i="1"/>
  <c r="BF105" i="1"/>
  <c r="BF90" i="1"/>
  <c r="BF78" i="1"/>
  <c r="BF71" i="1"/>
  <c r="BF86" i="1"/>
  <c r="BF107" i="1"/>
  <c r="BF73" i="1"/>
  <c r="BF72" i="1"/>
  <c r="BF74" i="1"/>
  <c r="BF87" i="1"/>
  <c r="BF100" i="1"/>
  <c r="BF2" i="1"/>
  <c r="BF12" i="1"/>
  <c r="BF15" i="1"/>
  <c r="BF17" i="1"/>
  <c r="BF18" i="1"/>
  <c r="BF19" i="1"/>
  <c r="BF20" i="1"/>
  <c r="BF21" i="1"/>
  <c r="BF22" i="1"/>
  <c r="BF23" i="1"/>
  <c r="BF24" i="1"/>
  <c r="BF25" i="1"/>
  <c r="BF26" i="1"/>
  <c r="BF121" i="1"/>
  <c r="BF122" i="1"/>
  <c r="BF124" i="1"/>
  <c r="BF125" i="1"/>
  <c r="BF126" i="1"/>
  <c r="BF127" i="1"/>
  <c r="BF129" i="1"/>
  <c r="BF130" i="1"/>
  <c r="BF132" i="1"/>
  <c r="BF134" i="1"/>
  <c r="BF135" i="1"/>
  <c r="BF136" i="1"/>
  <c r="BF137" i="1"/>
  <c r="BF138" i="1"/>
  <c r="BF139" i="1"/>
  <c r="BF158" i="1"/>
  <c r="BF290" i="1"/>
  <c r="BF236" i="1"/>
  <c r="BF28" i="1"/>
  <c r="BF29" i="1"/>
  <c r="BF30" i="1"/>
  <c r="BF306" i="1"/>
  <c r="BF307" i="1"/>
  <c r="BF308" i="1"/>
  <c r="BF309" i="1"/>
  <c r="BF295" i="1"/>
  <c r="BF293" i="1"/>
  <c r="BF296" i="1"/>
  <c r="BF298" i="1"/>
  <c r="BF310" i="1"/>
  <c r="BF311" i="1"/>
  <c r="BF312" i="1"/>
  <c r="BF313" i="1"/>
  <c r="BF315" i="1"/>
  <c r="BF317" i="1"/>
  <c r="BF318" i="1"/>
  <c r="BF321" i="1"/>
  <c r="BF322" i="1"/>
  <c r="BF320" i="1"/>
  <c r="BF319" i="1"/>
  <c r="BF240" i="1"/>
  <c r="BF241" i="1"/>
  <c r="BF242" i="1"/>
  <c r="BF244" i="1"/>
  <c r="BF238" i="1"/>
  <c r="BF245" i="1"/>
  <c r="BF246" i="1"/>
  <c r="BF248" i="1"/>
  <c r="BF249" i="1"/>
  <c r="BF250" i="1"/>
  <c r="BF251" i="1"/>
  <c r="BF252" i="1"/>
  <c r="BF255" i="1"/>
  <c r="BF256" i="1"/>
  <c r="BF257" i="1"/>
  <c r="BF258" i="1"/>
  <c r="BF259" i="1"/>
  <c r="BF261" i="1"/>
  <c r="BF262" i="1"/>
  <c r="BF264" i="1"/>
  <c r="BF265" i="1"/>
  <c r="BF266" i="1"/>
  <c r="BF267" i="1"/>
  <c r="BF268" i="1"/>
  <c r="BF271" i="1"/>
  <c r="BF272" i="1"/>
  <c r="BF278" i="1"/>
  <c r="BF281" i="1"/>
  <c r="BF282" i="1"/>
  <c r="BF285" i="1"/>
  <c r="BF286" i="1"/>
  <c r="BF288" i="1"/>
  <c r="BF292" i="1"/>
  <c r="BF294" i="1"/>
  <c r="BF269" i="1"/>
  <c r="BF141" i="1"/>
  <c r="BF142" i="1"/>
  <c r="BF143" i="1"/>
  <c r="BF239" i="1"/>
  <c r="BF144" i="1"/>
  <c r="BF145" i="1"/>
  <c r="BF147" i="1"/>
  <c r="BF148" i="1"/>
  <c r="BF150" i="1"/>
  <c r="BF152" i="1"/>
  <c r="BF153" i="1"/>
  <c r="BF155" i="1"/>
  <c r="BF157" i="1"/>
  <c r="BF159" i="1"/>
  <c r="BF161" i="1"/>
  <c r="BF162" i="1"/>
  <c r="BF163" i="1"/>
  <c r="BF164" i="1"/>
  <c r="BF165" i="1"/>
  <c r="BF166" i="1"/>
  <c r="BF168" i="1"/>
  <c r="BF169" i="1"/>
  <c r="BF170" i="1"/>
  <c r="BF237" i="1"/>
  <c r="BF171" i="1"/>
  <c r="BF172" i="1"/>
  <c r="BF173" i="1"/>
  <c r="BF174" i="1"/>
  <c r="BF175" i="1"/>
  <c r="BF176" i="1"/>
  <c r="BF177" i="1"/>
  <c r="BF178" i="1"/>
  <c r="BF179" i="1"/>
  <c r="BF180" i="1"/>
  <c r="BF181" i="1"/>
  <c r="BF182" i="1"/>
  <c r="BF183" i="1"/>
  <c r="BF184" i="1"/>
  <c r="BF185" i="1"/>
  <c r="BF186" i="1"/>
  <c r="BF187" i="1"/>
  <c r="BF188" i="1"/>
  <c r="BF189" i="1"/>
  <c r="BF190" i="1"/>
  <c r="BF191" i="1"/>
  <c r="BF192" i="1"/>
  <c r="BF193" i="1"/>
  <c r="BF194" i="1"/>
  <c r="BF195" i="1"/>
  <c r="BF196" i="1"/>
  <c r="BF197" i="1"/>
  <c r="BF198" i="1"/>
  <c r="BF199" i="1"/>
  <c r="BF200" i="1"/>
  <c r="BF201" i="1"/>
  <c r="BF202" i="1"/>
  <c r="BF203" i="1"/>
  <c r="BF204" i="1"/>
  <c r="BF205" i="1"/>
  <c r="BF206" i="1"/>
  <c r="BF207" i="1"/>
  <c r="BF208" i="1"/>
  <c r="BF209" i="1"/>
  <c r="BF210" i="1"/>
  <c r="BF211" i="1"/>
  <c r="BF212" i="1"/>
  <c r="BF213" i="1"/>
  <c r="BF214" i="1"/>
  <c r="BF215" i="1"/>
  <c r="BF216" i="1"/>
  <c r="BF217" i="1"/>
  <c r="BF218" i="1"/>
  <c r="BF219" i="1"/>
  <c r="BF220" i="1"/>
  <c r="BF221" i="1"/>
  <c r="BF222" i="1"/>
  <c r="BF223" i="1"/>
  <c r="BF225" i="1"/>
  <c r="BF226" i="1"/>
  <c r="BF227" i="1"/>
  <c r="BF228" i="1"/>
  <c r="BF230" i="1"/>
  <c r="BF231" i="1"/>
  <c r="BF232" i="1"/>
  <c r="BF233" i="1"/>
  <c r="BF234" i="1"/>
  <c r="BF235" i="1"/>
  <c r="BF113" i="1"/>
  <c r="BB33" i="1"/>
  <c r="BC33" i="1"/>
  <c r="BD33" i="1"/>
  <c r="BG33" i="1"/>
  <c r="BB31" i="1"/>
  <c r="BC31" i="1"/>
  <c r="BD31" i="1"/>
  <c r="BG31" i="1"/>
  <c r="BB32" i="1"/>
  <c r="BC32" i="1"/>
  <c r="BD32" i="1"/>
  <c r="BG32" i="1"/>
  <c r="BB114" i="1"/>
  <c r="BC114" i="1"/>
  <c r="BD114" i="1"/>
  <c r="BG114" i="1"/>
  <c r="BB102" i="1"/>
  <c r="BC102" i="1"/>
  <c r="BD102" i="1"/>
  <c r="BG102" i="1"/>
  <c r="BB96" i="1"/>
  <c r="BC96" i="1"/>
  <c r="BD96" i="1"/>
  <c r="BG96" i="1"/>
  <c r="BB80" i="1"/>
  <c r="BC80" i="1"/>
  <c r="BD80" i="1"/>
  <c r="BG80" i="1"/>
  <c r="BB65" i="1"/>
  <c r="BC65" i="1"/>
  <c r="BD65" i="1"/>
  <c r="BG65" i="1"/>
  <c r="BB42" i="1"/>
  <c r="BC42" i="1"/>
  <c r="BD42" i="1"/>
  <c r="BG42" i="1"/>
  <c r="BB53" i="1"/>
  <c r="BC53" i="1"/>
  <c r="BD53" i="1"/>
  <c r="BG53" i="1"/>
  <c r="BB47" i="1"/>
  <c r="BC47" i="1"/>
  <c r="BD47" i="1"/>
  <c r="BG47" i="1"/>
  <c r="BB35" i="1"/>
  <c r="BC35" i="1"/>
  <c r="BD35" i="1"/>
  <c r="BG35" i="1"/>
  <c r="BB91" i="1"/>
  <c r="BC91" i="1"/>
  <c r="BD91" i="1"/>
  <c r="BG91" i="1"/>
  <c r="BB109" i="1"/>
  <c r="BC109" i="1"/>
  <c r="BD109" i="1"/>
  <c r="BG109" i="1"/>
  <c r="BB103" i="1"/>
  <c r="BC103" i="1"/>
  <c r="BD103" i="1"/>
  <c r="BG103" i="1"/>
  <c r="BB63" i="1"/>
  <c r="BC63" i="1"/>
  <c r="BD63" i="1"/>
  <c r="BG63" i="1"/>
  <c r="BB66" i="1"/>
  <c r="BC66" i="1"/>
  <c r="BD66" i="1"/>
  <c r="BG66" i="1"/>
  <c r="BB92" i="1"/>
  <c r="BC92" i="1"/>
  <c r="BD92" i="1"/>
  <c r="BG92" i="1"/>
  <c r="BB81" i="1"/>
  <c r="BC81" i="1"/>
  <c r="BD81" i="1"/>
  <c r="BG81" i="1"/>
  <c r="BB97" i="1"/>
  <c r="BC97" i="1"/>
  <c r="BD97" i="1"/>
  <c r="BG97" i="1"/>
  <c r="BB82" i="1"/>
  <c r="BC82" i="1"/>
  <c r="BD82" i="1"/>
  <c r="BG82" i="1"/>
  <c r="BB110" i="1"/>
  <c r="BC110" i="1"/>
  <c r="BD110" i="1"/>
  <c r="BG110" i="1"/>
  <c r="BB75" i="1"/>
  <c r="BC75" i="1"/>
  <c r="BD75" i="1"/>
  <c r="BG75" i="1"/>
  <c r="BB104" i="1"/>
  <c r="BC104" i="1"/>
  <c r="BD104" i="1"/>
  <c r="BG104" i="1"/>
  <c r="BB83" i="1"/>
  <c r="BC83" i="1"/>
  <c r="BD83" i="1"/>
  <c r="BG83" i="1"/>
  <c r="BB93" i="1"/>
  <c r="BC93" i="1"/>
  <c r="BD93" i="1"/>
  <c r="BG93" i="1"/>
  <c r="BB98" i="1"/>
  <c r="BC98" i="1"/>
  <c r="BD98" i="1"/>
  <c r="BG98" i="1"/>
  <c r="BB84" i="1"/>
  <c r="BC84" i="1"/>
  <c r="BD84" i="1"/>
  <c r="BG84" i="1"/>
  <c r="BB67" i="1"/>
  <c r="BC67" i="1"/>
  <c r="BD67" i="1"/>
  <c r="BG67" i="1"/>
  <c r="BB76" i="1"/>
  <c r="BC76" i="1"/>
  <c r="BD76" i="1"/>
  <c r="BG76" i="1"/>
  <c r="BB95" i="1"/>
  <c r="BC95" i="1"/>
  <c r="BD95" i="1"/>
  <c r="BG95" i="1"/>
  <c r="BB69" i="1"/>
  <c r="BC69" i="1"/>
  <c r="BD69" i="1"/>
  <c r="BG69" i="1"/>
  <c r="BB77" i="1"/>
  <c r="BC77" i="1"/>
  <c r="BD77" i="1"/>
  <c r="BG77" i="1"/>
  <c r="BB108" i="1"/>
  <c r="BC108" i="1"/>
  <c r="BD108" i="1"/>
  <c r="BG108" i="1"/>
  <c r="BB106" i="1"/>
  <c r="BC106" i="1"/>
  <c r="BD106" i="1"/>
  <c r="BG106" i="1"/>
  <c r="BB99" i="1"/>
  <c r="BC99" i="1"/>
  <c r="BD99" i="1"/>
  <c r="BG99" i="1"/>
  <c r="BB89" i="1"/>
  <c r="BC89" i="1"/>
  <c r="BD89" i="1"/>
  <c r="BG89" i="1"/>
  <c r="BB70" i="1"/>
  <c r="BC70" i="1"/>
  <c r="BD70" i="1"/>
  <c r="BG70" i="1"/>
  <c r="BB94" i="1"/>
  <c r="BC94" i="1"/>
  <c r="BD94" i="1"/>
  <c r="BG94" i="1"/>
  <c r="BB105" i="1"/>
  <c r="BC105" i="1"/>
  <c r="BD105" i="1"/>
  <c r="BG105" i="1"/>
  <c r="BB90" i="1"/>
  <c r="BC90" i="1"/>
  <c r="BD90" i="1"/>
  <c r="BG90" i="1"/>
  <c r="BB78" i="1"/>
  <c r="BC78" i="1"/>
  <c r="BD78" i="1"/>
  <c r="BG78" i="1"/>
  <c r="BB71" i="1"/>
  <c r="BC71" i="1"/>
  <c r="BD71" i="1"/>
  <c r="BG71" i="1"/>
  <c r="BB86" i="1"/>
  <c r="BC86" i="1"/>
  <c r="BD86" i="1"/>
  <c r="BG86" i="1"/>
  <c r="BB107" i="1"/>
  <c r="BC107" i="1"/>
  <c r="BD107" i="1"/>
  <c r="BG107" i="1"/>
  <c r="BB73" i="1"/>
  <c r="BC73" i="1"/>
  <c r="BD73" i="1"/>
  <c r="BG73" i="1"/>
  <c r="BB72" i="1"/>
  <c r="BC72" i="1"/>
  <c r="BD72" i="1"/>
  <c r="BG72" i="1"/>
  <c r="BB74" i="1"/>
  <c r="BC74" i="1"/>
  <c r="BD74" i="1"/>
  <c r="BG74" i="1"/>
  <c r="BB87" i="1"/>
  <c r="BC87" i="1"/>
  <c r="BD87" i="1"/>
  <c r="BG87" i="1"/>
  <c r="BB100" i="1"/>
  <c r="BC100" i="1"/>
  <c r="BD100" i="1"/>
  <c r="BG100" i="1"/>
  <c r="BB2" i="1"/>
  <c r="BC2" i="1"/>
  <c r="BD2" i="1"/>
  <c r="BG2" i="1"/>
  <c r="BB12" i="1"/>
  <c r="BC12" i="1"/>
  <c r="BD12" i="1"/>
  <c r="BG12" i="1"/>
  <c r="BB15" i="1"/>
  <c r="BC15" i="1"/>
  <c r="BD15" i="1"/>
  <c r="BG15" i="1"/>
  <c r="BB17" i="1"/>
  <c r="BC17" i="1"/>
  <c r="BD17" i="1"/>
  <c r="BG17" i="1"/>
  <c r="BB18" i="1"/>
  <c r="BC18" i="1"/>
  <c r="BD18" i="1"/>
  <c r="BG18" i="1"/>
  <c r="BB19" i="1"/>
  <c r="BC19" i="1"/>
  <c r="BD19" i="1"/>
  <c r="BG19" i="1"/>
  <c r="BB20" i="1"/>
  <c r="BC20" i="1"/>
  <c r="BD20" i="1"/>
  <c r="BG20" i="1"/>
  <c r="BB21" i="1"/>
  <c r="BC21" i="1"/>
  <c r="BD21" i="1"/>
  <c r="BG21" i="1"/>
  <c r="BB22" i="1"/>
  <c r="BC22" i="1"/>
  <c r="BD22" i="1"/>
  <c r="BG22" i="1"/>
  <c r="BB23" i="1"/>
  <c r="BC23" i="1"/>
  <c r="BD23" i="1"/>
  <c r="BG23" i="1"/>
  <c r="BB24" i="1"/>
  <c r="BC24" i="1"/>
  <c r="BD24" i="1"/>
  <c r="BG24" i="1"/>
  <c r="BB25" i="1"/>
  <c r="BC25" i="1"/>
  <c r="BD25" i="1"/>
  <c r="BG25" i="1"/>
  <c r="BB26" i="1"/>
  <c r="BC26" i="1"/>
  <c r="BD26" i="1"/>
  <c r="BG26" i="1"/>
  <c r="BB121" i="1"/>
  <c r="BC121" i="1"/>
  <c r="BD121" i="1"/>
  <c r="BG121" i="1"/>
  <c r="BB122" i="1"/>
  <c r="BC122" i="1"/>
  <c r="BD122" i="1"/>
  <c r="BG122" i="1"/>
  <c r="BB124" i="1"/>
  <c r="BC124" i="1"/>
  <c r="BD124" i="1"/>
  <c r="BG124" i="1"/>
  <c r="BB125" i="1"/>
  <c r="BC125" i="1"/>
  <c r="BD125" i="1"/>
  <c r="BG125" i="1"/>
  <c r="BB126" i="1"/>
  <c r="BC126" i="1"/>
  <c r="BD126" i="1"/>
  <c r="BG126" i="1"/>
  <c r="BB127" i="1"/>
  <c r="BC127" i="1"/>
  <c r="BD127" i="1"/>
  <c r="BG127" i="1"/>
  <c r="BB129" i="1"/>
  <c r="BC129" i="1"/>
  <c r="BD129" i="1"/>
  <c r="BG129" i="1"/>
  <c r="BB130" i="1"/>
  <c r="BC130" i="1"/>
  <c r="BD130" i="1"/>
  <c r="BG130" i="1"/>
  <c r="BB132" i="1"/>
  <c r="BC132" i="1"/>
  <c r="BD132" i="1"/>
  <c r="BG132" i="1"/>
  <c r="BC134" i="1"/>
  <c r="BD134" i="1"/>
  <c r="BG134" i="1"/>
  <c r="BB135" i="1"/>
  <c r="BC135" i="1"/>
  <c r="BD135" i="1"/>
  <c r="BG135" i="1"/>
  <c r="BB136" i="1"/>
  <c r="BC136" i="1"/>
  <c r="BD136" i="1"/>
  <c r="BG136" i="1"/>
  <c r="BB137" i="1"/>
  <c r="BC137" i="1"/>
  <c r="BD137" i="1"/>
  <c r="BG137" i="1"/>
  <c r="BB138" i="1"/>
  <c r="BC138" i="1"/>
  <c r="BD138" i="1"/>
  <c r="BG138" i="1"/>
  <c r="BB139" i="1"/>
  <c r="BC139" i="1"/>
  <c r="BD139" i="1"/>
  <c r="BG139" i="1"/>
  <c r="BB158" i="1"/>
  <c r="BC158" i="1"/>
  <c r="BD158" i="1"/>
  <c r="BG158" i="1"/>
  <c r="BB290" i="1"/>
  <c r="BD290" i="1"/>
  <c r="BG290" i="1"/>
  <c r="BB236" i="1"/>
  <c r="BC236" i="1"/>
  <c r="BD236" i="1"/>
  <c r="BG236" i="1"/>
  <c r="BB28" i="1"/>
  <c r="BC28" i="1"/>
  <c r="BD28" i="1"/>
  <c r="BG28" i="1"/>
  <c r="BB29" i="1"/>
  <c r="BC29" i="1"/>
  <c r="BD29" i="1"/>
  <c r="BG29" i="1"/>
  <c r="BB30" i="1"/>
  <c r="BC30" i="1"/>
  <c r="BD30" i="1"/>
  <c r="BG30" i="1"/>
  <c r="BB306" i="1"/>
  <c r="BC306" i="1"/>
  <c r="BD306" i="1"/>
  <c r="BG306" i="1"/>
  <c r="BB307" i="1"/>
  <c r="BC307" i="1"/>
  <c r="BD307" i="1"/>
  <c r="BG307" i="1"/>
  <c r="BB308" i="1"/>
  <c r="BC308" i="1"/>
  <c r="BD308" i="1"/>
  <c r="BG308" i="1"/>
  <c r="BB309" i="1"/>
  <c r="BC309" i="1"/>
  <c r="BD309" i="1"/>
  <c r="BG309" i="1"/>
  <c r="BB295" i="1"/>
  <c r="BC295" i="1"/>
  <c r="BD295" i="1"/>
  <c r="BG295" i="1"/>
  <c r="BB293" i="1"/>
  <c r="BC293" i="1"/>
  <c r="BD293" i="1"/>
  <c r="BG293" i="1"/>
  <c r="BB296" i="1"/>
  <c r="BC296" i="1"/>
  <c r="BD296" i="1"/>
  <c r="BG296" i="1"/>
  <c r="BB298" i="1"/>
  <c r="BC298" i="1"/>
  <c r="BD298" i="1"/>
  <c r="BG298" i="1"/>
  <c r="BB310" i="1"/>
  <c r="BC310" i="1"/>
  <c r="BD310" i="1"/>
  <c r="BG310" i="1"/>
  <c r="BB311" i="1"/>
  <c r="BC311" i="1"/>
  <c r="BD311" i="1"/>
  <c r="BG311" i="1"/>
  <c r="BB312" i="1"/>
  <c r="BC312" i="1"/>
  <c r="BD312" i="1"/>
  <c r="BG312" i="1"/>
  <c r="BB313" i="1"/>
  <c r="BC313" i="1"/>
  <c r="BD313" i="1"/>
  <c r="BG313" i="1"/>
  <c r="BB314" i="1"/>
  <c r="BC314" i="1"/>
  <c r="BD314" i="1"/>
  <c r="BG314" i="1"/>
  <c r="BB315" i="1"/>
  <c r="BC315" i="1"/>
  <c r="BD315" i="1"/>
  <c r="BG315" i="1"/>
  <c r="BB317" i="1"/>
  <c r="BC317" i="1"/>
  <c r="BD317" i="1"/>
  <c r="BG317" i="1"/>
  <c r="BB318" i="1"/>
  <c r="BC318" i="1"/>
  <c r="BD318" i="1"/>
  <c r="BG318" i="1"/>
  <c r="BB321" i="1"/>
  <c r="BC321" i="1"/>
  <c r="BD321" i="1"/>
  <c r="BG321" i="1"/>
  <c r="BB322" i="1"/>
  <c r="BC322" i="1"/>
  <c r="BD322" i="1"/>
  <c r="BG322" i="1"/>
  <c r="BB320" i="1"/>
  <c r="BC320" i="1"/>
  <c r="BD320" i="1"/>
  <c r="BG320" i="1"/>
  <c r="BB319" i="1"/>
  <c r="BC319" i="1"/>
  <c r="BD319" i="1"/>
  <c r="BG319" i="1"/>
  <c r="BB240" i="1"/>
  <c r="BC240" i="1"/>
  <c r="BD240" i="1"/>
  <c r="BG240" i="1"/>
  <c r="BB241" i="1"/>
  <c r="BC241" i="1"/>
  <c r="BD241" i="1"/>
  <c r="BG241" i="1"/>
  <c r="BB242" i="1"/>
  <c r="BC242" i="1"/>
  <c r="BD242" i="1"/>
  <c r="BG242" i="1"/>
  <c r="BB243" i="1"/>
  <c r="BC243" i="1"/>
  <c r="BD243" i="1"/>
  <c r="BG243" i="1"/>
  <c r="BB244" i="1"/>
  <c r="BC244" i="1"/>
  <c r="BD244" i="1"/>
  <c r="BG244" i="1"/>
  <c r="BB238" i="1"/>
  <c r="BC238" i="1"/>
  <c r="BD238" i="1"/>
  <c r="BG238" i="1"/>
  <c r="BB245" i="1"/>
  <c r="BC245" i="1"/>
  <c r="BD245" i="1"/>
  <c r="BG245" i="1"/>
  <c r="BB246" i="1"/>
  <c r="BC246" i="1"/>
  <c r="BD246" i="1"/>
  <c r="BG246" i="1"/>
  <c r="BB248" i="1"/>
  <c r="BC248" i="1"/>
  <c r="BD248" i="1"/>
  <c r="BG248" i="1"/>
  <c r="BB249" i="1"/>
  <c r="BC249" i="1"/>
  <c r="BD249" i="1"/>
  <c r="BG249" i="1"/>
  <c r="BB250" i="1"/>
  <c r="BC250" i="1"/>
  <c r="BD250" i="1"/>
  <c r="BG250" i="1"/>
  <c r="BB251" i="1"/>
  <c r="BC251" i="1"/>
  <c r="BD251" i="1"/>
  <c r="BG251" i="1"/>
  <c r="BB252" i="1"/>
  <c r="BC252" i="1"/>
  <c r="BD252" i="1"/>
  <c r="BG252" i="1"/>
  <c r="BB255" i="1"/>
  <c r="BC255" i="1"/>
  <c r="BD255" i="1"/>
  <c r="BG255" i="1"/>
  <c r="BB256" i="1"/>
  <c r="BC256" i="1"/>
  <c r="BD256" i="1"/>
  <c r="BG256" i="1"/>
  <c r="BB257" i="1"/>
  <c r="BD257" i="1"/>
  <c r="BG257" i="1"/>
  <c r="BB258" i="1"/>
  <c r="BC258" i="1"/>
  <c r="BD258" i="1"/>
  <c r="BG258" i="1"/>
  <c r="BB259" i="1"/>
  <c r="BD259" i="1"/>
  <c r="BG259" i="1"/>
  <c r="BB261" i="1"/>
  <c r="BD261" i="1"/>
  <c r="BG261" i="1"/>
  <c r="BB262" i="1"/>
  <c r="BC262" i="1"/>
  <c r="BD262" i="1"/>
  <c r="BG262" i="1"/>
  <c r="BB264" i="1"/>
  <c r="BD264" i="1"/>
  <c r="BG264" i="1"/>
  <c r="BB265" i="1"/>
  <c r="BC265" i="1"/>
  <c r="BD265" i="1"/>
  <c r="BG265" i="1"/>
  <c r="BB266" i="1"/>
  <c r="BD266" i="1"/>
  <c r="BG266" i="1"/>
  <c r="BB267" i="1"/>
  <c r="BC267" i="1"/>
  <c r="BD267" i="1"/>
  <c r="BG267" i="1"/>
  <c r="BB268" i="1"/>
  <c r="BC268" i="1"/>
  <c r="BD268" i="1"/>
  <c r="BG268" i="1"/>
  <c r="BB271" i="1"/>
  <c r="BC271" i="1"/>
  <c r="BD271" i="1"/>
  <c r="BG271" i="1"/>
  <c r="BB272" i="1"/>
  <c r="BC272" i="1"/>
  <c r="BD272" i="1"/>
  <c r="BG272" i="1"/>
  <c r="BB275" i="1"/>
  <c r="BC275" i="1"/>
  <c r="BD275" i="1"/>
  <c r="BG275" i="1"/>
  <c r="BB278" i="1"/>
  <c r="BC278" i="1"/>
  <c r="BD278" i="1"/>
  <c r="BG278" i="1"/>
  <c r="BB281" i="1"/>
  <c r="BC281" i="1"/>
  <c r="BD281" i="1"/>
  <c r="BG281" i="1"/>
  <c r="BB282" i="1"/>
  <c r="BD282" i="1"/>
  <c r="BG282" i="1"/>
  <c r="BB285" i="1"/>
  <c r="BC285" i="1"/>
  <c r="BD285" i="1"/>
  <c r="BG285" i="1"/>
  <c r="BB286" i="1"/>
  <c r="BC286" i="1"/>
  <c r="BD286" i="1"/>
  <c r="BG286" i="1"/>
  <c r="BB288" i="1"/>
  <c r="BC288" i="1"/>
  <c r="BD288" i="1"/>
  <c r="BG288" i="1"/>
  <c r="BB292" i="1"/>
  <c r="BD292" i="1"/>
  <c r="BG292" i="1"/>
  <c r="BB294" i="1"/>
  <c r="BD294" i="1"/>
  <c r="BG294" i="1"/>
  <c r="BB269" i="1"/>
  <c r="BC269" i="1"/>
  <c r="BD269" i="1"/>
  <c r="BG269" i="1"/>
  <c r="BB141" i="1"/>
  <c r="BC141" i="1"/>
  <c r="BD141" i="1"/>
  <c r="BG141" i="1"/>
  <c r="BB142" i="1"/>
  <c r="BC142" i="1"/>
  <c r="BD142" i="1"/>
  <c r="BG142" i="1"/>
  <c r="BB143" i="1"/>
  <c r="BC143" i="1"/>
  <c r="BD143" i="1"/>
  <c r="BG143" i="1"/>
  <c r="BB239" i="1"/>
  <c r="BC239" i="1"/>
  <c r="BD239" i="1"/>
  <c r="BG239" i="1"/>
  <c r="BB144" i="1"/>
  <c r="BC144" i="1"/>
  <c r="BD144" i="1"/>
  <c r="BG144" i="1"/>
  <c r="BB145" i="1"/>
  <c r="BC145" i="1"/>
  <c r="BD145" i="1"/>
  <c r="BG145" i="1"/>
  <c r="BB147" i="1"/>
  <c r="BC147" i="1"/>
  <c r="BD147" i="1"/>
  <c r="BG147" i="1"/>
  <c r="BB148" i="1"/>
  <c r="BC148" i="1"/>
  <c r="BD148" i="1"/>
  <c r="BG148" i="1"/>
  <c r="BB150" i="1"/>
  <c r="BC150" i="1"/>
  <c r="BD150" i="1"/>
  <c r="BG150" i="1"/>
  <c r="BB152" i="1"/>
  <c r="BC152" i="1"/>
  <c r="BD152" i="1"/>
  <c r="BG152" i="1"/>
  <c r="BB153" i="1"/>
  <c r="BC153" i="1"/>
  <c r="BD153" i="1"/>
  <c r="BG153" i="1"/>
  <c r="BB155" i="1"/>
  <c r="BC155" i="1"/>
  <c r="BD155" i="1"/>
  <c r="BG155" i="1"/>
  <c r="BB157" i="1"/>
  <c r="BC157" i="1"/>
  <c r="BD157" i="1"/>
  <c r="BG157" i="1"/>
  <c r="BB159" i="1"/>
  <c r="BC159" i="1"/>
  <c r="BD159" i="1"/>
  <c r="BG159" i="1"/>
  <c r="BB161" i="1"/>
  <c r="BC161" i="1"/>
  <c r="BD161" i="1"/>
  <c r="BG161" i="1"/>
  <c r="BB162" i="1"/>
  <c r="BC162" i="1"/>
  <c r="BD162" i="1"/>
  <c r="BG162" i="1"/>
  <c r="BB163" i="1"/>
  <c r="BC163" i="1"/>
  <c r="BD163" i="1"/>
  <c r="BG163" i="1"/>
  <c r="BB164" i="1"/>
  <c r="BC164" i="1"/>
  <c r="BD164" i="1"/>
  <c r="BG164" i="1"/>
  <c r="BB165" i="1"/>
  <c r="BC165" i="1"/>
  <c r="BD165" i="1"/>
  <c r="BG165" i="1"/>
  <c r="BB166" i="1"/>
  <c r="BC166" i="1"/>
  <c r="BD166" i="1"/>
  <c r="BG166" i="1"/>
  <c r="BB168" i="1"/>
  <c r="BC168" i="1"/>
  <c r="BD168" i="1"/>
  <c r="BG168" i="1"/>
  <c r="BB169" i="1"/>
  <c r="BC169" i="1"/>
  <c r="BD169" i="1"/>
  <c r="BG169" i="1"/>
  <c r="BB170" i="1"/>
  <c r="BC170" i="1"/>
  <c r="BD170" i="1"/>
  <c r="BG170" i="1"/>
  <c r="BB237" i="1"/>
  <c r="BC237" i="1"/>
  <c r="BD237" i="1"/>
  <c r="BG237" i="1"/>
  <c r="BB171" i="1"/>
  <c r="BC171" i="1"/>
  <c r="BD171" i="1"/>
  <c r="BG171" i="1"/>
  <c r="BB172" i="1"/>
  <c r="BC172" i="1"/>
  <c r="BD172" i="1"/>
  <c r="BG172" i="1"/>
  <c r="BB173" i="1"/>
  <c r="BC173" i="1"/>
  <c r="BD173" i="1"/>
  <c r="BG173" i="1"/>
  <c r="BB174" i="1"/>
  <c r="BC174" i="1"/>
  <c r="BD174" i="1"/>
  <c r="BG174" i="1"/>
  <c r="BB175" i="1"/>
  <c r="BC175" i="1"/>
  <c r="BD175" i="1"/>
  <c r="BG175" i="1"/>
  <c r="BB176" i="1"/>
  <c r="BC176" i="1"/>
  <c r="BD176" i="1"/>
  <c r="BG176" i="1"/>
  <c r="BB177" i="1"/>
  <c r="BC177" i="1"/>
  <c r="BD177" i="1"/>
  <c r="BG177" i="1"/>
  <c r="BB178" i="1"/>
  <c r="BC178" i="1"/>
  <c r="BD178" i="1"/>
  <c r="BG178" i="1"/>
  <c r="BB179" i="1"/>
  <c r="BC179" i="1"/>
  <c r="BD179" i="1"/>
  <c r="BG179" i="1"/>
  <c r="BB180" i="1"/>
  <c r="BC180" i="1"/>
  <c r="BD180" i="1"/>
  <c r="BG180" i="1"/>
  <c r="BB181" i="1"/>
  <c r="BC181" i="1"/>
  <c r="BD181" i="1"/>
  <c r="BG181" i="1"/>
  <c r="BB182" i="1"/>
  <c r="BC182" i="1"/>
  <c r="BD182" i="1"/>
  <c r="BG182" i="1"/>
  <c r="BB183" i="1"/>
  <c r="BC183" i="1"/>
  <c r="BD183" i="1"/>
  <c r="BG183" i="1"/>
  <c r="BB184" i="1"/>
  <c r="BC184" i="1"/>
  <c r="BD184" i="1"/>
  <c r="BG184" i="1"/>
  <c r="BB185" i="1"/>
  <c r="BC185" i="1"/>
  <c r="BD185" i="1"/>
  <c r="BG185" i="1"/>
  <c r="BB186" i="1"/>
  <c r="BC186" i="1"/>
  <c r="BD186" i="1"/>
  <c r="BG186" i="1"/>
  <c r="BB187" i="1"/>
  <c r="BC187" i="1"/>
  <c r="BD187" i="1"/>
  <c r="BG187" i="1"/>
  <c r="BB188" i="1"/>
  <c r="BC188" i="1"/>
  <c r="BD188" i="1"/>
  <c r="BG188" i="1"/>
  <c r="BB189" i="1"/>
  <c r="BC189" i="1"/>
  <c r="BD189" i="1"/>
  <c r="BG189" i="1"/>
  <c r="BB190" i="1"/>
  <c r="BC190" i="1"/>
  <c r="BD190" i="1"/>
  <c r="BG190" i="1"/>
  <c r="BB191" i="1"/>
  <c r="BC191" i="1"/>
  <c r="BD191" i="1"/>
  <c r="BG191" i="1"/>
  <c r="BB192" i="1"/>
  <c r="BC192" i="1"/>
  <c r="BD192" i="1"/>
  <c r="BG192" i="1"/>
  <c r="BB193" i="1"/>
  <c r="BC193" i="1"/>
  <c r="BD193" i="1"/>
  <c r="BG193" i="1"/>
  <c r="BB194" i="1"/>
  <c r="BC194" i="1"/>
  <c r="BD194" i="1"/>
  <c r="BG194" i="1"/>
  <c r="BB195" i="1"/>
  <c r="BC195" i="1"/>
  <c r="BD195" i="1"/>
  <c r="BG195" i="1"/>
  <c r="BB196" i="1"/>
  <c r="BC196" i="1"/>
  <c r="BD196" i="1"/>
  <c r="BG196" i="1"/>
  <c r="BB197" i="1"/>
  <c r="BC197" i="1"/>
  <c r="BD197" i="1"/>
  <c r="BG197" i="1"/>
  <c r="BB198" i="1"/>
  <c r="BC198" i="1"/>
  <c r="BD198" i="1"/>
  <c r="BG198" i="1"/>
  <c r="BB199" i="1"/>
  <c r="BC199" i="1"/>
  <c r="BD199" i="1"/>
  <c r="BG199" i="1"/>
  <c r="BB200" i="1"/>
  <c r="BD200" i="1"/>
  <c r="BG200" i="1"/>
  <c r="BB201" i="1"/>
  <c r="BC201" i="1"/>
  <c r="BD201" i="1"/>
  <c r="BG201" i="1"/>
  <c r="BB202" i="1"/>
  <c r="BC202" i="1"/>
  <c r="BD202" i="1"/>
  <c r="BG202" i="1"/>
  <c r="BB203" i="1"/>
  <c r="BC203" i="1"/>
  <c r="BD203" i="1"/>
  <c r="BG203" i="1"/>
  <c r="BB204" i="1"/>
  <c r="BC204" i="1"/>
  <c r="BD204" i="1"/>
  <c r="BG204" i="1"/>
  <c r="BB205" i="1"/>
  <c r="BC205" i="1"/>
  <c r="BD205" i="1"/>
  <c r="BG205" i="1"/>
  <c r="BB206" i="1"/>
  <c r="BD206" i="1"/>
  <c r="BG206" i="1"/>
  <c r="BB207" i="1"/>
  <c r="BC207" i="1"/>
  <c r="BD207" i="1"/>
  <c r="BG207" i="1"/>
  <c r="BB208" i="1"/>
  <c r="BC208" i="1"/>
  <c r="BD208" i="1"/>
  <c r="BG208" i="1"/>
  <c r="BB209" i="1"/>
  <c r="BC209" i="1"/>
  <c r="BD209" i="1"/>
  <c r="BG209" i="1"/>
  <c r="BB210" i="1"/>
  <c r="BC210" i="1"/>
  <c r="BD210" i="1"/>
  <c r="BG210" i="1"/>
  <c r="BB211" i="1"/>
  <c r="BC211" i="1"/>
  <c r="BD211" i="1"/>
  <c r="BG211" i="1"/>
  <c r="BB212" i="1"/>
  <c r="BC212" i="1"/>
  <c r="BD212" i="1"/>
  <c r="BG212" i="1"/>
  <c r="BB213" i="1"/>
  <c r="BC213" i="1"/>
  <c r="BD213" i="1"/>
  <c r="BG213" i="1"/>
  <c r="BB214" i="1"/>
  <c r="BC214" i="1"/>
  <c r="BD214" i="1"/>
  <c r="BG214" i="1"/>
  <c r="BB215" i="1"/>
  <c r="BC215" i="1"/>
  <c r="BD215" i="1"/>
  <c r="BG215" i="1"/>
  <c r="BB216" i="1"/>
  <c r="BC216" i="1"/>
  <c r="BD216" i="1"/>
  <c r="BG216" i="1"/>
  <c r="BB217" i="1"/>
  <c r="BC217" i="1"/>
  <c r="BD217" i="1"/>
  <c r="BG217" i="1"/>
  <c r="BB218" i="1"/>
  <c r="BC218" i="1"/>
  <c r="BD218" i="1"/>
  <c r="BG218" i="1"/>
  <c r="BB219" i="1"/>
  <c r="BC219" i="1"/>
  <c r="BD219" i="1"/>
  <c r="BG219" i="1"/>
  <c r="BB220" i="1"/>
  <c r="BC220" i="1"/>
  <c r="BD220" i="1"/>
  <c r="BG220" i="1"/>
  <c r="BB221" i="1"/>
  <c r="BC221" i="1"/>
  <c r="BD221" i="1"/>
  <c r="BG221" i="1"/>
  <c r="BB222" i="1"/>
  <c r="BC222" i="1"/>
  <c r="BD222" i="1"/>
  <c r="BG222" i="1"/>
  <c r="BB223" i="1"/>
  <c r="BC223" i="1"/>
  <c r="BD223" i="1"/>
  <c r="BG223" i="1"/>
  <c r="BB225" i="1"/>
  <c r="BC225" i="1"/>
  <c r="BD225" i="1"/>
  <c r="BG225" i="1"/>
  <c r="BB226" i="1"/>
  <c r="BC226" i="1"/>
  <c r="BD226" i="1"/>
  <c r="BG226" i="1"/>
  <c r="BB227" i="1"/>
  <c r="BC227" i="1"/>
  <c r="BD227" i="1"/>
  <c r="BG227" i="1"/>
  <c r="BB228" i="1"/>
  <c r="BC228" i="1"/>
  <c r="BD228" i="1"/>
  <c r="BG228" i="1"/>
  <c r="BB230" i="1"/>
  <c r="BC230" i="1"/>
  <c r="BD230" i="1"/>
  <c r="BG230" i="1"/>
  <c r="BB231" i="1"/>
  <c r="BC231" i="1"/>
  <c r="BD231" i="1"/>
  <c r="BG231" i="1"/>
  <c r="BB232" i="1"/>
  <c r="BC232" i="1"/>
  <c r="BD232" i="1"/>
  <c r="BG232" i="1"/>
  <c r="BB233" i="1"/>
  <c r="BC233" i="1"/>
  <c r="BD233" i="1"/>
  <c r="BG233" i="1"/>
  <c r="BB234" i="1"/>
  <c r="BC234" i="1"/>
  <c r="BD234" i="1"/>
  <c r="BG234" i="1"/>
  <c r="BB235" i="1"/>
  <c r="BC235" i="1"/>
  <c r="BD235" i="1"/>
  <c r="BG235" i="1"/>
  <c r="BD113" i="1"/>
  <c r="BC113" i="1"/>
  <c r="BB113" i="1"/>
  <c r="BG113" i="1"/>
  <c r="BJ53" i="1" l="1"/>
  <c r="BL53" i="1" s="1"/>
  <c r="BJ35" i="1"/>
  <c r="BJ47" i="1"/>
  <c r="BJ42" i="1"/>
  <c r="BJ312" i="1"/>
  <c r="BL312" i="1" s="1"/>
  <c r="BJ262" i="1"/>
  <c r="BJ158" i="1"/>
  <c r="BL158" i="1" s="1"/>
  <c r="BJ134" i="1"/>
  <c r="BL134" i="1" s="1"/>
  <c r="BJ26" i="1"/>
  <c r="BL26" i="1" s="1"/>
  <c r="BJ24" i="1"/>
  <c r="BL24" i="1" s="1"/>
  <c r="BJ18" i="1"/>
  <c r="BL18" i="1" s="1"/>
  <c r="BJ15" i="1"/>
  <c r="BL15" i="1" s="1"/>
  <c r="BJ72" i="1"/>
  <c r="BL72" i="1" s="1"/>
  <c r="BJ107" i="1"/>
  <c r="BL107" i="1" s="1"/>
  <c r="BJ127" i="1"/>
  <c r="BL127" i="1" s="1"/>
  <c r="BJ20" i="1"/>
  <c r="BL20" i="1" s="1"/>
  <c r="BJ87" i="1"/>
  <c r="BL87" i="1" s="1"/>
  <c r="BJ90" i="1"/>
  <c r="BL90" i="1" s="1"/>
  <c r="BJ205" i="1"/>
  <c r="BL205" i="1" s="1"/>
  <c r="BJ203" i="1"/>
  <c r="BL203" i="1" s="1"/>
  <c r="BJ278" i="1"/>
  <c r="BL278" i="1" s="1"/>
  <c r="BJ268" i="1"/>
  <c r="BL268" i="1" s="1"/>
  <c r="BJ272" i="1"/>
  <c r="BL272" i="1" s="1"/>
  <c r="BJ130" i="1"/>
  <c r="BL130" i="1" s="1"/>
  <c r="BJ122" i="1"/>
  <c r="BL122" i="1" s="1"/>
  <c r="BJ22" i="1"/>
  <c r="BL22" i="1" s="1"/>
  <c r="BJ2" i="1"/>
  <c r="BL2" i="1" s="1"/>
  <c r="BJ71" i="1"/>
  <c r="BL71" i="1" s="1"/>
  <c r="BJ94" i="1"/>
  <c r="BL94" i="1" s="1"/>
  <c r="BJ89" i="1"/>
  <c r="BL89" i="1" s="1"/>
  <c r="BJ106" i="1"/>
  <c r="BL106" i="1" s="1"/>
  <c r="BJ77" i="1"/>
  <c r="BL77" i="1" s="1"/>
  <c r="BJ95" i="1"/>
  <c r="BL95" i="1" s="1"/>
  <c r="BJ67" i="1"/>
  <c r="BL67" i="1" s="1"/>
  <c r="BJ98" i="1"/>
  <c r="BL98" i="1" s="1"/>
  <c r="BJ201" i="1"/>
  <c r="BL201" i="1" s="1"/>
  <c r="BJ235" i="1"/>
  <c r="BL235" i="1" s="1"/>
  <c r="BJ233" i="1"/>
  <c r="BL233" i="1" s="1"/>
  <c r="BJ231" i="1"/>
  <c r="BL231" i="1" s="1"/>
  <c r="BJ228" i="1"/>
  <c r="BL228" i="1" s="1"/>
  <c r="BJ226" i="1"/>
  <c r="BL226" i="1" s="1"/>
  <c r="BJ223" i="1"/>
  <c r="BL223" i="1" s="1"/>
  <c r="BJ221" i="1"/>
  <c r="BL221" i="1" s="1"/>
  <c r="BJ219" i="1"/>
  <c r="BL219" i="1" s="1"/>
  <c r="BJ217" i="1"/>
  <c r="BL217" i="1" s="1"/>
  <c r="BJ215" i="1"/>
  <c r="BL215" i="1" s="1"/>
  <c r="BJ213" i="1"/>
  <c r="BL213" i="1" s="1"/>
  <c r="BJ211" i="1"/>
  <c r="BL211" i="1" s="1"/>
  <c r="BJ209" i="1"/>
  <c r="BL209" i="1" s="1"/>
  <c r="BJ207" i="1"/>
  <c r="BL207" i="1" s="1"/>
  <c r="BJ286" i="1"/>
  <c r="BL286" i="1" s="1"/>
  <c r="BJ83" i="1"/>
  <c r="BL83" i="1" s="1"/>
  <c r="BJ75" i="1"/>
  <c r="BL75" i="1" s="1"/>
  <c r="BJ82" i="1"/>
  <c r="BL82" i="1" s="1"/>
  <c r="BJ81" i="1"/>
  <c r="BL81" i="1" s="1"/>
  <c r="BJ66" i="1"/>
  <c r="BL66" i="1" s="1"/>
  <c r="BJ103" i="1"/>
  <c r="BL103" i="1" s="1"/>
  <c r="BJ91" i="1"/>
  <c r="BL91" i="1" s="1"/>
  <c r="BL47" i="1"/>
  <c r="BL42" i="1"/>
  <c r="BJ80" i="1"/>
  <c r="BL80" i="1" s="1"/>
  <c r="BJ102" i="1"/>
  <c r="BL102" i="1" s="1"/>
  <c r="BJ198" i="1"/>
  <c r="BL198" i="1" s="1"/>
  <c r="BJ194" i="1"/>
  <c r="BL194" i="1" s="1"/>
  <c r="BJ190" i="1"/>
  <c r="BL190" i="1" s="1"/>
  <c r="BJ186" i="1"/>
  <c r="BL186" i="1" s="1"/>
  <c r="BJ182" i="1"/>
  <c r="BL182" i="1" s="1"/>
  <c r="BJ178" i="1"/>
  <c r="BL178" i="1" s="1"/>
  <c r="BJ174" i="1"/>
  <c r="BL174" i="1" s="1"/>
  <c r="BJ237" i="1"/>
  <c r="BL237" i="1" s="1"/>
  <c r="BJ166" i="1"/>
  <c r="BL166" i="1" s="1"/>
  <c r="BJ162" i="1"/>
  <c r="BL162" i="1" s="1"/>
  <c r="BJ152" i="1"/>
  <c r="BL152" i="1" s="1"/>
  <c r="BJ145" i="1"/>
  <c r="BL145" i="1" s="1"/>
  <c r="BJ142" i="1"/>
  <c r="BL142" i="1" s="1"/>
  <c r="BJ265" i="1"/>
  <c r="BL265" i="1" s="1"/>
  <c r="BJ256" i="1"/>
  <c r="BL256" i="1" s="1"/>
  <c r="BJ252" i="1"/>
  <c r="BL252" i="1" s="1"/>
  <c r="BJ250" i="1"/>
  <c r="BL250" i="1" s="1"/>
  <c r="BJ248" i="1"/>
  <c r="BL248" i="1" s="1"/>
  <c r="BJ245" i="1"/>
  <c r="BL245" i="1" s="1"/>
  <c r="BJ244" i="1"/>
  <c r="BL244" i="1" s="1"/>
  <c r="BJ242" i="1"/>
  <c r="BL242" i="1" s="1"/>
  <c r="BJ240" i="1"/>
  <c r="BL240" i="1" s="1"/>
  <c r="BJ320" i="1"/>
  <c r="BL320" i="1" s="1"/>
  <c r="BJ321" i="1"/>
  <c r="BL321" i="1" s="1"/>
  <c r="BJ315" i="1"/>
  <c r="BL315" i="1" s="1"/>
  <c r="BJ313" i="1"/>
  <c r="BL313" i="1" s="1"/>
  <c r="BJ311" i="1"/>
  <c r="BL311" i="1" s="1"/>
  <c r="BJ298" i="1"/>
  <c r="BL298" i="1" s="1"/>
  <c r="BJ293" i="1"/>
  <c r="BL293" i="1" s="1"/>
  <c r="BJ307" i="1"/>
  <c r="BL307" i="1" s="1"/>
  <c r="BJ30" i="1"/>
  <c r="BL30" i="1" s="1"/>
  <c r="BJ28" i="1"/>
  <c r="BL28" i="1" s="1"/>
  <c r="BJ236" i="1"/>
  <c r="BL236" i="1" s="1"/>
  <c r="BJ196" i="1"/>
  <c r="BL196" i="1" s="1"/>
  <c r="BJ192" i="1"/>
  <c r="BL192" i="1" s="1"/>
  <c r="BJ188" i="1"/>
  <c r="BL188" i="1" s="1"/>
  <c r="BJ184" i="1"/>
  <c r="BL184" i="1" s="1"/>
  <c r="BJ180" i="1"/>
  <c r="BL180" i="1" s="1"/>
  <c r="BJ176" i="1"/>
  <c r="BL176" i="1" s="1"/>
  <c r="BJ172" i="1"/>
  <c r="BL172" i="1" s="1"/>
  <c r="BJ169" i="1"/>
  <c r="BL169" i="1" s="1"/>
  <c r="BJ164" i="1"/>
  <c r="BL164" i="1" s="1"/>
  <c r="BJ159" i="1"/>
  <c r="BL159" i="1" s="1"/>
  <c r="BJ155" i="1"/>
  <c r="BL155" i="1" s="1"/>
  <c r="BJ148" i="1"/>
  <c r="BL148" i="1" s="1"/>
  <c r="BJ239" i="1"/>
  <c r="BL239" i="1" s="1"/>
  <c r="BJ269" i="1"/>
  <c r="BL269" i="1" s="1"/>
  <c r="BJ204" i="1"/>
  <c r="BL204" i="1" s="1"/>
  <c r="BJ202" i="1"/>
  <c r="BL202" i="1" s="1"/>
  <c r="BJ281" i="1"/>
  <c r="BL281" i="1" s="1"/>
  <c r="BJ271" i="1"/>
  <c r="BL271" i="1" s="1"/>
  <c r="BJ267" i="1"/>
  <c r="BL267" i="1" s="1"/>
  <c r="BJ258" i="1"/>
  <c r="BL258" i="1" s="1"/>
  <c r="BJ113" i="1"/>
  <c r="BL113" i="1" s="1"/>
  <c r="BJ234" i="1"/>
  <c r="BL234" i="1" s="1"/>
  <c r="BJ232" i="1"/>
  <c r="BL232" i="1" s="1"/>
  <c r="BJ230" i="1"/>
  <c r="BL230" i="1" s="1"/>
  <c r="BJ227" i="1"/>
  <c r="BL227" i="1" s="1"/>
  <c r="BJ225" i="1"/>
  <c r="BL225" i="1" s="1"/>
  <c r="BJ222" i="1"/>
  <c r="BL222" i="1" s="1"/>
  <c r="BJ220" i="1"/>
  <c r="BL220" i="1" s="1"/>
  <c r="BJ218" i="1"/>
  <c r="BL218" i="1" s="1"/>
  <c r="BJ216" i="1"/>
  <c r="BL216" i="1" s="1"/>
  <c r="BJ214" i="1"/>
  <c r="BL214" i="1" s="1"/>
  <c r="BJ212" i="1"/>
  <c r="BL212" i="1" s="1"/>
  <c r="BJ210" i="1"/>
  <c r="BL210" i="1" s="1"/>
  <c r="BJ208" i="1"/>
  <c r="BL208" i="1" s="1"/>
  <c r="BJ288" i="1"/>
  <c r="BL288" i="1" s="1"/>
  <c r="BJ285" i="1"/>
  <c r="BL285" i="1" s="1"/>
  <c r="BJ139" i="1"/>
  <c r="BL139" i="1" s="1"/>
  <c r="BJ135" i="1"/>
  <c r="BL135" i="1" s="1"/>
  <c r="BJ132" i="1"/>
  <c r="BL132" i="1" s="1"/>
  <c r="BJ129" i="1"/>
  <c r="BL129" i="1" s="1"/>
  <c r="BJ126" i="1"/>
  <c r="BL126" i="1" s="1"/>
  <c r="BJ125" i="1"/>
  <c r="BL125" i="1" s="1"/>
  <c r="BJ124" i="1"/>
  <c r="BL124" i="1" s="1"/>
  <c r="BJ121" i="1"/>
  <c r="BL121" i="1" s="1"/>
  <c r="BJ25" i="1"/>
  <c r="BL25" i="1" s="1"/>
  <c r="BJ23" i="1"/>
  <c r="BL23" i="1" s="1"/>
  <c r="BJ21" i="1"/>
  <c r="BL21" i="1" s="1"/>
  <c r="BJ19" i="1"/>
  <c r="BL19" i="1" s="1"/>
  <c r="BJ17" i="1"/>
  <c r="BL17" i="1" s="1"/>
  <c r="BJ12" i="1"/>
  <c r="BL12" i="1" s="1"/>
  <c r="BJ100" i="1"/>
  <c r="BL100" i="1" s="1"/>
  <c r="BJ74" i="1"/>
  <c r="BL74" i="1" s="1"/>
  <c r="BJ73" i="1"/>
  <c r="BL73" i="1" s="1"/>
  <c r="BJ86" i="1"/>
  <c r="BL86" i="1" s="1"/>
  <c r="BJ78" i="1"/>
  <c r="BL78" i="1" s="1"/>
  <c r="BJ105" i="1"/>
  <c r="BL105" i="1" s="1"/>
  <c r="BJ70" i="1"/>
  <c r="BL70" i="1" s="1"/>
  <c r="BJ99" i="1"/>
  <c r="BL99" i="1" s="1"/>
  <c r="BJ108" i="1"/>
  <c r="BL108" i="1" s="1"/>
  <c r="BJ69" i="1"/>
  <c r="BL69" i="1" s="1"/>
  <c r="BJ76" i="1"/>
  <c r="BL76" i="1" s="1"/>
  <c r="BJ93" i="1"/>
  <c r="BL93" i="1" s="1"/>
  <c r="BJ104" i="1"/>
  <c r="BL104" i="1" s="1"/>
  <c r="BJ110" i="1"/>
  <c r="BL110" i="1" s="1"/>
  <c r="BJ97" i="1"/>
  <c r="BL97" i="1" s="1"/>
  <c r="BJ92" i="1"/>
  <c r="BL92" i="1" s="1"/>
  <c r="BJ63" i="1"/>
  <c r="BL63" i="1" s="1"/>
  <c r="BJ109" i="1"/>
  <c r="BL109" i="1" s="1"/>
  <c r="BL35" i="1"/>
  <c r="BJ65" i="1"/>
  <c r="BL65" i="1" s="1"/>
  <c r="BJ96" i="1"/>
  <c r="BL96" i="1" s="1"/>
  <c r="BJ114" i="1"/>
  <c r="BL114" i="1" s="1"/>
  <c r="BJ199" i="1"/>
  <c r="BL199" i="1" s="1"/>
  <c r="BJ197" i="1"/>
  <c r="BL197" i="1" s="1"/>
  <c r="BJ195" i="1"/>
  <c r="BL195" i="1" s="1"/>
  <c r="BJ193" i="1"/>
  <c r="BL193" i="1" s="1"/>
  <c r="BJ191" i="1"/>
  <c r="BL191" i="1" s="1"/>
  <c r="BJ189" i="1"/>
  <c r="BL189" i="1" s="1"/>
  <c r="BJ187" i="1"/>
  <c r="BL187" i="1" s="1"/>
  <c r="BJ185" i="1"/>
  <c r="BL185" i="1" s="1"/>
  <c r="BJ183" i="1"/>
  <c r="BL183" i="1" s="1"/>
  <c r="BJ181" i="1"/>
  <c r="BL181" i="1" s="1"/>
  <c r="BJ179" i="1"/>
  <c r="BL179" i="1" s="1"/>
  <c r="BJ177" i="1"/>
  <c r="BL177" i="1" s="1"/>
  <c r="BJ175" i="1"/>
  <c r="BL175" i="1" s="1"/>
  <c r="BJ173" i="1"/>
  <c r="BL173" i="1" s="1"/>
  <c r="BJ171" i="1"/>
  <c r="BL171" i="1" s="1"/>
  <c r="BJ170" i="1"/>
  <c r="BL170" i="1" s="1"/>
  <c r="BJ168" i="1"/>
  <c r="BL168" i="1" s="1"/>
  <c r="BJ165" i="1"/>
  <c r="BL165" i="1" s="1"/>
  <c r="BJ163" i="1"/>
  <c r="BL163" i="1" s="1"/>
  <c r="BJ161" i="1"/>
  <c r="BL161" i="1" s="1"/>
  <c r="BJ157" i="1"/>
  <c r="BL157" i="1" s="1"/>
  <c r="BJ153" i="1"/>
  <c r="BL153" i="1" s="1"/>
  <c r="BJ150" i="1"/>
  <c r="BL150" i="1" s="1"/>
  <c r="BJ147" i="1"/>
  <c r="BL147" i="1" s="1"/>
  <c r="BJ144" i="1"/>
  <c r="BL144" i="1" s="1"/>
  <c r="BJ143" i="1"/>
  <c r="BL143" i="1" s="1"/>
  <c r="BJ141" i="1"/>
  <c r="BL141" i="1" s="1"/>
  <c r="BJ255" i="1"/>
  <c r="BL255" i="1" s="1"/>
  <c r="BJ251" i="1"/>
  <c r="BL251" i="1" s="1"/>
  <c r="BJ249" i="1"/>
  <c r="BL249" i="1" s="1"/>
  <c r="BJ246" i="1"/>
  <c r="BL246" i="1" s="1"/>
  <c r="BJ238" i="1"/>
  <c r="BL238" i="1" s="1"/>
  <c r="BJ241" i="1"/>
  <c r="BL241" i="1" s="1"/>
  <c r="BJ319" i="1"/>
  <c r="BL319" i="1" s="1"/>
  <c r="BJ322" i="1"/>
  <c r="BL322" i="1" s="1"/>
  <c r="BJ318" i="1"/>
  <c r="BL318" i="1" s="1"/>
  <c r="BJ317" i="1"/>
  <c r="BL317" i="1" s="1"/>
  <c r="BJ314" i="1"/>
  <c r="BL314" i="1" s="1"/>
  <c r="BJ310" i="1"/>
  <c r="BL310" i="1" s="1"/>
  <c r="BJ296" i="1"/>
  <c r="BL296" i="1" s="1"/>
  <c r="BJ295" i="1"/>
  <c r="BL295" i="1" s="1"/>
  <c r="BJ309" i="1"/>
  <c r="BL309" i="1" s="1"/>
  <c r="BJ308" i="1"/>
  <c r="BL308" i="1" s="1"/>
  <c r="BJ306" i="1"/>
  <c r="BL306" i="1" s="1"/>
  <c r="BJ29" i="1"/>
  <c r="BL29" i="1" s="1"/>
  <c r="BJ136" i="1"/>
  <c r="BL136" i="1" s="1"/>
  <c r="BJ33" i="1"/>
  <c r="BL33" i="1" s="1"/>
  <c r="BJ32" i="1"/>
  <c r="BL32" i="1" s="1"/>
  <c r="BJ31" i="1"/>
  <c r="BL31" i="1" s="1"/>
  <c r="BJ137" i="1"/>
  <c r="BL137" i="1" s="1"/>
  <c r="BJ138" i="1"/>
  <c r="BL138" i="1" s="1"/>
  <c r="BI320" i="1"/>
  <c r="BK320" i="1" s="1"/>
  <c r="BI318" i="1"/>
  <c r="BK318" i="1" s="1"/>
  <c r="BI315" i="1"/>
  <c r="BK315" i="1" s="1"/>
  <c r="BI311" i="1"/>
  <c r="BK311" i="1" s="1"/>
  <c r="BI298" i="1"/>
  <c r="BK298" i="1" s="1"/>
  <c r="BI295" i="1"/>
  <c r="BK295" i="1" s="1"/>
  <c r="BI308" i="1"/>
  <c r="BK308" i="1" s="1"/>
  <c r="BI30" i="1"/>
  <c r="BK30" i="1" s="1"/>
  <c r="BI278" i="1"/>
  <c r="BK278" i="1" s="1"/>
  <c r="BI272" i="1"/>
  <c r="BK272" i="1" s="1"/>
  <c r="BI268" i="1"/>
  <c r="BK268" i="1" s="1"/>
  <c r="BI288" i="1"/>
  <c r="BK288" i="1" s="1"/>
  <c r="BI286" i="1"/>
  <c r="BK286" i="1" s="1"/>
  <c r="BI285" i="1"/>
  <c r="BK285" i="1" s="1"/>
  <c r="BI265" i="1"/>
  <c r="BK265" i="1" s="1"/>
  <c r="BI319" i="1"/>
  <c r="BK319" i="1" s="1"/>
  <c r="BI321" i="1"/>
  <c r="BK321" i="1" s="1"/>
  <c r="BI317" i="1"/>
  <c r="BK317" i="1" s="1"/>
  <c r="BI313" i="1"/>
  <c r="BK313" i="1" s="1"/>
  <c r="BI310" i="1"/>
  <c r="BK310" i="1" s="1"/>
  <c r="BI293" i="1"/>
  <c r="BK293" i="1" s="1"/>
  <c r="BI306" i="1"/>
  <c r="BK306" i="1" s="1"/>
  <c r="BI28" i="1"/>
  <c r="BK28" i="1" s="1"/>
  <c r="BI281" i="1"/>
  <c r="BK281" i="1" s="1"/>
  <c r="BL262" i="1"/>
  <c r="BI262" i="1"/>
  <c r="BK262" i="1" s="1"/>
  <c r="BI114" i="1"/>
  <c r="BK114" i="1" s="1"/>
  <c r="BI113" i="1"/>
  <c r="BK113" i="1" s="1"/>
  <c r="BI269" i="1"/>
  <c r="BK269" i="1" s="1"/>
  <c r="BI322" i="1"/>
  <c r="BK322" i="1" s="1"/>
  <c r="BI314" i="1"/>
  <c r="BK314" i="1" s="1"/>
  <c r="BI312" i="1"/>
  <c r="BK312" i="1" s="1"/>
  <c r="BI296" i="1"/>
  <c r="BK296" i="1" s="1"/>
  <c r="BI309" i="1"/>
  <c r="BK309" i="1" s="1"/>
  <c r="BI307" i="1"/>
  <c r="BK307" i="1" s="1"/>
  <c r="BI29" i="1"/>
  <c r="BK29" i="1" s="1"/>
  <c r="BI271" i="1"/>
  <c r="BK271" i="1" s="1"/>
  <c r="BI267" i="1"/>
  <c r="BK267" i="1" s="1"/>
  <c r="BI258" i="1"/>
  <c r="BK258" i="1" s="1"/>
  <c r="BI26" i="1"/>
  <c r="BK26" i="1" s="1"/>
  <c r="BI25" i="1"/>
  <c r="BK25" i="1" s="1"/>
  <c r="BI24" i="1"/>
  <c r="BK24" i="1" s="1"/>
  <c r="BI23" i="1"/>
  <c r="BK23" i="1" s="1"/>
  <c r="BI22" i="1"/>
  <c r="BK22" i="1" s="1"/>
  <c r="BI21" i="1"/>
  <c r="BK21" i="1" s="1"/>
  <c r="BI20" i="1"/>
  <c r="BK20" i="1" s="1"/>
  <c r="BI19" i="1"/>
  <c r="BK19" i="1" s="1"/>
  <c r="BI18" i="1"/>
  <c r="BK18" i="1" s="1"/>
  <c r="BI17" i="1"/>
  <c r="BK17" i="1" s="1"/>
  <c r="BI15" i="1"/>
  <c r="BK15" i="1" s="1"/>
  <c r="BI12" i="1"/>
  <c r="BK12" i="1" s="1"/>
  <c r="BI2" i="1"/>
  <c r="BK2" i="1" s="1"/>
  <c r="BI234" i="1"/>
  <c r="BK234" i="1" s="1"/>
  <c r="BI220" i="1"/>
  <c r="BK220" i="1" s="1"/>
  <c r="BI138" i="1"/>
  <c r="BK138" i="1" s="1"/>
  <c r="BI132" i="1"/>
  <c r="BK132" i="1" s="1"/>
  <c r="BI125" i="1"/>
  <c r="BK125" i="1" s="1"/>
  <c r="BI121" i="1"/>
  <c r="BK121" i="1" s="1"/>
  <c r="BI100" i="1"/>
  <c r="BK100" i="1" s="1"/>
  <c r="BI74" i="1"/>
  <c r="BK74" i="1" s="1"/>
  <c r="BI73" i="1"/>
  <c r="BK73" i="1" s="1"/>
  <c r="BI86" i="1"/>
  <c r="BK86" i="1" s="1"/>
  <c r="BI105" i="1"/>
  <c r="BK105" i="1" s="1"/>
  <c r="BI70" i="1"/>
  <c r="BK70" i="1" s="1"/>
  <c r="BI99" i="1"/>
  <c r="BK99" i="1" s="1"/>
  <c r="BI108" i="1"/>
  <c r="BK108" i="1" s="1"/>
  <c r="BI69" i="1"/>
  <c r="BK69" i="1" s="1"/>
  <c r="BI76" i="1"/>
  <c r="BK76" i="1" s="1"/>
  <c r="BI93" i="1"/>
  <c r="BK93" i="1" s="1"/>
  <c r="BI104" i="1"/>
  <c r="BK104" i="1" s="1"/>
  <c r="BI110" i="1"/>
  <c r="BK110" i="1" s="1"/>
  <c r="BI97" i="1"/>
  <c r="BK97" i="1" s="1"/>
  <c r="BI92" i="1"/>
  <c r="BK92" i="1" s="1"/>
  <c r="BI63" i="1"/>
  <c r="BK63" i="1" s="1"/>
  <c r="BI109" i="1"/>
  <c r="BK109" i="1" s="1"/>
  <c r="BI35" i="1"/>
  <c r="BK35" i="1" s="1"/>
  <c r="BI53" i="1"/>
  <c r="BK53" i="1" s="1"/>
  <c r="BI65" i="1"/>
  <c r="BK65" i="1" s="1"/>
  <c r="BI96" i="1"/>
  <c r="BK96" i="1" s="1"/>
  <c r="BI31" i="1"/>
  <c r="BK31" i="1" s="1"/>
  <c r="BI225" i="1"/>
  <c r="BK225" i="1" s="1"/>
  <c r="BI214" i="1"/>
  <c r="BK214" i="1" s="1"/>
  <c r="BI139" i="1"/>
  <c r="BK139" i="1" s="1"/>
  <c r="BI135" i="1"/>
  <c r="BK135" i="1" s="1"/>
  <c r="BI129" i="1"/>
  <c r="BK129" i="1" s="1"/>
  <c r="BI126" i="1"/>
  <c r="BK126" i="1" s="1"/>
  <c r="BI124" i="1"/>
  <c r="BK124" i="1" s="1"/>
  <c r="BI78" i="1"/>
  <c r="BK78" i="1" s="1"/>
  <c r="BI199" i="1"/>
  <c r="BK199" i="1" s="1"/>
  <c r="BI197" i="1"/>
  <c r="BK197" i="1" s="1"/>
  <c r="BI195" i="1"/>
  <c r="BK195" i="1" s="1"/>
  <c r="BI193" i="1"/>
  <c r="BK193" i="1" s="1"/>
  <c r="BI191" i="1"/>
  <c r="BK191" i="1" s="1"/>
  <c r="BI189" i="1"/>
  <c r="BK189" i="1" s="1"/>
  <c r="BI187" i="1"/>
  <c r="BK187" i="1" s="1"/>
  <c r="BI185" i="1"/>
  <c r="BK185" i="1" s="1"/>
  <c r="BI183" i="1"/>
  <c r="BK183" i="1" s="1"/>
  <c r="BI181" i="1"/>
  <c r="BK181" i="1" s="1"/>
  <c r="BI179" i="1"/>
  <c r="BK179" i="1" s="1"/>
  <c r="BI177" i="1"/>
  <c r="BK177" i="1" s="1"/>
  <c r="BI175" i="1"/>
  <c r="BK175" i="1" s="1"/>
  <c r="BI173" i="1"/>
  <c r="BK173" i="1" s="1"/>
  <c r="BI171" i="1"/>
  <c r="BK171" i="1" s="1"/>
  <c r="BI170" i="1"/>
  <c r="BK170" i="1" s="1"/>
  <c r="BI168" i="1"/>
  <c r="BK168" i="1" s="1"/>
  <c r="BI165" i="1"/>
  <c r="BK165" i="1" s="1"/>
  <c r="BI163" i="1"/>
  <c r="BK163" i="1" s="1"/>
  <c r="BI161" i="1"/>
  <c r="BK161" i="1" s="1"/>
  <c r="BI157" i="1"/>
  <c r="BK157" i="1" s="1"/>
  <c r="BI153" i="1"/>
  <c r="BK153" i="1" s="1"/>
  <c r="BI150" i="1"/>
  <c r="BK150" i="1" s="1"/>
  <c r="BI147" i="1"/>
  <c r="BK147" i="1" s="1"/>
  <c r="BI144" i="1"/>
  <c r="BK144" i="1" s="1"/>
  <c r="BI143" i="1"/>
  <c r="BK143" i="1" s="1"/>
  <c r="BI141" i="1"/>
  <c r="BK141" i="1" s="1"/>
  <c r="BI255" i="1"/>
  <c r="BK255" i="1" s="1"/>
  <c r="BI251" i="1"/>
  <c r="BK251" i="1" s="1"/>
  <c r="BI249" i="1"/>
  <c r="BK249" i="1" s="1"/>
  <c r="BI246" i="1"/>
  <c r="BK246" i="1" s="1"/>
  <c r="BI238" i="1"/>
  <c r="BK238" i="1" s="1"/>
  <c r="BI241" i="1"/>
  <c r="BK241" i="1" s="1"/>
  <c r="BI232" i="1"/>
  <c r="BK232" i="1" s="1"/>
  <c r="BI218" i="1"/>
  <c r="BK218" i="1" s="1"/>
  <c r="BI205" i="1"/>
  <c r="BK205" i="1" s="1"/>
  <c r="BI203" i="1"/>
  <c r="BK203" i="1" s="1"/>
  <c r="BI201" i="1"/>
  <c r="BK201" i="1" s="1"/>
  <c r="BI235" i="1"/>
  <c r="BK235" i="1" s="1"/>
  <c r="BI233" i="1"/>
  <c r="BK233" i="1" s="1"/>
  <c r="BI231" i="1"/>
  <c r="BK231" i="1" s="1"/>
  <c r="BI228" i="1"/>
  <c r="BK228" i="1" s="1"/>
  <c r="BI226" i="1"/>
  <c r="BK226" i="1" s="1"/>
  <c r="BI223" i="1"/>
  <c r="BK223" i="1" s="1"/>
  <c r="BI221" i="1"/>
  <c r="BK221" i="1" s="1"/>
  <c r="BI219" i="1"/>
  <c r="BK219" i="1" s="1"/>
  <c r="BI217" i="1"/>
  <c r="BK217" i="1" s="1"/>
  <c r="BI215" i="1"/>
  <c r="BK215" i="1" s="1"/>
  <c r="BI213" i="1"/>
  <c r="BK213" i="1" s="1"/>
  <c r="BI211" i="1"/>
  <c r="BK211" i="1" s="1"/>
  <c r="BI209" i="1"/>
  <c r="BK209" i="1" s="1"/>
  <c r="BI207" i="1"/>
  <c r="BK207" i="1" s="1"/>
  <c r="BI227" i="1"/>
  <c r="BK227" i="1" s="1"/>
  <c r="BI216" i="1"/>
  <c r="BK216" i="1" s="1"/>
  <c r="BI210" i="1"/>
  <c r="BK210" i="1" s="1"/>
  <c r="BI158" i="1"/>
  <c r="BK158" i="1" s="1"/>
  <c r="BI137" i="1"/>
  <c r="BK137" i="1" s="1"/>
  <c r="BI134" i="1"/>
  <c r="BK134" i="1" s="1"/>
  <c r="BI130" i="1"/>
  <c r="BK130" i="1" s="1"/>
  <c r="BI127" i="1"/>
  <c r="BK127" i="1" s="1"/>
  <c r="BI122" i="1"/>
  <c r="BK122" i="1" s="1"/>
  <c r="BI87" i="1"/>
  <c r="BK87" i="1" s="1"/>
  <c r="BI107" i="1"/>
  <c r="BK107" i="1" s="1"/>
  <c r="BI90" i="1"/>
  <c r="BK90" i="1" s="1"/>
  <c r="BI89" i="1"/>
  <c r="BK89" i="1" s="1"/>
  <c r="BI77" i="1"/>
  <c r="BK77" i="1" s="1"/>
  <c r="BI98" i="1"/>
  <c r="BK98" i="1" s="1"/>
  <c r="BI75" i="1"/>
  <c r="BK75" i="1" s="1"/>
  <c r="BI81" i="1"/>
  <c r="BK81" i="1" s="1"/>
  <c r="BI103" i="1"/>
  <c r="BK103" i="1" s="1"/>
  <c r="BI47" i="1"/>
  <c r="BK47" i="1" s="1"/>
  <c r="BI102" i="1"/>
  <c r="BK102" i="1" s="1"/>
  <c r="BI33" i="1"/>
  <c r="BK33" i="1" s="1"/>
  <c r="BI198" i="1"/>
  <c r="BK198" i="1" s="1"/>
  <c r="BI196" i="1"/>
  <c r="BK196" i="1" s="1"/>
  <c r="BI194" i="1"/>
  <c r="BK194" i="1" s="1"/>
  <c r="BI192" i="1"/>
  <c r="BK192" i="1" s="1"/>
  <c r="BI190" i="1"/>
  <c r="BK190" i="1" s="1"/>
  <c r="BI188" i="1"/>
  <c r="BK188" i="1" s="1"/>
  <c r="BI186" i="1"/>
  <c r="BK186" i="1" s="1"/>
  <c r="BI184" i="1"/>
  <c r="BK184" i="1" s="1"/>
  <c r="BI182" i="1"/>
  <c r="BK182" i="1" s="1"/>
  <c r="BI180" i="1"/>
  <c r="BK180" i="1" s="1"/>
  <c r="BI178" i="1"/>
  <c r="BK178" i="1" s="1"/>
  <c r="BI176" i="1"/>
  <c r="BK176" i="1" s="1"/>
  <c r="BI174" i="1"/>
  <c r="BK174" i="1" s="1"/>
  <c r="BI172" i="1"/>
  <c r="BK172" i="1" s="1"/>
  <c r="BI237" i="1"/>
  <c r="BK237" i="1" s="1"/>
  <c r="BI169" i="1"/>
  <c r="BK169" i="1" s="1"/>
  <c r="BI166" i="1"/>
  <c r="BK166" i="1" s="1"/>
  <c r="BI164" i="1"/>
  <c r="BK164" i="1" s="1"/>
  <c r="BI162" i="1"/>
  <c r="BK162" i="1" s="1"/>
  <c r="BI159" i="1"/>
  <c r="BK159" i="1" s="1"/>
  <c r="BI155" i="1"/>
  <c r="BK155" i="1" s="1"/>
  <c r="BI152" i="1"/>
  <c r="BK152" i="1" s="1"/>
  <c r="BI148" i="1"/>
  <c r="BK148" i="1" s="1"/>
  <c r="BI145" i="1"/>
  <c r="BK145" i="1" s="1"/>
  <c r="BI239" i="1"/>
  <c r="BK239" i="1" s="1"/>
  <c r="BI142" i="1"/>
  <c r="BK142" i="1" s="1"/>
  <c r="BI256" i="1"/>
  <c r="BK256" i="1" s="1"/>
  <c r="BI252" i="1"/>
  <c r="BK252" i="1" s="1"/>
  <c r="BI250" i="1"/>
  <c r="BK250" i="1" s="1"/>
  <c r="BI248" i="1"/>
  <c r="BK248" i="1" s="1"/>
  <c r="BI245" i="1"/>
  <c r="BK245" i="1" s="1"/>
  <c r="BI244" i="1"/>
  <c r="BK244" i="1" s="1"/>
  <c r="BI242" i="1"/>
  <c r="BK242" i="1" s="1"/>
  <c r="BI240" i="1"/>
  <c r="BK240" i="1" s="1"/>
  <c r="BI236" i="1"/>
  <c r="BK236" i="1" s="1"/>
  <c r="BI230" i="1"/>
  <c r="BK230" i="1" s="1"/>
  <c r="BI222" i="1"/>
  <c r="BK222" i="1" s="1"/>
  <c r="BI212" i="1"/>
  <c r="BK212" i="1" s="1"/>
  <c r="BI208" i="1"/>
  <c r="BK208" i="1" s="1"/>
  <c r="BI136" i="1"/>
  <c r="BK136" i="1" s="1"/>
  <c r="BI72" i="1"/>
  <c r="BK72" i="1" s="1"/>
  <c r="BI71" i="1"/>
  <c r="BK71" i="1" s="1"/>
  <c r="BI94" i="1"/>
  <c r="BK94" i="1" s="1"/>
  <c r="BI106" i="1"/>
  <c r="BK106" i="1" s="1"/>
  <c r="BI95" i="1"/>
  <c r="BK95" i="1" s="1"/>
  <c r="BI67" i="1"/>
  <c r="BK67" i="1" s="1"/>
  <c r="BI83" i="1"/>
  <c r="BK83" i="1" s="1"/>
  <c r="BI82" i="1"/>
  <c r="BK82" i="1" s="1"/>
  <c r="BI66" i="1"/>
  <c r="BK66" i="1" s="1"/>
  <c r="BI91" i="1"/>
  <c r="BK91" i="1" s="1"/>
  <c r="BI42" i="1"/>
  <c r="BK42" i="1" s="1"/>
  <c r="BI80" i="1"/>
  <c r="BK80" i="1" s="1"/>
  <c r="BI32" i="1"/>
  <c r="BK32" i="1" s="1"/>
  <c r="BI204" i="1"/>
  <c r="BK204" i="1" s="1"/>
  <c r="BI202" i="1"/>
  <c r="BK202"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Z109" i="1" l="1"/>
  <c r="CB109" i="1" s="1"/>
  <c r="AL109" i="1"/>
  <c r="AA109" i="1"/>
  <c r="AN109" i="1" l="1"/>
  <c r="CD109" i="1" s="1" a="1"/>
  <c r="CD109" i="1" s="1"/>
  <c r="CJ109" i="1" s="1"/>
  <c r="BZ75" i="1"/>
  <c r="CB75" i="1" s="1"/>
  <c r="AL75" i="1"/>
  <c r="AA75" i="1"/>
  <c r="AN75" i="1" l="1"/>
  <c r="CD75" i="1" s="1" a="1"/>
  <c r="CD75" i="1" s="1"/>
  <c r="CJ75" i="1" s="1"/>
  <c r="BZ110" i="1"/>
  <c r="CB110" i="1" s="1"/>
  <c r="AL110" i="1"/>
  <c r="AA110" i="1"/>
  <c r="BZ63" i="1"/>
  <c r="CB63" i="1" s="1"/>
  <c r="AL63" i="1"/>
  <c r="AA63" i="1"/>
  <c r="BZ90" i="1"/>
  <c r="CB90" i="1" s="1"/>
  <c r="AL90" i="1"/>
  <c r="AA90" i="1"/>
  <c r="BZ80" i="1"/>
  <c r="CB80" i="1" s="1"/>
  <c r="AL80" i="1"/>
  <c r="AA80" i="1"/>
  <c r="BZ87" i="1"/>
  <c r="CB87" i="1" s="1"/>
  <c r="AL87" i="1"/>
  <c r="AA87" i="1"/>
  <c r="AJ84" i="1"/>
  <c r="BF84" i="1" s="1"/>
  <c r="BZ84" i="1"/>
  <c r="CB84" i="1" s="1"/>
  <c r="AL84" i="1"/>
  <c r="AA84" i="1"/>
  <c r="BZ86" i="1"/>
  <c r="CB86" i="1" s="1"/>
  <c r="AL86" i="1"/>
  <c r="AA86" i="1"/>
  <c r="BZ83" i="1"/>
  <c r="CB83" i="1" s="1"/>
  <c r="AL83" i="1"/>
  <c r="AA83" i="1"/>
  <c r="BZ78" i="1"/>
  <c r="CB78" i="1" s="1"/>
  <c r="AL78" i="1"/>
  <c r="AA78" i="1"/>
  <c r="BZ77" i="1"/>
  <c r="CB77" i="1" s="1"/>
  <c r="AL77" i="1"/>
  <c r="AA77" i="1"/>
  <c r="AN80" i="1" l="1"/>
  <c r="CD80" i="1" s="1" a="1"/>
  <c r="CD80" i="1" s="1"/>
  <c r="CJ80" i="1" s="1"/>
  <c r="AN78" i="1"/>
  <c r="CD78" i="1" s="1" a="1"/>
  <c r="CD78" i="1" s="1"/>
  <c r="CJ78" i="1" s="1"/>
  <c r="AN83" i="1"/>
  <c r="CD83" i="1" s="1" a="1"/>
  <c r="CD83" i="1" s="1"/>
  <c r="CJ83" i="1" s="1"/>
  <c r="AN86" i="1"/>
  <c r="CD86" i="1" s="1" a="1"/>
  <c r="CD86" i="1" s="1"/>
  <c r="CJ86" i="1" s="1"/>
  <c r="AN87" i="1"/>
  <c r="CD87" i="1" s="1" a="1"/>
  <c r="CD87" i="1" s="1"/>
  <c r="CJ87" i="1" s="1"/>
  <c r="AN63" i="1"/>
  <c r="CD63" i="1" s="1" a="1"/>
  <c r="CD63" i="1" s="1"/>
  <c r="CJ63" i="1" s="1"/>
  <c r="AN84" i="1"/>
  <c r="CD84" i="1" s="1" a="1"/>
  <c r="CD84" i="1" s="1"/>
  <c r="CJ84" i="1" s="1"/>
  <c r="AN90" i="1"/>
  <c r="CD90" i="1" s="1" a="1"/>
  <c r="CD90" i="1" s="1"/>
  <c r="CJ90" i="1" s="1"/>
  <c r="AN110" i="1"/>
  <c r="CD110" i="1" s="1" a="1"/>
  <c r="CD110" i="1" s="1"/>
  <c r="CJ110" i="1" s="1"/>
  <c r="AN77" i="1"/>
  <c r="CD77" i="1" s="1" a="1"/>
  <c r="CD77" i="1" s="1"/>
  <c r="CJ77" i="1" s="1"/>
  <c r="BJ84" i="1"/>
  <c r="BL84" i="1" s="1"/>
  <c r="BI84" i="1"/>
  <c r="BK84" i="1" s="1"/>
  <c r="BZ100" i="1"/>
  <c r="CB100" i="1" s="1"/>
  <c r="AL100" i="1"/>
  <c r="AA100" i="1"/>
  <c r="BZ99" i="1"/>
  <c r="CB99" i="1" s="1"/>
  <c r="AL99" i="1"/>
  <c r="AA99" i="1"/>
  <c r="BZ98" i="1"/>
  <c r="CB98" i="1" s="1"/>
  <c r="AL98" i="1"/>
  <c r="AA98" i="1"/>
  <c r="BZ97" i="1"/>
  <c r="CB97" i="1" s="1"/>
  <c r="AL97" i="1"/>
  <c r="AA97" i="1"/>
  <c r="BZ102" i="1"/>
  <c r="CB102" i="1" s="1"/>
  <c r="AL102" i="1"/>
  <c r="AA102" i="1"/>
  <c r="BZ108" i="1"/>
  <c r="CB108" i="1" s="1"/>
  <c r="AL108" i="1"/>
  <c r="AA108" i="1"/>
  <c r="BZ107" i="1"/>
  <c r="CB107" i="1" s="1"/>
  <c r="AL107" i="1"/>
  <c r="AA107" i="1"/>
  <c r="BZ105" i="1"/>
  <c r="CB105" i="1" s="1"/>
  <c r="AL105" i="1"/>
  <c r="AA105" i="1"/>
  <c r="AN107" i="1" l="1"/>
  <c r="CD107" i="1" s="1" a="1"/>
  <c r="CD107" i="1" s="1"/>
  <c r="CJ107" i="1" s="1"/>
  <c r="AN108" i="1"/>
  <c r="CD108" i="1" s="1" a="1"/>
  <c r="CD108" i="1" s="1"/>
  <c r="CJ108" i="1" s="1"/>
  <c r="AN105" i="1"/>
  <c r="CD105" i="1" s="1" a="1"/>
  <c r="CD105" i="1" s="1"/>
  <c r="CJ105" i="1" s="1"/>
  <c r="AN97" i="1"/>
  <c r="CD97" i="1" s="1" a="1"/>
  <c r="CD97" i="1" s="1"/>
  <c r="CJ97" i="1" s="1"/>
  <c r="AN99" i="1"/>
  <c r="CD99" i="1" s="1" a="1"/>
  <c r="CD99" i="1" s="1"/>
  <c r="CJ99" i="1" s="1"/>
  <c r="AN98" i="1"/>
  <c r="CD98" i="1" s="1" a="1"/>
  <c r="CD98" i="1" s="1"/>
  <c r="CJ98" i="1" s="1"/>
  <c r="AN102" i="1"/>
  <c r="CD102" i="1" s="1" a="1"/>
  <c r="CD102" i="1" s="1"/>
  <c r="CJ102" i="1" s="1"/>
  <c r="AN100" i="1"/>
  <c r="CD100" i="1" s="1" a="1"/>
  <c r="CD100" i="1" s="1"/>
  <c r="CJ100" i="1" s="1"/>
  <c r="BZ93" i="1"/>
  <c r="CB93" i="1" s="1"/>
  <c r="BZ94" i="1"/>
  <c r="AL93" i="1"/>
  <c r="AL94" i="1"/>
  <c r="BZ73" i="1"/>
  <c r="CB73" i="1" s="1"/>
  <c r="AL73" i="1"/>
  <c r="AA73" i="1"/>
  <c r="AN93" i="1" l="1"/>
  <c r="CD93" i="1" s="1" a="1"/>
  <c r="CD93" i="1" s="1"/>
  <c r="CJ93" i="1" s="1"/>
  <c r="AN73" i="1"/>
  <c r="CD73" i="1" s="1" a="1"/>
  <c r="CD73" i="1" s="1"/>
  <c r="CJ73" i="1" s="1"/>
  <c r="AN94" i="1"/>
  <c r="CD94" i="1" s="1" a="1"/>
  <c r="CD94" i="1" s="1"/>
  <c r="CJ94" i="1" s="1"/>
  <c r="BZ71" i="1"/>
  <c r="CB71" i="1" s="1"/>
  <c r="BZ72" i="1"/>
  <c r="CB72" i="1" s="1"/>
  <c r="BZ74" i="1"/>
  <c r="AL71" i="1"/>
  <c r="AA71" i="1"/>
  <c r="AN71" i="1" l="1"/>
  <c r="CD71" i="1" s="1" a="1"/>
  <c r="CD71" i="1" s="1"/>
  <c r="CJ71" i="1" s="1"/>
  <c r="AL70" i="1"/>
  <c r="AA70" i="1"/>
  <c r="BZ69" i="1"/>
  <c r="CB69" i="1" s="1"/>
  <c r="BZ70" i="1"/>
  <c r="CB70" i="1" s="1"/>
  <c r="CB74" i="1"/>
  <c r="AL69" i="1"/>
  <c r="AA69" i="1"/>
  <c r="AN70" i="1" l="1"/>
  <c r="CD70" i="1" s="1" a="1"/>
  <c r="CD70" i="1" s="1"/>
  <c r="CJ70" i="1" s="1"/>
  <c r="AN69" i="1"/>
  <c r="CD69" i="1" s="1" a="1"/>
  <c r="CD69" i="1" s="1"/>
  <c r="CJ69" i="1" s="1"/>
  <c r="G23" i="6"/>
  <c r="B26" i="6"/>
  <c r="B25" i="6"/>
  <c r="I23" i="6"/>
  <c r="H23" i="6"/>
  <c r="F23" i="6"/>
  <c r="E23" i="6"/>
  <c r="D23" i="6"/>
  <c r="C23" i="6"/>
  <c r="B22" i="6"/>
  <c r="W269" i="1"/>
  <c r="BZ268" i="1"/>
  <c r="CB268" i="1" s="1"/>
  <c r="AL268" i="1"/>
  <c r="AN268" i="1" s="1"/>
  <c r="AA268" i="1"/>
  <c r="B23" i="6" l="1"/>
  <c r="B28" i="6"/>
  <c r="AK268" i="1"/>
  <c r="B27" i="6"/>
  <c r="B14" i="6"/>
  <c r="B13" i="6"/>
  <c r="E11" i="6"/>
  <c r="F11" i="6"/>
  <c r="G11" i="6"/>
  <c r="H11" i="6"/>
  <c r="I11" i="6"/>
  <c r="J11" i="6"/>
  <c r="K11" i="6"/>
  <c r="L11" i="6"/>
  <c r="M11" i="6"/>
  <c r="N11" i="6"/>
  <c r="O11" i="6"/>
  <c r="P11" i="6"/>
  <c r="Q11" i="6"/>
  <c r="R11" i="6"/>
  <c r="S11" i="6"/>
  <c r="T11" i="6"/>
  <c r="U11" i="6"/>
  <c r="C11" i="6"/>
  <c r="D11" i="6"/>
  <c r="B10" i="6"/>
  <c r="AL252" i="1"/>
  <c r="BZ295" i="1"/>
  <c r="CB295" i="1" s="1"/>
  <c r="BZ293" i="1"/>
  <c r="CB293" i="1" s="1"/>
  <c r="BZ296" i="1"/>
  <c r="CB296" i="1" s="1"/>
  <c r="BZ298" i="1"/>
  <c r="CB298" i="1" s="1"/>
  <c r="AL295" i="1"/>
  <c r="AN295" i="1" s="1"/>
  <c r="AL293" i="1"/>
  <c r="AL296" i="1"/>
  <c r="AL298" i="1"/>
  <c r="AN252" i="1" l="1"/>
  <c r="CD252" i="1" s="1" a="1"/>
  <c r="CD252" i="1" s="1"/>
  <c r="CJ252" i="1" s="1"/>
  <c r="AN298" i="1"/>
  <c r="CD298" i="1" s="1" a="1"/>
  <c r="CD298" i="1" s="1"/>
  <c r="CJ298" i="1" s="1"/>
  <c r="AN296" i="1"/>
  <c r="CD296" i="1" s="1" a="1"/>
  <c r="CD296" i="1" s="1"/>
  <c r="CJ296" i="1" s="1"/>
  <c r="AN293" i="1"/>
  <c r="CD293" i="1" s="1" a="1"/>
  <c r="CD293" i="1" s="1"/>
  <c r="CJ293" i="1" s="1"/>
  <c r="B11" i="6"/>
  <c r="B16" i="6"/>
  <c r="B15" i="6"/>
  <c r="N282" i="1"/>
  <c r="BC282" i="1" s="1"/>
  <c r="BJ282" i="1" s="1"/>
  <c r="N294" i="1"/>
  <c r="BC294" i="1" s="1"/>
  <c r="BJ294" i="1" s="1"/>
  <c r="BI294" i="1" l="1"/>
  <c r="BK294" i="1" s="1"/>
  <c r="BL294" i="1"/>
  <c r="BI282" i="1"/>
  <c r="BK282" i="1" s="1"/>
  <c r="BL282" i="1"/>
  <c r="W258" i="1"/>
  <c r="N266" i="1"/>
  <c r="BC266" i="1" s="1"/>
  <c r="BJ266" i="1" s="1"/>
  <c r="BZ26" i="1"/>
  <c r="CB26" i="1" s="1"/>
  <c r="AL26" i="1"/>
  <c r="AA26" i="1"/>
  <c r="BZ264" i="1"/>
  <c r="N264" i="1"/>
  <c r="BC264" i="1" s="1"/>
  <c r="BJ264" i="1" s="1"/>
  <c r="W264" i="1"/>
  <c r="AN26" i="1" l="1"/>
  <c r="CD26" i="1" s="1" a="1"/>
  <c r="CD26" i="1" s="1"/>
  <c r="CJ26" i="1" s="1"/>
  <c r="BL266" i="1"/>
  <c r="BI266" i="1"/>
  <c r="BK266" i="1" s="1"/>
  <c r="BL264" i="1"/>
  <c r="BI264" i="1"/>
  <c r="BK264" i="1" s="1"/>
  <c r="N261" i="1"/>
  <c r="BC261" i="1" s="1"/>
  <c r="BJ261" i="1" s="1"/>
  <c r="W261" i="1"/>
  <c r="BI261" i="1" l="1"/>
  <c r="BK261" i="1" s="1"/>
  <c r="BL261" i="1"/>
  <c r="N257" i="1"/>
  <c r="BC257" i="1" s="1"/>
  <c r="BJ257" i="1" s="1"/>
  <c r="W257" i="1"/>
  <c r="BL257" i="1" l="1"/>
  <c r="BI257" i="1"/>
  <c r="BK257" i="1" s="1"/>
  <c r="AF249" i="1"/>
  <c r="W245" i="1" l="1"/>
  <c r="W244" i="1"/>
  <c r="BZ228" i="1"/>
  <c r="CB228" i="1" s="1"/>
  <c r="AL228" i="1"/>
  <c r="AA228" i="1"/>
  <c r="AN228" i="1" l="1"/>
  <c r="CD228" i="1" s="1" a="1"/>
  <c r="CD228" i="1" s="1"/>
  <c r="CJ228" i="1" s="1"/>
  <c r="AK228" i="1"/>
  <c r="N292" i="1"/>
  <c r="BC292" i="1" s="1"/>
  <c r="BJ292" i="1" s="1"/>
  <c r="BZ236" i="1"/>
  <c r="CB236" i="1" s="1"/>
  <c r="AL236" i="1"/>
  <c r="AA236" i="1"/>
  <c r="AN236" i="1" l="1"/>
  <c r="CD236" i="1" s="1" a="1"/>
  <c r="CD236" i="1" s="1"/>
  <c r="CJ236" i="1" s="1"/>
  <c r="BI292" i="1"/>
  <c r="BK292" i="1" s="1"/>
  <c r="BL292" i="1"/>
  <c r="AJ275" i="1"/>
  <c r="BF275" i="1" s="1"/>
  <c r="BJ275" i="1" s="1"/>
  <c r="BI275" i="1" l="1"/>
  <c r="BK275" i="1" s="1"/>
  <c r="BL275" i="1"/>
  <c r="BZ53" i="1"/>
  <c r="CB53" i="1" s="1"/>
  <c r="AL53" i="1"/>
  <c r="AA53" i="1"/>
  <c r="BZ226" i="1"/>
  <c r="CB226" i="1" s="1"/>
  <c r="AL226" i="1"/>
  <c r="AA226" i="1"/>
  <c r="AN226" i="1" l="1"/>
  <c r="CD226" i="1" s="1" a="1"/>
  <c r="CD226" i="1" s="1"/>
  <c r="CJ226" i="1" s="1"/>
  <c r="AN53" i="1"/>
  <c r="CD53" i="1" s="1" a="1"/>
  <c r="CD53" i="1" s="1"/>
  <c r="CJ53" i="1" s="1"/>
  <c r="AK53" i="1"/>
  <c r="AA255" i="1"/>
  <c r="AA251" i="1"/>
  <c r="T195" i="1" l="1"/>
  <c r="V195" i="1" s="1"/>
  <c r="T191" i="1" l="1"/>
  <c r="V191" i="1" s="1"/>
  <c r="AG191" i="1"/>
  <c r="AG192" i="1"/>
  <c r="T192" i="1"/>
  <c r="V192" i="1" s="1"/>
  <c r="AG189" i="1" l="1"/>
  <c r="AL189" i="1" s="1"/>
  <c r="BZ25" i="1"/>
  <c r="CB25" i="1" s="1"/>
  <c r="AL25" i="1"/>
  <c r="AA25" i="1"/>
  <c r="AG187" i="1"/>
  <c r="T187" i="1"/>
  <c r="V187" i="1" s="1"/>
  <c r="T186" i="1"/>
  <c r="V186" i="1" s="1"/>
  <c r="AN25" i="1" l="1"/>
  <c r="CD25" i="1" s="1" a="1"/>
  <c r="CD25" i="1" s="1"/>
  <c r="CJ25" i="1" s="1"/>
  <c r="T185" i="1"/>
  <c r="V185" i="1" s="1"/>
  <c r="T184" i="1"/>
  <c r="V184" i="1" s="1"/>
  <c r="T183" i="1"/>
  <c r="V183" i="1" s="1"/>
  <c r="BZ24" i="1"/>
  <c r="CB24" i="1" s="1"/>
  <c r="AL24" i="1"/>
  <c r="AA24" i="1"/>
  <c r="T182" i="1"/>
  <c r="V182" i="1" s="1"/>
  <c r="T157" i="1"/>
  <c r="V157" i="1" s="1"/>
  <c r="T181" i="1"/>
  <c r="V181" i="1" s="1"/>
  <c r="AN24" i="1" l="1"/>
  <c r="CD24" i="1" s="1" a="1"/>
  <c r="CD24" i="1" s="1"/>
  <c r="CJ24" i="1" s="1"/>
  <c r="BZ23" i="1"/>
  <c r="CB23" i="1" s="1"/>
  <c r="AL23" i="1"/>
  <c r="AA23" i="1"/>
  <c r="X180" i="1"/>
  <c r="T180" i="1"/>
  <c r="V180" i="1" s="1"/>
  <c r="AN23" i="1" l="1"/>
  <c r="CD23" i="1" s="1" a="1"/>
  <c r="CD23" i="1" s="1"/>
  <c r="CJ23" i="1" s="1"/>
  <c r="BZ22" i="1"/>
  <c r="CB22" i="1" s="1"/>
  <c r="AL22" i="1"/>
  <c r="AA22" i="1"/>
  <c r="AG178" i="1"/>
  <c r="T178" i="1"/>
  <c r="V178" i="1" s="1"/>
  <c r="AJ243" i="1"/>
  <c r="BF243" i="1" s="1"/>
  <c r="AN22" i="1" l="1"/>
  <c r="BJ243" i="1"/>
  <c r="BL243" i="1" s="1"/>
  <c r="BI243" i="1"/>
  <c r="BK243" i="1" s="1"/>
  <c r="BZ21" i="1"/>
  <c r="CB21" i="1" s="1"/>
  <c r="AL21" i="1"/>
  <c r="AA21" i="1"/>
  <c r="AG177" i="1"/>
  <c r="AG176" i="1"/>
  <c r="T176" i="1"/>
  <c r="V176" i="1" s="1"/>
  <c r="AN21" i="1" l="1"/>
  <c r="CD22" i="1" a="1"/>
  <c r="CD22" i="1" s="1"/>
  <c r="CJ22" i="1" s="1"/>
  <c r="AG175" i="1"/>
  <c r="T175" i="1"/>
  <c r="V175" i="1" s="1"/>
  <c r="AA176" i="1"/>
  <c r="AA177" i="1"/>
  <c r="AA242" i="1"/>
  <c r="AA243" i="1"/>
  <c r="AA178" i="1"/>
  <c r="AA179" i="1"/>
  <c r="AA180" i="1"/>
  <c r="AA181" i="1"/>
  <c r="AA182" i="1"/>
  <c r="AA183" i="1"/>
  <c r="AA184" i="1"/>
  <c r="AA185" i="1"/>
  <c r="AA186" i="1"/>
  <c r="AA187" i="1"/>
  <c r="AA188" i="1"/>
  <c r="AA189" i="1"/>
  <c r="AA190" i="1"/>
  <c r="AA191" i="1"/>
  <c r="AA192" i="1"/>
  <c r="AA193" i="1"/>
  <c r="AA194" i="1"/>
  <c r="AA195" i="1"/>
  <c r="AA196" i="1"/>
  <c r="AA42" i="1"/>
  <c r="AA197" i="1"/>
  <c r="AA198" i="1"/>
  <c r="AA199" i="1"/>
  <c r="AA200" i="1"/>
  <c r="AA201" i="1"/>
  <c r="AA202" i="1"/>
  <c r="AA203" i="1"/>
  <c r="AA205" i="1"/>
  <c r="AA206" i="1"/>
  <c r="AA207" i="1"/>
  <c r="AA208" i="1"/>
  <c r="AA209" i="1"/>
  <c r="AA246" i="1"/>
  <c r="AA248" i="1"/>
  <c r="AA210" i="1"/>
  <c r="AA211" i="1"/>
  <c r="AA212" i="1"/>
  <c r="AA204" i="1"/>
  <c r="AA213" i="1"/>
  <c r="AA214" i="1"/>
  <c r="AA215" i="1"/>
  <c r="AA216" i="1"/>
  <c r="AA217" i="1"/>
  <c r="AA218" i="1"/>
  <c r="AA219" i="1"/>
  <c r="AA220" i="1"/>
  <c r="AA47" i="1"/>
  <c r="AA221" i="1"/>
  <c r="AA222" i="1"/>
  <c r="AA223" i="1"/>
  <c r="AA225" i="1"/>
  <c r="AA259" i="1"/>
  <c r="AA227" i="1"/>
  <c r="AA267" i="1"/>
  <c r="AA230" i="1"/>
  <c r="AA231" i="1"/>
  <c r="AA232" i="1"/>
  <c r="AA233" i="1"/>
  <c r="AA275" i="1"/>
  <c r="AA285" i="1"/>
  <c r="AA290" i="1"/>
  <c r="AA234" i="1"/>
  <c r="AA235" i="1"/>
  <c r="AA272" i="1"/>
  <c r="AA292" i="1"/>
  <c r="AA286" i="1"/>
  <c r="AA288" i="1"/>
  <c r="AA256" i="1"/>
  <c r="AA265" i="1"/>
  <c r="AA244" i="1"/>
  <c r="AA245" i="1"/>
  <c r="AA250" i="1"/>
  <c r="AA249" i="1"/>
  <c r="AA257" i="1"/>
  <c r="AA261" i="1"/>
  <c r="AA264" i="1"/>
  <c r="AA266" i="1"/>
  <c r="AA258" i="1"/>
  <c r="AA294" i="1"/>
  <c r="AA271" i="1"/>
  <c r="AA252" i="1"/>
  <c r="AA278" i="1"/>
  <c r="AA281" i="1"/>
  <c r="AA282" i="1"/>
  <c r="AA262" i="1"/>
  <c r="AA269" i="1"/>
  <c r="AA306" i="1"/>
  <c r="AA307" i="1"/>
  <c r="AA308" i="1"/>
  <c r="AA309" i="1"/>
  <c r="AA28" i="1"/>
  <c r="AA29" i="1"/>
  <c r="AA31" i="1"/>
  <c r="AA30" i="1"/>
  <c r="AA35" i="1"/>
  <c r="AA113" i="1"/>
  <c r="AA114" i="1"/>
  <c r="AA94" i="1"/>
  <c r="AA95" i="1"/>
  <c r="AA67" i="1"/>
  <c r="AA72" i="1"/>
  <c r="AA74" i="1"/>
  <c r="AA82" i="1"/>
  <c r="AA76" i="1"/>
  <c r="AA104" i="1"/>
  <c r="AA96" i="1"/>
  <c r="AA106" i="1"/>
  <c r="AA89" i="1"/>
  <c r="AA295" i="1"/>
  <c r="AA293" i="1"/>
  <c r="AA296" i="1"/>
  <c r="AA298" i="1"/>
  <c r="AA65" i="1"/>
  <c r="AA122" i="1"/>
  <c r="AA124" i="1"/>
  <c r="AA125" i="1"/>
  <c r="AA126" i="1"/>
  <c r="AA127" i="1"/>
  <c r="AA129" i="1"/>
  <c r="AA91" i="1"/>
  <c r="AA130" i="1"/>
  <c r="AA132" i="1"/>
  <c r="AA135" i="1"/>
  <c r="AA136" i="1"/>
  <c r="AA137" i="1"/>
  <c r="AA138" i="1"/>
  <c r="AA139" i="1"/>
  <c r="AA2" i="1"/>
  <c r="AA12" i="1"/>
  <c r="AA20" i="1"/>
  <c r="AA15" i="1"/>
  <c r="AA141" i="1"/>
  <c r="AA142" i="1"/>
  <c r="AA66" i="1"/>
  <c r="AA143" i="1"/>
  <c r="AA239" i="1"/>
  <c r="AA103" i="1"/>
  <c r="AA81" i="1"/>
  <c r="AA92" i="1"/>
  <c r="AA32" i="1"/>
  <c r="AA33" i="1"/>
  <c r="AA144" i="1"/>
  <c r="AA145" i="1"/>
  <c r="AA147" i="1"/>
  <c r="AA148" i="1"/>
  <c r="AA150" i="1"/>
  <c r="AA152" i="1"/>
  <c r="AA240" i="1"/>
  <c r="AA158" i="1"/>
  <c r="AA155" i="1"/>
  <c r="AA157" i="1"/>
  <c r="AA159" i="1"/>
  <c r="AA17" i="1"/>
  <c r="AA18" i="1"/>
  <c r="AA19" i="1"/>
  <c r="AA161" i="1"/>
  <c r="AA162" i="1"/>
  <c r="AA163" i="1"/>
  <c r="AA164" i="1"/>
  <c r="AA165" i="1"/>
  <c r="AA166" i="1"/>
  <c r="AA168" i="1"/>
  <c r="AA169" i="1"/>
  <c r="AA170" i="1"/>
  <c r="AA241" i="1"/>
  <c r="AA237" i="1"/>
  <c r="AA171" i="1"/>
  <c r="AA172" i="1"/>
  <c r="AA173" i="1"/>
  <c r="AA174" i="1"/>
  <c r="AA175" i="1"/>
  <c r="AG174" i="1"/>
  <c r="CD21" i="1" l="1" a="1"/>
  <c r="CD21" i="1" s="1"/>
  <c r="CJ21" i="1" s="1"/>
  <c r="AG173" i="1"/>
  <c r="T170" i="1" l="1"/>
  <c r="V170" i="1" s="1"/>
  <c r="BZ17" i="1"/>
  <c r="CB17" i="1" s="1"/>
  <c r="AL17" i="1"/>
  <c r="T169" i="1"/>
  <c r="V169" i="1" s="1"/>
  <c r="AG169" i="1"/>
  <c r="AN17" i="1" l="1"/>
  <c r="T168" i="1"/>
  <c r="V168" i="1" s="1"/>
  <c r="CD17" i="1" l="1" a="1"/>
  <c r="CD17" i="1" s="1"/>
  <c r="CJ17" i="1" s="1"/>
  <c r="BZ20" i="1"/>
  <c r="CB20" i="1" s="1"/>
  <c r="AL20" i="1"/>
  <c r="T166" i="1"/>
  <c r="V166" i="1" s="1"/>
  <c r="AG166" i="1"/>
  <c r="T165" i="1"/>
  <c r="V165" i="1" s="1"/>
  <c r="AG165" i="1"/>
  <c r="T164" i="1"/>
  <c r="V164" i="1" s="1"/>
  <c r="AG163" i="1"/>
  <c r="T163" i="1"/>
  <c r="V163" i="1" s="1"/>
  <c r="AG162" i="1"/>
  <c r="T162" i="1"/>
  <c r="V162" i="1" s="1"/>
  <c r="T161" i="1"/>
  <c r="V161" i="1" s="1"/>
  <c r="AG155" i="1"/>
  <c r="BZ2" i="1"/>
  <c r="CB2" i="1" s="1"/>
  <c r="AL2" i="1"/>
  <c r="AN2" i="1" s="1"/>
  <c r="T155" i="1"/>
  <c r="V155" i="1" s="1"/>
  <c r="T153" i="1"/>
  <c r="V153" i="1" s="1"/>
  <c r="BZ103" i="1"/>
  <c r="CB103" i="1" s="1"/>
  <c r="AL103" i="1"/>
  <c r="BZ81" i="1"/>
  <c r="CB81" i="1" s="1"/>
  <c r="BZ92" i="1"/>
  <c r="CB92" i="1" s="1"/>
  <c r="AL81" i="1"/>
  <c r="AL92" i="1"/>
  <c r="AN103" i="1" l="1"/>
  <c r="CD103" i="1" s="1" a="1"/>
  <c r="CD103" i="1" s="1"/>
  <c r="CJ103" i="1" s="1"/>
  <c r="AN20" i="1"/>
  <c r="AN189" i="1" s="1"/>
  <c r="CD189" i="1" s="1" a="1"/>
  <c r="CD189" i="1" s="1"/>
  <c r="CJ189" i="1" s="1"/>
  <c r="AN92" i="1"/>
  <c r="CD92" i="1" s="1" a="1"/>
  <c r="CD92" i="1" s="1"/>
  <c r="CJ92" i="1" s="1"/>
  <c r="AN81" i="1"/>
  <c r="CD81" i="1" s="1" a="1"/>
  <c r="CD81" i="1" s="1"/>
  <c r="CJ81" i="1" s="1"/>
  <c r="CD2" i="1" a="1"/>
  <c r="CD2" i="1" s="1"/>
  <c r="CJ2" i="1" s="1"/>
  <c r="BZ141" i="1"/>
  <c r="CB141" i="1" s="1"/>
  <c r="AL141" i="1"/>
  <c r="T141" i="1"/>
  <c r="V141" i="1" s="1"/>
  <c r="BZ32" i="1"/>
  <c r="CB32" i="1" s="1"/>
  <c r="AL32" i="1"/>
  <c r="AN141" i="1" l="1"/>
  <c r="CD141" i="1" s="1" a="1"/>
  <c r="CD141" i="1" s="1"/>
  <c r="CJ141" i="1" s="1"/>
  <c r="AN32" i="1"/>
  <c r="CD32" i="1" s="1" a="1"/>
  <c r="CD32" i="1" s="1"/>
  <c r="CJ32" i="1" s="1"/>
  <c r="CD20" i="1" a="1"/>
  <c r="CD20" i="1" s="1"/>
  <c r="CJ20" i="1" s="1"/>
  <c r="BZ15" i="1"/>
  <c r="CB15" i="1" s="1"/>
  <c r="AL15" i="1"/>
  <c r="T148" i="1"/>
  <c r="V148" i="1" s="1"/>
  <c r="T150" i="1"/>
  <c r="V150" i="1" s="1"/>
  <c r="AN15" i="1" l="1"/>
  <c r="T147" i="1"/>
  <c r="V147" i="1" s="1"/>
  <c r="T145" i="1"/>
  <c r="V145" i="1" s="1"/>
  <c r="AN151" i="1" l="1"/>
  <c r="CD151" i="1" s="1" a="1"/>
  <c r="CD151" i="1" s="1"/>
  <c r="CJ151" i="1" s="1"/>
  <c r="CD15" i="1" a="1"/>
  <c r="CD15" i="1" s="1"/>
  <c r="CJ15" i="1" s="1"/>
  <c r="S142" i="1"/>
  <c r="T142" i="1"/>
  <c r="T144" i="1"/>
  <c r="V144" i="1" s="1"/>
  <c r="T189" i="1"/>
  <c r="V189" i="1" s="1"/>
  <c r="V142" i="1" l="1"/>
  <c r="B4" i="4"/>
  <c r="B5" i="4"/>
  <c r="B6" i="4"/>
  <c r="B7" i="4"/>
  <c r="B8" i="4"/>
  <c r="B9" i="4"/>
  <c r="B10" i="4"/>
  <c r="B11" i="4"/>
  <c r="B3" i="4"/>
  <c r="BZ132" i="1"/>
  <c r="CB132" i="1" s="1"/>
  <c r="BZ134" i="1"/>
  <c r="CB134" i="1" s="1"/>
  <c r="BZ135" i="1"/>
  <c r="CB135" i="1" s="1"/>
  <c r="BZ136" i="1"/>
  <c r="CB136" i="1" s="1"/>
  <c r="BZ137" i="1"/>
  <c r="CB137" i="1" s="1"/>
  <c r="BZ138" i="1"/>
  <c r="CB138" i="1" s="1"/>
  <c r="BZ142" i="1"/>
  <c r="CB142" i="1" s="1"/>
  <c r="BZ143" i="1"/>
  <c r="CB143" i="1" s="1"/>
  <c r="BZ239" i="1"/>
  <c r="CB239" i="1" s="1"/>
  <c r="BZ144" i="1"/>
  <c r="CB144" i="1" s="1"/>
  <c r="BZ145" i="1"/>
  <c r="CB145" i="1" s="1"/>
  <c r="BZ147" i="1"/>
  <c r="CB147" i="1" s="1"/>
  <c r="BZ148" i="1"/>
  <c r="CB148" i="1" s="1"/>
  <c r="BZ150" i="1"/>
  <c r="CB150" i="1" s="1"/>
  <c r="BZ152" i="1"/>
  <c r="CB152" i="1" s="1"/>
  <c r="BZ158" i="1"/>
  <c r="CB158" i="1" s="1"/>
  <c r="BZ153" i="1"/>
  <c r="CB153" i="1" s="1"/>
  <c r="BZ155" i="1"/>
  <c r="CB155" i="1" s="1"/>
  <c r="BZ139" i="1"/>
  <c r="CB139" i="1" s="1"/>
  <c r="BZ157" i="1"/>
  <c r="CB157" i="1" s="1"/>
  <c r="BZ159" i="1"/>
  <c r="CB159" i="1" s="1"/>
  <c r="BZ161" i="1"/>
  <c r="CB161" i="1" s="1"/>
  <c r="BZ162" i="1"/>
  <c r="CB162" i="1" s="1"/>
  <c r="BZ163" i="1"/>
  <c r="CB163" i="1" s="1"/>
  <c r="BZ164" i="1"/>
  <c r="CB164" i="1" s="1"/>
  <c r="BZ165" i="1"/>
  <c r="CB165" i="1" s="1"/>
  <c r="BZ166" i="1"/>
  <c r="CB166" i="1" s="1"/>
  <c r="BZ168" i="1"/>
  <c r="CB168" i="1" s="1"/>
  <c r="BZ169" i="1"/>
  <c r="CB169" i="1" s="1"/>
  <c r="BZ170" i="1"/>
  <c r="CB170" i="1" s="1"/>
  <c r="BZ171" i="1"/>
  <c r="CB171" i="1" s="1"/>
  <c r="BZ172" i="1"/>
  <c r="CB172" i="1" s="1"/>
  <c r="BZ173" i="1"/>
  <c r="CB173" i="1" s="1"/>
  <c r="BZ174" i="1"/>
  <c r="CB174" i="1" s="1"/>
  <c r="BZ175" i="1"/>
  <c r="CB175" i="1" s="1"/>
  <c r="BZ176" i="1"/>
  <c r="CB176" i="1" s="1"/>
  <c r="BZ177" i="1"/>
  <c r="CB177" i="1" s="1"/>
  <c r="BZ178" i="1"/>
  <c r="CB178" i="1" s="1"/>
  <c r="BZ179" i="1"/>
  <c r="CB179" i="1" s="1"/>
  <c r="BZ180" i="1"/>
  <c r="CB180" i="1" s="1"/>
  <c r="BZ181" i="1"/>
  <c r="CB181" i="1" s="1"/>
  <c r="BZ182" i="1"/>
  <c r="CB182" i="1" s="1"/>
  <c r="BZ183" i="1"/>
  <c r="CB183" i="1" s="1"/>
  <c r="BZ184" i="1"/>
  <c r="CB184" i="1" s="1"/>
  <c r="BZ185" i="1"/>
  <c r="CB185" i="1" s="1"/>
  <c r="BZ186" i="1"/>
  <c r="CB186" i="1" s="1"/>
  <c r="BZ187" i="1"/>
  <c r="CB187" i="1" s="1"/>
  <c r="BZ188" i="1"/>
  <c r="CB188" i="1" s="1"/>
  <c r="BZ189" i="1"/>
  <c r="CB189" i="1" s="1"/>
  <c r="BZ190" i="1"/>
  <c r="CB190" i="1" s="1"/>
  <c r="BZ191" i="1"/>
  <c r="CB191" i="1" s="1"/>
  <c r="BZ192" i="1"/>
  <c r="CB192" i="1" s="1"/>
  <c r="BZ193" i="1"/>
  <c r="CB193" i="1" s="1"/>
  <c r="BZ194" i="1"/>
  <c r="CB194" i="1" s="1"/>
  <c r="BZ195" i="1"/>
  <c r="CB195" i="1" s="1"/>
  <c r="BZ196" i="1"/>
  <c r="CB196" i="1" s="1"/>
  <c r="BZ197" i="1"/>
  <c r="CB197" i="1" s="1"/>
  <c r="BZ198" i="1"/>
  <c r="CB198" i="1" s="1"/>
  <c r="BZ199" i="1"/>
  <c r="CB199" i="1" s="1"/>
  <c r="BZ200" i="1"/>
  <c r="CB200" i="1" s="1"/>
  <c r="BZ201" i="1"/>
  <c r="CB201" i="1" s="1"/>
  <c r="BZ202" i="1"/>
  <c r="CB202" i="1" s="1"/>
  <c r="BZ203" i="1"/>
  <c r="CB203" i="1" s="1"/>
  <c r="BZ205" i="1"/>
  <c r="CB205" i="1" s="1"/>
  <c r="BZ206" i="1"/>
  <c r="CB206" i="1" s="1"/>
  <c r="BZ207" i="1"/>
  <c r="CB207" i="1" s="1"/>
  <c r="BZ208" i="1"/>
  <c r="CB208" i="1" s="1"/>
  <c r="BZ209" i="1"/>
  <c r="CB209" i="1" s="1"/>
  <c r="BZ246" i="1"/>
  <c r="CB246" i="1" s="1"/>
  <c r="BZ210" i="1"/>
  <c r="CB210" i="1" s="1"/>
  <c r="BZ211" i="1"/>
  <c r="CB211" i="1" s="1"/>
  <c r="BZ212" i="1"/>
  <c r="CB212" i="1" s="1"/>
  <c r="BZ204" i="1"/>
  <c r="CB204" i="1" s="1"/>
  <c r="BZ213" i="1"/>
  <c r="CB213" i="1" s="1"/>
  <c r="BZ214" i="1"/>
  <c r="CB214" i="1" s="1"/>
  <c r="BZ215" i="1"/>
  <c r="CB215" i="1" s="1"/>
  <c r="BZ216" i="1"/>
  <c r="CB216" i="1" s="1"/>
  <c r="BZ217" i="1"/>
  <c r="CB217" i="1" s="1"/>
  <c r="BZ218" i="1"/>
  <c r="CB218" i="1" s="1"/>
  <c r="BZ219" i="1"/>
  <c r="CB219" i="1" s="1"/>
  <c r="BZ220" i="1"/>
  <c r="CB220" i="1" s="1"/>
  <c r="BZ221" i="1"/>
  <c r="CB221" i="1" s="1"/>
  <c r="BZ222" i="1"/>
  <c r="CB222" i="1" s="1"/>
  <c r="BZ223" i="1"/>
  <c r="CB223" i="1" s="1"/>
  <c r="BZ225" i="1"/>
  <c r="CB225" i="1" s="1"/>
  <c r="BZ227" i="1"/>
  <c r="CB227" i="1" s="1"/>
  <c r="BZ230" i="1"/>
  <c r="CB230" i="1" s="1"/>
  <c r="BZ231" i="1"/>
  <c r="CB231" i="1" s="1"/>
  <c r="BZ232" i="1"/>
  <c r="CB232" i="1" s="1"/>
  <c r="BZ233" i="1"/>
  <c r="CB233" i="1" s="1"/>
  <c r="BZ234" i="1"/>
  <c r="CB234" i="1" s="1"/>
  <c r="BZ235" i="1"/>
  <c r="CB235" i="1" s="1"/>
  <c r="BZ237" i="1"/>
  <c r="CB237" i="1" s="1"/>
  <c r="BZ240" i="1"/>
  <c r="CB240" i="1" s="1"/>
  <c r="BZ241" i="1"/>
  <c r="CB241" i="1" s="1"/>
  <c r="BZ242" i="1"/>
  <c r="CB242" i="1" s="1"/>
  <c r="BZ243" i="1"/>
  <c r="CB243" i="1" s="1"/>
  <c r="BZ238" i="1"/>
  <c r="CB238" i="1" s="1"/>
  <c r="BZ248" i="1"/>
  <c r="CB248" i="1" s="1"/>
  <c r="BZ285" i="1"/>
  <c r="CB285" i="1" s="1"/>
  <c r="BZ267" i="1"/>
  <c r="CB267" i="1" s="1"/>
  <c r="BZ275" i="1"/>
  <c r="CB275" i="1" s="1"/>
  <c r="BZ290" i="1"/>
  <c r="CB290" i="1" s="1"/>
  <c r="BZ259" i="1"/>
  <c r="CB259" i="1" s="1"/>
  <c r="BZ255" i="1"/>
  <c r="CB255" i="1" s="1"/>
  <c r="BZ251" i="1"/>
  <c r="CB251" i="1" s="1"/>
  <c r="BZ272" i="1"/>
  <c r="CB272" i="1" s="1"/>
  <c r="BZ292" i="1"/>
  <c r="CB292" i="1" s="1"/>
  <c r="BZ286" i="1"/>
  <c r="CB286" i="1" s="1"/>
  <c r="BZ288" i="1"/>
  <c r="CB288" i="1" s="1"/>
  <c r="BZ256" i="1"/>
  <c r="CB256" i="1" s="1"/>
  <c r="BZ265" i="1"/>
  <c r="CB265" i="1" s="1"/>
  <c r="BZ244" i="1"/>
  <c r="CB244" i="1" s="1"/>
  <c r="BZ245" i="1"/>
  <c r="CB245" i="1" s="1"/>
  <c r="BZ250" i="1"/>
  <c r="CB250" i="1" s="1"/>
  <c r="BZ249" i="1"/>
  <c r="CB249" i="1" s="1"/>
  <c r="BZ257" i="1"/>
  <c r="CB257" i="1" s="1"/>
  <c r="BZ261" i="1"/>
  <c r="CB261" i="1" s="1"/>
  <c r="CB264" i="1"/>
  <c r="BZ266" i="1"/>
  <c r="CB266" i="1" s="1"/>
  <c r="BZ258" i="1"/>
  <c r="CB258" i="1" s="1"/>
  <c r="BZ294" i="1"/>
  <c r="CB294" i="1" s="1"/>
  <c r="BZ271" i="1"/>
  <c r="CB271" i="1" s="1"/>
  <c r="BZ252" i="1"/>
  <c r="CB252" i="1" s="1"/>
  <c r="BZ278" i="1"/>
  <c r="CB278" i="1" s="1"/>
  <c r="BZ281" i="1"/>
  <c r="CB281" i="1" s="1"/>
  <c r="BZ282" i="1"/>
  <c r="CB282" i="1" s="1"/>
  <c r="BZ262" i="1"/>
  <c r="CB262" i="1" s="1"/>
  <c r="BZ269" i="1"/>
  <c r="CB269" i="1" s="1"/>
  <c r="BZ306" i="1"/>
  <c r="CB306" i="1" s="1"/>
  <c r="BZ310" i="1"/>
  <c r="CB310" i="1" s="1"/>
  <c r="BZ307" i="1"/>
  <c r="CB307" i="1" s="1"/>
  <c r="BZ308" i="1"/>
  <c r="CB308" i="1" s="1"/>
  <c r="BZ309" i="1"/>
  <c r="CB309" i="1" s="1"/>
  <c r="BZ311" i="1"/>
  <c r="CB311" i="1" s="1"/>
  <c r="BZ312" i="1"/>
  <c r="CB312" i="1" s="1"/>
  <c r="BZ313" i="1"/>
  <c r="CB313" i="1" s="1"/>
  <c r="BZ314" i="1"/>
  <c r="CB314" i="1" s="1"/>
  <c r="BZ315" i="1"/>
  <c r="CB315" i="1" s="1"/>
  <c r="BZ317" i="1"/>
  <c r="CB317" i="1" s="1"/>
  <c r="BZ318" i="1"/>
  <c r="CB318" i="1" s="1"/>
  <c r="BZ319" i="1"/>
  <c r="CB319" i="1" s="1"/>
  <c r="BZ320" i="1"/>
  <c r="CB320" i="1" s="1"/>
  <c r="BZ321" i="1"/>
  <c r="CB321" i="1" s="1"/>
  <c r="BZ322" i="1"/>
  <c r="CB322" i="1" s="1"/>
  <c r="BZ28" i="1"/>
  <c r="CB28" i="1" s="1"/>
  <c r="BZ29" i="1"/>
  <c r="CB29" i="1" s="1"/>
  <c r="BZ31" i="1"/>
  <c r="CB31" i="1" s="1"/>
  <c r="BZ33" i="1"/>
  <c r="CB33" i="1" s="1"/>
  <c r="BZ30" i="1"/>
  <c r="CB30" i="1" s="1"/>
  <c r="BZ35" i="1"/>
  <c r="CB35" i="1" s="1"/>
  <c r="BZ42" i="1"/>
  <c r="CB42" i="1" s="1"/>
  <c r="BZ47" i="1"/>
  <c r="CB47" i="1" s="1"/>
  <c r="BZ113" i="1"/>
  <c r="CB113" i="1" s="1"/>
  <c r="BZ114" i="1"/>
  <c r="CB114" i="1" s="1"/>
  <c r="BZ91" i="1"/>
  <c r="CB91" i="1" s="1"/>
  <c r="CB94" i="1"/>
  <c r="BZ95" i="1"/>
  <c r="CB95" i="1" s="1"/>
  <c r="BZ65" i="1"/>
  <c r="CB65" i="1" s="1"/>
  <c r="BZ66" i="1"/>
  <c r="CB66" i="1" s="1"/>
  <c r="BZ67" i="1"/>
  <c r="CB67" i="1" s="1"/>
  <c r="BZ82" i="1"/>
  <c r="CB82" i="1" s="1"/>
  <c r="BZ76" i="1"/>
  <c r="CB76" i="1" s="1"/>
  <c r="BZ104" i="1"/>
  <c r="CB104" i="1" s="1"/>
  <c r="BZ96" i="1"/>
  <c r="CB96" i="1" s="1"/>
  <c r="BZ106" i="1"/>
  <c r="CB106" i="1" s="1"/>
  <c r="BZ89" i="1"/>
  <c r="CB89" i="1" s="1"/>
  <c r="BZ19" i="1"/>
  <c r="CB19" i="1" s="1"/>
  <c r="BZ12" i="1"/>
  <c r="CB12" i="1" s="1"/>
  <c r="BZ121" i="1"/>
  <c r="CB121" i="1" s="1"/>
  <c r="BZ122" i="1"/>
  <c r="CB122" i="1" s="1"/>
  <c r="BZ124" i="1"/>
  <c r="CB124" i="1" s="1"/>
  <c r="BZ125" i="1"/>
  <c r="CB125" i="1" s="1"/>
  <c r="BZ126" i="1"/>
  <c r="CB126" i="1" s="1"/>
  <c r="BZ127" i="1"/>
  <c r="CB127" i="1" s="1"/>
  <c r="BZ129" i="1"/>
  <c r="CB129" i="1" s="1"/>
  <c r="BZ130" i="1"/>
  <c r="CB130" i="1" s="1"/>
  <c r="BZ18" i="1"/>
  <c r="CB1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G142" i="1"/>
  <c r="AL12" i="1"/>
  <c r="AN12" i="1" l="1"/>
  <c r="C2" i="3"/>
  <c r="B2" i="3" s="1"/>
  <c r="B7" i="3"/>
  <c r="B8" i="3"/>
  <c r="B9" i="3"/>
  <c r="B10" i="3"/>
  <c r="AK229" i="1" s="1"/>
  <c r="B11" i="3"/>
  <c r="AK305" i="1" s="1"/>
  <c r="B12" i="3"/>
  <c r="B13" i="3"/>
  <c r="B14" i="3"/>
  <c r="C4" i="3"/>
  <c r="B4" i="3" s="1"/>
  <c r="C5" i="3"/>
  <c r="B5" i="3" s="1"/>
  <c r="C6" i="3"/>
  <c r="B6" i="3" s="1"/>
  <c r="C7" i="3"/>
  <c r="C8" i="3"/>
  <c r="C9" i="3"/>
  <c r="C10" i="3"/>
  <c r="C11" i="3"/>
  <c r="C12" i="3"/>
  <c r="C13" i="3"/>
  <c r="C14" i="3"/>
  <c r="C15" i="3"/>
  <c r="C16" i="3"/>
  <c r="B16" i="3" s="1"/>
  <c r="C17" i="3"/>
  <c r="B17" i="3" s="1"/>
  <c r="C18" i="3"/>
  <c r="B18" i="3" s="1"/>
  <c r="C3" i="3"/>
  <c r="B3" i="3" s="1"/>
  <c r="CD12" i="1" l="1" a="1"/>
  <c r="CD12" i="1" s="1"/>
  <c r="CJ12" i="1" s="1"/>
  <c r="AK324" i="1"/>
  <c r="AK325" i="1"/>
  <c r="AK167" i="1"/>
  <c r="AK58" i="1"/>
  <c r="AK128" i="1"/>
  <c r="AK131" i="1"/>
  <c r="AK140" i="1"/>
  <c r="AK85" i="1"/>
  <c r="AK133" i="1"/>
  <c r="AK57" i="1"/>
  <c r="AK289" i="1"/>
  <c r="AK10" i="1"/>
  <c r="AK115" i="1"/>
  <c r="AK101" i="1"/>
  <c r="AK117" i="1"/>
  <c r="AK6" i="1"/>
  <c r="AK4" i="1"/>
  <c r="AK116" i="1"/>
  <c r="AK5" i="1"/>
  <c r="AK8" i="1"/>
  <c r="AK64" i="1"/>
  <c r="AK79" i="1"/>
  <c r="AK9" i="1"/>
  <c r="AK7" i="1"/>
  <c r="AK111" i="1"/>
  <c r="AK112" i="1"/>
  <c r="AK260" i="1"/>
  <c r="AK291" i="1"/>
  <c r="AK303" i="1"/>
  <c r="AK297" i="1"/>
  <c r="AK299" i="1"/>
  <c r="AK284" i="1"/>
  <c r="AK224" i="1"/>
  <c r="AK304" i="1"/>
  <c r="AK277" i="1"/>
  <c r="AK273" i="1"/>
  <c r="AK276" i="1"/>
  <c r="AK68" i="1"/>
  <c r="AK120" i="1"/>
  <c r="AK123" i="1"/>
  <c r="AK56" i="1"/>
  <c r="AK27" i="1"/>
  <c r="AK11" i="1"/>
  <c r="AK316" i="1"/>
  <c r="AK323" i="1"/>
  <c r="AK60" i="1"/>
  <c r="AK34" i="1"/>
  <c r="AK32" i="1"/>
  <c r="AK59" i="1"/>
  <c r="AK109" i="1"/>
  <c r="AK86" i="1"/>
  <c r="AK149" i="1"/>
  <c r="AK160" i="1"/>
  <c r="AK108" i="1"/>
  <c r="AK12" i="1"/>
  <c r="AK80" i="1"/>
  <c r="AK102" i="1"/>
  <c r="AK25" i="1"/>
  <c r="AK24" i="1"/>
  <c r="AK23" i="1"/>
  <c r="AK141" i="1"/>
  <c r="AK146" i="1"/>
  <c r="AK110" i="1"/>
  <c r="AK100" i="1"/>
  <c r="AK156" i="1"/>
  <c r="AK151" i="1"/>
  <c r="AK83" i="1"/>
  <c r="AK99" i="1"/>
  <c r="AK94" i="1"/>
  <c r="AK73" i="1"/>
  <c r="AK71" i="1"/>
  <c r="AK70" i="1"/>
  <c r="AK77" i="1"/>
  <c r="AK90" i="1"/>
  <c r="AK78" i="1"/>
  <c r="AK226" i="1"/>
  <c r="AK13" i="1"/>
  <c r="AK16" i="1"/>
  <c r="AK154" i="1"/>
  <c r="AK14" i="1"/>
  <c r="AK75" i="1"/>
  <c r="AK105" i="1"/>
  <c r="AK98" i="1"/>
  <c r="AK97" i="1"/>
  <c r="AK107" i="1"/>
  <c r="AK93" i="1"/>
  <c r="AK69" i="1"/>
  <c r="AK26" i="1"/>
  <c r="AK22" i="1"/>
  <c r="AK21" i="1"/>
  <c r="AK17" i="1"/>
  <c r="AK2" i="1"/>
  <c r="AK20" i="1"/>
  <c r="AK92" i="1"/>
  <c r="AK103" i="1"/>
  <c r="AK81" i="1"/>
  <c r="AK15" i="1"/>
  <c r="AK280" i="1"/>
  <c r="AK279" i="1"/>
  <c r="AK283" i="1"/>
  <c r="AK62" i="1"/>
  <c r="AK61" i="1"/>
  <c r="AK253" i="1"/>
  <c r="AK254" i="1"/>
  <c r="AK247" i="1"/>
  <c r="AK274" i="1"/>
  <c r="AK84" i="1"/>
  <c r="AK87" i="1"/>
  <c r="AK63" i="1"/>
  <c r="AK236" i="1"/>
  <c r="AK295" i="1"/>
  <c r="AK298" i="1"/>
  <c r="AK293" i="1"/>
  <c r="AK296" i="1"/>
  <c r="AL194" i="1"/>
  <c r="AL195" i="1"/>
  <c r="AL19" i="1"/>
  <c r="AL121" i="1"/>
  <c r="AL122" i="1"/>
  <c r="AL124" i="1"/>
  <c r="AL125" i="1"/>
  <c r="AL126" i="1"/>
  <c r="AL127" i="1"/>
  <c r="AL129" i="1"/>
  <c r="AL130" i="1"/>
  <c r="AL132" i="1"/>
  <c r="AL134" i="1"/>
  <c r="AL135" i="1"/>
  <c r="AL136" i="1"/>
  <c r="AL137" i="1"/>
  <c r="AL138" i="1"/>
  <c r="AL142" i="1"/>
  <c r="AL143" i="1"/>
  <c r="AL239" i="1"/>
  <c r="AL144" i="1"/>
  <c r="AL145" i="1"/>
  <c r="AL147" i="1"/>
  <c r="AL148" i="1"/>
  <c r="AL150" i="1"/>
  <c r="AL152" i="1"/>
  <c r="AL158" i="1"/>
  <c r="AL153" i="1"/>
  <c r="AL155" i="1"/>
  <c r="AL139" i="1"/>
  <c r="AL157" i="1"/>
  <c r="AL159" i="1"/>
  <c r="AL161" i="1"/>
  <c r="AL162" i="1"/>
  <c r="AL163" i="1"/>
  <c r="AL164" i="1"/>
  <c r="AL165" i="1"/>
  <c r="AL166" i="1"/>
  <c r="AL168" i="1"/>
  <c r="AL169" i="1"/>
  <c r="AL170" i="1"/>
  <c r="AL171" i="1"/>
  <c r="AL172" i="1"/>
  <c r="AL173" i="1"/>
  <c r="AL174" i="1"/>
  <c r="AL175" i="1"/>
  <c r="AL176" i="1"/>
  <c r="AL177" i="1"/>
  <c r="AL178" i="1"/>
  <c r="AL179" i="1"/>
  <c r="AL180" i="1"/>
  <c r="AL181" i="1"/>
  <c r="AL182" i="1"/>
  <c r="AL183" i="1"/>
  <c r="AL184" i="1"/>
  <c r="AL185" i="1"/>
  <c r="AL186" i="1"/>
  <c r="AL187" i="1"/>
  <c r="AL188" i="1"/>
  <c r="AL190" i="1"/>
  <c r="AL191" i="1"/>
  <c r="AL192" i="1"/>
  <c r="AL193" i="1"/>
  <c r="AL196" i="1"/>
  <c r="AL197" i="1"/>
  <c r="AL198" i="1"/>
  <c r="AL199" i="1"/>
  <c r="AL200" i="1"/>
  <c r="AL201" i="1"/>
  <c r="AL202" i="1"/>
  <c r="AL203" i="1"/>
  <c r="AL205" i="1"/>
  <c r="AL206" i="1"/>
  <c r="AL207" i="1"/>
  <c r="AL208" i="1"/>
  <c r="AL209" i="1"/>
  <c r="AL246" i="1"/>
  <c r="AL210" i="1"/>
  <c r="AL211" i="1"/>
  <c r="AL212" i="1"/>
  <c r="AL204" i="1"/>
  <c r="AL213" i="1"/>
  <c r="AL214" i="1"/>
  <c r="AL215" i="1"/>
  <c r="AL216" i="1"/>
  <c r="AL217" i="1"/>
  <c r="AL218" i="1"/>
  <c r="AL219" i="1"/>
  <c r="AL220" i="1"/>
  <c r="AL221" i="1"/>
  <c r="AL222" i="1"/>
  <c r="AL223" i="1"/>
  <c r="AL225" i="1"/>
  <c r="AL227" i="1"/>
  <c r="AL230" i="1"/>
  <c r="AL231" i="1"/>
  <c r="AL232" i="1"/>
  <c r="AL233" i="1"/>
  <c r="AL234" i="1"/>
  <c r="AL235" i="1"/>
  <c r="AL237" i="1"/>
  <c r="AL240" i="1"/>
  <c r="AL241" i="1"/>
  <c r="AL242" i="1"/>
  <c r="AL243" i="1"/>
  <c r="AL238" i="1"/>
  <c r="AL248" i="1"/>
  <c r="AL285" i="1"/>
  <c r="AL267" i="1"/>
  <c r="AL275" i="1"/>
  <c r="AL290" i="1"/>
  <c r="AL259" i="1"/>
  <c r="AL255" i="1"/>
  <c r="AL251" i="1"/>
  <c r="AL272" i="1"/>
  <c r="AL292" i="1"/>
  <c r="AL286" i="1"/>
  <c r="AL288" i="1"/>
  <c r="AL256" i="1"/>
  <c r="AL265" i="1"/>
  <c r="AL244" i="1"/>
  <c r="AL245" i="1"/>
  <c r="AL250" i="1"/>
  <c r="AL249" i="1"/>
  <c r="AL257" i="1"/>
  <c r="AL261" i="1"/>
  <c r="AL264" i="1"/>
  <c r="AL266" i="1"/>
  <c r="AL258" i="1"/>
  <c r="AL294" i="1"/>
  <c r="AL271" i="1"/>
  <c r="AL278" i="1"/>
  <c r="AL281" i="1"/>
  <c r="AL282" i="1"/>
  <c r="AL262" i="1"/>
  <c r="AL269" i="1"/>
  <c r="AN269" i="1" s="1"/>
  <c r="AL306" i="1"/>
  <c r="AL310" i="1"/>
  <c r="AL307" i="1"/>
  <c r="AL308" i="1"/>
  <c r="AL309" i="1"/>
  <c r="AL311" i="1"/>
  <c r="AL312" i="1"/>
  <c r="AL313" i="1"/>
  <c r="AL314" i="1"/>
  <c r="AL315" i="1"/>
  <c r="AL317" i="1"/>
  <c r="AL318" i="1"/>
  <c r="AL319" i="1"/>
  <c r="AL320" i="1"/>
  <c r="AL321" i="1"/>
  <c r="AL322" i="1"/>
  <c r="AL28" i="1"/>
  <c r="AL29" i="1"/>
  <c r="AL31" i="1"/>
  <c r="AL33" i="1"/>
  <c r="AL30" i="1"/>
  <c r="AL35" i="1"/>
  <c r="AL42" i="1"/>
  <c r="AL47" i="1"/>
  <c r="AL113" i="1"/>
  <c r="AL114" i="1"/>
  <c r="AL91" i="1"/>
  <c r="AL95" i="1"/>
  <c r="AL65" i="1"/>
  <c r="AL66" i="1"/>
  <c r="AL67" i="1"/>
  <c r="AL72" i="1"/>
  <c r="AL74" i="1"/>
  <c r="AL82" i="1"/>
  <c r="AL76" i="1"/>
  <c r="AL104" i="1"/>
  <c r="AL96" i="1"/>
  <c r="AL106" i="1"/>
  <c r="AL89" i="1"/>
  <c r="AL18" i="1"/>
  <c r="AN132" i="1" l="1"/>
  <c r="CD132" i="1" s="1" a="1"/>
  <c r="CD132" i="1" s="1"/>
  <c r="CJ132" i="1" s="1"/>
  <c r="AN127" i="1"/>
  <c r="CD127" i="1" s="1" a="1"/>
  <c r="CD127" i="1" s="1"/>
  <c r="CJ127" i="1" s="1"/>
  <c r="AN125" i="1"/>
  <c r="CD125" i="1" s="1" a="1"/>
  <c r="CD125" i="1" s="1"/>
  <c r="CJ125" i="1" s="1"/>
  <c r="AN194" i="1"/>
  <c r="CD194" i="1" s="1" a="1"/>
  <c r="CD194" i="1" s="1"/>
  <c r="CJ194" i="1" s="1"/>
  <c r="AN307" i="1"/>
  <c r="CD307" i="1" s="1" a="1"/>
  <c r="CD307" i="1" s="1"/>
  <c r="CJ307" i="1" s="1"/>
  <c r="AN129" i="1"/>
  <c r="CD129" i="1" s="1" a="1"/>
  <c r="CD129" i="1" s="1"/>
  <c r="CJ129" i="1" s="1"/>
  <c r="AN243" i="1"/>
  <c r="CD243" i="1" s="1" a="1"/>
  <c r="CD243" i="1" s="1"/>
  <c r="CJ243" i="1" s="1"/>
  <c r="AN242" i="1"/>
  <c r="CD242" i="1" s="1" a="1"/>
  <c r="CD242" i="1" s="1"/>
  <c r="CJ242" i="1" s="1"/>
  <c r="AN262" i="1"/>
  <c r="CD262" i="1" s="1" a="1"/>
  <c r="CD262" i="1" s="1"/>
  <c r="CJ262" i="1" s="1"/>
  <c r="AN202" i="1"/>
  <c r="CD202" i="1" s="1" a="1"/>
  <c r="CD202" i="1" s="1"/>
  <c r="CJ202" i="1" s="1"/>
  <c r="AN258" i="1"/>
  <c r="CD258" i="1" s="1" a="1"/>
  <c r="CD258" i="1" s="1"/>
  <c r="CJ258" i="1" s="1"/>
  <c r="AN169" i="1"/>
  <c r="CD169" i="1" s="1" a="1"/>
  <c r="CD169" i="1" s="1"/>
  <c r="CJ169" i="1" s="1"/>
  <c r="AN241" i="1"/>
  <c r="CD241" i="1" s="1" a="1"/>
  <c r="CD241" i="1" s="1"/>
  <c r="CJ241" i="1" s="1"/>
  <c r="AN66" i="1"/>
  <c r="CD66" i="1" s="1" a="1"/>
  <c r="CD66" i="1" s="1"/>
  <c r="CJ66" i="1" s="1"/>
  <c r="AN122" i="1"/>
  <c r="CD122" i="1" s="1" a="1"/>
  <c r="CD122" i="1" s="1"/>
  <c r="CJ122" i="1" s="1"/>
  <c r="AN95" i="1"/>
  <c r="CD95" i="1" s="1" a="1"/>
  <c r="CD95" i="1" s="1"/>
  <c r="CJ95" i="1" s="1"/>
  <c r="AN234" i="1"/>
  <c r="CD234" i="1" s="1" a="1"/>
  <c r="CD234" i="1" s="1"/>
  <c r="CJ234" i="1" s="1"/>
  <c r="AN162" i="1"/>
  <c r="CD162" i="1" s="1" a="1"/>
  <c r="CD162" i="1" s="1"/>
  <c r="CJ162" i="1" s="1"/>
  <c r="AN232" i="1"/>
  <c r="CD232" i="1" s="1" a="1"/>
  <c r="CD232" i="1" s="1"/>
  <c r="CJ232" i="1" s="1"/>
  <c r="AN208" i="1"/>
  <c r="CD208" i="1" s="1" a="1"/>
  <c r="CD208" i="1" s="1"/>
  <c r="CJ208" i="1" s="1"/>
  <c r="AN238" i="1"/>
  <c r="CD238" i="1" s="1" a="1"/>
  <c r="CD238" i="1" s="1"/>
  <c r="CJ238" i="1" s="1"/>
  <c r="AN278" i="1"/>
  <c r="CD278" i="1" s="1" a="1"/>
  <c r="CD278" i="1" s="1"/>
  <c r="CJ278" i="1" s="1"/>
  <c r="AN91" i="1"/>
  <c r="CD91" i="1" s="1" a="1"/>
  <c r="CD91" i="1" s="1"/>
  <c r="CJ91" i="1" s="1"/>
  <c r="AN114" i="1"/>
  <c r="CD114" i="1" s="1" a="1"/>
  <c r="CD114" i="1" s="1"/>
  <c r="CJ114" i="1" s="1"/>
  <c r="AN166" i="1"/>
  <c r="CD166" i="1" s="1" a="1"/>
  <c r="CD166" i="1" s="1"/>
  <c r="CJ166" i="1" s="1"/>
  <c r="AN113" i="1"/>
  <c r="CD113" i="1" s="1" a="1"/>
  <c r="CD113" i="1" s="1"/>
  <c r="CJ113" i="1" s="1"/>
  <c r="AN196" i="1"/>
  <c r="CD196" i="1" s="1" a="1"/>
  <c r="CD196" i="1" s="1"/>
  <c r="CJ196" i="1" s="1"/>
  <c r="AN42" i="1"/>
  <c r="CD42" i="1" s="1" a="1"/>
  <c r="CD42" i="1" s="1"/>
  <c r="CJ42" i="1" s="1"/>
  <c r="AN35" i="1"/>
  <c r="CD35" i="1" s="1" a="1"/>
  <c r="CD35" i="1" s="1"/>
  <c r="CJ35" i="1" s="1"/>
  <c r="AN158" i="1"/>
  <c r="CD158" i="1" s="1" a="1"/>
  <c r="CD158" i="1" s="1"/>
  <c r="CJ158" i="1" s="1"/>
  <c r="AN104" i="1"/>
  <c r="CD104" i="1" s="1" a="1"/>
  <c r="CD104" i="1" s="1"/>
  <c r="CJ104" i="1" s="1"/>
  <c r="AN126" i="1"/>
  <c r="CD126" i="1" s="1" a="1"/>
  <c r="CD126" i="1" s="1"/>
  <c r="CJ126" i="1" s="1"/>
  <c r="AN164" i="1"/>
  <c r="CD164" i="1" s="1" a="1"/>
  <c r="CD164" i="1" s="1"/>
  <c r="CJ164" i="1" s="1"/>
  <c r="AN76" i="1"/>
  <c r="CD76" i="1" s="1" a="1"/>
  <c r="CD76" i="1" s="1"/>
  <c r="CJ76" i="1" s="1"/>
  <c r="AN67" i="1"/>
  <c r="CD67" i="1" s="1" a="1"/>
  <c r="CD67" i="1" s="1"/>
  <c r="CJ67" i="1" s="1"/>
  <c r="AN124" i="1"/>
  <c r="CD124" i="1" s="1" a="1"/>
  <c r="CD124" i="1" s="1"/>
  <c r="CJ124" i="1" s="1"/>
  <c r="AN201" i="1"/>
  <c r="CD201" i="1" s="1" a="1"/>
  <c r="CD201" i="1" s="1"/>
  <c r="CJ201" i="1" s="1"/>
  <c r="AN261" i="1"/>
  <c r="CD261" i="1" s="1" a="1"/>
  <c r="CD261" i="1" s="1"/>
  <c r="CJ261" i="1" s="1"/>
  <c r="AN155" i="1"/>
  <c r="CD155" i="1" s="1" a="1"/>
  <c r="CD155" i="1" s="1"/>
  <c r="CJ155" i="1" s="1"/>
  <c r="AN33" i="1"/>
  <c r="CD33" i="1" s="1" a="1"/>
  <c r="CD33" i="1" s="1"/>
  <c r="CJ33" i="1" s="1"/>
  <c r="AN188" i="1"/>
  <c r="CD188" i="1" s="1" a="1"/>
  <c r="CD188" i="1" s="1"/>
  <c r="CJ188" i="1" s="1"/>
  <c r="AN271" i="1"/>
  <c r="CD271" i="1" s="1" a="1"/>
  <c r="CD271" i="1" s="1"/>
  <c r="CJ271" i="1" s="1"/>
  <c r="AN294" i="1"/>
  <c r="CD294" i="1" s="1" a="1"/>
  <c r="CD294" i="1" s="1"/>
  <c r="CJ294" i="1" s="1"/>
  <c r="AN264" i="1"/>
  <c r="CD264" i="1" s="1" a="1"/>
  <c r="CD264" i="1" s="1"/>
  <c r="CJ264" i="1" s="1"/>
  <c r="AN308" i="1"/>
  <c r="CD308" i="1" s="1" a="1"/>
  <c r="CD308" i="1" s="1"/>
  <c r="CJ308" i="1" s="1"/>
  <c r="AN223" i="1"/>
  <c r="CD223" i="1" s="1" a="1"/>
  <c r="CD223" i="1" s="1"/>
  <c r="CJ223" i="1" s="1"/>
  <c r="AN222" i="1"/>
  <c r="CD222" i="1" s="1" a="1"/>
  <c r="CD222" i="1" s="1"/>
  <c r="CJ222" i="1" s="1"/>
  <c r="AN145" i="1"/>
  <c r="CD145" i="1" s="1" a="1"/>
  <c r="CD145" i="1" s="1"/>
  <c r="CJ145" i="1" s="1"/>
  <c r="AN19" i="1"/>
  <c r="AN171" i="1" s="1"/>
  <c r="CD171" i="1" s="1" a="1"/>
  <c r="CD171" i="1" s="1"/>
  <c r="CJ171" i="1" s="1"/>
  <c r="AN233" i="1"/>
  <c r="CD233" i="1" s="1" a="1"/>
  <c r="CD233" i="1" s="1"/>
  <c r="CJ233" i="1" s="1"/>
  <c r="AN249" i="1"/>
  <c r="CD249" i="1" s="1" a="1"/>
  <c r="CD249" i="1" s="1"/>
  <c r="CJ249" i="1" s="1"/>
  <c r="AN250" i="1"/>
  <c r="CD250" i="1" s="1" a="1"/>
  <c r="CD250" i="1" s="1"/>
  <c r="CJ250" i="1" s="1"/>
  <c r="AN225" i="1"/>
  <c r="CD225" i="1" s="1" a="1"/>
  <c r="CD225" i="1" s="1"/>
  <c r="CJ225" i="1" s="1"/>
  <c r="AN31" i="1"/>
  <c r="CD31" i="1" s="1" a="1"/>
  <c r="CD31" i="1" s="1"/>
  <c r="CJ31" i="1" s="1"/>
  <c r="AN266" i="1"/>
  <c r="CD266" i="1" s="1" a="1"/>
  <c r="CD266" i="1" s="1"/>
  <c r="CJ266" i="1" s="1"/>
  <c r="AN245" i="1"/>
  <c r="CD245" i="1" s="1" a="1"/>
  <c r="CD245" i="1" s="1"/>
  <c r="CJ245" i="1" s="1"/>
  <c r="AN28" i="1"/>
  <c r="CD28" i="1" s="1" a="1"/>
  <c r="CD28" i="1" s="1"/>
  <c r="CJ28" i="1" s="1"/>
  <c r="AN82" i="1"/>
  <c r="CD82" i="1" s="1" a="1"/>
  <c r="CD82" i="1" s="1"/>
  <c r="CJ82" i="1" s="1"/>
  <c r="AN195" i="1"/>
  <c r="CD195" i="1" s="1" a="1"/>
  <c r="CD195" i="1" s="1"/>
  <c r="CJ195" i="1" s="1"/>
  <c r="AN197" i="1"/>
  <c r="CD197" i="1" s="1" a="1"/>
  <c r="CD197" i="1" s="1"/>
  <c r="CJ197" i="1" s="1"/>
  <c r="AN159" i="1"/>
  <c r="CD159" i="1" s="1" a="1"/>
  <c r="CD159" i="1" s="1"/>
  <c r="CJ159" i="1" s="1"/>
  <c r="AN191" i="1"/>
  <c r="CD191" i="1" s="1" a="1"/>
  <c r="CD191" i="1" s="1"/>
  <c r="CJ191" i="1" s="1"/>
  <c r="AN220" i="1"/>
  <c r="CD220" i="1" s="1" a="1"/>
  <c r="CD220" i="1" s="1"/>
  <c r="CJ220" i="1" s="1"/>
  <c r="AN186" i="1"/>
  <c r="CD186" i="1" s="1" a="1"/>
  <c r="CD186" i="1" s="1"/>
  <c r="CJ186" i="1" s="1"/>
  <c r="AN322" i="1"/>
  <c r="CD322" i="1" s="1" a="1"/>
  <c r="CD322" i="1" s="1"/>
  <c r="CJ322" i="1" s="1"/>
  <c r="AN148" i="1"/>
  <c r="CD148" i="1" s="1" a="1"/>
  <c r="CD148" i="1" s="1"/>
  <c r="CJ148" i="1" s="1"/>
  <c r="AN217" i="1"/>
  <c r="CD217" i="1" s="1" a="1"/>
  <c r="CD217" i="1" s="1"/>
  <c r="CJ217" i="1" s="1"/>
  <c r="AN286" i="1"/>
  <c r="CD286" i="1" s="1" a="1"/>
  <c r="CD286" i="1" s="1"/>
  <c r="CJ286" i="1" s="1"/>
  <c r="AN214" i="1"/>
  <c r="CD214" i="1" s="1" a="1"/>
  <c r="CD214" i="1" s="1"/>
  <c r="CJ214" i="1" s="1"/>
  <c r="AN213" i="1"/>
  <c r="CD213" i="1" s="1" a="1"/>
  <c r="CD213" i="1" s="1"/>
  <c r="CJ213" i="1" s="1"/>
  <c r="AN179" i="1"/>
  <c r="CD179" i="1" s="1" a="1"/>
  <c r="CD179" i="1" s="1"/>
  <c r="CJ179" i="1" s="1"/>
  <c r="AN142" i="1"/>
  <c r="CD142" i="1" s="1" a="1"/>
  <c r="CD142" i="1" s="1"/>
  <c r="CJ142" i="1" s="1"/>
  <c r="AN310" i="1"/>
  <c r="CD310" i="1" s="1" a="1"/>
  <c r="CD310" i="1" s="1"/>
  <c r="CJ310" i="1" s="1"/>
  <c r="AN168" i="1"/>
  <c r="CD168" i="1" s="1" a="1"/>
  <c r="CD168" i="1" s="1"/>
  <c r="CJ168" i="1" s="1"/>
  <c r="AN240" i="1"/>
  <c r="CD240" i="1" s="1" a="1"/>
  <c r="CD240" i="1" s="1"/>
  <c r="CJ240" i="1" s="1"/>
  <c r="AN237" i="1"/>
  <c r="CD237" i="1" s="1" a="1"/>
  <c r="CD237" i="1" s="1"/>
  <c r="CJ237" i="1" s="1"/>
  <c r="AN200" i="1"/>
  <c r="CD200" i="1" s="1" a="1"/>
  <c r="CD200" i="1" s="1"/>
  <c r="CJ200" i="1" s="1"/>
  <c r="AN157" i="1"/>
  <c r="CD157" i="1" s="1" a="1"/>
  <c r="CD157" i="1" s="1"/>
  <c r="CJ157" i="1" s="1"/>
  <c r="AN192" i="1"/>
  <c r="CD192" i="1" s="1" a="1"/>
  <c r="CD192" i="1" s="1"/>
  <c r="CJ192" i="1" s="1"/>
  <c r="AN29" i="1"/>
  <c r="CD29" i="1" s="1" a="1"/>
  <c r="CD29" i="1" s="1"/>
  <c r="CJ29" i="1" s="1"/>
  <c r="AN187" i="1"/>
  <c r="CD187" i="1" s="1" a="1"/>
  <c r="CD187" i="1" s="1"/>
  <c r="CJ187" i="1" s="1"/>
  <c r="AN152" i="1"/>
  <c r="CD152" i="1" s="1" a="1"/>
  <c r="CD152" i="1" s="1"/>
  <c r="CJ152" i="1" s="1"/>
  <c r="AN185" i="1"/>
  <c r="CD185" i="1" s="1" a="1"/>
  <c r="CD185" i="1" s="1"/>
  <c r="CJ185" i="1" s="1"/>
  <c r="AN218" i="1"/>
  <c r="CD218" i="1" s="1" a="1"/>
  <c r="CD218" i="1" s="1"/>
  <c r="CJ218" i="1" s="1"/>
  <c r="AN144" i="1"/>
  <c r="CD144" i="1" s="1" a="1"/>
  <c r="CD144" i="1" s="1"/>
  <c r="CJ144" i="1" s="1"/>
  <c r="AN317" i="1"/>
  <c r="CD317" i="1" s="1" a="1"/>
  <c r="CD317" i="1" s="1"/>
  <c r="CJ317" i="1" s="1"/>
  <c r="AN180" i="1"/>
  <c r="CD180" i="1" s="1" a="1"/>
  <c r="CD180" i="1" s="1"/>
  <c r="CJ180" i="1" s="1"/>
  <c r="AN314" i="1"/>
  <c r="CD314" i="1" s="1" a="1"/>
  <c r="CD314" i="1" s="1"/>
  <c r="CJ314" i="1" s="1"/>
  <c r="AN255" i="1"/>
  <c r="CD255" i="1" s="1" a="1"/>
  <c r="CD255" i="1" s="1"/>
  <c r="CJ255" i="1" s="1"/>
  <c r="AN204" i="1"/>
  <c r="CD204" i="1" s="1" a="1"/>
  <c r="CD204" i="1" s="1"/>
  <c r="CJ204" i="1" s="1"/>
  <c r="AN178" i="1"/>
  <c r="CD178" i="1" s="1" a="1"/>
  <c r="CD178" i="1" s="1"/>
  <c r="CJ178" i="1" s="1"/>
  <c r="AN138" i="1"/>
  <c r="CD138" i="1" s="1" a="1"/>
  <c r="CD138" i="1" s="1"/>
  <c r="CJ138" i="1" s="1"/>
  <c r="AN74" i="1"/>
  <c r="CD74" i="1" s="1" a="1"/>
  <c r="CD74" i="1" s="1"/>
  <c r="CJ74" i="1" s="1"/>
  <c r="AN209" i="1"/>
  <c r="CD209" i="1" s="1" a="1"/>
  <c r="CD209" i="1" s="1"/>
  <c r="CJ209" i="1" s="1"/>
  <c r="AN248" i="1"/>
  <c r="CD248" i="1" s="1" a="1"/>
  <c r="CD248" i="1" s="1"/>
  <c r="CJ248" i="1" s="1"/>
  <c r="AN170" i="1"/>
  <c r="CD170" i="1" s="1" a="1"/>
  <c r="CD170" i="1" s="1"/>
  <c r="CJ170" i="1" s="1"/>
  <c r="AN65" i="1"/>
  <c r="CD65" i="1" s="1" a="1"/>
  <c r="CD65" i="1" s="1"/>
  <c r="CJ65" i="1" s="1"/>
  <c r="AN230" i="1"/>
  <c r="CD230" i="1" s="1" a="1"/>
  <c r="CD230" i="1" s="1"/>
  <c r="CJ230" i="1" s="1"/>
  <c r="AN139" i="1"/>
  <c r="CD139" i="1" s="1" a="1"/>
  <c r="CD139" i="1" s="1"/>
  <c r="CJ139" i="1" s="1"/>
  <c r="AN257" i="1"/>
  <c r="CD257" i="1" s="1" a="1"/>
  <c r="CD257" i="1" s="1"/>
  <c r="CJ257" i="1" s="1"/>
  <c r="AN190" i="1"/>
  <c r="CD190" i="1" s="1" a="1"/>
  <c r="CD190" i="1" s="1"/>
  <c r="CJ190" i="1" s="1"/>
  <c r="AN265" i="1"/>
  <c r="CD265" i="1" s="1" a="1"/>
  <c r="CD265" i="1" s="1"/>
  <c r="CJ265" i="1" s="1"/>
  <c r="AN321" i="1"/>
  <c r="CD321" i="1" s="1" a="1"/>
  <c r="CD321" i="1" s="1"/>
  <c r="CJ321" i="1" s="1"/>
  <c r="AN320" i="1"/>
  <c r="CD320" i="1" s="1" a="1"/>
  <c r="CD320" i="1" s="1"/>
  <c r="CJ320" i="1" s="1"/>
  <c r="AN292" i="1"/>
  <c r="CD292" i="1" s="1" a="1"/>
  <c r="CD292" i="1" s="1"/>
  <c r="CJ292" i="1" s="1"/>
  <c r="AN239" i="1"/>
  <c r="CD239" i="1" s="1" a="1"/>
  <c r="CD239" i="1" s="1"/>
  <c r="CJ239" i="1" s="1"/>
  <c r="AN315" i="1"/>
  <c r="CD315" i="1" s="1" a="1"/>
  <c r="CD315" i="1" s="1"/>
  <c r="CJ315" i="1" s="1"/>
  <c r="AN259" i="1"/>
  <c r="CD259" i="1" s="1" a="1"/>
  <c r="CD259" i="1" s="1"/>
  <c r="CJ259" i="1" s="1"/>
  <c r="AN177" i="1"/>
  <c r="CD177" i="1" s="1" a="1"/>
  <c r="CD177" i="1" s="1"/>
  <c r="CJ177" i="1" s="1"/>
  <c r="AN137" i="1"/>
  <c r="CD137" i="1" s="1" a="1"/>
  <c r="CD137" i="1" s="1"/>
  <c r="CJ137" i="1" s="1"/>
  <c r="AN89" i="1"/>
  <c r="CD89" i="1" s="1" a="1"/>
  <c r="CD89" i="1" s="1"/>
  <c r="CJ89" i="1" s="1"/>
  <c r="AN312" i="1"/>
  <c r="CD312" i="1" s="1" a="1"/>
  <c r="CD312" i="1" s="1"/>
  <c r="CJ312" i="1" s="1"/>
  <c r="AN290" i="1"/>
  <c r="CD290" i="1" s="1" a="1"/>
  <c r="CD290" i="1" s="1"/>
  <c r="CJ290" i="1" s="1"/>
  <c r="AN211" i="1"/>
  <c r="CD211" i="1" s="1" a="1"/>
  <c r="CD211" i="1" s="1"/>
  <c r="CJ211" i="1" s="1"/>
  <c r="AN176" i="1"/>
  <c r="CD176" i="1" s="1" a="1"/>
  <c r="CD176" i="1" s="1"/>
  <c r="CJ176" i="1" s="1"/>
  <c r="AN136" i="1"/>
  <c r="CD136" i="1" s="1" a="1"/>
  <c r="CD136" i="1" s="1"/>
  <c r="CJ136" i="1" s="1"/>
  <c r="AN306" i="1"/>
  <c r="CD306" i="1" s="1" a="1"/>
  <c r="CD306" i="1" s="1"/>
  <c r="CJ306" i="1" s="1"/>
  <c r="AN205" i="1"/>
  <c r="CD205" i="1" s="1" a="1"/>
  <c r="CD205" i="1" s="1"/>
  <c r="CJ205" i="1" s="1"/>
  <c r="AN203" i="1"/>
  <c r="CD203" i="1" s="1" a="1"/>
  <c r="CD203" i="1" s="1"/>
  <c r="CJ203" i="1" s="1"/>
  <c r="AN282" i="1"/>
  <c r="CD282" i="1" s="1" a="1"/>
  <c r="CD282" i="1" s="1"/>
  <c r="CJ282" i="1" s="1"/>
  <c r="AN165" i="1"/>
  <c r="CD165" i="1" s="1" a="1"/>
  <c r="CD165" i="1" s="1"/>
  <c r="CJ165" i="1" s="1"/>
  <c r="AN235" i="1"/>
  <c r="CD235" i="1" s="1" a="1"/>
  <c r="CD235" i="1" s="1"/>
  <c r="CJ235" i="1" s="1"/>
  <c r="AN163" i="1"/>
  <c r="CD163" i="1" s="1" a="1"/>
  <c r="CD163" i="1" s="1"/>
  <c r="CJ163" i="1" s="1"/>
  <c r="AN198" i="1"/>
  <c r="CD198" i="1" s="1" a="1"/>
  <c r="CD198" i="1" s="1"/>
  <c r="CJ198" i="1" s="1"/>
  <c r="AN231" i="1"/>
  <c r="CD231" i="1" s="1" a="1"/>
  <c r="CD231" i="1" s="1"/>
  <c r="CJ231" i="1" s="1"/>
  <c r="AN193" i="1"/>
  <c r="CD193" i="1" s="1" a="1"/>
  <c r="CD193" i="1" s="1"/>
  <c r="CJ193" i="1" s="1"/>
  <c r="AN227" i="1"/>
  <c r="CD227" i="1" s="1" a="1"/>
  <c r="CD227" i="1" s="1"/>
  <c r="CJ227" i="1" s="1"/>
  <c r="AN30" i="1"/>
  <c r="CD30" i="1" s="1" a="1"/>
  <c r="CD30" i="1" s="1"/>
  <c r="CJ30" i="1" s="1"/>
  <c r="AN221" i="1"/>
  <c r="CD221" i="1" s="1" a="1"/>
  <c r="CD221" i="1" s="1"/>
  <c r="CJ221" i="1" s="1"/>
  <c r="AN288" i="1"/>
  <c r="CD288" i="1" s="1" a="1"/>
  <c r="CD288" i="1" s="1"/>
  <c r="CJ288" i="1" s="1"/>
  <c r="AN319" i="1"/>
  <c r="CD319" i="1" s="1" a="1"/>
  <c r="CD319" i="1" s="1"/>
  <c r="CJ319" i="1" s="1"/>
  <c r="AN216" i="1"/>
  <c r="CD216" i="1" s="1" a="1"/>
  <c r="CD216" i="1" s="1"/>
  <c r="CJ216" i="1" s="1"/>
  <c r="AN272" i="1"/>
  <c r="CD272" i="1" s="1" a="1"/>
  <c r="CD272" i="1" s="1"/>
  <c r="CJ272" i="1" s="1"/>
  <c r="AN143" i="1"/>
  <c r="CD143" i="1" s="1" a="1"/>
  <c r="CD143" i="1" s="1"/>
  <c r="CJ143" i="1" s="1"/>
  <c r="AN251" i="1"/>
  <c r="CD251" i="1" s="1" a="1"/>
  <c r="CD251" i="1" s="1"/>
  <c r="CJ251" i="1" s="1"/>
  <c r="AN18" i="1"/>
  <c r="CD18" i="1" s="1" a="1"/>
  <c r="CD18" i="1" s="1"/>
  <c r="CJ18" i="1" s="1"/>
  <c r="AN212" i="1"/>
  <c r="CD212" i="1" s="1" a="1"/>
  <c r="CD212" i="1" s="1"/>
  <c r="CJ212" i="1" s="1"/>
  <c r="AN210" i="1"/>
  <c r="CD210" i="1" s="1" a="1"/>
  <c r="CD210" i="1" s="1"/>
  <c r="CJ210" i="1" s="1"/>
  <c r="AN285" i="1"/>
  <c r="CD285" i="1" s="1" a="1"/>
  <c r="CD285" i="1" s="1"/>
  <c r="CJ285" i="1" s="1"/>
  <c r="AN130" i="1"/>
  <c r="CD130" i="1" s="1" a="1"/>
  <c r="CD130" i="1" s="1"/>
  <c r="CJ130" i="1" s="1"/>
  <c r="AN207" i="1"/>
  <c r="CD207" i="1" s="1" a="1"/>
  <c r="CD207" i="1" s="1"/>
  <c r="CJ207" i="1" s="1"/>
  <c r="AN206" i="1"/>
  <c r="CD206" i="1" s="1" a="1"/>
  <c r="CD206" i="1" s="1"/>
  <c r="CJ206" i="1" s="1"/>
  <c r="AN72" i="1"/>
  <c r="CD72" i="1" s="1" a="1"/>
  <c r="CD72" i="1" s="1"/>
  <c r="CJ72" i="1" s="1"/>
  <c r="AN281" i="1"/>
  <c r="CD281" i="1" s="1" a="1"/>
  <c r="CD281" i="1" s="1"/>
  <c r="CJ281" i="1" s="1"/>
  <c r="AN121" i="1"/>
  <c r="CD121" i="1" s="1" a="1"/>
  <c r="CD121" i="1" s="1"/>
  <c r="CJ121" i="1" s="1"/>
  <c r="AN199" i="1"/>
  <c r="CD199" i="1" s="1" a="1"/>
  <c r="CD199" i="1" s="1"/>
  <c r="CJ199" i="1" s="1"/>
  <c r="AN47" i="1"/>
  <c r="CD47" i="1" s="1" a="1"/>
  <c r="CD47" i="1" s="1"/>
  <c r="CJ47" i="1" s="1"/>
  <c r="AN244" i="1"/>
  <c r="CD244" i="1" s="1" a="1"/>
  <c r="CD244" i="1" s="1"/>
  <c r="CJ244" i="1" s="1"/>
  <c r="AN150" i="1"/>
  <c r="CD150" i="1" s="1" a="1"/>
  <c r="CD150" i="1" s="1"/>
  <c r="CJ150" i="1" s="1"/>
  <c r="AN219" i="1"/>
  <c r="CD219" i="1" s="1" a="1"/>
  <c r="CD219" i="1" s="1"/>
  <c r="CJ219" i="1" s="1"/>
  <c r="AN256" i="1"/>
  <c r="CD256" i="1" s="1" a="1"/>
  <c r="CD256" i="1" s="1"/>
  <c r="CJ256" i="1" s="1"/>
  <c r="AN184" i="1"/>
  <c r="CD184" i="1" s="1" a="1"/>
  <c r="CD184" i="1" s="1"/>
  <c r="CJ184" i="1" s="1"/>
  <c r="AN147" i="1"/>
  <c r="CD147" i="1" s="1" a="1"/>
  <c r="CD147" i="1" s="1"/>
  <c r="CJ147" i="1" s="1"/>
  <c r="AN183" i="1"/>
  <c r="CD183" i="1" s="1" a="1"/>
  <c r="CD183" i="1" s="1"/>
  <c r="CJ183" i="1" s="1"/>
  <c r="AN182" i="1"/>
  <c r="CD182" i="1" s="1" a="1"/>
  <c r="CD182" i="1" s="1"/>
  <c r="CJ182" i="1" s="1"/>
  <c r="AN318" i="1"/>
  <c r="CD318" i="1" s="1" a="1"/>
  <c r="CD318" i="1" s="1"/>
  <c r="CJ318" i="1" s="1"/>
  <c r="AN215" i="1"/>
  <c r="CD215" i="1" s="1" a="1"/>
  <c r="CD215" i="1" s="1"/>
  <c r="CJ215" i="1" s="1"/>
  <c r="AN181" i="1"/>
  <c r="CD181" i="1" s="1" a="1"/>
  <c r="CD181" i="1" s="1"/>
  <c r="CJ181" i="1" s="1"/>
  <c r="AN313" i="1"/>
  <c r="CD313" i="1" s="1" a="1"/>
  <c r="CD313" i="1" s="1"/>
  <c r="CJ313" i="1" s="1"/>
  <c r="AN106" i="1"/>
  <c r="CD106" i="1" s="1" a="1"/>
  <c r="CD106" i="1" s="1"/>
  <c r="CJ106" i="1" s="1"/>
  <c r="AN311" i="1"/>
  <c r="CD311" i="1" s="1" a="1"/>
  <c r="CD311" i="1" s="1"/>
  <c r="CJ311" i="1" s="1"/>
  <c r="AN275" i="1"/>
  <c r="CD275" i="1" s="1" a="1"/>
  <c r="CD275" i="1" s="1"/>
  <c r="CJ275" i="1" s="1"/>
  <c r="AN175" i="1"/>
  <c r="CD175" i="1" s="1" a="1"/>
  <c r="CD175" i="1" s="1"/>
  <c r="CJ175" i="1" s="1"/>
  <c r="AN135" i="1"/>
  <c r="CD135" i="1" s="1" a="1"/>
  <c r="CD135" i="1" s="1"/>
  <c r="CJ135" i="1" s="1"/>
  <c r="AN96" i="1"/>
  <c r="CD96" i="1" s="1" a="1"/>
  <c r="CD96" i="1" s="1"/>
  <c r="CJ96" i="1" s="1"/>
  <c r="AN309" i="1"/>
  <c r="CD309" i="1" s="1" a="1"/>
  <c r="CD309" i="1" s="1"/>
  <c r="CJ309" i="1" s="1"/>
  <c r="AN267" i="1"/>
  <c r="CD267" i="1" s="1" a="1"/>
  <c r="CD267" i="1" s="1"/>
  <c r="CJ267" i="1" s="1"/>
  <c r="AN246" i="1"/>
  <c r="CD246" i="1" s="1" a="1"/>
  <c r="CD246" i="1" s="1"/>
  <c r="CJ246" i="1" s="1"/>
  <c r="AN174" i="1"/>
  <c r="CD174" i="1" s="1" a="1"/>
  <c r="CD174" i="1" s="1"/>
  <c r="CJ174" i="1" s="1"/>
  <c r="AN134" i="1"/>
  <c r="CD134" i="1" s="1" a="1"/>
  <c r="CD134" i="1" s="1"/>
  <c r="CJ134" i="1" s="1"/>
  <c r="AN153" i="1"/>
  <c r="CD153" i="1" s="1" a="1"/>
  <c r="CD153" i="1" s="1"/>
  <c r="CJ153" i="1" s="1"/>
  <c r="AK319" i="1"/>
  <c r="AK74" i="1"/>
  <c r="AK72" i="1"/>
  <c r="AK161" i="1"/>
  <c r="AK172" i="1"/>
  <c r="AK171" i="1"/>
  <c r="AK18" i="1"/>
  <c r="AK155" i="1"/>
  <c r="AK152" i="1"/>
  <c r="AK145" i="1"/>
  <c r="AK142" i="1"/>
  <c r="AK132" i="1"/>
  <c r="AK126" i="1"/>
  <c r="AK124" i="1"/>
  <c r="AK33" i="1"/>
  <c r="AK262" i="1"/>
  <c r="AK249" i="1"/>
  <c r="AK259" i="1"/>
  <c r="AK233" i="1"/>
  <c r="AK217" i="1"/>
  <c r="AK207" i="1"/>
  <c r="AK192" i="1"/>
  <c r="AK184" i="1"/>
  <c r="AK174" i="1"/>
  <c r="AK318" i="1"/>
  <c r="AK282" i="1"/>
  <c r="AK250" i="1"/>
  <c r="AK272" i="1"/>
  <c r="AK243" i="1"/>
  <c r="AK225" i="1"/>
  <c r="AK204" i="1"/>
  <c r="AK201" i="1"/>
  <c r="AK191" i="1"/>
  <c r="AK183" i="1"/>
  <c r="AK173" i="1"/>
  <c r="AK164" i="1"/>
  <c r="AK159" i="1"/>
  <c r="AK153" i="1"/>
  <c r="AK144" i="1"/>
  <c r="AK136" i="1"/>
  <c r="AK130" i="1"/>
  <c r="AK122" i="1"/>
  <c r="AK19" i="1"/>
  <c r="AK106" i="1"/>
  <c r="AK95" i="1"/>
  <c r="AK314" i="1"/>
  <c r="AK307" i="1"/>
  <c r="AK266" i="1"/>
  <c r="AK292" i="1"/>
  <c r="AK238" i="1"/>
  <c r="AK227" i="1"/>
  <c r="AK213" i="1"/>
  <c r="AK202" i="1"/>
  <c r="AK188" i="1"/>
  <c r="AK177" i="1"/>
  <c r="AK170" i="1"/>
  <c r="AK67" i="1"/>
  <c r="AK114" i="1"/>
  <c r="AK31" i="1"/>
  <c r="AK313" i="1"/>
  <c r="AK310" i="1"/>
  <c r="AK271" i="1"/>
  <c r="AK256" i="1"/>
  <c r="AK232" i="1"/>
  <c r="AK220" i="1"/>
  <c r="AK216" i="1"/>
  <c r="AK206" i="1"/>
  <c r="AK197" i="1"/>
  <c r="AK187" i="1"/>
  <c r="AK176" i="1"/>
  <c r="AK169" i="1"/>
  <c r="AK96" i="1"/>
  <c r="AK82" i="1"/>
  <c r="AK35" i="1"/>
  <c r="AK29" i="1"/>
  <c r="AK320" i="1"/>
  <c r="AK317" i="1"/>
  <c r="AK312" i="1"/>
  <c r="AK306" i="1"/>
  <c r="AK281" i="1"/>
  <c r="AK294" i="1"/>
  <c r="AK261" i="1"/>
  <c r="AK245" i="1"/>
  <c r="AK288" i="1"/>
  <c r="AK251" i="1"/>
  <c r="AK275" i="1"/>
  <c r="AK248" i="1"/>
  <c r="AK242" i="1"/>
  <c r="AK235" i="1"/>
  <c r="AK231" i="1"/>
  <c r="AK223" i="1"/>
  <c r="AK219" i="1"/>
  <c r="AK215" i="1"/>
  <c r="AK212" i="1"/>
  <c r="AK209" i="1"/>
  <c r="AK205" i="1"/>
  <c r="AK200" i="1"/>
  <c r="AK196" i="1"/>
  <c r="AK190" i="1"/>
  <c r="AK186" i="1"/>
  <c r="AK182" i="1"/>
  <c r="AK179" i="1"/>
  <c r="AK175" i="1"/>
  <c r="AK168" i="1"/>
  <c r="AK163" i="1"/>
  <c r="AK157" i="1"/>
  <c r="AK239" i="1"/>
  <c r="AK138" i="1"/>
  <c r="AK135" i="1"/>
  <c r="AK129" i="1"/>
  <c r="AK125" i="1"/>
  <c r="AK121" i="1"/>
  <c r="AK195" i="1"/>
  <c r="AK47" i="1"/>
  <c r="AK322" i="1"/>
  <c r="AK252" i="1"/>
  <c r="AK265" i="1"/>
  <c r="AK285" i="1"/>
  <c r="AK240" i="1"/>
  <c r="AK221" i="1"/>
  <c r="AK210" i="1"/>
  <c r="AK198" i="1"/>
  <c r="AK180" i="1"/>
  <c r="AK165" i="1"/>
  <c r="AK76" i="1"/>
  <c r="AK42" i="1"/>
  <c r="AK321" i="1"/>
  <c r="AK309" i="1"/>
  <c r="AK264" i="1"/>
  <c r="AK290" i="1"/>
  <c r="AK237" i="1"/>
  <c r="AK246" i="1"/>
  <c r="AK66" i="1"/>
  <c r="AK113" i="1"/>
  <c r="AK89" i="1"/>
  <c r="AK104" i="1"/>
  <c r="AK65" i="1"/>
  <c r="AK91" i="1"/>
  <c r="AK30" i="1"/>
  <c r="AK28" i="1"/>
  <c r="AK315" i="1"/>
  <c r="AK311" i="1"/>
  <c r="AK308" i="1"/>
  <c r="AK269" i="1"/>
  <c r="AK278" i="1"/>
  <c r="AK258" i="1"/>
  <c r="AK257" i="1"/>
  <c r="AK244" i="1"/>
  <c r="AK286" i="1"/>
  <c r="AK255" i="1"/>
  <c r="AK267" i="1"/>
  <c r="AK241" i="1"/>
  <c r="AK234" i="1"/>
  <c r="AK230" i="1"/>
  <c r="AK222" i="1"/>
  <c r="AK218" i="1"/>
  <c r="AK214" i="1"/>
  <c r="AK211" i="1"/>
  <c r="AK208" i="1"/>
  <c r="AK203" i="1"/>
  <c r="AK199" i="1"/>
  <c r="AK193" i="1"/>
  <c r="AK189" i="1"/>
  <c r="AK185" i="1"/>
  <c r="AK181" i="1"/>
  <c r="AK178" i="1"/>
  <c r="AK166" i="1"/>
  <c r="AK162" i="1"/>
  <c r="AK139" i="1"/>
  <c r="AK158" i="1"/>
  <c r="AK147" i="1"/>
  <c r="AK143" i="1"/>
  <c r="AK137" i="1"/>
  <c r="AK134" i="1"/>
  <c r="AK127" i="1"/>
  <c r="AK194" i="1"/>
  <c r="AK150" i="1"/>
  <c r="AK148" i="1"/>
  <c r="AN173" i="1" l="1"/>
  <c r="CD173" i="1" s="1" a="1"/>
  <c r="CD173" i="1" s="1"/>
  <c r="CJ173" i="1" s="1"/>
  <c r="AN161" i="1"/>
  <c r="CD161" i="1" s="1" a="1"/>
  <c r="CD161" i="1" s="1"/>
  <c r="CJ161" i="1" s="1"/>
  <c r="AN167" i="1"/>
  <c r="CD167" i="1" s="1" a="1"/>
  <c r="CD167" i="1" s="1"/>
  <c r="CJ167" i="1" s="1"/>
  <c r="AN172" i="1"/>
  <c r="CD172" i="1" s="1" a="1"/>
  <c r="CD172" i="1" s="1"/>
  <c r="CJ172" i="1" s="1"/>
  <c r="CD19" i="1" a="1"/>
  <c r="CD19" i="1" s="1"/>
  <c r="CJ19" i="1" s="1"/>
  <c r="N259" i="1"/>
  <c r="BC259" i="1" s="1"/>
  <c r="BJ259" i="1" s="1"/>
  <c r="N290" i="1"/>
  <c r="BC290" i="1" s="1"/>
  <c r="BJ290" i="1" s="1"/>
  <c r="BL290" i="1" l="1"/>
  <c r="BI290" i="1"/>
  <c r="BK290" i="1" s="1"/>
  <c r="BL259" i="1"/>
  <c r="BI259" i="1"/>
  <c r="BK259" i="1" s="1"/>
  <c r="W238" i="1"/>
  <c r="AA238" i="1" s="1"/>
  <c r="N206" i="1" l="1"/>
  <c r="BC206" i="1" s="1"/>
  <c r="N200" i="1"/>
  <c r="BC200" i="1" s="1"/>
  <c r="BJ200" i="1" l="1"/>
  <c r="BL200" i="1" s="1"/>
  <c r="BJ206" i="1"/>
  <c r="BL206" i="1" s="1"/>
  <c r="BI200" i="1"/>
  <c r="BK200" i="1" s="1"/>
  <c r="BI206" i="1"/>
  <c r="BK206" i="1" s="1"/>
  <c r="W153" i="1"/>
  <c r="AA153" i="1" s="1"/>
  <c r="W134" i="1"/>
  <c r="AA13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<sst xmlns="http://schemas.openxmlformats.org/spreadsheetml/2006/main" count="3879" uniqueCount="1586">
  <si>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</si>
  <si>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</si>
  <si>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</si>
  <si>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</si>
  <si>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</si>
  <si>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</si>
  <si>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</si>
  <si>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</si>
  <si>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</si>
  <si>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</si>
  <si>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</si>
  <si>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</si>
  <si>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</si>
  <si>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</si>
  <si>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</si>
  <si>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</si>
  <si>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</si>
  <si>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</si>
  <si>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</si>
  <si>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</si>
  <si>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</si>
  <si>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</si>
  <si>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</si>
  <si>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</si>
  <si>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</si>
  <si>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</si>
  <si>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</si>
  <si>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</si>
  <si>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</si>
  <si>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</si>
  <si>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</si>
  <si>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</si>
  <si>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</si>
  <si>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</si>
  <si>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</si>
  <si>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</si>
  <si>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</si>
  <si>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</si>
  <si>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</si>
  <si>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</si>
  <si>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</si>
  <si>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</si>
  <si>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</si>
  <si>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</si>
  <si>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</si>
  <si>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</si>
  <si>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</si>
  <si>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</si>
  <si>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</si>
  <si>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</si>
  <si>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</si>
  <si>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</si>
  <si>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</si>
  <si>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</si>
  <si>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</si>
  <si>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</si>
  <si>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</si>
  <si>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</si>
  <si>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</si>
  <si>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</si>
  <si>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</si>
  <si>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</si>
  <si>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</si>
  <si>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</si>
  <si>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</si>
  <si>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</si>
  <si>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</si>
  <si>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</si>
  <si>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</si>
  <si>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</si>
  <si>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</si>
  <si>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</si>
  <si>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</si>
  <si>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</si>
  <si>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</si>
  <si>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</si>
  <si>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</si>
  <si>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</si>
  <si>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</si>
  <si>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</si>
  <si>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</si>
  <si>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</si>
  <si>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</si>
  <si>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</si>
  <si>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</si>
  <si>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</si>
  <si>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</si>
  <si>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</si>
  <si>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</si>
  <si>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</si>
  <si>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</si>
  <si>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</si>
  <si>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</si>
  <si>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</si>
  <si>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</si>
  <si>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</si>
  <si>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</si>
  <si>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</si>
  <si>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</si>
  <si>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</si>
  <si>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</si>
  <si>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</si>
  <si>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</si>
  <si>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</si>
  <si>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</si>
  <si>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</si>
  <si>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</si>
  <si>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</si>
  <si>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</si>
  <si>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</si>
  <si>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</si>
  <si>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</si>
  <si>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</si>
  <si>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</si>
  <si>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</si>
  <si>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</si>
  <si>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</si>
  <si>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</si>
  <si>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</si>
  <si>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</si>
  <si>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</si>
  <si>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</si>
  <si>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</si>
  <si>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</si>
  <si>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</si>
  <si>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</si>
  <si>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</si>
  <si>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</si>
  <si>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</si>
  <si>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</si>
  <si>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</si>
  <si>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</si>
  <si>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</si>
  <si>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</si>
  <si>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</si>
  <si>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</si>
  <si>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</si>
  <si>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</si>
  <si>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</si>
  <si>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</si>
  <si>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</si>
  <si>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</si>
  <si>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</si>
  <si>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</si>
  <si>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</si>
  <si>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</si>
  <si>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</si>
  <si>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</si>
  <si>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</si>
  <si>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</si>
  <si>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</si>
  <si>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</si>
  <si>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</si>
  <si>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</si>
  <si>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</si>
  <si>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</si>
  <si>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</si>
  <si>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</si>
  <si>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</si>
  <si>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</si>
  <si>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</si>
  <si>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</si>
  <si>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</si>
  <si>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</si>
  <si>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</si>
  <si>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</si>
  <si>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</si>
  <si>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</si>
  <si>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</si>
  <si>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</si>
  <si>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</si>
  <si>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</si>
  <si>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</si>
  <si>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</si>
  <si>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</si>
  <si>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</si>
  <si>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</si>
  <si>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</si>
  <si>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</si>
  <si>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</si>
  <si>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</si>
  <si>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</si>
  <si>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</si>
  <si>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</si>
  <si>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</si>
  <si>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</si>
  <si>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</si>
  <si>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</si>
  <si>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</si>
  <si>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</si>
  <si>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</si>
  <si>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</si>
  <si>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</si>
  <si>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</si>
  <si>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</si>
  <si>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</si>
  <si>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</si>
  <si>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</si>
  <si>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</si>
  <si>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</si>
  <si>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</si>
  <si>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</si>
  <si>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</si>
  <si>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</si>
  <si>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</si>
  <si>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</si>
  <si>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</si>
  <si>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</si>
  <si>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</si>
  <si>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</si>
  <si>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</si>
  <si>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</si>
  <si>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</si>
  <si>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</si>
  <si>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</si>
  <si>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</si>
  <si>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</si>
  <si>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</si>
  <si>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</si>
  <si>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</si>
  <si>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</si>
  <si>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</si>
  <si>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</si>
  <si>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</si>
  <si>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</si>
  <si>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</si>
  <si>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</si>
  <si>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</si>
  <si>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</si>
  <si>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</si>
  <si>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</si>
  <si>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</si>
  <si>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</si>
  <si>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</si>
  <si>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</si>
  <si>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</si>
  <si>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</si>
  <si>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</si>
  <si>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</si>
  <si>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</si>
  <si>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</si>
  <si>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</si>
  <si>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</si>
  <si>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</si>
  <si>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</si>
  <si>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</si>
  <si>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</si>
  <si>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</si>
  <si>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</si>
  <si>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</si>
  <si>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</si>
  <si>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</si>
  <si>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</si>
  <si>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</si>
  <si>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</si>
  <si>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</si>
  <si>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</si>
  <si>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</si>
  <si>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</si>
  <si>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</si>
  <si>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</si>
  <si>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</si>
  <si>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</si>
  <si>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</si>
  <si>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</si>
  <si>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</si>
  <si>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</si>
  <si>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</si>
  <si>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</si>
  <si>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</si>
  <si>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</si>
  <si>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</si>
  <si>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</si>
  <si>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</si>
  <si>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</si>
  <si>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</si>
  <si>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</si>
  <si>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</si>
  <si>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</si>
  <si>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</si>
  <si>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</si>
  <si>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</si>
  <si>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</si>
  <si>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</si>
  <si>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</si>
  <si>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</si>
  <si>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</si>
  <si>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</si>
  <si>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</si>
  <si>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</si>
  <si>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</si>
  <si>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</si>
  <si>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</si>
  <si>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</si>
  <si>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</si>
  <si>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</si>
  <si>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</si>
  <si>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</si>
  <si>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</si>
  <si>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</si>
  <si>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</si>
  <si>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</si>
  <si>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</si>
  <si>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</si>
  <si>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</si>
  <si>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</si>
  <si>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</si>
  <si>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</si>
  <si>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</si>
  <si>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</si>
  <si>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</si>
  <si>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</si>
  <si>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</si>
  <si>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</si>
  <si>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</si>
  <si>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</si>
  <si>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</si>
  <si>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</si>
  <si>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</si>
  <si>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</si>
  <si>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</si>
  <si>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</si>
  <si>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</si>
  <si>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</si>
  <si>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</si>
  <si>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</si>
  <si>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</si>
  <si>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</si>
  <si>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</si>
  <si>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</si>
  <si>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</si>
  <si>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</si>
  <si>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</si>
  <si>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</si>
  <si>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</si>
  <si>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</si>
  <si>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</si>
  <si>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</si>
  <si>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</si>
  <si>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</si>
  <si>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</si>
  <si>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</si>
  <si>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</si>
  <si>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</si>
  <si>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</si>
  <si>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</si>
  <si>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</si>
  <si>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</si>
  <si>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</si>
  <si>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</si>
  <si>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</si>
  <si>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</si>
  <si>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</si>
  <si>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</si>
  <si>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</si>
  <si>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</si>
  <si>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</si>
  <si>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</si>
  <si>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</si>
  <si>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</si>
  <si>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</si>
  <si>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</si>
  <si>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</si>
  <si>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</si>
  <si>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</si>
  <si>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</si>
  <si>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</si>
  <si>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</si>
  <si>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</si>
  <si>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</si>
  <si>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</si>
  <si>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</si>
  <si>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</si>
  <si>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</si>
  <si>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</si>
  <si>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</si>
  <si>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</si>
  <si>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</si>
  <si>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</si>
  <si>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</si>
  <si>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</si>
  <si>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</si>
  <si>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</si>
  <si>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</si>
  <si>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</si>
  <si>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</si>
  <si>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</si>
  <si>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</si>
  <si>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</si>
  <si>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</si>
  <si>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</si>
  <si>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</si>
  <si>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</si>
  <si>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</si>
  <si>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</si>
  <si>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</si>
  <si>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</si>
  <si>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</si>
  <si>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</si>
  <si>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</si>
  <si>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</si>
  <si>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</si>
  <si>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</si>
  <si>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</si>
  <si>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</si>
  <si>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</si>
  <si>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</si>
  <si>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</si>
  <si>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</si>
  <si>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</si>
  <si>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</si>
  <si>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</si>
  <si>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</si>
  <si>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</si>
  <si>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</si>
  <si>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</si>
  <si>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</si>
  <si>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</si>
  <si>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</si>
  <si>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</si>
  <si>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</si>
  <si>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</si>
  <si>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</si>
  <si>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</si>
  <si>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</si>
  <si>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</si>
  <si>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</si>
  <si>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</si>
  <si>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</si>
  <si>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</si>
  <si>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</si>
  <si>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</si>
  <si>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</si>
  <si>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</si>
  <si>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</si>
  <si>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</si>
  <si>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</si>
  <si>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</si>
  <si>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</si>
  <si>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</si>
  <si>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</si>
  <si>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</si>
  <si>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</si>
  <si>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</si>
  <si>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</si>
  <si>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</si>
  <si>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</si>
  <si>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</si>
  <si>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</si>
  <si>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</si>
  <si>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</si>
  <si>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</si>
  <si>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</si>
  <si>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</si>
  <si>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</si>
  <si>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</si>
  <si>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</si>
  <si>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</si>
  <si>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</si>
  <si>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</si>
  <si>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</si>
  <si>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</si>
  <si>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</si>
  <si>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</si>
  <si>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</si>
  <si>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</si>
  <si>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</si>
  <si>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</si>
  <si>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</si>
  <si>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</si>
  <si>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</si>
  <si>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</si>
  <si>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</si>
  <si>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</si>
  <si>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</si>
  <si>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</si>
  <si>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</si>
  <si>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</si>
  <si>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</si>
  <si>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</si>
  <si>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</si>
  <si>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</si>
  <si>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</si>
  <si>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</si>
  <si>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</si>
  <si>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</si>
  <si>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</si>
  <si>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</si>
  <si>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</si>
  <si>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</si>
  <si>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</si>
  <si>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</si>
  <si>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</si>
  <si>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</si>
  <si>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</si>
  <si>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</si>
  <si>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</si>
  <si>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</si>
  <si>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</si>
  <si>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</si>
  <si>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</si>
  <si>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</si>
  <si>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</si>
  <si>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</si>
  <si>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</si>
  <si>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</si>
  <si>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</si>
  <si>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</si>
  <si>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</si>
  <si>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</si>
  <si>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</si>
  <si>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</si>
  <si>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</si>
  <si>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</si>
  <si>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</si>
  <si>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</si>
  <si>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</si>
  <si>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</si>
  <si>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</si>
  <si>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</si>
  <si>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</si>
  <si>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</si>
  <si>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</si>
  <si>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</si>
  <si>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</si>
  <si>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</si>
  <si>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</si>
  <si>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</si>
  <si>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</si>
  <si>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</si>
  <si>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</si>
  <si>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</si>
  <si>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</si>
  <si>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</si>
  <si>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</si>
  <si>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</si>
  <si>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</si>
  <si>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</si>
  <si>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</si>
  <si>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</si>
  <si>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</si>
  <si>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</si>
  <si>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</si>
  <si>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</si>
  <si>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</si>
  <si>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</si>
  <si>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</si>
  <si>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</si>
  <si>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</si>
  <si>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</si>
  <si>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</si>
  <si>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</si>
  <si>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</si>
  <si>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</si>
  <si>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</si>
  <si>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</si>
  <si>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</si>
  <si>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</si>
  <si>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</si>
  <si>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</si>
  <si>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</si>
  <si>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</si>
  <si>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</si>
  <si>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</si>
  <si>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</si>
  <si>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</si>
  <si>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</si>
  <si>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</si>
  <si>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</si>
  <si>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</si>
  <si>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</si>
  <si>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</si>
  <si>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</si>
  <si>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</si>
  <si>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</si>
  <si>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</si>
  <si>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</si>
  <si>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</si>
  <si>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</si>
  <si>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</si>
  <si>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</si>
  <si>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</si>
  <si>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</si>
  <si>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</si>
  <si>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</si>
  <si>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</si>
  <si>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</si>
  <si>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</si>
  <si>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</si>
  <si>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</si>
  <si>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</si>
  <si>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</si>
  <si>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</si>
  <si>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</si>
  <si>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</si>
  <si>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</si>
  <si>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</si>
  <si>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</si>
  <si>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</si>
  <si>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</si>
  <si>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</si>
  <si>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</si>
  <si>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</si>
  <si>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</si>
  <si>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</si>
  <si>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</si>
  <si>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</si>
  <si>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</si>
  <si>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</si>
  <si>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</si>
  <si>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</si>
  <si>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</si>
  <si>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</si>
  <si>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</si>
  <si>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</si>
  <si>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</si>
  <si>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</si>
  <si>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</si>
  <si>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</si>
  <si>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</si>
  <si>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</si>
  <si>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</si>
  <si>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</si>
  <si>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</si>
  <si>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</si>
  <si>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</si>
  <si>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</si>
  <si>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</si>
  <si>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</si>
  <si>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</si>
  <si>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</si>
  <si>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</si>
  <si>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</si>
  <si>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</si>
  <si>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</si>
  <si>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</si>
  <si>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</si>
  <si>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</si>
  <si>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</si>
  <si>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</si>
  <si>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</si>
  <si>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</si>
  <si>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</si>
  <si>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</si>
  <si>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</si>
  <si>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</si>
  <si>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</si>
  <si>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</si>
  <si>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</si>
  <si>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</si>
  <si>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</si>
  <si>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</si>
  <si>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</si>
  <si>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</si>
  <si>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</si>
  <si>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</si>
  <si>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</si>
  <si>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</si>
  <si>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</si>
  <si>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</si>
  <si>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</si>
  <si>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</si>
  <si>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</si>
  <si>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</si>
  <si>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</si>
  <si>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</si>
  <si>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</si>
  <si>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</si>
  <si>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</si>
  <si>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</si>
  <si>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</si>
  <si>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</si>
  <si>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</si>
  <si>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</si>
  <si>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</si>
  <si>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</si>
  <si>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</si>
  <si>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</si>
  <si>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</si>
  <si>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</si>
  <si>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</si>
  <si>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</si>
  <si>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</si>
  <si>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</si>
  <si>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</si>
  <si>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</si>
  <si>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</si>
  <si>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</si>
  <si>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</si>
  <si>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</si>
  <si>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</si>
  <si>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</si>
  <si>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</si>
  <si>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</si>
  <si>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</si>
  <si>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</si>
  <si>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</si>
  <si>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</si>
  <si>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</si>
  <si>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</si>
  <si>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</si>
  <si>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</si>
  <si>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</si>
  <si>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</si>
  <si>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</si>
  <si>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</si>
  <si>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</si>
  <si>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</si>
  <si>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</si>
  <si>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</si>
  <si>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</si>
  <si>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</si>
  <si>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</si>
  <si>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</si>
  <si>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</si>
  <si>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</si>
  <si>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</si>
  <si>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</si>
  <si>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</si>
  <si>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</si>
  <si>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</si>
  <si>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</si>
  <si>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</si>
  <si>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</si>
  <si>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</si>
  <si>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</si>
  <si>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</si>
  <si>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</si>
  <si>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</si>
  <si>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</si>
  <si>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</si>
  <si>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</si>
  <si>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</si>
  <si>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</si>
  <si>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</si>
  <si>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</si>
  <si>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</si>
  <si>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</si>
  <si>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</si>
  <si>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</si>
  <si>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</si>
  <si>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</si>
  <si>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</si>
  <si>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</si>
  <si>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</si>
  <si>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</si>
  <si>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</si>
  <si>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</si>
  <si>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</si>
  <si>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</si>
  <si>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</si>
  <si>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</si>
  <si>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</si>
  <si>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</si>
  <si>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</si>
  <si>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</si>
  <si>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</si>
  <si>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</si>
  <si>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</si>
  <si>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</si>
  <si>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</si>
  <si>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</si>
  <si>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</si>
  <si>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</si>
  <si>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</si>
  <si>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</si>
  <si>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</si>
  <si>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</si>
  <si>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</si>
  <si>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</si>
  <si>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</si>
  <si>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</si>
  <si>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</si>
  <si>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</si>
  <si>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</si>
  <si>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</si>
  <si>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</si>
  <si>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</si>
  <si>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</si>
  <si>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</si>
  <si>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</si>
  <si>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</si>
  <si>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</si>
  <si>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</si>
  <si>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</si>
  <si>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</si>
  <si>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</si>
  <si>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</si>
  <si>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</si>
  <si>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</si>
  <si>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</si>
  <si>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</si>
  <si>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</si>
  <si>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</si>
  <si>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</si>
  <si>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</si>
  <si>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</si>
  <si>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</si>
  <si>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</si>
  <si>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</si>
  <si>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</si>
  <si>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</si>
  <si>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</si>
  <si>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</si>
  <si>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</si>
  <si>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</si>
  <si>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</si>
  <si>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</si>
  <si>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</si>
  <si>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</si>
  <si>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</si>
  <si>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</si>
  <si>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</si>
  <si>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</si>
  <si>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</si>
  <si>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</si>
  <si>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</si>
  <si>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</si>
  <si>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</si>
  <si>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</si>
  <si>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</si>
  <si>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</si>
  <si>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</si>
  <si>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</si>
  <si>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</si>
  <si>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</si>
  <si>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</si>
  <si>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</si>
  <si>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</si>
  <si>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</si>
  <si>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</si>
  <si>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</si>
  <si>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</si>
  <si>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</si>
  <si>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</si>
  <si>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</si>
  <si>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</si>
  <si>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</si>
  <si>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</si>
  <si>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</si>
  <si>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</si>
  <si>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</si>
  <si>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</si>
  <si>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</si>
  <si>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</si>
  <si>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</si>
  <si>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</si>
  <si>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</si>
  <si>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</si>
  <si>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</si>
  <si>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</si>
  <si>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</si>
  <si>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</si>
  <si>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</si>
  <si>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</si>
  <si>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</si>
  <si>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</si>
  <si>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</si>
  <si>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</si>
  <si>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</si>
  <si>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</si>
  <si>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</si>
  <si>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</si>
  <si>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</si>
  <si>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</si>
  <si>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</si>
  <si>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</si>
  <si>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</si>
  <si>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</si>
  <si>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</si>
  <si>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</si>
  <si>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</si>
  <si>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</si>
  <si>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</si>
  <si>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</si>
  <si>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</si>
  <si>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</si>
  <si>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</si>
  <si>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</si>
  <si>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</si>
  <si>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</si>
  <si>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</si>
  <si>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</si>
  <si>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</si>
  <si>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</si>
  <si>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</si>
  <si>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</si>
  <si>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</si>
  <si>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</si>
  <si>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</si>
  <si>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</si>
  <si>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</si>
  <si>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</si>
  <si>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</si>
  <si>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</si>
  <si>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</si>
  <si>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</si>
  <si>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</si>
  <si>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</si>
  <si>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</si>
  <si>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</si>
  <si>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</si>
  <si>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</si>
  <si>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</si>
  <si>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</si>
  <si>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</si>
  <si>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</si>
  <si>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</si>
  <si>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</si>
  <si>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</si>
  <si>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</si>
  <si>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</si>
  <si>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</si>
  <si>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</si>
  <si>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</si>
  <si>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</si>
  <si>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</si>
  <si>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</si>
  <si>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</si>
  <si>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</si>
  <si>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</si>
  <si>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</si>
  <si>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</si>
  <si>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</si>
  <si>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</si>
  <si>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</si>
  <si>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</si>
  <si>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</si>
  <si>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</si>
  <si>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</si>
  <si>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</si>
  <si>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</si>
  <si>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</si>
  <si>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</si>
  <si>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</si>
  <si>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</si>
  <si>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</si>
  <si>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</si>
  <si>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</si>
  <si>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</si>
  <si>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</si>
  <si>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</si>
  <si>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</si>
  <si>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</si>
  <si>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</si>
  <si>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</si>
  <si>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</si>
  <si>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</si>
  <si>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</si>
  <si>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</si>
  <si>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</si>
  <si>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</si>
  <si>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</si>
  <si>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</si>
  <si>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</si>
  <si>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</si>
  <si>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</si>
  <si>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</si>
  <si>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</si>
  <si>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</si>
  <si>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</si>
  <si>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</si>
  <si>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</si>
  <si>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</si>
  <si>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</si>
  <si>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</si>
  <si>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</si>
  <si>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</si>
  <si>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</si>
  <si>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</si>
  <si>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</si>
  <si>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</si>
  <si>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</si>
  <si>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</si>
  <si>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</si>
  <si>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</si>
  <si>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</si>
  <si>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</si>
  <si>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</si>
  <si>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</si>
  <si>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</si>
  <si>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</si>
  <si>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</si>
  <si>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</si>
  <si>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</si>
  <si>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</si>
  <si>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</si>
  <si>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</si>
  <si>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</si>
  <si>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</si>
  <si>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</si>
  <si>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</si>
  <si>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</si>
  <si>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</si>
  <si>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</si>
  <si>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</si>
  <si>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</si>
  <si>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</si>
  <si>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</si>
  <si>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</si>
  <si>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</si>
  <si>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</si>
  <si>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</si>
  <si>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</si>
  <si>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</si>
  <si>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</si>
  <si>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</si>
  <si>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</si>
  <si>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</si>
  <si>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</si>
  <si>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</si>
  <si>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</si>
  <si>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</si>
  <si>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</si>
  <si>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</si>
  <si>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</si>
  <si>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</si>
  <si>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</si>
  <si>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</si>
  <si>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</si>
  <si>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</si>
  <si>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</si>
  <si>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</si>
  <si>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</si>
  <si>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</si>
  <si>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</si>
  <si>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</si>
  <si>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</si>
  <si>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</si>
  <si>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</si>
  <si>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</si>
  <si>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</si>
  <si>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</si>
  <si>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</si>
  <si>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</si>
  <si>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</si>
  <si>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</si>
  <si>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</si>
  <si>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</si>
  <si>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</si>
  <si>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</si>
  <si>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</si>
  <si>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</si>
  <si>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</si>
  <si>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</si>
  <si>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</si>
  <si>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</si>
  <si>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</si>
  <si>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</si>
  <si>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</si>
  <si>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</si>
  <si>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</si>
  <si>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</si>
  <si>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</si>
  <si>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</si>
  <si>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</si>
  <si>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</si>
  <si>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</si>
  <si>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</si>
  <si>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</si>
  <si>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</si>
  <si>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</si>
  <si>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</si>
  <si>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</si>
  <si>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</si>
  <si>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</si>
  <si>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</si>
  <si>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</si>
  <si>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</si>
  <si>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</si>
  <si>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</si>
  <si>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</si>
  <si>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</si>
  <si>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</si>
  <si>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</si>
  <si>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</si>
  <si>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</si>
  <si>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</si>
  <si>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</si>
  <si>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</si>
  <si>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</si>
  <si>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</si>
  <si>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</si>
  <si>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</si>
  <si>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</si>
  <si>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</si>
  <si>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</si>
  <si>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</si>
  <si>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</si>
  <si>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</si>
  <si>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</si>
  <si>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</si>
  <si>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</si>
  <si>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</si>
  <si>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</si>
  <si>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</si>
  <si>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</si>
  <si>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</si>
  <si>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</si>
  <si>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</si>
  <si>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</si>
  <si>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</si>
  <si>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</si>
  <si>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</si>
  <si>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</si>
  <si>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</si>
  <si>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</si>
  <si>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</si>
  <si>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</si>
  <si>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</si>
  <si>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</si>
  <si>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</si>
  <si>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</si>
  <si>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</si>
  <si>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</si>
  <si>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</si>
  <si>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</si>
  <si>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</si>
  <si>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</si>
  <si>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</si>
  <si>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</si>
  <si>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</si>
  <si>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</si>
  <si>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</si>
  <si>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</si>
  <si>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</si>
  <si>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</si>
  <si>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</si>
  <si>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</si>
  <si>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</si>
  <si>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</si>
  <si>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</si>
  <si>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</si>
  <si>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</si>
  <si>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</si>
  <si>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</si>
  <si>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</si>
  <si>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</si>
  <si>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</si>
  <si>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</si>
  <si>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</si>
  <si>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</si>
  <si>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</si>
  <si>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</si>
  <si>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</si>
  <si>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</si>
  <si>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</si>
  <si>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</si>
  <si>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</si>
  <si>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</si>
  <si>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</si>
  <si>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</si>
  <si>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</si>
  <si>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</si>
  <si>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</si>
  <si>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</si>
  <si>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mail_coach_mk2</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</si>
  <si>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</si>
  <si>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</si>
  <si>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</si>
  <si>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</si>
  <si>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</si>
  <si>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</si>
  <si>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</si>
  <si>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</si>
  <si>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</si>
  <si>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</si>
  <si>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</si>
  <si>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</si>
  <si>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</si>
  <si>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</si>
  <si>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</si>
  <si>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</si>
  <si>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</si>
  <si>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</si>
  <si>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</si>
  <si>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</si>
  <si>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</si>
  <si>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</si>
  <si>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</si>
  <si>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</si>
  <si>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</si>
  <si>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</si>
  <si>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</si>
  <si>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</si>
  <si>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</si>
  <si>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</si>
  <si>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</si>
  <si>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</si>
  <si>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</si>
  <si>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</si>
  <si>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</si>
  <si>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</si>
  <si>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</si>
  <si>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</si>
  <si>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</si>
  <si>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</si>
  <si>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</si>
  <si>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</si>
  <si>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</si>
  <si>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</si>
  <si>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</si>
  <si>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</si>
  <si>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</si>
  <si>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</si>
  <si>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</si>
  <si>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</si>
  <si>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</si>
  <si>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</si>
  <si>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</si>
  <si>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</si>
  <si>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</si>
  <si>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</si>
  <si>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</si>
  <si>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</si>
  <si>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</si>
  <si>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</si>
  <si>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</si>
  <si>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</si>
  <si>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</si>
  <si>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</si>
  <si>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</si>
  <si>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</si>
  <si>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</si>
  <si>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</si>
  <si>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</si>
  <si>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</si>
  <si>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</si>
  <si>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</si>
  <si>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</si>
  <si>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</si>
  <si>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</si>
  <si>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</si>
  <si>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</si>
  <si>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</si>
  <si>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</si>
  <si>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</si>
  <si>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</si>
  <si>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</si>
  <si>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</si>
  <si>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</si>
  <si>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</si>
  <si>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</si>
  <si>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</si>
  <si>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</si>
  <si>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</si>
  <si>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</si>
  <si>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</si>
  <si>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</si>
  <si>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</si>
  <si>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</si>
  <si>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</si>
  <si>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</si>
  <si>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</si>
  <si>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</si>
  <si>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</si>
  <si>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</si>
  <si>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</si>
  <si>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</si>
  <si>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</si>
  <si>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</si>
  <si>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</si>
  <si>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</si>
  <si>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</si>
  <si>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</si>
  <si>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</si>
  <si>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</si>
  <si>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</si>
  <si>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</si>
  <si>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</si>
  <si>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</si>
  <si>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</si>
  <si>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</si>
  <si>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</si>
  <si>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</si>
  <si>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</si>
  <si>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</si>
  <si>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</si>
  <si>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</si>
  <si>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</si>
  <si>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</si>
  <si>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</si>
  <si>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</si>
  <si>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</si>
  <si>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</si>
  <si>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</si>
  <si>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</si>
  <si>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</si>
  <si>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</si>
  <si>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</si>
  <si>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</si>
  <si>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</si>
  <si>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</si>
  <si>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</si>
  <si>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</si>
  <si>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</si>
  <si>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</si>
  <si>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</si>
  <si>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</si>
  <si>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</si>
  <si>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</si>
  <si>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</si>
  <si>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</si>
  <si>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</si>
  <si>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</si>
  <si>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</si>
  <si>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</si>
  <si>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</si>
  <si>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</si>
  <si>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</si>
  <si>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</si>
  <si>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</si>
  <si>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</si>
  <si>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</si>
  <si>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</si>
  <si>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</si>
  <si>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</si>
  <si>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</si>
  <si>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</si>
  <si>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</si>
  <si>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</si>
  <si>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</si>
  <si>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</si>
  <si>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</si>
  <si>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</si>
  <si>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</si>
  <si>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</si>
  <si>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</si>
  <si>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</si>
  <si>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</si>
  <si>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</si>
  <si>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</si>
  <si>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</si>
  <si>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</si>
  <si>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</si>
  <si>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</si>
  <si>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</si>
  <si>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</si>
  <si>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</si>
  <si>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</si>
  <si>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</si>
  <si>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</si>
  <si>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</si>
  <si>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</si>
  <si>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</si>
  <si>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</si>
  <si>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</si>
  <si>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</si>
  <si>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</si>
  <si>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</si>
  <si>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</si>
  <si>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</si>
  <si>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</si>
  <si>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</si>
  <si>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</si>
  <si>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</si>
  <si>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</si>
  <si>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</si>
  <si>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</si>
  <si>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</si>
  <si>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</si>
  <si>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</si>
  <si>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</si>
  <si>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</si>
  <si>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</si>
  <si>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</si>
  <si>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</si>
  <si>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</si>
  <si>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</si>
  <si>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</si>
  <si>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</si>
  <si>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</si>
  <si>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</si>
  <si>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</si>
  <si>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</si>
  <si>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</si>
  <si>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</si>
  <si>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</si>
  <si>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</si>
  <si>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</si>
  <si>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</si>
  <si>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</si>
  <si>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</si>
  <si>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</si>
  <si>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</si>
  <si>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</si>
  <si>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</si>
  <si>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</si>
  <si>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</si>
  <si>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</si>
  <si>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</si>
  <si>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</si>
  <si>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</si>
  <si>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</si>
  <si>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</si>
  <si>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</si>
  <si>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</si>
  <si>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</si>
  <si>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</si>
  <si>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</si>
  <si>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</si>
  <si>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</si>
  <si>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</si>
  <si>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</si>
  <si>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</si>
  <si>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</si>
  <si>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</si>
  <si>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</si>
  <si>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</si>
  <si>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</si>
  <si>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</si>
  <si>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</si>
  <si>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</si>
  <si>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</si>
  <si>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</si>
  <si>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</si>
  <si>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</si>
  <si>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</si>
  <si>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</si>
  <si>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</si>
  <si>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</si>
  <si>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</si>
  <si>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</si>
  <si>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</si>
  <si>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</si>
  <si>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</si>
  <si>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</si>
  <si>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</si>
  <si>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</si>
  <si>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</si>
  <si>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</si>
  <si>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</si>
  <si>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</si>
  <si>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</si>
  <si>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</si>
  <si>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</si>
  <si>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</si>
  <si>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</si>
  <si>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</si>
  <si>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</si>
  <si>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</si>
  <si>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</si>
  <si>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</si>
  <si>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</si>
  <si>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</si>
  <si>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</si>
  <si>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</si>
  <si>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</si>
  <si>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</si>
  <si>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</si>
  <si>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</si>
  <si>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</si>
  <si>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</si>
  <si>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</si>
  <si>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</si>
  <si>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</si>
  <si>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</si>
  <si>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</si>
  <si>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</si>
  <si>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</si>
  <si>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</si>
  <si>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</si>
  <si>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</si>
  <si>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</si>
  <si>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</si>
  <si>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</si>
  <si>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</si>
  <si>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</si>
  <si>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</si>
  <si>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</si>
  <si>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</si>
  <si>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</si>
  <si>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</si>
  <si>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</si>
  <si>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</si>
  <si>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</si>
  <si>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</si>
  <si>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</si>
  <si>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</si>
  <si>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</si>
  <si>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</si>
  <si>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</si>
  <si>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</si>
  <si>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</si>
  <si>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</si>
  <si>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</si>
  <si>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</si>
  <si>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</si>
  <si>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</si>
  <si>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</si>
  <si>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</si>
  <si>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</si>
  <si>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</si>
  <si>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</si>
  <si>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</si>
  <si>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</si>
  <si>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</si>
  <si>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</si>
  <si>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</si>
  <si>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</si>
  <si>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</si>
  <si>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</si>
  <si>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</si>
  <si>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</si>
  <si>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</si>
  <si>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</si>
  <si>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</si>
  <si>
    <t>length_text</t>
  </si>
  <si>
    <t>fea_bolster</t>
  </si>
  <si>
    <t>FEA-W "Supertench" bolster wagon</t>
  </si>
  <si>
    <t>The FEA-W is a modular wagon built by Wascosa, based on a strong metal spine which can be topped by a variety of modules for different purposes.</t>
  </si>
  <si>
    <t>locomotion_no_1</t>
  </si>
  <si>
    <t>Originally named "Active", the Stockton and Darlington's Locomotion No. 1 was the first steam locomotive to operate on a public railway. Unfortunately the early design was flawed and it soon became obsolete.</t>
  </si>
  <si>
    <t>Stephenson "Locomotion No. 1"</t>
  </si>
  <si>
    <t>Hackworth "Royal George"</t>
  </si>
  <si>
    <t>royal_george</t>
  </si>
  <si>
    <t>Timothy Hackworth was an influential early locomotive engineer. The Royal George locomotive was built around the boiler from an earlier locomotive Chittaprat, and was capable of hauling heavy coal trains.</t>
  </si>
  <si>
    <t>Stockton Tender</t>
  </si>
  <si>
    <t>stockton_tender</t>
  </si>
  <si>
    <t>variant_group</t>
  </si>
  <si>
    <t>BR Mk1 carriage (BG)</t>
  </si>
  <si>
    <t>BR Mk2 carriage (BG)</t>
  </si>
  <si>
    <t>BR Mk1 carriage (FO)</t>
  </si>
  <si>
    <t>BR Mk1 carriage (SK)</t>
  </si>
  <si>
    <t>passenger_coach_mk1_sk</t>
  </si>
  <si>
    <t>passenger_coach_mk1_fo</t>
  </si>
  <si>
    <t>BR Mk1 carriage (FK)</t>
  </si>
  <si>
    <t>passenger_coach_mk1_fk</t>
  </si>
  <si>
    <t>BR Mk1 carriage (TSO)</t>
  </si>
  <si>
    <t>BR Mk1 carriage (RMB)</t>
  </si>
  <si>
    <t>passenger_coach_mk1_rmb</t>
  </si>
  <si>
    <t>Mk1 FO (First Open) carriages had wider and more luxurious seating in a 2+1 arrangement in an open saloon.</t>
  </si>
  <si>
    <t>MK1 FK (First Corridor) carriages were divided into 7 compartments, larger and more luxurious than the SK carriages.</t>
  </si>
  <si>
    <t>The Mk1 RMB (Restaurant Mini Buffet) is a TSO carriage in which some of the seating rows have been replaced with a small buffet service restaurant.</t>
  </si>
  <si>
    <t>passenger_coach_mk1_rmb_alt</t>
  </si>
  <si>
    <t>BR Mk1 carriage (RMB, alternate livery)</t>
  </si>
  <si>
    <t>The Mk1 RMB (Restaurant Mini Buffet) is a TSO carriage in which some of the seating rows have been replaced with a small buffet service restaurant. This version is in an alternate livery to match the corridor carriages.</t>
  </si>
  <si>
    <t>gameplay_text</t>
  </si>
  <si>
    <t>!param_no_gameplay_units</t>
  </si>
  <si>
    <t>BR started rationalising the number of carriage variants with the Mk2 so there was no dedicated parcels van, and most consists used a Mk1 BG attached to Mk2 passenger stock.</t>
  </si>
  <si>
    <t>buffet</t>
  </si>
  <si>
    <t>pax_special</t>
  </si>
  <si>
    <t>first</t>
  </si>
  <si>
    <t>BR Mk2 carriage (TSO)</t>
  </si>
  <si>
    <t>BR Mk2 carriage (FO)</t>
  </si>
  <si>
    <t>BR Mk2 carriage (FK)</t>
  </si>
  <si>
    <t>passenger_coach_mk2_fo</t>
  </si>
  <si>
    <t>passenger_coach_mk2_fk</t>
  </si>
  <si>
    <t>The Mk1 carriage combined best practice from the different Big Four carriage designs into a single standard design that could be used across the BR network. TSO (Tourist Second/Standard Open) was a common type, with 2+2 seating in an open saloon.</t>
  </si>
  <si>
    <t>Mk1 SK (Second/Standard Corridor) carriages were divided into 8 compartments, accessed by a gangway along one side of the carriage. This was the most common of all Mk1 carriage types.</t>
  </si>
  <si>
    <t>Mk2 FO (First Open) carriages followed the Mk1 approach of having wider, more luxurious seating in an open saloon. BR preferred open interiors by this point, although a few corridor Mk2s were still built early on.</t>
  </si>
  <si>
    <t>A few Mk2 FK (First Corridor) carriages were built early in the model's life, featuring a similar 7 compartment design to the Mk1. Although BR did not build any SK carriages initially, later a few Mk2 FKs were adapted to standard class.</t>
  </si>
  <si>
    <t>use_mu_engine_logic</t>
  </si>
  <si>
    <t>purchase_length</t>
  </si>
  <si>
    <t>BR Mk3 carriage (TS/TSO)</t>
  </si>
  <si>
    <t>BR Mk3 carriage (FO)</t>
  </si>
  <si>
    <t>BR Mk3 carriage (RFM)</t>
  </si>
  <si>
    <t>BR Mk3 carriage (GUV)</t>
  </si>
  <si>
    <t>passenger_coach_mk3_fo</t>
  </si>
  <si>
    <t>passenger_coach_mk3_rfm</t>
  </si>
  <si>
    <t>passenger_coach_mk3_guv</t>
  </si>
  <si>
    <t>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</si>
  <si>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BR Mk3 carriage (RUB)</t>
  </si>
  <si>
    <t>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</si>
  <si>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Mk3 carriages followed the by now standard practice of first class vehicles featuring an open saloon with lower seating density than standard class.</t>
  </si>
  <si>
    <t>BR did not build any carriage-based utility vans after the Mk1, but this vehicle is included as a "what could have been" if HSTs and express services had included a high speed parcels car.</t>
  </si>
  <si>
    <t>passenger_coach_mk3_rub</t>
  </si>
  <si>
    <t>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</si>
  <si>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passenger_coach_mk4_guv</t>
  </si>
  <si>
    <t>BR Mk4 carriage (GUV)</t>
  </si>
  <si>
    <t>BR Mk4 carriage (FO)</t>
  </si>
  <si>
    <t>BR Mk4 carriage (RSB)</t>
  </si>
  <si>
    <t>passenger_coach_mk4_fo</t>
  </si>
  <si>
    <t>passenger_coach_mk4_rsb</t>
  </si>
  <si>
    <t>BR Mk4 carriage (TSO)</t>
  </si>
  <si>
    <t>The Mk4 carriage is a further improvement on the Mk3. It's designed for use with the Class 91 for Intercity 225 services. Access is improved with greater consideration for wheelchair users.</t>
  </si>
  <si>
    <t>The Mk4 carriage is a further improvement on the Mk3. It's designed for use with the Class 91 for Intercity 225 services. A few FO carriages were converted to FOS (for smoking) until smoking was banned on all british train services.</t>
  </si>
  <si>
    <t>Intercity 225 formations included restaurant cars from their introduction, initially as first class RFB cars.</t>
  </si>
  <si>
    <t>BR Mk4 carriage (RFB)</t>
  </si>
  <si>
    <t>passenger_coach_mk4_rfb</t>
  </si>
  <si>
    <t>As LNER took over East Coast Express services, RSB cars with standard-class seating were introduced, allowing more passengers to sit in the buffet car.</t>
  </si>
  <si>
    <t>By the time the Mk4 was introduced, the end of post on the rail was in sight, with Travelling Post Office services ceasing in 1996. But what if BR had continued to build parcel vans?</t>
  </si>
  <si>
    <t>BR Mk1 carriage</t>
  </si>
  <si>
    <t>BR Mk2 carriage</t>
  </si>
  <si>
    <t>passenger_coach_mk1_legacy</t>
  </si>
  <si>
    <t>passenger_coach_mk2_legacy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</si>
</sst>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
      <patternFill patternType="solid">
        <fgColor theme="0" tint="-0.14999847407452621"/>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8">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xf numFmtId="0" fontId="1" fillId="8" borderId="0" xfId="0" applyFont="1" applyFill="1"/>
    <xf numFmtId="0" fontId="0" fillId="8" borderId="0" xfId="0" applyFill="1"/>
  </cellXfs>
  <cellStyles count="2">
    <cellStyle name="Good" xfId="1" builtinId="26"/>
    <cellStyle name="Normal" xfId="0" builtinId="0"/>
  </cellStyles>
  <dxfs count="3">
    <dxf>
      <font>
        <color rgb="FF9C0006"/>
      </font>
      <fill>
        <patternFill patternType="none">
          <bgColor auto="1"/>
        </patternFill>
      </fill>
    </dxf>
    <dxf>
      <font>
        <color rgb="FF9C0006"/>
      </font>
      <fill>
        <patternFill patternType="none">
          <bgColor auto="1"/>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K325"/>
  <sheetViews>
    <sheetView tabSelected="1" zoomScaleNormal="100" workbookViewId="0">
      <pane xSplit="1" ySplit="1" topLeftCell="AI23" activePane="bottomRight" state="frozenSplit"/>
      <selection pane="topRight" activeCell="B1" sqref="B1"/>
      <selection pane="bottomLeft" activeCell="A2" sqref="A2"/>
      <selection pane="bottomRight" activeCell="AM40" sqref="AM40"/>
    </sheetView>
  </sheetViews>
  <sheetFormatPr defaultRowHeight="14.5" x14ac:dyDescent="0.35"/>
  <cols>
    <col min="1" max="1" width="37.1796875" bestFit="1" customWidth="1"/>
    <col min="2" max="2" width="28.26953125" bestFit="1" customWidth="1"/>
    <col min="3" max="3" width="13.26953125" bestFit="1" customWidth="1"/>
    <col min="4" max="6" width="13.26953125" customWidth="1"/>
    <col min="7" max="7" width="13.26953125" bestFit="1" customWidth="1"/>
    <col min="8" max="8" width="14.7265625" bestFit="1" customWidth="1"/>
    <col min="9" max="9" width="13.453125" bestFit="1" customWidth="1"/>
    <col min="14" max="14" width="10.81640625" bestFit="1" customWidth="1"/>
    <col min="15" max="15" width="10.81640625" style="8" customWidth="1"/>
    <col min="16" max="16" width="5.1796875" style="5" bestFit="1" customWidth="1"/>
    <col min="17" max="17" width="7.26953125" style="5" bestFit="1" customWidth="1"/>
    <col min="18" max="18" width="5.54296875" style="5" bestFit="1" customWidth="1"/>
    <col min="19" max="19" width="10" style="5" bestFit="1" customWidth="1"/>
    <col min="20" max="20" width="7.7265625" style="5" bestFit="1" customWidth="1"/>
    <col min="21" max="21" width="11" style="5" bestFit="1" customWidth="1"/>
    <col min="22" max="22" width="7.7265625" style="5" customWidth="1"/>
    <col min="23" max="23" width="10" bestFit="1" customWidth="1"/>
    <col min="24" max="24" width="19.7265625" style="8" customWidth="1"/>
    <col min="25" max="25" width="13.26953125" customWidth="1"/>
    <col min="26" max="26" width="18" bestFit="1" customWidth="1"/>
    <col min="27" max="27" width="8.453125" style="3" bestFit="1" customWidth="1"/>
    <col min="28" max="28" width="12.453125" bestFit="1" customWidth="1"/>
    <col min="29" max="31" width="12.453125" customWidth="1"/>
    <col min="32" max="32" width="10.54296875" bestFit="1" customWidth="1"/>
    <col min="33" max="33" width="9.26953125" bestFit="1" customWidth="1"/>
    <col min="34" max="34" width="10.54296875" customWidth="1"/>
    <col min="35" max="35" width="10.453125" bestFit="1" customWidth="1"/>
    <col min="36" max="36" width="9.1796875" style="10"/>
    <col min="37" max="37" width="10.26953125" bestFit="1" customWidth="1"/>
    <col min="38" max="38" width="10.26953125" customWidth="1"/>
    <col min="39" max="39" width="26.81640625" customWidth="1"/>
    <col min="40" max="40" width="18.453125" bestFit="1" customWidth="1"/>
    <col min="41" max="41" width="18.453125" customWidth="1"/>
    <col min="42" max="43" width="18.453125" style="12" customWidth="1"/>
    <col min="44" max="44" width="31.1796875" customWidth="1"/>
    <col min="45" max="45" width="17" customWidth="1"/>
    <col min="46" max="46" width="11.81640625" bestFit="1" customWidth="1"/>
    <col min="47" max="47" width="13.1796875" bestFit="1" customWidth="1"/>
    <col min="48" max="48" width="9.453125" bestFit="1" customWidth="1"/>
    <col min="49" max="51" width="9.453125" customWidth="1"/>
    <col min="52" max="52" width="18.7265625" bestFit="1" customWidth="1"/>
    <col min="53" max="53" width="19.1796875" bestFit="1" customWidth="1"/>
    <col min="54" max="54" width="15" hidden="1" customWidth="1"/>
    <col min="55" max="55" width="10" hidden="1" customWidth="1"/>
    <col min="56" max="56" width="9.1796875" hidden="1" customWidth="1"/>
    <col min="57" max="57" width="9.7265625" hidden="1" customWidth="1"/>
    <col min="58" max="58" width="12.453125" hidden="1" customWidth="1"/>
    <col min="59" max="60" width="16" hidden="1" customWidth="1"/>
    <col min="62" max="62" width="11" bestFit="1" customWidth="1"/>
    <col min="63" max="64" width="11" customWidth="1"/>
    <col min="72" max="72" width="31.1796875" customWidth="1"/>
    <col min="74" max="74" width="19.1796875" bestFit="1" customWidth="1"/>
    <col min="75" max="75" width="12.7265625" bestFit="1" customWidth="1"/>
    <col min="76" max="76" width="16.81640625" bestFit="1" customWidth="1"/>
    <col min="77" max="77" width="15.54296875" bestFit="1" customWidth="1"/>
    <col min="79" max="79" width="15.7265625" bestFit="1" customWidth="1"/>
    <col min="80" max="80" width="21.7265625" bestFit="1" customWidth="1"/>
    <col min="81" max="81" width="26.26953125" bestFit="1" customWidth="1"/>
    <col min="82" max="82" width="26.26953125" style="17" customWidth="1"/>
    <col min="83" max="83" width="44.26953125" customWidth="1"/>
    <col min="84" max="84" width="38.453125" customWidth="1"/>
    <col min="85" max="85" width="255.7265625" bestFit="1" customWidth="1"/>
    <col min="86" max="86" width="13.26953125" bestFit="1" customWidth="1"/>
    <col min="87" max="87" width="44.7265625" customWidth="1"/>
  </cols>
  <sheetData>
    <row r="1" spans="1:89" s="1" customFormat="1" x14ac:dyDescent="0.35">
      <c r="A1" s="1" t="s">
        <v>129</v>
      </c>
      <c r="B1" s="1" t="s">
        <v>130</v>
      </c>
      <c r="C1" s="1" t="s">
        <v>708</v>
      </c>
      <c r="D1" s="1" t="s">
        <v>1519</v>
      </c>
      <c r="E1" s="1" t="s">
        <v>1496</v>
      </c>
      <c r="F1" s="1" t="s">
        <v>1497</v>
      </c>
      <c r="G1" s="1" t="s">
        <v>128</v>
      </c>
      <c r="H1" s="1" t="s">
        <v>266</v>
      </c>
      <c r="I1" s="1" t="s">
        <v>269</v>
      </c>
      <c r="J1" s="1" t="s">
        <v>132</v>
      </c>
      <c r="K1" s="1" t="s">
        <v>133</v>
      </c>
      <c r="L1" s="1" t="s">
        <v>134</v>
      </c>
      <c r="M1" s="1" t="s">
        <v>135</v>
      </c>
      <c r="N1" s="1" t="s">
        <v>136</v>
      </c>
      <c r="O1" s="7" t="s">
        <v>536</v>
      </c>
      <c r="P1" s="4" t="s">
        <v>369</v>
      </c>
      <c r="Q1" s="4" t="s">
        <v>366</v>
      </c>
      <c r="R1" s="4" t="s">
        <v>367</v>
      </c>
      <c r="S1" s="4" t="s">
        <v>364</v>
      </c>
      <c r="T1" s="4" t="s">
        <v>365</v>
      </c>
      <c r="U1" s="4" t="s">
        <v>370</v>
      </c>
      <c r="V1" s="4" t="s">
        <v>368</v>
      </c>
      <c r="W1" s="1" t="s">
        <v>137</v>
      </c>
      <c r="X1" s="7" t="s">
        <v>138</v>
      </c>
      <c r="Y1" s="1" t="s">
        <v>271</v>
      </c>
      <c r="Z1" s="1" t="s">
        <v>139</v>
      </c>
      <c r="AA1" s="2" t="s">
        <v>260</v>
      </c>
      <c r="AB1" s="1" t="s">
        <v>140</v>
      </c>
      <c r="AC1" s="1" t="s">
        <v>1494</v>
      </c>
      <c r="AD1" s="1" t="s">
        <v>1489</v>
      </c>
      <c r="AE1" s="1" t="s">
        <v>374</v>
      </c>
      <c r="AF1" s="1" t="s">
        <v>141</v>
      </c>
      <c r="AG1" s="1" t="s">
        <v>280</v>
      </c>
      <c r="AH1" s="1" t="s">
        <v>239</v>
      </c>
      <c r="AI1" s="1" t="s">
        <v>142</v>
      </c>
      <c r="AJ1" s="9" t="s">
        <v>259</v>
      </c>
      <c r="AK1" s="1" t="s">
        <v>131</v>
      </c>
      <c r="AL1" s="1" t="s">
        <v>264</v>
      </c>
      <c r="AM1" s="1" t="s">
        <v>286</v>
      </c>
      <c r="AN1" s="1" t="s">
        <v>240</v>
      </c>
      <c r="AO1" s="1" t="s">
        <v>1244</v>
      </c>
      <c r="AP1" s="11" t="s">
        <v>670</v>
      </c>
      <c r="AQ1" s="11" t="s">
        <v>1226</v>
      </c>
      <c r="AR1" s="1" t="s">
        <v>395</v>
      </c>
      <c r="AS1" s="1" t="s">
        <v>547</v>
      </c>
      <c r="AT1" s="1" t="s">
        <v>396</v>
      </c>
      <c r="AU1" s="1" t="s">
        <v>477</v>
      </c>
      <c r="AV1" s="1" t="s">
        <v>265</v>
      </c>
      <c r="AW1" s="1" t="s">
        <v>1157</v>
      </c>
      <c r="AX1" s="1" t="s">
        <v>1084</v>
      </c>
      <c r="AY1" s="1" t="s">
        <v>1110</v>
      </c>
      <c r="AZ1" s="1" t="s">
        <v>1085</v>
      </c>
      <c r="BA1" s="1" t="s">
        <v>1102</v>
      </c>
      <c r="BB1" s="1" t="s">
        <v>1086</v>
      </c>
      <c r="BC1" s="1" t="s">
        <v>1087</v>
      </c>
      <c r="BD1" s="1" t="s">
        <v>1088</v>
      </c>
      <c r="BE1" s="1" t="s">
        <v>1091</v>
      </c>
      <c r="BF1" s="1" t="s">
        <v>1097</v>
      </c>
      <c r="BG1" s="1" t="s">
        <v>1092</v>
      </c>
      <c r="BH1" s="1" t="s">
        <v>1096</v>
      </c>
      <c r="BI1" s="1" t="s">
        <v>272</v>
      </c>
      <c r="BJ1" s="1" t="s">
        <v>273</v>
      </c>
      <c r="BK1" s="1" t="s">
        <v>1159</v>
      </c>
      <c r="BL1" s="1" t="s">
        <v>1160</v>
      </c>
      <c r="BM1" s="1" t="s">
        <v>302</v>
      </c>
      <c r="BN1" s="1" t="s">
        <v>561</v>
      </c>
      <c r="BO1" s="1" t="s">
        <v>1552</v>
      </c>
      <c r="BP1" s="1" t="s">
        <v>651</v>
      </c>
      <c r="BQ1" s="1" t="s">
        <v>1103</v>
      </c>
      <c r="BR1" s="1" t="s">
        <v>1115</v>
      </c>
      <c r="BS1" s="1" t="s">
        <v>1553</v>
      </c>
      <c r="BT1" s="1" t="s">
        <v>1137</v>
      </c>
      <c r="BU1" s="1" t="s">
        <v>1146</v>
      </c>
      <c r="BV1" s="1" t="s">
        <v>1147</v>
      </c>
      <c r="BW1" s="1" t="s">
        <v>1541</v>
      </c>
      <c r="BX1" s="1" t="s">
        <v>1034</v>
      </c>
      <c r="BY1" s="1" t="s">
        <v>277</v>
      </c>
      <c r="BZ1" s="1" t="s">
        <v>318</v>
      </c>
      <c r="CA1" s="1" t="s">
        <v>339</v>
      </c>
      <c r="CB1" s="1" t="s">
        <v>341</v>
      </c>
      <c r="CC1" s="1" t="s">
        <v>1197</v>
      </c>
      <c r="CD1" s="16" t="s">
        <v>1507</v>
      </c>
      <c r="CE1" s="1" t="s">
        <v>1191</v>
      </c>
      <c r="CF1" s="1" t="s">
        <v>1144</v>
      </c>
      <c r="CG1" s="1" t="s">
        <v>1111</v>
      </c>
      <c r="CH1" s="1" t="s">
        <v>1537</v>
      </c>
      <c r="CI1" s="1" t="s">
        <v>1145</v>
      </c>
      <c r="CJ1" s="1" t="s">
        <v>342</v>
      </c>
      <c r="CK1" s="1" t="s">
        <v>1506</v>
      </c>
    </row>
    <row r="2" spans="1:89" x14ac:dyDescent="0.35">
      <c r="A2" t="s">
        <v>414</v>
      </c>
      <c r="B2" t="s">
        <v>415</v>
      </c>
      <c r="C2">
        <v>-1</v>
      </c>
      <c r="E2">
        <v>-1</v>
      </c>
      <c r="G2" t="s">
        <v>286</v>
      </c>
      <c r="H2" t="s">
        <v>286</v>
      </c>
      <c r="I2" t="s">
        <v>270</v>
      </c>
      <c r="J2">
        <v>1900</v>
      </c>
      <c r="W2">
        <v>42</v>
      </c>
      <c r="AA2" s="3" t="str">
        <f t="shared" ref="AA2:AA34" si="0">IF(AND(W2&gt;0,Z2&gt;0),(Z2/((W2+X2)*10)),"")</f>
        <v/>
      </c>
      <c r="AF2">
        <v>7.5</v>
      </c>
      <c r="AG2">
        <v>8</v>
      </c>
      <c r="AJ2" s="10">
        <v>0</v>
      </c>
      <c r="AK2" t="str">
        <f>CONCATENATE(VLOOKUP(AL2, 'Voxel Sizes'!$A$2:$B$18,2,FALSE),"x",INT(AH2*15), "x", INT(AI2*15))</f>
        <v>82x0x0</v>
      </c>
      <c r="AL2">
        <f t="shared" ref="AL2:AL94" si="1">ROUND(15*((AG2*10)/256),0)</f>
        <v>5</v>
      </c>
      <c r="AN2" t="str">
        <f>CONCATENATE(VLOOKUP(AL2,Constants!$A$2:$C$16,IF(AM2&lt;&gt;"", 3, 2), FALSE),IF(AM2&lt;&gt;"",CONCATENATE(",",VLOOKUP(AM2,$B:$AN,39,FALSE)),""))</f>
        <v>2,1,2</v>
      </c>
      <c r="AX2">
        <v>30</v>
      </c>
      <c r="AY2" s="15" t="str">
        <f t="shared" ref="AY2:AY94" si="2">IF(L2&lt;&gt;"",MAX(16,(L2-J2)+8),"")</f>
        <v/>
      </c>
      <c r="BB2">
        <f t="shared" ref="BB2:BB94" si="3">MIN(AB2/150, 1)*30</f>
        <v>0</v>
      </c>
      <c r="BC2">
        <f t="shared" ref="BC2:BC94" si="4">MIN(N2/4000, 1)*20</f>
        <v>0</v>
      </c>
      <c r="BD2">
        <f t="shared" ref="BD2:BD94" si="5">MIN(Z2/400,1)*20</f>
        <v>0</v>
      </c>
      <c r="BE2" s="3">
        <f t="shared" ref="BE2:BE94" si="6">1-(MAX(J2-1900, 0)/750)</f>
        <v>1</v>
      </c>
      <c r="BF2">
        <f t="shared" ref="BF2:BF94" si="7">((MAX($M2,1)*MIN($AJ2/300,1)))*IF(G2="Wagon",50,10)</f>
        <v>0</v>
      </c>
      <c r="BG2">
        <f>VLOOKUP($H2,Constants!$I:$K, 2, FALSE)</f>
        <v>0</v>
      </c>
      <c r="BH2">
        <f>VLOOKUP($H2,Constants!$I:$K, 3, FALSE)*IF(AND(G2="multiple_unit",AB2&lt;110),0.75,1)</f>
        <v>0</v>
      </c>
      <c r="BI2">
        <f>INT(POWER(((Constants!$G$2+$BB2+$BC2+$BD2+$BF2)*$BE2)*$BH2, 1.05))+$BA2</f>
        <v>0</v>
      </c>
      <c r="BJ2">
        <f>INT(POWER((((Constants!$G$1+$BB2+$BC2+$BD2+$BF2)*($BE2))*$BG2),IF($G2="wagon",1,1.2)))+$AZ2</f>
        <v>0</v>
      </c>
      <c r="BK2" s="14">
        <f t="shared" ref="BK2:BK94" si="8">BI2*IF($G2="wagon",62.5,781.25)</f>
        <v>0</v>
      </c>
      <c r="BL2" s="14">
        <f t="shared" ref="BL2:BL94" si="9">BJ2*IF($G2="wagon",2.73,81.25)</f>
        <v>0</v>
      </c>
      <c r="BZ2" t="str">
        <f>VLOOKUP(J2,Eras!$A$2:$C$10, 2, TRUE)</f>
        <v>edw</v>
      </c>
      <c r="CB2" t="str">
        <f t="shared" ref="CB2:CB94" si="10">CONCATENATE(BZ2,"_",CA2)</f>
        <v>edw_</v>
      </c>
      <c r="CC2" t="str">
        <f t="shared" ref="CC2:CC75" si="11">_xlfn.CONCAT(H2, "_",I2)</f>
        <v>tender_RAIL</v>
      </c>
      <c r="CD2" s="17" t="str" cm="1">
        <f t="array" ref="CD2">_xlfn.CONCAT("{BLACK}Length: {GOLD}", TEXT(ROUNDUP(IF(AQ2&lt;&gt;"",SUM(VALUE(_xlfn.TEXTSPLIT(AQ2, ","))), SUM(VALUE(_xlfn.TEXTSPLIT(AN2, ",")))*IF(M2, M2, 1))/16, 1), "#,##0.0"), " tiles{}")</f>
        <v>{BLACK}Length: {GOLD}0.4 tiles{}</v>
      </c>
      <c r="CE2" t="str">
        <f>VLOOKUP($CC2, Constants!$M:$N, 2, FALSE)</f>
        <v/>
      </c>
      <c r="CF2" t="str">
        <f t="shared" ref="CF2:CF33" si="12">IF(M2&gt;1,_xlfn.CONCAT("{BLACK}Cars: {GOLD}", M2),"")</f>
        <v/>
      </c>
      <c r="CH2" t="str">
        <f t="shared" ref="CH2:CH61" si="13">IF($BT2="!param_no_gameplay_units","{GREEN}Included for gameplay purposes","")</f>
        <v/>
      </c>
      <c r="CI2" t="str">
        <f t="shared" ref="CI2:CI75" si="14">IF(BW2="buffet","{YELLOW}25% long distance bonus for consist{}",IF(BY2="BRAKE","{YELLOW}Speed bonus for slow wagons{}",IF(BV2&gt;190,CONCATENATE("{YELLOW}",INT((BV2-185)/1.85),"% bonus for long distance travel{}"),IF(AND(BV2&lt;180,BV2&lt;&gt;0),CONCATENATE("{YELLOW}",INT((185-BV2)/1.85),"% penalty for long distance travel{}"),""))))</f>
        <v/>
      </c>
      <c r="CJ2" t="str">
        <f t="shared" ref="CJ2:CJ75" si="15">_xlfn.CONCAT(CE2,IF(CE2&lt;&gt;""," ",""),CF2,IF(OR(CF2&lt;&gt;"",CE2&lt;&gt;""),"{}",""),CD2,CI2,"{SILVER}",CG2,IF(CH2&lt;&gt;"","{}{}",""),CH2)</f>
        <v>{BLACK}Length: {GOLD}0.4 tiles{}{SILVER}</v>
      </c>
    </row>
    <row r="3" spans="1:89" x14ac:dyDescent="0.35">
      <c r="A3" t="s">
        <v>1371</v>
      </c>
      <c r="B3" t="s">
        <v>1372</v>
      </c>
      <c r="C3">
        <v>-1</v>
      </c>
      <c r="E3">
        <v>-1</v>
      </c>
      <c r="G3" t="s">
        <v>286</v>
      </c>
      <c r="H3" t="s">
        <v>286</v>
      </c>
      <c r="I3" t="s">
        <v>270</v>
      </c>
      <c r="J3">
        <v>1815</v>
      </c>
      <c r="W3">
        <v>42</v>
      </c>
      <c r="AA3" s="3" t="str">
        <f t="shared" ref="AA3" si="16">IF(AND(W3&gt;0,Z3&gt;0),(Z3/((W3+X3)*10)),"")</f>
        <v/>
      </c>
      <c r="AF3">
        <v>7.5</v>
      </c>
      <c r="AG3">
        <v>6</v>
      </c>
      <c r="AJ3" s="10">
        <v>0</v>
      </c>
      <c r="AK3" t="str">
        <f>CONCATENATE(VLOOKUP(AL3, 'Voxel Sizes'!$A$2:$B$18,2,FALSE),"x",INT(AH3*15), "x", INT(AI3*15))</f>
        <v>60x0x0</v>
      </c>
      <c r="AL3">
        <f t="shared" ref="AL3" si="17">ROUND(15*((AG3*10)/256),0)</f>
        <v>4</v>
      </c>
      <c r="AN3" t="str">
        <f>CONCATENATE(VLOOKUP(AL3,Constants!$A$2:$C$16,IF(AM3&lt;&gt;"", 3, 2), FALSE),IF(AM3&lt;&gt;"",CONCATENATE(",",VLOOKUP(AM3,$B:$AN,39,FALSE)),""))</f>
        <v>1,2,1</v>
      </c>
      <c r="AX3">
        <v>30</v>
      </c>
      <c r="AY3" s="15" t="str">
        <f t="shared" ref="AY3" si="18">IF(L3&lt;&gt;"",MAX(16,(L3-J3)+8),"")</f>
        <v/>
      </c>
      <c r="BB3">
        <f t="shared" ref="BB3" si="19">MIN(AB3/150, 1)*30</f>
        <v>0</v>
      </c>
      <c r="BC3">
        <f t="shared" ref="BC3" si="20">MIN(N3/4000, 1)*20</f>
        <v>0</v>
      </c>
      <c r="BD3">
        <f t="shared" ref="BD3" si="21">MIN(Z3/400,1)*20</f>
        <v>0</v>
      </c>
      <c r="BE3" s="3">
        <f t="shared" ref="BE3" si="22">1-(MAX(J3-1900, 0)/750)</f>
        <v>1</v>
      </c>
      <c r="BF3">
        <f t="shared" ref="BF3" si="23">((MAX($M3,1)*MIN($AJ3/300,1)))*IF(G3="Wagon",50,10)</f>
        <v>0</v>
      </c>
      <c r="BG3">
        <f>VLOOKUP($H3,Constants!$I:$K, 2, FALSE)</f>
        <v>0</v>
      </c>
      <c r="BH3">
        <f>VLOOKUP($H3,Constants!$I:$K, 3, FALSE)*IF(AND(G3="multiple_unit",AB3&lt;110),0.75,1)</f>
        <v>0</v>
      </c>
      <c r="BI3">
        <f>INT(POWER(((Constants!$G$2+$BB3+$BC3+$BD3+$BF3)*$BE3)*$BH3, 1.05))+$BA3</f>
        <v>0</v>
      </c>
      <c r="BJ3">
        <f>INT(POWER((((Constants!$G$1+$BB3+$BC3+$BD3+$BF3)*($BE3))*$BG3),IF($G3="wagon",1,1.2)))+$AZ3</f>
        <v>0</v>
      </c>
      <c r="BK3" s="14">
        <f t="shared" ref="BK3" si="24">BI3*IF($G3="wagon",62.5,781.25)</f>
        <v>0</v>
      </c>
      <c r="BL3" s="14">
        <f t="shared" ref="BL3" si="25">BJ3*IF($G3="wagon",2.73,81.25)</f>
        <v>0</v>
      </c>
      <c r="BZ3" t="str">
        <f>VLOOKUP(J3,Eras!$A$2:$C$10, 2, TRUE)</f>
        <v>early</v>
      </c>
      <c r="CB3" t="str">
        <f t="shared" ref="CB3" si="26">CONCATENATE(BZ3,"_",CA3)</f>
        <v>early_</v>
      </c>
      <c r="CC3" t="str">
        <f t="shared" si="11"/>
        <v>tender_RAIL</v>
      </c>
      <c r="CD3" s="17" t="str" cm="1">
        <f t="array" ref="CD3">_xlfn.CONCAT("{BLACK}Length: {GOLD}", TEXT(ROUNDUP(IF(AQ3&lt;&gt;"",SUM(VALUE(_xlfn.TEXTSPLIT(AQ3, ","))), SUM(VALUE(_xlfn.TEXTSPLIT(AN3, ",")))*IF(M3, M3, 1))/16, 1), "#,##0.0"), " tiles{}")</f>
        <v>{BLACK}Length: {GOLD}0.3 tiles{}</v>
      </c>
      <c r="CE3" t="str">
        <f>VLOOKUP($CC3, Constants!$M:$N, 2, FALSE)</f>
        <v/>
      </c>
      <c r="CF3" t="str">
        <f t="shared" si="12"/>
        <v/>
      </c>
      <c r="CH3" t="str">
        <f t="shared" si="13"/>
        <v/>
      </c>
      <c r="CI3" t="str">
        <f t="shared" si="14"/>
        <v/>
      </c>
      <c r="CJ3" t="str">
        <f t="shared" si="15"/>
        <v>{BLACK}Length: {GOLD}0.3 tiles{}{SILVER}</v>
      </c>
    </row>
    <row r="4" spans="1:89" x14ac:dyDescent="0.35">
      <c r="A4" t="s">
        <v>1517</v>
      </c>
      <c r="B4" t="s">
        <v>1518</v>
      </c>
      <c r="C4">
        <v>-1</v>
      </c>
      <c r="E4">
        <v>-1</v>
      </c>
      <c r="G4" t="s">
        <v>286</v>
      </c>
      <c r="H4" t="s">
        <v>286</v>
      </c>
      <c r="I4" t="s">
        <v>270</v>
      </c>
      <c r="J4">
        <v>1825</v>
      </c>
      <c r="W4">
        <v>42</v>
      </c>
      <c r="AA4" s="3" t="str">
        <f t="shared" si="0"/>
        <v/>
      </c>
      <c r="AF4">
        <v>7.5</v>
      </c>
      <c r="AG4">
        <v>6</v>
      </c>
      <c r="AJ4" s="10">
        <v>0</v>
      </c>
      <c r="AK4" t="str">
        <f>CONCATENATE(VLOOKUP(AL4, 'Voxel Sizes'!$A$2:$B$18,2,FALSE),"x",INT(AH4*15), "x", INT(AI4*15))</f>
        <v>60x0x0</v>
      </c>
      <c r="AL4">
        <f t="shared" si="1"/>
        <v>4</v>
      </c>
      <c r="AN4" t="str">
        <f>CONCATENATE(VLOOKUP(AL4,Constants!$A$2:$C$16,IF(AM4&lt;&gt;"", 3, 2), FALSE),IF(AM4&lt;&gt;"",CONCATENATE(",",VLOOKUP(AM4,$B:$AN,39,FALSE)),""))</f>
        <v>1,2,1</v>
      </c>
      <c r="AX4">
        <v>30</v>
      </c>
      <c r="AY4" s="15" t="str">
        <f t="shared" si="2"/>
        <v/>
      </c>
      <c r="BB4">
        <f t="shared" si="3"/>
        <v>0</v>
      </c>
      <c r="BC4">
        <f t="shared" si="4"/>
        <v>0</v>
      </c>
      <c r="BD4">
        <f t="shared" si="5"/>
        <v>0</v>
      </c>
      <c r="BE4" s="3">
        <f t="shared" si="6"/>
        <v>1</v>
      </c>
      <c r="BF4">
        <f t="shared" si="7"/>
        <v>0</v>
      </c>
      <c r="BG4">
        <f>VLOOKUP($H4,Constants!$I:$K, 2, FALSE)</f>
        <v>0</v>
      </c>
      <c r="BH4">
        <f>VLOOKUP($H4,Constants!$I:$K, 3, FALSE)*IF(AND(G4="multiple_unit",AB4&lt;110),0.75,1)</f>
        <v>0</v>
      </c>
      <c r="BI4">
        <f>INT(POWER(((Constants!$G$2+$BB4+$BC4+$BD4+$BF4)*$BE4)*$BH4, 1.05))+$BA4</f>
        <v>0</v>
      </c>
      <c r="BJ4">
        <f>INT(POWER((((Constants!$G$1+$BB4+$BC4+$BD4+$BF4)*($BE4))*$BG4),IF($G4="wagon",1,1.2)))+$AZ4</f>
        <v>0</v>
      </c>
      <c r="BK4" s="14">
        <f t="shared" si="8"/>
        <v>0</v>
      </c>
      <c r="BL4" s="14">
        <f t="shared" si="9"/>
        <v>0</v>
      </c>
      <c r="BZ4" t="str">
        <f>VLOOKUP(J4,Eras!$A$2:$C$10, 2, TRUE)</f>
        <v>early</v>
      </c>
      <c r="CB4" t="str">
        <f t="shared" si="10"/>
        <v>early_</v>
      </c>
      <c r="CC4" t="str">
        <f t="shared" si="11"/>
        <v>tender_RAIL</v>
      </c>
      <c r="CD4" s="17" t="str" cm="1">
        <f t="array" ref="CD4">_xlfn.CONCAT("{BLACK}Length: {GOLD}", TEXT(ROUNDUP(IF(AQ4&lt;&gt;"",SUM(VALUE(_xlfn.TEXTSPLIT(AQ4, ","))), SUM(VALUE(_xlfn.TEXTSPLIT(AN4, ",")))*IF(M4, M4, 1))/16, 1), "#,##0.0"), " tiles{}")</f>
        <v>{BLACK}Length: {GOLD}0.3 tiles{}</v>
      </c>
      <c r="CE4" t="str">
        <f>VLOOKUP($CC4, Constants!$M:$N, 2, FALSE)</f>
        <v/>
      </c>
      <c r="CF4" t="str">
        <f t="shared" si="12"/>
        <v/>
      </c>
      <c r="CH4" t="str">
        <f t="shared" si="13"/>
        <v/>
      </c>
      <c r="CI4" t="str">
        <f t="shared" si="14"/>
        <v/>
      </c>
      <c r="CJ4" t="str">
        <f t="shared" si="15"/>
        <v>{BLACK}Length: {GOLD}0.3 tiles{}{SILVER}</v>
      </c>
    </row>
    <row r="5" spans="1:89" x14ac:dyDescent="0.35">
      <c r="A5" t="s">
        <v>1360</v>
      </c>
      <c r="B5" t="s">
        <v>1359</v>
      </c>
      <c r="C5">
        <v>-1</v>
      </c>
      <c r="E5">
        <v>-1</v>
      </c>
      <c r="G5" t="s">
        <v>286</v>
      </c>
      <c r="H5" t="s">
        <v>286</v>
      </c>
      <c r="I5" t="s">
        <v>270</v>
      </c>
      <c r="J5">
        <v>1815</v>
      </c>
      <c r="W5">
        <v>42</v>
      </c>
      <c r="AA5" s="3" t="str">
        <f t="shared" si="0"/>
        <v/>
      </c>
      <c r="AF5">
        <v>7.5</v>
      </c>
      <c r="AG5">
        <v>6</v>
      </c>
      <c r="AJ5" s="10">
        <v>0</v>
      </c>
      <c r="AK5" t="str">
        <f>CONCATENATE(VLOOKUP(AL5, 'Voxel Sizes'!$A$2:$B$18,2,FALSE),"x",INT(AH5*15), "x", INT(AI5*15))</f>
        <v>60x0x0</v>
      </c>
      <c r="AL5">
        <f t="shared" si="1"/>
        <v>4</v>
      </c>
      <c r="AN5" t="str">
        <f>CONCATENATE(VLOOKUP(AL5,Constants!$A$2:$C$16,IF(AM5&lt;&gt;"", 3, 2), FALSE),IF(AM5&lt;&gt;"",CONCATENATE(",",VLOOKUP(AM5,$B:$AN,39,FALSE)),""))</f>
        <v>1,2,1</v>
      </c>
      <c r="AX5">
        <v>30</v>
      </c>
      <c r="AY5" s="15" t="str">
        <f t="shared" si="2"/>
        <v/>
      </c>
      <c r="BB5">
        <f t="shared" si="3"/>
        <v>0</v>
      </c>
      <c r="BC5">
        <f t="shared" si="4"/>
        <v>0</v>
      </c>
      <c r="BD5">
        <f t="shared" si="5"/>
        <v>0</v>
      </c>
      <c r="BE5" s="3">
        <f t="shared" si="6"/>
        <v>1</v>
      </c>
      <c r="BF5">
        <f t="shared" si="7"/>
        <v>0</v>
      </c>
      <c r="BG5">
        <f>VLOOKUP($H5,Constants!$I:$K, 2, FALSE)</f>
        <v>0</v>
      </c>
      <c r="BH5">
        <f>VLOOKUP($H5,Constants!$I:$K, 3, FALSE)*IF(AND(G5="multiple_unit",AB5&lt;110),0.75,1)</f>
        <v>0</v>
      </c>
      <c r="BI5">
        <f>INT(POWER(((Constants!$G$2+$BB5+$BC5+$BD5+$BF5)*$BE5)*$BH5, 1.05))+$BA5</f>
        <v>0</v>
      </c>
      <c r="BJ5">
        <f>INT(POWER((((Constants!$G$1+$BB5+$BC5+$BD5+$BF5)*($BE5))*$BG5),IF($G5="wagon",1,1.2)))+$AZ5</f>
        <v>0</v>
      </c>
      <c r="BK5" s="14">
        <f t="shared" si="8"/>
        <v>0</v>
      </c>
      <c r="BL5" s="14">
        <f t="shared" si="9"/>
        <v>0</v>
      </c>
      <c r="BZ5" t="str">
        <f>VLOOKUP(J5,Eras!$A$2:$C$10, 2, TRUE)</f>
        <v>early</v>
      </c>
      <c r="CB5" t="str">
        <f t="shared" si="10"/>
        <v>early_</v>
      </c>
      <c r="CC5" t="str">
        <f t="shared" si="11"/>
        <v>tender_RAIL</v>
      </c>
      <c r="CD5" s="17" t="str" cm="1">
        <f t="array" ref="CD5">_xlfn.CONCAT("{BLACK}Length: {GOLD}", TEXT(ROUNDUP(IF(AQ5&lt;&gt;"",SUM(VALUE(_xlfn.TEXTSPLIT(AQ5, ","))), SUM(VALUE(_xlfn.TEXTSPLIT(AN5, ",")))*IF(M5, M5, 1))/16, 1), "#,##0.0"), " tiles{}")</f>
        <v>{BLACK}Length: {GOLD}0.3 tiles{}</v>
      </c>
      <c r="CE5" t="str">
        <f>VLOOKUP($CC5, Constants!$M:$N, 2, FALSE)</f>
        <v/>
      </c>
      <c r="CF5" t="str">
        <f t="shared" si="12"/>
        <v/>
      </c>
      <c r="CH5" t="str">
        <f t="shared" si="13"/>
        <v/>
      </c>
      <c r="CI5" t="str">
        <f t="shared" si="14"/>
        <v/>
      </c>
      <c r="CJ5" t="str">
        <f t="shared" si="15"/>
        <v>{BLACK}Length: {GOLD}0.3 tiles{}{SILVER}</v>
      </c>
    </row>
    <row r="6" spans="1:89" x14ac:dyDescent="0.35">
      <c r="A6" t="s">
        <v>1352</v>
      </c>
      <c r="B6" t="s">
        <v>1353</v>
      </c>
      <c r="C6">
        <v>-1</v>
      </c>
      <c r="E6">
        <v>-1</v>
      </c>
      <c r="G6" t="s">
        <v>286</v>
      </c>
      <c r="H6" t="s">
        <v>286</v>
      </c>
      <c r="I6" t="s">
        <v>270</v>
      </c>
      <c r="J6">
        <v>1815</v>
      </c>
      <c r="W6">
        <v>42</v>
      </c>
      <c r="AA6" s="3" t="str">
        <f t="shared" si="0"/>
        <v/>
      </c>
      <c r="AF6">
        <v>7.5</v>
      </c>
      <c r="AG6">
        <v>6</v>
      </c>
      <c r="AJ6" s="10">
        <v>0</v>
      </c>
      <c r="AK6" t="str">
        <f>CONCATENATE(VLOOKUP(AL6, 'Voxel Sizes'!$A$2:$B$18,2,FALSE),"x",INT(AH6*15), "x", INT(AI6*15))</f>
        <v>60x0x0</v>
      </c>
      <c r="AL6">
        <f t="shared" si="1"/>
        <v>4</v>
      </c>
      <c r="AN6" t="str">
        <f>CONCATENATE(VLOOKUP(AL6,Constants!$A$2:$C$16,IF(AM6&lt;&gt;"", 3, 2), FALSE),IF(AM6&lt;&gt;"",CONCATENATE(",",VLOOKUP(AM6,$B:$AN,39,FALSE)),""))</f>
        <v>1,2,1</v>
      </c>
      <c r="AX6">
        <v>30</v>
      </c>
      <c r="AY6" s="15" t="str">
        <f t="shared" si="2"/>
        <v/>
      </c>
      <c r="BB6">
        <f t="shared" si="3"/>
        <v>0</v>
      </c>
      <c r="BC6">
        <f t="shared" si="4"/>
        <v>0</v>
      </c>
      <c r="BD6">
        <f t="shared" si="5"/>
        <v>0</v>
      </c>
      <c r="BE6" s="3">
        <f t="shared" si="6"/>
        <v>1</v>
      </c>
      <c r="BF6">
        <f t="shared" si="7"/>
        <v>0</v>
      </c>
      <c r="BG6">
        <f>VLOOKUP($H6,Constants!$I:$K, 2, FALSE)</f>
        <v>0</v>
      </c>
      <c r="BH6">
        <f>VLOOKUP($H6,Constants!$I:$K, 3, FALSE)*IF(AND(G6="multiple_unit",AB6&lt;110),0.75,1)</f>
        <v>0</v>
      </c>
      <c r="BI6">
        <f>INT(POWER(((Constants!$G$2+$BB6+$BC6+$BD6+$BF6)*$BE6)*$BH6, 1.05))+$BA6</f>
        <v>0</v>
      </c>
      <c r="BJ6">
        <f>INT(POWER((((Constants!$G$1+$BB6+$BC6+$BD6+$BF6)*($BE6))*$BG6),IF($G6="wagon",1,1.2)))+$AZ6</f>
        <v>0</v>
      </c>
      <c r="BK6" s="14">
        <f t="shared" si="8"/>
        <v>0</v>
      </c>
      <c r="BL6" s="14">
        <f t="shared" si="9"/>
        <v>0</v>
      </c>
      <c r="BZ6" t="str">
        <f>VLOOKUP(J6,Eras!$A$2:$C$10, 2, TRUE)</f>
        <v>early</v>
      </c>
      <c r="CB6" t="str">
        <f t="shared" si="10"/>
        <v>early_</v>
      </c>
      <c r="CC6" t="str">
        <f t="shared" si="11"/>
        <v>tender_RAIL</v>
      </c>
      <c r="CD6" s="17" t="str" cm="1">
        <f t="array" ref="CD6">_xlfn.CONCAT("{BLACK}Length: {GOLD}", TEXT(ROUNDUP(IF(AQ6&lt;&gt;"",SUM(VALUE(_xlfn.TEXTSPLIT(AQ6, ","))), SUM(VALUE(_xlfn.TEXTSPLIT(AN6, ",")))*IF(M6, M6, 1))/16, 1), "#,##0.0"), " tiles{}")</f>
        <v>{BLACK}Length: {GOLD}0.3 tiles{}</v>
      </c>
      <c r="CE6" t="str">
        <f>VLOOKUP($CC6, Constants!$M:$N, 2, FALSE)</f>
        <v/>
      </c>
      <c r="CF6" t="str">
        <f t="shared" si="12"/>
        <v/>
      </c>
      <c r="CH6" t="str">
        <f t="shared" si="13"/>
        <v/>
      </c>
      <c r="CI6" t="str">
        <f t="shared" si="14"/>
        <v/>
      </c>
      <c r="CJ6" t="str">
        <f t="shared" si="15"/>
        <v>{BLACK}Length: {GOLD}0.3 tiles{}{SILVER}</v>
      </c>
    </row>
    <row r="7" spans="1:89" x14ac:dyDescent="0.35">
      <c r="A7" t="s">
        <v>1336</v>
      </c>
      <c r="B7" t="s">
        <v>1337</v>
      </c>
      <c r="C7">
        <v>-1</v>
      </c>
      <c r="E7">
        <v>-1</v>
      </c>
      <c r="G7" t="s">
        <v>286</v>
      </c>
      <c r="H7" t="s">
        <v>286</v>
      </c>
      <c r="I7" t="s">
        <v>270</v>
      </c>
      <c r="J7">
        <v>1830</v>
      </c>
      <c r="W7">
        <v>42</v>
      </c>
      <c r="AA7" s="3" t="str">
        <f t="shared" si="0"/>
        <v/>
      </c>
      <c r="AF7">
        <v>7.5</v>
      </c>
      <c r="AG7">
        <v>6</v>
      </c>
      <c r="AJ7" s="10">
        <v>0</v>
      </c>
      <c r="AK7" t="str">
        <f>CONCATENATE(VLOOKUP(AL7, 'Voxel Sizes'!$A$2:$B$18,2,FALSE),"x",INT(AH7*15), "x", INT(AI7*15))</f>
        <v>60x0x0</v>
      </c>
      <c r="AL7">
        <f t="shared" si="1"/>
        <v>4</v>
      </c>
      <c r="AN7" t="str">
        <f>CONCATENATE(VLOOKUP(AL7,Constants!$A$2:$C$16,IF(AM7&lt;&gt;"", 3, 2), FALSE),IF(AM7&lt;&gt;"",CONCATENATE(",",VLOOKUP(AM7,$B:$AN,39,FALSE)),""))</f>
        <v>1,2,1</v>
      </c>
      <c r="AX7">
        <v>30</v>
      </c>
      <c r="AY7" s="15" t="str">
        <f t="shared" si="2"/>
        <v/>
      </c>
      <c r="BB7">
        <f t="shared" si="3"/>
        <v>0</v>
      </c>
      <c r="BC7">
        <f t="shared" si="4"/>
        <v>0</v>
      </c>
      <c r="BD7">
        <f t="shared" si="5"/>
        <v>0</v>
      </c>
      <c r="BE7" s="3">
        <f t="shared" si="6"/>
        <v>1</v>
      </c>
      <c r="BF7">
        <f t="shared" si="7"/>
        <v>0</v>
      </c>
      <c r="BG7">
        <f>VLOOKUP($H7,Constants!$I:$K, 2, FALSE)</f>
        <v>0</v>
      </c>
      <c r="BH7">
        <f>VLOOKUP($H7,Constants!$I:$K, 3, FALSE)*IF(AND(G7="multiple_unit",AB7&lt;110),0.75,1)</f>
        <v>0</v>
      </c>
      <c r="BI7">
        <f>INT(POWER(((Constants!$G$2+$BB7+$BC7+$BD7+$BF7)*$BE7)*$BH7, 1.05))+$BA7</f>
        <v>0</v>
      </c>
      <c r="BJ7">
        <f>INT(POWER((((Constants!$G$1+$BB7+$BC7+$BD7+$BF7)*($BE7))*$BG7),IF($G7="wagon",1,1.2)))+$AZ7</f>
        <v>0</v>
      </c>
      <c r="BK7" s="14">
        <f t="shared" si="8"/>
        <v>0</v>
      </c>
      <c r="BL7" s="14">
        <f t="shared" si="9"/>
        <v>0</v>
      </c>
      <c r="BZ7" t="str">
        <f>VLOOKUP(J7,Eras!$A$2:$C$10, 2, TRUE)</f>
        <v>early</v>
      </c>
      <c r="CB7" t="str">
        <f t="shared" si="10"/>
        <v>early_</v>
      </c>
      <c r="CC7" t="str">
        <f t="shared" si="11"/>
        <v>tender_RAIL</v>
      </c>
      <c r="CD7" s="17" t="str" cm="1">
        <f t="array" ref="CD7">_xlfn.CONCAT("{BLACK}Length: {GOLD}", TEXT(ROUNDUP(IF(AQ7&lt;&gt;"",SUM(VALUE(_xlfn.TEXTSPLIT(AQ7, ","))), SUM(VALUE(_xlfn.TEXTSPLIT(AN7, ",")))*IF(M7, M7, 1))/16, 1), "#,##0.0"), " tiles{}")</f>
        <v>{BLACK}Length: {GOLD}0.3 tiles{}</v>
      </c>
      <c r="CE7" t="str">
        <f>VLOOKUP($CC7, Constants!$M:$N, 2, FALSE)</f>
        <v/>
      </c>
      <c r="CF7" t="str">
        <f t="shared" si="12"/>
        <v/>
      </c>
      <c r="CH7" t="str">
        <f t="shared" si="13"/>
        <v/>
      </c>
      <c r="CI7" t="str">
        <f t="shared" si="14"/>
        <v/>
      </c>
      <c r="CJ7" t="str">
        <f t="shared" si="15"/>
        <v>{BLACK}Length: {GOLD}0.3 tiles{}{SILVER}</v>
      </c>
    </row>
    <row r="8" spans="1:89" x14ac:dyDescent="0.35">
      <c r="A8" t="s">
        <v>1334</v>
      </c>
      <c r="B8" t="s">
        <v>1335</v>
      </c>
      <c r="C8">
        <v>-1</v>
      </c>
      <c r="E8">
        <v>-1</v>
      </c>
      <c r="G8" t="s">
        <v>286</v>
      </c>
      <c r="H8" t="s">
        <v>286</v>
      </c>
      <c r="I8" t="s">
        <v>270</v>
      </c>
      <c r="J8">
        <v>1830</v>
      </c>
      <c r="W8">
        <v>42</v>
      </c>
      <c r="AA8" s="3" t="str">
        <f t="shared" si="0"/>
        <v/>
      </c>
      <c r="AF8">
        <v>7.5</v>
      </c>
      <c r="AG8">
        <v>6</v>
      </c>
      <c r="AJ8" s="10">
        <v>0</v>
      </c>
      <c r="AK8" t="str">
        <f>CONCATENATE(VLOOKUP(AL8, 'Voxel Sizes'!$A$2:$B$18,2,FALSE),"x",INT(AH8*15), "x", INT(AI8*15))</f>
        <v>60x0x0</v>
      </c>
      <c r="AL8">
        <f t="shared" si="1"/>
        <v>4</v>
      </c>
      <c r="AN8" t="str">
        <f>CONCATENATE(VLOOKUP(AL8,Constants!$A$2:$C$16,IF(AM8&lt;&gt;"", 3, 2), FALSE),IF(AM8&lt;&gt;"",CONCATENATE(",",VLOOKUP(AM8,$B:$AN,39,FALSE)),""))</f>
        <v>1,2,1</v>
      </c>
      <c r="AX8">
        <v>30</v>
      </c>
      <c r="AY8" s="15" t="str">
        <f t="shared" si="2"/>
        <v/>
      </c>
      <c r="BB8">
        <f t="shared" si="3"/>
        <v>0</v>
      </c>
      <c r="BC8">
        <f t="shared" si="4"/>
        <v>0</v>
      </c>
      <c r="BD8">
        <f t="shared" si="5"/>
        <v>0</v>
      </c>
      <c r="BE8" s="3">
        <f t="shared" si="6"/>
        <v>1</v>
      </c>
      <c r="BF8">
        <f t="shared" si="7"/>
        <v>0</v>
      </c>
      <c r="BG8">
        <f>VLOOKUP($H8,Constants!$I:$K, 2, FALSE)</f>
        <v>0</v>
      </c>
      <c r="BH8">
        <f>VLOOKUP($H8,Constants!$I:$K, 3, FALSE)*IF(AND(G8="multiple_unit",AB8&lt;110),0.75,1)</f>
        <v>0</v>
      </c>
      <c r="BI8">
        <f>INT(POWER(((Constants!$G$2+$BB8+$BC8+$BD8+$BF8)*$BE8)*$BH8, 1.05))+$BA8</f>
        <v>0</v>
      </c>
      <c r="BJ8">
        <f>INT(POWER((((Constants!$G$1+$BB8+$BC8+$BD8+$BF8)*($BE8))*$BG8),IF($G8="wagon",1,1.2)))+$AZ8</f>
        <v>0</v>
      </c>
      <c r="BK8" s="14">
        <f t="shared" si="8"/>
        <v>0</v>
      </c>
      <c r="BL8" s="14">
        <f t="shared" si="9"/>
        <v>0</v>
      </c>
      <c r="BZ8" t="str">
        <f>VLOOKUP(J8,Eras!$A$2:$C$10, 2, TRUE)</f>
        <v>early</v>
      </c>
      <c r="CB8" t="str">
        <f t="shared" si="10"/>
        <v>early_</v>
      </c>
      <c r="CC8" t="str">
        <f t="shared" si="11"/>
        <v>tender_RAIL</v>
      </c>
      <c r="CD8" s="17" t="str" cm="1">
        <f t="array" ref="CD8">_xlfn.CONCAT("{BLACK}Length: {GOLD}", TEXT(ROUNDUP(IF(AQ8&lt;&gt;"",SUM(VALUE(_xlfn.TEXTSPLIT(AQ8, ","))), SUM(VALUE(_xlfn.TEXTSPLIT(AN8, ",")))*IF(M8, M8, 1))/16, 1), "#,##0.0"), " tiles{}")</f>
        <v>{BLACK}Length: {GOLD}0.3 tiles{}</v>
      </c>
      <c r="CE8" t="str">
        <f>VLOOKUP($CC8, Constants!$M:$N, 2, FALSE)</f>
        <v/>
      </c>
      <c r="CF8" t="str">
        <f t="shared" si="12"/>
        <v/>
      </c>
      <c r="CH8" t="str">
        <f t="shared" si="13"/>
        <v/>
      </c>
      <c r="CI8" t="str">
        <f t="shared" si="14"/>
        <v/>
      </c>
      <c r="CJ8" t="str">
        <f t="shared" si="15"/>
        <v>{BLACK}Length: {GOLD}0.3 tiles{}{SILVER}</v>
      </c>
    </row>
    <row r="9" spans="1:89" x14ac:dyDescent="0.35">
      <c r="A9" t="s">
        <v>1331</v>
      </c>
      <c r="B9" t="s">
        <v>1332</v>
      </c>
      <c r="C9">
        <v>-1</v>
      </c>
      <c r="E9">
        <v>-1</v>
      </c>
      <c r="G9" t="s">
        <v>286</v>
      </c>
      <c r="H9" t="s">
        <v>286</v>
      </c>
      <c r="I9" t="s">
        <v>270</v>
      </c>
      <c r="J9">
        <v>1850</v>
      </c>
      <c r="W9">
        <v>42</v>
      </c>
      <c r="AA9" s="3" t="str">
        <f t="shared" si="0"/>
        <v/>
      </c>
      <c r="AF9">
        <v>7.5</v>
      </c>
      <c r="AG9">
        <v>6</v>
      </c>
      <c r="AJ9" s="10">
        <v>0</v>
      </c>
      <c r="AK9" t="str">
        <f>CONCATENATE(VLOOKUP(AL9, 'Voxel Sizes'!$A$2:$B$18,2,FALSE),"x",INT(AH9*15), "x", INT(AI9*15))</f>
        <v>60x0x0</v>
      </c>
      <c r="AL9">
        <f t="shared" si="1"/>
        <v>4</v>
      </c>
      <c r="AN9" t="str">
        <f>CONCATENATE(VLOOKUP(AL9,Constants!$A$2:$C$16,IF(AM9&lt;&gt;"", 3, 2), FALSE),IF(AM9&lt;&gt;"",CONCATENATE(",",VLOOKUP(AM9,$B:$AN,39,FALSE)),""))</f>
        <v>1,2,1</v>
      </c>
      <c r="AX9">
        <v>30</v>
      </c>
      <c r="AY9" s="15" t="str">
        <f t="shared" si="2"/>
        <v/>
      </c>
      <c r="BB9">
        <f t="shared" si="3"/>
        <v>0</v>
      </c>
      <c r="BC9">
        <f t="shared" si="4"/>
        <v>0</v>
      </c>
      <c r="BD9">
        <f t="shared" si="5"/>
        <v>0</v>
      </c>
      <c r="BE9" s="3">
        <f t="shared" si="6"/>
        <v>1</v>
      </c>
      <c r="BF9">
        <f t="shared" si="7"/>
        <v>0</v>
      </c>
      <c r="BG9">
        <f>VLOOKUP($H9,Constants!$I:$K, 2, FALSE)</f>
        <v>0</v>
      </c>
      <c r="BH9">
        <f>VLOOKUP($H9,Constants!$I:$K, 3, FALSE)*IF(AND(G9="multiple_unit",AB9&lt;110),0.75,1)</f>
        <v>0</v>
      </c>
      <c r="BI9">
        <f>INT(POWER(((Constants!$G$2+$BB9+$BC9+$BD9+$BF9)*$BE9)*$BH9, 1.05))+$BA9</f>
        <v>0</v>
      </c>
      <c r="BJ9">
        <f>INT(POWER((((Constants!$G$1+$BB9+$BC9+$BD9+$BF9)*($BE9))*$BG9),IF($G9="wagon",1,1.2)))+$AZ9</f>
        <v>0</v>
      </c>
      <c r="BK9" s="14">
        <f t="shared" si="8"/>
        <v>0</v>
      </c>
      <c r="BL9" s="14">
        <f t="shared" si="9"/>
        <v>0</v>
      </c>
      <c r="BZ9" t="str">
        <f>VLOOKUP(J9,Eras!$A$2:$C$10, 2, TRUE)</f>
        <v>vct</v>
      </c>
      <c r="CB9" t="str">
        <f t="shared" si="10"/>
        <v>vct_</v>
      </c>
      <c r="CC9" t="str">
        <f t="shared" si="11"/>
        <v>tender_RAIL</v>
      </c>
      <c r="CD9" s="17" t="str" cm="1">
        <f t="array" ref="CD9">_xlfn.CONCAT("{BLACK}Length: {GOLD}", TEXT(ROUNDUP(IF(AQ9&lt;&gt;"",SUM(VALUE(_xlfn.TEXTSPLIT(AQ9, ","))), SUM(VALUE(_xlfn.TEXTSPLIT(AN9, ",")))*IF(M9, M9, 1))/16, 1), "#,##0.0"), " tiles{}")</f>
        <v>{BLACK}Length: {GOLD}0.3 tiles{}</v>
      </c>
      <c r="CE9" t="str">
        <f>VLOOKUP($CC9, Constants!$M:$N, 2, FALSE)</f>
        <v/>
      </c>
      <c r="CF9" t="str">
        <f t="shared" si="12"/>
        <v/>
      </c>
      <c r="CH9" t="str">
        <f t="shared" si="13"/>
        <v/>
      </c>
      <c r="CI9" t="str">
        <f t="shared" si="14"/>
        <v/>
      </c>
      <c r="CJ9" t="str">
        <f t="shared" si="15"/>
        <v>{BLACK}Length: {GOLD}0.3 tiles{}{SILVER}</v>
      </c>
    </row>
    <row r="10" spans="1:89" x14ac:dyDescent="0.35">
      <c r="A10" t="s">
        <v>1467</v>
      </c>
      <c r="B10" t="s">
        <v>1466</v>
      </c>
      <c r="C10">
        <v>-1</v>
      </c>
      <c r="E10">
        <v>-1</v>
      </c>
      <c r="G10" t="s">
        <v>286</v>
      </c>
      <c r="H10" t="s">
        <v>286</v>
      </c>
      <c r="I10" t="s">
        <v>270</v>
      </c>
      <c r="J10">
        <v>1850</v>
      </c>
      <c r="W10">
        <v>42</v>
      </c>
      <c r="AA10" s="3" t="str">
        <f t="shared" si="0"/>
        <v/>
      </c>
      <c r="AF10">
        <v>7.5</v>
      </c>
      <c r="AG10">
        <v>6</v>
      </c>
      <c r="AJ10" s="10">
        <v>0</v>
      </c>
      <c r="AK10" t="str">
        <f>CONCATENATE(VLOOKUP(AL10, 'Voxel Sizes'!$A$2:$B$18,2,FALSE),"x",INT(AH10*15), "x", INT(AI10*15))</f>
        <v>60x0x0</v>
      </c>
      <c r="AL10">
        <f t="shared" si="1"/>
        <v>4</v>
      </c>
      <c r="AN10" t="str">
        <f>CONCATENATE(VLOOKUP(AL10,Constants!$A$2:$C$16,IF(AM10&lt;&gt;"", 3, 2), FALSE),IF(AM10&lt;&gt;"",CONCATENATE(",",VLOOKUP(AM10,$B:$AN,39,FALSE)),""))</f>
        <v>1,2,1</v>
      </c>
      <c r="AX10">
        <v>30</v>
      </c>
      <c r="AY10" s="15" t="str">
        <f t="shared" si="2"/>
        <v/>
      </c>
      <c r="BB10">
        <f t="shared" si="3"/>
        <v>0</v>
      </c>
      <c r="BC10">
        <f t="shared" si="4"/>
        <v>0</v>
      </c>
      <c r="BD10">
        <f t="shared" si="5"/>
        <v>0</v>
      </c>
      <c r="BE10" s="3">
        <f t="shared" si="6"/>
        <v>1</v>
      </c>
      <c r="BF10">
        <f t="shared" si="7"/>
        <v>0</v>
      </c>
      <c r="BG10">
        <f>VLOOKUP($H10,Constants!$I:$K, 2, FALSE)</f>
        <v>0</v>
      </c>
      <c r="BH10">
        <f>VLOOKUP($H10,Constants!$I:$K, 3, FALSE)*IF(AND(G10="multiple_unit",AB10&lt;110),0.75,1)</f>
        <v>0</v>
      </c>
      <c r="BI10">
        <f>INT(POWER(((Constants!$G$2+$BB10+$BC10+$BD10+$BF10)*$BE10)*$BH10, 1.05))+$BA10</f>
        <v>0</v>
      </c>
      <c r="BJ10">
        <f>INT(POWER((((Constants!$G$1+$BB10+$BC10+$BD10+$BF10)*($BE10))*$BG10),IF($G10="wagon",1,1.2)))+$AZ10</f>
        <v>0</v>
      </c>
      <c r="BK10" s="14">
        <f t="shared" si="8"/>
        <v>0</v>
      </c>
      <c r="BL10" s="14">
        <f t="shared" si="9"/>
        <v>0</v>
      </c>
      <c r="BZ10" t="str">
        <f>VLOOKUP(J10,Eras!$A$2:$C$10, 2, TRUE)</f>
        <v>vct</v>
      </c>
      <c r="CB10" t="str">
        <f t="shared" si="10"/>
        <v>vct_</v>
      </c>
      <c r="CC10" t="str">
        <f t="shared" si="11"/>
        <v>tender_RAIL</v>
      </c>
      <c r="CD10" s="17" t="str" cm="1">
        <f t="array" ref="CD10">_xlfn.CONCAT("{BLACK}Length: {GOLD}", TEXT(ROUNDUP(IF(AQ10&lt;&gt;"",SUM(VALUE(_xlfn.TEXTSPLIT(AQ10, ","))), SUM(VALUE(_xlfn.TEXTSPLIT(AN10, ",")))*IF(M10, M10, 1))/16, 1), "#,##0.0"), " tiles{}")</f>
        <v>{BLACK}Length: {GOLD}0.3 tiles{}</v>
      </c>
      <c r="CE10" t="str">
        <f>VLOOKUP($CC10, Constants!$M:$N, 2, FALSE)</f>
        <v/>
      </c>
      <c r="CF10" t="str">
        <f t="shared" si="12"/>
        <v/>
      </c>
      <c r="CH10" t="str">
        <f t="shared" si="13"/>
        <v/>
      </c>
      <c r="CI10" t="str">
        <f t="shared" si="14"/>
        <v/>
      </c>
      <c r="CJ10" t="str">
        <f t="shared" si="15"/>
        <v>{BLACK}Length: {GOLD}0.3 tiles{}{SILVER}</v>
      </c>
    </row>
    <row r="11" spans="1:89" x14ac:dyDescent="0.35">
      <c r="A11" t="s">
        <v>1310</v>
      </c>
      <c r="B11" t="s">
        <v>1311</v>
      </c>
      <c r="C11">
        <v>-1</v>
      </c>
      <c r="E11">
        <v>-1</v>
      </c>
      <c r="G11" t="s">
        <v>286</v>
      </c>
      <c r="H11" t="s">
        <v>286</v>
      </c>
      <c r="I11" t="s">
        <v>270</v>
      </c>
      <c r="J11">
        <v>1875</v>
      </c>
      <c r="W11">
        <v>42</v>
      </c>
      <c r="AA11" s="3" t="str">
        <f t="shared" si="0"/>
        <v/>
      </c>
      <c r="AF11">
        <v>7.5</v>
      </c>
      <c r="AG11">
        <v>8</v>
      </c>
      <c r="AJ11" s="10">
        <v>0</v>
      </c>
      <c r="AK11" t="str">
        <f>CONCATENATE(VLOOKUP(AL11, 'Voxel Sizes'!$A$2:$B$18,2,FALSE),"x",INT(AH11*15), "x", INT(AI11*15))</f>
        <v>82x0x0</v>
      </c>
      <c r="AL11">
        <f t="shared" si="1"/>
        <v>5</v>
      </c>
      <c r="AN11" t="str">
        <f>CONCATENATE(VLOOKUP(AL11,Constants!$A$2:$C$16,IF(AM11&lt;&gt;"", 3, 2), FALSE),IF(AM11&lt;&gt;"",CONCATENATE(",",VLOOKUP(AM11,$B:$AN,39,FALSE)),""))</f>
        <v>2,1,2</v>
      </c>
      <c r="AX11">
        <v>30</v>
      </c>
      <c r="AY11" s="15" t="str">
        <f t="shared" si="2"/>
        <v/>
      </c>
      <c r="BB11">
        <f t="shared" si="3"/>
        <v>0</v>
      </c>
      <c r="BC11">
        <f t="shared" si="4"/>
        <v>0</v>
      </c>
      <c r="BD11">
        <f t="shared" si="5"/>
        <v>0</v>
      </c>
      <c r="BE11" s="3">
        <f t="shared" si="6"/>
        <v>1</v>
      </c>
      <c r="BF11">
        <f t="shared" si="7"/>
        <v>0</v>
      </c>
      <c r="BG11">
        <f>VLOOKUP($H11,Constants!$I:$K, 2, FALSE)</f>
        <v>0</v>
      </c>
      <c r="BH11">
        <f>VLOOKUP($H11,Constants!$I:$K, 3, FALSE)*IF(AND(G11="multiple_unit",AB11&lt;110),0.75,1)</f>
        <v>0</v>
      </c>
      <c r="BI11">
        <f>INT(POWER(((Constants!$G$2+$BB11+$BC11+$BD11+$BF11)*$BE11)*$BH11, 1.05))+$BA11</f>
        <v>0</v>
      </c>
      <c r="BJ11">
        <f>INT(POWER((((Constants!$G$1+$BB11+$BC11+$BD11+$BF11)*($BE11))*$BG11),IF($G11="wagon",1,1.2)))+$AZ11</f>
        <v>0</v>
      </c>
      <c r="BK11" s="14">
        <f t="shared" si="8"/>
        <v>0</v>
      </c>
      <c r="BL11" s="14">
        <f t="shared" si="9"/>
        <v>0</v>
      </c>
      <c r="BZ11" t="str">
        <f>VLOOKUP(J11,Eras!$A$2:$C$10, 2, TRUE)</f>
        <v>vct</v>
      </c>
      <c r="CB11" t="str">
        <f t="shared" si="10"/>
        <v>vct_</v>
      </c>
      <c r="CC11" t="str">
        <f t="shared" si="11"/>
        <v>tender_RAIL</v>
      </c>
      <c r="CD11" s="17" t="str" cm="1">
        <f t="array" ref="CD11">_xlfn.CONCAT("{BLACK}Length: {GOLD}", TEXT(ROUNDUP(IF(AQ11&lt;&gt;"",SUM(VALUE(_xlfn.TEXTSPLIT(AQ11, ","))), SUM(VALUE(_xlfn.TEXTSPLIT(AN11, ",")))*IF(M11, M11, 1))/16, 1), "#,##0.0"), " tiles{}")</f>
        <v>{BLACK}Length: {GOLD}0.4 tiles{}</v>
      </c>
      <c r="CE11" t="str">
        <f>VLOOKUP($CC11, Constants!$M:$N, 2, FALSE)</f>
        <v/>
      </c>
      <c r="CF11" t="str">
        <f t="shared" si="12"/>
        <v/>
      </c>
      <c r="CH11" t="str">
        <f t="shared" si="13"/>
        <v/>
      </c>
      <c r="CI11" t="str">
        <f t="shared" si="14"/>
        <v/>
      </c>
      <c r="CJ11" t="str">
        <f t="shared" si="15"/>
        <v>{BLACK}Length: {GOLD}0.4 tiles{}{SILVER}</v>
      </c>
    </row>
    <row r="12" spans="1:89" x14ac:dyDescent="0.35">
      <c r="A12" t="s">
        <v>303</v>
      </c>
      <c r="B12" t="s">
        <v>304</v>
      </c>
      <c r="C12">
        <v>-1</v>
      </c>
      <c r="E12">
        <v>-1</v>
      </c>
      <c r="G12" t="s">
        <v>286</v>
      </c>
      <c r="H12" t="s">
        <v>286</v>
      </c>
      <c r="I12" t="s">
        <v>270</v>
      </c>
      <c r="J12">
        <v>1900</v>
      </c>
      <c r="W12">
        <v>42</v>
      </c>
      <c r="AA12" s="3" t="str">
        <f t="shared" si="0"/>
        <v/>
      </c>
      <c r="AF12">
        <v>7.5</v>
      </c>
      <c r="AG12">
        <v>8</v>
      </c>
      <c r="AJ12" s="10">
        <v>0</v>
      </c>
      <c r="AK12" t="str">
        <f>CONCATENATE(VLOOKUP(AL12, 'Voxel Sizes'!$A$2:$B$18,2,FALSE),"x",INT(AH12*15), "x", INT(AI12*15))</f>
        <v>82x0x0</v>
      </c>
      <c r="AL12">
        <f t="shared" si="1"/>
        <v>5</v>
      </c>
      <c r="AN12" t="str">
        <f>CONCATENATE(VLOOKUP(AL12,Constants!$A$2:$C$16,IF(AM12&lt;&gt;"", 3, 2), FALSE),IF(AM12&lt;&gt;"",CONCATENATE(",",VLOOKUP(AM12,$B:$AN,39,FALSE)),""))</f>
        <v>2,1,2</v>
      </c>
      <c r="AX12">
        <v>30</v>
      </c>
      <c r="AY12" s="15" t="str">
        <f t="shared" si="2"/>
        <v/>
      </c>
      <c r="BB12">
        <f t="shared" si="3"/>
        <v>0</v>
      </c>
      <c r="BC12">
        <f t="shared" si="4"/>
        <v>0</v>
      </c>
      <c r="BD12">
        <f t="shared" si="5"/>
        <v>0</v>
      </c>
      <c r="BE12" s="3">
        <f t="shared" si="6"/>
        <v>1</v>
      </c>
      <c r="BF12">
        <f t="shared" si="7"/>
        <v>0</v>
      </c>
      <c r="BG12">
        <f>VLOOKUP($H12,Constants!$I:$K, 2, FALSE)</f>
        <v>0</v>
      </c>
      <c r="BH12">
        <f>VLOOKUP($H12,Constants!$I:$K, 3, FALSE)*IF(AND(G12="multiple_unit",AB12&lt;110),0.75,1)</f>
        <v>0</v>
      </c>
      <c r="BI12">
        <f>INT(POWER(((Constants!$G$2+$BB12+$BC12+$BD12+$BF12)*$BE12)*$BH12, 1.05))+$BA12</f>
        <v>0</v>
      </c>
      <c r="BJ12">
        <f>INT(POWER((((Constants!$G$1+$BB12+$BC12+$BD12+$BF12)*($BE12))*$BG12),IF($G12="wagon",1,1.2)))+$AZ12</f>
        <v>0</v>
      </c>
      <c r="BK12" s="14">
        <f t="shared" si="8"/>
        <v>0</v>
      </c>
      <c r="BL12" s="14">
        <f t="shared" si="9"/>
        <v>0</v>
      </c>
      <c r="BZ12" t="str">
        <f>VLOOKUP(J12,Eras!$A$2:$C$10, 2, TRUE)</f>
        <v>edw</v>
      </c>
      <c r="CB12" t="str">
        <f t="shared" si="10"/>
        <v>edw_</v>
      </c>
      <c r="CC12" t="str">
        <f t="shared" si="11"/>
        <v>tender_RAIL</v>
      </c>
      <c r="CD12" s="17" t="str" cm="1">
        <f t="array" ref="CD12">_xlfn.CONCAT("{BLACK}Length: {GOLD}", TEXT(ROUNDUP(IF(AQ12&lt;&gt;"",SUM(VALUE(_xlfn.TEXTSPLIT(AQ12, ","))), SUM(VALUE(_xlfn.TEXTSPLIT(AN12, ",")))*IF(M12, M12, 1))/16, 1), "#,##0.0"), " tiles{}")</f>
        <v>{BLACK}Length: {GOLD}0.4 tiles{}</v>
      </c>
      <c r="CE12" t="str">
        <f>VLOOKUP($CC12, Constants!$M:$N, 2, FALSE)</f>
        <v/>
      </c>
      <c r="CF12" t="str">
        <f t="shared" si="12"/>
        <v/>
      </c>
      <c r="CH12" t="str">
        <f t="shared" si="13"/>
        <v/>
      </c>
      <c r="CI12" t="str">
        <f t="shared" si="14"/>
        <v/>
      </c>
      <c r="CJ12" t="str">
        <f t="shared" si="15"/>
        <v>{BLACK}Length: {GOLD}0.4 tiles{}{SILVER}</v>
      </c>
    </row>
    <row r="13" spans="1:89" x14ac:dyDescent="0.35">
      <c r="A13" t="s">
        <v>1189</v>
      </c>
      <c r="B13" t="s">
        <v>1190</v>
      </c>
      <c r="C13">
        <v>-1</v>
      </c>
      <c r="E13">
        <v>-1</v>
      </c>
      <c r="G13" t="s">
        <v>286</v>
      </c>
      <c r="H13" t="s">
        <v>286</v>
      </c>
      <c r="I13" t="s">
        <v>270</v>
      </c>
      <c r="J13">
        <v>1900</v>
      </c>
      <c r="W13">
        <v>42</v>
      </c>
      <c r="AA13" s="3" t="str">
        <f t="shared" si="0"/>
        <v/>
      </c>
      <c r="AF13">
        <v>7.5</v>
      </c>
      <c r="AG13">
        <v>8</v>
      </c>
      <c r="AJ13" s="10">
        <v>0</v>
      </c>
      <c r="AK13" t="str">
        <f>CONCATENATE(VLOOKUP(AL13, 'Voxel Sizes'!$A$2:$B$18,2,FALSE),"x",INT(AH13*15), "x", INT(AI13*15))</f>
        <v>82x0x0</v>
      </c>
      <c r="AL13">
        <f t="shared" si="1"/>
        <v>5</v>
      </c>
      <c r="AN13" t="str">
        <f>CONCATENATE(VLOOKUP(AL13,Constants!$A$2:$C$16,IF(AM13&lt;&gt;"", 3, 2), FALSE),IF(AM13&lt;&gt;"",CONCATENATE(",",VLOOKUP(AM13,$B:$AN,39,FALSE)),""))</f>
        <v>2,1,2</v>
      </c>
      <c r="AX13">
        <v>30</v>
      </c>
      <c r="AY13" s="15" t="str">
        <f t="shared" si="2"/>
        <v/>
      </c>
      <c r="BB13">
        <f t="shared" si="3"/>
        <v>0</v>
      </c>
      <c r="BC13">
        <f t="shared" si="4"/>
        <v>0</v>
      </c>
      <c r="BD13">
        <f t="shared" si="5"/>
        <v>0</v>
      </c>
      <c r="BE13" s="3">
        <f t="shared" si="6"/>
        <v>1</v>
      </c>
      <c r="BF13">
        <f t="shared" si="7"/>
        <v>0</v>
      </c>
      <c r="BG13">
        <f>VLOOKUP($H13,Constants!$I:$K, 2, FALSE)</f>
        <v>0</v>
      </c>
      <c r="BH13">
        <f>VLOOKUP($H13,Constants!$I:$K, 3, FALSE)*IF(AND(G13="multiple_unit",AB13&lt;110),0.75,1)</f>
        <v>0</v>
      </c>
      <c r="BI13">
        <f>INT(POWER(((Constants!$G$2+$BB13+$BC13+$BD13+$BF13)*$BE13)*$BH13, 1.05))+$BA13</f>
        <v>0</v>
      </c>
      <c r="BJ13">
        <f>INT(POWER((((Constants!$G$1+$BB13+$BC13+$BD13+$BF13)*($BE13))*$BG13),IF($G13="wagon",1,1.2)))+$AZ13</f>
        <v>0</v>
      </c>
      <c r="BK13" s="14">
        <f t="shared" si="8"/>
        <v>0</v>
      </c>
      <c r="BL13" s="14">
        <f t="shared" si="9"/>
        <v>0</v>
      </c>
      <c r="BZ13" t="str">
        <f>VLOOKUP(J13,Eras!$A$2:$C$10, 2, TRUE)</f>
        <v>edw</v>
      </c>
      <c r="CB13" t="str">
        <f t="shared" si="10"/>
        <v>edw_</v>
      </c>
      <c r="CC13" t="str">
        <f t="shared" si="11"/>
        <v>tender_RAIL</v>
      </c>
      <c r="CD13" s="17" t="str" cm="1">
        <f t="array" ref="CD13">_xlfn.CONCAT("{BLACK}Length: {GOLD}", TEXT(ROUNDUP(IF(AQ13&lt;&gt;"",SUM(VALUE(_xlfn.TEXTSPLIT(AQ13, ","))), SUM(VALUE(_xlfn.TEXTSPLIT(AN13, ",")))*IF(M13, M13, 1))/16, 1), "#,##0.0"), " tiles{}")</f>
        <v>{BLACK}Length: {GOLD}0.4 tiles{}</v>
      </c>
      <c r="CE13" t="str">
        <f>VLOOKUP($CC13, Constants!$M:$N, 2, FALSE)</f>
        <v/>
      </c>
      <c r="CF13" t="str">
        <f t="shared" si="12"/>
        <v/>
      </c>
      <c r="CH13" t="str">
        <f t="shared" si="13"/>
        <v/>
      </c>
      <c r="CI13" t="str">
        <f t="shared" si="14"/>
        <v/>
      </c>
      <c r="CJ13" t="str">
        <f t="shared" si="15"/>
        <v>{BLACK}Length: {GOLD}0.4 tiles{}{SILVER}</v>
      </c>
    </row>
    <row r="14" spans="1:89" x14ac:dyDescent="0.35">
      <c r="A14" t="s">
        <v>1180</v>
      </c>
      <c r="B14" t="s">
        <v>1179</v>
      </c>
      <c r="C14">
        <v>-1</v>
      </c>
      <c r="E14">
        <v>-1</v>
      </c>
      <c r="G14" t="s">
        <v>286</v>
      </c>
      <c r="H14" t="s">
        <v>286</v>
      </c>
      <c r="I14" t="s">
        <v>270</v>
      </c>
      <c r="J14">
        <v>1900</v>
      </c>
      <c r="W14">
        <v>42</v>
      </c>
      <c r="AA14" s="3" t="str">
        <f t="shared" si="0"/>
        <v/>
      </c>
      <c r="AF14">
        <v>7.5</v>
      </c>
      <c r="AG14">
        <v>8</v>
      </c>
      <c r="AJ14" s="10">
        <v>0</v>
      </c>
      <c r="AK14" t="str">
        <f>CONCATENATE(VLOOKUP(AL14, 'Voxel Sizes'!$A$2:$B$18,2,FALSE),"x",INT(AH14*15), "x", INT(AI14*15))</f>
        <v>82x0x0</v>
      </c>
      <c r="AL14">
        <f t="shared" si="1"/>
        <v>5</v>
      </c>
      <c r="AN14" t="str">
        <f>CONCATENATE(VLOOKUP(AL14,Constants!$A$2:$C$16,IF(AM14&lt;&gt;"", 3, 2), FALSE),IF(AM14&lt;&gt;"",CONCATENATE(",",VLOOKUP(AM14,$B:$AN,39,FALSE)),""))</f>
        <v>2,1,2</v>
      </c>
      <c r="AX14">
        <v>30</v>
      </c>
      <c r="AY14" s="15" t="str">
        <f t="shared" si="2"/>
        <v/>
      </c>
      <c r="BB14">
        <f t="shared" si="3"/>
        <v>0</v>
      </c>
      <c r="BC14">
        <f t="shared" si="4"/>
        <v>0</v>
      </c>
      <c r="BD14">
        <f t="shared" si="5"/>
        <v>0</v>
      </c>
      <c r="BE14" s="3">
        <f t="shared" si="6"/>
        <v>1</v>
      </c>
      <c r="BF14">
        <f t="shared" si="7"/>
        <v>0</v>
      </c>
      <c r="BG14">
        <f>VLOOKUP($H14,Constants!$I:$K, 2, FALSE)</f>
        <v>0</v>
      </c>
      <c r="BH14">
        <f>VLOOKUP($H14,Constants!$I:$K, 3, FALSE)*IF(AND(G14="multiple_unit",AB14&lt;110),0.75,1)</f>
        <v>0</v>
      </c>
      <c r="BI14">
        <f>INT(POWER(((Constants!$G$2+$BB14+$BC14+$BD14+$BF14)*$BE14)*$BH14, 1.05))+$BA14</f>
        <v>0</v>
      </c>
      <c r="BJ14">
        <f>INT(POWER((((Constants!$G$1+$BB14+$BC14+$BD14+$BF14)*($BE14))*$BG14),IF($G14="wagon",1,1.2)))+$AZ14</f>
        <v>0</v>
      </c>
      <c r="BK14" s="14">
        <f t="shared" si="8"/>
        <v>0</v>
      </c>
      <c r="BL14" s="14">
        <f t="shared" si="9"/>
        <v>0</v>
      </c>
      <c r="BZ14" t="str">
        <f>VLOOKUP(J14,Eras!$A$2:$C$10, 2, TRUE)</f>
        <v>edw</v>
      </c>
      <c r="CB14" t="str">
        <f t="shared" si="10"/>
        <v>edw_</v>
      </c>
      <c r="CC14" t="str">
        <f t="shared" si="11"/>
        <v>tender_RAIL</v>
      </c>
      <c r="CD14" s="17" t="str" cm="1">
        <f t="array" ref="CD14">_xlfn.CONCAT("{BLACK}Length: {GOLD}", TEXT(ROUNDUP(IF(AQ14&lt;&gt;"",SUM(VALUE(_xlfn.TEXTSPLIT(AQ14, ","))), SUM(VALUE(_xlfn.TEXTSPLIT(AN14, ",")))*IF(M14, M14, 1))/16, 1), "#,##0.0"), " tiles{}")</f>
        <v>{BLACK}Length: {GOLD}0.4 tiles{}</v>
      </c>
      <c r="CE14" t="str">
        <f>VLOOKUP($CC14, Constants!$M:$N, 2, FALSE)</f>
        <v/>
      </c>
      <c r="CF14" t="str">
        <f t="shared" si="12"/>
        <v/>
      </c>
      <c r="CH14" t="str">
        <f t="shared" si="13"/>
        <v/>
      </c>
      <c r="CI14" t="str">
        <f t="shared" si="14"/>
        <v/>
      </c>
      <c r="CJ14" t="str">
        <f t="shared" si="15"/>
        <v>{BLACK}Length: {GOLD}0.4 tiles{}{SILVER}</v>
      </c>
    </row>
    <row r="15" spans="1:89" x14ac:dyDescent="0.35">
      <c r="A15" t="s">
        <v>383</v>
      </c>
      <c r="B15" t="s">
        <v>384</v>
      </c>
      <c r="C15">
        <v>-1</v>
      </c>
      <c r="E15">
        <v>-1</v>
      </c>
      <c r="G15" t="s">
        <v>286</v>
      </c>
      <c r="H15" t="s">
        <v>286</v>
      </c>
      <c r="I15" t="s">
        <v>270</v>
      </c>
      <c r="J15">
        <v>1900</v>
      </c>
      <c r="W15">
        <v>42</v>
      </c>
      <c r="AA15" s="3" t="str">
        <f t="shared" si="0"/>
        <v/>
      </c>
      <c r="AF15">
        <v>7.5</v>
      </c>
      <c r="AG15">
        <v>8</v>
      </c>
      <c r="AJ15" s="10">
        <v>0</v>
      </c>
      <c r="AK15" t="str">
        <f>CONCATENATE(VLOOKUP(AL15, 'Voxel Sizes'!$A$2:$B$18,2,FALSE),"x",INT(AH15*15), "x", INT(AI15*15))</f>
        <v>82x0x0</v>
      </c>
      <c r="AL15">
        <f t="shared" si="1"/>
        <v>5</v>
      </c>
      <c r="AN15" t="str">
        <f>CONCATENATE(VLOOKUP(AL15,Constants!$A$2:$C$16,IF(AM15&lt;&gt;"", 3, 2), FALSE),IF(AM15&lt;&gt;"",CONCATENATE(",",VLOOKUP(AM15,$B:$AN,39,FALSE)),""))</f>
        <v>2,1,2</v>
      </c>
      <c r="AX15">
        <v>30</v>
      </c>
      <c r="AY15" s="15" t="str">
        <f t="shared" si="2"/>
        <v/>
      </c>
      <c r="BB15">
        <f t="shared" si="3"/>
        <v>0</v>
      </c>
      <c r="BC15">
        <f t="shared" si="4"/>
        <v>0</v>
      </c>
      <c r="BD15">
        <f t="shared" si="5"/>
        <v>0</v>
      </c>
      <c r="BE15" s="3">
        <f t="shared" si="6"/>
        <v>1</v>
      </c>
      <c r="BF15">
        <f t="shared" si="7"/>
        <v>0</v>
      </c>
      <c r="BG15">
        <f>VLOOKUP($H15,Constants!$I:$K, 2, FALSE)</f>
        <v>0</v>
      </c>
      <c r="BH15">
        <f>VLOOKUP($H15,Constants!$I:$K, 3, FALSE)*IF(AND(G15="multiple_unit",AB15&lt;110),0.75,1)</f>
        <v>0</v>
      </c>
      <c r="BI15">
        <f>INT(POWER(((Constants!$G$2+$BB15+$BC15+$BD15+$BF15)*$BE15)*$BH15, 1.05))+$BA15</f>
        <v>0</v>
      </c>
      <c r="BJ15">
        <f>INT(POWER((((Constants!$G$1+$BB15+$BC15+$BD15+$BF15)*($BE15))*$BG15),IF($G15="wagon",1,1.2)))+$AZ15</f>
        <v>0</v>
      </c>
      <c r="BK15" s="14">
        <f t="shared" si="8"/>
        <v>0</v>
      </c>
      <c r="BL15" s="14">
        <f t="shared" si="9"/>
        <v>0</v>
      </c>
      <c r="BZ15" t="str">
        <f>VLOOKUP(J15,Eras!$A$2:$C$10, 2, TRUE)</f>
        <v>edw</v>
      </c>
      <c r="CB15" t="str">
        <f t="shared" si="10"/>
        <v>edw_</v>
      </c>
      <c r="CC15" t="str">
        <f t="shared" si="11"/>
        <v>tender_RAIL</v>
      </c>
      <c r="CD15" s="17" t="str" cm="1">
        <f t="array" ref="CD15">_xlfn.CONCAT("{BLACK}Length: {GOLD}", TEXT(ROUNDUP(IF(AQ15&lt;&gt;"",SUM(VALUE(_xlfn.TEXTSPLIT(AQ15, ","))), SUM(VALUE(_xlfn.TEXTSPLIT(AN15, ",")))*IF(M15, M15, 1))/16, 1), "#,##0.0"), " tiles{}")</f>
        <v>{BLACK}Length: {GOLD}0.4 tiles{}</v>
      </c>
      <c r="CE15" t="str">
        <f>VLOOKUP($CC15, Constants!$M:$N, 2, FALSE)</f>
        <v/>
      </c>
      <c r="CF15" t="str">
        <f t="shared" si="12"/>
        <v/>
      </c>
      <c r="CH15" t="str">
        <f t="shared" si="13"/>
        <v/>
      </c>
      <c r="CI15" t="str">
        <f t="shared" si="14"/>
        <v/>
      </c>
      <c r="CJ15" t="str">
        <f t="shared" si="15"/>
        <v>{BLACK}Length: {GOLD}0.4 tiles{}{SILVER}</v>
      </c>
    </row>
    <row r="16" spans="1:89" x14ac:dyDescent="0.35">
      <c r="A16" t="s">
        <v>1175</v>
      </c>
      <c r="B16" t="s">
        <v>1174</v>
      </c>
      <c r="C16">
        <v>-1</v>
      </c>
      <c r="E16">
        <v>-1</v>
      </c>
      <c r="G16" t="s">
        <v>286</v>
      </c>
      <c r="H16" t="s">
        <v>286</v>
      </c>
      <c r="I16" t="s">
        <v>270</v>
      </c>
      <c r="J16">
        <v>1920</v>
      </c>
      <c r="W16">
        <v>52</v>
      </c>
      <c r="AA16" s="3" t="str">
        <f t="shared" si="0"/>
        <v/>
      </c>
      <c r="AF16">
        <v>7.64</v>
      </c>
      <c r="AG16">
        <v>8</v>
      </c>
      <c r="AJ16" s="10">
        <v>0</v>
      </c>
      <c r="AK16" t="str">
        <f>CONCATENATE(VLOOKUP(AL16, 'Voxel Sizes'!$A$2:$B$18,2,FALSE),"x",INT(AH16*15), "x", INT(AI16*15))</f>
        <v>82x0x0</v>
      </c>
      <c r="AL16">
        <f t="shared" si="1"/>
        <v>5</v>
      </c>
      <c r="AN16" t="str">
        <f>CONCATENATE(VLOOKUP(AL16,Constants!$A$2:$C$16,IF(AM16&lt;&gt;"", 3, 2), FALSE),IF(AM16&lt;&gt;"",CONCATENATE(",",VLOOKUP(AM16,$B:$AN,39,FALSE)),""))</f>
        <v>2,1,2</v>
      </c>
      <c r="AX16">
        <v>30</v>
      </c>
      <c r="AY16" s="15" t="str">
        <f t="shared" si="2"/>
        <v/>
      </c>
      <c r="BB16">
        <f t="shared" si="3"/>
        <v>0</v>
      </c>
      <c r="BC16">
        <f t="shared" si="4"/>
        <v>0</v>
      </c>
      <c r="BD16">
        <f t="shared" si="5"/>
        <v>0</v>
      </c>
      <c r="BE16" s="3">
        <f t="shared" si="6"/>
        <v>0.97333333333333338</v>
      </c>
      <c r="BF16">
        <f t="shared" si="7"/>
        <v>0</v>
      </c>
      <c r="BG16">
        <f>VLOOKUP($H16,Constants!$I:$K, 2, FALSE)</f>
        <v>0</v>
      </c>
      <c r="BH16">
        <f>VLOOKUP($H16,Constants!$I:$K, 3, FALSE)*IF(AND(G16="multiple_unit",AB16&lt;110),0.75,1)</f>
        <v>0</v>
      </c>
      <c r="BI16">
        <f>INT(POWER(((Constants!$G$2+$BB16+$BC16+$BD16+$BF16)*$BE16)*$BH16, 1.05))+$BA16</f>
        <v>0</v>
      </c>
      <c r="BJ16">
        <f>INT(POWER((((Constants!$G$1+$BB16+$BC16+$BD16+$BF16)*($BE16))*$BG16),IF($G16="wagon",1,1.2)))+$AZ16</f>
        <v>0</v>
      </c>
      <c r="BK16" s="14">
        <f t="shared" si="8"/>
        <v>0</v>
      </c>
      <c r="BL16" s="14">
        <f t="shared" si="9"/>
        <v>0</v>
      </c>
      <c r="BZ16" t="str">
        <f>VLOOKUP(J16,Eras!$A$2:$C$10, 2, TRUE)</f>
        <v>edw</v>
      </c>
      <c r="CB16" t="str">
        <f t="shared" si="10"/>
        <v>edw_</v>
      </c>
      <c r="CC16" t="str">
        <f t="shared" si="11"/>
        <v>tender_RAIL</v>
      </c>
      <c r="CD16" s="17" t="str" cm="1">
        <f t="array" ref="CD16">_xlfn.CONCAT("{BLACK}Length: {GOLD}", TEXT(ROUNDUP(IF(AQ16&lt;&gt;"",SUM(VALUE(_xlfn.TEXTSPLIT(AQ16, ","))), SUM(VALUE(_xlfn.TEXTSPLIT(AN16, ",")))*IF(M16, M16, 1))/16, 1), "#,##0.0"), " tiles{}")</f>
        <v>{BLACK}Length: {GOLD}0.4 tiles{}</v>
      </c>
      <c r="CE16" t="str">
        <f>VLOOKUP($CC16, Constants!$M:$N, 2, FALSE)</f>
        <v/>
      </c>
      <c r="CF16" t="str">
        <f t="shared" si="12"/>
        <v/>
      </c>
      <c r="CH16" t="str">
        <f t="shared" si="13"/>
        <v/>
      </c>
      <c r="CI16" t="str">
        <f t="shared" si="14"/>
        <v/>
      </c>
      <c r="CJ16" t="str">
        <f t="shared" si="15"/>
        <v>{BLACK}Length: {GOLD}0.4 tiles{}{SILVER}</v>
      </c>
    </row>
    <row r="17" spans="1:88" x14ac:dyDescent="0.35">
      <c r="A17" t="s">
        <v>434</v>
      </c>
      <c r="B17" t="s">
        <v>435</v>
      </c>
      <c r="C17">
        <v>-1</v>
      </c>
      <c r="E17">
        <v>-1</v>
      </c>
      <c r="G17" t="s">
        <v>286</v>
      </c>
      <c r="H17" t="s">
        <v>286</v>
      </c>
      <c r="I17" t="s">
        <v>270</v>
      </c>
      <c r="J17">
        <v>1925</v>
      </c>
      <c r="W17">
        <v>52</v>
      </c>
      <c r="AA17" s="3" t="str">
        <f t="shared" si="0"/>
        <v/>
      </c>
      <c r="AF17">
        <v>7.64</v>
      </c>
      <c r="AG17">
        <v>8</v>
      </c>
      <c r="AJ17" s="10">
        <v>0</v>
      </c>
      <c r="AK17" t="str">
        <f>CONCATENATE(VLOOKUP(AL17, 'Voxel Sizes'!$A$2:$B$18,2,FALSE),"x",INT(AH17*15), "x", INT(AI17*15))</f>
        <v>82x0x0</v>
      </c>
      <c r="AL17">
        <f t="shared" si="1"/>
        <v>5</v>
      </c>
      <c r="AN17" t="str">
        <f>CONCATENATE(VLOOKUP(AL17,Constants!$A$2:$C$16,IF(AM17&lt;&gt;"", 3, 2), FALSE),IF(AM17&lt;&gt;"",CONCATENATE(",",VLOOKUP(AM17,$B:$AN,39,FALSE)),""))</f>
        <v>2,1,2</v>
      </c>
      <c r="AX17">
        <v>30</v>
      </c>
      <c r="AY17" s="15" t="str">
        <f t="shared" si="2"/>
        <v/>
      </c>
      <c r="BB17">
        <f t="shared" si="3"/>
        <v>0</v>
      </c>
      <c r="BC17">
        <f t="shared" si="4"/>
        <v>0</v>
      </c>
      <c r="BD17">
        <f t="shared" si="5"/>
        <v>0</v>
      </c>
      <c r="BE17" s="3">
        <f t="shared" si="6"/>
        <v>0.96666666666666667</v>
      </c>
      <c r="BF17">
        <f t="shared" si="7"/>
        <v>0</v>
      </c>
      <c r="BG17">
        <f>VLOOKUP($H17,Constants!$I:$K, 2, FALSE)</f>
        <v>0</v>
      </c>
      <c r="BH17">
        <f>VLOOKUP($H17,Constants!$I:$K, 3, FALSE)*IF(AND(G17="multiple_unit",AB17&lt;110),0.75,1)</f>
        <v>0</v>
      </c>
      <c r="BI17">
        <f>INT(POWER(((Constants!$G$2+$BB17+$BC17+$BD17+$BF17)*$BE17)*$BH17, 1.05))+$BA17</f>
        <v>0</v>
      </c>
      <c r="BJ17">
        <f>INT(POWER((((Constants!$G$1+$BB17+$BC17+$BD17+$BF17)*($BE17))*$BG17),IF($G17="wagon",1,1.2)))+$AZ17</f>
        <v>0</v>
      </c>
      <c r="BK17" s="14">
        <f t="shared" si="8"/>
        <v>0</v>
      </c>
      <c r="BL17" s="14">
        <f t="shared" si="9"/>
        <v>0</v>
      </c>
      <c r="BZ17" t="str">
        <f>VLOOKUP(J17,Eras!$A$2:$C$10, 2, TRUE)</f>
        <v>big4</v>
      </c>
      <c r="CB17" t="str">
        <f t="shared" si="10"/>
        <v>big4_</v>
      </c>
      <c r="CC17" t="str">
        <f t="shared" si="11"/>
        <v>tender_RAIL</v>
      </c>
      <c r="CD17" s="17" t="str" cm="1">
        <f t="array" ref="CD17">_xlfn.CONCAT("{BLACK}Length: {GOLD}", TEXT(ROUNDUP(IF(AQ17&lt;&gt;"",SUM(VALUE(_xlfn.TEXTSPLIT(AQ17, ","))), SUM(VALUE(_xlfn.TEXTSPLIT(AN17, ",")))*IF(M17, M17, 1))/16, 1), "#,##0.0"), " tiles{}")</f>
        <v>{BLACK}Length: {GOLD}0.4 tiles{}</v>
      </c>
      <c r="CE17" t="str">
        <f>VLOOKUP($CC17, Constants!$M:$N, 2, FALSE)</f>
        <v/>
      </c>
      <c r="CF17" t="str">
        <f t="shared" si="12"/>
        <v/>
      </c>
      <c r="CH17" t="str">
        <f t="shared" si="13"/>
        <v/>
      </c>
      <c r="CI17" t="str">
        <f t="shared" si="14"/>
        <v/>
      </c>
      <c r="CJ17" t="str">
        <f t="shared" si="15"/>
        <v>{BLACK}Length: {GOLD}0.4 tiles{}{SILVER}</v>
      </c>
    </row>
    <row r="18" spans="1:88" x14ac:dyDescent="0.35">
      <c r="A18" t="s">
        <v>285</v>
      </c>
      <c r="B18" t="s">
        <v>284</v>
      </c>
      <c r="C18">
        <v>-1</v>
      </c>
      <c r="E18">
        <v>-1</v>
      </c>
      <c r="G18" t="s">
        <v>286</v>
      </c>
      <c r="H18" t="s">
        <v>286</v>
      </c>
      <c r="I18" t="s">
        <v>270</v>
      </c>
      <c r="J18">
        <v>1925</v>
      </c>
      <c r="W18">
        <v>52</v>
      </c>
      <c r="AA18" s="3" t="str">
        <f t="shared" si="0"/>
        <v/>
      </c>
      <c r="AF18">
        <v>7.64</v>
      </c>
      <c r="AG18">
        <v>8</v>
      </c>
      <c r="AJ18" s="10">
        <v>0</v>
      </c>
      <c r="AK18" t="str">
        <f>CONCATENATE(VLOOKUP(AL18, 'Voxel Sizes'!$A$2:$B$18,2,FALSE),"x",INT(AH18*15), "x", INT(AI18*15))</f>
        <v>82x0x0</v>
      </c>
      <c r="AL18">
        <f t="shared" si="1"/>
        <v>5</v>
      </c>
      <c r="AN18" t="str">
        <f>CONCATENATE(VLOOKUP(AL18,Constants!$A$2:$C$16,IF(AM18&lt;&gt;"", 3, 2), FALSE),IF(AM18&lt;&gt;"",CONCATENATE(",",VLOOKUP(AM18,$B:$AN,39,FALSE)),""))</f>
        <v>2,1,2</v>
      </c>
      <c r="AX18">
        <v>30</v>
      </c>
      <c r="AY18" s="15" t="str">
        <f t="shared" si="2"/>
        <v/>
      </c>
      <c r="BB18">
        <f t="shared" si="3"/>
        <v>0</v>
      </c>
      <c r="BC18">
        <f t="shared" si="4"/>
        <v>0</v>
      </c>
      <c r="BD18">
        <f t="shared" si="5"/>
        <v>0</v>
      </c>
      <c r="BE18" s="3">
        <f t="shared" si="6"/>
        <v>0.96666666666666667</v>
      </c>
      <c r="BF18">
        <f t="shared" si="7"/>
        <v>0</v>
      </c>
      <c r="BG18">
        <f>VLOOKUP($H18,Constants!$I:$K, 2, FALSE)</f>
        <v>0</v>
      </c>
      <c r="BH18">
        <f>VLOOKUP($H18,Constants!$I:$K, 3, FALSE)*IF(AND(G18="multiple_unit",AB18&lt;110),0.75,1)</f>
        <v>0</v>
      </c>
      <c r="BI18">
        <f>INT(POWER(((Constants!$G$2+$BB18+$BC18+$BD18+$BF18)*$BE18)*$BH18, 1.05))+$BA18</f>
        <v>0</v>
      </c>
      <c r="BJ18">
        <f>INT(POWER((((Constants!$G$1+$BB18+$BC18+$BD18+$BF18)*($BE18))*$BG18),IF($G18="wagon",1,1.2)))+$AZ18</f>
        <v>0</v>
      </c>
      <c r="BK18" s="14">
        <f t="shared" si="8"/>
        <v>0</v>
      </c>
      <c r="BL18" s="14">
        <f t="shared" si="9"/>
        <v>0</v>
      </c>
      <c r="BZ18" t="str">
        <f>VLOOKUP(J18,Eras!$A$2:$C$10, 2, TRUE)</f>
        <v>big4</v>
      </c>
      <c r="CB18" t="str">
        <f t="shared" si="10"/>
        <v>big4_</v>
      </c>
      <c r="CC18" t="str">
        <f t="shared" si="11"/>
        <v>tender_RAIL</v>
      </c>
      <c r="CD18" s="17" t="str" cm="1">
        <f t="array" ref="CD18">_xlfn.CONCAT("{BLACK}Length: {GOLD}", TEXT(ROUNDUP(IF(AQ18&lt;&gt;"",SUM(VALUE(_xlfn.TEXTSPLIT(AQ18, ","))), SUM(VALUE(_xlfn.TEXTSPLIT(AN18, ",")))*IF(M18, M18, 1))/16, 1), "#,##0.0"), " tiles{}")</f>
        <v>{BLACK}Length: {GOLD}0.4 tiles{}</v>
      </c>
      <c r="CE18" t="str">
        <f>VLOOKUP($CC18, Constants!$M:$N, 2, FALSE)</f>
        <v/>
      </c>
      <c r="CF18" t="str">
        <f t="shared" si="12"/>
        <v/>
      </c>
      <c r="CH18" t="str">
        <f t="shared" si="13"/>
        <v/>
      </c>
      <c r="CI18" t="str">
        <f t="shared" si="14"/>
        <v/>
      </c>
      <c r="CJ18" t="str">
        <f t="shared" si="15"/>
        <v>{BLACK}Length: {GOLD}0.4 tiles{}{SILVER}</v>
      </c>
    </row>
    <row r="19" spans="1:88" x14ac:dyDescent="0.35">
      <c r="A19" t="s">
        <v>288</v>
      </c>
      <c r="B19" t="s">
        <v>289</v>
      </c>
      <c r="C19">
        <v>-1</v>
      </c>
      <c r="E19">
        <v>-1</v>
      </c>
      <c r="G19" t="s">
        <v>286</v>
      </c>
      <c r="H19" t="s">
        <v>286</v>
      </c>
      <c r="I19" t="s">
        <v>270</v>
      </c>
      <c r="J19">
        <v>1925</v>
      </c>
      <c r="W19">
        <v>52</v>
      </c>
      <c r="AA19" s="3" t="str">
        <f t="shared" si="0"/>
        <v/>
      </c>
      <c r="AF19">
        <v>7.64</v>
      </c>
      <c r="AG19">
        <v>8</v>
      </c>
      <c r="AJ19" s="10">
        <v>0</v>
      </c>
      <c r="AK19" t="str">
        <f>CONCATENATE(VLOOKUP(AL19, 'Voxel Sizes'!$A$2:$B$18,2,FALSE),"x",INT(AH19*15), "x", INT(AI19*15))</f>
        <v>82x0x0</v>
      </c>
      <c r="AL19">
        <f t="shared" si="1"/>
        <v>5</v>
      </c>
      <c r="AN19" t="str">
        <f>CONCATENATE(VLOOKUP(AL19,Constants!$A$2:$C$16,IF(AM19&lt;&gt;"", 3, 2), FALSE),IF(AM19&lt;&gt;"",CONCATENATE(",",VLOOKUP(AM19,$B:$AN,39,FALSE)),""))</f>
        <v>2,1,2</v>
      </c>
      <c r="AX19">
        <v>30</v>
      </c>
      <c r="AY19" s="15" t="str">
        <f t="shared" si="2"/>
        <v/>
      </c>
      <c r="BB19">
        <f t="shared" si="3"/>
        <v>0</v>
      </c>
      <c r="BC19">
        <f t="shared" si="4"/>
        <v>0</v>
      </c>
      <c r="BD19">
        <f t="shared" si="5"/>
        <v>0</v>
      </c>
      <c r="BE19" s="3">
        <f t="shared" si="6"/>
        <v>0.96666666666666667</v>
      </c>
      <c r="BF19">
        <f t="shared" si="7"/>
        <v>0</v>
      </c>
      <c r="BG19">
        <f>VLOOKUP($H19,Constants!$I:$K, 2, FALSE)</f>
        <v>0</v>
      </c>
      <c r="BH19">
        <f>VLOOKUP($H19,Constants!$I:$K, 3, FALSE)*IF(AND(G19="multiple_unit",AB19&lt;110),0.75,1)</f>
        <v>0</v>
      </c>
      <c r="BI19">
        <f>INT(POWER(((Constants!$G$2+$BB19+$BC19+$BD19+$BF19)*$BE19)*$BH19, 1.05))+$BA19</f>
        <v>0</v>
      </c>
      <c r="BJ19">
        <f>INT(POWER((((Constants!$G$1+$BB19+$BC19+$BD19+$BF19)*($BE19))*$BG19),IF($G19="wagon",1,1.2)))+$AZ19</f>
        <v>0</v>
      </c>
      <c r="BK19" s="14">
        <f t="shared" si="8"/>
        <v>0</v>
      </c>
      <c r="BL19" s="14">
        <f t="shared" si="9"/>
        <v>0</v>
      </c>
      <c r="BZ19" t="str">
        <f>VLOOKUP(J19,Eras!$A$2:$C$10, 2, TRUE)</f>
        <v>big4</v>
      </c>
      <c r="CB19" t="str">
        <f t="shared" si="10"/>
        <v>big4_</v>
      </c>
      <c r="CC19" t="str">
        <f t="shared" si="11"/>
        <v>tender_RAIL</v>
      </c>
      <c r="CD19" s="17" t="str" cm="1">
        <f t="array" ref="CD19">_xlfn.CONCAT("{BLACK}Length: {GOLD}", TEXT(ROUNDUP(IF(AQ19&lt;&gt;"",SUM(VALUE(_xlfn.TEXTSPLIT(AQ19, ","))), SUM(VALUE(_xlfn.TEXTSPLIT(AN19, ",")))*IF(M19, M19, 1))/16, 1), "#,##0.0"), " tiles{}")</f>
        <v>{BLACK}Length: {GOLD}0.4 tiles{}</v>
      </c>
      <c r="CE19" t="str">
        <f>VLOOKUP($CC19, Constants!$M:$N, 2, FALSE)</f>
        <v/>
      </c>
      <c r="CF19" t="str">
        <f t="shared" si="12"/>
        <v/>
      </c>
      <c r="CH19" t="str">
        <f t="shared" si="13"/>
        <v/>
      </c>
      <c r="CI19" t="str">
        <f t="shared" si="14"/>
        <v/>
      </c>
      <c r="CJ19" t="str">
        <f t="shared" si="15"/>
        <v>{BLACK}Length: {GOLD}0.4 tiles{}{SILVER}</v>
      </c>
    </row>
    <row r="20" spans="1:88" x14ac:dyDescent="0.35">
      <c r="A20" t="s">
        <v>429</v>
      </c>
      <c r="B20" t="s">
        <v>430</v>
      </c>
      <c r="C20">
        <v>-1</v>
      </c>
      <c r="E20">
        <v>-1</v>
      </c>
      <c r="G20" t="s">
        <v>286</v>
      </c>
      <c r="H20" t="s">
        <v>286</v>
      </c>
      <c r="I20" t="s">
        <v>270</v>
      </c>
      <c r="J20">
        <v>1927</v>
      </c>
      <c r="W20">
        <v>53</v>
      </c>
      <c r="AA20" s="3" t="str">
        <f t="shared" si="0"/>
        <v/>
      </c>
      <c r="AF20">
        <v>7.5</v>
      </c>
      <c r="AG20">
        <v>8</v>
      </c>
      <c r="AJ20" s="10">
        <v>0</v>
      </c>
      <c r="AK20" t="str">
        <f>CONCATENATE(VLOOKUP(AL20, 'Voxel Sizes'!$A$2:$B$18,2,FALSE),"x",INT(AH20*15), "x", INT(AI20*15))</f>
        <v>82x0x0</v>
      </c>
      <c r="AL20">
        <f t="shared" si="1"/>
        <v>5</v>
      </c>
      <c r="AN20" t="str">
        <f>CONCATENATE(VLOOKUP(AL20,Constants!$A$2:$C$16,IF(AM20&lt;&gt;"", 3, 2), FALSE),IF(AM20&lt;&gt;"",CONCATENATE(",",VLOOKUP(AM20,$B:$AN,39,FALSE)),""))</f>
        <v>2,1,2</v>
      </c>
      <c r="AX20">
        <v>30</v>
      </c>
      <c r="AY20" s="15" t="str">
        <f t="shared" si="2"/>
        <v/>
      </c>
      <c r="BB20">
        <f t="shared" si="3"/>
        <v>0</v>
      </c>
      <c r="BC20">
        <f t="shared" si="4"/>
        <v>0</v>
      </c>
      <c r="BD20">
        <f t="shared" si="5"/>
        <v>0</v>
      </c>
      <c r="BE20" s="3">
        <f t="shared" si="6"/>
        <v>0.96399999999999997</v>
      </c>
      <c r="BF20">
        <f t="shared" si="7"/>
        <v>0</v>
      </c>
      <c r="BG20">
        <f>VLOOKUP($H20,Constants!$I:$K, 2, FALSE)</f>
        <v>0</v>
      </c>
      <c r="BH20">
        <f>VLOOKUP($H20,Constants!$I:$K, 3, FALSE)*IF(AND(G20="multiple_unit",AB20&lt;110),0.75,1)</f>
        <v>0</v>
      </c>
      <c r="BI20">
        <f>INT(POWER(((Constants!$G$2+$BB20+$BC20+$BD20+$BF20)*$BE20)*$BH20, 1.05))+$BA20</f>
        <v>0</v>
      </c>
      <c r="BJ20">
        <f>INT(POWER((((Constants!$G$1+$BB20+$BC20+$BD20+$BF20)*($BE20))*$BG20),IF($G20="wagon",1,1.2)))+$AZ20</f>
        <v>0</v>
      </c>
      <c r="BK20" s="14">
        <f t="shared" si="8"/>
        <v>0</v>
      </c>
      <c r="BL20" s="14">
        <f t="shared" si="9"/>
        <v>0</v>
      </c>
      <c r="BZ20" t="str">
        <f>VLOOKUP(J20,Eras!$A$2:$C$10, 2, TRUE)</f>
        <v>big4</v>
      </c>
      <c r="CB20" t="str">
        <f t="shared" si="10"/>
        <v>big4_</v>
      </c>
      <c r="CC20" t="str">
        <f t="shared" si="11"/>
        <v>tender_RAIL</v>
      </c>
      <c r="CD20" s="17" t="str" cm="1">
        <f t="array" ref="CD20">_xlfn.CONCAT("{BLACK}Length: {GOLD}", TEXT(ROUNDUP(IF(AQ20&lt;&gt;"",SUM(VALUE(_xlfn.TEXTSPLIT(AQ20, ","))), SUM(VALUE(_xlfn.TEXTSPLIT(AN20, ",")))*IF(M20, M20, 1))/16, 1), "#,##0.0"), " tiles{}")</f>
        <v>{BLACK}Length: {GOLD}0.4 tiles{}</v>
      </c>
      <c r="CE20" t="str">
        <f>VLOOKUP($CC20, Constants!$M:$N, 2, FALSE)</f>
        <v/>
      </c>
      <c r="CF20" t="str">
        <f t="shared" si="12"/>
        <v/>
      </c>
      <c r="CH20" t="str">
        <f t="shared" si="13"/>
        <v/>
      </c>
      <c r="CI20" t="str">
        <f t="shared" si="14"/>
        <v/>
      </c>
      <c r="CJ20" t="str">
        <f t="shared" si="15"/>
        <v>{BLACK}Length: {GOLD}0.4 tiles{}{SILVER}</v>
      </c>
    </row>
    <row r="21" spans="1:88" x14ac:dyDescent="0.35">
      <c r="A21" t="s">
        <v>455</v>
      </c>
      <c r="B21" t="s">
        <v>454</v>
      </c>
      <c r="C21">
        <v>-1</v>
      </c>
      <c r="E21">
        <v>-1</v>
      </c>
      <c r="G21" t="s">
        <v>286</v>
      </c>
      <c r="H21" t="s">
        <v>286</v>
      </c>
      <c r="I21" t="s">
        <v>270</v>
      </c>
      <c r="J21">
        <v>1935</v>
      </c>
      <c r="W21">
        <v>42</v>
      </c>
      <c r="AA21" s="3" t="str">
        <f t="shared" si="0"/>
        <v/>
      </c>
      <c r="AF21">
        <v>7.5</v>
      </c>
      <c r="AG21">
        <v>8</v>
      </c>
      <c r="AJ21" s="10">
        <v>0</v>
      </c>
      <c r="AK21" t="str">
        <f>CONCATENATE(VLOOKUP(AL21, 'Voxel Sizes'!$A$2:$B$18,2,FALSE),"x",INT(AH21*15), "x", INT(AI21*15))</f>
        <v>82x0x0</v>
      </c>
      <c r="AL21">
        <f t="shared" si="1"/>
        <v>5</v>
      </c>
      <c r="AN21" t="str">
        <f>CONCATENATE(VLOOKUP(AL21,Constants!$A$2:$C$16,IF(AM21&lt;&gt;"", 3, 2), FALSE),IF(AM21&lt;&gt;"",CONCATENATE(",",VLOOKUP(AM21,$B:$AN,39,FALSE)),""))</f>
        <v>2,1,2</v>
      </c>
      <c r="AX21">
        <v>30</v>
      </c>
      <c r="AY21" s="15" t="str">
        <f t="shared" si="2"/>
        <v/>
      </c>
      <c r="BB21">
        <f t="shared" si="3"/>
        <v>0</v>
      </c>
      <c r="BC21">
        <f t="shared" si="4"/>
        <v>0</v>
      </c>
      <c r="BD21">
        <f t="shared" si="5"/>
        <v>0</v>
      </c>
      <c r="BE21" s="3">
        <f t="shared" si="6"/>
        <v>0.95333333333333337</v>
      </c>
      <c r="BF21">
        <f t="shared" si="7"/>
        <v>0</v>
      </c>
      <c r="BG21">
        <f>VLOOKUP($H21,Constants!$I:$K, 2, FALSE)</f>
        <v>0</v>
      </c>
      <c r="BH21">
        <f>VLOOKUP($H21,Constants!$I:$K, 3, FALSE)*IF(AND(G21="multiple_unit",AB21&lt;110),0.75,1)</f>
        <v>0</v>
      </c>
      <c r="BI21">
        <f>INT(POWER(((Constants!$G$2+$BB21+$BC21+$BD21+$BF21)*$BE21)*$BH21, 1.05))+$BA21</f>
        <v>0</v>
      </c>
      <c r="BJ21">
        <f>INT(POWER((((Constants!$G$1+$BB21+$BC21+$BD21+$BF21)*($BE21))*$BG21),IF($G21="wagon",1,1.2)))+$AZ21</f>
        <v>0</v>
      </c>
      <c r="BK21" s="14">
        <f t="shared" si="8"/>
        <v>0</v>
      </c>
      <c r="BL21" s="14">
        <f t="shared" si="9"/>
        <v>0</v>
      </c>
      <c r="BZ21" t="str">
        <f>VLOOKUP(J21,Eras!$A$2:$C$10, 2, TRUE)</f>
        <v>big4</v>
      </c>
      <c r="CB21" t="str">
        <f t="shared" si="10"/>
        <v>big4_</v>
      </c>
      <c r="CC21" t="str">
        <f t="shared" si="11"/>
        <v>tender_RAIL</v>
      </c>
      <c r="CD21" s="17" t="str" cm="1">
        <f t="array" ref="CD21">_xlfn.CONCAT("{BLACK}Length: {GOLD}", TEXT(ROUNDUP(IF(AQ21&lt;&gt;"",SUM(VALUE(_xlfn.TEXTSPLIT(AQ21, ","))), SUM(VALUE(_xlfn.TEXTSPLIT(AN21, ",")))*IF(M21, M21, 1))/16, 1), "#,##0.0"), " tiles{}")</f>
        <v>{BLACK}Length: {GOLD}0.4 tiles{}</v>
      </c>
      <c r="CE21" t="str">
        <f>VLOOKUP($CC21, Constants!$M:$N, 2, FALSE)</f>
        <v/>
      </c>
      <c r="CF21" t="str">
        <f t="shared" si="12"/>
        <v/>
      </c>
      <c r="CH21" t="str">
        <f t="shared" si="13"/>
        <v/>
      </c>
      <c r="CI21" t="str">
        <f t="shared" si="14"/>
        <v/>
      </c>
      <c r="CJ21" t="str">
        <f t="shared" si="15"/>
        <v>{BLACK}Length: {GOLD}0.4 tiles{}{SILVER}</v>
      </c>
    </row>
    <row r="22" spans="1:88" ht="13.5" customHeight="1" x14ac:dyDescent="0.35">
      <c r="A22" t="s">
        <v>462</v>
      </c>
      <c r="B22" t="s">
        <v>463</v>
      </c>
      <c r="C22">
        <v>-1</v>
      </c>
      <c r="E22">
        <v>-1</v>
      </c>
      <c r="G22" t="s">
        <v>286</v>
      </c>
      <c r="H22" t="s">
        <v>286</v>
      </c>
      <c r="I22" t="s">
        <v>270</v>
      </c>
      <c r="J22">
        <v>1941</v>
      </c>
      <c r="W22">
        <v>52</v>
      </c>
      <c r="AA22" s="3" t="str">
        <f t="shared" si="0"/>
        <v/>
      </c>
      <c r="AF22">
        <v>7.64</v>
      </c>
      <c r="AG22">
        <v>8</v>
      </c>
      <c r="AJ22" s="10">
        <v>0</v>
      </c>
      <c r="AK22" t="str">
        <f>CONCATENATE(VLOOKUP(AL22, 'Voxel Sizes'!$A$2:$B$18,2,FALSE),"x",INT(AH22*15), "x", INT(AI22*15))</f>
        <v>82x0x0</v>
      </c>
      <c r="AL22">
        <f t="shared" si="1"/>
        <v>5</v>
      </c>
      <c r="AN22" t="str">
        <f>CONCATENATE(VLOOKUP(AL22,Constants!$A$2:$C$16,IF(AM22&lt;&gt;"", 3, 2), FALSE),IF(AM22&lt;&gt;"",CONCATENATE(",",VLOOKUP(AM22,$B:$AN,39,FALSE)),""))</f>
        <v>2,1,2</v>
      </c>
      <c r="AX22">
        <v>30</v>
      </c>
      <c r="AY22" s="15" t="str">
        <f t="shared" si="2"/>
        <v/>
      </c>
      <c r="BB22">
        <f t="shared" si="3"/>
        <v>0</v>
      </c>
      <c r="BC22">
        <f t="shared" si="4"/>
        <v>0</v>
      </c>
      <c r="BD22">
        <f t="shared" si="5"/>
        <v>0</v>
      </c>
      <c r="BE22" s="3">
        <f t="shared" si="6"/>
        <v>0.94533333333333336</v>
      </c>
      <c r="BF22">
        <f t="shared" si="7"/>
        <v>0</v>
      </c>
      <c r="BG22">
        <f>VLOOKUP($H22,Constants!$I:$K, 2, FALSE)</f>
        <v>0</v>
      </c>
      <c r="BH22">
        <f>VLOOKUP($H22,Constants!$I:$K, 3, FALSE)*IF(AND(G22="multiple_unit",AB22&lt;110),0.75,1)</f>
        <v>0</v>
      </c>
      <c r="BI22">
        <f>INT(POWER(((Constants!$G$2+$BB22+$BC22+$BD22+$BF22)*$BE22)*$BH22, 1.05))+$BA22</f>
        <v>0</v>
      </c>
      <c r="BJ22">
        <f>INT(POWER((((Constants!$G$1+$BB22+$BC22+$BD22+$BF22)*($BE22))*$BG22),IF($G22="wagon",1,1.2)))+$AZ22</f>
        <v>0</v>
      </c>
      <c r="BK22" s="14">
        <f t="shared" si="8"/>
        <v>0</v>
      </c>
      <c r="BL22" s="14">
        <f t="shared" si="9"/>
        <v>0</v>
      </c>
      <c r="BZ22" t="str">
        <f>VLOOKUP(J22,Eras!$A$2:$C$10, 2, TRUE)</f>
        <v>big4</v>
      </c>
      <c r="CB22" t="str">
        <f t="shared" si="10"/>
        <v>big4_</v>
      </c>
      <c r="CC22" t="str">
        <f t="shared" si="11"/>
        <v>tender_RAIL</v>
      </c>
      <c r="CD22" s="17" t="str" cm="1">
        <f t="array" ref="CD22">_xlfn.CONCAT("{BLACK}Length: {GOLD}", TEXT(ROUNDUP(IF(AQ22&lt;&gt;"",SUM(VALUE(_xlfn.TEXTSPLIT(AQ22, ","))), SUM(VALUE(_xlfn.TEXTSPLIT(AN22, ",")))*IF(M22, M22, 1))/16, 1), "#,##0.0"), " tiles{}")</f>
        <v>{BLACK}Length: {GOLD}0.4 tiles{}</v>
      </c>
      <c r="CE22" t="str">
        <f>VLOOKUP($CC22, Constants!$M:$N, 2, FALSE)</f>
        <v/>
      </c>
      <c r="CF22" t="str">
        <f t="shared" si="12"/>
        <v/>
      </c>
      <c r="CH22" t="str">
        <f t="shared" si="13"/>
        <v/>
      </c>
      <c r="CI22" t="str">
        <f t="shared" si="14"/>
        <v/>
      </c>
      <c r="CJ22" t="str">
        <f t="shared" si="15"/>
        <v>{BLACK}Length: {GOLD}0.4 tiles{}{SILVER}</v>
      </c>
    </row>
    <row r="23" spans="1:88" x14ac:dyDescent="0.35">
      <c r="A23" t="s">
        <v>470</v>
      </c>
      <c r="B23" t="s">
        <v>469</v>
      </c>
      <c r="C23">
        <v>-1</v>
      </c>
      <c r="E23">
        <v>-1</v>
      </c>
      <c r="G23" t="s">
        <v>286</v>
      </c>
      <c r="H23" t="s">
        <v>286</v>
      </c>
      <c r="I23" t="s">
        <v>270</v>
      </c>
      <c r="J23">
        <v>1942</v>
      </c>
      <c r="W23">
        <v>52</v>
      </c>
      <c r="AA23" s="3" t="str">
        <f t="shared" si="0"/>
        <v/>
      </c>
      <c r="AF23">
        <v>6</v>
      </c>
      <c r="AG23">
        <v>6</v>
      </c>
      <c r="AJ23" s="10">
        <v>0</v>
      </c>
      <c r="AK23" t="str">
        <f>CONCATENATE(VLOOKUP(AL23, 'Voxel Sizes'!$A$2:$B$18,2,FALSE),"x",INT(AH23*15), "x", INT(AI23*15))</f>
        <v>60x0x0</v>
      </c>
      <c r="AL23">
        <f t="shared" si="1"/>
        <v>4</v>
      </c>
      <c r="AN23" t="str">
        <f>CONCATENATE(VLOOKUP(AL23,Constants!$A$2:$C$16,IF(AM23&lt;&gt;"", 3, 2), FALSE),IF(AM23&lt;&gt;"",CONCATENATE(",",VLOOKUP(AM23,$B:$AN,39,FALSE)),""))</f>
        <v>1,2,1</v>
      </c>
      <c r="AX23">
        <v>30</v>
      </c>
      <c r="AY23" s="15" t="str">
        <f t="shared" si="2"/>
        <v/>
      </c>
      <c r="BB23">
        <f t="shared" si="3"/>
        <v>0</v>
      </c>
      <c r="BC23">
        <f t="shared" si="4"/>
        <v>0</v>
      </c>
      <c r="BD23">
        <f t="shared" si="5"/>
        <v>0</v>
      </c>
      <c r="BE23" s="3">
        <f t="shared" si="6"/>
        <v>0.94399999999999995</v>
      </c>
      <c r="BF23">
        <f t="shared" si="7"/>
        <v>0</v>
      </c>
      <c r="BG23">
        <f>VLOOKUP($H23,Constants!$I:$K, 2, FALSE)</f>
        <v>0</v>
      </c>
      <c r="BH23">
        <f>VLOOKUP($H23,Constants!$I:$K, 3, FALSE)*IF(AND(G23="multiple_unit",AB23&lt;110),0.75,1)</f>
        <v>0</v>
      </c>
      <c r="BI23">
        <f>INT(POWER(((Constants!$G$2+$BB23+$BC23+$BD23+$BF23)*$BE23)*$BH23, 1.05))+$BA23</f>
        <v>0</v>
      </c>
      <c r="BJ23">
        <f>INT(POWER((((Constants!$G$1+$BB23+$BC23+$BD23+$BF23)*($BE23))*$BG23),IF($G23="wagon",1,1.2)))+$AZ23</f>
        <v>0</v>
      </c>
      <c r="BK23" s="14">
        <f t="shared" si="8"/>
        <v>0</v>
      </c>
      <c r="BL23" s="14">
        <f t="shared" si="9"/>
        <v>0</v>
      </c>
      <c r="BZ23" t="str">
        <f>VLOOKUP(J23,Eras!$A$2:$C$10, 2, TRUE)</f>
        <v>big4</v>
      </c>
      <c r="CB23" t="str">
        <f t="shared" si="10"/>
        <v>big4_</v>
      </c>
      <c r="CC23" t="str">
        <f t="shared" si="11"/>
        <v>tender_RAIL</v>
      </c>
      <c r="CD23" s="17" t="str" cm="1">
        <f t="array" ref="CD23">_xlfn.CONCAT("{BLACK}Length: {GOLD}", TEXT(ROUNDUP(IF(AQ23&lt;&gt;"",SUM(VALUE(_xlfn.TEXTSPLIT(AQ23, ","))), SUM(VALUE(_xlfn.TEXTSPLIT(AN23, ",")))*IF(M23, M23, 1))/16, 1), "#,##0.0"), " tiles{}")</f>
        <v>{BLACK}Length: {GOLD}0.3 tiles{}</v>
      </c>
      <c r="CE23" t="str">
        <f>VLOOKUP($CC23, Constants!$M:$N, 2, FALSE)</f>
        <v/>
      </c>
      <c r="CF23" t="str">
        <f t="shared" si="12"/>
        <v/>
      </c>
      <c r="CH23" t="str">
        <f t="shared" si="13"/>
        <v/>
      </c>
      <c r="CI23" t="str">
        <f t="shared" si="14"/>
        <v/>
      </c>
      <c r="CJ23" t="str">
        <f t="shared" si="15"/>
        <v>{BLACK}Length: {GOLD}0.3 tiles{}{SILVER}</v>
      </c>
    </row>
    <row r="24" spans="1:88" x14ac:dyDescent="0.35">
      <c r="A24" t="s">
        <v>475</v>
      </c>
      <c r="B24" t="s">
        <v>476</v>
      </c>
      <c r="C24">
        <v>-1</v>
      </c>
      <c r="E24">
        <v>-1</v>
      </c>
      <c r="G24" t="s">
        <v>286</v>
      </c>
      <c r="H24" t="s">
        <v>286</v>
      </c>
      <c r="I24" t="s">
        <v>270</v>
      </c>
      <c r="J24">
        <v>1943</v>
      </c>
      <c r="W24">
        <v>52</v>
      </c>
      <c r="AA24" s="3" t="str">
        <f t="shared" si="0"/>
        <v/>
      </c>
      <c r="AF24">
        <v>6</v>
      </c>
      <c r="AG24">
        <v>6</v>
      </c>
      <c r="AJ24" s="10">
        <v>0</v>
      </c>
      <c r="AK24" t="str">
        <f>CONCATENATE(VLOOKUP(AL24, 'Voxel Sizes'!$A$2:$B$18,2,FALSE),"x",INT(AH24*15), "x", INT(AI24*15))</f>
        <v>60x0x0</v>
      </c>
      <c r="AL24">
        <f t="shared" si="1"/>
        <v>4</v>
      </c>
      <c r="AN24" t="str">
        <f>CONCATENATE(VLOOKUP(AL24,Constants!$A$2:$C$16,IF(AM24&lt;&gt;"", 3, 2), FALSE),IF(AM24&lt;&gt;"",CONCATENATE(",",VLOOKUP(AM24,$B:$AN,39,FALSE)),""))</f>
        <v>1,2,1</v>
      </c>
      <c r="AX24">
        <v>30</v>
      </c>
      <c r="AY24" s="15" t="str">
        <f t="shared" si="2"/>
        <v/>
      </c>
      <c r="BB24">
        <f t="shared" si="3"/>
        <v>0</v>
      </c>
      <c r="BC24">
        <f t="shared" si="4"/>
        <v>0</v>
      </c>
      <c r="BD24">
        <f t="shared" si="5"/>
        <v>0</v>
      </c>
      <c r="BE24" s="3">
        <f t="shared" si="6"/>
        <v>0.94266666666666665</v>
      </c>
      <c r="BF24">
        <f t="shared" si="7"/>
        <v>0</v>
      </c>
      <c r="BG24">
        <f>VLOOKUP($H24,Constants!$I:$K, 2, FALSE)</f>
        <v>0</v>
      </c>
      <c r="BH24">
        <f>VLOOKUP($H24,Constants!$I:$K, 3, FALSE)*IF(AND(G24="multiple_unit",AB24&lt;110),0.75,1)</f>
        <v>0</v>
      </c>
      <c r="BI24">
        <f>INT(POWER(((Constants!$G$2+$BB24+$BC24+$BD24+$BF24)*$BE24)*$BH24, 1.05))+$BA24</f>
        <v>0</v>
      </c>
      <c r="BJ24">
        <f>INT(POWER((((Constants!$G$1+$BB24+$BC24+$BD24+$BF24)*($BE24))*$BG24),IF($G24="wagon",1,1.2)))+$AZ24</f>
        <v>0</v>
      </c>
      <c r="BK24" s="14">
        <f t="shared" si="8"/>
        <v>0</v>
      </c>
      <c r="BL24" s="14">
        <f t="shared" si="9"/>
        <v>0</v>
      </c>
      <c r="BZ24" t="str">
        <f>VLOOKUP(J24,Eras!$A$2:$C$10, 2, TRUE)</f>
        <v>big4</v>
      </c>
      <c r="CB24" t="str">
        <f t="shared" si="10"/>
        <v>big4_</v>
      </c>
      <c r="CC24" t="str">
        <f t="shared" si="11"/>
        <v>tender_RAIL</v>
      </c>
      <c r="CD24" s="17" t="str" cm="1">
        <f t="array" ref="CD24">_xlfn.CONCAT("{BLACK}Length: {GOLD}", TEXT(ROUNDUP(IF(AQ24&lt;&gt;"",SUM(VALUE(_xlfn.TEXTSPLIT(AQ24, ","))), SUM(VALUE(_xlfn.TEXTSPLIT(AN24, ",")))*IF(M24, M24, 1))/16, 1), "#,##0.0"), " tiles{}")</f>
        <v>{BLACK}Length: {GOLD}0.3 tiles{}</v>
      </c>
      <c r="CE24" t="str">
        <f>VLOOKUP($CC24, Constants!$M:$N, 2, FALSE)</f>
        <v/>
      </c>
      <c r="CF24" t="str">
        <f t="shared" si="12"/>
        <v/>
      </c>
      <c r="CH24" t="str">
        <f t="shared" si="13"/>
        <v/>
      </c>
      <c r="CI24" t="str">
        <f t="shared" si="14"/>
        <v/>
      </c>
      <c r="CJ24" t="str">
        <f t="shared" si="15"/>
        <v>{BLACK}Length: {GOLD}0.3 tiles{}{SILVER}</v>
      </c>
    </row>
    <row r="25" spans="1:88" x14ac:dyDescent="0.35">
      <c r="A25" t="s">
        <v>490</v>
      </c>
      <c r="B25" t="s">
        <v>489</v>
      </c>
      <c r="C25">
        <v>-1</v>
      </c>
      <c r="E25">
        <v>-1</v>
      </c>
      <c r="G25" t="s">
        <v>286</v>
      </c>
      <c r="H25" t="s">
        <v>286</v>
      </c>
      <c r="I25" t="s">
        <v>270</v>
      </c>
      <c r="J25">
        <v>1946</v>
      </c>
      <c r="W25">
        <v>52</v>
      </c>
      <c r="AA25" s="3" t="str">
        <f t="shared" si="0"/>
        <v/>
      </c>
      <c r="AF25">
        <v>6</v>
      </c>
      <c r="AG25">
        <v>6</v>
      </c>
      <c r="AJ25" s="10">
        <v>0</v>
      </c>
      <c r="AK25" t="str">
        <f>CONCATENATE(VLOOKUP(AL25, 'Voxel Sizes'!$A$2:$B$18,2,FALSE),"x",INT(AH25*15), "x", INT(AI25*15))</f>
        <v>60x0x0</v>
      </c>
      <c r="AL25">
        <f t="shared" si="1"/>
        <v>4</v>
      </c>
      <c r="AN25" t="str">
        <f>CONCATENATE(VLOOKUP(AL25,Constants!$A$2:$C$16,IF(AM25&lt;&gt;"", 3, 2), FALSE),IF(AM25&lt;&gt;"",CONCATENATE(",",VLOOKUP(AM25,$B:$AN,39,FALSE)),""))</f>
        <v>1,2,1</v>
      </c>
      <c r="AX25">
        <v>30</v>
      </c>
      <c r="AY25" s="15" t="str">
        <f t="shared" si="2"/>
        <v/>
      </c>
      <c r="BB25">
        <f t="shared" si="3"/>
        <v>0</v>
      </c>
      <c r="BC25">
        <f t="shared" si="4"/>
        <v>0</v>
      </c>
      <c r="BD25">
        <f t="shared" si="5"/>
        <v>0</v>
      </c>
      <c r="BE25" s="3">
        <f t="shared" si="6"/>
        <v>0.93866666666666665</v>
      </c>
      <c r="BF25">
        <f t="shared" si="7"/>
        <v>0</v>
      </c>
      <c r="BG25">
        <f>VLOOKUP($H25,Constants!$I:$K, 2, FALSE)</f>
        <v>0</v>
      </c>
      <c r="BH25">
        <f>VLOOKUP($H25,Constants!$I:$K, 3, FALSE)*IF(AND(G25="multiple_unit",AB25&lt;110),0.75,1)</f>
        <v>0</v>
      </c>
      <c r="BI25">
        <f>INT(POWER(((Constants!$G$2+$BB25+$BC25+$BD25+$BF25)*$BE25)*$BH25, 1.05))+$BA25</f>
        <v>0</v>
      </c>
      <c r="BJ25">
        <f>INT(POWER((((Constants!$G$1+$BB25+$BC25+$BD25+$BF25)*($BE25))*$BG25),IF($G25="wagon",1,1.2)))+$AZ25</f>
        <v>0</v>
      </c>
      <c r="BK25" s="14">
        <f t="shared" si="8"/>
        <v>0</v>
      </c>
      <c r="BL25" s="14">
        <f t="shared" si="9"/>
        <v>0</v>
      </c>
      <c r="BZ25" t="str">
        <f>VLOOKUP(J25,Eras!$A$2:$C$10, 2, TRUE)</f>
        <v>big4</v>
      </c>
      <c r="CB25" t="str">
        <f t="shared" si="10"/>
        <v>big4_</v>
      </c>
      <c r="CC25" t="str">
        <f t="shared" si="11"/>
        <v>tender_RAIL</v>
      </c>
      <c r="CD25" s="17" t="str" cm="1">
        <f t="array" ref="CD25">_xlfn.CONCAT("{BLACK}Length: {GOLD}", TEXT(ROUNDUP(IF(AQ25&lt;&gt;"",SUM(VALUE(_xlfn.TEXTSPLIT(AQ25, ","))), SUM(VALUE(_xlfn.TEXTSPLIT(AN25, ",")))*IF(M25, M25, 1))/16, 1), "#,##0.0"), " tiles{}")</f>
        <v>{BLACK}Length: {GOLD}0.3 tiles{}</v>
      </c>
      <c r="CE25" t="str">
        <f>VLOOKUP($CC25, Constants!$M:$N, 2, FALSE)</f>
        <v/>
      </c>
      <c r="CF25" t="str">
        <f t="shared" si="12"/>
        <v/>
      </c>
      <c r="CH25" t="str">
        <f t="shared" si="13"/>
        <v/>
      </c>
      <c r="CI25" t="str">
        <f t="shared" si="14"/>
        <v/>
      </c>
      <c r="CJ25" t="str">
        <f t="shared" si="15"/>
        <v>{BLACK}Length: {GOLD}0.3 tiles{}{SILVER}</v>
      </c>
    </row>
    <row r="26" spans="1:88" x14ac:dyDescent="0.35">
      <c r="A26" t="s">
        <v>627</v>
      </c>
      <c r="B26" t="s">
        <v>628</v>
      </c>
      <c r="C26">
        <v>-1</v>
      </c>
      <c r="E26">
        <v>-1</v>
      </c>
      <c r="G26" t="s">
        <v>286</v>
      </c>
      <c r="H26" t="s">
        <v>286</v>
      </c>
      <c r="I26" t="s">
        <v>270</v>
      </c>
      <c r="J26">
        <v>1958</v>
      </c>
      <c r="W26">
        <v>52</v>
      </c>
      <c r="AA26" s="3" t="str">
        <f t="shared" si="0"/>
        <v/>
      </c>
      <c r="AF26">
        <v>6</v>
      </c>
      <c r="AG26">
        <v>8</v>
      </c>
      <c r="AJ26" s="10">
        <v>0</v>
      </c>
      <c r="AK26" t="str">
        <f>CONCATENATE(VLOOKUP(AL26, 'Voxel Sizes'!$A$2:$B$18,2,FALSE),"x",INT(AH26*15), "x", INT(AI26*15))</f>
        <v>82x0x0</v>
      </c>
      <c r="AL26">
        <f t="shared" si="1"/>
        <v>5</v>
      </c>
      <c r="AN26" t="str">
        <f>CONCATENATE(VLOOKUP(AL26,Constants!$A$2:$C$16,IF(AM26&lt;&gt;"", 3, 2), FALSE),IF(AM26&lt;&gt;"",CONCATENATE(",",VLOOKUP(AM26,$B:$AN,39,FALSE)),""))</f>
        <v>2,1,2</v>
      </c>
      <c r="AX26">
        <v>30</v>
      </c>
      <c r="AY26" s="15" t="str">
        <f t="shared" si="2"/>
        <v/>
      </c>
      <c r="BB26">
        <f t="shared" si="3"/>
        <v>0</v>
      </c>
      <c r="BC26">
        <f t="shared" si="4"/>
        <v>0</v>
      </c>
      <c r="BD26">
        <f t="shared" si="5"/>
        <v>0</v>
      </c>
      <c r="BE26" s="3">
        <f t="shared" si="6"/>
        <v>0.92266666666666663</v>
      </c>
      <c r="BF26">
        <f t="shared" si="7"/>
        <v>0</v>
      </c>
      <c r="BG26">
        <f>VLOOKUP($H26,Constants!$I:$K, 2, FALSE)</f>
        <v>0</v>
      </c>
      <c r="BH26">
        <f>VLOOKUP($H26,Constants!$I:$K, 3, FALSE)*IF(AND(G26="multiple_unit",AB26&lt;110),0.75,1)</f>
        <v>0</v>
      </c>
      <c r="BI26">
        <f>INT(POWER(((Constants!$G$2+$BB26+$BC26+$BD26+$BF26)*$BE26)*$BH26, 1.05))+$BA26</f>
        <v>0</v>
      </c>
      <c r="BJ26">
        <f>INT(POWER((((Constants!$G$1+$BB26+$BC26+$BD26+$BF26)*($BE26))*$BG26),IF($G26="wagon",1,1.2)))+$AZ26</f>
        <v>0</v>
      </c>
      <c r="BK26" s="14">
        <f t="shared" si="8"/>
        <v>0</v>
      </c>
      <c r="BL26" s="14">
        <f t="shared" si="9"/>
        <v>0</v>
      </c>
      <c r="BZ26" t="str">
        <f>VLOOKUP(J26,Eras!$A$2:$C$10, 2, TRUE)</f>
        <v>dsl</v>
      </c>
      <c r="CB26" t="str">
        <f t="shared" si="10"/>
        <v>dsl_</v>
      </c>
      <c r="CC26" t="str">
        <f t="shared" si="11"/>
        <v>tender_RAIL</v>
      </c>
      <c r="CD26" s="17" t="str" cm="1">
        <f t="array" ref="CD26">_xlfn.CONCAT("{BLACK}Length: {GOLD}", TEXT(ROUNDUP(IF(AQ26&lt;&gt;"",SUM(VALUE(_xlfn.TEXTSPLIT(AQ26, ","))), SUM(VALUE(_xlfn.TEXTSPLIT(AN26, ",")))*IF(M26, M26, 1))/16, 1), "#,##0.0"), " tiles{}")</f>
        <v>{BLACK}Length: {GOLD}0.4 tiles{}</v>
      </c>
      <c r="CE26" t="str">
        <f>VLOOKUP($CC26, Constants!$M:$N, 2, FALSE)</f>
        <v/>
      </c>
      <c r="CF26" t="str">
        <f t="shared" si="12"/>
        <v/>
      </c>
      <c r="CH26" t="str">
        <f t="shared" si="13"/>
        <v/>
      </c>
      <c r="CI26" t="str">
        <f t="shared" si="14"/>
        <v/>
      </c>
      <c r="CJ26" t="str">
        <f t="shared" si="15"/>
        <v>{BLACK}Length: {GOLD}0.4 tiles{}{SILVER}</v>
      </c>
    </row>
    <row r="27" spans="1:88" x14ac:dyDescent="0.35">
      <c r="A27" t="s">
        <v>1364</v>
      </c>
      <c r="B27" t="s">
        <v>1365</v>
      </c>
      <c r="C27">
        <v>4</v>
      </c>
      <c r="E27">
        <v>1001</v>
      </c>
      <c r="F27" t="s">
        <v>1498</v>
      </c>
      <c r="G27" t="s">
        <v>276</v>
      </c>
      <c r="H27" t="s">
        <v>1098</v>
      </c>
      <c r="I27" t="s">
        <v>1370</v>
      </c>
      <c r="J27">
        <v>1700</v>
      </c>
      <c r="L27">
        <v>1870</v>
      </c>
      <c r="W27">
        <v>8</v>
      </c>
      <c r="Y27">
        <v>3</v>
      </c>
      <c r="AA27" s="3" t="str">
        <f t="shared" si="0"/>
        <v/>
      </c>
      <c r="AB27">
        <v>45</v>
      </c>
      <c r="AC27">
        <f>ROUND(AB27*1.6, 0)</f>
        <v>72</v>
      </c>
      <c r="AF27">
        <v>8</v>
      </c>
      <c r="AG27">
        <v>8</v>
      </c>
      <c r="AJ27" s="10">
        <v>18</v>
      </c>
      <c r="AK27" t="str">
        <f>CONCATENATE(VLOOKUP(AL27, 'Voxel Sizes'!$A$2:$B$18,2,FALSE),"x",INT(AH27*15), "x", INT(AI27*15))</f>
        <v>82x0x0</v>
      </c>
      <c r="AL27">
        <f t="shared" si="1"/>
        <v>5</v>
      </c>
      <c r="AN27" t="str">
        <f>CONCATENATE(VLOOKUP(AL27,Constants!$A$2:$C$16,IF(AM27&lt;&gt;"", 3, 2), FALSE),IF(AM27&lt;&gt;"",CONCATENATE(",",VLOOKUP(AM27,$B:$AN,39,FALSE)),""))</f>
        <v>2,1,2</v>
      </c>
      <c r="AX27">
        <v>30</v>
      </c>
      <c r="AY27" s="15">
        <f t="shared" si="2"/>
        <v>178</v>
      </c>
      <c r="AZ27">
        <v>10</v>
      </c>
      <c r="BA27">
        <v>10</v>
      </c>
      <c r="BB27">
        <f t="shared" si="3"/>
        <v>9</v>
      </c>
      <c r="BC27">
        <f t="shared" si="4"/>
        <v>0</v>
      </c>
      <c r="BD27">
        <f t="shared" si="5"/>
        <v>0</v>
      </c>
      <c r="BE27" s="3">
        <f t="shared" si="6"/>
        <v>1</v>
      </c>
      <c r="BF27">
        <f t="shared" si="7"/>
        <v>3</v>
      </c>
      <c r="BG27">
        <f>VLOOKUP($H27,Constants!$I:$K, 2, FALSE)</f>
        <v>1.2</v>
      </c>
      <c r="BH27">
        <f>VLOOKUP($H27,Constants!$I:$K, 3, FALSE)*IF(AND(G27="multiple_unit",AB27&lt;110),0.75,1)</f>
        <v>0.6</v>
      </c>
      <c r="BI27">
        <f>INT(POWER(((Constants!$G$2+$BB27+$BC27+$BD27+$BF27)*$BE27)*$BH27, 1.05))+$BA27</f>
        <v>21</v>
      </c>
      <c r="BJ27">
        <f>INT(POWER((((Constants!$G$1+$BB27+$BC27+$BD27+$BF27)*($BE27))*$BG27),IF($G27="wagon",1,1.2)))+$AZ27</f>
        <v>42</v>
      </c>
      <c r="BK27" s="14">
        <f t="shared" si="8"/>
        <v>1312.5</v>
      </c>
      <c r="BL27" s="14">
        <f t="shared" si="9"/>
        <v>114.66</v>
      </c>
      <c r="BU27">
        <v>10</v>
      </c>
      <c r="BV27">
        <v>185</v>
      </c>
      <c r="BX27" t="s">
        <v>866</v>
      </c>
      <c r="BY27" t="s">
        <v>278</v>
      </c>
      <c r="BZ27" t="str">
        <f>VLOOKUP(J27,Eras!$A$2:$C$10, 2, TRUE)</f>
        <v>early</v>
      </c>
      <c r="CA27" t="s">
        <v>330</v>
      </c>
      <c r="CB27" t="str">
        <f t="shared" si="10"/>
        <v>early_Carriage</v>
      </c>
      <c r="CC27" t="str">
        <f t="shared" si="11"/>
        <v>carriage_PLATEWAY</v>
      </c>
      <c r="CD27" s="17" t="str" cm="1">
        <f t="array" ref="CD27">_xlfn.CONCAT("{BLACK}Length: {GOLD}", TEXT(ROUNDUP(IF(AQ27&lt;&gt;"",SUM(VALUE(_xlfn.TEXTSPLIT(AQ27, ","))), SUM(VALUE(_xlfn.TEXTSPLIT(AN27, ",")))*IF(M27, M27, 1))/16, 1), "#,##0.0"), " tiles{}")</f>
        <v>{BLACK}Length: {GOLD}0.4 tiles{}</v>
      </c>
      <c r="CE27" t="str">
        <f>VLOOKUP($CC27, Constants!$M:$N, 2, FALSE)</f>
        <v/>
      </c>
      <c r="CF27" t="str">
        <f t="shared" si="12"/>
        <v/>
      </c>
      <c r="CG27" t="s">
        <v>1366</v>
      </c>
      <c r="CH27" t="str">
        <f t="shared" si="13"/>
        <v/>
      </c>
      <c r="CI27" t="str">
        <f t="shared" si="14"/>
        <v/>
      </c>
      <c r="CJ27" t="str">
        <f t="shared" si="15"/>
        <v>{BLACK}Length: {GOLD}0.4 tiles{}{SILVER}The first enclosed passenger carriages were adapted from stagecoach bodies, with wooden frames.</v>
      </c>
    </row>
    <row r="28" spans="1:88" x14ac:dyDescent="0.35">
      <c r="A28" t="s">
        <v>108</v>
      </c>
      <c r="B28" t="s">
        <v>249</v>
      </c>
      <c r="C28">
        <v>6</v>
      </c>
      <c r="E28">
        <v>1002</v>
      </c>
      <c r="F28" t="s">
        <v>1498</v>
      </c>
      <c r="G28" t="s">
        <v>276</v>
      </c>
      <c r="H28" t="s">
        <v>1098</v>
      </c>
      <c r="I28" t="s">
        <v>270</v>
      </c>
      <c r="J28">
        <v>1855</v>
      </c>
      <c r="L28">
        <v>1900</v>
      </c>
      <c r="W28">
        <v>18</v>
      </c>
      <c r="Y28">
        <v>4</v>
      </c>
      <c r="AA28" s="3" t="str">
        <f t="shared" si="0"/>
        <v/>
      </c>
      <c r="AB28">
        <v>65</v>
      </c>
      <c r="AC28">
        <f t="shared" ref="AC28:AC115" si="27">ROUND(AB28*1.6, 0)</f>
        <v>104</v>
      </c>
      <c r="AF28">
        <v>10</v>
      </c>
      <c r="AG28">
        <v>10</v>
      </c>
      <c r="AJ28" s="10">
        <v>24</v>
      </c>
      <c r="AK28" t="str">
        <f>CONCATENATE(VLOOKUP(AL28, 'Voxel Sizes'!$A$2:$B$18,2,FALSE),"x",INT(AH28*15), "x", INT(AI28*15))</f>
        <v>102x0x0</v>
      </c>
      <c r="AL28">
        <f t="shared" si="1"/>
        <v>6</v>
      </c>
      <c r="AN28" t="str">
        <f>CONCATENATE(VLOOKUP(AL28,Constants!$A$2:$C$16,IF(AM28&lt;&gt;"", 3, 2), FALSE),IF(AM28&lt;&gt;"",CONCATENATE(",",VLOOKUP(AM28,$B:$AN,39,FALSE)),""))</f>
        <v>2,2,2</v>
      </c>
      <c r="AX28">
        <v>30</v>
      </c>
      <c r="AY28" s="15">
        <f t="shared" si="2"/>
        <v>53</v>
      </c>
      <c r="AZ28">
        <v>35</v>
      </c>
      <c r="BA28">
        <v>42</v>
      </c>
      <c r="BB28">
        <f t="shared" si="3"/>
        <v>13</v>
      </c>
      <c r="BC28">
        <f t="shared" si="4"/>
        <v>0</v>
      </c>
      <c r="BD28">
        <f t="shared" si="5"/>
        <v>0</v>
      </c>
      <c r="BE28" s="3">
        <f t="shared" si="6"/>
        <v>1</v>
      </c>
      <c r="BF28">
        <f t="shared" si="7"/>
        <v>4</v>
      </c>
      <c r="BG28">
        <f>VLOOKUP($H28,Constants!$I:$K, 2, FALSE)</f>
        <v>1.2</v>
      </c>
      <c r="BH28">
        <f>VLOOKUP($H28,Constants!$I:$K, 3, FALSE)*IF(AND(G28="multiple_unit",AB28&lt;110),0.75,1)</f>
        <v>0.6</v>
      </c>
      <c r="BI28">
        <f>INT(POWER(((Constants!$G$2+$BB28+$BC28+$BD28+$BF28)*$BE28)*$BH28, 1.05))+$BA28</f>
        <v>57</v>
      </c>
      <c r="BJ28">
        <f>INT(POWER((((Constants!$G$1+$BB28+$BC28+$BD28+$BF28)*($BE28))*$BG28),IF($G28="wagon",1,1.2)))+$AZ28</f>
        <v>73</v>
      </c>
      <c r="BK28" s="14">
        <f t="shared" si="8"/>
        <v>3562.5</v>
      </c>
      <c r="BL28" s="14">
        <f t="shared" si="9"/>
        <v>199.29</v>
      </c>
      <c r="BU28">
        <v>10</v>
      </c>
      <c r="BV28">
        <v>185</v>
      </c>
      <c r="BX28" t="s">
        <v>866</v>
      </c>
      <c r="BY28" t="s">
        <v>278</v>
      </c>
      <c r="BZ28" t="str">
        <f>VLOOKUP(J28,Eras!$A$2:$C$10, 2, TRUE)</f>
        <v>vct</v>
      </c>
      <c r="CA28" t="s">
        <v>330</v>
      </c>
      <c r="CB28" t="str">
        <f t="shared" si="10"/>
        <v>vct_Carriage</v>
      </c>
      <c r="CC28" t="str">
        <f t="shared" si="11"/>
        <v>carriage_RAIL</v>
      </c>
      <c r="CD28" s="17" t="str" cm="1">
        <f t="array" ref="CD28">_xlfn.CONCAT("{BLACK}Length: {GOLD}", TEXT(ROUNDUP(IF(AQ28&lt;&gt;"",SUM(VALUE(_xlfn.TEXTSPLIT(AQ28, ","))), SUM(VALUE(_xlfn.TEXTSPLIT(AN28, ",")))*IF(M28, M28, 1))/16, 1), "#,##0.0"), " tiles{}")</f>
        <v>{BLACK}Length: {GOLD}0.4 tiles{}</v>
      </c>
      <c r="CE28" t="str">
        <f>VLOOKUP($CC28, Constants!$M:$N, 2, FALSE)</f>
        <v/>
      </c>
      <c r="CF28" t="str">
        <f t="shared" si="12"/>
        <v/>
      </c>
      <c r="CG28" t="s">
        <v>1317</v>
      </c>
      <c r="CH28" t="str">
        <f t="shared" si="13"/>
        <v/>
      </c>
      <c r="CI28" t="str">
        <f t="shared" si="14"/>
        <v/>
      </c>
      <c r="CJ28" t="str">
        <f t="shared" si="15"/>
        <v>{BLACK}Length: {GOLD}0.4 tiles{}{SILVER}Railway carriages from the 1850s to 1870s tended to be built on wooden or wrought iron frames of around 20-24ft in length, with oil lighting internally.</v>
      </c>
    </row>
    <row r="29" spans="1:88" ht="14.25" customHeight="1" x14ac:dyDescent="0.35">
      <c r="A29" t="s">
        <v>109</v>
      </c>
      <c r="B29" t="s">
        <v>250</v>
      </c>
      <c r="C29">
        <v>8</v>
      </c>
      <c r="E29">
        <v>1003</v>
      </c>
      <c r="F29" t="s">
        <v>1498</v>
      </c>
      <c r="G29" t="s">
        <v>276</v>
      </c>
      <c r="H29" t="s">
        <v>1098</v>
      </c>
      <c r="I29" t="s">
        <v>270</v>
      </c>
      <c r="J29">
        <v>1875</v>
      </c>
      <c r="L29">
        <v>1915</v>
      </c>
      <c r="W29">
        <v>21</v>
      </c>
      <c r="Y29">
        <v>4</v>
      </c>
      <c r="AA29" s="3" t="str">
        <f t="shared" si="0"/>
        <v/>
      </c>
      <c r="AB29">
        <v>75</v>
      </c>
      <c r="AC29">
        <f t="shared" si="27"/>
        <v>120</v>
      </c>
      <c r="AF29">
        <v>12</v>
      </c>
      <c r="AG29">
        <v>12</v>
      </c>
      <c r="AJ29" s="10">
        <v>30</v>
      </c>
      <c r="AK29" t="str">
        <f>CONCATENATE(VLOOKUP(AL29, 'Voxel Sizes'!$A$2:$B$18,2,FALSE),"x",INT(AH29*15), "x", INT(AI29*15))</f>
        <v>120x0x0</v>
      </c>
      <c r="AL29">
        <f t="shared" si="1"/>
        <v>7</v>
      </c>
      <c r="AN29" t="str">
        <f>CONCATENATE(VLOOKUP(AL29,Constants!$A$2:$C$16,IF(AM29&lt;&gt;"", 3, 2), FALSE),IF(AM29&lt;&gt;"",CONCATENATE(",",VLOOKUP(AM29,$B:$AN,39,FALSE)),""))</f>
        <v>2,3,2</v>
      </c>
      <c r="AX29">
        <v>30</v>
      </c>
      <c r="AY29" s="15">
        <f t="shared" si="2"/>
        <v>48</v>
      </c>
      <c r="AZ29">
        <v>58</v>
      </c>
      <c r="BA29">
        <v>48</v>
      </c>
      <c r="BB29">
        <f t="shared" si="3"/>
        <v>15</v>
      </c>
      <c r="BC29">
        <f t="shared" si="4"/>
        <v>0</v>
      </c>
      <c r="BD29">
        <f t="shared" si="5"/>
        <v>0</v>
      </c>
      <c r="BE29" s="3">
        <f t="shared" si="6"/>
        <v>1</v>
      </c>
      <c r="BF29">
        <f t="shared" si="7"/>
        <v>5</v>
      </c>
      <c r="BG29">
        <f>VLOOKUP($H29,Constants!$I:$K, 2, FALSE)</f>
        <v>1.2</v>
      </c>
      <c r="BH29">
        <f>VLOOKUP($H29,Constants!$I:$K, 3, FALSE)*IF(AND(G29="multiple_unit",AB29&lt;110),0.75,1)</f>
        <v>0.6</v>
      </c>
      <c r="BI29">
        <f>INT(POWER(((Constants!$G$2+$BB29+$BC29+$BD29+$BF29)*$BE29)*$BH29, 1.05))+$BA29</f>
        <v>65</v>
      </c>
      <c r="BJ29">
        <f>INT(POWER((((Constants!$G$1+$BB29+$BC29+$BD29+$BF29)*($BE29))*$BG29),IF($G29="wagon",1,1.2)))+$AZ29</f>
        <v>100</v>
      </c>
      <c r="BK29" s="14">
        <f t="shared" si="8"/>
        <v>4062.5</v>
      </c>
      <c r="BL29" s="14">
        <f t="shared" si="9"/>
        <v>273</v>
      </c>
      <c r="BU29">
        <v>11</v>
      </c>
      <c r="BV29">
        <v>185</v>
      </c>
      <c r="BX29" t="s">
        <v>866</v>
      </c>
      <c r="BY29" t="s">
        <v>278</v>
      </c>
      <c r="BZ29" t="str">
        <f>VLOOKUP(J29,Eras!$A$2:$C$10, 2, TRUE)</f>
        <v>vct</v>
      </c>
      <c r="CA29" t="s">
        <v>330</v>
      </c>
      <c r="CB29" t="str">
        <f t="shared" si="10"/>
        <v>vct_Carriage</v>
      </c>
      <c r="CC29" t="str">
        <f t="shared" si="11"/>
        <v>carriage_RAIL</v>
      </c>
      <c r="CD29" s="17" t="str" cm="1">
        <f t="array" ref="CD29">_xlfn.CONCAT("{BLACK}Length: {GOLD}", TEXT(ROUNDUP(IF(AQ29&lt;&gt;"",SUM(VALUE(_xlfn.TEXTSPLIT(AQ29, ","))), SUM(VALUE(_xlfn.TEXTSPLIT(AN29, ",")))*IF(M29, M29, 1))/16, 1), "#,##0.0"), " tiles{}")</f>
        <v>{BLACK}Length: {GOLD}0.5 tiles{}</v>
      </c>
      <c r="CE29" t="str">
        <f>VLOOKUP($CC29, Constants!$M:$N, 2, FALSE)</f>
        <v/>
      </c>
      <c r="CF29" t="str">
        <f t="shared" si="12"/>
        <v/>
      </c>
      <c r="CG29" t="s">
        <v>1394</v>
      </c>
      <c r="CH29" t="str">
        <f t="shared" si="13"/>
        <v/>
      </c>
      <c r="CI29" t="str">
        <f t="shared" si="14"/>
        <v/>
      </c>
      <c r="CJ29" t="str">
        <f t="shared" si="15"/>
        <v>{BLACK}Length: {GOLD}0.5 tiles{}{SILVER}After early experiments for royal saloons, smoother and faster-running six wheel carriages with then-modern fixtures such as gas lighting became common from the 1870s, displacing older four wheeled stock to smaller suburban lines.</v>
      </c>
    </row>
    <row r="30" spans="1:88" x14ac:dyDescent="0.35">
      <c r="A30" t="s">
        <v>1444</v>
      </c>
      <c r="B30" t="s">
        <v>1445</v>
      </c>
      <c r="C30">
        <v>9</v>
      </c>
      <c r="E30">
        <v>1004</v>
      </c>
      <c r="F30" t="s">
        <v>1498</v>
      </c>
      <c r="G30" t="s">
        <v>276</v>
      </c>
      <c r="H30" t="s">
        <v>1098</v>
      </c>
      <c r="I30" t="s">
        <v>1400</v>
      </c>
      <c r="J30">
        <v>1889</v>
      </c>
      <c r="L30">
        <v>1924</v>
      </c>
      <c r="W30">
        <v>15</v>
      </c>
      <c r="Y30">
        <v>7</v>
      </c>
      <c r="AA30" s="3" t="str">
        <f t="shared" si="0"/>
        <v/>
      </c>
      <c r="AB30">
        <v>30</v>
      </c>
      <c r="AC30">
        <f t="shared" si="27"/>
        <v>48</v>
      </c>
      <c r="AF30">
        <v>14</v>
      </c>
      <c r="AG30">
        <v>14</v>
      </c>
      <c r="AJ30" s="10">
        <v>66</v>
      </c>
      <c r="AK30" t="str">
        <f>CONCATENATE(VLOOKUP(AL30, 'Voxel Sizes'!$A$2:$B$18,2,FALSE),"x",INT(AH30*15), "x", INT(AI30*15))</f>
        <v>136x0x0</v>
      </c>
      <c r="AL30">
        <f t="shared" si="1"/>
        <v>8</v>
      </c>
      <c r="AN30" t="str">
        <f>CONCATENATE(VLOOKUP(AL30,Constants!$A$2:$C$16,IF(AM30&lt;&gt;"", 3, 2), FALSE),IF(AM30&lt;&gt;"",CONCATENATE(",",VLOOKUP(AM30,$B:$AN,39,FALSE)),""))</f>
        <v>2,4,2</v>
      </c>
      <c r="AX30">
        <v>30</v>
      </c>
      <c r="AY30" s="15">
        <f t="shared" si="2"/>
        <v>43</v>
      </c>
      <c r="AZ30">
        <v>41</v>
      </c>
      <c r="BA30">
        <v>20</v>
      </c>
      <c r="BB30">
        <f t="shared" si="3"/>
        <v>6</v>
      </c>
      <c r="BC30">
        <f t="shared" si="4"/>
        <v>0</v>
      </c>
      <c r="BD30">
        <f t="shared" si="5"/>
        <v>0</v>
      </c>
      <c r="BE30" s="3">
        <f t="shared" si="6"/>
        <v>1</v>
      </c>
      <c r="BF30">
        <f t="shared" si="7"/>
        <v>11</v>
      </c>
      <c r="BG30">
        <f>VLOOKUP($H30,Constants!$I:$K, 2, FALSE)</f>
        <v>1.2</v>
      </c>
      <c r="BH30">
        <f>VLOOKUP($H30,Constants!$I:$K, 3, FALSE)*IF(AND(G30="multiple_unit",AB30&lt;110),0.75,1)</f>
        <v>0.6</v>
      </c>
      <c r="BI30">
        <f>INT(POWER(((Constants!$G$2+$BB30+$BC30+$BD30+$BF30)*$BE30)*$BH30, 1.05))+$BA30</f>
        <v>35</v>
      </c>
      <c r="BJ30">
        <f>INT(POWER((((Constants!$G$1+$BB30+$BC30+$BD30+$BF30)*($BE30))*$BG30),IF($G30="wagon",1,1.2)))+$AZ30</f>
        <v>79</v>
      </c>
      <c r="BK30" s="14">
        <f t="shared" si="8"/>
        <v>2187.5</v>
      </c>
      <c r="BL30" s="14">
        <f t="shared" si="9"/>
        <v>215.67</v>
      </c>
      <c r="BU30">
        <v>1</v>
      </c>
      <c r="BV30">
        <v>120</v>
      </c>
      <c r="BX30" t="s">
        <v>866</v>
      </c>
      <c r="BY30" t="s">
        <v>278</v>
      </c>
      <c r="BZ30" t="str">
        <f>VLOOKUP(J30,Eras!$A$2:$C$10, 2, TRUE)</f>
        <v>vct</v>
      </c>
      <c r="CA30" t="s">
        <v>330</v>
      </c>
      <c r="CB30" t="str">
        <f t="shared" si="10"/>
        <v>vct_Carriage</v>
      </c>
      <c r="CC30" t="str">
        <f t="shared" si="11"/>
        <v>carriage_FOURTH_RAIL</v>
      </c>
      <c r="CD30" s="17" t="str" cm="1">
        <f t="array" ref="CD30">_xlfn.CONCAT("{BLACK}Length: {GOLD}", TEXT(ROUNDUP(IF(AQ30&lt;&gt;"",SUM(VALUE(_xlfn.TEXTSPLIT(AQ30, ","))), SUM(VALUE(_xlfn.TEXTSPLIT(AN30, ",")))*IF(M30, M30, 1))/16, 1), "#,##0.0"), " tiles{}")</f>
        <v>{BLACK}Length: {GOLD}0.5 tiles{}</v>
      </c>
      <c r="CE30" t="str">
        <f>VLOOKUP($CC30, Constants!$M:$N, 2, FALSE)</f>
        <v/>
      </c>
      <c r="CF30" t="str">
        <f t="shared" si="12"/>
        <v/>
      </c>
      <c r="CG30" t="s">
        <v>1446</v>
      </c>
      <c r="CH30" t="str">
        <f t="shared" si="13"/>
        <v/>
      </c>
      <c r="CI30" t="str">
        <f t="shared" si="14"/>
        <v>{YELLOW}35% penalty for long distance travel{}</v>
      </c>
      <c r="CJ30" t="str">
        <f t="shared" si="15"/>
        <v>{BLACK}Length: {GOLD}0.5 tiles{}{YELLOW}35% penalty for long distance travel{}{SILVER}Early Tube carriages were nicknamed "Padded Cell" due to their tall cushion-backed seats and small windows.</v>
      </c>
    </row>
    <row r="31" spans="1:88" x14ac:dyDescent="0.35">
      <c r="A31" t="s">
        <v>110</v>
      </c>
      <c r="B31" t="s">
        <v>199</v>
      </c>
      <c r="C31">
        <v>10</v>
      </c>
      <c r="E31">
        <v>1005</v>
      </c>
      <c r="F31" t="s">
        <v>1498</v>
      </c>
      <c r="G31" t="s">
        <v>276</v>
      </c>
      <c r="H31" t="s">
        <v>1098</v>
      </c>
      <c r="I31" t="s">
        <v>270</v>
      </c>
      <c r="J31">
        <v>1892</v>
      </c>
      <c r="L31">
        <v>1935</v>
      </c>
      <c r="W31">
        <v>28</v>
      </c>
      <c r="Y31">
        <v>4</v>
      </c>
      <c r="AA31" s="3" t="str">
        <f t="shared" si="0"/>
        <v/>
      </c>
      <c r="AB31">
        <v>90</v>
      </c>
      <c r="AC31">
        <f t="shared" si="27"/>
        <v>144</v>
      </c>
      <c r="AF31">
        <v>16.2</v>
      </c>
      <c r="AG31">
        <v>16.2</v>
      </c>
      <c r="AH31">
        <v>2.8</v>
      </c>
      <c r="AJ31" s="10">
        <v>42</v>
      </c>
      <c r="AK31" t="str">
        <f>CONCATENATE(VLOOKUP(AL31, 'Voxel Sizes'!$A$2:$B$18,2,FALSE),"x",INT(AH31*15), "x", INT(AI31*15))</f>
        <v>152x42x0</v>
      </c>
      <c r="AL31">
        <f t="shared" si="1"/>
        <v>9</v>
      </c>
      <c r="AN31" t="str">
        <f>CONCATENATE(VLOOKUP(AL31,Constants!$A$2:$C$16,IF(AM31&lt;&gt;"", 3, 2), FALSE),IF(AM31&lt;&gt;"",CONCATENATE(",",VLOOKUP(AM31,$B:$AN,39,FALSE)),""))</f>
        <v>2,5,2</v>
      </c>
      <c r="AX31">
        <v>30</v>
      </c>
      <c r="AY31" s="15">
        <f t="shared" si="2"/>
        <v>51</v>
      </c>
      <c r="AZ31">
        <v>69</v>
      </c>
      <c r="BA31">
        <f>19*3</f>
        <v>57</v>
      </c>
      <c r="BB31">
        <f t="shared" si="3"/>
        <v>18</v>
      </c>
      <c r="BC31">
        <f t="shared" si="4"/>
        <v>0</v>
      </c>
      <c r="BD31">
        <f t="shared" si="5"/>
        <v>0</v>
      </c>
      <c r="BE31" s="3">
        <f t="shared" si="6"/>
        <v>1</v>
      </c>
      <c r="BF31">
        <f t="shared" si="7"/>
        <v>7.0000000000000009</v>
      </c>
      <c r="BG31">
        <f>VLOOKUP($H31,Constants!$I:$K, 2, FALSE)</f>
        <v>1.2</v>
      </c>
      <c r="BH31">
        <f>VLOOKUP($H31,Constants!$I:$K, 3, FALSE)*IF(AND(G31="multiple_unit",AB31&lt;110),0.75,1)</f>
        <v>0.6</v>
      </c>
      <c r="BI31">
        <f>INT(POWER(((Constants!$G$2+$BB31+$BC31+$BD31+$BF31)*$BE31)*$BH31, 1.05))+$BA31</f>
        <v>77</v>
      </c>
      <c r="BJ31">
        <f>INT(POWER((((Constants!$G$1+$BB31+$BC31+$BD31+$BF31)*($BE31))*$BG31),IF($G31="wagon",1,1.2)))+$AZ31</f>
        <v>117</v>
      </c>
      <c r="BK31" s="14">
        <f t="shared" si="8"/>
        <v>4812.5</v>
      </c>
      <c r="BL31" s="14">
        <f t="shared" si="9"/>
        <v>319.41000000000003</v>
      </c>
      <c r="BU31">
        <v>1</v>
      </c>
      <c r="BV31">
        <v>185</v>
      </c>
      <c r="BX31" t="s">
        <v>866</v>
      </c>
      <c r="BY31" t="s">
        <v>278</v>
      </c>
      <c r="BZ31" t="str">
        <f>VLOOKUP(J31,Eras!$A$2:$C$10, 2, TRUE)</f>
        <v>vct</v>
      </c>
      <c r="CA31" t="s">
        <v>330</v>
      </c>
      <c r="CB31" t="str">
        <f t="shared" si="10"/>
        <v>vct_Carriage</v>
      </c>
      <c r="CC31" t="str">
        <f t="shared" si="11"/>
        <v>carriage_RAIL</v>
      </c>
      <c r="CD31" s="17" t="str" cm="1">
        <f t="array" ref="CD31">_xlfn.CONCAT("{BLACK}Length: {GOLD}", TEXT(ROUNDUP(IF(AQ31&lt;&gt;"",SUM(VALUE(_xlfn.TEXTSPLIT(AQ31, ","))), SUM(VALUE(_xlfn.TEXTSPLIT(AN31, ",")))*IF(M31, M31, 1))/16, 1), "#,##0.0"), " tiles{}")</f>
        <v>{BLACK}Length: {GOLD}0.6 tiles{}</v>
      </c>
      <c r="CE31" t="str">
        <f>VLOOKUP($CC31, Constants!$M:$N, 2, FALSE)</f>
        <v/>
      </c>
      <c r="CF31" t="str">
        <f t="shared" si="12"/>
        <v/>
      </c>
      <c r="CG31" t="s">
        <v>701</v>
      </c>
      <c r="CH31" t="str">
        <f t="shared" si="13"/>
        <v/>
      </c>
      <c r="CI31" t="str">
        <f t="shared" si="14"/>
        <v/>
      </c>
      <c r="CJ31" t="str">
        <f t="shared" si="15"/>
        <v>{BLACK}Length: {GOLD}0.6 tiles{}{SILVER}Toward the end of the Victorian era, passenger carriages began to be mounted on bogies rather than fixed axles. Many featured clerestory-style roofs.</v>
      </c>
    </row>
    <row r="32" spans="1:88" x14ac:dyDescent="0.35">
      <c r="A32" t="s">
        <v>389</v>
      </c>
      <c r="B32" t="s">
        <v>390</v>
      </c>
      <c r="C32">
        <v>12</v>
      </c>
      <c r="E32">
        <v>1006</v>
      </c>
      <c r="F32" t="s">
        <v>1498</v>
      </c>
      <c r="G32" t="s">
        <v>276</v>
      </c>
      <c r="H32" t="s">
        <v>1098</v>
      </c>
      <c r="I32" t="s">
        <v>270</v>
      </c>
      <c r="J32">
        <v>1904</v>
      </c>
      <c r="L32">
        <v>1955</v>
      </c>
      <c r="W32">
        <v>34</v>
      </c>
      <c r="Y32">
        <v>5</v>
      </c>
      <c r="AA32" s="3" t="str">
        <f t="shared" si="0"/>
        <v/>
      </c>
      <c r="AB32">
        <v>100</v>
      </c>
      <c r="AC32">
        <f t="shared" si="27"/>
        <v>160</v>
      </c>
      <c r="AF32">
        <v>17.7</v>
      </c>
      <c r="AG32">
        <v>17.7</v>
      </c>
      <c r="AH32">
        <v>2.83</v>
      </c>
      <c r="AI32">
        <v>3.79</v>
      </c>
      <c r="AJ32" s="10">
        <v>48</v>
      </c>
      <c r="AK32" t="str">
        <f>CONCATENATE(VLOOKUP(AL32, 'Voxel Sizes'!$A$2:$B$18,2,FALSE),"x",INT(AH32*15), "x", INT(AI32*15))</f>
        <v>164x42x56</v>
      </c>
      <c r="AL32">
        <f t="shared" si="1"/>
        <v>10</v>
      </c>
      <c r="AN32" t="str">
        <f>CONCATENATE(VLOOKUP(AL32,Constants!$A$2:$C$16,IF(AM32&lt;&gt;"", 3, 2), FALSE),IF(AM32&lt;&gt;"",CONCATENATE(",",VLOOKUP(AM32,$B:$AN,39,FALSE)),""))</f>
        <v>4,2,4</v>
      </c>
      <c r="AX32">
        <v>30</v>
      </c>
      <c r="AY32" s="15">
        <f t="shared" si="2"/>
        <v>59</v>
      </c>
      <c r="AZ32">
        <v>72</v>
      </c>
      <c r="BA32">
        <f>20*3</f>
        <v>60</v>
      </c>
      <c r="BB32">
        <f t="shared" si="3"/>
        <v>20</v>
      </c>
      <c r="BC32">
        <f t="shared" si="4"/>
        <v>0</v>
      </c>
      <c r="BD32">
        <f t="shared" si="5"/>
        <v>0</v>
      </c>
      <c r="BE32" s="3">
        <f t="shared" si="6"/>
        <v>0.9946666666666667</v>
      </c>
      <c r="BF32">
        <f t="shared" si="7"/>
        <v>8</v>
      </c>
      <c r="BG32">
        <f>VLOOKUP($H32,Constants!$I:$K, 2, FALSE)</f>
        <v>1.2</v>
      </c>
      <c r="BH32">
        <f>VLOOKUP($H32,Constants!$I:$K, 3, FALSE)*IF(AND(G32="multiple_unit",AB32&lt;110),0.75,1)</f>
        <v>0.6</v>
      </c>
      <c r="BI32">
        <f>INT(POWER(((Constants!$G$2+$BB32+$BC32+$BD32+$BF32)*$BE32)*$BH32, 1.05))+$BA32</f>
        <v>82</v>
      </c>
      <c r="BJ32">
        <f>INT(POWER((((Constants!$G$1+$BB32+$BC32+$BD32+$BF32)*($BE32))*$BG32),IF($G32="wagon",1,1.2)))+$AZ32</f>
        <v>123</v>
      </c>
      <c r="BK32" s="14">
        <f t="shared" si="8"/>
        <v>5125</v>
      </c>
      <c r="BL32" s="14">
        <f t="shared" si="9"/>
        <v>335.79</v>
      </c>
      <c r="BU32">
        <v>1</v>
      </c>
      <c r="BV32">
        <v>185</v>
      </c>
      <c r="BX32" t="s">
        <v>866</v>
      </c>
      <c r="BY32" t="s">
        <v>278</v>
      </c>
      <c r="BZ32" t="str">
        <f>VLOOKUP(J32,Eras!$A$2:$C$10, 2, TRUE)</f>
        <v>edw</v>
      </c>
      <c r="CA32" t="s">
        <v>330</v>
      </c>
      <c r="CB32" t="str">
        <f t="shared" si="10"/>
        <v>edw_Carriage</v>
      </c>
      <c r="CC32" t="str">
        <f t="shared" si="11"/>
        <v>carriage_RAIL</v>
      </c>
      <c r="CD32" s="17" t="str" cm="1">
        <f t="array" ref="CD32">_xlfn.CONCAT("{BLACK}Length: {GOLD}", TEXT(ROUNDUP(IF(AQ32&lt;&gt;"",SUM(VALUE(_xlfn.TEXTSPLIT(AQ32, ","))), SUM(VALUE(_xlfn.TEXTSPLIT(AN32, ",")))*IF(M32, M32, 1))/16, 1), "#,##0.0"), " tiles{}")</f>
        <v>{BLACK}Length: {GOLD}0.7 tiles{}</v>
      </c>
      <c r="CE32" t="str">
        <f>VLOOKUP($CC32, Constants!$M:$N, 2, FALSE)</f>
        <v/>
      </c>
      <c r="CF32" t="str">
        <f t="shared" si="12"/>
        <v/>
      </c>
      <c r="CG32" t="s">
        <v>391</v>
      </c>
      <c r="CH32" t="str">
        <f t="shared" si="13"/>
        <v/>
      </c>
      <c r="CI32" t="str">
        <f t="shared" si="14"/>
        <v/>
      </c>
      <c r="CJ32" t="str">
        <f t="shared" si="15"/>
        <v>{BLACK}Length: {GOLD}0.7 tiles{}{SILVER}In the early 20th century passenger coaches were stretched to greater lengths. This is a typical LNWR design.</v>
      </c>
    </row>
    <row r="33" spans="1:88" x14ac:dyDescent="0.35">
      <c r="A33" t="s">
        <v>111</v>
      </c>
      <c r="B33" t="s">
        <v>441</v>
      </c>
      <c r="C33">
        <v>14</v>
      </c>
      <c r="E33">
        <v>1007</v>
      </c>
      <c r="F33" t="s">
        <v>1498</v>
      </c>
      <c r="G33" t="s">
        <v>276</v>
      </c>
      <c r="H33" t="s">
        <v>1099</v>
      </c>
      <c r="I33" t="s">
        <v>270</v>
      </c>
      <c r="J33">
        <v>1928</v>
      </c>
      <c r="L33">
        <v>1970</v>
      </c>
      <c r="W33">
        <v>40</v>
      </c>
      <c r="Y33">
        <v>4</v>
      </c>
      <c r="AA33" s="3" t="str">
        <f t="shared" si="0"/>
        <v/>
      </c>
      <c r="AB33">
        <v>105</v>
      </c>
      <c r="AC33">
        <f t="shared" si="27"/>
        <v>168</v>
      </c>
      <c r="AF33">
        <v>20</v>
      </c>
      <c r="AG33">
        <v>20</v>
      </c>
      <c r="AJ33" s="10">
        <v>48</v>
      </c>
      <c r="AK33" t="str">
        <f>CONCATENATE(VLOOKUP(AL33, 'Voxel Sizes'!$A$2:$B$18,2,FALSE),"x",INT(AH33*15), "x", INT(AI33*15))</f>
        <v>198x0x0</v>
      </c>
      <c r="AL33">
        <f t="shared" si="1"/>
        <v>12</v>
      </c>
      <c r="AN33" t="str">
        <f>CONCATENATE(VLOOKUP(AL33,Constants!$A$2:$C$16,IF(AM33&lt;&gt;"", 3, 2), FALSE),IF(AM33&lt;&gt;"",CONCATENATE(",",VLOOKUP(AM33,$B:$AN,39,FALSE)),""))</f>
        <v>4,4,4</v>
      </c>
      <c r="AX33">
        <v>30</v>
      </c>
      <c r="AY33" s="15">
        <f t="shared" si="2"/>
        <v>50</v>
      </c>
      <c r="AZ33">
        <v>93</v>
      </c>
      <c r="BA33">
        <f>26*3</f>
        <v>78</v>
      </c>
      <c r="BB33">
        <f t="shared" si="3"/>
        <v>21</v>
      </c>
      <c r="BC33">
        <f t="shared" si="4"/>
        <v>0</v>
      </c>
      <c r="BD33">
        <f t="shared" si="5"/>
        <v>0</v>
      </c>
      <c r="BE33" s="3">
        <f t="shared" si="6"/>
        <v>0.96266666666666667</v>
      </c>
      <c r="BF33">
        <f t="shared" si="7"/>
        <v>8</v>
      </c>
      <c r="BG33">
        <f>VLOOKUP($H33,Constants!$I:$K, 2, FALSE)</f>
        <v>1.5</v>
      </c>
      <c r="BH33">
        <f>VLOOKUP($H33,Constants!$I:$K, 3, FALSE)*IF(AND(G33="multiple_unit",AB33&lt;110),0.75,1)</f>
        <v>0.7</v>
      </c>
      <c r="BI33">
        <f>INT(POWER(((Constants!$G$2+$BB33+$BC33+$BD33+$BF33)*$BE33)*$BH33, 1.05))+$BA33</f>
        <v>104</v>
      </c>
      <c r="BJ33">
        <f>INT(POWER((((Constants!$G$1+$BB33+$BC33+$BD33+$BF33)*($BE33))*$BG33),IF($G33="wagon",1,1.2)))+$AZ33</f>
        <v>156</v>
      </c>
      <c r="BK33" s="14">
        <f t="shared" si="8"/>
        <v>6500</v>
      </c>
      <c r="BL33" s="14">
        <f t="shared" si="9"/>
        <v>425.88</v>
      </c>
      <c r="BU33">
        <v>1</v>
      </c>
      <c r="BV33">
        <v>260</v>
      </c>
      <c r="BX33" t="s">
        <v>866</v>
      </c>
      <c r="BY33" t="s">
        <v>278</v>
      </c>
      <c r="BZ33" t="str">
        <f>VLOOKUP(J33,Eras!$A$2:$C$10, 2, TRUE)</f>
        <v>big4</v>
      </c>
      <c r="CA33" t="s">
        <v>330</v>
      </c>
      <c r="CB33" t="str">
        <f t="shared" si="10"/>
        <v>big4_Carriage</v>
      </c>
      <c r="CC33" t="str">
        <f t="shared" si="11"/>
        <v>luxury_carriage_RAIL</v>
      </c>
      <c r="CD33" s="17" t="str" cm="1">
        <f t="array" ref="CD33">_xlfn.CONCAT("{BLACK}Length: {GOLD}", TEXT(ROUNDUP(IF(AQ33&lt;&gt;"",SUM(VALUE(_xlfn.TEXTSPLIT(AQ33, ","))), SUM(VALUE(_xlfn.TEXTSPLIT(AN33, ",")))*IF(M33, M33, 1))/16, 1), "#,##0.0"), " tiles{}")</f>
        <v>{BLACK}Length: {GOLD}0.8 tiles{}</v>
      </c>
      <c r="CE33" t="str">
        <f>VLOOKUP($CC33, Constants!$M:$N, 2, FALSE)</f>
        <v/>
      </c>
      <c r="CF33" t="str">
        <f t="shared" si="12"/>
        <v/>
      </c>
      <c r="CG33" t="s">
        <v>1395</v>
      </c>
      <c r="CH33" t="str">
        <f t="shared" si="13"/>
        <v/>
      </c>
      <c r="CI33" t="str">
        <f t="shared" si="14"/>
        <v>{YELLOW}40% bonus for long distance travel{}</v>
      </c>
      <c r="CJ33" t="str">
        <f t="shared" si="15"/>
        <v>{BLACK}Length: {GOLD}0.8 tiles{}{YELLOW}40% bonus for long distance travel{}{SILVER}The luxurious Pullman cars were large and heavy, with many still in use today for restaurant services.</v>
      </c>
    </row>
    <row r="34" spans="1:88" x14ac:dyDescent="0.35">
      <c r="A34" t="s">
        <v>1112</v>
      </c>
      <c r="B34" t="s">
        <v>1113</v>
      </c>
      <c r="C34">
        <v>15</v>
      </c>
      <c r="E34">
        <v>1008</v>
      </c>
      <c r="F34" t="s">
        <v>1498</v>
      </c>
      <c r="G34" t="s">
        <v>276</v>
      </c>
      <c r="H34" t="s">
        <v>1099</v>
      </c>
      <c r="I34" t="s">
        <v>270</v>
      </c>
      <c r="J34">
        <v>1931</v>
      </c>
      <c r="L34">
        <v>1965</v>
      </c>
      <c r="W34">
        <v>36</v>
      </c>
      <c r="Y34">
        <v>5</v>
      </c>
      <c r="AA34" s="3" t="str">
        <f t="shared" si="0"/>
        <v/>
      </c>
      <c r="AB34">
        <v>130</v>
      </c>
      <c r="AC34">
        <f t="shared" si="27"/>
        <v>208</v>
      </c>
      <c r="AF34">
        <v>17.7</v>
      </c>
      <c r="AG34">
        <v>17.7</v>
      </c>
      <c r="AH34">
        <v>2.83</v>
      </c>
      <c r="AI34">
        <v>3.79</v>
      </c>
      <c r="AJ34" s="10">
        <v>45</v>
      </c>
      <c r="AK34" t="str">
        <f>CONCATENATE(VLOOKUP(AL34, 'Voxel Sizes'!$A$2:$B$18,2,FALSE),"x",INT(AH34*15), "x", INT(AI34*15))</f>
        <v>164x42x56</v>
      </c>
      <c r="AL34">
        <f t="shared" si="1"/>
        <v>10</v>
      </c>
      <c r="AN34" t="str">
        <f>CONCATENATE(VLOOKUP(AL34,Constants!$A$2:$C$16,IF(AM34&lt;&gt;"", 3, 2), FALSE),IF(AM34&lt;&gt;"",CONCATENATE(",",VLOOKUP(AM34,$B:$AN,39,FALSE)),""))</f>
        <v>4,2,4</v>
      </c>
      <c r="AW34" t="s">
        <v>1158</v>
      </c>
      <c r="AX34">
        <v>30</v>
      </c>
      <c r="AY34" s="15">
        <f t="shared" si="2"/>
        <v>42</v>
      </c>
      <c r="AZ34">
        <v>102</v>
      </c>
      <c r="BA34">
        <f>31*3</f>
        <v>93</v>
      </c>
      <c r="BB34">
        <f t="shared" si="3"/>
        <v>26</v>
      </c>
      <c r="BC34">
        <f t="shared" si="4"/>
        <v>0</v>
      </c>
      <c r="BD34">
        <f t="shared" si="5"/>
        <v>0</v>
      </c>
      <c r="BE34" s="3">
        <f t="shared" si="6"/>
        <v>0.95866666666666667</v>
      </c>
      <c r="BF34">
        <f t="shared" si="7"/>
        <v>7.5</v>
      </c>
      <c r="BG34">
        <f>VLOOKUP($H34,Constants!$I:$K, 2, FALSE)</f>
        <v>1.5</v>
      </c>
      <c r="BH34">
        <f>VLOOKUP($H34,Constants!$I:$K, 3, FALSE)*IF(AND(G34="multiple_unit",AB34&lt;110),0.75,1)</f>
        <v>0.7</v>
      </c>
      <c r="BI34">
        <f>INT(POWER(((Constants!$G$2+$BB34+$BC34+$BD34+$BF34)*$BE34)*$BH34, 1.05))+$BA34</f>
        <v>123</v>
      </c>
      <c r="BJ34">
        <f>INT(POWER((((Constants!$G$1+$BB34+$BC34+$BD34+$BF34)*($BE34))*$BG34),IF($G34="wagon",1,1.2)))+$AZ34</f>
        <v>171</v>
      </c>
      <c r="BK34" s="14">
        <f t="shared" si="8"/>
        <v>7687.5</v>
      </c>
      <c r="BL34" s="14">
        <f t="shared" si="9"/>
        <v>466.83</v>
      </c>
      <c r="BU34">
        <v>1</v>
      </c>
      <c r="BV34">
        <v>222</v>
      </c>
      <c r="BX34" t="s">
        <v>866</v>
      </c>
      <c r="BY34" t="s">
        <v>278</v>
      </c>
      <c r="BZ34" t="str">
        <f>VLOOKUP(J34,Eras!$A$2:$C$10, 2, TRUE)</f>
        <v>big4</v>
      </c>
      <c r="CA34" t="s">
        <v>330</v>
      </c>
      <c r="CB34" t="str">
        <f t="shared" si="10"/>
        <v>big4_Carriage</v>
      </c>
      <c r="CC34" t="str">
        <f t="shared" si="11"/>
        <v>luxury_carriage_RAIL</v>
      </c>
      <c r="CD34" s="17" t="str" cm="1">
        <f t="array" ref="CD34">_xlfn.CONCAT("{BLACK}Length: {GOLD}", TEXT(ROUNDUP(IF(AQ34&lt;&gt;"",SUM(VALUE(_xlfn.TEXTSPLIT(AQ34, ","))), SUM(VALUE(_xlfn.TEXTSPLIT(AN34, ",")))*IF(M34, M34, 1))/16, 1), "#,##0.0"), " tiles{}")</f>
        <v>{BLACK}Length: {GOLD}0.7 tiles{}</v>
      </c>
      <c r="CE34" t="str">
        <f>VLOOKUP($CC34, Constants!$M:$N, 2, FALSE)</f>
        <v/>
      </c>
      <c r="CF34" t="str">
        <f t="shared" ref="CF34:CF75" si="28">IF(M34&gt;1,_xlfn.CONCAT("{BLACK}Cars: {GOLD}", M34),"")</f>
        <v/>
      </c>
      <c r="CG34" t="s">
        <v>1114</v>
      </c>
      <c r="CH34" t="str">
        <f t="shared" si="13"/>
        <v/>
      </c>
      <c r="CI34" t="str">
        <f t="shared" si="14"/>
        <v>{YELLOW}20% bonus for long distance travel{}</v>
      </c>
      <c r="CJ34" t="str">
        <f t="shared" si="15"/>
        <v>{BLACK}Length: {GOLD}0.7 tiles{}{YELLOW}20% bonus for long distance travel{}{SILVER}As express services increased in speed, carriages were streamlined with valances between bogies and flexible walls connecting each carriage.</v>
      </c>
    </row>
    <row r="35" spans="1:88" ht="14" customHeight="1" x14ac:dyDescent="0.35">
      <c r="A35" t="s">
        <v>1528</v>
      </c>
      <c r="B35" t="s">
        <v>254</v>
      </c>
      <c r="C35">
        <v>753</v>
      </c>
      <c r="E35">
        <v>1009</v>
      </c>
      <c r="F35" t="s">
        <v>1498</v>
      </c>
      <c r="G35" t="s">
        <v>276</v>
      </c>
      <c r="H35" t="s">
        <v>1098</v>
      </c>
      <c r="I35" t="s">
        <v>270</v>
      </c>
      <c r="J35">
        <v>1951</v>
      </c>
      <c r="K35">
        <v>1963</v>
      </c>
      <c r="L35">
        <v>1974</v>
      </c>
      <c r="W35">
        <v>32.5</v>
      </c>
      <c r="Y35">
        <v>5</v>
      </c>
      <c r="AA35" s="3" t="str">
        <f t="shared" ref="AA35:AA92" si="29">IF(AND(W35&gt;0,Z35&gt;0),(Z35/((W35+X35)*10)),"")</f>
        <v/>
      </c>
      <c r="AB35">
        <v>100</v>
      </c>
      <c r="AC35">
        <f t="shared" si="27"/>
        <v>160</v>
      </c>
      <c r="AF35">
        <v>19.3</v>
      </c>
      <c r="AG35">
        <v>20</v>
      </c>
      <c r="AJ35" s="10">
        <v>63</v>
      </c>
      <c r="AK35" t="str">
        <f>CONCATENATE(VLOOKUP(AL35, 'Voxel Sizes'!$A$2:$B$18,2,FALSE),"x",INT(AH35*15), "x", INT(AI35*15))</f>
        <v>198x0x0</v>
      </c>
      <c r="AL35">
        <f t="shared" si="1"/>
        <v>12</v>
      </c>
      <c r="AN35" t="str">
        <f>CONCATENATE(VLOOKUP(AL35,Constants!$A$2:$C$16,IF(AM35&lt;&gt;"", 3, 2), FALSE),IF(AM35&lt;&gt;"",CONCATENATE(",",VLOOKUP(AM35,$B:$AN,39,FALSE)),""))</f>
        <v>4,4,4</v>
      </c>
      <c r="AX35">
        <v>30</v>
      </c>
      <c r="AY35" s="15">
        <f t="shared" si="2"/>
        <v>31</v>
      </c>
      <c r="AZ35">
        <v>76</v>
      </c>
      <c r="BA35">
        <f>23*3</f>
        <v>69</v>
      </c>
      <c r="BB35">
        <f t="shared" si="3"/>
        <v>20</v>
      </c>
      <c r="BC35">
        <f t="shared" si="4"/>
        <v>0</v>
      </c>
      <c r="BD35">
        <f t="shared" si="5"/>
        <v>0</v>
      </c>
      <c r="BE35" s="3">
        <f t="shared" si="6"/>
        <v>0.93199999999999994</v>
      </c>
      <c r="BF35">
        <f t="shared" si="7"/>
        <v>10.5</v>
      </c>
      <c r="BG35">
        <f>VLOOKUP($H35,Constants!$I:$K, 2, FALSE)</f>
        <v>1.2</v>
      </c>
      <c r="BH35">
        <f>VLOOKUP($H35,Constants!$I:$K, 3, FALSE)*IF(AND(G35="multiple_unit",AB35&lt;110),0.75,1)</f>
        <v>0.6</v>
      </c>
      <c r="BI35">
        <f>INT(POWER(((Constants!$G$2+$BB35+$BC35+$BD35+$BF35)*$BE35)*$BH35, 1.05))+$BA35</f>
        <v>92</v>
      </c>
      <c r="BJ35">
        <f>INT(POWER((((Constants!$G$1+$BB35+$BC35+$BD35+$BF35)*($BE35))*$BG35),IF($G35="wagon",1,1.2)))+$AZ35</f>
        <v>126</v>
      </c>
      <c r="BK35" s="14">
        <f t="shared" si="8"/>
        <v>5750</v>
      </c>
      <c r="BL35" s="14">
        <f t="shared" si="9"/>
        <v>343.98</v>
      </c>
      <c r="BU35">
        <v>1</v>
      </c>
      <c r="BV35">
        <v>185</v>
      </c>
      <c r="BX35" t="s">
        <v>866</v>
      </c>
      <c r="BY35" t="s">
        <v>278</v>
      </c>
      <c r="BZ35" t="str">
        <f>VLOOKUP(J35,Eras!$A$2:$C$10, 2, TRUE)</f>
        <v>ebr</v>
      </c>
      <c r="CA35" t="s">
        <v>330</v>
      </c>
      <c r="CB35" t="str">
        <f t="shared" si="10"/>
        <v>ebr_Carriage</v>
      </c>
      <c r="CC35" t="str">
        <f t="shared" si="11"/>
        <v>carriage_RAIL</v>
      </c>
      <c r="CD35" s="17" t="str" cm="1">
        <f t="array" ref="CD35">_xlfn.CONCAT("{BLACK}Length: {GOLD}", TEXT(ROUNDUP(IF(AQ35&lt;&gt;"",SUM(VALUE(_xlfn.TEXTSPLIT(AQ35, ","))), SUM(VALUE(_xlfn.TEXTSPLIT(AN35, ",")))*IF(M35, M35, 1))/16, 1), "#,##0.0"), " tiles{}")</f>
        <v>{BLACK}Length: {GOLD}0.8 tiles{}</v>
      </c>
      <c r="CE35" t="str">
        <f>VLOOKUP($CC35, Constants!$M:$N, 2, FALSE)</f>
        <v/>
      </c>
      <c r="CF35" t="str">
        <f t="shared" si="28"/>
        <v/>
      </c>
      <c r="CG35" t="s">
        <v>1548</v>
      </c>
      <c r="CH35" t="str">
        <f t="shared" si="13"/>
        <v/>
      </c>
      <c r="CI35" t="str">
        <f t="shared" si="14"/>
        <v/>
      </c>
      <c r="CJ35" t="str">
        <f t="shared" si="15"/>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6" spans="1:88" x14ac:dyDescent="0.35">
      <c r="A36" t="s">
        <v>1522</v>
      </c>
      <c r="B36" t="s">
        <v>1525</v>
      </c>
      <c r="C36">
        <v>754</v>
      </c>
      <c r="D36">
        <v>753</v>
      </c>
      <c r="E36">
        <v>1010</v>
      </c>
      <c r="F36" t="s">
        <v>1498</v>
      </c>
      <c r="G36" t="s">
        <v>276</v>
      </c>
      <c r="H36" t="s">
        <v>1098</v>
      </c>
      <c r="I36" t="s">
        <v>270</v>
      </c>
      <c r="J36">
        <v>1951</v>
      </c>
      <c r="K36">
        <v>1963</v>
      </c>
      <c r="L36">
        <v>1974</v>
      </c>
      <c r="W36">
        <v>32.5</v>
      </c>
      <c r="Y36">
        <v>5</v>
      </c>
      <c r="AA36" s="3" t="str">
        <f t="shared" ref="AA36:AA39" si="30">IF(AND(W36&gt;0,Z36&gt;0),(Z36/((W36+X36)*10)),"")</f>
        <v/>
      </c>
      <c r="AB36">
        <v>100</v>
      </c>
      <c r="AC36">
        <f t="shared" ref="AC36:AC39" si="31">ROUND(AB36*1.6, 0)</f>
        <v>160</v>
      </c>
      <c r="AF36">
        <v>19.3</v>
      </c>
      <c r="AG36">
        <v>20</v>
      </c>
      <c r="AJ36" s="10">
        <v>42</v>
      </c>
      <c r="AK36" t="str">
        <f>CONCATENATE(VLOOKUP(AL36, 'Voxel Sizes'!$A$2:$B$18,2,FALSE),"x",INT(AH36*15), "x", INT(AI36*15))</f>
        <v>198x0x0</v>
      </c>
      <c r="AL36">
        <f t="shared" ref="AL36:AL39" si="32">ROUND(15*((AG36*10)/256),0)</f>
        <v>12</v>
      </c>
      <c r="AN36" t="str">
        <f>CONCATENATE(VLOOKUP(AL36,Constants!$A$2:$C$16,IF(AM36&lt;&gt;"", 3, 2), FALSE),IF(AM36&lt;&gt;"",CONCATENATE(",",VLOOKUP(AM36,$B:$AN,39,FALSE)),""))</f>
        <v>4,4,4</v>
      </c>
      <c r="AX36">
        <v>30</v>
      </c>
      <c r="AY36" s="15">
        <f t="shared" ref="AY36:AY39" si="33">IF(L36&lt;&gt;"",MAX(16,(L36-J36)+8),"")</f>
        <v>31</v>
      </c>
      <c r="AZ36">
        <v>126</v>
      </c>
      <c r="BA36">
        <v>90</v>
      </c>
      <c r="BB36">
        <f t="shared" ref="BB36:BB39" si="34">MIN(AB36/150, 1)*30</f>
        <v>20</v>
      </c>
      <c r="BC36">
        <f t="shared" ref="BC36:BC39" si="35">MIN(N36/4000, 1)*20</f>
        <v>0</v>
      </c>
      <c r="BD36">
        <f t="shared" ref="BD36:BD39" si="36">MIN(Z36/400,1)*20</f>
        <v>0</v>
      </c>
      <c r="BE36" s="3">
        <f t="shared" ref="BE36:BE39" si="37">1-(MAX(J36-1900, 0)/750)</f>
        <v>0.93199999999999994</v>
      </c>
      <c r="BF36">
        <f t="shared" ref="BF36:BF39" si="38">((MAX($M36,1)*MIN($AJ36/300,1)))*IF(G36="Wagon",50,10)</f>
        <v>7.0000000000000009</v>
      </c>
      <c r="BG36">
        <f>VLOOKUP($H36,Constants!$I:$K, 2, FALSE)</f>
        <v>1.2</v>
      </c>
      <c r="BH36">
        <f>VLOOKUP($H36,Constants!$I:$K, 3, FALSE)*IF(AND(G36="multiple_unit",AB36&lt;110),0.75,1)</f>
        <v>0.6</v>
      </c>
      <c r="BI36">
        <f>INT(POWER(((Constants!$G$2+$BB36+$BC36+$BD36+$BF36)*$BE36)*$BH36, 1.05))+$BA36</f>
        <v>110</v>
      </c>
      <c r="BJ36">
        <f>INT(POWER((((Constants!$G$1+$BB36+$BC36+$BD36+$BF36)*($BE36))*$BG36),IF($G36="wagon",1,1.2)))+$AZ36</f>
        <v>172</v>
      </c>
      <c r="BK36" s="14">
        <f t="shared" ref="BK36:BK39" si="39">BI36*IF($G36="wagon",62.5,781.25)</f>
        <v>6875</v>
      </c>
      <c r="BL36" s="14">
        <f t="shared" ref="BL36:BL39" si="40">BJ36*IF($G36="wagon",2.73,81.25)</f>
        <v>469.56</v>
      </c>
      <c r="BU36">
        <v>1</v>
      </c>
      <c r="BV36">
        <v>222</v>
      </c>
      <c r="BW36" t="s">
        <v>1542</v>
      </c>
      <c r="BX36" t="s">
        <v>866</v>
      </c>
      <c r="BY36" t="s">
        <v>278</v>
      </c>
      <c r="BZ36" t="str">
        <f>VLOOKUP(J36,Eras!$A$2:$C$10, 2, TRUE)</f>
        <v>ebr</v>
      </c>
      <c r="CA36" t="s">
        <v>330</v>
      </c>
      <c r="CB36" t="str">
        <f t="shared" ref="CB36:CB39" si="41">CONCATENATE(BZ36,"_",CA36)</f>
        <v>ebr_Carriage</v>
      </c>
      <c r="CC36" t="str">
        <f t="shared" si="11"/>
        <v>carriage_RAIL</v>
      </c>
      <c r="CD36" s="17" t="str" cm="1">
        <f t="array" ref="CD36">_xlfn.CONCAT("{BLACK}Length: {GOLD}", TEXT(ROUNDUP(IF(AQ36&lt;&gt;"",SUM(VALUE(_xlfn.TEXTSPLIT(AQ36, ","))), SUM(VALUE(_xlfn.TEXTSPLIT(AN36, ",")))*IF(M36, M36, 1))/16, 1), "#,##0.0"), " tiles{}")</f>
        <v>{BLACK}Length: {GOLD}0.8 tiles{}</v>
      </c>
      <c r="CE36" t="str">
        <f>VLOOKUP($CC36, Constants!$M:$N, 2, FALSE)</f>
        <v/>
      </c>
      <c r="CF36" t="str">
        <f t="shared" si="28"/>
        <v/>
      </c>
      <c r="CG36" t="s">
        <v>1531</v>
      </c>
      <c r="CH36" t="str">
        <f t="shared" si="13"/>
        <v/>
      </c>
      <c r="CI36" t="str">
        <f t="shared" si="14"/>
        <v>{YELLOW}20% bonus for long distance travel{}</v>
      </c>
      <c r="CJ36" t="str">
        <f t="shared" si="15"/>
        <v>{BLACK}Length: {GOLD}0.8 tiles{}{YELLOW}20% bonus for long distance travel{}{SILVER}Mk1 FO (First Open) carriages had wider and more luxurious seating in a 2+1 arrangement in an open saloon.</v>
      </c>
    </row>
    <row r="37" spans="1:88" x14ac:dyDescent="0.35">
      <c r="A37" t="s">
        <v>1523</v>
      </c>
      <c r="B37" t="s">
        <v>1524</v>
      </c>
      <c r="C37">
        <v>755</v>
      </c>
      <c r="D37">
        <v>753</v>
      </c>
      <c r="E37">
        <v>1011</v>
      </c>
      <c r="F37" t="s">
        <v>1498</v>
      </c>
      <c r="G37" t="s">
        <v>276</v>
      </c>
      <c r="H37" t="s">
        <v>1098</v>
      </c>
      <c r="I37" t="s">
        <v>270</v>
      </c>
      <c r="J37">
        <v>1951</v>
      </c>
      <c r="K37">
        <v>1963</v>
      </c>
      <c r="L37">
        <v>1974</v>
      </c>
      <c r="W37">
        <v>32.5</v>
      </c>
      <c r="Y37">
        <v>4</v>
      </c>
      <c r="AA37" s="3" t="str">
        <f t="shared" si="30"/>
        <v/>
      </c>
      <c r="AB37">
        <v>100</v>
      </c>
      <c r="AC37">
        <f t="shared" si="31"/>
        <v>160</v>
      </c>
      <c r="AF37">
        <v>19.3</v>
      </c>
      <c r="AG37">
        <v>20</v>
      </c>
      <c r="AJ37" s="10">
        <v>48</v>
      </c>
      <c r="AK37" t="str">
        <f>CONCATENATE(VLOOKUP(AL37, 'Voxel Sizes'!$A$2:$B$18,2,FALSE),"x",INT(AH37*15), "x", INT(AI37*15))</f>
        <v>198x0x0</v>
      </c>
      <c r="AL37">
        <f t="shared" si="32"/>
        <v>12</v>
      </c>
      <c r="AN37" t="str">
        <f>CONCATENATE(VLOOKUP(AL37,Constants!$A$2:$C$16,IF(AM37&lt;&gt;"", 3, 2), FALSE),IF(AM37&lt;&gt;"",CONCATENATE(",",VLOOKUP(AM37,$B:$AN,39,FALSE)),""))</f>
        <v>4,4,4</v>
      </c>
      <c r="AX37">
        <v>30</v>
      </c>
      <c r="AY37" s="15">
        <f t="shared" si="33"/>
        <v>31</v>
      </c>
      <c r="AZ37">
        <v>76</v>
      </c>
      <c r="BA37">
        <f>23*3</f>
        <v>69</v>
      </c>
      <c r="BB37">
        <f t="shared" si="34"/>
        <v>20</v>
      </c>
      <c r="BC37">
        <f t="shared" si="35"/>
        <v>0</v>
      </c>
      <c r="BD37">
        <f t="shared" si="36"/>
        <v>0</v>
      </c>
      <c r="BE37" s="3">
        <f t="shared" si="37"/>
        <v>0.93199999999999994</v>
      </c>
      <c r="BF37">
        <f t="shared" si="38"/>
        <v>8</v>
      </c>
      <c r="BG37">
        <f>VLOOKUP($H37,Constants!$I:$K, 2, FALSE)</f>
        <v>1.2</v>
      </c>
      <c r="BH37">
        <f>VLOOKUP($H37,Constants!$I:$K, 3, FALSE)*IF(AND(G37="multiple_unit",AB37&lt;110),0.75,1)</f>
        <v>0.6</v>
      </c>
      <c r="BI37">
        <f>INT(POWER(((Constants!$G$2+$BB37+$BC37+$BD37+$BF37)*$BE37)*$BH37, 1.05))+$BA37</f>
        <v>90</v>
      </c>
      <c r="BJ37">
        <f>INT(POWER((((Constants!$G$1+$BB37+$BC37+$BD37+$BF37)*($BE37))*$BG37),IF($G37="wagon",1,1.2)))+$AZ37</f>
        <v>124</v>
      </c>
      <c r="BK37" s="14">
        <f t="shared" si="39"/>
        <v>5625</v>
      </c>
      <c r="BL37" s="14">
        <f t="shared" si="40"/>
        <v>338.52</v>
      </c>
      <c r="BU37">
        <v>1</v>
      </c>
      <c r="BV37">
        <v>195</v>
      </c>
      <c r="BX37" t="s">
        <v>866</v>
      </c>
      <c r="BY37" t="s">
        <v>278</v>
      </c>
      <c r="BZ37" t="str">
        <f>VLOOKUP(J37,Eras!$A$2:$C$10, 2, TRUE)</f>
        <v>ebr</v>
      </c>
      <c r="CA37" t="s">
        <v>330</v>
      </c>
      <c r="CB37" t="str">
        <f t="shared" si="41"/>
        <v>ebr_Carriage</v>
      </c>
      <c r="CC37" t="str">
        <f t="shared" si="11"/>
        <v>carriage_RAIL</v>
      </c>
      <c r="CD37" s="17" t="str" cm="1">
        <f t="array" ref="CD37">_xlfn.CONCAT("{BLACK}Length: {GOLD}", TEXT(ROUNDUP(IF(AQ37&lt;&gt;"",SUM(VALUE(_xlfn.TEXTSPLIT(AQ37, ","))), SUM(VALUE(_xlfn.TEXTSPLIT(AN37, ",")))*IF(M37, M37, 1))/16, 1), "#,##0.0"), " tiles{}")</f>
        <v>{BLACK}Length: {GOLD}0.8 tiles{}</v>
      </c>
      <c r="CE37" t="str">
        <f>VLOOKUP($CC37, Constants!$M:$N, 2, FALSE)</f>
        <v/>
      </c>
      <c r="CF37" t="str">
        <f t="shared" si="28"/>
        <v/>
      </c>
      <c r="CG37" t="s">
        <v>1549</v>
      </c>
      <c r="CH37" t="str">
        <f t="shared" si="13"/>
        <v/>
      </c>
      <c r="CI37" t="str">
        <f t="shared" si="14"/>
        <v>{YELLOW}5% bonus for long distance travel{}</v>
      </c>
      <c r="CJ37" t="str">
        <f t="shared" si="15"/>
        <v>{BLACK}Length: {GOLD}0.8 tiles{}{YELLOW}5% bonus for long distance travel{}{SILVER}Mk1 SK (Second/Standard Corridor) carriages were divided into 8 compartments, accessed by a gangway along one side of the carriage. This was the most common of all Mk1 carriage types.</v>
      </c>
    </row>
    <row r="38" spans="1:88" x14ac:dyDescent="0.35">
      <c r="A38" t="s">
        <v>1526</v>
      </c>
      <c r="B38" t="s">
        <v>1527</v>
      </c>
      <c r="C38">
        <v>756</v>
      </c>
      <c r="D38">
        <v>753</v>
      </c>
      <c r="E38">
        <v>1012</v>
      </c>
      <c r="F38" t="s">
        <v>1498</v>
      </c>
      <c r="G38" t="s">
        <v>276</v>
      </c>
      <c r="H38" t="s">
        <v>1098</v>
      </c>
      <c r="I38" t="s">
        <v>270</v>
      </c>
      <c r="J38">
        <v>1951</v>
      </c>
      <c r="K38">
        <v>1963</v>
      </c>
      <c r="L38">
        <v>1974</v>
      </c>
      <c r="W38">
        <v>32.5</v>
      </c>
      <c r="Y38">
        <v>4</v>
      </c>
      <c r="AA38" s="3" t="str">
        <f t="shared" si="30"/>
        <v/>
      </c>
      <c r="AB38">
        <v>100</v>
      </c>
      <c r="AC38">
        <f t="shared" si="31"/>
        <v>160</v>
      </c>
      <c r="AF38">
        <v>19.3</v>
      </c>
      <c r="AG38">
        <v>20</v>
      </c>
      <c r="AJ38" s="10">
        <v>42</v>
      </c>
      <c r="AK38" t="str">
        <f>CONCATENATE(VLOOKUP(AL38, 'Voxel Sizes'!$A$2:$B$18,2,FALSE),"x",INT(AH38*15), "x", INT(AI38*15))</f>
        <v>198x0x0</v>
      </c>
      <c r="AL38">
        <f t="shared" si="32"/>
        <v>12</v>
      </c>
      <c r="AN38" t="str">
        <f>CONCATENATE(VLOOKUP(AL38,Constants!$A$2:$C$16,IF(AM38&lt;&gt;"", 3, 2), FALSE),IF(AM38&lt;&gt;"",CONCATENATE(",",VLOOKUP(AM38,$B:$AN,39,FALSE)),""))</f>
        <v>4,4,4</v>
      </c>
      <c r="AX38">
        <v>30</v>
      </c>
      <c r="AY38" s="15">
        <f t="shared" si="33"/>
        <v>31</v>
      </c>
      <c r="AZ38">
        <v>126</v>
      </c>
      <c r="BA38">
        <v>90</v>
      </c>
      <c r="BB38">
        <f t="shared" si="34"/>
        <v>20</v>
      </c>
      <c r="BC38">
        <f t="shared" si="35"/>
        <v>0</v>
      </c>
      <c r="BD38">
        <f t="shared" si="36"/>
        <v>0</v>
      </c>
      <c r="BE38" s="3">
        <f t="shared" si="37"/>
        <v>0.93199999999999994</v>
      </c>
      <c r="BF38">
        <f t="shared" si="38"/>
        <v>7.0000000000000009</v>
      </c>
      <c r="BG38">
        <f>VLOOKUP($H38,Constants!$I:$K, 2, FALSE)</f>
        <v>1.2</v>
      </c>
      <c r="BH38">
        <f>VLOOKUP($H38,Constants!$I:$K, 3, FALSE)*IF(AND(G38="multiple_unit",AB38&lt;110),0.75,1)</f>
        <v>0.6</v>
      </c>
      <c r="BI38">
        <f>INT(POWER(((Constants!$G$2+$BB38+$BC38+$BD38+$BF38)*$BE38)*$BH38, 1.05))+$BA38</f>
        <v>110</v>
      </c>
      <c r="BJ38">
        <f>INT(POWER((((Constants!$G$1+$BB38+$BC38+$BD38+$BF38)*($BE38))*$BG38),IF($G38="wagon",1,1.2)))+$AZ38</f>
        <v>172</v>
      </c>
      <c r="BK38" s="14">
        <f t="shared" si="39"/>
        <v>6875</v>
      </c>
      <c r="BL38" s="14">
        <f t="shared" si="40"/>
        <v>469.56</v>
      </c>
      <c r="BU38">
        <v>1</v>
      </c>
      <c r="BV38">
        <v>232</v>
      </c>
      <c r="BW38" t="s">
        <v>1542</v>
      </c>
      <c r="BX38" t="s">
        <v>866</v>
      </c>
      <c r="BY38" t="s">
        <v>278</v>
      </c>
      <c r="BZ38" t="str">
        <f>VLOOKUP(J38,Eras!$A$2:$C$10, 2, TRUE)</f>
        <v>ebr</v>
      </c>
      <c r="CA38" t="s">
        <v>330</v>
      </c>
      <c r="CB38" t="str">
        <f t="shared" si="41"/>
        <v>ebr_Carriage</v>
      </c>
      <c r="CC38" t="str">
        <f t="shared" si="11"/>
        <v>carriage_RAIL</v>
      </c>
      <c r="CD38" s="17" t="str" cm="1">
        <f t="array" ref="CD38">_xlfn.CONCAT("{BLACK}Length: {GOLD}", TEXT(ROUNDUP(IF(AQ38&lt;&gt;"",SUM(VALUE(_xlfn.TEXTSPLIT(AQ38, ","))), SUM(VALUE(_xlfn.TEXTSPLIT(AN38, ",")))*IF(M38, M38, 1))/16, 1), "#,##0.0"), " tiles{}")</f>
        <v>{BLACK}Length: {GOLD}0.8 tiles{}</v>
      </c>
      <c r="CE38" t="str">
        <f>VLOOKUP($CC38, Constants!$M:$N, 2, FALSE)</f>
        <v/>
      </c>
      <c r="CF38" t="str">
        <f t="shared" si="28"/>
        <v/>
      </c>
      <c r="CG38" t="s">
        <v>1532</v>
      </c>
      <c r="CH38" t="str">
        <f t="shared" si="13"/>
        <v/>
      </c>
      <c r="CI38" t="str">
        <f t="shared" si="14"/>
        <v>{YELLOW}25% bonus for long distance travel{}</v>
      </c>
      <c r="CJ38" t="str">
        <f t="shared" si="15"/>
        <v>{BLACK}Length: {GOLD}0.8 tiles{}{YELLOW}25% bonus for long distance travel{}{SILVER}MK1 FK (First Corridor) carriages were divided into 7 compartments, larger and more luxurious than the SK carriages.</v>
      </c>
    </row>
    <row r="39" spans="1:88" x14ac:dyDescent="0.35">
      <c r="A39" t="s">
        <v>1529</v>
      </c>
      <c r="B39" t="s">
        <v>1530</v>
      </c>
      <c r="C39">
        <v>757</v>
      </c>
      <c r="D39">
        <v>753</v>
      </c>
      <c r="E39">
        <v>1013</v>
      </c>
      <c r="F39" t="s">
        <v>1498</v>
      </c>
      <c r="G39" t="s">
        <v>276</v>
      </c>
      <c r="H39" t="s">
        <v>1098</v>
      </c>
      <c r="I39" t="s">
        <v>270</v>
      </c>
      <c r="J39">
        <v>1957</v>
      </c>
      <c r="K39">
        <v>1963</v>
      </c>
      <c r="L39">
        <v>1974</v>
      </c>
      <c r="W39">
        <v>35</v>
      </c>
      <c r="Y39">
        <v>4</v>
      </c>
      <c r="AA39" s="3" t="str">
        <f t="shared" si="30"/>
        <v/>
      </c>
      <c r="AB39">
        <v>100</v>
      </c>
      <c r="AC39">
        <f t="shared" si="31"/>
        <v>160</v>
      </c>
      <c r="AF39">
        <v>19.3</v>
      </c>
      <c r="AG39">
        <v>20</v>
      </c>
      <c r="AJ39" s="10">
        <v>42</v>
      </c>
      <c r="AK39" t="str">
        <f>CONCATENATE(VLOOKUP(AL39, 'Voxel Sizes'!$A$2:$B$18,2,FALSE),"x",INT(AH39*15), "x", INT(AI39*15))</f>
        <v>198x0x0</v>
      </c>
      <c r="AL39">
        <f t="shared" si="32"/>
        <v>12</v>
      </c>
      <c r="AN39" t="str">
        <f>CONCATENATE(VLOOKUP(AL39,Constants!$A$2:$C$16,IF(AM39&lt;&gt;"", 3, 2), FALSE),IF(AM39&lt;&gt;"",CONCATENATE(",",VLOOKUP(AM39,$B:$AN,39,FALSE)),""))</f>
        <v>4,4,4</v>
      </c>
      <c r="AX39">
        <v>30</v>
      </c>
      <c r="AY39" s="15">
        <f t="shared" si="33"/>
        <v>25</v>
      </c>
      <c r="AZ39">
        <v>1150</v>
      </c>
      <c r="BA39">
        <v>150</v>
      </c>
      <c r="BB39">
        <f t="shared" si="34"/>
        <v>20</v>
      </c>
      <c r="BC39">
        <f t="shared" si="35"/>
        <v>0</v>
      </c>
      <c r="BD39">
        <f t="shared" si="36"/>
        <v>0</v>
      </c>
      <c r="BE39" s="3">
        <f t="shared" si="37"/>
        <v>0.92400000000000004</v>
      </c>
      <c r="BF39">
        <f t="shared" si="38"/>
        <v>7.0000000000000009</v>
      </c>
      <c r="BG39">
        <f>VLOOKUP($H39,Constants!$I:$K, 2, FALSE)</f>
        <v>1.2</v>
      </c>
      <c r="BH39">
        <f>VLOOKUP($H39,Constants!$I:$K, 3, FALSE)*IF(AND(G39="multiple_unit",AB39&lt;110),0.75,1)</f>
        <v>0.6</v>
      </c>
      <c r="BI39">
        <f>INT(POWER(((Constants!$G$2+$BB39+$BC39+$BD39+$BF39)*$BE39)*$BH39, 1.05))+$BA39</f>
        <v>170</v>
      </c>
      <c r="BJ39">
        <f>INT(POWER((((Constants!$G$1+$BB39+$BC39+$BD39+$BF39)*($BE39))*$BG39),IF($G39="wagon",1,1.2)))+$AZ39</f>
        <v>1196</v>
      </c>
      <c r="BK39" s="14">
        <f t="shared" si="39"/>
        <v>10625</v>
      </c>
      <c r="BL39" s="14">
        <f t="shared" si="40"/>
        <v>3265.08</v>
      </c>
      <c r="BU39">
        <v>1</v>
      </c>
      <c r="BV39">
        <v>185</v>
      </c>
      <c r="BW39" t="s">
        <v>1540</v>
      </c>
      <c r="BX39" t="s">
        <v>866</v>
      </c>
      <c r="BY39" t="s">
        <v>278</v>
      </c>
      <c r="BZ39" t="str">
        <f>VLOOKUP(J39,Eras!$A$2:$C$10, 2, TRUE)</f>
        <v>dsl</v>
      </c>
      <c r="CA39" t="s">
        <v>330</v>
      </c>
      <c r="CB39" t="str">
        <f t="shared" si="41"/>
        <v>dsl_Carriage</v>
      </c>
      <c r="CC39" t="str">
        <f t="shared" si="11"/>
        <v>carriage_RAIL</v>
      </c>
      <c r="CD39" s="17" t="str" cm="1">
        <f t="array" ref="CD39">_xlfn.CONCAT("{BLACK}Length: {GOLD}", TEXT(ROUNDUP(IF(AQ39&lt;&gt;"",SUM(VALUE(_xlfn.TEXTSPLIT(AQ39, ","))), SUM(VALUE(_xlfn.TEXTSPLIT(AN39, ",")))*IF(M39, M39, 1))/16, 1), "#,##0.0"), " tiles{}")</f>
        <v>{BLACK}Length: {GOLD}0.8 tiles{}</v>
      </c>
      <c r="CE39" t="str">
        <f>VLOOKUP($CC39, Constants!$M:$N, 2, FALSE)</f>
        <v/>
      </c>
      <c r="CF39" t="str">
        <f t="shared" si="28"/>
        <v/>
      </c>
      <c r="CG39" t="s">
        <v>1533</v>
      </c>
      <c r="CH39" t="str">
        <f t="shared" si="13"/>
        <v/>
      </c>
      <c r="CI39" t="str">
        <f t="shared" si="14"/>
        <v>{YELLOW}25% long distance bonus for consist{}</v>
      </c>
      <c r="CJ39" t="str">
        <f t="shared" si="15"/>
        <v>{BLACK}Length: {GOLD}0.8 tiles{}{YELLOW}25% long distance bonus for consist{}{SILVER}The Mk1 RMB (Restaurant Mini Buffet) is a TSO carriage in which some of the seating rows have been replaced with a small buffet service restaurant.</v>
      </c>
    </row>
    <row r="40" spans="1:88" x14ac:dyDescent="0.35">
      <c r="A40" t="s">
        <v>1535</v>
      </c>
      <c r="B40" t="s">
        <v>1534</v>
      </c>
      <c r="C40">
        <v>758</v>
      </c>
      <c r="D40">
        <v>757</v>
      </c>
      <c r="E40">
        <v>1014</v>
      </c>
      <c r="F40" t="s">
        <v>1498</v>
      </c>
      <c r="G40" t="s">
        <v>276</v>
      </c>
      <c r="H40" t="s">
        <v>1098</v>
      </c>
      <c r="I40" t="s">
        <v>270</v>
      </c>
      <c r="J40">
        <v>1957</v>
      </c>
      <c r="K40">
        <v>1963</v>
      </c>
      <c r="L40">
        <v>1974</v>
      </c>
      <c r="W40">
        <v>35</v>
      </c>
      <c r="Y40">
        <v>4</v>
      </c>
      <c r="AA40" s="3" t="str">
        <f t="shared" ref="AA40" si="42">IF(AND(W40&gt;0,Z40&gt;0),(Z40/((W40+X40)*10)),"")</f>
        <v/>
      </c>
      <c r="AB40">
        <v>100</v>
      </c>
      <c r="AC40">
        <f t="shared" ref="AC40" si="43">ROUND(AB40*1.6, 0)</f>
        <v>160</v>
      </c>
      <c r="AF40">
        <v>19.3</v>
      </c>
      <c r="AG40">
        <v>20</v>
      </c>
      <c r="AJ40" s="10">
        <v>42</v>
      </c>
      <c r="AK40" t="str">
        <f>CONCATENATE(VLOOKUP(AL40, 'Voxel Sizes'!$A$2:$B$18,2,FALSE),"x",INT(AH40*15), "x", INT(AI40*15))</f>
        <v>198x0x0</v>
      </c>
      <c r="AL40">
        <f t="shared" ref="AL40" si="44">ROUND(15*((AG40*10)/256),0)</f>
        <v>12</v>
      </c>
      <c r="AN40" t="str">
        <f>CONCATENATE(VLOOKUP(AL40,Constants!$A$2:$C$16,IF(AM40&lt;&gt;"", 3, 2), FALSE),IF(AM40&lt;&gt;"",CONCATENATE(",",VLOOKUP(AM40,$B:$AN,39,FALSE)),""))</f>
        <v>4,4,4</v>
      </c>
      <c r="AX40">
        <v>30</v>
      </c>
      <c r="AY40" s="15">
        <f t="shared" ref="AY40" si="45">IF(L40&lt;&gt;"",MAX(16,(L40-J40)+8),"")</f>
        <v>25</v>
      </c>
      <c r="AZ40">
        <v>1150</v>
      </c>
      <c r="BA40">
        <v>150</v>
      </c>
      <c r="BB40">
        <f t="shared" ref="BB40" si="46">MIN(AB40/150, 1)*30</f>
        <v>20</v>
      </c>
      <c r="BC40">
        <f t="shared" ref="BC40" si="47">MIN(N40/4000, 1)*20</f>
        <v>0</v>
      </c>
      <c r="BD40">
        <f t="shared" ref="BD40" si="48">MIN(Z40/400,1)*20</f>
        <v>0</v>
      </c>
      <c r="BE40" s="3">
        <f t="shared" ref="BE40" si="49">1-(MAX(J40-1900, 0)/750)</f>
        <v>0.92400000000000004</v>
      </c>
      <c r="BF40">
        <f t="shared" ref="BF40" si="50">((MAX($M40,1)*MIN($AJ40/300,1)))*IF(G40="Wagon",50,10)</f>
        <v>7.0000000000000009</v>
      </c>
      <c r="BG40">
        <f>VLOOKUP($H40,Constants!$I:$K, 2, FALSE)</f>
        <v>1.2</v>
      </c>
      <c r="BH40">
        <f>VLOOKUP($H40,Constants!$I:$K, 3, FALSE)*IF(AND(G40="multiple_unit",AB40&lt;110),0.75,1)</f>
        <v>0.6</v>
      </c>
      <c r="BI40">
        <f>INT(POWER(((Constants!$G$2+$BB40+$BC40+$BD40+$BF40)*$BE40)*$BH40, 1.05))+$BA40</f>
        <v>170</v>
      </c>
      <c r="BJ40">
        <f>INT(POWER((((Constants!$G$1+$BB40+$BC40+$BD40+$BF40)*($BE40))*$BG40),IF($G40="wagon",1,1.2)))+$AZ40</f>
        <v>1196</v>
      </c>
      <c r="BK40" s="14">
        <f t="shared" ref="BK40" si="51">BI40*IF($G40="wagon",62.5,781.25)</f>
        <v>10625</v>
      </c>
      <c r="BL40" s="14">
        <f t="shared" ref="BL40" si="52">BJ40*IF($G40="wagon",2.73,81.25)</f>
        <v>3265.08</v>
      </c>
      <c r="BU40">
        <v>1</v>
      </c>
      <c r="BV40">
        <v>185</v>
      </c>
      <c r="BW40" t="s">
        <v>1540</v>
      </c>
      <c r="BX40" t="s">
        <v>866</v>
      </c>
      <c r="BY40" t="s">
        <v>278</v>
      </c>
      <c r="BZ40" t="str">
        <f>VLOOKUP(J40,Eras!$A$2:$C$10, 2, TRUE)</f>
        <v>dsl</v>
      </c>
      <c r="CA40" t="s">
        <v>330</v>
      </c>
      <c r="CB40" t="str">
        <f t="shared" ref="CB40" si="53">CONCATENATE(BZ40,"_",CA40)</f>
        <v>dsl_Carriage</v>
      </c>
      <c r="CC40" t="str">
        <f t="shared" si="11"/>
        <v>carriage_RAIL</v>
      </c>
      <c r="CD40" s="17" t="str" cm="1">
        <f t="array" ref="CD40">_xlfn.CONCAT("{BLACK}Length: {GOLD}", TEXT(ROUNDUP(IF(AQ40&lt;&gt;"",SUM(VALUE(_xlfn.TEXTSPLIT(AQ40, ","))), SUM(VALUE(_xlfn.TEXTSPLIT(AN40, ",")))*IF(M40, M40, 1))/16, 1), "#,##0.0"), " tiles{}")</f>
        <v>{BLACK}Length: {GOLD}0.8 tiles{}</v>
      </c>
      <c r="CE40" t="str">
        <f>VLOOKUP($CC40, Constants!$M:$N, 2, FALSE)</f>
        <v/>
      </c>
      <c r="CF40" t="str">
        <f t="shared" si="28"/>
        <v/>
      </c>
      <c r="CG40" t="s">
        <v>1536</v>
      </c>
      <c r="CH40" t="str">
        <f t="shared" si="13"/>
        <v/>
      </c>
      <c r="CI40" t="str">
        <f t="shared" si="14"/>
        <v>{YELLOW}25% long distance bonus for consist{}</v>
      </c>
      <c r="CJ40" t="str">
        <f t="shared" si="15"/>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1" spans="1:88" ht="14" customHeight="1" x14ac:dyDescent="0.35">
      <c r="A41" t="s">
        <v>1582</v>
      </c>
      <c r="B41" t="s">
        <v>1584</v>
      </c>
      <c r="C41">
        <v>16</v>
      </c>
      <c r="D41">
        <v>753</v>
      </c>
      <c r="E41">
        <v>1015</v>
      </c>
      <c r="F41" t="s">
        <v>1498</v>
      </c>
      <c r="G41" t="s">
        <v>276</v>
      </c>
      <c r="H41" t="s">
        <v>1098</v>
      </c>
      <c r="I41" t="s">
        <v>270</v>
      </c>
      <c r="J41">
        <v>1951</v>
      </c>
      <c r="K41">
        <v>1963</v>
      </c>
      <c r="L41">
        <v>1974</v>
      </c>
      <c r="W41">
        <v>32.5</v>
      </c>
      <c r="Y41">
        <v>5</v>
      </c>
      <c r="AA41" s="3" t="str">
        <f>IF(AND(W41&gt;0,Z41&gt;0),(Z41/((W41+X41)*10)),"")</f>
        <v/>
      </c>
      <c r="AB41">
        <v>100</v>
      </c>
      <c r="AC41">
        <f t="shared" ref="AC41" si="54">ROUND(AB41*1.6, 0)</f>
        <v>160</v>
      </c>
      <c r="AF41">
        <v>19.3</v>
      </c>
      <c r="AG41">
        <v>20</v>
      </c>
      <c r="AJ41" s="10">
        <v>54</v>
      </c>
      <c r="AK41" t="str">
        <f>CONCATENATE(VLOOKUP(AL41, 'Voxel Sizes'!$A$2:$B$18,2,FALSE),"x",INT(AH41*15), "x", INT(AI41*15))</f>
        <v>198x0x0</v>
      </c>
      <c r="AL41">
        <f t="shared" ref="AL41" si="55">ROUND(15*((AG41*10)/256),0)</f>
        <v>12</v>
      </c>
      <c r="AN41" t="str">
        <f>CONCATENATE(VLOOKUP(AL41,Constants!$A$2:$C$16,IF(AM41&lt;&gt;"", 3, 2), FALSE),IF(AM41&lt;&gt;"",CONCATENATE(",",VLOOKUP(AM41,$B:$AN,39,FALSE)),""))</f>
        <v>4,4,4</v>
      </c>
      <c r="AU41" t="s">
        <v>254</v>
      </c>
      <c r="AX41">
        <v>30</v>
      </c>
      <c r="AY41" s="15">
        <f t="shared" ref="AY41" si="56">IF(L41&lt;&gt;"",MAX(16,(L41-J41)+8),"")</f>
        <v>31</v>
      </c>
      <c r="AZ41">
        <v>76</v>
      </c>
      <c r="BA41">
        <f>23*3</f>
        <v>69</v>
      </c>
      <c r="BB41">
        <f t="shared" ref="BB41" si="57">MIN(AB41/150, 1)*30</f>
        <v>20</v>
      </c>
      <c r="BC41">
        <f t="shared" ref="BC41" si="58">MIN(N41/4000, 1)*20</f>
        <v>0</v>
      </c>
      <c r="BD41">
        <f t="shared" ref="BD41" si="59">MIN(Z41/400,1)*20</f>
        <v>0</v>
      </c>
      <c r="BE41" s="3">
        <f t="shared" ref="BE41" si="60">1-(MAX(J41-1900, 0)/750)</f>
        <v>0.93199999999999994</v>
      </c>
      <c r="BF41">
        <f>((MAX($M41,1)*MIN($AJ41/300,1)))*IF(G41="Wagon",50,10)</f>
        <v>9</v>
      </c>
      <c r="BG41">
        <f>VLOOKUP($H41,Constants!$I:$K, 2, FALSE)</f>
        <v>1.2</v>
      </c>
      <c r="BH41">
        <f>VLOOKUP($H41,Constants!$I:$K, 3, FALSE)*IF(AND(G41="multiple_unit",AB41&lt;110),0.75,1)</f>
        <v>0.6</v>
      </c>
      <c r="BI41">
        <f>INT(POWER(((Constants!$G$2+$BB41+$BC41+$BD41+$BF41)*$BE41)*$BH41, 1.05))+$BA41</f>
        <v>91</v>
      </c>
      <c r="BJ41">
        <f>INT(POWER((((Constants!$G$1+$BB41+$BC41+$BD41+$BF41)*($BE41))*$BG41),IF($G41="wagon",1,1.2)))+$AZ41</f>
        <v>125</v>
      </c>
      <c r="BK41" s="14">
        <f>BI41*IF($G41="wagon",62.5,781.25)</f>
        <v>5687.5</v>
      </c>
      <c r="BL41" s="14">
        <f>BJ41*IF($G41="wagon",2.73,81.25)</f>
        <v>341.25</v>
      </c>
      <c r="BT41" t="s">
        <v>1458</v>
      </c>
      <c r="BU41">
        <v>1</v>
      </c>
      <c r="BV41">
        <v>185</v>
      </c>
      <c r="BX41" t="s">
        <v>866</v>
      </c>
      <c r="BY41" t="s">
        <v>278</v>
      </c>
      <c r="BZ41" t="str">
        <f>VLOOKUP(J41,Eras!$A$2:$C$10, 2, TRUE)</f>
        <v>ebr</v>
      </c>
      <c r="CA41" t="s">
        <v>330</v>
      </c>
      <c r="CB41" t="str">
        <f t="shared" ref="CB41" si="61">CONCATENATE(BZ41,"_",CA41)</f>
        <v>ebr_Carriage</v>
      </c>
      <c r="CC41" t="str">
        <f t="shared" ref="CC41" si="62">_xlfn.CONCAT(H41, "_",I41)</f>
        <v>carriage_RAIL</v>
      </c>
      <c r="CD41" s="17" t="str" cm="1">
        <f t="array" ref="CD41">_xlfn.CONCAT("{BLACK}Length: {GOLD}", TEXT(ROUNDUP(IF(AQ41&lt;&gt;"",SUM(VALUE(_xlfn.TEXTSPLIT(AQ41, ","))), SUM(VALUE(_xlfn.TEXTSPLIT(AN41, ",")))*IF(M41, M41, 1))/16, 1), "#,##0.0"), " tiles{}")</f>
        <v>{BLACK}Length: {GOLD}0.8 tiles{}</v>
      </c>
      <c r="CE41" t="str">
        <f>VLOOKUP($CC41, Constants!$M:$N, 2, FALSE)</f>
        <v/>
      </c>
      <c r="CF41" t="str">
        <f t="shared" ref="CF41" si="63">IF(M41&gt;1,_xlfn.CONCAT("{BLACK}Cars: {GOLD}", M41),"")</f>
        <v/>
      </c>
      <c r="CG41" t="s">
        <v>1548</v>
      </c>
      <c r="CH41" t="str">
        <f>IF($BT41="!param_no_gameplay_units","{GREEN}Included for gameplay purposes","")</f>
        <v/>
      </c>
      <c r="CI41" t="str">
        <f t="shared" ref="CI41" si="64">IF(BW41="buffet","{YELLOW}25% long distance bonus for consist{}",IF(BY41="BRAKE","{YELLOW}Speed bonus for slow wagons{}",IF(BV41&gt;190,CONCATENATE("{YELLOW}",INT((BV41-185)/1.85),"% bonus for long distance travel{}"),IF(AND(BV41&lt;180,BV41&lt;&gt;0),CONCATENATE("{YELLOW}",INT((185-BV41)/1.85),"% penalty for long distance travel{}"),""))))</f>
        <v/>
      </c>
      <c r="CJ41" t="str">
        <f t="shared" ref="CJ41" si="65">_xlfn.CONCAT(CE41,IF(CE41&lt;&gt;""," ",""),CF41,IF(OR(CF41&lt;&gt;"",CE41&lt;&gt;""),"{}",""),CD41,CI41,"{SILVER}",CG41,IF(CH41&lt;&gt;"","{}{}",""),CH41)</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2" spans="1:88" x14ac:dyDescent="0.35">
      <c r="A42" t="s">
        <v>1543</v>
      </c>
      <c r="B42" t="s">
        <v>253</v>
      </c>
      <c r="C42">
        <v>759</v>
      </c>
      <c r="E42">
        <v>1016</v>
      </c>
      <c r="F42" t="s">
        <v>1498</v>
      </c>
      <c r="G42" t="s">
        <v>276</v>
      </c>
      <c r="H42" t="s">
        <v>1098</v>
      </c>
      <c r="I42" t="s">
        <v>270</v>
      </c>
      <c r="J42">
        <v>1964</v>
      </c>
      <c r="L42">
        <v>2010</v>
      </c>
      <c r="W42">
        <v>40</v>
      </c>
      <c r="Y42">
        <v>5</v>
      </c>
      <c r="AA42" s="3" t="str">
        <f t="shared" si="29"/>
        <v/>
      </c>
      <c r="AB42">
        <v>110</v>
      </c>
      <c r="AC42">
        <f t="shared" si="27"/>
        <v>176</v>
      </c>
      <c r="AF42">
        <v>19.66</v>
      </c>
      <c r="AG42">
        <v>19.66</v>
      </c>
      <c r="AH42">
        <v>2.83</v>
      </c>
      <c r="AI42">
        <v>3.79</v>
      </c>
      <c r="AJ42" s="10">
        <v>63</v>
      </c>
      <c r="AK42" t="str">
        <f>CONCATENATE(VLOOKUP(AL42, 'Voxel Sizes'!$A$2:$B$18,2,FALSE),"x",INT(AH42*15), "x", INT(AI42*15))</f>
        <v>198x42x56</v>
      </c>
      <c r="AL42">
        <f t="shared" si="1"/>
        <v>12</v>
      </c>
      <c r="AN42" t="str">
        <f>CONCATENATE(VLOOKUP(AL42,Constants!$A$2:$C$16,IF(AM42&lt;&gt;"", 3, 2), FALSE),IF(AM42&lt;&gt;"",CONCATENATE(",",VLOOKUP(AM42,$B:$AN,39,FALSE)),""))</f>
        <v>4,4,4</v>
      </c>
      <c r="AX42">
        <v>30</v>
      </c>
      <c r="AY42" s="15">
        <f t="shared" si="2"/>
        <v>54</v>
      </c>
      <c r="AZ42">
        <v>79</v>
      </c>
      <c r="BA42">
        <f>25*3</f>
        <v>75</v>
      </c>
      <c r="BB42">
        <f t="shared" si="3"/>
        <v>22</v>
      </c>
      <c r="BC42">
        <f t="shared" si="4"/>
        <v>0</v>
      </c>
      <c r="BD42">
        <f t="shared" si="5"/>
        <v>0</v>
      </c>
      <c r="BE42" s="3">
        <f t="shared" si="6"/>
        <v>0.91466666666666663</v>
      </c>
      <c r="BF42">
        <f t="shared" si="7"/>
        <v>10.5</v>
      </c>
      <c r="BG42">
        <f>VLOOKUP($H42,Constants!$I:$K, 2, FALSE)</f>
        <v>1.2</v>
      </c>
      <c r="BH42">
        <f>VLOOKUP($H42,Constants!$I:$K, 3, FALSE)*IF(AND(G42="multiple_unit",AB42&lt;110),0.75,1)</f>
        <v>0.6</v>
      </c>
      <c r="BI42">
        <f>INT(POWER(((Constants!$G$2+$BB42+$BC42+$BD42+$BF42)*$BE42)*$BH42, 1.05))+$BA42</f>
        <v>98</v>
      </c>
      <c r="BJ42">
        <f>INT(POWER((((Constants!$G$1+$BB42+$BC42+$BD42+$BF42)*($BE42))*$BG42),IF($G42="wagon",1,1.2)))+$AZ42</f>
        <v>131</v>
      </c>
      <c r="BK42" s="14">
        <f t="shared" si="8"/>
        <v>6125</v>
      </c>
      <c r="BL42" s="14">
        <f t="shared" si="9"/>
        <v>357.63</v>
      </c>
      <c r="BU42">
        <v>1</v>
      </c>
      <c r="BV42">
        <v>185</v>
      </c>
      <c r="BX42" t="s">
        <v>866</v>
      </c>
      <c r="BY42" t="s">
        <v>278</v>
      </c>
      <c r="BZ42" t="str">
        <f>VLOOKUP(J42,Eras!$A$2:$C$10, 2, TRUE)</f>
        <v>dsl</v>
      </c>
      <c r="CA42" t="s">
        <v>330</v>
      </c>
      <c r="CB42" t="str">
        <f t="shared" si="10"/>
        <v>dsl_Carriage</v>
      </c>
      <c r="CC42" t="str">
        <f t="shared" si="11"/>
        <v>carriage_RAIL</v>
      </c>
      <c r="CD42" s="17" t="str" cm="1">
        <f t="array" ref="CD42">_xlfn.CONCAT("{BLACK}Length: {GOLD}", TEXT(ROUNDUP(IF(AQ42&lt;&gt;"",SUM(VALUE(_xlfn.TEXTSPLIT(AQ42, ","))), SUM(VALUE(_xlfn.TEXTSPLIT(AN42, ",")))*IF(M42, M42, 1))/16, 1), "#,##0.0"), " tiles{}")</f>
        <v>{BLACK}Length: {GOLD}0.8 tiles{}</v>
      </c>
      <c r="CE42" t="str">
        <f>VLOOKUP($CC42, Constants!$M:$N, 2, FALSE)</f>
        <v/>
      </c>
      <c r="CF42" t="str">
        <f t="shared" si="28"/>
        <v/>
      </c>
      <c r="CG42" t="s">
        <v>356</v>
      </c>
      <c r="CH42" t="str">
        <f t="shared" si="13"/>
        <v/>
      </c>
      <c r="CI42" t="str">
        <f t="shared" si="14"/>
        <v/>
      </c>
      <c r="CJ42" t="str">
        <f t="shared" si="15"/>
        <v>{BLACK}Length: {GOLD}0.8 tiles{}{SILVER}The Mk2 carriage is the second BR carriage design. It was built to be stronger than the Mk1, giving better corrosion resistance and being safer for passengers in an accident.</v>
      </c>
    </row>
    <row r="43" spans="1:88" x14ac:dyDescent="0.35">
      <c r="A43" t="s">
        <v>1544</v>
      </c>
      <c r="B43" t="s">
        <v>1546</v>
      </c>
      <c r="C43">
        <v>760</v>
      </c>
      <c r="D43">
        <v>759</v>
      </c>
      <c r="E43">
        <v>1017</v>
      </c>
      <c r="F43" t="s">
        <v>1498</v>
      </c>
      <c r="G43" t="s">
        <v>276</v>
      </c>
      <c r="H43" t="s">
        <v>1098</v>
      </c>
      <c r="I43" t="s">
        <v>270</v>
      </c>
      <c r="J43">
        <v>1964</v>
      </c>
      <c r="L43">
        <v>2010</v>
      </c>
      <c r="W43">
        <v>40</v>
      </c>
      <c r="Y43">
        <v>5</v>
      </c>
      <c r="AA43" s="3" t="str">
        <f t="shared" si="29"/>
        <v/>
      </c>
      <c r="AB43">
        <v>110</v>
      </c>
      <c r="AC43">
        <f t="shared" si="27"/>
        <v>176</v>
      </c>
      <c r="AF43">
        <v>19.66</v>
      </c>
      <c r="AG43">
        <v>19.66</v>
      </c>
      <c r="AH43">
        <v>2.83</v>
      </c>
      <c r="AI43">
        <v>3.79</v>
      </c>
      <c r="AJ43" s="10">
        <v>42</v>
      </c>
      <c r="AK43" t="str">
        <f>CONCATENATE(VLOOKUP(AL43, 'Voxel Sizes'!$A$2:$B$18,2,FALSE),"x",INT(AH43*15), "x", INT(AI43*15))</f>
        <v>198x42x56</v>
      </c>
      <c r="AL43">
        <f t="shared" si="1"/>
        <v>12</v>
      </c>
      <c r="AN43" t="str">
        <f>CONCATENATE(VLOOKUP(AL43,Constants!$A$2:$C$16,IF(AM43&lt;&gt;"", 3, 2), FALSE),IF(AM43&lt;&gt;"",CONCATENATE(",",VLOOKUP(AM43,$B:$AN,39,FALSE)),""))</f>
        <v>4,4,4</v>
      </c>
      <c r="AX43">
        <v>30</v>
      </c>
      <c r="AY43" s="15">
        <f t="shared" si="2"/>
        <v>54</v>
      </c>
      <c r="AZ43">
        <v>135</v>
      </c>
      <c r="BA43">
        <v>105</v>
      </c>
      <c r="BB43">
        <f t="shared" si="3"/>
        <v>22</v>
      </c>
      <c r="BC43">
        <f t="shared" si="4"/>
        <v>0</v>
      </c>
      <c r="BD43">
        <f t="shared" si="5"/>
        <v>0</v>
      </c>
      <c r="BE43" s="3">
        <f t="shared" si="6"/>
        <v>0.91466666666666663</v>
      </c>
      <c r="BF43">
        <f t="shared" si="7"/>
        <v>7.0000000000000009</v>
      </c>
      <c r="BG43">
        <f>VLOOKUP($H43,Constants!$I:$K, 2, FALSE)</f>
        <v>1.2</v>
      </c>
      <c r="BH43">
        <f>VLOOKUP($H43,Constants!$I:$K, 3, FALSE)*IF(AND(G43="multiple_unit",AB43&lt;110),0.75,1)</f>
        <v>0.6</v>
      </c>
      <c r="BI43">
        <f>INT(POWER(((Constants!$G$2+$BB43+$BC43+$BD43+$BF43)*$BE43)*$BH43, 1.05))+$BA43</f>
        <v>126</v>
      </c>
      <c r="BJ43">
        <f>INT(POWER((((Constants!$G$1+$BB43+$BC43+$BD43+$BF43)*($BE43))*$BG43),IF($G43="wagon",1,1.2)))+$AZ43</f>
        <v>183</v>
      </c>
      <c r="BK43" s="14">
        <f t="shared" si="8"/>
        <v>7875</v>
      </c>
      <c r="BL43" s="14">
        <f t="shared" si="9"/>
        <v>499.59</v>
      </c>
      <c r="BU43">
        <v>1</v>
      </c>
      <c r="BV43">
        <v>222</v>
      </c>
      <c r="BW43" t="s">
        <v>1542</v>
      </c>
      <c r="BX43" t="s">
        <v>866</v>
      </c>
      <c r="BY43" t="s">
        <v>278</v>
      </c>
      <c r="BZ43" t="str">
        <f>VLOOKUP(J43,Eras!$A$2:$C$10, 2, TRUE)</f>
        <v>dsl</v>
      </c>
      <c r="CA43" t="s">
        <v>330</v>
      </c>
      <c r="CB43" t="str">
        <f t="shared" si="10"/>
        <v>dsl_Carriage</v>
      </c>
      <c r="CC43" t="str">
        <f t="shared" si="11"/>
        <v>carriage_RAIL</v>
      </c>
      <c r="CD43" s="17" t="str" cm="1">
        <f t="array" ref="CD43">_xlfn.CONCAT("{BLACK}Length: {GOLD}", TEXT(ROUNDUP(IF(AQ43&lt;&gt;"",SUM(VALUE(_xlfn.TEXTSPLIT(AQ43, ","))), SUM(VALUE(_xlfn.TEXTSPLIT(AN43, ",")))*IF(M43, M43, 1))/16, 1), "#,##0.0"), " tiles{}")</f>
        <v>{BLACK}Length: {GOLD}0.8 tiles{}</v>
      </c>
      <c r="CE43" t="str">
        <f>VLOOKUP($CC43, Constants!$M:$N, 2, FALSE)</f>
        <v/>
      </c>
      <c r="CF43" t="str">
        <f t="shared" si="28"/>
        <v/>
      </c>
      <c r="CG43" t="s">
        <v>1550</v>
      </c>
      <c r="CH43" t="str">
        <f t="shared" si="13"/>
        <v/>
      </c>
      <c r="CI43" t="str">
        <f t="shared" si="14"/>
        <v>{YELLOW}20% bonus for long distance travel{}</v>
      </c>
      <c r="CJ43" t="str">
        <f t="shared" si="15"/>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4" spans="1:88" x14ac:dyDescent="0.35">
      <c r="A44" t="s">
        <v>1545</v>
      </c>
      <c r="B44" t="s">
        <v>1547</v>
      </c>
      <c r="C44">
        <v>761</v>
      </c>
      <c r="D44">
        <v>759</v>
      </c>
      <c r="E44">
        <v>1018</v>
      </c>
      <c r="F44" t="s">
        <v>1498</v>
      </c>
      <c r="G44" t="s">
        <v>276</v>
      </c>
      <c r="H44" t="s">
        <v>1098</v>
      </c>
      <c r="I44" t="s">
        <v>270</v>
      </c>
      <c r="J44">
        <v>1964</v>
      </c>
      <c r="L44">
        <v>2010</v>
      </c>
      <c r="W44">
        <v>40</v>
      </c>
      <c r="Y44">
        <v>4</v>
      </c>
      <c r="AA44" s="3" t="str">
        <f t="shared" ref="AA44:AA46" si="66">IF(AND(W44&gt;0,Z44&gt;0),(Z44/((W44+X44)*10)),"")</f>
        <v/>
      </c>
      <c r="AB44">
        <v>110</v>
      </c>
      <c r="AC44">
        <f t="shared" ref="AC44:AC46" si="67">ROUND(AB44*1.6, 0)</f>
        <v>176</v>
      </c>
      <c r="AF44">
        <v>19.66</v>
      </c>
      <c r="AG44">
        <v>19.66</v>
      </c>
      <c r="AH44">
        <v>2.83</v>
      </c>
      <c r="AI44">
        <v>3.79</v>
      </c>
      <c r="AJ44" s="10">
        <v>42</v>
      </c>
      <c r="AK44" t="str">
        <f>CONCATENATE(VLOOKUP(AL44, 'Voxel Sizes'!$A$2:$B$18,2,FALSE),"x",INT(AH44*15), "x", INT(AI44*15))</f>
        <v>198x42x56</v>
      </c>
      <c r="AL44">
        <f t="shared" ref="AL44:AL46" si="68">ROUND(15*((AG44*10)/256),0)</f>
        <v>12</v>
      </c>
      <c r="AN44" t="str">
        <f>CONCATENATE(VLOOKUP(AL44,Constants!$A$2:$C$16,IF(AM44&lt;&gt;"", 3, 2), FALSE),IF(AM44&lt;&gt;"",CONCATENATE(",",VLOOKUP(AM44,$B:$AN,39,FALSE)),""))</f>
        <v>4,4,4</v>
      </c>
      <c r="AX44">
        <v>30</v>
      </c>
      <c r="AY44" s="15">
        <f t="shared" ref="AY44:AY46" si="69">IF(L44&lt;&gt;"",MAX(16,(L44-J44)+8),"")</f>
        <v>54</v>
      </c>
      <c r="AZ44">
        <v>135</v>
      </c>
      <c r="BA44">
        <v>107</v>
      </c>
      <c r="BB44">
        <f t="shared" ref="BB44:BB46" si="70">MIN(AB44/150, 1)*30</f>
        <v>22</v>
      </c>
      <c r="BC44">
        <f t="shared" ref="BC44:BC46" si="71">MIN(N44/4000, 1)*20</f>
        <v>0</v>
      </c>
      <c r="BD44">
        <f t="shared" ref="BD44:BD46" si="72">MIN(Z44/400,1)*20</f>
        <v>0</v>
      </c>
      <c r="BE44" s="3">
        <f t="shared" ref="BE44:BE46" si="73">1-(MAX(J44-1900, 0)/750)</f>
        <v>0.91466666666666663</v>
      </c>
      <c r="BF44">
        <f t="shared" ref="BF44:BF46" si="74">((MAX($M44,1)*MIN($AJ44/300,1)))*IF(G44="Wagon",50,10)</f>
        <v>7.0000000000000009</v>
      </c>
      <c r="BG44">
        <f>VLOOKUP($H44,Constants!$I:$K, 2, FALSE)</f>
        <v>1.2</v>
      </c>
      <c r="BH44">
        <f>VLOOKUP($H44,Constants!$I:$K, 3, FALSE)*IF(AND(G44="multiple_unit",AB44&lt;110),0.75,1)</f>
        <v>0.6</v>
      </c>
      <c r="BI44">
        <f>INT(POWER(((Constants!$G$2+$BB44+$BC44+$BD44+$BF44)*$BE44)*$BH44, 1.05))+$BA44</f>
        <v>128</v>
      </c>
      <c r="BJ44">
        <f>INT(POWER((((Constants!$G$1+$BB44+$BC44+$BD44+$BF44)*($BE44))*$BG44),IF($G44="wagon",1,1.2)))+$AZ44</f>
        <v>183</v>
      </c>
      <c r="BK44" s="14">
        <f t="shared" ref="BK44:BK46" si="75">BI44*IF($G44="wagon",62.5,781.25)</f>
        <v>8000</v>
      </c>
      <c r="BL44" s="14">
        <f t="shared" ref="BL44:BL46" si="76">BJ44*IF($G44="wagon",2.73,81.25)</f>
        <v>499.59</v>
      </c>
      <c r="BU44">
        <v>1</v>
      </c>
      <c r="BV44">
        <v>232</v>
      </c>
      <c r="BW44" t="s">
        <v>1542</v>
      </c>
      <c r="BX44" t="s">
        <v>866</v>
      </c>
      <c r="BY44" t="s">
        <v>278</v>
      </c>
      <c r="BZ44" t="str">
        <f>VLOOKUP(J44,Eras!$A$2:$C$10, 2, TRUE)</f>
        <v>dsl</v>
      </c>
      <c r="CA44" t="s">
        <v>330</v>
      </c>
      <c r="CB44" t="str">
        <f t="shared" ref="CB44:CB46" si="77">CONCATENATE(BZ44,"_",CA44)</f>
        <v>dsl_Carriage</v>
      </c>
      <c r="CC44" t="str">
        <f t="shared" si="11"/>
        <v>carriage_RAIL</v>
      </c>
      <c r="CD44" s="17" t="str" cm="1">
        <f t="array" ref="CD44">_xlfn.CONCAT("{BLACK}Length: {GOLD}", TEXT(ROUNDUP(IF(AQ44&lt;&gt;"",SUM(VALUE(_xlfn.TEXTSPLIT(AQ44, ","))), SUM(VALUE(_xlfn.TEXTSPLIT(AN44, ",")))*IF(M44, M44, 1))/16, 1), "#,##0.0"), " tiles{}")</f>
        <v>{BLACK}Length: {GOLD}0.8 tiles{}</v>
      </c>
      <c r="CE44" t="str">
        <f>VLOOKUP($CC44, Constants!$M:$N, 2, FALSE)</f>
        <v/>
      </c>
      <c r="CF44" t="str">
        <f t="shared" si="28"/>
        <v/>
      </c>
      <c r="CG44" t="s">
        <v>1551</v>
      </c>
      <c r="CH44" t="str">
        <f t="shared" si="13"/>
        <v/>
      </c>
      <c r="CI44" t="str">
        <f t="shared" si="14"/>
        <v>{YELLOW}25% bonus for long distance travel{}</v>
      </c>
      <c r="CJ44" t="str">
        <f t="shared" si="15"/>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5" spans="1:88" x14ac:dyDescent="0.35">
      <c r="A45" t="s">
        <v>1583</v>
      </c>
      <c r="B45" t="s">
        <v>1585</v>
      </c>
      <c r="C45">
        <v>17</v>
      </c>
      <c r="D45">
        <v>759</v>
      </c>
      <c r="E45">
        <v>1019</v>
      </c>
      <c r="F45" t="s">
        <v>1498</v>
      </c>
      <c r="G45" t="s">
        <v>276</v>
      </c>
      <c r="H45" t="s">
        <v>1098</v>
      </c>
      <c r="I45" t="s">
        <v>270</v>
      </c>
      <c r="J45">
        <v>1964</v>
      </c>
      <c r="L45">
        <v>2010</v>
      </c>
      <c r="W45">
        <v>40</v>
      </c>
      <c r="Y45">
        <v>5</v>
      </c>
      <c r="AA45" s="3" t="str">
        <f>IF(AND(W45&gt;0,Z45&gt;0),(Z45/((W45+X45)*10)),"")</f>
        <v/>
      </c>
      <c r="AB45">
        <v>110</v>
      </c>
      <c r="AC45">
        <f>ROUND(AB45*1.6, 0)</f>
        <v>176</v>
      </c>
      <c r="AF45">
        <v>19.66</v>
      </c>
      <c r="AG45">
        <v>19.66</v>
      </c>
      <c r="AH45">
        <v>2.83</v>
      </c>
      <c r="AI45">
        <v>3.79</v>
      </c>
      <c r="AJ45" s="10">
        <v>57</v>
      </c>
      <c r="AK45" t="str">
        <f>CONCATENATE(VLOOKUP(AL45, 'Voxel Sizes'!$A$2:$B$18,2,FALSE),"x",INT(AH45*15), "x", INT(AI45*15))</f>
        <v>198x42x56</v>
      </c>
      <c r="AL45">
        <f>ROUND(15*((AG45*10)/256),0)</f>
        <v>12</v>
      </c>
      <c r="AN45" t="str">
        <f>CONCATENATE(VLOOKUP(AL45,Constants!$A$2:$C$16,IF(AM45&lt;&gt;"", 3, 2), FALSE),IF(AM45&lt;&gt;"",CONCATENATE(",",VLOOKUP(AM45,$B:$AN,39,FALSE)),""))</f>
        <v>4,4,4</v>
      </c>
      <c r="AU45" t="s">
        <v>253</v>
      </c>
      <c r="AX45">
        <v>30</v>
      </c>
      <c r="AY45" s="15">
        <f>IF(L45&lt;&gt;"",MAX(16,(L45-J45)+8),"")</f>
        <v>54</v>
      </c>
      <c r="AZ45">
        <v>79</v>
      </c>
      <c r="BA45">
        <f>25*3</f>
        <v>75</v>
      </c>
      <c r="BB45">
        <f>MIN(AB45/150, 1)*30</f>
        <v>22</v>
      </c>
      <c r="BC45">
        <f>MIN(N45/4000, 1)*20</f>
        <v>0</v>
      </c>
      <c r="BD45">
        <f>MIN(Z45/400,1)*20</f>
        <v>0</v>
      </c>
      <c r="BE45" s="3">
        <f>1-(MAX(J45-1900, 0)/750)</f>
        <v>0.91466666666666663</v>
      </c>
      <c r="BF45">
        <f>((MAX($M45,1)*MIN($AJ45/300,1)))*IF(G45="Wagon",50,10)</f>
        <v>9.5</v>
      </c>
      <c r="BG45">
        <f>VLOOKUP($H45,Constants!$I:$K, 2, FALSE)</f>
        <v>1.2</v>
      </c>
      <c r="BH45">
        <f>VLOOKUP($H45,Constants!$I:$K, 3, FALSE)*IF(AND(G45="multiple_unit",AB45&lt;110),0.75,1)</f>
        <v>0.6</v>
      </c>
      <c r="BI45">
        <f>INT(POWER(((Constants!$G$2+$BB45+$BC45+$BD45+$BF45)*$BE45)*$BH45, 1.05))+$BA45</f>
        <v>98</v>
      </c>
      <c r="BJ45">
        <f>INT(POWER((((Constants!$G$1+$BB45+$BC45+$BD45+$BF45)*($BE45))*$BG45),IF($G45="wagon",1,1.2)))+$AZ45</f>
        <v>130</v>
      </c>
      <c r="BK45" s="14">
        <f>BI45*IF($G45="wagon",62.5,781.25)</f>
        <v>6125</v>
      </c>
      <c r="BL45" s="14">
        <f>BJ45*IF($G45="wagon",2.73,81.25)</f>
        <v>354.9</v>
      </c>
      <c r="BT45" t="s">
        <v>1458</v>
      </c>
      <c r="BU45">
        <v>1</v>
      </c>
      <c r="BV45">
        <v>185</v>
      </c>
      <c r="BX45" t="s">
        <v>866</v>
      </c>
      <c r="BY45" t="s">
        <v>278</v>
      </c>
      <c r="BZ45" t="str">
        <f>VLOOKUP(J45,Eras!$A$2:$C$10, 2, TRUE)</f>
        <v>dsl</v>
      </c>
      <c r="CA45" t="s">
        <v>330</v>
      </c>
      <c r="CB45" t="str">
        <f>CONCATENATE(BZ45,"_",CA45)</f>
        <v>dsl_Carriage</v>
      </c>
      <c r="CC45" t="str">
        <f t="shared" ref="CC45" si="78">_xlfn.CONCAT(H45, "_",I45)</f>
        <v>carriage_RAIL</v>
      </c>
      <c r="CD45" s="17" t="str" cm="1">
        <f t="array" ref="CD45">_xlfn.CONCAT("{BLACK}Length: {GOLD}", TEXT(ROUNDUP(IF(AQ45&lt;&gt;"",SUM(VALUE(_xlfn.TEXTSPLIT(AQ45, ","))), SUM(VALUE(_xlfn.TEXTSPLIT(AN45, ",")))*IF(M45, M45, 1))/16, 1), "#,##0.0"), " tiles{}")</f>
        <v>{BLACK}Length: {GOLD}0.8 tiles{}</v>
      </c>
      <c r="CE45" t="str">
        <f>VLOOKUP($CC45, Constants!$M:$N, 2, FALSE)</f>
        <v/>
      </c>
      <c r="CF45" t="str">
        <f t="shared" ref="CF45" si="79">IF(M45&gt;1,_xlfn.CONCAT("{BLACK}Cars: {GOLD}", M45),"")</f>
        <v/>
      </c>
      <c r="CG45" t="s">
        <v>356</v>
      </c>
      <c r="CH45" t="str">
        <f>IF($BT45="!param_no_gameplay_units","{GREEN}Included for gameplay purposes","")</f>
        <v/>
      </c>
      <c r="CI45" t="str">
        <f t="shared" ref="CI45" si="80">IF(BW45="buffet","{YELLOW}25% long distance bonus for consist{}",IF(BY45="BRAKE","{YELLOW}Speed bonus for slow wagons{}",IF(BV45&gt;190,CONCATENATE("{YELLOW}",INT((BV45-185)/1.85),"% bonus for long distance travel{}"),IF(AND(BV45&lt;180,BV45&lt;&gt;0),CONCATENATE("{YELLOW}",INT((185-BV45)/1.85),"% penalty for long distance travel{}"),""))))</f>
        <v/>
      </c>
      <c r="CJ45" t="str">
        <f t="shared" ref="CJ45" si="81">_xlfn.CONCAT(CE45,IF(CE45&lt;&gt;""," ",""),CF45,IF(OR(CF45&lt;&gt;"",CE45&lt;&gt;""),"{}",""),CD45,CI45,"{SILVER}",CG45,IF(CH45&lt;&gt;"","{}{}",""),CH45)</f>
        <v>{BLACK}Length: {GOLD}0.8 tiles{}{SILVER}The Mk2 carriage is the second BR carriage design. It was built to be stronger than the Mk1, giving better corrosion resistance and being safer for passengers in an accident.</v>
      </c>
    </row>
    <row r="46" spans="1:88" x14ac:dyDescent="0.35">
      <c r="A46" t="s">
        <v>1554</v>
      </c>
      <c r="B46" t="s">
        <v>255</v>
      </c>
      <c r="C46">
        <v>18</v>
      </c>
      <c r="E46">
        <v>1020</v>
      </c>
      <c r="F46" t="s">
        <v>1498</v>
      </c>
      <c r="G46" t="s">
        <v>276</v>
      </c>
      <c r="H46" t="s">
        <v>1098</v>
      </c>
      <c r="I46" t="s">
        <v>270</v>
      </c>
      <c r="J46">
        <v>1975</v>
      </c>
      <c r="W46">
        <v>34</v>
      </c>
      <c r="Y46">
        <v>5</v>
      </c>
      <c r="AA46" s="3" t="str">
        <f t="shared" si="66"/>
        <v/>
      </c>
      <c r="AB46">
        <v>125</v>
      </c>
      <c r="AC46">
        <f t="shared" si="67"/>
        <v>200</v>
      </c>
      <c r="AF46">
        <v>23</v>
      </c>
      <c r="AG46">
        <v>23</v>
      </c>
      <c r="AH46">
        <v>2.82</v>
      </c>
      <c r="AI46">
        <v>3.79</v>
      </c>
      <c r="AJ46" s="10">
        <v>72</v>
      </c>
      <c r="AK46" t="str">
        <f>CONCATENATE(VLOOKUP(AL46, 'Voxel Sizes'!$A$2:$B$18,2,FALSE),"x",INT(AH46*15), "x", INT(AI46*15))</f>
        <v>214x42x56</v>
      </c>
      <c r="AL46">
        <f t="shared" si="68"/>
        <v>13</v>
      </c>
      <c r="AN46" t="str">
        <f>CONCATENATE(VLOOKUP(AL46,Constants!$A$2:$C$16,IF(AM46&lt;&gt;"", 3, 2), FALSE),IF(AM46&lt;&gt;"",CONCATENATE(",",VLOOKUP(AM46,$B:$AN,39,FALSE)),""))</f>
        <v>4,5,4</v>
      </c>
      <c r="AX46">
        <v>30</v>
      </c>
      <c r="AY46" s="15" t="str">
        <f t="shared" si="69"/>
        <v/>
      </c>
      <c r="AZ46">
        <v>86</v>
      </c>
      <c r="BA46">
        <f>29*3</f>
        <v>87</v>
      </c>
      <c r="BB46">
        <f t="shared" si="70"/>
        <v>25</v>
      </c>
      <c r="BC46">
        <f t="shared" si="71"/>
        <v>0</v>
      </c>
      <c r="BD46">
        <f t="shared" si="72"/>
        <v>0</v>
      </c>
      <c r="BE46" s="3">
        <f t="shared" si="73"/>
        <v>0.9</v>
      </c>
      <c r="BF46">
        <f t="shared" si="74"/>
        <v>12</v>
      </c>
      <c r="BG46">
        <f>VLOOKUP($H46,Constants!$I:$K, 2, FALSE)</f>
        <v>1.2</v>
      </c>
      <c r="BH46">
        <f>VLOOKUP($H46,Constants!$I:$K, 3, FALSE)*IF(AND(G46="multiple_unit",AB46&lt;110),0.75,1)</f>
        <v>0.6</v>
      </c>
      <c r="BI46">
        <f>INT(POWER(((Constants!$G$2+$BB46+$BC46+$BD46+$BF46)*$BE46)*$BH46, 1.05))+$BA46</f>
        <v>113</v>
      </c>
      <c r="BJ46">
        <f>INT(POWER((((Constants!$G$1+$BB46+$BC46+$BD46+$BF46)*($BE46))*$BG46),IF($G46="wagon",1,1.2)))+$AZ46</f>
        <v>142</v>
      </c>
      <c r="BK46" s="14">
        <f t="shared" si="75"/>
        <v>7062.5</v>
      </c>
      <c r="BL46" s="14">
        <f t="shared" si="76"/>
        <v>387.66</v>
      </c>
      <c r="BU46">
        <v>2</v>
      </c>
      <c r="BV46">
        <v>205</v>
      </c>
      <c r="BX46" t="s">
        <v>866</v>
      </c>
      <c r="BY46" t="s">
        <v>278</v>
      </c>
      <c r="BZ46" t="str">
        <f>VLOOKUP(J46,Eras!$A$2:$C$10, 2, TRUE)</f>
        <v>lbr</v>
      </c>
      <c r="CA46" t="s">
        <v>330</v>
      </c>
      <c r="CB46" t="str">
        <f t="shared" si="77"/>
        <v>lbr_Carriage</v>
      </c>
      <c r="CC46" t="str">
        <f t="shared" ref="CC46" si="82">_xlfn.CONCAT(H46, "_",I46)</f>
        <v>carriage_RAIL</v>
      </c>
      <c r="CD46" s="17" t="str" cm="1">
        <f t="array" ref="CD46">_xlfn.CONCAT("{BLACK}Length: {GOLD}", TEXT(ROUNDUP(IF(AQ46&lt;&gt;"",SUM(VALUE(_xlfn.TEXTSPLIT(AQ46, ","))), SUM(VALUE(_xlfn.TEXTSPLIT(AN46, ",")))*IF(M46, M46, 1))/16, 1), "#,##0.0"), " tiles{}")</f>
        <v>{BLACK}Length: {GOLD}0.9 tiles{}</v>
      </c>
      <c r="CE46" t="str">
        <f>VLOOKUP($CC46, Constants!$M:$N, 2, FALSE)</f>
        <v/>
      </c>
      <c r="CF46" t="str">
        <f t="shared" ref="CF46" si="83">IF(M46&gt;1,_xlfn.CONCAT("{BLACK}Cars: {GOLD}", M46),"")</f>
        <v/>
      </c>
      <c r="CG46" t="s">
        <v>1561</v>
      </c>
      <c r="CH46" t="str">
        <f t="shared" si="13"/>
        <v/>
      </c>
      <c r="CI46" t="str">
        <f t="shared" ref="CI46" si="84">IF(BW46="buffet","{YELLOW}25% long distance bonus for consist{}",IF(BY46="BRAKE","{YELLOW}Speed bonus for slow wagons{}",IF(BV46&gt;190,CONCATENATE("{YELLOW}",INT((BV46-185)/1.85),"% bonus for long distance travel{}"),IF(AND(BV46&lt;180,BV46&lt;&gt;0),CONCATENATE("{YELLOW}",INT((185-BV46)/1.85),"% penalty for long distance travel{}"),""))))</f>
        <v>{YELLOW}10% bonus for long distance travel{}</v>
      </c>
      <c r="CJ46" t="str">
        <f t="shared" ref="CJ46" si="85">_xlfn.CONCAT(CE46,IF(CE46&lt;&gt;""," ",""),CF46,IF(OR(CF46&lt;&gt;"",CE46&lt;&gt;""),"{}",""),CD46,CI46,"{SILVER}",CG46,IF(CH46&lt;&gt;"","{}{}",""),CH46)</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7" spans="1:88" x14ac:dyDescent="0.35">
      <c r="A47" t="s">
        <v>1555</v>
      </c>
      <c r="B47" t="s">
        <v>1558</v>
      </c>
      <c r="C47">
        <v>762</v>
      </c>
      <c r="D47">
        <v>18</v>
      </c>
      <c r="E47">
        <v>1021</v>
      </c>
      <c r="F47" t="s">
        <v>1498</v>
      </c>
      <c r="G47" t="s">
        <v>276</v>
      </c>
      <c r="H47" t="s">
        <v>1098</v>
      </c>
      <c r="I47" t="s">
        <v>270</v>
      </c>
      <c r="J47">
        <v>1975</v>
      </c>
      <c r="W47">
        <v>34</v>
      </c>
      <c r="Y47">
        <v>4</v>
      </c>
      <c r="AA47" s="3" t="str">
        <f t="shared" si="29"/>
        <v/>
      </c>
      <c r="AB47">
        <v>125</v>
      </c>
      <c r="AC47">
        <f t="shared" si="27"/>
        <v>200</v>
      </c>
      <c r="AF47">
        <v>23</v>
      </c>
      <c r="AG47">
        <v>23</v>
      </c>
      <c r="AH47">
        <v>2.82</v>
      </c>
      <c r="AI47">
        <v>3.79</v>
      </c>
      <c r="AJ47" s="10">
        <v>48</v>
      </c>
      <c r="AK47" t="str">
        <f>CONCATENATE(VLOOKUP(AL47, 'Voxel Sizes'!$A$2:$B$18,2,FALSE),"x",INT(AH47*15), "x", INT(AI47*15))</f>
        <v>214x42x56</v>
      </c>
      <c r="AL47">
        <f t="shared" si="1"/>
        <v>13</v>
      </c>
      <c r="AN47" t="str">
        <f>CONCATENATE(VLOOKUP(AL47,Constants!$A$2:$C$16,IF(AM47&lt;&gt;"", 3, 2), FALSE),IF(AM47&lt;&gt;"",CONCATENATE(",",VLOOKUP(AM47,$B:$AN,39,FALSE)),""))</f>
        <v>4,5,4</v>
      </c>
      <c r="AX47">
        <v>30</v>
      </c>
      <c r="AY47" s="15" t="str">
        <f t="shared" si="2"/>
        <v/>
      </c>
      <c r="AZ47">
        <v>136</v>
      </c>
      <c r="BA47">
        <v>117</v>
      </c>
      <c r="BB47">
        <f t="shared" si="3"/>
        <v>25</v>
      </c>
      <c r="BC47">
        <f t="shared" si="4"/>
        <v>0</v>
      </c>
      <c r="BD47">
        <f t="shared" si="5"/>
        <v>0</v>
      </c>
      <c r="BE47" s="3">
        <f t="shared" si="6"/>
        <v>0.9</v>
      </c>
      <c r="BF47">
        <f t="shared" si="7"/>
        <v>8</v>
      </c>
      <c r="BG47">
        <f>VLOOKUP($H47,Constants!$I:$K, 2, FALSE)</f>
        <v>1.2</v>
      </c>
      <c r="BH47">
        <f>VLOOKUP($H47,Constants!$I:$K, 3, FALSE)*IF(AND(G47="multiple_unit",AB47&lt;110),0.75,1)</f>
        <v>0.6</v>
      </c>
      <c r="BI47">
        <f>INT(POWER(((Constants!$G$2+$BB47+$BC47+$BD47+$BF47)*$BE47)*$BH47, 1.05))+$BA47</f>
        <v>140</v>
      </c>
      <c r="BJ47">
        <f>INT(POWER((((Constants!$G$1+$BB47+$BC47+$BD47+$BF47)*($BE47))*$BG47),IF($G47="wagon",1,1.2)))+$AZ47</f>
        <v>187</v>
      </c>
      <c r="BK47" s="14">
        <f t="shared" si="8"/>
        <v>8750</v>
      </c>
      <c r="BL47" s="14">
        <f t="shared" si="9"/>
        <v>510.51</v>
      </c>
      <c r="BU47">
        <v>2</v>
      </c>
      <c r="BV47">
        <v>242</v>
      </c>
      <c r="BX47" t="s">
        <v>866</v>
      </c>
      <c r="BY47" t="s">
        <v>278</v>
      </c>
      <c r="BZ47" t="str">
        <f>VLOOKUP(J47,Eras!$A$2:$C$10, 2, TRUE)</f>
        <v>lbr</v>
      </c>
      <c r="CA47" t="s">
        <v>330</v>
      </c>
      <c r="CB47" t="str">
        <f t="shared" si="10"/>
        <v>lbr_Carriage</v>
      </c>
      <c r="CC47" t="str">
        <f t="shared" si="11"/>
        <v>carriage_RAIL</v>
      </c>
      <c r="CD47" s="17" t="str" cm="1">
        <f t="array" ref="CD47">_xlfn.CONCAT("{BLACK}Length: {GOLD}", TEXT(ROUNDUP(IF(AQ47&lt;&gt;"",SUM(VALUE(_xlfn.TEXTSPLIT(AQ47, ","))), SUM(VALUE(_xlfn.TEXTSPLIT(AN47, ",")))*IF(M47, M47, 1))/16, 1), "#,##0.0"), " tiles{}")</f>
        <v>{BLACK}Length: {GOLD}0.9 tiles{}</v>
      </c>
      <c r="CE47" t="str">
        <f>VLOOKUP($CC47, Constants!$M:$N, 2, FALSE)</f>
        <v/>
      </c>
      <c r="CF47" t="str">
        <f t="shared" si="28"/>
        <v/>
      </c>
      <c r="CG47" t="s">
        <v>1564</v>
      </c>
      <c r="CH47" t="str">
        <f t="shared" si="13"/>
        <v/>
      </c>
      <c r="CI47" t="str">
        <f t="shared" si="14"/>
        <v>{YELLOW}30% bonus for long distance travel{}</v>
      </c>
      <c r="CJ47" t="str">
        <f t="shared" si="15"/>
        <v>{BLACK}Length: {GOLD}0.9 tiles{}{YELLOW}30% bonus for long distance travel{}{SILVER}Mk3 carriages followed the by now standard practice of first class vehicles featuring an open saloon with lower seating density than standard class.</v>
      </c>
    </row>
    <row r="48" spans="1:88" x14ac:dyDescent="0.35">
      <c r="A48" t="s">
        <v>1562</v>
      </c>
      <c r="B48" t="s">
        <v>1566</v>
      </c>
      <c r="C48">
        <v>763</v>
      </c>
      <c r="D48">
        <v>18</v>
      </c>
      <c r="E48">
        <v>1022</v>
      </c>
      <c r="F48" t="s">
        <v>1498</v>
      </c>
      <c r="G48" t="s">
        <v>276</v>
      </c>
      <c r="H48" t="s">
        <v>1098</v>
      </c>
      <c r="I48" t="s">
        <v>270</v>
      </c>
      <c r="J48">
        <v>1980</v>
      </c>
      <c r="W48">
        <v>38</v>
      </c>
      <c r="Y48">
        <v>4</v>
      </c>
      <c r="AA48" s="3" t="str">
        <f t="shared" ref="AA48" si="86">IF(AND(W48&gt;0,Z48&gt;0),(Z48/((W48+X48)*10)),"")</f>
        <v/>
      </c>
      <c r="AB48">
        <v>125</v>
      </c>
      <c r="AC48">
        <f t="shared" ref="AC48" si="87">ROUND(AB48*1.6, 0)</f>
        <v>200</v>
      </c>
      <c r="AF48">
        <v>23</v>
      </c>
      <c r="AG48">
        <v>23</v>
      </c>
      <c r="AH48">
        <v>2.82</v>
      </c>
      <c r="AI48">
        <v>3.79</v>
      </c>
      <c r="AJ48" s="10">
        <v>24</v>
      </c>
      <c r="AK48" t="str">
        <f>CONCATENATE(VLOOKUP(AL48, 'Voxel Sizes'!$A$2:$B$18,2,FALSE),"x",INT(AH48*15), "x", INT(AI48*15))</f>
        <v>214x42x56</v>
      </c>
      <c r="AL48">
        <f t="shared" ref="AL48" si="88">ROUND(15*((AG48*10)/256),0)</f>
        <v>13</v>
      </c>
      <c r="AN48" t="str">
        <f>CONCATENATE(VLOOKUP(AL48,Constants!$A$2:$C$16,IF(AM48&lt;&gt;"", 3, 2), FALSE),IF(AM48&lt;&gt;"",CONCATENATE(",",VLOOKUP(AM48,$B:$AN,39,FALSE)),""))</f>
        <v>4,5,4</v>
      </c>
      <c r="AX48">
        <v>30</v>
      </c>
      <c r="AY48" s="15" t="str">
        <f t="shared" ref="AY48" si="89">IF(L48&lt;&gt;"",MAX(16,(L48-J48)+8),"")</f>
        <v/>
      </c>
      <c r="AZ48">
        <v>1150</v>
      </c>
      <c r="BA48">
        <v>160</v>
      </c>
      <c r="BB48">
        <f t="shared" ref="BB48" si="90">MIN(AB48/150, 1)*30</f>
        <v>25</v>
      </c>
      <c r="BC48">
        <f t="shared" ref="BC48" si="91">MIN(N48/4000, 1)*20</f>
        <v>0</v>
      </c>
      <c r="BD48">
        <f t="shared" ref="BD48" si="92">MIN(Z48/400,1)*20</f>
        <v>0</v>
      </c>
      <c r="BE48" s="3">
        <f t="shared" ref="BE48" si="93">1-(MAX(J48-1900, 0)/750)</f>
        <v>0.89333333333333331</v>
      </c>
      <c r="BF48">
        <f t="shared" ref="BF48" si="94">((MAX($M48,1)*MIN($AJ48/300,1)))*IF(G48="Wagon",50,10)</f>
        <v>4</v>
      </c>
      <c r="BG48">
        <f>VLOOKUP($H48,Constants!$I:$K, 2, FALSE)</f>
        <v>1.2</v>
      </c>
      <c r="BH48">
        <f>VLOOKUP($H48,Constants!$I:$K, 3, FALSE)*IF(AND(G48="multiple_unit",AB48&lt;110),0.75,1)</f>
        <v>0.6</v>
      </c>
      <c r="BI48">
        <f>INT(POWER(((Constants!$G$2+$BB48+$BC48+$BD48+$BF48)*$BE48)*$BH48, 1.05))+$BA48</f>
        <v>181</v>
      </c>
      <c r="BJ48">
        <f>INT(POWER((((Constants!$G$1+$BB48+$BC48+$BD48+$BF48)*($BE48))*$BG48),IF($G48="wagon",1,1.2)))+$AZ48</f>
        <v>1197</v>
      </c>
      <c r="BK48" s="14">
        <f t="shared" ref="BK48" si="95">BI48*IF($G48="wagon",62.5,781.25)</f>
        <v>11312.5</v>
      </c>
      <c r="BL48" s="14">
        <f t="shared" ref="BL48" si="96">BJ48*IF($G48="wagon",2.73,81.25)</f>
        <v>3267.81</v>
      </c>
      <c r="BU48">
        <v>6</v>
      </c>
      <c r="BV48">
        <v>205</v>
      </c>
      <c r="BW48" t="s">
        <v>1540</v>
      </c>
      <c r="BX48" t="s">
        <v>866</v>
      </c>
      <c r="BY48" t="s">
        <v>278</v>
      </c>
      <c r="BZ48" t="str">
        <f>VLOOKUP(J48,Eras!$A$2:$C$10, 2, TRUE)</f>
        <v>lbr</v>
      </c>
      <c r="CA48" t="s">
        <v>330</v>
      </c>
      <c r="CB48" t="str">
        <f t="shared" ref="CB48" si="97">CONCATENATE(BZ48,"_",CA48)</f>
        <v>lbr_Carriage</v>
      </c>
      <c r="CC48" t="str">
        <f t="shared" ref="CC48" si="98">_xlfn.CONCAT(H48, "_",I48)</f>
        <v>carriage_RAIL</v>
      </c>
      <c r="CD48" s="17" t="str" cm="1">
        <f t="array" ref="CD48">_xlfn.CONCAT("{BLACK}Length: {GOLD}", TEXT(ROUNDUP(IF(AQ48&lt;&gt;"",SUM(VALUE(_xlfn.TEXTSPLIT(AQ48, ","))), SUM(VALUE(_xlfn.TEXTSPLIT(AN48, ",")))*IF(M48, M48, 1))/16, 1), "#,##0.0"), " tiles{}")</f>
        <v>{BLACK}Length: {GOLD}0.9 tiles{}</v>
      </c>
      <c r="CE48" t="str">
        <f>VLOOKUP($CC48, Constants!$M:$N, 2, FALSE)</f>
        <v/>
      </c>
      <c r="CF48" t="str">
        <f t="shared" ref="CF48" si="99">IF(M48&gt;1,_xlfn.CONCAT("{BLACK}Cars: {GOLD}", M48),"")</f>
        <v/>
      </c>
      <c r="CG48" t="s">
        <v>1563</v>
      </c>
      <c r="CH48" t="str">
        <f t="shared" si="13"/>
        <v/>
      </c>
      <c r="CI48" t="str">
        <f t="shared" ref="CI48" si="100">IF(BW48="buffet","{YELLOW}25% long distance bonus for consist{}",IF(BY48="BRAKE","{YELLOW}Speed bonus for slow wagons{}",IF(BV48&gt;190,CONCATENATE("{YELLOW}",INT((BV48-185)/1.85),"% bonus for long distance travel{}"),IF(AND(BV48&lt;180,BV48&lt;&gt;0),CONCATENATE("{YELLOW}",INT((185-BV48)/1.85),"% penalty for long distance travel{}"),""))))</f>
        <v>{YELLOW}25% long distance bonus for consist{}</v>
      </c>
      <c r="CJ48" t="str">
        <f t="shared" ref="CJ48" si="101">_xlfn.CONCAT(CE48,IF(CE48&lt;&gt;""," ",""),CF48,IF(OR(CF48&lt;&gt;"",CE48&lt;&gt;""),"{}",""),CD48,CI48,"{SILVER}",CG48,IF(CH48&lt;&gt;"","{}{}",""),CH48)</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9" spans="1:88" x14ac:dyDescent="0.35">
      <c r="A49" t="s">
        <v>1556</v>
      </c>
      <c r="B49" t="s">
        <v>1559</v>
      </c>
      <c r="C49">
        <v>764</v>
      </c>
      <c r="D49">
        <v>18</v>
      </c>
      <c r="E49">
        <v>1023</v>
      </c>
      <c r="F49" t="s">
        <v>1498</v>
      </c>
      <c r="G49" t="s">
        <v>276</v>
      </c>
      <c r="H49" t="s">
        <v>1098</v>
      </c>
      <c r="I49" t="s">
        <v>270</v>
      </c>
      <c r="J49">
        <v>1987</v>
      </c>
      <c r="W49">
        <v>38</v>
      </c>
      <c r="Y49">
        <v>4</v>
      </c>
      <c r="AA49" s="3" t="str">
        <f t="shared" ref="AA49" si="102">IF(AND(W49&gt;0,Z49&gt;0),(Z49/((W49+X49)*10)),"")</f>
        <v/>
      </c>
      <c r="AB49">
        <v>125</v>
      </c>
      <c r="AC49">
        <f t="shared" ref="AC49" si="103">ROUND(AB49*1.6, 0)</f>
        <v>200</v>
      </c>
      <c r="AF49">
        <v>23</v>
      </c>
      <c r="AG49">
        <v>23</v>
      </c>
      <c r="AH49">
        <v>2.82</v>
      </c>
      <c r="AI49">
        <v>3.79</v>
      </c>
      <c r="AJ49" s="10">
        <v>30</v>
      </c>
      <c r="AK49" t="str">
        <f>CONCATENATE(VLOOKUP(AL49, 'Voxel Sizes'!$A$2:$B$18,2,FALSE),"x",INT(AH49*15), "x", INT(AI49*15))</f>
        <v>214x42x56</v>
      </c>
      <c r="AL49">
        <f t="shared" ref="AL49" si="104">ROUND(15*((AG49*10)/256),0)</f>
        <v>13</v>
      </c>
      <c r="AN49" t="str">
        <f>CONCATENATE(VLOOKUP(AL49,Constants!$A$2:$C$16,IF(AM49&lt;&gt;"", 3, 2), FALSE),IF(AM49&lt;&gt;"",CONCATENATE(",",VLOOKUP(AM49,$B:$AN,39,FALSE)),""))</f>
        <v>4,5,4</v>
      </c>
      <c r="AX49">
        <v>30</v>
      </c>
      <c r="AY49" s="15" t="str">
        <f t="shared" ref="AY49" si="105">IF(L49&lt;&gt;"",MAX(16,(L49-J49)+8),"")</f>
        <v/>
      </c>
      <c r="AZ49">
        <v>1200</v>
      </c>
      <c r="BA49">
        <v>170</v>
      </c>
      <c r="BB49">
        <f t="shared" ref="BB49" si="106">MIN(AB49/150, 1)*30</f>
        <v>25</v>
      </c>
      <c r="BC49">
        <f t="shared" ref="BC49" si="107">MIN(N49/4000, 1)*20</f>
        <v>0</v>
      </c>
      <c r="BD49">
        <f t="shared" ref="BD49" si="108">MIN(Z49/400,1)*20</f>
        <v>0</v>
      </c>
      <c r="BE49" s="3">
        <f t="shared" ref="BE49" si="109">1-(MAX(J49-1900, 0)/750)</f>
        <v>0.88400000000000001</v>
      </c>
      <c r="BF49">
        <f t="shared" ref="BF49" si="110">((MAX($M49,1)*MIN($AJ49/300,1)))*IF(G49="Wagon",50,10)</f>
        <v>5</v>
      </c>
      <c r="BG49">
        <f>VLOOKUP($H49,Constants!$I:$K, 2, FALSE)</f>
        <v>1.2</v>
      </c>
      <c r="BH49">
        <f>VLOOKUP($H49,Constants!$I:$K, 3, FALSE)*IF(AND(G49="multiple_unit",AB49&lt;110),0.75,1)</f>
        <v>0.6</v>
      </c>
      <c r="BI49">
        <f>INT(POWER(((Constants!$G$2+$BB49+$BC49+$BD49+$BF49)*$BE49)*$BH49, 1.05))+$BA49</f>
        <v>191</v>
      </c>
      <c r="BJ49">
        <f>INT(POWER((((Constants!$G$1+$BB49+$BC49+$BD49+$BF49)*($BE49))*$BG49),IF($G49="wagon",1,1.2)))+$AZ49</f>
        <v>1247</v>
      </c>
      <c r="BK49" s="14">
        <f t="shared" ref="BK49" si="111">BI49*IF($G49="wagon",62.5,781.25)</f>
        <v>11937.5</v>
      </c>
      <c r="BL49" s="14">
        <f t="shared" ref="BL49" si="112">BJ49*IF($G49="wagon",2.73,81.25)</f>
        <v>3404.31</v>
      </c>
      <c r="BU49">
        <v>6</v>
      </c>
      <c r="BV49">
        <v>242</v>
      </c>
      <c r="BW49" t="s">
        <v>1540</v>
      </c>
      <c r="BX49" t="s">
        <v>866</v>
      </c>
      <c r="BY49" t="s">
        <v>278</v>
      </c>
      <c r="BZ49" t="str">
        <f>VLOOKUP(J49,Eras!$A$2:$C$10, 2, TRUE)</f>
        <v>lbr</v>
      </c>
      <c r="CA49" t="s">
        <v>330</v>
      </c>
      <c r="CB49" t="str">
        <f t="shared" ref="CB49" si="113">CONCATENATE(BZ49,"_",CA49)</f>
        <v>lbr_Carriage</v>
      </c>
      <c r="CC49" t="str">
        <f t="shared" ref="CC49" si="114">_xlfn.CONCAT(H49, "_",I49)</f>
        <v>carriage_RAIL</v>
      </c>
      <c r="CD49" s="17" t="str" cm="1">
        <f t="array" ref="CD49">_xlfn.CONCAT("{BLACK}Length: {GOLD}", TEXT(ROUNDUP(IF(AQ49&lt;&gt;"",SUM(VALUE(_xlfn.TEXTSPLIT(AQ49, ","))), SUM(VALUE(_xlfn.TEXTSPLIT(AN49, ",")))*IF(M49, M49, 1))/16, 1), "#,##0.0"), " tiles{}")</f>
        <v>{BLACK}Length: {GOLD}0.9 tiles{}</v>
      </c>
      <c r="CE49" t="str">
        <f>VLOOKUP($CC49, Constants!$M:$N, 2, FALSE)</f>
        <v/>
      </c>
      <c r="CF49" t="str">
        <f t="shared" ref="CF49" si="115">IF(M49&gt;1,_xlfn.CONCAT("{BLACK}Cars: {GOLD}", M49),"")</f>
        <v/>
      </c>
      <c r="CG49" t="s">
        <v>1567</v>
      </c>
      <c r="CH49" t="str">
        <f t="shared" si="13"/>
        <v/>
      </c>
      <c r="CI49" t="str">
        <f t="shared" ref="CI49" si="116">IF(BW49="buffet","{YELLOW}25% long distance bonus for consist{}",IF(BY49="BRAKE","{YELLOW}Speed bonus for slow wagons{}",IF(BV49&gt;190,CONCATENATE("{YELLOW}",INT((BV49-185)/1.85),"% bonus for long distance travel{}"),IF(AND(BV49&lt;180,BV49&lt;&gt;0),CONCATENATE("{YELLOW}",INT((185-BV49)/1.85),"% penalty for long distance travel{}"),""))))</f>
        <v>{YELLOW}25% long distance bonus for consist{}</v>
      </c>
      <c r="CJ49" t="str">
        <f t="shared" ref="CJ49" si="117">_xlfn.CONCAT(CE49,IF(CE49&lt;&gt;""," ",""),CF49,IF(OR(CF49&lt;&gt;"",CE49&lt;&gt;""),"{}",""),CD49,CI49,"{SILVER}",CG49,IF(CH49&lt;&gt;"","{}{}",""),CH49)</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50" spans="1:88" x14ac:dyDescent="0.35">
      <c r="A50" t="s">
        <v>1557</v>
      </c>
      <c r="B50" t="s">
        <v>1560</v>
      </c>
      <c r="C50">
        <v>765</v>
      </c>
      <c r="D50">
        <v>18</v>
      </c>
      <c r="E50">
        <v>1024</v>
      </c>
      <c r="F50" t="s">
        <v>1498</v>
      </c>
      <c r="G50" t="s">
        <v>276</v>
      </c>
      <c r="H50" t="s">
        <v>1098</v>
      </c>
      <c r="I50" t="s">
        <v>270</v>
      </c>
      <c r="J50">
        <v>1978</v>
      </c>
      <c r="W50">
        <v>34</v>
      </c>
      <c r="Y50">
        <v>5</v>
      </c>
      <c r="AA50" s="3" t="str">
        <f t="shared" ref="AA50:AA52" si="118">IF(AND(W50&gt;0,Z50&gt;0),(Z50/((W50+X50)*10)),"")</f>
        <v/>
      </c>
      <c r="AB50">
        <v>125</v>
      </c>
      <c r="AC50">
        <f t="shared" ref="AC50:AC52" si="119">ROUND(AB50*1.6, 0)</f>
        <v>200</v>
      </c>
      <c r="AF50">
        <v>23</v>
      </c>
      <c r="AG50">
        <v>23</v>
      </c>
      <c r="AH50">
        <v>2.82</v>
      </c>
      <c r="AI50">
        <v>3.79</v>
      </c>
      <c r="AJ50" s="10">
        <v>78</v>
      </c>
      <c r="AK50" t="str">
        <f>CONCATENATE(VLOOKUP(AL50, 'Voxel Sizes'!$A$2:$B$18,2,FALSE),"x",INT(AH50*15), "x", INT(AI50*15))</f>
        <v>214x42x56</v>
      </c>
      <c r="AL50">
        <f t="shared" ref="AL50:AL52" si="120">ROUND(15*((AG50*10)/256),0)</f>
        <v>13</v>
      </c>
      <c r="AN50" t="str">
        <f>CONCATENATE(VLOOKUP(AL50,Constants!$A$2:$C$16,IF(AM50&lt;&gt;"", 3, 2), FALSE),IF(AM50&lt;&gt;"",CONCATENATE(",",VLOOKUP(AM50,$B:$AN,39,FALSE)),""))</f>
        <v>4,5,4</v>
      </c>
      <c r="AX50">
        <v>30</v>
      </c>
      <c r="AY50" s="15" t="str">
        <f t="shared" ref="AY50:AY52" si="121">IF(L50&lt;&gt;"",MAX(16,(L50-J50)+8),"")</f>
        <v/>
      </c>
      <c r="AZ50">
        <v>86</v>
      </c>
      <c r="BA50">
        <f>29*3</f>
        <v>87</v>
      </c>
      <c r="BB50">
        <f t="shared" ref="BB50:BB52" si="122">MIN(AB50/150, 1)*30</f>
        <v>25</v>
      </c>
      <c r="BC50">
        <f t="shared" ref="BC50:BC52" si="123">MIN(N50/4000, 1)*20</f>
        <v>0</v>
      </c>
      <c r="BD50">
        <f t="shared" ref="BD50:BD52" si="124">MIN(Z50/400,1)*20</f>
        <v>0</v>
      </c>
      <c r="BE50" s="3">
        <f t="shared" ref="BE50:BE52" si="125">1-(MAX(J50-1900, 0)/750)</f>
        <v>0.89600000000000002</v>
      </c>
      <c r="BF50">
        <f t="shared" ref="BF50:BF52" si="126">((MAX($M50,1)*MIN($AJ50/300,1)))*IF(G50="Wagon",50,10)</f>
        <v>13</v>
      </c>
      <c r="BG50">
        <f>VLOOKUP($H50,Constants!$I:$K, 2, FALSE)</f>
        <v>1.2</v>
      </c>
      <c r="BH50">
        <f>VLOOKUP($H50,Constants!$I:$K, 3, FALSE)*IF(AND(G50="multiple_unit",AB50&lt;110),0.75,1)</f>
        <v>0.6</v>
      </c>
      <c r="BI50">
        <f>INT(POWER(((Constants!$G$2+$BB50+$BC50+$BD50+$BF50)*$BE50)*$BH50, 1.05))+$BA50</f>
        <v>114</v>
      </c>
      <c r="BJ50">
        <f>INT(POWER((((Constants!$G$1+$BB50+$BC50+$BD50+$BF50)*($BE50))*$BG50),IF($G50="wagon",1,1.2)))+$AZ50</f>
        <v>142</v>
      </c>
      <c r="BK50" s="14">
        <f t="shared" ref="BK50:BK52" si="127">BI50*IF($G50="wagon",62.5,781.25)</f>
        <v>7125</v>
      </c>
      <c r="BL50" s="14">
        <f t="shared" ref="BL50:BL52" si="128">BJ50*IF($G50="wagon",2.73,81.25)</f>
        <v>387.66</v>
      </c>
      <c r="BT50" t="s">
        <v>1538</v>
      </c>
      <c r="BU50">
        <v>2</v>
      </c>
      <c r="BV50">
        <v>185</v>
      </c>
      <c r="BX50" t="s">
        <v>1037</v>
      </c>
      <c r="BY50" t="s">
        <v>644</v>
      </c>
      <c r="BZ50" t="str">
        <f>VLOOKUP(J50,Eras!$A$2:$C$10, 2, TRUE)</f>
        <v>lbr</v>
      </c>
      <c r="CA50" t="s">
        <v>331</v>
      </c>
      <c r="CB50" t="str">
        <f t="shared" ref="CB50:CB52" si="129">CONCATENATE(BZ50,"_",CA50)</f>
        <v>lbr_Mail Carriage</v>
      </c>
      <c r="CC50" t="str">
        <f t="shared" ref="CC50:CC52" si="130">_xlfn.CONCAT(H50, "_",I50)</f>
        <v>carriage_RAIL</v>
      </c>
      <c r="CD50" s="17" t="str" cm="1">
        <f t="array" ref="CD50">_xlfn.CONCAT("{BLACK}Length: {GOLD}", TEXT(ROUNDUP(IF(AQ50&lt;&gt;"",SUM(VALUE(_xlfn.TEXTSPLIT(AQ50, ","))), SUM(VALUE(_xlfn.TEXTSPLIT(AN50, ",")))*IF(M50, M50, 1))/16, 1), "#,##0.0"), " tiles{}")</f>
        <v>{BLACK}Length: {GOLD}0.9 tiles{}</v>
      </c>
      <c r="CE50" t="str">
        <f>VLOOKUP($CC50, Constants!$M:$N, 2, FALSE)</f>
        <v/>
      </c>
      <c r="CF50" t="str">
        <f t="shared" ref="CF50:CF52" si="131">IF(M50&gt;1,_xlfn.CONCAT("{BLACK}Cars: {GOLD}", M50),"")</f>
        <v/>
      </c>
      <c r="CG50" t="s">
        <v>1565</v>
      </c>
      <c r="CH50" t="str">
        <f t="shared" si="13"/>
        <v>{GREEN}Included for gameplay purposes</v>
      </c>
      <c r="CI50" t="str">
        <f t="shared" ref="CI50:CI52" si="132">IF(BW50="buffet","{YELLOW}25% long distance bonus for consist{}",IF(BY50="BRAKE","{YELLOW}Speed bonus for slow wagons{}",IF(BV50&gt;190,CONCATENATE("{YELLOW}",INT((BV50-185)/1.85),"% bonus for long distance travel{}"),IF(AND(BV50&lt;180,BV50&lt;&gt;0),CONCATENATE("{YELLOW}",INT((185-BV50)/1.85),"% penalty for long distance travel{}"),""))))</f>
        <v/>
      </c>
      <c r="CJ50" t="str">
        <f t="shared" ref="CJ50:CJ52" si="133">_xlfn.CONCAT(CE50,IF(CE50&lt;&gt;""," ",""),CF50,IF(OR(CF50&lt;&gt;"",CE50&lt;&gt;""),"{}",""),CD50,CI50,"{SILVER}",CG50,IF(CH50&lt;&gt;"","{}{}",""),CH50)</f>
        <v>{BLACK}Length: {GOLD}0.9 tiles{}{SILVER}BR did not build any carriage-based utility vans after the Mk1, but this vehicle is included as a "what could have been" if HSTs and express services had included a high speed parcels car.{}{}{GREEN}Included for gameplay purposes</v>
      </c>
    </row>
    <row r="51" spans="1:88" x14ac:dyDescent="0.35">
      <c r="A51" t="s">
        <v>1574</v>
      </c>
      <c r="B51" t="s">
        <v>256</v>
      </c>
      <c r="C51">
        <v>19</v>
      </c>
      <c r="E51">
        <v>1025</v>
      </c>
      <c r="F51" t="s">
        <v>1498</v>
      </c>
      <c r="G51" t="s">
        <v>276</v>
      </c>
      <c r="H51" t="s">
        <v>1098</v>
      </c>
      <c r="I51" t="s">
        <v>270</v>
      </c>
      <c r="J51">
        <v>1988</v>
      </c>
      <c r="W51">
        <v>40</v>
      </c>
      <c r="Y51">
        <v>5</v>
      </c>
      <c r="AA51" s="3" t="str">
        <f t="shared" ref="AA51" si="134">IF(AND(W51&gt;0,Z51&gt;0),(Z51/((W51+X51)*10)),"")</f>
        <v/>
      </c>
      <c r="AB51">
        <v>140</v>
      </c>
      <c r="AC51">
        <f t="shared" ref="AC51" si="135">ROUND(AB51*1.6, 0)</f>
        <v>224</v>
      </c>
      <c r="AF51">
        <v>23</v>
      </c>
      <c r="AG51">
        <v>23</v>
      </c>
      <c r="AH51">
        <v>2.82</v>
      </c>
      <c r="AI51">
        <v>3.79</v>
      </c>
      <c r="AJ51" s="10">
        <v>72</v>
      </c>
      <c r="AK51" t="str">
        <f>CONCATENATE(VLOOKUP(AL51, 'Voxel Sizes'!$A$2:$B$18,2,FALSE),"x",INT(AH51*15), "x", INT(AI51*15))</f>
        <v>214x42x56</v>
      </c>
      <c r="AL51">
        <f t="shared" ref="AL51" si="136">ROUND(15*((AG51*10)/256),0)</f>
        <v>13</v>
      </c>
      <c r="AN51" t="str">
        <f>CONCATENATE(VLOOKUP(AL51,Constants!$A$2:$C$16,IF(AM51&lt;&gt;"", 3, 2), FALSE),IF(AM51&lt;&gt;"",CONCATENATE(",",VLOOKUP(AM51,$B:$AN,39,FALSE)),""))</f>
        <v>4,5,4</v>
      </c>
      <c r="AX51">
        <v>30</v>
      </c>
      <c r="AY51" s="15" t="str">
        <f t="shared" ref="AY51" si="137">IF(L51&lt;&gt;"",MAX(16,(L51-J51)+8),"")</f>
        <v/>
      </c>
      <c r="AZ51">
        <v>90</v>
      </c>
      <c r="BA51">
        <f>31*3</f>
        <v>93</v>
      </c>
      <c r="BB51">
        <f t="shared" ref="BB51" si="138">MIN(AB51/150, 1)*30</f>
        <v>28</v>
      </c>
      <c r="BC51">
        <f t="shared" ref="BC51" si="139">MIN(N51/4000, 1)*20</f>
        <v>0</v>
      </c>
      <c r="BD51">
        <f t="shared" ref="BD51" si="140">MIN(Z51/400,1)*20</f>
        <v>0</v>
      </c>
      <c r="BE51" s="3">
        <f t="shared" ref="BE51" si="141">1-(MAX(J51-1900, 0)/750)</f>
        <v>0.88266666666666671</v>
      </c>
      <c r="BF51">
        <f t="shared" ref="BF51" si="142">((MAX($M51,1)*MIN($AJ51/300,1)))*IF(G51="Wagon",50,10)</f>
        <v>12</v>
      </c>
      <c r="BG51">
        <f>VLOOKUP($H51,Constants!$I:$K, 2, FALSE)</f>
        <v>1.2</v>
      </c>
      <c r="BH51">
        <f>VLOOKUP($H51,Constants!$I:$K, 3, FALSE)*IF(AND(G51="multiple_unit",AB51&lt;110),0.75,1)</f>
        <v>0.6</v>
      </c>
      <c r="BI51">
        <f>INT(POWER(((Constants!$G$2+$BB51+$BC51+$BD51+$BF51)*$BE51)*$BH51, 1.05))+$BA51</f>
        <v>120</v>
      </c>
      <c r="BJ51">
        <f>INT(POWER((((Constants!$G$1+$BB51+$BC51+$BD51+$BF51)*($BE51))*$BG51),IF($G51="wagon",1,1.2)))+$AZ51</f>
        <v>148</v>
      </c>
      <c r="BK51" s="14">
        <f t="shared" ref="BK51" si="143">BI51*IF($G51="wagon",62.5,781.25)</f>
        <v>7500</v>
      </c>
      <c r="BL51" s="14">
        <f t="shared" ref="BL51" si="144">BJ51*IF($G51="wagon",2.73,81.25)</f>
        <v>404.04</v>
      </c>
      <c r="BU51">
        <v>7</v>
      </c>
      <c r="BV51">
        <v>222</v>
      </c>
      <c r="BX51" t="s">
        <v>866</v>
      </c>
      <c r="BY51" t="s">
        <v>278</v>
      </c>
      <c r="BZ51" t="str">
        <f>VLOOKUP(J51,Eras!$A$2:$C$10, 2, TRUE)</f>
        <v>lbr</v>
      </c>
      <c r="CA51" t="s">
        <v>330</v>
      </c>
      <c r="CB51" t="str">
        <f t="shared" ref="CB51" si="145">CONCATENATE(BZ51,"_",CA51)</f>
        <v>lbr_Carriage</v>
      </c>
      <c r="CC51" t="str">
        <f t="shared" ref="CC51" si="146">_xlfn.CONCAT(H51, "_",I51)</f>
        <v>carriage_RAIL</v>
      </c>
      <c r="CD51" s="17" t="str" cm="1">
        <f t="array" ref="CD51">_xlfn.CONCAT("{BLACK}Length: {GOLD}", TEXT(ROUNDUP(IF(AQ51&lt;&gt;"",SUM(VALUE(_xlfn.TEXTSPLIT(AQ51, ","))), SUM(VALUE(_xlfn.TEXTSPLIT(AN51, ",")))*IF(M51, M51, 1))/16, 1), "#,##0.0"), " tiles{}")</f>
        <v>{BLACK}Length: {GOLD}0.9 tiles{}</v>
      </c>
      <c r="CE51" t="str">
        <f>VLOOKUP($CC51, Constants!$M:$N, 2, FALSE)</f>
        <v/>
      </c>
      <c r="CF51" t="str">
        <f t="shared" ref="CF51" si="147">IF(M51&gt;1,_xlfn.CONCAT("{BLACK}Cars: {GOLD}", M51),"")</f>
        <v/>
      </c>
      <c r="CG51" t="s">
        <v>1575</v>
      </c>
      <c r="CH51" t="str">
        <f t="shared" si="13"/>
        <v/>
      </c>
      <c r="CI51" t="str">
        <f t="shared" ref="CI51" si="148">IF(BW51="buffet","{YELLOW}25% long distance bonus for consist{}",IF(BY51="BRAKE","{YELLOW}Speed bonus for slow wagons{}",IF(BV51&gt;190,CONCATENATE("{YELLOW}",INT((BV51-185)/1.85),"% bonus for long distance travel{}"),IF(AND(BV51&lt;180,BV51&lt;&gt;0),CONCATENATE("{YELLOW}",INT((185-BV51)/1.85),"% penalty for long distance travel{}"),""))))</f>
        <v>{YELLOW}20% bonus for long distance travel{}</v>
      </c>
      <c r="CJ51" t="str">
        <f t="shared" ref="CJ51" si="149">_xlfn.CONCAT(CE51,IF(CE51&lt;&gt;""," ",""),CF51,IF(OR(CF51&lt;&gt;"",CE51&lt;&gt;""),"{}",""),CD51,CI51,"{SILVER}",CG51,IF(CH51&lt;&gt;"","{}{}",""),CH51)</f>
        <v>{BLACK}Length: {GOLD}0.9 tiles{}{YELLOW}20% bonus for long distance travel{}{SILVER}The Mk4 carriage is a further improvement on the Mk3. It's designed for use with the Class 91 for Intercity 225 services. Access is improved with greater consideration for wheelchair users.</v>
      </c>
    </row>
    <row r="52" spans="1:88" x14ac:dyDescent="0.35">
      <c r="A52" t="s">
        <v>1570</v>
      </c>
      <c r="B52" t="s">
        <v>1572</v>
      </c>
      <c r="C52">
        <v>766</v>
      </c>
      <c r="D52">
        <v>19</v>
      </c>
      <c r="E52">
        <v>1026</v>
      </c>
      <c r="F52" t="s">
        <v>1498</v>
      </c>
      <c r="G52" t="s">
        <v>276</v>
      </c>
      <c r="H52" t="s">
        <v>1098</v>
      </c>
      <c r="I52" t="s">
        <v>270</v>
      </c>
      <c r="J52">
        <v>1988</v>
      </c>
      <c r="W52">
        <v>40</v>
      </c>
      <c r="Y52">
        <v>4</v>
      </c>
      <c r="AA52" s="3" t="str">
        <f t="shared" si="118"/>
        <v/>
      </c>
      <c r="AB52">
        <v>140</v>
      </c>
      <c r="AC52">
        <f t="shared" si="119"/>
        <v>224</v>
      </c>
      <c r="AF52">
        <v>23</v>
      </c>
      <c r="AG52">
        <v>23</v>
      </c>
      <c r="AH52">
        <v>2.82</v>
      </c>
      <c r="AI52">
        <v>3.79</v>
      </c>
      <c r="AJ52" s="10">
        <v>48</v>
      </c>
      <c r="AK52" t="str">
        <f>CONCATENATE(VLOOKUP(AL52, 'Voxel Sizes'!$A$2:$B$18,2,FALSE),"x",INT(AH52*15), "x", INT(AI52*15))</f>
        <v>214x42x56</v>
      </c>
      <c r="AL52">
        <f t="shared" si="120"/>
        <v>13</v>
      </c>
      <c r="AN52" t="str">
        <f>CONCATENATE(VLOOKUP(AL52,Constants!$A$2:$C$16,IF(AM52&lt;&gt;"", 3, 2), FALSE),IF(AM52&lt;&gt;"",CONCATENATE(",",VLOOKUP(AM52,$B:$AN,39,FALSE)),""))</f>
        <v>4,5,4</v>
      </c>
      <c r="AX52">
        <v>30</v>
      </c>
      <c r="AY52" s="15" t="str">
        <f t="shared" si="121"/>
        <v/>
      </c>
      <c r="AZ52">
        <v>145</v>
      </c>
      <c r="BA52">
        <v>123</v>
      </c>
      <c r="BB52">
        <f t="shared" si="122"/>
        <v>28</v>
      </c>
      <c r="BC52">
        <f t="shared" si="123"/>
        <v>0</v>
      </c>
      <c r="BD52">
        <f t="shared" si="124"/>
        <v>0</v>
      </c>
      <c r="BE52" s="3">
        <f t="shared" si="125"/>
        <v>0.88266666666666671</v>
      </c>
      <c r="BF52">
        <f t="shared" si="126"/>
        <v>8</v>
      </c>
      <c r="BG52">
        <f>VLOOKUP($H52,Constants!$I:$K, 2, FALSE)</f>
        <v>1.2</v>
      </c>
      <c r="BH52">
        <f>VLOOKUP($H52,Constants!$I:$K, 3, FALSE)*IF(AND(G52="multiple_unit",AB52&lt;110),0.75,1)</f>
        <v>0.6</v>
      </c>
      <c r="BI52">
        <f>INT(POWER(((Constants!$G$2+$BB52+$BC52+$BD52+$BF52)*$BE52)*$BH52, 1.05))+$BA52</f>
        <v>148</v>
      </c>
      <c r="BJ52">
        <f>INT(POWER((((Constants!$G$1+$BB52+$BC52+$BD52+$BF52)*($BE52))*$BG52),IF($G52="wagon",1,1.2)))+$AZ52</f>
        <v>199</v>
      </c>
      <c r="BK52" s="14">
        <f t="shared" si="127"/>
        <v>9250</v>
      </c>
      <c r="BL52" s="14">
        <f t="shared" si="128"/>
        <v>543.27</v>
      </c>
      <c r="BU52">
        <v>7</v>
      </c>
      <c r="BV52">
        <v>250</v>
      </c>
      <c r="BX52" t="s">
        <v>866</v>
      </c>
      <c r="BY52" t="s">
        <v>278</v>
      </c>
      <c r="BZ52" t="str">
        <f>VLOOKUP(J52,Eras!$A$2:$C$10, 2, TRUE)</f>
        <v>lbr</v>
      </c>
      <c r="CA52" t="s">
        <v>330</v>
      </c>
      <c r="CB52" t="str">
        <f t="shared" si="129"/>
        <v>lbr_Carriage</v>
      </c>
      <c r="CC52" t="str">
        <f t="shared" si="130"/>
        <v>carriage_RAIL</v>
      </c>
      <c r="CD52" s="17" t="str" cm="1">
        <f t="array" ref="CD52">_xlfn.CONCAT("{BLACK}Length: {GOLD}", TEXT(ROUNDUP(IF(AQ52&lt;&gt;"",SUM(VALUE(_xlfn.TEXTSPLIT(AQ52, ","))), SUM(VALUE(_xlfn.TEXTSPLIT(AN52, ",")))*IF(M52, M52, 1))/16, 1), "#,##0.0"), " tiles{}")</f>
        <v>{BLACK}Length: {GOLD}0.9 tiles{}</v>
      </c>
      <c r="CE52" t="str">
        <f>VLOOKUP($CC52, Constants!$M:$N, 2, FALSE)</f>
        <v/>
      </c>
      <c r="CF52" t="str">
        <f t="shared" si="131"/>
        <v/>
      </c>
      <c r="CG52" t="s">
        <v>1576</v>
      </c>
      <c r="CH52" t="str">
        <f t="shared" si="13"/>
        <v/>
      </c>
      <c r="CI52" t="str">
        <f t="shared" si="132"/>
        <v>{YELLOW}35% bonus for long distance travel{}</v>
      </c>
      <c r="CJ52" t="str">
        <f t="shared" si="133"/>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53" spans="1:88" x14ac:dyDescent="0.35">
      <c r="A53" t="s">
        <v>1578</v>
      </c>
      <c r="B53" t="s">
        <v>1579</v>
      </c>
      <c r="C53">
        <v>767</v>
      </c>
      <c r="D53">
        <v>19</v>
      </c>
      <c r="E53">
        <v>1027</v>
      </c>
      <c r="F53" t="s">
        <v>1498</v>
      </c>
      <c r="G53" t="s">
        <v>276</v>
      </c>
      <c r="H53" t="s">
        <v>1098</v>
      </c>
      <c r="I53" t="s">
        <v>270</v>
      </c>
      <c r="J53">
        <v>1988</v>
      </c>
      <c r="W53">
        <v>42</v>
      </c>
      <c r="Y53">
        <v>4</v>
      </c>
      <c r="AA53" s="3" t="str">
        <f t="shared" si="29"/>
        <v/>
      </c>
      <c r="AB53">
        <v>140</v>
      </c>
      <c r="AC53">
        <f t="shared" si="27"/>
        <v>224</v>
      </c>
      <c r="AF53">
        <v>23</v>
      </c>
      <c r="AG53">
        <v>23</v>
      </c>
      <c r="AH53">
        <v>2.82</v>
      </c>
      <c r="AI53">
        <v>3.79</v>
      </c>
      <c r="AJ53" s="10">
        <v>24</v>
      </c>
      <c r="AK53" t="str">
        <f>CONCATENATE(VLOOKUP(AL53, 'Voxel Sizes'!$A$2:$B$18,2,FALSE),"x",INT(AH53*15), "x", INT(AI53*15))</f>
        <v>214x42x56</v>
      </c>
      <c r="AL53">
        <f t="shared" si="1"/>
        <v>13</v>
      </c>
      <c r="AN53" t="str">
        <f>CONCATENATE(VLOOKUP(AL53,Constants!$A$2:$C$16,IF(AM53&lt;&gt;"", 3, 2), FALSE),IF(AM53&lt;&gt;"",CONCATENATE(",",VLOOKUP(AM53,$B:$AN,39,FALSE)),""))</f>
        <v>4,5,4</v>
      </c>
      <c r="AX53">
        <v>30</v>
      </c>
      <c r="AY53" s="15" t="str">
        <f t="shared" si="2"/>
        <v/>
      </c>
      <c r="AZ53">
        <v>1350</v>
      </c>
      <c r="BA53">
        <v>190</v>
      </c>
      <c r="BB53">
        <f t="shared" si="3"/>
        <v>28</v>
      </c>
      <c r="BC53">
        <f t="shared" si="4"/>
        <v>0</v>
      </c>
      <c r="BD53">
        <f t="shared" si="5"/>
        <v>0</v>
      </c>
      <c r="BE53" s="3">
        <f t="shared" si="6"/>
        <v>0.88266666666666671</v>
      </c>
      <c r="BF53">
        <f t="shared" si="7"/>
        <v>4</v>
      </c>
      <c r="BG53">
        <f>VLOOKUP($H53,Constants!$I:$K, 2, FALSE)</f>
        <v>1.2</v>
      </c>
      <c r="BH53">
        <f>VLOOKUP($H53,Constants!$I:$K, 3, FALSE)*IF(AND(G53="multiple_unit",AB53&lt;110),0.75,1)</f>
        <v>0.6</v>
      </c>
      <c r="BI53">
        <f>INT(POWER(((Constants!$G$2+$BB53+$BC53+$BD53+$BF53)*$BE53)*$BH53, 1.05))+$BA53</f>
        <v>212</v>
      </c>
      <c r="BJ53">
        <f>INT(POWER((((Constants!$G$1+$BB53+$BC53+$BD53+$BF53)*($BE53))*$BG53),IF($G53="wagon",1,1.2)))+$AZ53</f>
        <v>1399</v>
      </c>
      <c r="BK53" s="14">
        <f t="shared" si="8"/>
        <v>13250</v>
      </c>
      <c r="BL53" s="14">
        <f t="shared" si="9"/>
        <v>3819.27</v>
      </c>
      <c r="BU53">
        <v>7</v>
      </c>
      <c r="BV53">
        <v>250</v>
      </c>
      <c r="BW53" t="s">
        <v>1540</v>
      </c>
      <c r="BX53" t="s">
        <v>866</v>
      </c>
      <c r="BY53" t="s">
        <v>278</v>
      </c>
      <c r="BZ53" t="str">
        <f>VLOOKUP(J53,Eras!$A$2:$C$10, 2, TRUE)</f>
        <v>lbr</v>
      </c>
      <c r="CA53" t="s">
        <v>330</v>
      </c>
      <c r="CB53" t="str">
        <f t="shared" si="10"/>
        <v>lbr_Carriage</v>
      </c>
      <c r="CC53" t="str">
        <f t="shared" si="11"/>
        <v>carriage_RAIL</v>
      </c>
      <c r="CD53" s="17" t="str" cm="1">
        <f t="array" ref="CD53">_xlfn.CONCAT("{BLACK}Length: {GOLD}", TEXT(ROUNDUP(IF(AQ53&lt;&gt;"",SUM(VALUE(_xlfn.TEXTSPLIT(AQ53, ","))), SUM(VALUE(_xlfn.TEXTSPLIT(AN53, ",")))*IF(M53, M53, 1))/16, 1), "#,##0.0"), " tiles{}")</f>
        <v>{BLACK}Length: {GOLD}0.9 tiles{}</v>
      </c>
      <c r="CE53" t="str">
        <f>VLOOKUP($CC53, Constants!$M:$N, 2, FALSE)</f>
        <v/>
      </c>
      <c r="CF53" t="str">
        <f t="shared" si="28"/>
        <v/>
      </c>
      <c r="CG53" t="s">
        <v>1577</v>
      </c>
      <c r="CH53" t="str">
        <f t="shared" si="13"/>
        <v/>
      </c>
      <c r="CI53" t="str">
        <f t="shared" si="14"/>
        <v>{YELLOW}25% long distance bonus for consist{}</v>
      </c>
      <c r="CJ53" t="str">
        <f t="shared" si="15"/>
        <v>{BLACK}Length: {GOLD}0.9 tiles{}{YELLOW}25% long distance bonus for consist{}{SILVER}Intercity 225 formations included restaurant cars from their introduction, initially as first class RFB cars.</v>
      </c>
    </row>
    <row r="54" spans="1:88" x14ac:dyDescent="0.35">
      <c r="A54" t="s">
        <v>1571</v>
      </c>
      <c r="B54" t="s">
        <v>1573</v>
      </c>
      <c r="C54">
        <v>768</v>
      </c>
      <c r="D54">
        <v>19</v>
      </c>
      <c r="E54">
        <v>1028</v>
      </c>
      <c r="F54" t="s">
        <v>1498</v>
      </c>
      <c r="G54" t="s">
        <v>276</v>
      </c>
      <c r="H54" t="s">
        <v>1098</v>
      </c>
      <c r="I54" t="s">
        <v>270</v>
      </c>
      <c r="J54">
        <v>2018</v>
      </c>
      <c r="W54">
        <v>42</v>
      </c>
      <c r="Y54">
        <v>4</v>
      </c>
      <c r="AA54" s="3" t="str">
        <f t="shared" ref="AA54" si="150">IF(AND(W54&gt;0,Z54&gt;0),(Z54/((W54+X54)*10)),"")</f>
        <v/>
      </c>
      <c r="AB54">
        <v>140</v>
      </c>
      <c r="AC54">
        <f t="shared" ref="AC54" si="151">ROUND(AB54*1.6, 0)</f>
        <v>224</v>
      </c>
      <c r="AF54">
        <v>23</v>
      </c>
      <c r="AG54">
        <v>23</v>
      </c>
      <c r="AH54">
        <v>2.82</v>
      </c>
      <c r="AI54">
        <v>3.79</v>
      </c>
      <c r="AJ54" s="10">
        <v>30</v>
      </c>
      <c r="AK54" t="str">
        <f>CONCATENATE(VLOOKUP(AL54, 'Voxel Sizes'!$A$2:$B$18,2,FALSE),"x",INT(AH54*15), "x", INT(AI54*15))</f>
        <v>214x42x56</v>
      </c>
      <c r="AL54">
        <f t="shared" ref="AL54" si="152">ROUND(15*((AG54*10)/256),0)</f>
        <v>13</v>
      </c>
      <c r="AN54" t="str">
        <f>CONCATENATE(VLOOKUP(AL54,Constants!$A$2:$C$16,IF(AM54&lt;&gt;"", 3, 2), FALSE),IF(AM54&lt;&gt;"",CONCATENATE(",",VLOOKUP(AM54,$B:$AN,39,FALSE)),""))</f>
        <v>4,5,4</v>
      </c>
      <c r="AX54">
        <v>30</v>
      </c>
      <c r="AY54" s="15" t="str">
        <f t="shared" ref="AY54" si="153">IF(L54&lt;&gt;"",MAX(16,(L54-J54)+8),"")</f>
        <v/>
      </c>
      <c r="AZ54">
        <v>1150</v>
      </c>
      <c r="BA54">
        <v>160</v>
      </c>
      <c r="BB54">
        <f t="shared" ref="BB54" si="154">MIN(AB54/150, 1)*30</f>
        <v>28</v>
      </c>
      <c r="BC54">
        <f t="shared" ref="BC54" si="155">MIN(N54/4000, 1)*20</f>
        <v>0</v>
      </c>
      <c r="BD54">
        <f t="shared" ref="BD54" si="156">MIN(Z54/400,1)*20</f>
        <v>0</v>
      </c>
      <c r="BE54" s="3">
        <f t="shared" ref="BE54" si="157">1-(MAX(J54-1900, 0)/750)</f>
        <v>0.84266666666666667</v>
      </c>
      <c r="BF54">
        <f t="shared" ref="BF54" si="158">((MAX($M54,1)*MIN($AJ54/300,1)))*IF(G54="Wagon",50,10)</f>
        <v>5</v>
      </c>
      <c r="BG54">
        <f>VLOOKUP($H54,Constants!$I:$K, 2, FALSE)</f>
        <v>1.2</v>
      </c>
      <c r="BH54">
        <f>VLOOKUP($H54,Constants!$I:$K, 3, FALSE)*IF(AND(G54="multiple_unit",AB54&lt;110),0.75,1)</f>
        <v>0.6</v>
      </c>
      <c r="BI54">
        <f>INT(POWER(((Constants!$G$2+$BB54+$BC54+$BD54+$BF54)*$BE54)*$BH54, 1.05))+$BA54</f>
        <v>182</v>
      </c>
      <c r="BJ54">
        <f>INT(POWER((((Constants!$G$1+$BB54+$BC54+$BD54+$BF54)*($BE54))*$BG54),IF($G54="wagon",1,1.2)))+$AZ54</f>
        <v>1198</v>
      </c>
      <c r="BK54" s="14">
        <f t="shared" ref="BK54" si="159">BI54*IF($G54="wagon",62.5,781.25)</f>
        <v>11375</v>
      </c>
      <c r="BL54" s="14">
        <f t="shared" ref="BL54" si="160">BJ54*IF($G54="wagon",2.73,81.25)</f>
        <v>3270.54</v>
      </c>
      <c r="BU54">
        <v>2</v>
      </c>
      <c r="BV54">
        <v>222</v>
      </c>
      <c r="BW54" t="s">
        <v>1540</v>
      </c>
      <c r="BX54" t="s">
        <v>866</v>
      </c>
      <c r="BY54" t="s">
        <v>278</v>
      </c>
      <c r="BZ54" t="str">
        <f>VLOOKUP(J54,Eras!$A$2:$C$10, 2, TRUE)</f>
        <v>mod</v>
      </c>
      <c r="CA54" t="s">
        <v>330</v>
      </c>
      <c r="CB54" t="str">
        <f t="shared" ref="CB54" si="161">CONCATENATE(BZ54,"_",CA54)</f>
        <v>mod_Carriage</v>
      </c>
      <c r="CC54" t="str">
        <f t="shared" ref="CC54" si="162">_xlfn.CONCAT(H54, "_",I54)</f>
        <v>carriage_RAIL</v>
      </c>
      <c r="CD54" s="17" t="str" cm="1">
        <f t="array" ref="CD54">_xlfn.CONCAT("{BLACK}Length: {GOLD}", TEXT(ROUNDUP(IF(AQ54&lt;&gt;"",SUM(VALUE(_xlfn.TEXTSPLIT(AQ54, ","))), SUM(VALUE(_xlfn.TEXTSPLIT(AN54, ",")))*IF(M54, M54, 1))/16, 1), "#,##0.0"), " tiles{}")</f>
        <v>{BLACK}Length: {GOLD}0.9 tiles{}</v>
      </c>
      <c r="CE54" t="str">
        <f>VLOOKUP($CC54, Constants!$M:$N, 2, FALSE)</f>
        <v/>
      </c>
      <c r="CF54" t="str">
        <f t="shared" ref="CF54" si="163">IF(M54&gt;1,_xlfn.CONCAT("{BLACK}Cars: {GOLD}", M54),"")</f>
        <v/>
      </c>
      <c r="CG54" t="s">
        <v>1580</v>
      </c>
      <c r="CH54" t="str">
        <f t="shared" si="13"/>
        <v/>
      </c>
      <c r="CI54" t="str">
        <f t="shared" ref="CI54" si="164">IF(BW54="buffet","{YELLOW}25% long distance bonus for consist{}",IF(BY54="BRAKE","{YELLOW}Speed bonus for slow wagons{}",IF(BV54&gt;190,CONCATENATE("{YELLOW}",INT((BV54-185)/1.85),"% bonus for long distance travel{}"),IF(AND(BV54&lt;180,BV54&lt;&gt;0),CONCATENATE("{YELLOW}",INT((185-BV54)/1.85),"% penalty for long distance travel{}"),""))))</f>
        <v>{YELLOW}25% long distance bonus for consist{}</v>
      </c>
      <c r="CJ54" t="str">
        <f t="shared" ref="CJ54" si="165">_xlfn.CONCAT(CE54,IF(CE54&lt;&gt;""," ",""),CF54,IF(OR(CF54&lt;&gt;"",CE54&lt;&gt;""),"{}",""),CD54,CI54,"{SILVER}",CG54,IF(CH54&lt;&gt;"","{}{}",""),CH54)</f>
        <v>{BLACK}Length: {GOLD}0.9 tiles{}{YELLOW}25% long distance bonus for consist{}{SILVER}As LNER took over East Coast Express services, RSB cars with standard-class seating were introduced, allowing more passengers to sit in the buffet car.</v>
      </c>
    </row>
    <row r="55" spans="1:88" x14ac:dyDescent="0.35">
      <c r="A55" t="s">
        <v>1569</v>
      </c>
      <c r="B55" t="s">
        <v>1568</v>
      </c>
      <c r="C55">
        <v>769</v>
      </c>
      <c r="D55">
        <v>19</v>
      </c>
      <c r="E55">
        <v>1029</v>
      </c>
      <c r="F55" t="s">
        <v>1498</v>
      </c>
      <c r="G55" t="s">
        <v>276</v>
      </c>
      <c r="H55" t="s">
        <v>1098</v>
      </c>
      <c r="I55" t="s">
        <v>270</v>
      </c>
      <c r="J55">
        <v>1991</v>
      </c>
      <c r="W55">
        <v>40</v>
      </c>
      <c r="Y55">
        <v>5</v>
      </c>
      <c r="AA55" s="3" t="str">
        <f t="shared" ref="AA55" si="166">IF(AND(W55&gt;0,Z55&gt;0),(Z55/((W55+X55)*10)),"")</f>
        <v/>
      </c>
      <c r="AB55">
        <v>140</v>
      </c>
      <c r="AC55">
        <f t="shared" ref="AC55" si="167">ROUND(AB55*1.6, 0)</f>
        <v>224</v>
      </c>
      <c r="AF55">
        <v>23</v>
      </c>
      <c r="AG55">
        <v>23</v>
      </c>
      <c r="AH55">
        <v>2.82</v>
      </c>
      <c r="AI55">
        <v>3.79</v>
      </c>
      <c r="AJ55" s="10">
        <v>78</v>
      </c>
      <c r="AK55" t="str">
        <f>CONCATENATE(VLOOKUP(AL55, 'Voxel Sizes'!$A$2:$B$18,2,FALSE),"x",INT(AH55*15), "x", INT(AI55*15))</f>
        <v>214x42x56</v>
      </c>
      <c r="AL55">
        <f t="shared" ref="AL55" si="168">ROUND(15*((AG55*10)/256),0)</f>
        <v>13</v>
      </c>
      <c r="AN55" t="str">
        <f>CONCATENATE(VLOOKUP(AL55,Constants!$A$2:$C$16,IF(AM55&lt;&gt;"", 3, 2), FALSE),IF(AM55&lt;&gt;"",CONCATENATE(",",VLOOKUP(AM55,$B:$AN,39,FALSE)),""))</f>
        <v>4,5,4</v>
      </c>
      <c r="AX55">
        <v>30</v>
      </c>
      <c r="AY55" s="15" t="str">
        <f t="shared" ref="AY55" si="169">IF(L55&lt;&gt;"",MAX(16,(L55-J55)+8),"")</f>
        <v/>
      </c>
      <c r="AZ55">
        <v>90</v>
      </c>
      <c r="BA55">
        <f>31*3</f>
        <v>93</v>
      </c>
      <c r="BB55">
        <f t="shared" ref="BB55" si="170">MIN(AB55/150, 1)*30</f>
        <v>28</v>
      </c>
      <c r="BC55">
        <f t="shared" ref="BC55" si="171">MIN(N55/4000, 1)*20</f>
        <v>0</v>
      </c>
      <c r="BD55">
        <f t="shared" ref="BD55" si="172">MIN(Z55/400,1)*20</f>
        <v>0</v>
      </c>
      <c r="BE55" s="3">
        <f t="shared" ref="BE55" si="173">1-(MAX(J55-1900, 0)/750)</f>
        <v>0.87866666666666671</v>
      </c>
      <c r="BF55">
        <f t="shared" ref="BF55" si="174">((MAX($M55,1)*MIN($AJ55/300,1)))*IF(G55="Wagon",50,10)</f>
        <v>13</v>
      </c>
      <c r="BG55">
        <f>VLOOKUP($H55,Constants!$I:$K, 2, FALSE)</f>
        <v>1.2</v>
      </c>
      <c r="BH55">
        <f>VLOOKUP($H55,Constants!$I:$K, 3, FALSE)*IF(AND(G55="multiple_unit",AB55&lt;110),0.75,1)</f>
        <v>0.6</v>
      </c>
      <c r="BI55">
        <f>INT(POWER(((Constants!$G$2+$BB55+$BC55+$BD55+$BF55)*$BE55)*$BH55, 1.05))+$BA55</f>
        <v>121</v>
      </c>
      <c r="BJ55">
        <f>INT(POWER((((Constants!$G$1+$BB55+$BC55+$BD55+$BF55)*($BE55))*$BG55),IF($G55="wagon",1,1.2)))+$AZ55</f>
        <v>149</v>
      </c>
      <c r="BK55" s="14">
        <f t="shared" ref="BK55" si="175">BI55*IF($G55="wagon",62.5,781.25)</f>
        <v>7562.5</v>
      </c>
      <c r="BL55" s="14">
        <f t="shared" ref="BL55" si="176">BJ55*IF($G55="wagon",2.73,81.25)</f>
        <v>406.77</v>
      </c>
      <c r="BT55" t="s">
        <v>1538</v>
      </c>
      <c r="BU55">
        <v>5</v>
      </c>
      <c r="BV55">
        <v>185</v>
      </c>
      <c r="BX55" t="s">
        <v>1037</v>
      </c>
      <c r="BY55" t="s">
        <v>644</v>
      </c>
      <c r="BZ55" t="str">
        <f>VLOOKUP(J55,Eras!$A$2:$C$10, 2, TRUE)</f>
        <v>lbr</v>
      </c>
      <c r="CA55" t="s">
        <v>331</v>
      </c>
      <c r="CB55" t="str">
        <f t="shared" ref="CB55" si="177">CONCATENATE(BZ55,"_",CA55)</f>
        <v>lbr_Mail Carriage</v>
      </c>
      <c r="CC55" t="str">
        <f t="shared" ref="CC55" si="178">_xlfn.CONCAT(H55, "_",I55)</f>
        <v>carriage_RAIL</v>
      </c>
      <c r="CD55" s="17" t="str" cm="1">
        <f t="array" ref="CD55">_xlfn.CONCAT("{BLACK}Length: {GOLD}", TEXT(ROUNDUP(IF(AQ55&lt;&gt;"",SUM(VALUE(_xlfn.TEXTSPLIT(AQ55, ","))), SUM(VALUE(_xlfn.TEXTSPLIT(AN55, ",")))*IF(M55, M55, 1))/16, 1), "#,##0.0"), " tiles{}")</f>
        <v>{BLACK}Length: {GOLD}0.9 tiles{}</v>
      </c>
      <c r="CE55" t="str">
        <f>VLOOKUP($CC55, Constants!$M:$N, 2, FALSE)</f>
        <v/>
      </c>
      <c r="CF55" t="str">
        <f t="shared" ref="CF55" si="179">IF(M55&gt;1,_xlfn.CONCAT("{BLACK}Cars: {GOLD}", M55),"")</f>
        <v/>
      </c>
      <c r="CG55" t="s">
        <v>1581</v>
      </c>
      <c r="CH55" t="str">
        <f t="shared" si="13"/>
        <v>{GREEN}Included for gameplay purposes</v>
      </c>
      <c r="CI55" t="str">
        <f t="shared" ref="CI55" si="180">IF(BW55="buffet","{YELLOW}25% long distance bonus for consist{}",IF(BY55="BRAKE","{YELLOW}Speed bonus for slow wagons{}",IF(BV55&gt;190,CONCATENATE("{YELLOW}",INT((BV55-185)/1.85),"% bonus for long distance travel{}"),IF(AND(BV55&lt;180,BV55&lt;&gt;0),CONCATENATE("{YELLOW}",INT((185-BV55)/1.85),"% penalty for long distance travel{}"),""))))</f>
        <v/>
      </c>
      <c r="CJ55" t="str">
        <f t="shared" ref="CJ55" si="181">_xlfn.CONCAT(CE55,IF(CE55&lt;&gt;""," ",""),CF55,IF(OR(CF55&lt;&gt;"",CE55&lt;&gt;""),"{}",""),CD55,CI55,"{SILVER}",CG55,IF(CH55&lt;&gt;"","{}{}",""),CH55)</f>
        <v>{BLACK}Length: {GOLD}0.9 tiles{}{SILVER}By the time the Mk4 was introduced, the end of post on the rail was in sight, with Travelling Post Office services ceasing in 1996. But what if BR had continued to build parcel vans?{}{}{GREEN}Included for gameplay purposes</v>
      </c>
    </row>
    <row r="56" spans="1:88" x14ac:dyDescent="0.35">
      <c r="A56" t="s">
        <v>1367</v>
      </c>
      <c r="B56" t="s">
        <v>1368</v>
      </c>
      <c r="C56">
        <v>134</v>
      </c>
      <c r="E56">
        <v>1030</v>
      </c>
      <c r="F56" t="s">
        <v>1498</v>
      </c>
      <c r="G56" t="s">
        <v>276</v>
      </c>
      <c r="H56" t="s">
        <v>1098</v>
      </c>
      <c r="I56" t="s">
        <v>1370</v>
      </c>
      <c r="J56">
        <v>1700</v>
      </c>
      <c r="L56">
        <v>1870</v>
      </c>
      <c r="W56">
        <v>8</v>
      </c>
      <c r="Y56">
        <v>3</v>
      </c>
      <c r="AA56" s="3" t="str">
        <f t="shared" ref="AA56:AA63" si="182">IF(AND(W56&gt;0,Z56&gt;0),(Z56/((W56+X56)*10)),"")</f>
        <v/>
      </c>
      <c r="AB56">
        <v>45</v>
      </c>
      <c r="AC56">
        <f t="shared" ref="AC56:AC63" si="183">ROUND(AB56*1.6, 0)</f>
        <v>72</v>
      </c>
      <c r="AF56">
        <v>8</v>
      </c>
      <c r="AG56">
        <v>8</v>
      </c>
      <c r="AJ56" s="10">
        <v>24</v>
      </c>
      <c r="AK56" t="str">
        <f>CONCATENATE(VLOOKUP(AL56, 'Voxel Sizes'!$A$2:$B$18,2,FALSE),"x",INT(AH56*15), "x", INT(AI56*15))</f>
        <v>82x0x0</v>
      </c>
      <c r="AL56">
        <f t="shared" ref="AL56:AL63" si="184">ROUND(15*((AG56*10)/256),0)</f>
        <v>5</v>
      </c>
      <c r="AN56" t="str">
        <f>CONCATENATE(VLOOKUP(AL56,Constants!$A$2:$C$16,IF(AM56&lt;&gt;"", 3, 2), FALSE),IF(AM56&lt;&gt;"",CONCATENATE(",",VLOOKUP(AM56,$B:$AN,39,FALSE)),""))</f>
        <v>2,1,2</v>
      </c>
      <c r="AX56">
        <v>30</v>
      </c>
      <c r="AY56" s="15">
        <f t="shared" ref="AY56:AY63" si="185">IF(L56&lt;&gt;"",MAX(16,(L56-J56)+8),"")</f>
        <v>178</v>
      </c>
      <c r="AZ56">
        <v>5</v>
      </c>
      <c r="BA56">
        <v>4</v>
      </c>
      <c r="BB56">
        <f t="shared" ref="BB56:BB63" si="186">MIN(AB56/150, 1)*30</f>
        <v>9</v>
      </c>
      <c r="BC56">
        <f t="shared" ref="BC56:BC63" si="187">MIN(N56/4000, 1)*20</f>
        <v>0</v>
      </c>
      <c r="BD56">
        <f t="shared" ref="BD56:BD63" si="188">MIN(Z56/400,1)*20</f>
        <v>0</v>
      </c>
      <c r="BE56" s="3">
        <f t="shared" ref="BE56:BE63" si="189">1-(MAX(J56-1900, 0)/750)</f>
        <v>1</v>
      </c>
      <c r="BF56">
        <f t="shared" ref="BF56:BF63" si="190">((MAX($M56,1)*MIN($AJ56/300,1)))*IF(G56="Wagon",50,10)</f>
        <v>4</v>
      </c>
      <c r="BG56">
        <f>VLOOKUP($H56,Constants!$I:$K, 2, FALSE)</f>
        <v>1.2</v>
      </c>
      <c r="BH56">
        <f>VLOOKUP($H56,Constants!$I:$K, 3, FALSE)*IF(AND(G56="multiple_unit",AB56&lt;110),0.75,1)</f>
        <v>0.6</v>
      </c>
      <c r="BI56">
        <f>INT(POWER(((Constants!$G$2+$BB56+$BC56+$BD56+$BF56)*$BE56)*$BH56, 1.05))+$BA56</f>
        <v>16</v>
      </c>
      <c r="BJ56">
        <f>INT(POWER((((Constants!$G$1+$BB56+$BC56+$BD56+$BF56)*($BE56))*$BG56),IF($G56="wagon",1,1.2)))+$AZ56</f>
        <v>38</v>
      </c>
      <c r="BK56" s="14">
        <f t="shared" ref="BK56:BK63" si="191">BI56*IF($G56="wagon",62.5,781.25)</f>
        <v>1000</v>
      </c>
      <c r="BL56" s="14">
        <f t="shared" ref="BL56:BL63" si="192">BJ56*IF($G56="wagon",2.73,81.25)</f>
        <v>103.74</v>
      </c>
      <c r="BU56">
        <v>10</v>
      </c>
      <c r="BV56">
        <v>185</v>
      </c>
      <c r="BX56" t="s">
        <v>1037</v>
      </c>
      <c r="BY56" t="s">
        <v>644</v>
      </c>
      <c r="BZ56" t="str">
        <f>VLOOKUP(J56,Eras!$A$2:$C$10, 2, TRUE)</f>
        <v>early</v>
      </c>
      <c r="CA56" t="s">
        <v>330</v>
      </c>
      <c r="CB56" t="str">
        <f t="shared" ref="CB56:CB63" si="193">CONCATENATE(BZ56,"_",CA56)</f>
        <v>early_Carriage</v>
      </c>
      <c r="CC56" t="str">
        <f t="shared" si="11"/>
        <v>carriage_PLATEWAY</v>
      </c>
      <c r="CD56" s="17" t="str" cm="1">
        <f t="array" ref="CD56">_xlfn.CONCAT("{BLACK}Length: {GOLD}", TEXT(ROUNDUP(IF(AQ56&lt;&gt;"",SUM(VALUE(_xlfn.TEXTSPLIT(AQ56, ","))), SUM(VALUE(_xlfn.TEXTSPLIT(AN56, ",")))*IF(M56, M56, 1))/16, 1), "#,##0.0"), " tiles{}")</f>
        <v>{BLACK}Length: {GOLD}0.4 tiles{}</v>
      </c>
      <c r="CE56" t="str">
        <f>VLOOKUP($CC56, Constants!$M:$N, 2, FALSE)</f>
        <v/>
      </c>
      <c r="CF56" t="str">
        <f t="shared" si="28"/>
        <v/>
      </c>
      <c r="CG56" t="s">
        <v>1369</v>
      </c>
      <c r="CH56" t="str">
        <f t="shared" si="13"/>
        <v/>
      </c>
      <c r="CI56" t="str">
        <f t="shared" si="14"/>
        <v/>
      </c>
      <c r="CJ56" t="str">
        <f t="shared" si="15"/>
        <v>{BLACK}Length: {GOLD}0.4 tiles{}{SILVER}Although dedicated brake carriages were not common until the 1840s, this one is included in the set to allow early parcel and mail transport.</v>
      </c>
    </row>
    <row r="57" spans="1:88" ht="14.25" customHeight="1" x14ac:dyDescent="0.35">
      <c r="A57" t="s">
        <v>1318</v>
      </c>
      <c r="B57" t="s">
        <v>1320</v>
      </c>
      <c r="C57">
        <v>136</v>
      </c>
      <c r="E57">
        <v>1031</v>
      </c>
      <c r="F57" t="s">
        <v>1498</v>
      </c>
      <c r="G57" t="s">
        <v>276</v>
      </c>
      <c r="H57" t="s">
        <v>1098</v>
      </c>
      <c r="I57" t="s">
        <v>270</v>
      </c>
      <c r="J57">
        <v>1855</v>
      </c>
      <c r="L57">
        <v>1900</v>
      </c>
      <c r="W57">
        <v>18</v>
      </c>
      <c r="Y57">
        <v>4</v>
      </c>
      <c r="AA57" s="3" t="str">
        <f t="shared" si="182"/>
        <v/>
      </c>
      <c r="AB57">
        <v>65</v>
      </c>
      <c r="AC57">
        <f t="shared" si="183"/>
        <v>104</v>
      </c>
      <c r="AF57">
        <v>10</v>
      </c>
      <c r="AG57">
        <v>10</v>
      </c>
      <c r="AJ57" s="10">
        <v>24</v>
      </c>
      <c r="AK57" t="str">
        <f>CONCATENATE(VLOOKUP(AL57, 'Voxel Sizes'!$A$2:$B$18,2,FALSE),"x",INT(AH57*15), "x", INT(AI57*15))</f>
        <v>102x0x0</v>
      </c>
      <c r="AL57">
        <f t="shared" si="184"/>
        <v>6</v>
      </c>
      <c r="AN57" t="str">
        <f>CONCATENATE(VLOOKUP(AL57,Constants!$A$2:$C$16,IF(AM57&lt;&gt;"", 3, 2), FALSE),IF(AM57&lt;&gt;"",CONCATENATE(",",VLOOKUP(AM57,$B:$AN,39,FALSE)),""))</f>
        <v>2,2,2</v>
      </c>
      <c r="AX57">
        <v>30</v>
      </c>
      <c r="AY57" s="15">
        <f t="shared" si="185"/>
        <v>53</v>
      </c>
      <c r="AZ57">
        <v>20</v>
      </c>
      <c r="BA57">
        <v>10</v>
      </c>
      <c r="BB57">
        <f t="shared" si="186"/>
        <v>13</v>
      </c>
      <c r="BC57">
        <f t="shared" si="187"/>
        <v>0</v>
      </c>
      <c r="BD57">
        <f t="shared" si="188"/>
        <v>0</v>
      </c>
      <c r="BE57" s="3">
        <f t="shared" si="189"/>
        <v>1</v>
      </c>
      <c r="BF57">
        <f t="shared" si="190"/>
        <v>4</v>
      </c>
      <c r="BG57">
        <f>VLOOKUP($H57,Constants!$I:$K, 2, FALSE)</f>
        <v>1.2</v>
      </c>
      <c r="BH57">
        <f>VLOOKUP($H57,Constants!$I:$K, 3, FALSE)*IF(AND(G57="multiple_unit",AB57&lt;110),0.75,1)</f>
        <v>0.6</v>
      </c>
      <c r="BI57">
        <f>INT(POWER(((Constants!$G$2+$BB57+$BC57+$BD57+$BF57)*$BE57)*$BH57, 1.05))+$BA57</f>
        <v>25</v>
      </c>
      <c r="BJ57">
        <f>INT(POWER((((Constants!$G$1+$BB57+$BC57+$BD57+$BF57)*($BE57))*$BG57),IF($G57="wagon",1,1.2)))+$AZ57</f>
        <v>58</v>
      </c>
      <c r="BK57" s="14">
        <f t="shared" si="191"/>
        <v>1562.5</v>
      </c>
      <c r="BL57" s="14">
        <f t="shared" si="192"/>
        <v>158.34</v>
      </c>
      <c r="BU57">
        <v>10</v>
      </c>
      <c r="BV57">
        <v>185</v>
      </c>
      <c r="BX57" t="s">
        <v>1037</v>
      </c>
      <c r="BY57" t="s">
        <v>644</v>
      </c>
      <c r="BZ57" t="str">
        <f>VLOOKUP(J57,Eras!$A$2:$C$10, 2, TRUE)</f>
        <v>vct</v>
      </c>
      <c r="CA57" t="s">
        <v>330</v>
      </c>
      <c r="CB57" t="str">
        <f t="shared" si="193"/>
        <v>vct_Carriage</v>
      </c>
      <c r="CC57" t="str">
        <f t="shared" si="11"/>
        <v>carriage_RAIL</v>
      </c>
      <c r="CD57" s="17" t="str" cm="1">
        <f t="array" ref="CD57">_xlfn.CONCAT("{BLACK}Length: {GOLD}", TEXT(ROUNDUP(IF(AQ57&lt;&gt;"",SUM(VALUE(_xlfn.TEXTSPLIT(AQ57, ","))), SUM(VALUE(_xlfn.TEXTSPLIT(AN57, ",")))*IF(M57, M57, 1))/16, 1), "#,##0.0"), " tiles{}")</f>
        <v>{BLACK}Length: {GOLD}0.4 tiles{}</v>
      </c>
      <c r="CE57" t="str">
        <f>VLOOKUP($CC57, Constants!$M:$N, 2, FALSE)</f>
        <v/>
      </c>
      <c r="CF57" t="str">
        <f t="shared" si="28"/>
        <v/>
      </c>
      <c r="CG57" t="s">
        <v>1325</v>
      </c>
      <c r="CH57" t="str">
        <f t="shared" si="13"/>
        <v/>
      </c>
      <c r="CI57" t="str">
        <f t="shared" si="14"/>
        <v/>
      </c>
      <c r="CJ57" t="str">
        <f t="shared" si="15"/>
        <v>{BLACK}Length: {GOLD}0.4 tiles{}{SILVER}Early four-wheel carriages did not have locomotive-controlled brakes so, like freight trains, were reliant on the brakes in the guard's van.</v>
      </c>
    </row>
    <row r="58" spans="1:88" x14ac:dyDescent="0.35">
      <c r="A58" t="s">
        <v>1319</v>
      </c>
      <c r="B58" t="s">
        <v>1321</v>
      </c>
      <c r="C58">
        <v>138</v>
      </c>
      <c r="E58">
        <v>1032</v>
      </c>
      <c r="F58" t="s">
        <v>1498</v>
      </c>
      <c r="G58" t="s">
        <v>276</v>
      </c>
      <c r="H58" t="s">
        <v>1098</v>
      </c>
      <c r="I58" t="s">
        <v>270</v>
      </c>
      <c r="J58">
        <v>1875</v>
      </c>
      <c r="L58">
        <v>1915</v>
      </c>
      <c r="W58">
        <v>21</v>
      </c>
      <c r="Y58">
        <v>4</v>
      </c>
      <c r="AA58" s="3" t="str">
        <f t="shared" si="182"/>
        <v/>
      </c>
      <c r="AB58">
        <v>75</v>
      </c>
      <c r="AC58">
        <f t="shared" si="183"/>
        <v>120</v>
      </c>
      <c r="AF58">
        <v>12</v>
      </c>
      <c r="AG58">
        <v>12</v>
      </c>
      <c r="AJ58" s="10">
        <v>30</v>
      </c>
      <c r="AK58" t="str">
        <f>CONCATENATE(VLOOKUP(AL58, 'Voxel Sizes'!$A$2:$B$18,2,FALSE),"x",INT(AH58*15), "x", INT(AI58*15))</f>
        <v>120x0x0</v>
      </c>
      <c r="AL58">
        <f t="shared" si="184"/>
        <v>7</v>
      </c>
      <c r="AN58" t="str">
        <f>CONCATENATE(VLOOKUP(AL58,Constants!$A$2:$C$16,IF(AM58&lt;&gt;"", 3, 2), FALSE),IF(AM58&lt;&gt;"",CONCATENATE(",",VLOOKUP(AM58,$B:$AN,39,FALSE)),""))</f>
        <v>2,3,2</v>
      </c>
      <c r="AX58">
        <v>30</v>
      </c>
      <c r="AY58" s="15">
        <f t="shared" si="185"/>
        <v>48</v>
      </c>
      <c r="AZ58">
        <v>39</v>
      </c>
      <c r="BA58">
        <v>16</v>
      </c>
      <c r="BB58">
        <f t="shared" si="186"/>
        <v>15</v>
      </c>
      <c r="BC58">
        <f t="shared" si="187"/>
        <v>0</v>
      </c>
      <c r="BD58">
        <f t="shared" si="188"/>
        <v>0</v>
      </c>
      <c r="BE58" s="3">
        <f t="shared" si="189"/>
        <v>1</v>
      </c>
      <c r="BF58">
        <f t="shared" si="190"/>
        <v>5</v>
      </c>
      <c r="BG58">
        <f>VLOOKUP($H58,Constants!$I:$K, 2, FALSE)</f>
        <v>1.2</v>
      </c>
      <c r="BH58">
        <f>VLOOKUP($H58,Constants!$I:$K, 3, FALSE)*IF(AND(G58="multiple_unit",AB58&lt;110),0.75,1)</f>
        <v>0.6</v>
      </c>
      <c r="BI58">
        <f>INT(POWER(((Constants!$G$2+$BB58+$BC58+$BD58+$BF58)*$BE58)*$BH58, 1.05))+$BA58</f>
        <v>33</v>
      </c>
      <c r="BJ58">
        <f>INT(POWER((((Constants!$G$1+$BB58+$BC58+$BD58+$BF58)*($BE58))*$BG58),IF($G58="wagon",1,1.2)))+$AZ58</f>
        <v>81</v>
      </c>
      <c r="BK58" s="14">
        <f t="shared" si="191"/>
        <v>2062.5</v>
      </c>
      <c r="BL58" s="14">
        <f t="shared" si="192"/>
        <v>221.13</v>
      </c>
      <c r="BU58">
        <v>11</v>
      </c>
      <c r="BV58">
        <v>185</v>
      </c>
      <c r="BX58" t="s">
        <v>1037</v>
      </c>
      <c r="BY58" t="s">
        <v>644</v>
      </c>
      <c r="BZ58" t="str">
        <f>VLOOKUP(J58,Eras!$A$2:$C$10, 2, TRUE)</f>
        <v>vct</v>
      </c>
      <c r="CA58" t="s">
        <v>330</v>
      </c>
      <c r="CB58" t="str">
        <f t="shared" si="193"/>
        <v>vct_Carriage</v>
      </c>
      <c r="CC58" t="str">
        <f t="shared" si="11"/>
        <v>carriage_RAIL</v>
      </c>
      <c r="CD58" s="17" t="str" cm="1">
        <f t="array" ref="CD58">_xlfn.CONCAT("{BLACK}Length: {GOLD}", TEXT(ROUNDUP(IF(AQ58&lt;&gt;"",SUM(VALUE(_xlfn.TEXTSPLIT(AQ58, ","))), SUM(VALUE(_xlfn.TEXTSPLIT(AN58, ",")))*IF(M58, M58, 1))/16, 1), "#,##0.0"), " tiles{}")</f>
        <v>{BLACK}Length: {GOLD}0.5 tiles{}</v>
      </c>
      <c r="CE58" t="str">
        <f>VLOOKUP($CC58, Constants!$M:$N, 2, FALSE)</f>
        <v/>
      </c>
      <c r="CF58" t="str">
        <f t="shared" si="28"/>
        <v/>
      </c>
      <c r="CG58" t="s">
        <v>1322</v>
      </c>
      <c r="CH58" t="str">
        <f t="shared" si="13"/>
        <v/>
      </c>
      <c r="CI58" t="str">
        <f t="shared" si="14"/>
        <v/>
      </c>
      <c r="CJ58" t="str">
        <f t="shared" si="15"/>
        <v>{BLACK}Length: {GOLD}0.5 tiles{}{SILVER}Although carriages gained more luxurious fixtures and fittings through the Victorian era, braking still required a guard's van.</v>
      </c>
    </row>
    <row r="59" spans="1:88" x14ac:dyDescent="0.35">
      <c r="A59" t="s">
        <v>1152</v>
      </c>
      <c r="B59" t="s">
        <v>1153</v>
      </c>
      <c r="C59">
        <v>140</v>
      </c>
      <c r="E59">
        <v>1033</v>
      </c>
      <c r="F59" t="s">
        <v>1498</v>
      </c>
      <c r="G59" t="s">
        <v>276</v>
      </c>
      <c r="H59" t="s">
        <v>1098</v>
      </c>
      <c r="I59" t="s">
        <v>270</v>
      </c>
      <c r="J59">
        <v>1892</v>
      </c>
      <c r="L59">
        <v>1935</v>
      </c>
      <c r="W59">
        <v>28</v>
      </c>
      <c r="Y59">
        <v>4</v>
      </c>
      <c r="AA59" s="3" t="str">
        <f t="shared" si="182"/>
        <v/>
      </c>
      <c r="AB59">
        <v>80</v>
      </c>
      <c r="AC59">
        <f t="shared" si="183"/>
        <v>128</v>
      </c>
      <c r="AF59">
        <v>16.2</v>
      </c>
      <c r="AG59">
        <v>16.2</v>
      </c>
      <c r="AH59">
        <v>2.8</v>
      </c>
      <c r="AJ59" s="10">
        <v>51</v>
      </c>
      <c r="AK59" t="str">
        <f>CONCATENATE(VLOOKUP(AL59, 'Voxel Sizes'!$A$2:$B$18,2,FALSE),"x",INT(AH59*15), "x", INT(AI59*15))</f>
        <v>152x42x0</v>
      </c>
      <c r="AL59">
        <f t="shared" si="184"/>
        <v>9</v>
      </c>
      <c r="AN59" t="str">
        <f>CONCATENATE(VLOOKUP(AL59,Constants!$A$2:$C$16,IF(AM59&lt;&gt;"", 3, 2), FALSE),IF(AM59&lt;&gt;"",CONCATENATE(",",VLOOKUP(AM59,$B:$AN,39,FALSE)),""))</f>
        <v>2,5,2</v>
      </c>
      <c r="AX59">
        <v>30</v>
      </c>
      <c r="AY59" s="15">
        <f t="shared" si="185"/>
        <v>51</v>
      </c>
      <c r="AZ59">
        <v>47</v>
      </c>
      <c r="BA59">
        <v>20</v>
      </c>
      <c r="BB59">
        <f t="shared" si="186"/>
        <v>16</v>
      </c>
      <c r="BC59">
        <f t="shared" si="187"/>
        <v>0</v>
      </c>
      <c r="BD59">
        <f t="shared" si="188"/>
        <v>0</v>
      </c>
      <c r="BE59" s="3">
        <f t="shared" si="189"/>
        <v>1</v>
      </c>
      <c r="BF59">
        <f t="shared" si="190"/>
        <v>8.5</v>
      </c>
      <c r="BG59">
        <f>VLOOKUP($H59,Constants!$I:$K, 2, FALSE)</f>
        <v>1.2</v>
      </c>
      <c r="BH59">
        <f>VLOOKUP($H59,Constants!$I:$K, 3, FALSE)*IF(AND(G59="multiple_unit",AB59&lt;110),0.75,1)</f>
        <v>0.6</v>
      </c>
      <c r="BI59">
        <f>INT(POWER(((Constants!$G$2+$BB59+$BC59+$BD59+$BF59)*$BE59)*$BH59, 1.05))+$BA59</f>
        <v>40</v>
      </c>
      <c r="BJ59">
        <f>INT(POWER((((Constants!$G$1+$BB59+$BC59+$BD59+$BF59)*($BE59))*$BG59),IF($G59="wagon",1,1.2)))+$AZ59</f>
        <v>94</v>
      </c>
      <c r="BK59" s="14">
        <f t="shared" si="191"/>
        <v>2500</v>
      </c>
      <c r="BL59" s="14">
        <f t="shared" si="192"/>
        <v>256.62</v>
      </c>
      <c r="BU59">
        <v>1</v>
      </c>
      <c r="BV59">
        <v>185</v>
      </c>
      <c r="BX59" t="s">
        <v>1037</v>
      </c>
      <c r="BY59" t="s">
        <v>644</v>
      </c>
      <c r="BZ59" t="str">
        <f>VLOOKUP(J59,Eras!$A$2:$C$10, 2, TRUE)</f>
        <v>vct</v>
      </c>
      <c r="CA59" t="s">
        <v>331</v>
      </c>
      <c r="CB59" t="str">
        <f t="shared" si="193"/>
        <v>vct_Mail Carriage</v>
      </c>
      <c r="CC59" t="str">
        <f t="shared" si="11"/>
        <v>carriage_RAIL</v>
      </c>
      <c r="CD59" s="17" t="str" cm="1">
        <f t="array" ref="CD59">_xlfn.CONCAT("{BLACK}Length: {GOLD}", TEXT(ROUNDUP(IF(AQ59&lt;&gt;"",SUM(VALUE(_xlfn.TEXTSPLIT(AQ59, ","))), SUM(VALUE(_xlfn.TEXTSPLIT(AN59, ",")))*IF(M59, M59, 1))/16, 1), "#,##0.0"), " tiles{}")</f>
        <v>{BLACK}Length: {GOLD}0.6 tiles{}</v>
      </c>
      <c r="CE59" t="str">
        <f>VLOOKUP($CC59, Constants!$M:$N, 2, FALSE)</f>
        <v/>
      </c>
      <c r="CF59" t="str">
        <f t="shared" si="28"/>
        <v/>
      </c>
      <c r="CG59" t="s">
        <v>1154</v>
      </c>
      <c r="CH59" t="str">
        <f t="shared" si="13"/>
        <v/>
      </c>
      <c r="CI59" t="str">
        <f t="shared" si="14"/>
        <v/>
      </c>
      <c r="CJ59" t="str">
        <f t="shared" si="15"/>
        <v>{BLACK}Length: {GOLD}0.6 tiles{}{SILVER}This brake carriage is designed for use with clerestory carriages. It can carry parcels and mail.</v>
      </c>
    </row>
    <row r="60" spans="1:88" x14ac:dyDescent="0.35">
      <c r="A60" t="s">
        <v>1149</v>
      </c>
      <c r="B60" t="s">
        <v>1148</v>
      </c>
      <c r="C60">
        <v>141</v>
      </c>
      <c r="E60">
        <v>1034</v>
      </c>
      <c r="F60" t="s">
        <v>1498</v>
      </c>
      <c r="G60" t="s">
        <v>276</v>
      </c>
      <c r="H60" t="s">
        <v>1098</v>
      </c>
      <c r="I60" t="s">
        <v>270</v>
      </c>
      <c r="J60">
        <v>1904</v>
      </c>
      <c r="L60">
        <v>1955</v>
      </c>
      <c r="W60">
        <v>29</v>
      </c>
      <c r="Y60">
        <v>5</v>
      </c>
      <c r="AA60" s="3" t="str">
        <f t="shared" si="182"/>
        <v/>
      </c>
      <c r="AB60">
        <v>85</v>
      </c>
      <c r="AC60">
        <f t="shared" si="183"/>
        <v>136</v>
      </c>
      <c r="AF60">
        <v>17.7</v>
      </c>
      <c r="AG60">
        <v>17.7</v>
      </c>
      <c r="AH60">
        <v>2.83</v>
      </c>
      <c r="AI60">
        <v>3.79</v>
      </c>
      <c r="AJ60" s="10">
        <v>57</v>
      </c>
      <c r="AK60" t="str">
        <f>CONCATENATE(VLOOKUP(AL60, 'Voxel Sizes'!$A$2:$B$18,2,FALSE),"x",INT(AH60*15), "x", INT(AI60*15))</f>
        <v>164x42x56</v>
      </c>
      <c r="AL60">
        <f t="shared" si="184"/>
        <v>10</v>
      </c>
      <c r="AN60" t="str">
        <f>CONCATENATE(VLOOKUP(AL60,Constants!$A$2:$C$16,IF(AM60&lt;&gt;"", 3, 2), FALSE),IF(AM60&lt;&gt;"",CONCATENATE(",",VLOOKUP(AM60,$B:$AN,39,FALSE)),""))</f>
        <v>4,2,4</v>
      </c>
      <c r="AX60">
        <v>30</v>
      </c>
      <c r="AY60" s="15">
        <f t="shared" si="185"/>
        <v>59</v>
      </c>
      <c r="AZ60">
        <v>49</v>
      </c>
      <c r="BA60">
        <v>21</v>
      </c>
      <c r="BB60">
        <f t="shared" si="186"/>
        <v>17</v>
      </c>
      <c r="BC60">
        <f t="shared" si="187"/>
        <v>0</v>
      </c>
      <c r="BD60">
        <f t="shared" si="188"/>
        <v>0</v>
      </c>
      <c r="BE60" s="3">
        <f t="shared" si="189"/>
        <v>0.9946666666666667</v>
      </c>
      <c r="BF60">
        <f t="shared" si="190"/>
        <v>9.5</v>
      </c>
      <c r="BG60">
        <f>VLOOKUP($H60,Constants!$I:$K, 2, FALSE)</f>
        <v>1.2</v>
      </c>
      <c r="BH60">
        <f>VLOOKUP($H60,Constants!$I:$K, 3, FALSE)*IF(AND(G60="multiple_unit",AB60&lt;110),0.75,1)</f>
        <v>0.6</v>
      </c>
      <c r="BI60">
        <f>INT(POWER(((Constants!$G$2+$BB60+$BC60+$BD60+$BF60)*$BE60)*$BH60, 1.05))+$BA60</f>
        <v>42</v>
      </c>
      <c r="BJ60">
        <f>INT(POWER((((Constants!$G$1+$BB60+$BC60+$BD60+$BF60)*($BE60))*$BG60),IF($G60="wagon",1,1.2)))+$AZ60</f>
        <v>98</v>
      </c>
      <c r="BK60" s="14">
        <f t="shared" si="191"/>
        <v>2625</v>
      </c>
      <c r="BL60" s="14">
        <f t="shared" si="192"/>
        <v>267.54000000000002</v>
      </c>
      <c r="BU60">
        <v>1</v>
      </c>
      <c r="BV60">
        <v>185</v>
      </c>
      <c r="BX60" t="s">
        <v>1037</v>
      </c>
      <c r="BY60" t="s">
        <v>644</v>
      </c>
      <c r="BZ60" t="str">
        <f>VLOOKUP(J60,Eras!$A$2:$C$10, 2, TRUE)</f>
        <v>edw</v>
      </c>
      <c r="CA60" t="s">
        <v>331</v>
      </c>
      <c r="CB60" t="str">
        <f t="shared" si="193"/>
        <v>edw_Mail Carriage</v>
      </c>
      <c r="CC60" t="str">
        <f t="shared" si="11"/>
        <v>carriage_RAIL</v>
      </c>
      <c r="CD60" s="17" t="str" cm="1">
        <f t="array" ref="CD60">_xlfn.CONCAT("{BLACK}Length: {GOLD}", TEXT(ROUNDUP(IF(AQ60&lt;&gt;"",SUM(VALUE(_xlfn.TEXTSPLIT(AQ60, ","))), SUM(VALUE(_xlfn.TEXTSPLIT(AN60, ",")))*IF(M60, M60, 1))/16, 1), "#,##0.0"), " tiles{}")</f>
        <v>{BLACK}Length: {GOLD}0.7 tiles{}</v>
      </c>
      <c r="CE60" t="str">
        <f>VLOOKUP($CC60, Constants!$M:$N, 2, FALSE)</f>
        <v/>
      </c>
      <c r="CF60" t="str">
        <f t="shared" si="28"/>
        <v/>
      </c>
      <c r="CG60" t="s">
        <v>1155</v>
      </c>
      <c r="CH60" t="str">
        <f t="shared" si="13"/>
        <v/>
      </c>
      <c r="CI60" t="str">
        <f t="shared" si="14"/>
        <v/>
      </c>
      <c r="CJ60" t="str">
        <f t="shared" si="15"/>
        <v>{BLACK}Length: {GOLD}0.7 tiles{}{SILVER}Brake carriages continued to be a fixture of passenger trains during the steam era, carrying bulky luggage and parcels.</v>
      </c>
    </row>
    <row r="61" spans="1:88" x14ac:dyDescent="0.35">
      <c r="A61" t="s">
        <v>1520</v>
      </c>
      <c r="B61" t="s">
        <v>1150</v>
      </c>
      <c r="C61">
        <v>142</v>
      </c>
      <c r="D61">
        <v>753</v>
      </c>
      <c r="E61">
        <v>1035</v>
      </c>
      <c r="F61" t="s">
        <v>1498</v>
      </c>
      <c r="G61" t="s">
        <v>276</v>
      </c>
      <c r="H61" t="s">
        <v>1098</v>
      </c>
      <c r="I61" t="s">
        <v>270</v>
      </c>
      <c r="J61">
        <v>1951</v>
      </c>
      <c r="K61">
        <v>1963</v>
      </c>
      <c r="L61">
        <v>1974</v>
      </c>
      <c r="W61">
        <v>31</v>
      </c>
      <c r="Y61">
        <v>5</v>
      </c>
      <c r="AA61" s="3" t="str">
        <f t="shared" si="182"/>
        <v/>
      </c>
      <c r="AB61">
        <v>100</v>
      </c>
      <c r="AC61">
        <f t="shared" si="183"/>
        <v>160</v>
      </c>
      <c r="AF61">
        <v>19.3</v>
      </c>
      <c r="AG61">
        <v>20</v>
      </c>
      <c r="AJ61" s="10">
        <v>66</v>
      </c>
      <c r="AK61" t="str">
        <f>CONCATENATE(VLOOKUP(AL61, 'Voxel Sizes'!$A$2:$B$18,2,FALSE),"x",INT(AH61*15), "x", INT(AI61*15))</f>
        <v>198x0x0</v>
      </c>
      <c r="AL61">
        <f t="shared" si="184"/>
        <v>12</v>
      </c>
      <c r="AN61" t="str">
        <f>CONCATENATE(VLOOKUP(AL61,Constants!$A$2:$C$16,IF(AM61&lt;&gt;"", 3, 2), FALSE),IF(AM61&lt;&gt;"",CONCATENATE(",",VLOOKUP(AM61,$B:$AN,39,FALSE)),""))</f>
        <v>4,4,4</v>
      </c>
      <c r="AX61">
        <v>30</v>
      </c>
      <c r="AY61" s="15">
        <f t="shared" si="185"/>
        <v>31</v>
      </c>
      <c r="AZ61">
        <v>55</v>
      </c>
      <c r="BA61">
        <v>25</v>
      </c>
      <c r="BB61">
        <f t="shared" si="186"/>
        <v>20</v>
      </c>
      <c r="BC61">
        <f t="shared" si="187"/>
        <v>0</v>
      </c>
      <c r="BD61">
        <f t="shared" si="188"/>
        <v>0</v>
      </c>
      <c r="BE61" s="3">
        <f t="shared" si="189"/>
        <v>0.93199999999999994</v>
      </c>
      <c r="BF61">
        <f t="shared" si="190"/>
        <v>11</v>
      </c>
      <c r="BG61">
        <f>VLOOKUP($H61,Constants!$I:$K, 2, FALSE)</f>
        <v>1.2</v>
      </c>
      <c r="BH61">
        <f>VLOOKUP($H61,Constants!$I:$K, 3, FALSE)*IF(AND(G61="multiple_unit",AB61&lt;110),0.75,1)</f>
        <v>0.6</v>
      </c>
      <c r="BI61">
        <f>INT(POWER(((Constants!$G$2+$BB61+$BC61+$BD61+$BF61)*$BE61)*$BH61, 1.05))+$BA61</f>
        <v>48</v>
      </c>
      <c r="BJ61">
        <f>INT(POWER((((Constants!$G$1+$BB61+$BC61+$BD61+$BF61)*($BE61))*$BG61),IF($G61="wagon",1,1.2)))+$AZ61</f>
        <v>106</v>
      </c>
      <c r="BK61" s="14">
        <f t="shared" si="191"/>
        <v>3000</v>
      </c>
      <c r="BL61" s="14">
        <f t="shared" si="192"/>
        <v>289.38</v>
      </c>
      <c r="BU61">
        <v>1</v>
      </c>
      <c r="BV61">
        <v>185</v>
      </c>
      <c r="BX61" t="s">
        <v>1037</v>
      </c>
      <c r="BY61" t="s">
        <v>644</v>
      </c>
      <c r="BZ61" t="str">
        <f>VLOOKUP(J61,Eras!$A$2:$C$10, 2, TRUE)</f>
        <v>ebr</v>
      </c>
      <c r="CA61" t="s">
        <v>331</v>
      </c>
      <c r="CB61" t="str">
        <f t="shared" si="193"/>
        <v>ebr_Mail Carriage</v>
      </c>
      <c r="CC61" t="str">
        <f t="shared" si="11"/>
        <v>carriage_RAIL</v>
      </c>
      <c r="CD61" s="17" t="str" cm="1">
        <f t="array" ref="CD61">_xlfn.CONCAT("{BLACK}Length: {GOLD}", TEXT(ROUNDUP(IF(AQ61&lt;&gt;"",SUM(VALUE(_xlfn.TEXTSPLIT(AQ61, ","))), SUM(VALUE(_xlfn.TEXTSPLIT(AN61, ",")))*IF(M61, M61, 1))/16, 1), "#,##0.0"), " tiles{}")</f>
        <v>{BLACK}Length: {GOLD}0.8 tiles{}</v>
      </c>
      <c r="CE61" t="str">
        <f>VLOOKUP($CC61, Constants!$M:$N, 2, FALSE)</f>
        <v/>
      </c>
      <c r="CF61" t="str">
        <f t="shared" si="28"/>
        <v/>
      </c>
      <c r="CG61" t="s">
        <v>1151</v>
      </c>
      <c r="CH61" t="str">
        <f t="shared" si="13"/>
        <v/>
      </c>
      <c r="CI61" t="str">
        <f t="shared" si="14"/>
        <v/>
      </c>
      <c r="CJ61" t="str">
        <f t="shared" si="15"/>
        <v>{BLACK}Length: {GOLD}0.8 tiles{}{SILVER}BG for (Brake Gangway) is the BR designation for a brake coach. As well as a guard's compartment it had two large areas for storing luggage.</v>
      </c>
    </row>
    <row r="62" spans="1:88" x14ac:dyDescent="0.35">
      <c r="A62" t="s">
        <v>1521</v>
      </c>
      <c r="B62" t="s">
        <v>1156</v>
      </c>
      <c r="C62">
        <v>143</v>
      </c>
      <c r="D62">
        <v>759</v>
      </c>
      <c r="E62">
        <v>1036</v>
      </c>
      <c r="F62" t="s">
        <v>1498</v>
      </c>
      <c r="G62" t="s">
        <v>276</v>
      </c>
      <c r="H62" t="s">
        <v>1098</v>
      </c>
      <c r="I62" t="s">
        <v>270</v>
      </c>
      <c r="J62">
        <v>1964</v>
      </c>
      <c r="L62">
        <v>2010</v>
      </c>
      <c r="W62">
        <v>33</v>
      </c>
      <c r="Y62">
        <v>5</v>
      </c>
      <c r="AA62" s="3" t="str">
        <f t="shared" si="182"/>
        <v/>
      </c>
      <c r="AB62">
        <v>110</v>
      </c>
      <c r="AC62">
        <f t="shared" si="183"/>
        <v>176</v>
      </c>
      <c r="AF62">
        <v>19.66</v>
      </c>
      <c r="AG62">
        <v>19.66</v>
      </c>
      <c r="AH62">
        <v>2.83</v>
      </c>
      <c r="AI62">
        <v>3.79</v>
      </c>
      <c r="AJ62" s="10">
        <v>69</v>
      </c>
      <c r="AK62" t="str">
        <f>CONCATENATE(VLOOKUP(AL62, 'Voxel Sizes'!$A$2:$B$18,2,FALSE),"x",INT(AH62*15), "x", INT(AI62*15))</f>
        <v>198x42x56</v>
      </c>
      <c r="AL62">
        <f t="shared" si="184"/>
        <v>12</v>
      </c>
      <c r="AN62" t="str">
        <f>CONCATENATE(VLOOKUP(AL62,Constants!$A$2:$C$16,IF(AM62&lt;&gt;"", 3, 2), FALSE),IF(AM62&lt;&gt;"",CONCATENATE(",",VLOOKUP(AM62,$B:$AN,39,FALSE)),""))</f>
        <v>4,4,4</v>
      </c>
      <c r="AX62">
        <v>30</v>
      </c>
      <c r="AY62" s="15">
        <f t="shared" si="185"/>
        <v>54</v>
      </c>
      <c r="AZ62">
        <v>58</v>
      </c>
      <c r="BA62">
        <v>27</v>
      </c>
      <c r="BB62">
        <f t="shared" si="186"/>
        <v>22</v>
      </c>
      <c r="BC62">
        <f t="shared" si="187"/>
        <v>0</v>
      </c>
      <c r="BD62">
        <f t="shared" si="188"/>
        <v>0</v>
      </c>
      <c r="BE62" s="3">
        <f t="shared" si="189"/>
        <v>0.91466666666666663</v>
      </c>
      <c r="BF62">
        <f t="shared" si="190"/>
        <v>11.5</v>
      </c>
      <c r="BG62">
        <f>VLOOKUP($H62,Constants!$I:$K, 2, FALSE)</f>
        <v>1.2</v>
      </c>
      <c r="BH62">
        <f>VLOOKUP($H62,Constants!$I:$K, 3, FALSE)*IF(AND(G62="multiple_unit",AB62&lt;110),0.75,1)</f>
        <v>0.6</v>
      </c>
      <c r="BI62">
        <f>INT(POWER(((Constants!$G$2+$BB62+$BC62+$BD62+$BF62)*$BE62)*$BH62, 1.05))+$BA62</f>
        <v>51</v>
      </c>
      <c r="BJ62">
        <f>INT(POWER((((Constants!$G$1+$BB62+$BC62+$BD62+$BF62)*($BE62))*$BG62),IF($G62="wagon",1,1.2)))+$AZ62</f>
        <v>111</v>
      </c>
      <c r="BK62" s="14">
        <f t="shared" si="191"/>
        <v>3187.5</v>
      </c>
      <c r="BL62" s="14">
        <f t="shared" si="192"/>
        <v>303.02999999999997</v>
      </c>
      <c r="BT62" t="s">
        <v>1538</v>
      </c>
      <c r="BU62">
        <v>1</v>
      </c>
      <c r="BV62">
        <v>185</v>
      </c>
      <c r="BX62" t="s">
        <v>1037</v>
      </c>
      <c r="BY62" t="s">
        <v>644</v>
      </c>
      <c r="BZ62" t="str">
        <f>VLOOKUP(J62,Eras!$A$2:$C$10, 2, TRUE)</f>
        <v>dsl</v>
      </c>
      <c r="CA62" t="s">
        <v>330</v>
      </c>
      <c r="CB62" t="str">
        <f t="shared" si="193"/>
        <v>dsl_Carriage</v>
      </c>
      <c r="CC62" t="str">
        <f t="shared" si="11"/>
        <v>carriage_RAIL</v>
      </c>
      <c r="CD62" s="17" t="str" cm="1">
        <f t="array" ref="CD62">_xlfn.CONCAT("{BLACK}Length: {GOLD}", TEXT(ROUNDUP(IF(AQ62&lt;&gt;"",SUM(VALUE(_xlfn.TEXTSPLIT(AQ62, ","))), SUM(VALUE(_xlfn.TEXTSPLIT(AN62, ",")))*IF(M62, M62, 1))/16, 1), "#,##0.0"), " tiles{}")</f>
        <v>{BLACK}Length: {GOLD}0.8 tiles{}</v>
      </c>
      <c r="CE62" t="str">
        <f>VLOOKUP($CC62, Constants!$M:$N, 2, FALSE)</f>
        <v/>
      </c>
      <c r="CF62" t="str">
        <f t="shared" si="28"/>
        <v/>
      </c>
      <c r="CG62" t="s">
        <v>1539</v>
      </c>
      <c r="CH62" t="str">
        <f>IF($BT62="!param_no_gameplay_units","{GREEN}Included for gameplay purposes","")</f>
        <v>{GREEN}Included for gameplay purposes</v>
      </c>
      <c r="CI62" t="str">
        <f t="shared" si="14"/>
        <v/>
      </c>
      <c r="CJ62" t="str">
        <f t="shared" si="15"/>
        <v>{BLACK}Length: {GOLD}0.8 tiles{}{SILVER}BR started rationalising the number of carriage variants with the Mk2 so there was no dedicated parcels van, and most consists used a Mk1 BG attached to Mk2 passenger stock.{}{}{GREEN}Included for gameplay purposes</v>
      </c>
    </row>
    <row r="63" spans="1:88" x14ac:dyDescent="0.35">
      <c r="A63" t="s">
        <v>783</v>
      </c>
      <c r="B63" t="s">
        <v>780</v>
      </c>
      <c r="C63">
        <v>144</v>
      </c>
      <c r="E63">
        <v>1037</v>
      </c>
      <c r="F63" t="s">
        <v>1498</v>
      </c>
      <c r="G63" t="s">
        <v>276</v>
      </c>
      <c r="H63" t="s">
        <v>276</v>
      </c>
      <c r="I63" t="s">
        <v>270</v>
      </c>
      <c r="J63">
        <v>1958</v>
      </c>
      <c r="W63">
        <v>30</v>
      </c>
      <c r="Y63">
        <v>6</v>
      </c>
      <c r="AA63" s="3" t="str">
        <f t="shared" si="182"/>
        <v/>
      </c>
      <c r="AB63">
        <v>100</v>
      </c>
      <c r="AC63">
        <f t="shared" si="183"/>
        <v>160</v>
      </c>
      <c r="AF63">
        <v>19.3</v>
      </c>
      <c r="AG63">
        <v>20</v>
      </c>
      <c r="AJ63" s="10">
        <v>78</v>
      </c>
      <c r="AK63" t="str">
        <f>CONCATENATE(VLOOKUP(AL63, 'Voxel Sizes'!$A$2:$B$18,2,FALSE),"x",INT(AH63*15), "x", INT(AI63*15))</f>
        <v>198x0x0</v>
      </c>
      <c r="AL63">
        <f t="shared" si="184"/>
        <v>12</v>
      </c>
      <c r="AN63" t="str">
        <f>CONCATENATE(VLOOKUP(AL63,Constants!$A$2:$C$16,IF(AM63&lt;&gt;"", 3, 2), FALSE),IF(AM63&lt;&gt;"",CONCATENATE(",",VLOOKUP(AM63,$B:$AN,39,FALSE)),""))</f>
        <v>4,4,4</v>
      </c>
      <c r="AX63">
        <v>30</v>
      </c>
      <c r="AY63" s="15" t="str">
        <f t="shared" si="185"/>
        <v/>
      </c>
      <c r="AZ63">
        <v>48</v>
      </c>
      <c r="BA63">
        <v>19</v>
      </c>
      <c r="BB63">
        <f t="shared" si="186"/>
        <v>20</v>
      </c>
      <c r="BC63">
        <f t="shared" si="187"/>
        <v>0</v>
      </c>
      <c r="BD63">
        <f t="shared" si="188"/>
        <v>0</v>
      </c>
      <c r="BE63" s="3">
        <f t="shared" si="189"/>
        <v>0.92266666666666663</v>
      </c>
      <c r="BF63">
        <f t="shared" si="190"/>
        <v>13</v>
      </c>
      <c r="BG63">
        <f>VLOOKUP($H63,Constants!$I:$K, 2, FALSE)</f>
        <v>1</v>
      </c>
      <c r="BH63">
        <f>VLOOKUP($H63,Constants!$I:$K, 3, FALSE)*IF(AND(G63="multiple_unit",AB63&lt;110),0.75,1)</f>
        <v>0.45</v>
      </c>
      <c r="BI63">
        <f>INT(POWER(((Constants!$G$2+$BB63+$BC63+$BD63+$BF63)*$BE63)*$BH63, 1.05))+$BA63</f>
        <v>37</v>
      </c>
      <c r="BJ63">
        <f>INT(POWER((((Constants!$G$1+$BB63+$BC63+$BD63+$BF63)*($BE63))*$BG63),IF($G63="wagon",1,1.2)))+$AZ63</f>
        <v>92</v>
      </c>
      <c r="BK63" s="14">
        <f t="shared" si="191"/>
        <v>2312.5</v>
      </c>
      <c r="BL63" s="14">
        <f t="shared" si="192"/>
        <v>251.16</v>
      </c>
      <c r="BU63">
        <v>1</v>
      </c>
      <c r="BV63">
        <v>233</v>
      </c>
      <c r="BX63" t="s">
        <v>1037</v>
      </c>
      <c r="BY63" t="s">
        <v>644</v>
      </c>
      <c r="BZ63" t="str">
        <f>VLOOKUP(J63,Eras!$A$2:$C$10, 2, TRUE)</f>
        <v>dsl</v>
      </c>
      <c r="CA63" t="s">
        <v>331</v>
      </c>
      <c r="CB63" t="str">
        <f t="shared" si="193"/>
        <v>dsl_Mail Carriage</v>
      </c>
      <c r="CC63" t="str">
        <f t="shared" si="11"/>
        <v>wagon_RAIL</v>
      </c>
      <c r="CD63" s="17" t="str" cm="1">
        <f t="array" ref="CD63">_xlfn.CONCAT("{BLACK}Length: {GOLD}", TEXT(ROUNDUP(IF(AQ63&lt;&gt;"",SUM(VALUE(_xlfn.TEXTSPLIT(AQ63, ","))), SUM(VALUE(_xlfn.TEXTSPLIT(AN63, ",")))*IF(M63, M63, 1))/16, 1), "#,##0.0"), " tiles{}")</f>
        <v>{BLACK}Length: {GOLD}0.8 tiles{}</v>
      </c>
      <c r="CE63" t="str">
        <f>VLOOKUP($CC63, Constants!$M:$N, 2, FALSE)</f>
        <v/>
      </c>
      <c r="CF63" t="str">
        <f t="shared" si="28"/>
        <v/>
      </c>
      <c r="CG63" t="s">
        <v>782</v>
      </c>
      <c r="CH63" t="str">
        <f t="shared" ref="CH63:CH126" si="194">IF($BT63="!param_no_gameplay_units","{GREEN}Included for gameplay purposes","")</f>
        <v/>
      </c>
      <c r="CI63" t="str">
        <f t="shared" si="14"/>
        <v>{YELLOW}25% bonus for long distance travel{}</v>
      </c>
      <c r="CJ63" t="str">
        <f t="shared" si="15"/>
        <v>{BLACK}Length: {GOLD}0.8 tiles{}{YELLOW}25% bonus for long distance travel{}{SILVER}Based on the Mark 1 carriage, the TPO (Travelling Post Office) allowed mail to be sorted as it was transported.</v>
      </c>
    </row>
    <row r="64" spans="1:88" x14ac:dyDescent="0.35">
      <c r="A64" t="s">
        <v>1339</v>
      </c>
      <c r="B64" t="s">
        <v>1340</v>
      </c>
      <c r="C64">
        <v>20</v>
      </c>
      <c r="E64">
        <v>1038</v>
      </c>
      <c r="F64" t="s">
        <v>1498</v>
      </c>
      <c r="G64" t="s">
        <v>276</v>
      </c>
      <c r="H64" t="s">
        <v>276</v>
      </c>
      <c r="I64" t="s">
        <v>1370</v>
      </c>
      <c r="J64">
        <v>1700</v>
      </c>
      <c r="L64">
        <v>1875</v>
      </c>
      <c r="W64">
        <v>2</v>
      </c>
      <c r="Y64">
        <v>3</v>
      </c>
      <c r="AA64" s="3" t="str">
        <f t="shared" si="29"/>
        <v/>
      </c>
      <c r="AB64">
        <v>30</v>
      </c>
      <c r="AC64">
        <f t="shared" si="27"/>
        <v>48</v>
      </c>
      <c r="AF64">
        <v>4.9000000000000004</v>
      </c>
      <c r="AG64">
        <v>6</v>
      </c>
      <c r="AJ64" s="10">
        <v>12</v>
      </c>
      <c r="AK64" t="str">
        <f>CONCATENATE(VLOOKUP(AL64, 'Voxel Sizes'!$A$2:$B$18,2,FALSE),"x",INT(AH64*15), "x", INT(AI64*15))</f>
        <v>60x0x0</v>
      </c>
      <c r="AL64">
        <f t="shared" si="1"/>
        <v>4</v>
      </c>
      <c r="AN64" t="str">
        <f>CONCATENATE(VLOOKUP(AL64,Constants!$A$2:$C$16,IF(AM64&lt;&gt;"", 3, 2), FALSE),IF(AM64&lt;&gt;"",CONCATENATE(",",VLOOKUP(AM64,$B:$AN,39,FALSE)),""))</f>
        <v>1,2,1</v>
      </c>
      <c r="AX64">
        <v>30</v>
      </c>
      <c r="AY64" s="15">
        <f t="shared" si="2"/>
        <v>183</v>
      </c>
      <c r="AZ64">
        <v>-15</v>
      </c>
      <c r="BA64">
        <v>-2</v>
      </c>
      <c r="BB64">
        <f t="shared" si="3"/>
        <v>6</v>
      </c>
      <c r="BC64">
        <f t="shared" si="4"/>
        <v>0</v>
      </c>
      <c r="BD64">
        <f t="shared" si="5"/>
        <v>0</v>
      </c>
      <c r="BE64" s="3">
        <f t="shared" si="6"/>
        <v>1</v>
      </c>
      <c r="BF64">
        <f t="shared" si="7"/>
        <v>2</v>
      </c>
      <c r="BG64">
        <f>VLOOKUP($H64,Constants!$I:$K, 2, FALSE)</f>
        <v>1</v>
      </c>
      <c r="BH64">
        <f>VLOOKUP($H64,Constants!$I:$K, 3, FALSE)*IF(AND(G64="multiple_unit",AB64&lt;110),0.75,1)</f>
        <v>0.45</v>
      </c>
      <c r="BI64">
        <f>INT(POWER(((Constants!$G$2+$BB64+$BC64+$BD64+$BF64)*$BE64)*$BH64, 1.05))+$BA64</f>
        <v>4</v>
      </c>
      <c r="BJ64">
        <f>INT(POWER((((Constants!$G$1+$BB64+$BC64+$BD64+$BF64)*($BE64))*$BG64),IF($G64="wagon",1,1.2)))+$AZ64</f>
        <v>8</v>
      </c>
      <c r="BK64" s="14">
        <f t="shared" si="8"/>
        <v>250</v>
      </c>
      <c r="BL64" s="14">
        <f t="shared" si="9"/>
        <v>21.84</v>
      </c>
      <c r="BU64">
        <v>1</v>
      </c>
      <c r="BV64">
        <v>185</v>
      </c>
      <c r="BX64" t="s">
        <v>1351</v>
      </c>
      <c r="BY64" t="s">
        <v>706</v>
      </c>
      <c r="BZ64" t="str">
        <f>VLOOKUP(J64,Eras!$A$2:$C$10, 2, TRUE)</f>
        <v>early</v>
      </c>
      <c r="CA64" t="s">
        <v>335</v>
      </c>
      <c r="CB64" t="str">
        <f t="shared" si="10"/>
        <v>early_Open Wagon</v>
      </c>
      <c r="CC64" t="str">
        <f t="shared" si="11"/>
        <v>wagon_PLATEWAY</v>
      </c>
      <c r="CD64" s="17" t="str" cm="1">
        <f t="array" ref="CD64">_xlfn.CONCAT("{BLACK}Length: {GOLD}", TEXT(ROUNDUP(IF(AQ64&lt;&gt;"",SUM(VALUE(_xlfn.TEXTSPLIT(AQ64, ","))), SUM(VALUE(_xlfn.TEXTSPLIT(AN64, ",")))*IF(M64, M64, 1))/16, 1), "#,##0.0"), " tiles{}")</f>
        <v>{BLACK}Length: {GOLD}0.3 tiles{}</v>
      </c>
      <c r="CE64" t="str">
        <f>VLOOKUP($CC64, Constants!$M:$N, 2, FALSE)</f>
        <v/>
      </c>
      <c r="CF64" t="str">
        <f t="shared" si="28"/>
        <v/>
      </c>
      <c r="CG64" t="s">
        <v>1341</v>
      </c>
      <c r="CH64" t="str">
        <f t="shared" si="194"/>
        <v/>
      </c>
      <c r="CI64" t="str">
        <f t="shared" si="14"/>
        <v/>
      </c>
      <c r="CJ64" t="str">
        <f t="shared" si="15"/>
        <v>{BLACK}Length: {GOLD}0.3 tiles{}{SILVER}Early open wagons had simple four-wheeled structures and were typically pulled by horses on quarry lines.</v>
      </c>
    </row>
    <row r="65" spans="1:89" x14ac:dyDescent="0.35">
      <c r="A65" t="s">
        <v>116</v>
      </c>
      <c r="B65" t="s">
        <v>251</v>
      </c>
      <c r="C65">
        <v>22</v>
      </c>
      <c r="E65">
        <v>1039</v>
      </c>
      <c r="F65" t="s">
        <v>1498</v>
      </c>
      <c r="G65" t="s">
        <v>276</v>
      </c>
      <c r="H65" t="s">
        <v>276</v>
      </c>
      <c r="I65" t="s">
        <v>270</v>
      </c>
      <c r="J65">
        <v>1850</v>
      </c>
      <c r="L65">
        <v>1920</v>
      </c>
      <c r="W65">
        <v>5</v>
      </c>
      <c r="Y65">
        <v>3</v>
      </c>
      <c r="AA65" s="3" t="str">
        <f t="shared" si="29"/>
        <v/>
      </c>
      <c r="AB65">
        <v>35</v>
      </c>
      <c r="AC65">
        <f t="shared" si="27"/>
        <v>56</v>
      </c>
      <c r="AF65">
        <v>4.9000000000000004</v>
      </c>
      <c r="AG65">
        <v>6</v>
      </c>
      <c r="AJ65" s="10">
        <v>15</v>
      </c>
      <c r="AK65" t="str">
        <f>CONCATENATE(VLOOKUP(AL65, 'Voxel Sizes'!$A$2:$B$18,2,FALSE),"x",INT(AH65*15), "x", INT(AI65*15))</f>
        <v>60x0x0</v>
      </c>
      <c r="AL65">
        <f t="shared" si="1"/>
        <v>4</v>
      </c>
      <c r="AN65" t="str">
        <f>CONCATENATE(VLOOKUP(AL65,Constants!$A$2:$C$16,IF(AM65&lt;&gt;"", 3, 2), FALSE),IF(AM65&lt;&gt;"",CONCATENATE(",",VLOOKUP(AM65,$B:$AN,39,FALSE)),""))</f>
        <v>1,2,1</v>
      </c>
      <c r="AX65">
        <v>30</v>
      </c>
      <c r="AY65" s="15">
        <f t="shared" si="2"/>
        <v>78</v>
      </c>
      <c r="BB65">
        <f t="shared" si="3"/>
        <v>7</v>
      </c>
      <c r="BC65">
        <f t="shared" si="4"/>
        <v>0</v>
      </c>
      <c r="BD65">
        <f t="shared" si="5"/>
        <v>0</v>
      </c>
      <c r="BE65" s="3">
        <f t="shared" si="6"/>
        <v>1</v>
      </c>
      <c r="BF65">
        <f t="shared" si="7"/>
        <v>2.5</v>
      </c>
      <c r="BG65">
        <f>VLOOKUP($H65,Constants!$I:$K, 2, FALSE)</f>
        <v>1</v>
      </c>
      <c r="BH65">
        <f>VLOOKUP($H65,Constants!$I:$K, 3, FALSE)*IF(AND(G65="multiple_unit",AB65&lt;110),0.75,1)</f>
        <v>0.45</v>
      </c>
      <c r="BI65">
        <f>INT(POWER(((Constants!$G$2+$BB65+$BC65+$BD65+$BF65)*$BE65)*$BH65, 1.05))+$BA65</f>
        <v>7</v>
      </c>
      <c r="BJ65">
        <f>INT(POWER((((Constants!$G$1+$BB65+$BC65+$BD65+$BF65)*($BE65))*$BG65),IF($G65="wagon",1,1.2)))+$AZ65</f>
        <v>24</v>
      </c>
      <c r="BK65" s="14">
        <f t="shared" si="8"/>
        <v>437.5</v>
      </c>
      <c r="BL65" s="14">
        <f t="shared" si="9"/>
        <v>65.52</v>
      </c>
      <c r="BU65">
        <v>1</v>
      </c>
      <c r="BV65">
        <v>185</v>
      </c>
      <c r="BX65" t="s">
        <v>1351</v>
      </c>
      <c r="BY65" t="s">
        <v>706</v>
      </c>
      <c r="BZ65" t="str">
        <f>VLOOKUP(J65,Eras!$A$2:$C$10, 2, TRUE)</f>
        <v>vct</v>
      </c>
      <c r="CA65" t="s">
        <v>335</v>
      </c>
      <c r="CB65" t="str">
        <f t="shared" si="10"/>
        <v>vct_Open Wagon</v>
      </c>
      <c r="CC65" t="str">
        <f t="shared" si="11"/>
        <v>wagon_RAIL</v>
      </c>
      <c r="CD65" s="17" t="str" cm="1">
        <f t="array" ref="CD65">_xlfn.CONCAT("{BLACK}Length: {GOLD}", TEXT(ROUNDUP(IF(AQ65&lt;&gt;"",SUM(VALUE(_xlfn.TEXTSPLIT(AQ65, ","))), SUM(VALUE(_xlfn.TEXTSPLIT(AN65, ",")))*IF(M65, M65, 1))/16, 1), "#,##0.0"), " tiles{}")</f>
        <v>{BLACK}Length: {GOLD}0.3 tiles{}</v>
      </c>
      <c r="CE65" t="str">
        <f>VLOOKUP($CC65, Constants!$M:$N, 2, FALSE)</f>
        <v/>
      </c>
      <c r="CF65" t="str">
        <f t="shared" si="28"/>
        <v/>
      </c>
      <c r="CG65" t="s">
        <v>358</v>
      </c>
      <c r="CH65" t="str">
        <f t="shared" si="194"/>
        <v/>
      </c>
      <c r="CI65" t="str">
        <f t="shared" si="14"/>
        <v/>
      </c>
      <c r="CJ65" t="str">
        <f t="shared" si="15"/>
        <v>{BLACK}Length: {GOLD}0.3 tiles{}{SILVER}Open "plank" wagons are named for the number of planks used in the construction of their sides.</v>
      </c>
    </row>
    <row r="66" spans="1:89" x14ac:dyDescent="0.35">
      <c r="A66" t="s">
        <v>117</v>
      </c>
      <c r="B66" t="s">
        <v>252</v>
      </c>
      <c r="C66">
        <v>23</v>
      </c>
      <c r="E66">
        <v>1040</v>
      </c>
      <c r="F66" t="s">
        <v>1498</v>
      </c>
      <c r="G66" t="s">
        <v>276</v>
      </c>
      <c r="H66" t="s">
        <v>276</v>
      </c>
      <c r="I66" t="s">
        <v>270</v>
      </c>
      <c r="J66">
        <v>1902</v>
      </c>
      <c r="L66">
        <v>1965</v>
      </c>
      <c r="W66">
        <v>8</v>
      </c>
      <c r="Y66">
        <v>3</v>
      </c>
      <c r="AA66" s="3" t="str">
        <f t="shared" si="29"/>
        <v/>
      </c>
      <c r="AB66">
        <v>45</v>
      </c>
      <c r="AC66">
        <f t="shared" si="27"/>
        <v>72</v>
      </c>
      <c r="AF66">
        <v>4.9000000000000004</v>
      </c>
      <c r="AG66">
        <v>6</v>
      </c>
      <c r="AJ66" s="10">
        <v>21</v>
      </c>
      <c r="AK66" t="str">
        <f>CONCATENATE(VLOOKUP(AL66, 'Voxel Sizes'!$A$2:$B$18,2,FALSE),"x",INT(AH66*15), "x", INT(AI66*15))</f>
        <v>60x0x0</v>
      </c>
      <c r="AL66">
        <f t="shared" si="1"/>
        <v>4</v>
      </c>
      <c r="AN66" t="str">
        <f>CONCATENATE(VLOOKUP(AL66,Constants!$A$2:$C$16,IF(AM66&lt;&gt;"", 3, 2), FALSE),IF(AM66&lt;&gt;"",CONCATENATE(",",VLOOKUP(AM66,$B:$AN,39,FALSE)),""))</f>
        <v>1,2,1</v>
      </c>
      <c r="AX66">
        <v>30</v>
      </c>
      <c r="AY66" s="15">
        <f t="shared" si="2"/>
        <v>71</v>
      </c>
      <c r="BB66">
        <f t="shared" si="3"/>
        <v>9</v>
      </c>
      <c r="BC66">
        <f t="shared" si="4"/>
        <v>0</v>
      </c>
      <c r="BD66">
        <f t="shared" si="5"/>
        <v>0</v>
      </c>
      <c r="BE66" s="3">
        <f t="shared" si="6"/>
        <v>0.99733333333333329</v>
      </c>
      <c r="BF66">
        <f t="shared" si="7"/>
        <v>3.5000000000000004</v>
      </c>
      <c r="BG66">
        <f>VLOOKUP($H66,Constants!$I:$K, 2, FALSE)</f>
        <v>1</v>
      </c>
      <c r="BH66">
        <f>VLOOKUP($H66,Constants!$I:$K, 3, FALSE)*IF(AND(G66="multiple_unit",AB66&lt;110),0.75,1)</f>
        <v>0.45</v>
      </c>
      <c r="BI66">
        <f>INT(POWER(((Constants!$G$2+$BB66+$BC66+$BD66+$BF66)*$BE66)*$BH66, 1.05))+$BA66</f>
        <v>8</v>
      </c>
      <c r="BJ66">
        <f>INT(POWER((((Constants!$G$1+$BB66+$BC66+$BD66+$BF66)*($BE66))*$BG66),IF($G66="wagon",1,1.2)))+$AZ66</f>
        <v>27</v>
      </c>
      <c r="BK66" s="14">
        <f t="shared" si="8"/>
        <v>500</v>
      </c>
      <c r="BL66" s="14">
        <f t="shared" si="9"/>
        <v>73.709999999999994</v>
      </c>
      <c r="BU66">
        <v>1</v>
      </c>
      <c r="BV66">
        <v>185</v>
      </c>
      <c r="BX66" t="s">
        <v>1033</v>
      </c>
      <c r="BY66" t="s">
        <v>706</v>
      </c>
      <c r="BZ66" t="str">
        <f>VLOOKUP(J66,Eras!$A$2:$C$10, 2, TRUE)</f>
        <v>edw</v>
      </c>
      <c r="CA66" t="s">
        <v>335</v>
      </c>
      <c r="CB66" t="str">
        <f t="shared" si="10"/>
        <v>edw_Open Wagon</v>
      </c>
      <c r="CC66" t="str">
        <f t="shared" si="11"/>
        <v>wagon_RAIL</v>
      </c>
      <c r="CD66" s="17" t="str" cm="1">
        <f t="array" ref="CD66">_xlfn.CONCAT("{BLACK}Length: {GOLD}", TEXT(ROUNDUP(IF(AQ66&lt;&gt;"",SUM(VALUE(_xlfn.TEXTSPLIT(AQ66, ","))), SUM(VALUE(_xlfn.TEXTSPLIT(AN66, ",")))*IF(M66, M66, 1))/16, 1), "#,##0.0"), " tiles{}")</f>
        <v>{BLACK}Length: {GOLD}0.3 tiles{}</v>
      </c>
      <c r="CE66" t="str">
        <f>VLOOKUP($CC66, Constants!$M:$N, 2, FALSE)</f>
        <v/>
      </c>
      <c r="CF66" t="str">
        <f t="shared" si="28"/>
        <v/>
      </c>
      <c r="CG66" t="s">
        <v>359</v>
      </c>
      <c r="CH66" t="str">
        <f t="shared" si="194"/>
        <v/>
      </c>
      <c r="CI66" t="str">
        <f t="shared" si="14"/>
        <v/>
      </c>
      <c r="CJ66" t="str">
        <f t="shared" si="15"/>
        <v>{BLACK}Length: {GOLD}0.3 tiles{}{SILVER}The 5 plank wagon became one of the common standard types used by the GWR, with thousands built.</v>
      </c>
    </row>
    <row r="67" spans="1:89" x14ac:dyDescent="0.35">
      <c r="A67" t="s">
        <v>118</v>
      </c>
      <c r="B67" t="s">
        <v>202</v>
      </c>
      <c r="C67">
        <v>24</v>
      </c>
      <c r="E67">
        <v>1041</v>
      </c>
      <c r="F67" t="s">
        <v>1498</v>
      </c>
      <c r="G67" t="s">
        <v>276</v>
      </c>
      <c r="H67" t="s">
        <v>276</v>
      </c>
      <c r="I67" t="s">
        <v>270</v>
      </c>
      <c r="J67">
        <v>1935</v>
      </c>
      <c r="L67">
        <v>1970</v>
      </c>
      <c r="W67">
        <v>10</v>
      </c>
      <c r="Y67">
        <v>4</v>
      </c>
      <c r="AA67" s="3" t="str">
        <f t="shared" si="29"/>
        <v/>
      </c>
      <c r="AB67">
        <v>50</v>
      </c>
      <c r="AC67">
        <f t="shared" si="27"/>
        <v>80</v>
      </c>
      <c r="AF67">
        <v>8</v>
      </c>
      <c r="AG67">
        <v>8</v>
      </c>
      <c r="AJ67" s="10">
        <v>27</v>
      </c>
      <c r="AK67" t="str">
        <f>CONCATENATE(VLOOKUP(AL67, 'Voxel Sizes'!$A$2:$B$18,2,FALSE),"x",INT(AH67*15), "x", INT(AI67*15))</f>
        <v>82x0x0</v>
      </c>
      <c r="AL67">
        <f t="shared" si="1"/>
        <v>5</v>
      </c>
      <c r="AN67" t="str">
        <f>CONCATENATE(VLOOKUP(AL67,Constants!$A$2:$C$16,IF(AM67&lt;&gt;"", 3, 2), FALSE),IF(AM67&lt;&gt;"",CONCATENATE(",",VLOOKUP(AM67,$B:$AN,39,FALSE)),""))</f>
        <v>2,1,2</v>
      </c>
      <c r="AX67">
        <v>30</v>
      </c>
      <c r="AY67" s="15">
        <f t="shared" si="2"/>
        <v>43</v>
      </c>
      <c r="BB67">
        <f t="shared" si="3"/>
        <v>10</v>
      </c>
      <c r="BC67">
        <f t="shared" si="4"/>
        <v>0</v>
      </c>
      <c r="BD67">
        <f t="shared" si="5"/>
        <v>0</v>
      </c>
      <c r="BE67" s="3">
        <f t="shared" si="6"/>
        <v>0.95333333333333337</v>
      </c>
      <c r="BF67">
        <f t="shared" si="7"/>
        <v>4.5</v>
      </c>
      <c r="BG67">
        <f>VLOOKUP($H67,Constants!$I:$K, 2, FALSE)</f>
        <v>1</v>
      </c>
      <c r="BH67">
        <f>VLOOKUP($H67,Constants!$I:$K, 3, FALSE)*IF(AND(G67="multiple_unit",AB67&lt;110),0.75,1)</f>
        <v>0.45</v>
      </c>
      <c r="BI67">
        <f>INT(POWER(((Constants!$G$2+$BB67+$BC67+$BD67+$BF67)*$BE67)*$BH67, 1.05))+$BA67</f>
        <v>9</v>
      </c>
      <c r="BJ67">
        <f>INT(POWER((((Constants!$G$1+$BB67+$BC67+$BD67+$BF67)*($BE67))*$BG67),IF($G67="wagon",1,1.2)))+$AZ67</f>
        <v>28</v>
      </c>
      <c r="BK67" s="14">
        <f t="shared" si="8"/>
        <v>562.5</v>
      </c>
      <c r="BL67" s="14">
        <f t="shared" si="9"/>
        <v>76.44</v>
      </c>
      <c r="BU67">
        <v>1</v>
      </c>
      <c r="BV67">
        <v>185</v>
      </c>
      <c r="BX67" t="s">
        <v>1033</v>
      </c>
      <c r="BY67" t="s">
        <v>706</v>
      </c>
      <c r="BZ67" t="str">
        <f>VLOOKUP(J67,Eras!$A$2:$C$10, 2, TRUE)</f>
        <v>big4</v>
      </c>
      <c r="CA67" t="s">
        <v>335</v>
      </c>
      <c r="CB67" t="str">
        <f t="shared" si="10"/>
        <v>big4_Open Wagon</v>
      </c>
      <c r="CC67" t="str">
        <f t="shared" si="11"/>
        <v>wagon_RAIL</v>
      </c>
      <c r="CD67" s="17" t="str" cm="1">
        <f t="array" ref="CD67">_xlfn.CONCAT("{BLACK}Length: {GOLD}", TEXT(ROUNDUP(IF(AQ67&lt;&gt;"",SUM(VALUE(_xlfn.TEXTSPLIT(AQ67, ","))), SUM(VALUE(_xlfn.TEXTSPLIT(AN67, ",")))*IF(M67, M67, 1))/16, 1), "#,##0.0"), " tiles{}")</f>
        <v>{BLACK}Length: {GOLD}0.4 tiles{}</v>
      </c>
      <c r="CE67" t="str">
        <f>VLOOKUP($CC67, Constants!$M:$N, 2, FALSE)</f>
        <v/>
      </c>
      <c r="CF67" t="str">
        <f t="shared" si="28"/>
        <v/>
      </c>
      <c r="CG67" t="s">
        <v>707</v>
      </c>
      <c r="CH67" t="str">
        <f t="shared" si="194"/>
        <v/>
      </c>
      <c r="CI67" t="str">
        <f t="shared" si="14"/>
        <v/>
      </c>
      <c r="CJ67" t="str">
        <f t="shared" si="15"/>
        <v>{BLACK}Length: {GOLD}0.4 tiles{}{SILVER}Steel wagons were introduced in the 1930s to have a longer service life than wooden wagons, which were proving uneconomical for many owners to operate after recessions at the start of the decade.</v>
      </c>
      <c r="CK67">
        <v>1</v>
      </c>
    </row>
    <row r="68" spans="1:89" x14ac:dyDescent="0.35">
      <c r="A68" t="s">
        <v>1503</v>
      </c>
      <c r="B68" t="s">
        <v>1504</v>
      </c>
      <c r="C68">
        <v>25</v>
      </c>
      <c r="E68">
        <v>1042</v>
      </c>
      <c r="F68" t="s">
        <v>1498</v>
      </c>
      <c r="G68" t="s">
        <v>276</v>
      </c>
      <c r="H68" t="s">
        <v>276</v>
      </c>
      <c r="I68" t="s">
        <v>270</v>
      </c>
      <c r="J68">
        <v>1938</v>
      </c>
      <c r="L68">
        <v>1980</v>
      </c>
      <c r="W68">
        <v>11</v>
      </c>
      <c r="Y68">
        <v>7</v>
      </c>
      <c r="AA68" s="3" t="str">
        <f t="shared" ref="AA68" si="195">IF(AND(W68&gt;0,Z68&gt;0),(Z68/((W68+X68)*10)),"")</f>
        <v/>
      </c>
      <c r="AB68">
        <v>50</v>
      </c>
      <c r="AC68">
        <f t="shared" ref="AC68" si="196">ROUND(AB68*1.6, 0)</f>
        <v>80</v>
      </c>
      <c r="AF68">
        <v>8</v>
      </c>
      <c r="AG68">
        <v>8</v>
      </c>
      <c r="AJ68" s="10">
        <v>21</v>
      </c>
      <c r="AK68" t="str">
        <f>CONCATENATE(VLOOKUP(AL68, 'Voxel Sizes'!$A$2:$B$18,2,FALSE),"x",INT(AH68*15), "x", INT(AI68*15))</f>
        <v>82x0x0</v>
      </c>
      <c r="AL68">
        <f t="shared" ref="AL68" si="197">ROUND(15*((AG68*10)/256),0)</f>
        <v>5</v>
      </c>
      <c r="AN68" t="str">
        <f>CONCATENATE(VLOOKUP(AL68,Constants!$A$2:$C$16,IF(AM68&lt;&gt;"", 3, 2), FALSE),IF(AM68&lt;&gt;"",CONCATENATE(",",VLOOKUP(AM68,$B:$AN,39,FALSE)),""))</f>
        <v>2,1,2</v>
      </c>
      <c r="AX68">
        <v>30</v>
      </c>
      <c r="AY68" s="15">
        <f t="shared" ref="AY68" si="198">IF(L68&lt;&gt;"",MAX(16,(L68-J68)+8),"")</f>
        <v>50</v>
      </c>
      <c r="BB68">
        <f t="shared" ref="BB68" si="199">MIN(AB68/150, 1)*30</f>
        <v>10</v>
      </c>
      <c r="BC68">
        <f t="shared" ref="BC68" si="200">MIN(N68/4000, 1)*20</f>
        <v>0</v>
      </c>
      <c r="BD68">
        <f t="shared" ref="BD68" si="201">MIN(Z68/400,1)*20</f>
        <v>0</v>
      </c>
      <c r="BE68" s="3">
        <f t="shared" ref="BE68" si="202">1-(MAX(J68-1900, 0)/750)</f>
        <v>0.94933333333333336</v>
      </c>
      <c r="BF68">
        <f>((MAX($M68,1)*MIN($AJ68/300,1)))*IF(G68="Wagon",50,10)</f>
        <v>3.5000000000000004</v>
      </c>
      <c r="BG68">
        <f>VLOOKUP($H68,Constants!$I:$K, 2, FALSE)</f>
        <v>1</v>
      </c>
      <c r="BH68">
        <f>VLOOKUP($H68,Constants!$I:$K, 3, FALSE)*IF(AND(G68="multiple_unit",AB68&lt;110),0.75,1)</f>
        <v>0.45</v>
      </c>
      <c r="BI68">
        <f>INT(POWER(((Constants!$G$2+$BB68+$BC68+$BD68+$BF68)*$BE68)*$BH68, 1.05))+$BA68</f>
        <v>8</v>
      </c>
      <c r="BJ68">
        <f>INT(POWER((((Constants!$G$1+$BB68+$BC68+$BD68+$BF68)*($BE68))*$BG68),IF($G68="wagon",1,1.2)))+$AZ68</f>
        <v>27</v>
      </c>
      <c r="BK68" s="14">
        <f>BI68*IF($G68="wagon",62.5,781.25)</f>
        <v>500</v>
      </c>
      <c r="BL68" s="14">
        <f>BJ68*IF($G68="wagon",2.73,81.25)</f>
        <v>73.709999999999994</v>
      </c>
      <c r="BU68">
        <v>1</v>
      </c>
      <c r="BV68">
        <v>185</v>
      </c>
      <c r="BX68" t="s">
        <v>1033</v>
      </c>
      <c r="BY68" t="s">
        <v>706</v>
      </c>
      <c r="BZ68" t="str">
        <f>VLOOKUP(J68,Eras!$A$2:$C$10, 2, TRUE)</f>
        <v>big4</v>
      </c>
      <c r="CA68" t="s">
        <v>335</v>
      </c>
      <c r="CB68" t="str">
        <f t="shared" ref="CB68" si="203">CONCATENATE(BZ68,"_",CA68)</f>
        <v>big4_Open Wagon</v>
      </c>
      <c r="CC68" t="str">
        <f t="shared" si="11"/>
        <v>wagon_RAIL</v>
      </c>
      <c r="CD68" s="17" t="str" cm="1">
        <f t="array" ref="CD68">_xlfn.CONCAT("{BLACK}Length: {GOLD}", TEXT(ROUNDUP(IF(AQ68&lt;&gt;"",SUM(VALUE(_xlfn.TEXTSPLIT(AQ68, ","))), SUM(VALUE(_xlfn.TEXTSPLIT(AN68, ",")))*IF(M68, M68, 1))/16, 1), "#,##0.0"), " tiles{}")</f>
        <v>{BLACK}Length: {GOLD}0.4 tiles{}</v>
      </c>
      <c r="CE68" t="str">
        <f>VLOOKUP($CC68, Constants!$M:$N, 2, FALSE)</f>
        <v/>
      </c>
      <c r="CF68" t="str">
        <f t="shared" si="28"/>
        <v/>
      </c>
      <c r="CG68" t="s">
        <v>1505</v>
      </c>
      <c r="CH68" t="str">
        <f t="shared" si="194"/>
        <v/>
      </c>
      <c r="CI68" t="str">
        <f t="shared" si="14"/>
        <v/>
      </c>
      <c r="CJ68" t="str">
        <f t="shared" si="15"/>
        <v>{BLACK}Length: {GOLD}0.4 tiles{}{SILVER}The LNER built many of these coal hoppers, from 1935 to nationalisation. Although capacity is lower, these can be loaded faster than regular wagons.</v>
      </c>
      <c r="CK68">
        <v>1</v>
      </c>
    </row>
    <row r="69" spans="1:89" x14ac:dyDescent="0.35">
      <c r="A69" t="s">
        <v>711</v>
      </c>
      <c r="B69" t="s">
        <v>712</v>
      </c>
      <c r="C69">
        <v>26</v>
      </c>
      <c r="E69">
        <v>1043</v>
      </c>
      <c r="F69" t="s">
        <v>1498</v>
      </c>
      <c r="G69" t="s">
        <v>276</v>
      </c>
      <c r="H69" t="s">
        <v>276</v>
      </c>
      <c r="I69" t="s">
        <v>270</v>
      </c>
      <c r="J69">
        <v>1951</v>
      </c>
      <c r="L69">
        <v>1985</v>
      </c>
      <c r="W69">
        <v>10</v>
      </c>
      <c r="Y69">
        <v>4</v>
      </c>
      <c r="AA69" s="3" t="str">
        <f t="shared" si="29"/>
        <v/>
      </c>
      <c r="AB69">
        <v>60</v>
      </c>
      <c r="AC69">
        <f t="shared" si="27"/>
        <v>96</v>
      </c>
      <c r="AF69">
        <v>8</v>
      </c>
      <c r="AG69">
        <v>8</v>
      </c>
      <c r="AJ69" s="10">
        <v>27</v>
      </c>
      <c r="AK69" t="str">
        <f>CONCATENATE(VLOOKUP(AL69, 'Voxel Sizes'!$A$2:$B$18,2,FALSE),"x",INT(AH69*15), "x", INT(AI69*15))</f>
        <v>82x0x0</v>
      </c>
      <c r="AL69">
        <f t="shared" si="1"/>
        <v>5</v>
      </c>
      <c r="AN69" t="str">
        <f>CONCATENATE(VLOOKUP(AL69,Constants!$A$2:$C$16,IF(AM69&lt;&gt;"", 3, 2), FALSE),IF(AM69&lt;&gt;"",CONCATENATE(",",VLOOKUP(AM69,$B:$AN,39,FALSE)),""))</f>
        <v>2,1,2</v>
      </c>
      <c r="AX69">
        <v>30</v>
      </c>
      <c r="AY69" s="15">
        <f t="shared" si="2"/>
        <v>42</v>
      </c>
      <c r="BB69">
        <f t="shared" si="3"/>
        <v>12</v>
      </c>
      <c r="BC69">
        <f t="shared" si="4"/>
        <v>0</v>
      </c>
      <c r="BD69">
        <f t="shared" si="5"/>
        <v>0</v>
      </c>
      <c r="BE69" s="3">
        <f t="shared" si="6"/>
        <v>0.93199999999999994</v>
      </c>
      <c r="BF69">
        <f t="shared" si="7"/>
        <v>4.5</v>
      </c>
      <c r="BG69">
        <f>VLOOKUP($H69,Constants!$I:$K, 2, FALSE)</f>
        <v>1</v>
      </c>
      <c r="BH69">
        <f>VLOOKUP($H69,Constants!$I:$K, 3, FALSE)*IF(AND(G69="multiple_unit",AB69&lt;110),0.75,1)</f>
        <v>0.45</v>
      </c>
      <c r="BI69">
        <f>INT(POWER(((Constants!$G$2+$BB69+$BC69+$BD69+$BF69)*$BE69)*$BH69, 1.05))+$BA69</f>
        <v>10</v>
      </c>
      <c r="BJ69">
        <f>INT(POWER((((Constants!$G$1+$BB69+$BC69+$BD69+$BF69)*($BE69))*$BG69),IF($G69="wagon",1,1.2)))+$AZ69</f>
        <v>29</v>
      </c>
      <c r="BK69" s="14">
        <f t="shared" si="8"/>
        <v>625</v>
      </c>
      <c r="BL69" s="14">
        <f t="shared" si="9"/>
        <v>79.17</v>
      </c>
      <c r="BU69">
        <v>1</v>
      </c>
      <c r="BV69">
        <v>185</v>
      </c>
      <c r="BX69" t="s">
        <v>1033</v>
      </c>
      <c r="BY69" t="s">
        <v>706</v>
      </c>
      <c r="BZ69" t="str">
        <f>VLOOKUP(J69,Eras!$A$2:$C$10, 2, TRUE)</f>
        <v>ebr</v>
      </c>
      <c r="CA69" t="s">
        <v>335</v>
      </c>
      <c r="CB69" t="str">
        <f t="shared" si="10"/>
        <v>ebr_Open Wagon</v>
      </c>
      <c r="CC69" t="str">
        <f t="shared" si="11"/>
        <v>wagon_RAIL</v>
      </c>
      <c r="CD69" s="17" t="str" cm="1">
        <f t="array" ref="CD69">_xlfn.CONCAT("{BLACK}Length: {GOLD}", TEXT(ROUNDUP(IF(AQ69&lt;&gt;"",SUM(VALUE(_xlfn.TEXTSPLIT(AQ69, ","))), SUM(VALUE(_xlfn.TEXTSPLIT(AN69, ",")))*IF(M69, M69, 1))/16, 1), "#,##0.0"), " tiles{}")</f>
        <v>{BLACK}Length: {GOLD}0.4 tiles{}</v>
      </c>
      <c r="CE69" t="str">
        <f>VLOOKUP($CC69, Constants!$M:$N, 2, FALSE)</f>
        <v/>
      </c>
      <c r="CF69" t="str">
        <f t="shared" si="28"/>
        <v/>
      </c>
      <c r="CG69" t="s">
        <v>713</v>
      </c>
      <c r="CH69" t="str">
        <f t="shared" si="194"/>
        <v/>
      </c>
      <c r="CI69" t="str">
        <f t="shared" si="14"/>
        <v/>
      </c>
      <c r="CJ69" t="str">
        <f t="shared" si="15"/>
        <v>{BLACK}Length: {GOLD}0.4 tiles{}{SILVER}BR continued to make steel bodied wagons following LNER designs, gradually altering the body style.</v>
      </c>
      <c r="CK69">
        <v>1</v>
      </c>
    </row>
    <row r="70" spans="1:89" x14ac:dyDescent="0.35">
      <c r="A70" t="s">
        <v>709</v>
      </c>
      <c r="B70" t="s">
        <v>710</v>
      </c>
      <c r="C70">
        <v>28</v>
      </c>
      <c r="E70">
        <v>1044</v>
      </c>
      <c r="F70" t="s">
        <v>1498</v>
      </c>
      <c r="G70" t="s">
        <v>276</v>
      </c>
      <c r="H70" t="s">
        <v>276</v>
      </c>
      <c r="I70" t="s">
        <v>270</v>
      </c>
      <c r="J70">
        <v>1971</v>
      </c>
      <c r="L70">
        <v>2018</v>
      </c>
      <c r="W70">
        <v>14</v>
      </c>
      <c r="Y70">
        <v>5</v>
      </c>
      <c r="AA70" s="3" t="str">
        <f t="shared" si="29"/>
        <v/>
      </c>
      <c r="AB70">
        <v>70</v>
      </c>
      <c r="AC70">
        <f t="shared" si="27"/>
        <v>112</v>
      </c>
      <c r="AF70">
        <v>10</v>
      </c>
      <c r="AG70">
        <v>10</v>
      </c>
      <c r="AJ70" s="10">
        <v>33</v>
      </c>
      <c r="AK70" t="str">
        <f>CONCATENATE(VLOOKUP(AL70, 'Voxel Sizes'!$A$2:$B$18,2,FALSE),"x",INT(AH70*15), "x", INT(AI70*15))</f>
        <v>102x0x0</v>
      </c>
      <c r="AL70">
        <f t="shared" si="1"/>
        <v>6</v>
      </c>
      <c r="AN70" t="str">
        <f>CONCATENATE(VLOOKUP(AL70,Constants!$A$2:$C$16,IF(AM70&lt;&gt;"", 3, 2), FALSE),IF(AM70&lt;&gt;"",CONCATENATE(",",VLOOKUP(AM70,$B:$AN,39,FALSE)),""))</f>
        <v>2,2,2</v>
      </c>
      <c r="AX70">
        <v>30</v>
      </c>
      <c r="AY70" s="15">
        <f t="shared" si="2"/>
        <v>55</v>
      </c>
      <c r="BB70">
        <f t="shared" si="3"/>
        <v>14</v>
      </c>
      <c r="BC70">
        <f t="shared" si="4"/>
        <v>0</v>
      </c>
      <c r="BD70">
        <f t="shared" si="5"/>
        <v>0</v>
      </c>
      <c r="BE70" s="3">
        <f t="shared" si="6"/>
        <v>0.90533333333333332</v>
      </c>
      <c r="BF70">
        <f t="shared" si="7"/>
        <v>5.5</v>
      </c>
      <c r="BG70">
        <f>VLOOKUP($H70,Constants!$I:$K, 2, FALSE)</f>
        <v>1</v>
      </c>
      <c r="BH70">
        <f>VLOOKUP($H70,Constants!$I:$K, 3, FALSE)*IF(AND(G70="multiple_unit",AB70&lt;110),0.75,1)</f>
        <v>0.45</v>
      </c>
      <c r="BI70">
        <f>INT(POWER(((Constants!$G$2+$BB70+$BC70+$BD70+$BF70)*$BE70)*$BH70, 1.05))+$BA70</f>
        <v>11</v>
      </c>
      <c r="BJ70">
        <f>INT(POWER((((Constants!$G$1+$BB70+$BC70+$BD70+$BF70)*($BE70))*$BG70),IF($G70="wagon",1,1.2)))+$AZ70</f>
        <v>31</v>
      </c>
      <c r="BK70" s="14">
        <f t="shared" si="8"/>
        <v>687.5</v>
      </c>
      <c r="BL70" s="14">
        <f t="shared" si="9"/>
        <v>84.63</v>
      </c>
      <c r="BU70">
        <v>1</v>
      </c>
      <c r="BV70">
        <v>185</v>
      </c>
      <c r="BX70" t="s">
        <v>1033</v>
      </c>
      <c r="BY70" t="s">
        <v>706</v>
      </c>
      <c r="BZ70" t="str">
        <f>VLOOKUP(J70,Eras!$A$2:$C$10, 2, TRUE)</f>
        <v>lbr</v>
      </c>
      <c r="CA70" t="s">
        <v>335</v>
      </c>
      <c r="CB70" t="str">
        <f t="shared" si="10"/>
        <v>lbr_Open Wagon</v>
      </c>
      <c r="CC70" t="str">
        <f t="shared" si="11"/>
        <v>wagon_RAIL</v>
      </c>
      <c r="CD70" s="17" t="str" cm="1">
        <f t="array" ref="CD70">_xlfn.CONCAT("{BLACK}Length: {GOLD}", TEXT(ROUNDUP(IF(AQ70&lt;&gt;"",SUM(VALUE(_xlfn.TEXTSPLIT(AQ70, ","))), SUM(VALUE(_xlfn.TEXTSPLIT(AN70, ",")))*IF(M70, M70, 1))/16, 1), "#,##0.0"), " tiles{}")</f>
        <v>{BLACK}Length: {GOLD}0.4 tiles{}</v>
      </c>
      <c r="CE70" t="str">
        <f>VLOOKUP($CC70, Constants!$M:$N, 2, FALSE)</f>
        <v/>
      </c>
      <c r="CF70" t="str">
        <f t="shared" si="28"/>
        <v/>
      </c>
      <c r="CG70" t="s">
        <v>714</v>
      </c>
      <c r="CH70" t="str">
        <f t="shared" si="194"/>
        <v/>
      </c>
      <c r="CI70" t="str">
        <f t="shared" si="14"/>
        <v/>
      </c>
      <c r="CJ70" t="str">
        <f t="shared" si="15"/>
        <v>{BLACK}Length: {GOLD}0.4 tiles{}{SILVER}The OAA/OBA wagons were BR's first air braked open wagons, later forming part of the Speedlink network. They featured steel end frames with wooden drop sides.</v>
      </c>
      <c r="CK70">
        <v>1</v>
      </c>
    </row>
    <row r="71" spans="1:89" x14ac:dyDescent="0.35">
      <c r="A71" t="s">
        <v>715</v>
      </c>
      <c r="B71" t="s">
        <v>717</v>
      </c>
      <c r="C71">
        <v>30</v>
      </c>
      <c r="E71">
        <v>1045</v>
      </c>
      <c r="F71" t="s">
        <v>1498</v>
      </c>
      <c r="G71" t="s">
        <v>276</v>
      </c>
      <c r="H71" t="s">
        <v>276</v>
      </c>
      <c r="I71" t="s">
        <v>270</v>
      </c>
      <c r="J71">
        <v>1989</v>
      </c>
      <c r="W71">
        <v>12</v>
      </c>
      <c r="Y71">
        <v>6</v>
      </c>
      <c r="AA71" s="3" t="str">
        <f t="shared" si="29"/>
        <v/>
      </c>
      <c r="AB71">
        <v>80</v>
      </c>
      <c r="AC71">
        <f t="shared" si="27"/>
        <v>128</v>
      </c>
      <c r="AF71">
        <v>10</v>
      </c>
      <c r="AG71">
        <v>10</v>
      </c>
      <c r="AJ71" s="10">
        <v>45</v>
      </c>
      <c r="AK71" t="str">
        <f>CONCATENATE(VLOOKUP(AL71, 'Voxel Sizes'!$A$2:$B$18,2,FALSE),"x",INT(AH71*15), "x", INT(AI71*15))</f>
        <v>102x0x0</v>
      </c>
      <c r="AL71">
        <f t="shared" si="1"/>
        <v>6</v>
      </c>
      <c r="AN71" t="str">
        <f>CONCATENATE(VLOOKUP(AL71,Constants!$A$2:$C$16,IF(AM71&lt;&gt;"", 3, 2), FALSE),IF(AM71&lt;&gt;"",CONCATENATE(",",VLOOKUP(AM71,$B:$AN,39,FALSE)),""))</f>
        <v>2,2,2</v>
      </c>
      <c r="AX71">
        <v>30</v>
      </c>
      <c r="AY71" s="15" t="str">
        <f t="shared" si="2"/>
        <v/>
      </c>
      <c r="BB71">
        <f t="shared" si="3"/>
        <v>16</v>
      </c>
      <c r="BC71">
        <f t="shared" si="4"/>
        <v>0</v>
      </c>
      <c r="BD71">
        <f t="shared" si="5"/>
        <v>0</v>
      </c>
      <c r="BE71" s="3">
        <f t="shared" si="6"/>
        <v>0.8813333333333333</v>
      </c>
      <c r="BF71">
        <f t="shared" si="7"/>
        <v>7.5</v>
      </c>
      <c r="BG71">
        <f>VLOOKUP($H71,Constants!$I:$K, 2, FALSE)</f>
        <v>1</v>
      </c>
      <c r="BH71">
        <f>VLOOKUP($H71,Constants!$I:$K, 3, FALSE)*IF(AND(G71="multiple_unit",AB71&lt;110),0.75,1)</f>
        <v>0.45</v>
      </c>
      <c r="BI71">
        <f>INT(POWER(((Constants!$G$2+$BB71+$BC71+$BD71+$BF71)*$BE71)*$BH71, 1.05))+$BA71</f>
        <v>12</v>
      </c>
      <c r="BJ71">
        <f>INT(POWER((((Constants!$G$1+$BB71+$BC71+$BD71+$BF71)*($BE71))*$BG71),IF($G71="wagon",1,1.2)))+$AZ71</f>
        <v>33</v>
      </c>
      <c r="BK71" s="14">
        <f t="shared" si="8"/>
        <v>750</v>
      </c>
      <c r="BL71" s="14">
        <f t="shared" si="9"/>
        <v>90.09</v>
      </c>
      <c r="BU71">
        <v>1</v>
      </c>
      <c r="BV71">
        <v>185</v>
      </c>
      <c r="BX71" t="s">
        <v>1033</v>
      </c>
      <c r="BY71" t="s">
        <v>706</v>
      </c>
      <c r="BZ71" t="str">
        <f>VLOOKUP(J71,Eras!$A$2:$C$10, 2, TRUE)</f>
        <v>lbr</v>
      </c>
      <c r="CA71" t="s">
        <v>335</v>
      </c>
      <c r="CB71" t="str">
        <f t="shared" si="10"/>
        <v>lbr_Open Wagon</v>
      </c>
      <c r="CC71" t="str">
        <f t="shared" si="11"/>
        <v>wagon_RAIL</v>
      </c>
      <c r="CD71" s="17" t="str" cm="1">
        <f t="array" ref="CD71">_xlfn.CONCAT("{BLACK}Length: {GOLD}", TEXT(ROUNDUP(IF(AQ71&lt;&gt;"",SUM(VALUE(_xlfn.TEXTSPLIT(AQ71, ","))), SUM(VALUE(_xlfn.TEXTSPLIT(AN71, ",")))*IF(M71, M71, 1))/16, 1), "#,##0.0"), " tiles{}")</f>
        <v>{BLACK}Length: {GOLD}0.4 tiles{}</v>
      </c>
      <c r="CE71" t="str">
        <f>VLOOKUP($CC71, Constants!$M:$N, 2, FALSE)</f>
        <v/>
      </c>
      <c r="CF71" t="str">
        <f t="shared" si="28"/>
        <v/>
      </c>
      <c r="CG71" t="s">
        <v>718</v>
      </c>
      <c r="CH71" t="str">
        <f t="shared" si="194"/>
        <v/>
      </c>
      <c r="CI71" t="str">
        <f t="shared" si="14"/>
        <v/>
      </c>
      <c r="CJ71" t="str">
        <f t="shared" si="15"/>
        <v>{BLACK}Length: {GOLD}0.4 tiles{}{SILVER}MEA wagons used frames from old hopper wagons combined with a new box body.</v>
      </c>
      <c r="CK71">
        <v>1</v>
      </c>
    </row>
    <row r="72" spans="1:89" x14ac:dyDescent="0.35">
      <c r="A72" t="s">
        <v>716</v>
      </c>
      <c r="B72" t="s">
        <v>203</v>
      </c>
      <c r="C72">
        <v>32</v>
      </c>
      <c r="E72">
        <v>1046</v>
      </c>
      <c r="F72" t="s">
        <v>1498</v>
      </c>
      <c r="G72" t="s">
        <v>276</v>
      </c>
      <c r="H72" t="s">
        <v>276</v>
      </c>
      <c r="I72" t="s">
        <v>270</v>
      </c>
      <c r="J72">
        <v>2015</v>
      </c>
      <c r="W72">
        <v>24</v>
      </c>
      <c r="Y72">
        <v>5</v>
      </c>
      <c r="AA72" s="3" t="str">
        <f t="shared" si="29"/>
        <v/>
      </c>
      <c r="AB72">
        <v>80</v>
      </c>
      <c r="AC72">
        <f t="shared" si="27"/>
        <v>128</v>
      </c>
      <c r="AF72">
        <v>17</v>
      </c>
      <c r="AG72">
        <v>17</v>
      </c>
      <c r="AJ72" s="10">
        <v>78</v>
      </c>
      <c r="AK72" t="str">
        <f>CONCATENATE(VLOOKUP(AL72, 'Voxel Sizes'!$A$2:$B$18,2,FALSE),"x",INT(AH72*15), "x", INT(AI72*15))</f>
        <v>164x0x0</v>
      </c>
      <c r="AL72">
        <f t="shared" si="1"/>
        <v>10</v>
      </c>
      <c r="AN72" t="str">
        <f>CONCATENATE(VLOOKUP(AL72,Constants!$A$2:$C$16,IF(AM72&lt;&gt;"", 3, 2), FALSE),IF(AM72&lt;&gt;"",CONCATENATE(",",VLOOKUP(AM72,$B:$AN,39,FALSE)),""))</f>
        <v>4,2,4</v>
      </c>
      <c r="AX72">
        <v>30</v>
      </c>
      <c r="AY72" s="15" t="str">
        <f t="shared" si="2"/>
        <v/>
      </c>
      <c r="BB72">
        <f t="shared" si="3"/>
        <v>16</v>
      </c>
      <c r="BC72">
        <f t="shared" si="4"/>
        <v>0</v>
      </c>
      <c r="BD72">
        <f t="shared" si="5"/>
        <v>0</v>
      </c>
      <c r="BE72" s="3">
        <f t="shared" si="6"/>
        <v>0.84666666666666668</v>
      </c>
      <c r="BF72">
        <f t="shared" si="7"/>
        <v>13</v>
      </c>
      <c r="BG72">
        <f>VLOOKUP($H72,Constants!$I:$K, 2, FALSE)</f>
        <v>1</v>
      </c>
      <c r="BH72">
        <f>VLOOKUP($H72,Constants!$I:$K, 3, FALSE)*IF(AND(G72="multiple_unit",AB72&lt;110),0.75,1)</f>
        <v>0.45</v>
      </c>
      <c r="BI72">
        <f>INT(POWER(((Constants!$G$2+$BB72+$BC72+$BD72+$BF72)*$BE72)*$BH72, 1.05))+$BA72</f>
        <v>14</v>
      </c>
      <c r="BJ72">
        <f>INT(POWER((((Constants!$G$1+$BB72+$BC72+$BD72+$BF72)*($BE72))*$BG72),IF($G72="wagon",1,1.2)))+$AZ72</f>
        <v>37</v>
      </c>
      <c r="BK72" s="14">
        <f t="shared" si="8"/>
        <v>875</v>
      </c>
      <c r="BL72" s="14">
        <f t="shared" si="9"/>
        <v>101.01</v>
      </c>
      <c r="BU72">
        <v>1</v>
      </c>
      <c r="BV72">
        <v>185</v>
      </c>
      <c r="BX72" t="s">
        <v>1033</v>
      </c>
      <c r="BY72" t="s">
        <v>706</v>
      </c>
      <c r="BZ72" t="str">
        <f>VLOOKUP(J72,Eras!$A$2:$C$10, 2, TRUE)</f>
        <v>mod</v>
      </c>
      <c r="CA72" t="s">
        <v>335</v>
      </c>
      <c r="CB72" t="str">
        <f t="shared" si="10"/>
        <v>mod_Open Wagon</v>
      </c>
      <c r="CC72" t="str">
        <f t="shared" si="11"/>
        <v>wagon_RAIL</v>
      </c>
      <c r="CD72" s="17" t="str" cm="1">
        <f t="array" ref="CD72">_xlfn.CONCAT("{BLACK}Length: {GOLD}", TEXT(ROUNDUP(IF(AQ72&lt;&gt;"",SUM(VALUE(_xlfn.TEXTSPLIT(AQ72, ","))), SUM(VALUE(_xlfn.TEXTSPLIT(AN72, ",")))*IF(M72, M72, 1))/16, 1), "#,##0.0"), " tiles{}")</f>
        <v>{BLACK}Length: {GOLD}0.7 tiles{}</v>
      </c>
      <c r="CE72" t="str">
        <f>VLOOKUP($CC72, Constants!$M:$N, 2, FALSE)</f>
        <v/>
      </c>
      <c r="CF72" t="str">
        <f t="shared" si="28"/>
        <v/>
      </c>
      <c r="CG72" t="s">
        <v>719</v>
      </c>
      <c r="CH72" t="str">
        <f t="shared" si="194"/>
        <v/>
      </c>
      <c r="CI72" t="str">
        <f t="shared" si="14"/>
        <v/>
      </c>
      <c r="CJ72" t="str">
        <f t="shared" si="15"/>
        <v>{BLACK}Length: {GOLD}0.7 tiles{}{SILVER}The MWA is another wagon rebuilt using new bodies on an old frame, resulting in a high capacity bogie open wagon.</v>
      </c>
      <c r="CK72">
        <v>1</v>
      </c>
    </row>
    <row r="73" spans="1:89" x14ac:dyDescent="0.35">
      <c r="A73" t="s">
        <v>721</v>
      </c>
      <c r="B73" t="s">
        <v>723</v>
      </c>
      <c r="C73">
        <v>40</v>
      </c>
      <c r="E73">
        <v>1047</v>
      </c>
      <c r="F73" t="s">
        <v>1498</v>
      </c>
      <c r="G73" t="s">
        <v>276</v>
      </c>
      <c r="H73" t="s">
        <v>276</v>
      </c>
      <c r="I73" t="s">
        <v>270</v>
      </c>
      <c r="J73">
        <v>1968</v>
      </c>
      <c r="L73">
        <v>2010</v>
      </c>
      <c r="W73">
        <v>17</v>
      </c>
      <c r="Y73">
        <v>8</v>
      </c>
      <c r="AA73" s="3" t="str">
        <f t="shared" si="29"/>
        <v/>
      </c>
      <c r="AB73">
        <v>60</v>
      </c>
      <c r="AC73">
        <f t="shared" si="27"/>
        <v>96</v>
      </c>
      <c r="AF73">
        <v>10</v>
      </c>
      <c r="AG73">
        <v>10</v>
      </c>
      <c r="AJ73" s="10">
        <v>45</v>
      </c>
      <c r="AK73" t="str">
        <f>CONCATENATE(VLOOKUP(AL73, 'Voxel Sizes'!$A$2:$B$18,2,FALSE),"x",INT(AH73*15), "x", INT(AI73*15))</f>
        <v>102x0x0</v>
      </c>
      <c r="AL73">
        <f t="shared" si="1"/>
        <v>6</v>
      </c>
      <c r="AN73" t="str">
        <f>CONCATENATE(VLOOKUP(AL73,Constants!$A$2:$C$16,IF(AM73&lt;&gt;"", 3, 2), FALSE),IF(AM73&lt;&gt;"",CONCATENATE(",",VLOOKUP(AM73,$B:$AN,39,FALSE)),""))</f>
        <v>2,2,2</v>
      </c>
      <c r="AX73">
        <v>30</v>
      </c>
      <c r="AY73" s="15">
        <f t="shared" si="2"/>
        <v>50</v>
      </c>
      <c r="BB73">
        <f t="shared" si="3"/>
        <v>12</v>
      </c>
      <c r="BC73">
        <f t="shared" si="4"/>
        <v>0</v>
      </c>
      <c r="BD73">
        <f t="shared" si="5"/>
        <v>0</v>
      </c>
      <c r="BE73" s="3">
        <f t="shared" si="6"/>
        <v>0.90933333333333333</v>
      </c>
      <c r="BF73">
        <f t="shared" si="7"/>
        <v>7.5</v>
      </c>
      <c r="BG73">
        <f>VLOOKUP($H73,Constants!$I:$K, 2, FALSE)</f>
        <v>1</v>
      </c>
      <c r="BH73">
        <f>VLOOKUP($H73,Constants!$I:$K, 3, FALSE)*IF(AND(G73="multiple_unit",AB73&lt;110),0.75,1)</f>
        <v>0.45</v>
      </c>
      <c r="BI73">
        <f>INT(POWER(((Constants!$G$2+$BB73+$BC73+$BD73+$BF73)*$BE73)*$BH73, 1.05))+$BA73</f>
        <v>11</v>
      </c>
      <c r="BJ73">
        <f>INT(POWER((((Constants!$G$1+$BB73+$BC73+$BD73+$BF73)*($BE73))*$BG73),IF($G73="wagon",1,1.2)))+$AZ73</f>
        <v>31</v>
      </c>
      <c r="BK73" s="14">
        <f t="shared" si="8"/>
        <v>687.5</v>
      </c>
      <c r="BL73" s="14">
        <f t="shared" si="9"/>
        <v>84.63</v>
      </c>
      <c r="BU73">
        <v>1</v>
      </c>
      <c r="BV73">
        <v>185</v>
      </c>
      <c r="BX73" t="s">
        <v>1033</v>
      </c>
      <c r="BY73" t="s">
        <v>706</v>
      </c>
      <c r="BZ73" t="str">
        <f>VLOOKUP(J73,Eras!$A$2:$C$10, 2, TRUE)</f>
        <v>dsl</v>
      </c>
      <c r="CA73" t="s">
        <v>335</v>
      </c>
      <c r="CB73" t="str">
        <f t="shared" si="10"/>
        <v>dsl_Open Wagon</v>
      </c>
      <c r="CC73" t="str">
        <f t="shared" si="11"/>
        <v>wagon_RAIL</v>
      </c>
      <c r="CD73" s="17" t="str" cm="1">
        <f t="array" ref="CD73">_xlfn.CONCAT("{BLACK}Length: {GOLD}", TEXT(ROUNDUP(IF(AQ73&lt;&gt;"",SUM(VALUE(_xlfn.TEXTSPLIT(AQ73, ","))), SUM(VALUE(_xlfn.TEXTSPLIT(AN73, ",")))*IF(M73, M73, 1))/16, 1), "#,##0.0"), " tiles{}")</f>
        <v>{BLACK}Length: {GOLD}0.4 tiles{}</v>
      </c>
      <c r="CE73" t="str">
        <f>VLOOKUP($CC73, Constants!$M:$N, 2, FALSE)</f>
        <v/>
      </c>
      <c r="CF73" t="str">
        <f t="shared" si="28"/>
        <v/>
      </c>
      <c r="CG73" t="s">
        <v>724</v>
      </c>
      <c r="CH73" t="str">
        <f t="shared" si="194"/>
        <v/>
      </c>
      <c r="CI73" t="str">
        <f t="shared" si="14"/>
        <v/>
      </c>
      <c r="CJ73" t="str">
        <f t="shared" si="15"/>
        <v>{BLACK}Length: {GOLD}0.4 tiles{}{SILVER}MGR "merry-go-round" hoppers enabled coal trains to load and unload without stopping, emptying coal into discharge hoppers underneath the wagons. In OpenTTD this is represented by faster loading speeds.</v>
      </c>
      <c r="CK73">
        <v>1</v>
      </c>
    </row>
    <row r="74" spans="1:89" x14ac:dyDescent="0.35">
      <c r="A74" t="s">
        <v>722</v>
      </c>
      <c r="B74" t="s">
        <v>204</v>
      </c>
      <c r="C74">
        <v>41</v>
      </c>
      <c r="E74">
        <v>1048</v>
      </c>
      <c r="F74" t="s">
        <v>1498</v>
      </c>
      <c r="G74" t="s">
        <v>276</v>
      </c>
      <c r="H74" t="s">
        <v>276</v>
      </c>
      <c r="I74" t="s">
        <v>270</v>
      </c>
      <c r="J74">
        <v>2000</v>
      </c>
      <c r="W74">
        <v>24</v>
      </c>
      <c r="Y74">
        <v>8</v>
      </c>
      <c r="AA74" s="3" t="str">
        <f t="shared" si="29"/>
        <v/>
      </c>
      <c r="AB74">
        <v>80</v>
      </c>
      <c r="AC74">
        <f t="shared" si="27"/>
        <v>128</v>
      </c>
      <c r="AF74">
        <v>19.7</v>
      </c>
      <c r="AG74">
        <v>19.399999999999999</v>
      </c>
      <c r="AJ74" s="10">
        <v>78</v>
      </c>
      <c r="AK74" t="str">
        <f>CONCATENATE(VLOOKUP(AL74, 'Voxel Sizes'!$A$2:$B$18,2,FALSE),"x",INT(AH74*15), "x", INT(AI74*15))</f>
        <v>186x0x0</v>
      </c>
      <c r="AL74">
        <f t="shared" si="1"/>
        <v>11</v>
      </c>
      <c r="AN74" t="str">
        <f>CONCATENATE(VLOOKUP(AL74,Constants!$A$2:$C$16,IF(AM74&lt;&gt;"", 3, 2), FALSE),IF(AM74&lt;&gt;"",CONCATENATE(",",VLOOKUP(AM74,$B:$AN,39,FALSE)),""))</f>
        <v>4,3,4</v>
      </c>
      <c r="AX74">
        <v>30</v>
      </c>
      <c r="AY74" s="15" t="str">
        <f t="shared" si="2"/>
        <v/>
      </c>
      <c r="BB74">
        <f t="shared" si="3"/>
        <v>16</v>
      </c>
      <c r="BC74">
        <f t="shared" si="4"/>
        <v>0</v>
      </c>
      <c r="BD74">
        <f t="shared" si="5"/>
        <v>0</v>
      </c>
      <c r="BE74" s="3">
        <f t="shared" si="6"/>
        <v>0.8666666666666667</v>
      </c>
      <c r="BF74">
        <f t="shared" si="7"/>
        <v>13</v>
      </c>
      <c r="BG74">
        <f>VLOOKUP($H74,Constants!$I:$K, 2, FALSE)</f>
        <v>1</v>
      </c>
      <c r="BH74">
        <f>VLOOKUP($H74,Constants!$I:$K, 3, FALSE)*IF(AND(G74="multiple_unit",AB74&lt;110),0.75,1)</f>
        <v>0.45</v>
      </c>
      <c r="BI74">
        <f>INT(POWER(((Constants!$G$2+$BB74+$BC74+$BD74+$BF74)*$BE74)*$BH74, 1.05))+$BA74</f>
        <v>15</v>
      </c>
      <c r="BJ74">
        <f>INT(POWER((((Constants!$G$1+$BB74+$BC74+$BD74+$BF74)*($BE74))*$BG74),IF($G74="wagon",1,1.2)))+$AZ74</f>
        <v>38</v>
      </c>
      <c r="BK74" s="14">
        <f t="shared" si="8"/>
        <v>937.5</v>
      </c>
      <c r="BL74" s="14">
        <f t="shared" si="9"/>
        <v>103.74</v>
      </c>
      <c r="BU74">
        <v>1</v>
      </c>
      <c r="BV74">
        <v>185</v>
      </c>
      <c r="BX74" t="s">
        <v>1033</v>
      </c>
      <c r="BY74" t="s">
        <v>706</v>
      </c>
      <c r="BZ74" t="str">
        <f>VLOOKUP(J74,Eras!$A$2:$C$10, 2, TRUE)</f>
        <v>prv</v>
      </c>
      <c r="CA74" t="s">
        <v>335</v>
      </c>
      <c r="CB74" t="str">
        <f t="shared" si="10"/>
        <v>prv_Open Wagon</v>
      </c>
      <c r="CC74" t="str">
        <f t="shared" si="11"/>
        <v>wagon_RAIL</v>
      </c>
      <c r="CD74" s="17" t="str" cm="1">
        <f t="array" ref="CD74">_xlfn.CONCAT("{BLACK}Length: {GOLD}", TEXT(ROUNDUP(IF(AQ74&lt;&gt;"",SUM(VALUE(_xlfn.TEXTSPLIT(AQ74, ","))), SUM(VALUE(_xlfn.TEXTSPLIT(AN74, ",")))*IF(M74, M74, 1))/16, 1), "#,##0.0"), " tiles{}")</f>
        <v>{BLACK}Length: {GOLD}0.7 tiles{}</v>
      </c>
      <c r="CE74" t="str">
        <f>VLOOKUP($CC74, Constants!$M:$N, 2, FALSE)</f>
        <v/>
      </c>
      <c r="CF74" t="str">
        <f t="shared" si="28"/>
        <v/>
      </c>
      <c r="CG74" t="s">
        <v>720</v>
      </c>
      <c r="CH74" t="str">
        <f t="shared" si="194"/>
        <v/>
      </c>
      <c r="CI74" t="str">
        <f t="shared" si="14"/>
        <v/>
      </c>
      <c r="CJ74" t="str">
        <f t="shared" si="15"/>
        <v>{BLACK}Length: {GOLD}0.7 tiles{}{SILVER}The HHA is a large self-discharging hopper built for Freightliner to use on coal trains.</v>
      </c>
      <c r="CK74">
        <v>1</v>
      </c>
    </row>
    <row r="75" spans="1:89" x14ac:dyDescent="0.35">
      <c r="A75" t="s">
        <v>787</v>
      </c>
      <c r="B75" t="s">
        <v>788</v>
      </c>
      <c r="C75">
        <v>50</v>
      </c>
      <c r="E75">
        <v>1049</v>
      </c>
      <c r="F75" t="s">
        <v>1498</v>
      </c>
      <c r="G75" t="s">
        <v>276</v>
      </c>
      <c r="H75" t="s">
        <v>276</v>
      </c>
      <c r="I75" t="s">
        <v>270</v>
      </c>
      <c r="J75">
        <v>1930</v>
      </c>
      <c r="L75">
        <v>1970</v>
      </c>
      <c r="W75">
        <v>7</v>
      </c>
      <c r="Y75">
        <v>9</v>
      </c>
      <c r="AA75" s="3" t="str">
        <f t="shared" si="29"/>
        <v/>
      </c>
      <c r="AB75">
        <v>60</v>
      </c>
      <c r="AC75">
        <f t="shared" si="27"/>
        <v>96</v>
      </c>
      <c r="AF75">
        <v>8</v>
      </c>
      <c r="AG75">
        <v>8</v>
      </c>
      <c r="AJ75" s="10">
        <v>27</v>
      </c>
      <c r="AK75" t="str">
        <f>CONCATENATE(VLOOKUP(AL75, 'Voxel Sizes'!$A$2:$B$18,2,FALSE),"x",INT(AH75*15), "x", INT(AI75*15))</f>
        <v>82x0x0</v>
      </c>
      <c r="AL75">
        <f t="shared" si="1"/>
        <v>5</v>
      </c>
      <c r="AN75" t="str">
        <f>CONCATENATE(VLOOKUP(AL75,Constants!$A$2:$C$16,IF(AM75&lt;&gt;"", 3, 2), FALSE),IF(AM75&lt;&gt;"",CONCATENATE(",",VLOOKUP(AM75,$B:$AN,39,FALSE)),""))</f>
        <v>2,1,2</v>
      </c>
      <c r="AX75">
        <v>30</v>
      </c>
      <c r="AY75" s="15">
        <f t="shared" si="2"/>
        <v>48</v>
      </c>
      <c r="BB75">
        <f t="shared" si="3"/>
        <v>12</v>
      </c>
      <c r="BC75">
        <f t="shared" si="4"/>
        <v>0</v>
      </c>
      <c r="BD75">
        <f t="shared" si="5"/>
        <v>0</v>
      </c>
      <c r="BE75" s="3">
        <f t="shared" si="6"/>
        <v>0.96</v>
      </c>
      <c r="BF75">
        <f t="shared" si="7"/>
        <v>4.5</v>
      </c>
      <c r="BG75">
        <f>VLOOKUP($H75,Constants!$I:$K, 2, FALSE)</f>
        <v>1</v>
      </c>
      <c r="BH75">
        <f>VLOOKUP($H75,Constants!$I:$K, 3, FALSE)*IF(AND(G75="multiple_unit",AB75&lt;110),0.75,1)</f>
        <v>0.45</v>
      </c>
      <c r="BI75">
        <f>INT(POWER(((Constants!$G$2+$BB75+$BC75+$BD75+$BF75)*$BE75)*$BH75, 1.05))+$BA75</f>
        <v>10</v>
      </c>
      <c r="BJ75">
        <f>INT(POWER((((Constants!$G$1+$BB75+$BC75+$BD75+$BF75)*($BE75))*$BG75),IF($G75="wagon",1,1.2)))+$AZ75</f>
        <v>30</v>
      </c>
      <c r="BK75" s="14">
        <f t="shared" si="8"/>
        <v>625</v>
      </c>
      <c r="BL75" s="14">
        <f t="shared" si="9"/>
        <v>81.900000000000006</v>
      </c>
      <c r="BU75">
        <v>1</v>
      </c>
      <c r="BV75">
        <v>185</v>
      </c>
      <c r="BX75" t="s">
        <v>1036</v>
      </c>
      <c r="BY75" t="s">
        <v>281</v>
      </c>
      <c r="BZ75" t="str">
        <f>VLOOKUP(J75,Eras!$A$2:$C$10, 2, TRUE)</f>
        <v>big4</v>
      </c>
      <c r="CA75" t="s">
        <v>687</v>
      </c>
      <c r="CB75" t="str">
        <f t="shared" si="10"/>
        <v>big4_Extra</v>
      </c>
      <c r="CC75" t="str">
        <f t="shared" si="11"/>
        <v>wagon_RAIL</v>
      </c>
      <c r="CD75" s="17" t="str" cm="1">
        <f t="array" ref="CD75">_xlfn.CONCAT("{BLACK}Length: {GOLD}", TEXT(ROUNDUP(IF(AQ75&lt;&gt;"",SUM(VALUE(_xlfn.TEXTSPLIT(AQ75, ","))), SUM(VALUE(_xlfn.TEXTSPLIT(AN75, ",")))*IF(M75, M75, 1))/16, 1), "#,##0.0"), " tiles{}")</f>
        <v>{BLACK}Length: {GOLD}0.4 tiles{}</v>
      </c>
      <c r="CE75" t="str">
        <f>VLOOKUP($CC75, Constants!$M:$N, 2, FALSE)</f>
        <v/>
      </c>
      <c r="CF75" t="str">
        <f t="shared" si="28"/>
        <v/>
      </c>
      <c r="CG75" t="s">
        <v>1396</v>
      </c>
      <c r="CH75" t="str">
        <f t="shared" si="194"/>
        <v/>
      </c>
      <c r="CI75" t="str">
        <f t="shared" si="14"/>
        <v/>
      </c>
      <c r="CJ75" t="str">
        <f t="shared" si="15"/>
        <v>{BLACK}Length: {GOLD}0.4 tiles{}{SILVER}Conflats were built to carry containers, meaning goods could be loaded separately and then the whole container placed on the train in one operation.</v>
      </c>
    </row>
    <row r="76" spans="1:89" x14ac:dyDescent="0.35">
      <c r="A76" t="s">
        <v>756</v>
      </c>
      <c r="B76" t="s">
        <v>757</v>
      </c>
      <c r="C76">
        <v>52</v>
      </c>
      <c r="E76">
        <v>1050</v>
      </c>
      <c r="F76" t="s">
        <v>1498</v>
      </c>
      <c r="G76" t="s">
        <v>276</v>
      </c>
      <c r="H76" t="s">
        <v>276</v>
      </c>
      <c r="I76" t="s">
        <v>270</v>
      </c>
      <c r="J76">
        <v>1964</v>
      </c>
      <c r="L76">
        <v>1995</v>
      </c>
      <c r="W76">
        <v>17</v>
      </c>
      <c r="Y76">
        <v>9</v>
      </c>
      <c r="AA76" s="3" t="str">
        <f t="shared" si="29"/>
        <v/>
      </c>
      <c r="AB76">
        <v>70</v>
      </c>
      <c r="AC76">
        <f t="shared" si="27"/>
        <v>112</v>
      </c>
      <c r="AF76">
        <v>19.3</v>
      </c>
      <c r="AG76">
        <v>19.3</v>
      </c>
      <c r="AJ76" s="10">
        <v>60</v>
      </c>
      <c r="AK76" t="str">
        <f>CONCATENATE(VLOOKUP(AL76, 'Voxel Sizes'!$A$2:$B$18,2,FALSE),"x",INT(AH76*15), "x", INT(AI76*15))</f>
        <v>186x0x0</v>
      </c>
      <c r="AL76">
        <f t="shared" si="1"/>
        <v>11</v>
      </c>
      <c r="AN76" t="str">
        <f>CONCATENATE(VLOOKUP(AL76,Constants!$A$2:$C$16,IF(AM76&lt;&gt;"", 3, 2), FALSE),IF(AM76&lt;&gt;"",CONCATENATE(",",VLOOKUP(AM76,$B:$AN,39,FALSE)),""))</f>
        <v>4,3,4</v>
      </c>
      <c r="AX76">
        <v>30</v>
      </c>
      <c r="AY76" s="15">
        <f t="shared" si="2"/>
        <v>39</v>
      </c>
      <c r="BB76">
        <f t="shared" si="3"/>
        <v>14</v>
      </c>
      <c r="BC76">
        <f t="shared" si="4"/>
        <v>0</v>
      </c>
      <c r="BD76">
        <f t="shared" si="5"/>
        <v>0</v>
      </c>
      <c r="BE76" s="3">
        <f t="shared" si="6"/>
        <v>0.91466666666666663</v>
      </c>
      <c r="BF76">
        <f t="shared" si="7"/>
        <v>10</v>
      </c>
      <c r="BG76">
        <f>VLOOKUP($H76,Constants!$I:$K, 2, FALSE)</f>
        <v>1</v>
      </c>
      <c r="BH76">
        <f>VLOOKUP($H76,Constants!$I:$K, 3, FALSE)*IF(AND(G76="multiple_unit",AB76&lt;110),0.75,1)</f>
        <v>0.45</v>
      </c>
      <c r="BI76">
        <f>INT(POWER(((Constants!$G$2+$BB76+$BC76+$BD76+$BF76)*$BE76)*$BH76, 1.05))+$BA76</f>
        <v>13</v>
      </c>
      <c r="BJ76">
        <f>INT(POWER((((Constants!$G$1+$BB76+$BC76+$BD76+$BF76)*($BE76))*$BG76),IF($G76="wagon",1,1.2)))+$AZ76</f>
        <v>35</v>
      </c>
      <c r="BK76" s="14">
        <f t="shared" si="8"/>
        <v>812.5</v>
      </c>
      <c r="BL76" s="14">
        <f t="shared" si="9"/>
        <v>95.55</v>
      </c>
      <c r="BU76">
        <v>1</v>
      </c>
      <c r="BV76">
        <v>185</v>
      </c>
      <c r="BX76" t="s">
        <v>1036</v>
      </c>
      <c r="BY76" t="s">
        <v>281</v>
      </c>
      <c r="BZ76" t="str">
        <f>VLOOKUP(J76,Eras!$A$2:$C$10, 2, TRUE)</f>
        <v>dsl</v>
      </c>
      <c r="CA76" t="s">
        <v>687</v>
      </c>
      <c r="CB76" t="str">
        <f t="shared" si="10"/>
        <v>dsl_Extra</v>
      </c>
      <c r="CC76" t="str">
        <f t="shared" ref="CC76:CC139" si="204">_xlfn.CONCAT(H76, "_",I76)</f>
        <v>wagon_RAIL</v>
      </c>
      <c r="CD76" s="17" t="str" cm="1">
        <f t="array" ref="CD76">_xlfn.CONCAT("{BLACK}Length: {GOLD}", TEXT(ROUNDUP(IF(AQ76&lt;&gt;"",SUM(VALUE(_xlfn.TEXTSPLIT(AQ76, ","))), SUM(VALUE(_xlfn.TEXTSPLIT(AN76, ",")))*IF(M76, M76, 1))/16, 1), "#,##0.0"), " tiles{}")</f>
        <v>{BLACK}Length: {GOLD}0.7 tiles{}</v>
      </c>
      <c r="CE76" t="str">
        <f>VLOOKUP($CC76, Constants!$M:$N, 2, FALSE)</f>
        <v/>
      </c>
      <c r="CF76" t="str">
        <f t="shared" ref="CF76:CF107" si="205">IF(M76&gt;1,_xlfn.CONCAT("{BLACK}Cars: {GOLD}", M76),"")</f>
        <v/>
      </c>
      <c r="CG76" t="s">
        <v>789</v>
      </c>
      <c r="CH76" t="str">
        <f t="shared" si="194"/>
        <v/>
      </c>
      <c r="CI76" t="str">
        <f t="shared" ref="CI76:CI139" si="206">IF(BW76="buffet","{YELLOW}25% long distance bonus for consist{}",IF(BY76="BRAKE","{YELLOW}Speed bonus for slow wagons{}",IF(BV76&gt;190,CONCATENATE("{YELLOW}",INT((BV76-185)/1.85),"% bonus for long distance travel{}"),IF(AND(BV76&lt;180,BV76&lt;&gt;0),CONCATENATE("{YELLOW}",INT((185-BV76)/1.85),"% penalty for long distance travel{}"),""))))</f>
        <v/>
      </c>
      <c r="CJ76" t="str">
        <f t="shared" ref="CJ76:CJ139" si="207">_xlfn.CONCAT(CE76,IF(CE76&lt;&gt;""," ",""),CF76,IF(OR(CF76&lt;&gt;"",CE76&lt;&gt;""),"{}",""),CD76,CI76,"{SILVER}",CG76,IF(CH76&lt;&gt;"","{}{}",""),CH76)</f>
        <v>{BLACK}Length: {GOLD}0.7 tiles{}{SILVER}The FFA container wagons were a major advance over short-wheelbase conflats when built, and being easily adapted to the then-new ISO container standard only increased this advantage.</v>
      </c>
    </row>
    <row r="77" spans="1:89" x14ac:dyDescent="0.35">
      <c r="A77" t="s">
        <v>758</v>
      </c>
      <c r="B77" t="s">
        <v>759</v>
      </c>
      <c r="C77">
        <v>54</v>
      </c>
      <c r="E77">
        <v>1051</v>
      </c>
      <c r="F77" t="s">
        <v>1498</v>
      </c>
      <c r="G77" t="s">
        <v>276</v>
      </c>
      <c r="H77" t="s">
        <v>276</v>
      </c>
      <c r="I77" t="s">
        <v>270</v>
      </c>
      <c r="J77">
        <v>1991</v>
      </c>
      <c r="W77">
        <v>17</v>
      </c>
      <c r="Y77">
        <v>9</v>
      </c>
      <c r="AA77" s="3" t="str">
        <f t="shared" si="29"/>
        <v/>
      </c>
      <c r="AB77">
        <v>90</v>
      </c>
      <c r="AC77">
        <f t="shared" si="27"/>
        <v>144</v>
      </c>
      <c r="AF77">
        <v>19.3</v>
      </c>
      <c r="AG77">
        <v>19.3</v>
      </c>
      <c r="AJ77" s="10">
        <v>60</v>
      </c>
      <c r="AK77" t="str">
        <f>CONCATENATE(VLOOKUP(AL77, 'Voxel Sizes'!$A$2:$B$18,2,FALSE),"x",INT(AH77*15), "x", INT(AI77*15))</f>
        <v>186x0x0</v>
      </c>
      <c r="AL77">
        <f t="shared" si="1"/>
        <v>11</v>
      </c>
      <c r="AN77" t="str">
        <f>CONCATENATE(VLOOKUP(AL77,Constants!$A$2:$C$16,IF(AM77&lt;&gt;"", 3, 2), FALSE),IF(AM77&lt;&gt;"",CONCATENATE(",",VLOOKUP(AM77,$B:$AN,39,FALSE)),""))</f>
        <v>4,3,4</v>
      </c>
      <c r="AX77">
        <v>30</v>
      </c>
      <c r="AY77" s="15" t="str">
        <f t="shared" si="2"/>
        <v/>
      </c>
      <c r="BB77">
        <f t="shared" si="3"/>
        <v>18</v>
      </c>
      <c r="BC77">
        <f t="shared" si="4"/>
        <v>0</v>
      </c>
      <c r="BD77">
        <f t="shared" si="5"/>
        <v>0</v>
      </c>
      <c r="BE77" s="3">
        <f t="shared" si="6"/>
        <v>0.87866666666666671</v>
      </c>
      <c r="BF77">
        <f t="shared" si="7"/>
        <v>10</v>
      </c>
      <c r="BG77">
        <f>VLOOKUP($H77,Constants!$I:$K, 2, FALSE)</f>
        <v>1</v>
      </c>
      <c r="BH77">
        <f>VLOOKUP($H77,Constants!$I:$K, 3, FALSE)*IF(AND(G77="multiple_unit",AB77&lt;110),0.75,1)</f>
        <v>0.45</v>
      </c>
      <c r="BI77">
        <f>INT(POWER(((Constants!$G$2+$BB77+$BC77+$BD77+$BF77)*$BE77)*$BH77, 1.05))+$BA77</f>
        <v>14</v>
      </c>
      <c r="BJ77">
        <f>INT(POWER((((Constants!$G$1+$BB77+$BC77+$BD77+$BF77)*($BE77))*$BG77),IF($G77="wagon",1,1.2)))+$AZ77</f>
        <v>37</v>
      </c>
      <c r="BK77" s="14">
        <f t="shared" si="8"/>
        <v>875</v>
      </c>
      <c r="BL77" s="14">
        <f t="shared" si="9"/>
        <v>101.01</v>
      </c>
      <c r="BU77">
        <v>1</v>
      </c>
      <c r="BV77">
        <v>185</v>
      </c>
      <c r="BX77" t="s">
        <v>1036</v>
      </c>
      <c r="BY77" t="s">
        <v>281</v>
      </c>
      <c r="BZ77" t="str">
        <f>VLOOKUP(J77,Eras!$A$2:$C$10, 2, TRUE)</f>
        <v>lbr</v>
      </c>
      <c r="CA77" t="s">
        <v>687</v>
      </c>
      <c r="CB77" t="str">
        <f t="shared" si="10"/>
        <v>lbr_Extra</v>
      </c>
      <c r="CC77" t="str">
        <f t="shared" si="204"/>
        <v>wagon_RAIL</v>
      </c>
      <c r="CD77" s="17" t="str" cm="1">
        <f t="array" ref="CD77">_xlfn.CONCAT("{BLACK}Length: {GOLD}", TEXT(ROUNDUP(IF(AQ77&lt;&gt;"",SUM(VALUE(_xlfn.TEXTSPLIT(AQ77, ","))), SUM(VALUE(_xlfn.TEXTSPLIT(AN77, ",")))*IF(M77, M77, 1))/16, 1), "#,##0.0"), " tiles{}")</f>
        <v>{BLACK}Length: {GOLD}0.7 tiles{}</v>
      </c>
      <c r="CE77" t="str">
        <f>VLOOKUP($CC77, Constants!$M:$N, 2, FALSE)</f>
        <v/>
      </c>
      <c r="CF77" t="str">
        <f t="shared" si="205"/>
        <v/>
      </c>
      <c r="CG77" t="s">
        <v>790</v>
      </c>
      <c r="CH77" t="str">
        <f t="shared" si="194"/>
        <v/>
      </c>
      <c r="CI77" t="str">
        <f t="shared" si="206"/>
        <v/>
      </c>
      <c r="CJ77" t="str">
        <f t="shared" si="207"/>
        <v>{BLACK}Length: {GOLD}0.7 tiles{}{SILVER}Freightliner had considered replacing the FFA wagons with a shorter 40ft container flat, but the poor running quality of fixed axle wagons resulted in the choice of another standard bogie flat.</v>
      </c>
    </row>
    <row r="78" spans="1:89" x14ac:dyDescent="0.35">
      <c r="A78" t="s">
        <v>791</v>
      </c>
      <c r="B78" t="s">
        <v>792</v>
      </c>
      <c r="C78">
        <v>56</v>
      </c>
      <c r="E78">
        <v>1052</v>
      </c>
      <c r="F78" t="s">
        <v>1498</v>
      </c>
      <c r="G78" t="s">
        <v>276</v>
      </c>
      <c r="H78" t="s">
        <v>276</v>
      </c>
      <c r="I78" t="s">
        <v>270</v>
      </c>
      <c r="J78">
        <v>1997</v>
      </c>
      <c r="W78">
        <v>23</v>
      </c>
      <c r="Y78">
        <v>9</v>
      </c>
      <c r="AA78" s="3" t="str">
        <f t="shared" si="29"/>
        <v/>
      </c>
      <c r="AB78">
        <v>90</v>
      </c>
      <c r="AC78">
        <f t="shared" si="27"/>
        <v>144</v>
      </c>
      <c r="AF78">
        <v>19.3</v>
      </c>
      <c r="AG78">
        <v>19.3</v>
      </c>
      <c r="AJ78" s="10">
        <v>51</v>
      </c>
      <c r="AK78" t="str">
        <f>CONCATENATE(VLOOKUP(AL78, 'Voxel Sizes'!$A$2:$B$18,2,FALSE),"x",INT(AH78*15), "x", INT(AI78*15))</f>
        <v>186x0x0</v>
      </c>
      <c r="AL78">
        <f t="shared" si="1"/>
        <v>11</v>
      </c>
      <c r="AN78" t="str">
        <f>CONCATENATE(VLOOKUP(AL78,Constants!$A$2:$C$16,IF(AM78&lt;&gt;"", 3, 2), FALSE),IF(AM78&lt;&gt;"",CONCATENATE(",",VLOOKUP(AM78,$B:$AN,39,FALSE)),""))</f>
        <v>4,3,4</v>
      </c>
      <c r="AX78">
        <v>30</v>
      </c>
      <c r="AY78" s="15" t="str">
        <f t="shared" si="2"/>
        <v/>
      </c>
      <c r="BB78">
        <f t="shared" si="3"/>
        <v>18</v>
      </c>
      <c r="BC78">
        <f t="shared" si="4"/>
        <v>0</v>
      </c>
      <c r="BD78">
        <f t="shared" si="5"/>
        <v>0</v>
      </c>
      <c r="BE78" s="3">
        <f t="shared" si="6"/>
        <v>0.8706666666666667</v>
      </c>
      <c r="BF78">
        <f t="shared" si="7"/>
        <v>8.5</v>
      </c>
      <c r="BG78">
        <f>VLOOKUP($H78,Constants!$I:$K, 2, FALSE)</f>
        <v>1</v>
      </c>
      <c r="BH78">
        <f>VLOOKUP($H78,Constants!$I:$K, 3, FALSE)*IF(AND(G78="multiple_unit",AB78&lt;110),0.75,1)</f>
        <v>0.45</v>
      </c>
      <c r="BI78">
        <f>INT(POWER(((Constants!$G$2+$BB78+$BC78+$BD78+$BF78)*$BE78)*$BH78, 1.05))+$BA78</f>
        <v>13</v>
      </c>
      <c r="BJ78">
        <f>INT(POWER((((Constants!$G$1+$BB78+$BC78+$BD78+$BF78)*($BE78))*$BG78),IF($G78="wagon",1,1.2)))+$AZ78</f>
        <v>36</v>
      </c>
      <c r="BK78" s="14">
        <f t="shared" si="8"/>
        <v>812.5</v>
      </c>
      <c r="BL78" s="14">
        <f t="shared" si="9"/>
        <v>98.28</v>
      </c>
      <c r="BU78">
        <v>1</v>
      </c>
      <c r="BV78">
        <v>185</v>
      </c>
      <c r="BX78" t="s">
        <v>1036</v>
      </c>
      <c r="BY78" t="s">
        <v>281</v>
      </c>
      <c r="BZ78" t="str">
        <f>VLOOKUP(J78,Eras!$A$2:$C$10, 2, TRUE)</f>
        <v>prv</v>
      </c>
      <c r="CA78" t="s">
        <v>687</v>
      </c>
      <c r="CB78" t="str">
        <f t="shared" si="10"/>
        <v>prv_Extra</v>
      </c>
      <c r="CC78" t="str">
        <f t="shared" si="204"/>
        <v>wagon_RAIL</v>
      </c>
      <c r="CD78" s="17" t="str" cm="1">
        <f t="array" ref="CD78">_xlfn.CONCAT("{BLACK}Length: {GOLD}", TEXT(ROUNDUP(IF(AQ78&lt;&gt;"",SUM(VALUE(_xlfn.TEXTSPLIT(AQ78, ","))), SUM(VALUE(_xlfn.TEXTSPLIT(AN78, ",")))*IF(M78, M78, 1))/16, 1), "#,##0.0"), " tiles{}")</f>
        <v>{BLACK}Length: {GOLD}0.7 tiles{}</v>
      </c>
      <c r="CE78" t="str">
        <f>VLOOKUP($CC78, Constants!$M:$N, 2, FALSE)</f>
        <v/>
      </c>
      <c r="CF78" t="str">
        <f t="shared" si="205"/>
        <v/>
      </c>
      <c r="CG78" t="s">
        <v>803</v>
      </c>
      <c r="CH78" t="str">
        <f t="shared" si="194"/>
        <v/>
      </c>
      <c r="CI78" t="str">
        <f t="shared" si="206"/>
        <v/>
      </c>
      <c r="CJ78" t="str">
        <f t="shared" si="207"/>
        <v>{BLACK}Length: {GOLD}0.7 tiles{}{SILVER}KTA wagons solve the problem of carrying high-cube containers in the small British loading gauge, using a "pocket" between the axles that can take either a single 40ft container or two 20ft ones.</v>
      </c>
    </row>
    <row r="79" spans="1:89" x14ac:dyDescent="0.35">
      <c r="A79" t="s">
        <v>1346</v>
      </c>
      <c r="B79" t="s">
        <v>1345</v>
      </c>
      <c r="C79">
        <v>59</v>
      </c>
      <c r="E79">
        <v>1053</v>
      </c>
      <c r="F79" t="s">
        <v>1498</v>
      </c>
      <c r="G79" t="s">
        <v>276</v>
      </c>
      <c r="H79" t="s">
        <v>276</v>
      </c>
      <c r="I79" t="s">
        <v>1370</v>
      </c>
      <c r="J79">
        <v>1700</v>
      </c>
      <c r="L79">
        <v>1875</v>
      </c>
      <c r="W79">
        <v>2</v>
      </c>
      <c r="Y79">
        <v>3</v>
      </c>
      <c r="AA79" s="3" t="str">
        <f t="shared" si="29"/>
        <v/>
      </c>
      <c r="AB79">
        <v>30</v>
      </c>
      <c r="AC79">
        <f t="shared" si="27"/>
        <v>48</v>
      </c>
      <c r="AF79">
        <v>6</v>
      </c>
      <c r="AG79">
        <v>6</v>
      </c>
      <c r="AJ79" s="10">
        <v>18</v>
      </c>
      <c r="AK79" t="str">
        <f>CONCATENATE(VLOOKUP(AL79, 'Voxel Sizes'!$A$2:$B$18,2,FALSE),"x",INT(AH79*15), "x", INT(AI79*15))</f>
        <v>60x0x0</v>
      </c>
      <c r="AL79">
        <f t="shared" si="1"/>
        <v>4</v>
      </c>
      <c r="AN79" t="str">
        <f>CONCATENATE(VLOOKUP(AL79,Constants!$A$2:$C$16,IF(AM79&lt;&gt;"", 3, 2), FALSE),IF(AM79&lt;&gt;"",CONCATENATE(",",VLOOKUP(AM79,$B:$AN,39,FALSE)),""))</f>
        <v>1,2,1</v>
      </c>
      <c r="AX79">
        <v>30</v>
      </c>
      <c r="AY79" s="15">
        <f t="shared" si="2"/>
        <v>183</v>
      </c>
      <c r="AZ79">
        <v>-15</v>
      </c>
      <c r="BA79">
        <v>-2</v>
      </c>
      <c r="BB79">
        <f t="shared" si="3"/>
        <v>6</v>
      </c>
      <c r="BC79">
        <f t="shared" si="4"/>
        <v>0</v>
      </c>
      <c r="BD79">
        <f t="shared" si="5"/>
        <v>0</v>
      </c>
      <c r="BE79" s="3">
        <f t="shared" si="6"/>
        <v>1</v>
      </c>
      <c r="BF79">
        <f t="shared" si="7"/>
        <v>3</v>
      </c>
      <c r="BG79">
        <f>VLOOKUP($H79,Constants!$I:$K, 2, FALSE)</f>
        <v>1</v>
      </c>
      <c r="BH79">
        <f>VLOOKUP($H79,Constants!$I:$K, 3, FALSE)*IF(AND(G79="multiple_unit",AB79&lt;110),0.75,1)</f>
        <v>0.45</v>
      </c>
      <c r="BI79">
        <f>INT(POWER(((Constants!$G$2+$BB79+$BC79+$BD79+$BF79)*$BE79)*$BH79, 1.05))+$BA79</f>
        <v>4</v>
      </c>
      <c r="BJ79">
        <f>INT(POWER((((Constants!$G$1+$BB79+$BC79+$BD79+$BF79)*($BE79))*$BG79),IF($G79="wagon",1,1.2)))+$AZ79</f>
        <v>9</v>
      </c>
      <c r="BK79" s="14">
        <f t="shared" si="8"/>
        <v>250</v>
      </c>
      <c r="BL79" s="14">
        <f t="shared" si="9"/>
        <v>24.57</v>
      </c>
      <c r="BU79">
        <v>1</v>
      </c>
      <c r="BV79">
        <v>185</v>
      </c>
      <c r="BX79" t="s">
        <v>1035</v>
      </c>
      <c r="BY79" t="s">
        <v>405</v>
      </c>
      <c r="BZ79" t="str">
        <f>VLOOKUP(J79,Eras!$A$2:$C$10, 2, TRUE)</f>
        <v>early</v>
      </c>
      <c r="CA79" t="s">
        <v>336</v>
      </c>
      <c r="CB79" t="str">
        <f t="shared" si="10"/>
        <v>early_Flat Wagon</v>
      </c>
      <c r="CC79" t="str">
        <f t="shared" si="204"/>
        <v>wagon_PLATEWAY</v>
      </c>
      <c r="CD79" s="17" t="str" cm="1">
        <f t="array" ref="CD79">_xlfn.CONCAT("{BLACK}Length: {GOLD}", TEXT(ROUNDUP(IF(AQ79&lt;&gt;"",SUM(VALUE(_xlfn.TEXTSPLIT(AQ79, ","))), SUM(VALUE(_xlfn.TEXTSPLIT(AN79, ",")))*IF(M79, M79, 1))/16, 1), "#,##0.0"), " tiles{}")</f>
        <v>{BLACK}Length: {GOLD}0.3 tiles{}</v>
      </c>
      <c r="CE79" t="str">
        <f>VLOOKUP($CC79, Constants!$M:$N, 2, FALSE)</f>
        <v/>
      </c>
      <c r="CF79" t="str">
        <f t="shared" si="205"/>
        <v/>
      </c>
      <c r="CG79" t="s">
        <v>1347</v>
      </c>
      <c r="CH79" t="str">
        <f t="shared" si="194"/>
        <v/>
      </c>
      <c r="CI79" t="str">
        <f t="shared" si="206"/>
        <v/>
      </c>
      <c r="CJ79" t="str">
        <f t="shared" si="207"/>
        <v>{BLACK}Length: {GOLD}0.3 tiles{}{SILVER}Early flat wagons had simple wooden construction, and sometimes featured stakes for securing loads.</v>
      </c>
    </row>
    <row r="80" spans="1:89" x14ac:dyDescent="0.35">
      <c r="A80" t="s">
        <v>772</v>
      </c>
      <c r="B80" t="s">
        <v>774</v>
      </c>
      <c r="C80">
        <v>60</v>
      </c>
      <c r="E80">
        <v>1054</v>
      </c>
      <c r="F80" t="s">
        <v>1498</v>
      </c>
      <c r="G80" t="s">
        <v>276</v>
      </c>
      <c r="H80" t="s">
        <v>276</v>
      </c>
      <c r="I80" t="s">
        <v>270</v>
      </c>
      <c r="J80">
        <v>1850</v>
      </c>
      <c r="L80">
        <v>1924</v>
      </c>
      <c r="W80">
        <v>5</v>
      </c>
      <c r="Y80">
        <v>3</v>
      </c>
      <c r="AA80" s="3" t="str">
        <f t="shared" si="29"/>
        <v/>
      </c>
      <c r="AB80">
        <v>35</v>
      </c>
      <c r="AC80">
        <f t="shared" si="27"/>
        <v>56</v>
      </c>
      <c r="AF80">
        <v>6</v>
      </c>
      <c r="AG80">
        <v>6</v>
      </c>
      <c r="AJ80" s="10">
        <v>24</v>
      </c>
      <c r="AK80" t="str">
        <f>CONCATENATE(VLOOKUP(AL80, 'Voxel Sizes'!$A$2:$B$18,2,FALSE),"x",INT(AH80*15), "x", INT(AI80*15))</f>
        <v>60x0x0</v>
      </c>
      <c r="AL80">
        <f t="shared" si="1"/>
        <v>4</v>
      </c>
      <c r="AN80" t="str">
        <f>CONCATENATE(VLOOKUP(AL80,Constants!$A$2:$C$16,IF(AM80&lt;&gt;"", 3, 2), FALSE),IF(AM80&lt;&gt;"",CONCATENATE(",",VLOOKUP(AM80,$B:$AN,39,FALSE)),""))</f>
        <v>1,2,1</v>
      </c>
      <c r="AX80">
        <v>30</v>
      </c>
      <c r="AY80" s="15">
        <f t="shared" si="2"/>
        <v>82</v>
      </c>
      <c r="BB80">
        <f t="shared" si="3"/>
        <v>7</v>
      </c>
      <c r="BC80">
        <f t="shared" si="4"/>
        <v>0</v>
      </c>
      <c r="BD80">
        <f t="shared" si="5"/>
        <v>0</v>
      </c>
      <c r="BE80" s="3">
        <f t="shared" si="6"/>
        <v>1</v>
      </c>
      <c r="BF80">
        <f t="shared" si="7"/>
        <v>4</v>
      </c>
      <c r="BG80">
        <f>VLOOKUP($H80,Constants!$I:$K, 2, FALSE)</f>
        <v>1</v>
      </c>
      <c r="BH80">
        <f>VLOOKUP($H80,Constants!$I:$K, 3, FALSE)*IF(AND(G80="multiple_unit",AB80&lt;110),0.75,1)</f>
        <v>0.45</v>
      </c>
      <c r="BI80">
        <f>INT(POWER(((Constants!$G$2+$BB80+$BC80+$BD80+$BF80)*$BE80)*$BH80, 1.05))+$BA80</f>
        <v>7</v>
      </c>
      <c r="BJ80">
        <f>INT(POWER((((Constants!$G$1+$BB80+$BC80+$BD80+$BF80)*($BE80))*$BG80),IF($G80="wagon",1,1.2)))+$AZ80</f>
        <v>26</v>
      </c>
      <c r="BK80" s="14">
        <f t="shared" si="8"/>
        <v>437.5</v>
      </c>
      <c r="BL80" s="14">
        <f t="shared" si="9"/>
        <v>70.98</v>
      </c>
      <c r="BU80">
        <v>1</v>
      </c>
      <c r="BV80">
        <v>185</v>
      </c>
      <c r="BX80" t="s">
        <v>1035</v>
      </c>
      <c r="BY80" t="s">
        <v>405</v>
      </c>
      <c r="BZ80" t="str">
        <f>VLOOKUP(J80,Eras!$A$2:$C$10, 2, TRUE)</f>
        <v>vct</v>
      </c>
      <c r="CA80" t="s">
        <v>336</v>
      </c>
      <c r="CB80" t="str">
        <f t="shared" si="10"/>
        <v>vct_Flat Wagon</v>
      </c>
      <c r="CC80" t="str">
        <f t="shared" si="204"/>
        <v>wagon_RAIL</v>
      </c>
      <c r="CD80" s="17" t="str" cm="1">
        <f t="array" ref="CD80">_xlfn.CONCAT("{BLACK}Length: {GOLD}", TEXT(ROUNDUP(IF(AQ80&lt;&gt;"",SUM(VALUE(_xlfn.TEXTSPLIT(AQ80, ","))), SUM(VALUE(_xlfn.TEXTSPLIT(AN80, ",")))*IF(M80, M80, 1))/16, 1), "#,##0.0"), " tiles{}")</f>
        <v>{BLACK}Length: {GOLD}0.3 tiles{}</v>
      </c>
      <c r="CE80" t="str">
        <f>VLOOKUP($CC80, Constants!$M:$N, 2, FALSE)</f>
        <v/>
      </c>
      <c r="CF80" t="str">
        <f t="shared" si="205"/>
        <v/>
      </c>
      <c r="CG80" t="s">
        <v>773</v>
      </c>
      <c r="CH80" t="str">
        <f t="shared" si="194"/>
        <v/>
      </c>
      <c r="CI80" t="str">
        <f t="shared" si="206"/>
        <v/>
      </c>
      <c r="CJ80" t="str">
        <f t="shared" si="207"/>
        <v>{BLACK}Length: {GOLD}0.3 tiles{}{SILVER}Flat wagons carried goods such as metal pipes and wood, where a flat surface with bolsters for tying loads down was most convenient.</v>
      </c>
    </row>
    <row r="81" spans="1:89" x14ac:dyDescent="0.35">
      <c r="A81" t="s">
        <v>403</v>
      </c>
      <c r="B81" t="s">
        <v>404</v>
      </c>
      <c r="C81">
        <v>62</v>
      </c>
      <c r="E81">
        <v>1055</v>
      </c>
      <c r="F81" t="s">
        <v>1498</v>
      </c>
      <c r="G81" t="s">
        <v>276</v>
      </c>
      <c r="H81" t="s">
        <v>276</v>
      </c>
      <c r="I81" t="s">
        <v>270</v>
      </c>
      <c r="J81">
        <v>1906</v>
      </c>
      <c r="L81">
        <v>1960</v>
      </c>
      <c r="W81">
        <v>7</v>
      </c>
      <c r="Y81">
        <v>3</v>
      </c>
      <c r="AA81" s="3" t="str">
        <f t="shared" si="29"/>
        <v/>
      </c>
      <c r="AB81">
        <v>45</v>
      </c>
      <c r="AC81">
        <f t="shared" si="27"/>
        <v>72</v>
      </c>
      <c r="AF81">
        <v>8</v>
      </c>
      <c r="AG81">
        <v>8</v>
      </c>
      <c r="AJ81" s="10">
        <v>24</v>
      </c>
      <c r="AK81" t="str">
        <f>CONCATENATE(VLOOKUP(AL81, 'Voxel Sizes'!$A$2:$B$18,2,FALSE),"x",INT(AH81*15), "x", INT(AI81*15))</f>
        <v>82x0x0</v>
      </c>
      <c r="AL81">
        <f t="shared" si="1"/>
        <v>5</v>
      </c>
      <c r="AN81" t="str">
        <f>CONCATENATE(VLOOKUP(AL81,Constants!$A$2:$C$16,IF(AM81&lt;&gt;"", 3, 2), FALSE),IF(AM81&lt;&gt;"",CONCATENATE(",",VLOOKUP(AM81,$B:$AN,39,FALSE)),""))</f>
        <v>2,1,2</v>
      </c>
      <c r="AX81">
        <v>30</v>
      </c>
      <c r="AY81" s="15">
        <f t="shared" si="2"/>
        <v>62</v>
      </c>
      <c r="BB81">
        <f t="shared" si="3"/>
        <v>9</v>
      </c>
      <c r="BC81">
        <f t="shared" si="4"/>
        <v>0</v>
      </c>
      <c r="BD81">
        <f t="shared" si="5"/>
        <v>0</v>
      </c>
      <c r="BE81" s="3">
        <f t="shared" si="6"/>
        <v>0.99199999999999999</v>
      </c>
      <c r="BF81">
        <f t="shared" si="7"/>
        <v>4</v>
      </c>
      <c r="BG81">
        <f>VLOOKUP($H81,Constants!$I:$K, 2, FALSE)</f>
        <v>1</v>
      </c>
      <c r="BH81">
        <f>VLOOKUP($H81,Constants!$I:$K, 3, FALSE)*IF(AND(G81="multiple_unit",AB81&lt;110),0.75,1)</f>
        <v>0.45</v>
      </c>
      <c r="BI81">
        <f>INT(POWER(((Constants!$G$2+$BB81+$BC81+$BD81+$BF81)*$BE81)*$BH81, 1.05))+$BA81</f>
        <v>8</v>
      </c>
      <c r="BJ81">
        <f>INT(POWER((((Constants!$G$1+$BB81+$BC81+$BD81+$BF81)*($BE81))*$BG81),IF($G81="wagon",1,1.2)))+$AZ81</f>
        <v>27</v>
      </c>
      <c r="BK81" s="14">
        <f t="shared" si="8"/>
        <v>500</v>
      </c>
      <c r="BL81" s="14">
        <f t="shared" si="9"/>
        <v>73.709999999999994</v>
      </c>
      <c r="BU81">
        <v>1</v>
      </c>
      <c r="BV81">
        <v>185</v>
      </c>
      <c r="BX81" t="s">
        <v>1035</v>
      </c>
      <c r="BY81" t="s">
        <v>405</v>
      </c>
      <c r="BZ81" t="str">
        <f>VLOOKUP(J81,Eras!$A$2:$C$10, 2, TRUE)</f>
        <v>edw</v>
      </c>
      <c r="CA81" t="s">
        <v>336</v>
      </c>
      <c r="CB81" t="str">
        <f t="shared" si="10"/>
        <v>edw_Flat Wagon</v>
      </c>
      <c r="CC81" t="str">
        <f t="shared" si="204"/>
        <v>wagon_RAIL</v>
      </c>
      <c r="CD81" s="17" t="str" cm="1">
        <f t="array" ref="CD81">_xlfn.CONCAT("{BLACK}Length: {GOLD}", TEXT(ROUNDUP(IF(AQ81&lt;&gt;"",SUM(VALUE(_xlfn.TEXTSPLIT(AQ81, ","))), SUM(VALUE(_xlfn.TEXTSPLIT(AN81, ",")))*IF(M81, M81, 1))/16, 1), "#,##0.0"), " tiles{}")</f>
        <v>{BLACK}Length: {GOLD}0.4 tiles{}</v>
      </c>
      <c r="CE81" t="str">
        <f>VLOOKUP($CC81, Constants!$M:$N, 2, FALSE)</f>
        <v/>
      </c>
      <c r="CF81" t="str">
        <f t="shared" si="205"/>
        <v/>
      </c>
      <c r="CG81" t="s">
        <v>406</v>
      </c>
      <c r="CH81" t="str">
        <f t="shared" si="194"/>
        <v/>
      </c>
      <c r="CI81" t="str">
        <f t="shared" si="206"/>
        <v/>
      </c>
      <c r="CJ81" t="str">
        <f t="shared" si="207"/>
        <v>{BLACK}Length: {GOLD}0.4 tiles{}{SILVER}"Beaver" was the GWR telegraph code for a flat wagon, with an additional letter used to identify the length.</v>
      </c>
    </row>
    <row r="82" spans="1:89" x14ac:dyDescent="0.35">
      <c r="A82" t="s">
        <v>119</v>
      </c>
      <c r="B82" t="s">
        <v>755</v>
      </c>
      <c r="C82">
        <v>64</v>
      </c>
      <c r="E82">
        <v>1056</v>
      </c>
      <c r="F82" t="s">
        <v>1498</v>
      </c>
      <c r="G82" t="s">
        <v>276</v>
      </c>
      <c r="H82" t="s">
        <v>276</v>
      </c>
      <c r="I82" t="s">
        <v>270</v>
      </c>
      <c r="J82">
        <v>1916</v>
      </c>
      <c r="L82">
        <v>1965</v>
      </c>
      <c r="W82">
        <v>14</v>
      </c>
      <c r="Y82">
        <v>4</v>
      </c>
      <c r="AA82" s="3" t="str">
        <f t="shared" si="29"/>
        <v/>
      </c>
      <c r="AB82">
        <v>45</v>
      </c>
      <c r="AC82">
        <f t="shared" si="27"/>
        <v>72</v>
      </c>
      <c r="AF82">
        <v>15.2</v>
      </c>
      <c r="AG82">
        <v>15.2</v>
      </c>
      <c r="AJ82" s="10">
        <v>42</v>
      </c>
      <c r="AK82" t="str">
        <f>CONCATENATE(VLOOKUP(AL82, 'Voxel Sizes'!$A$2:$B$18,2,FALSE),"x",INT(AH82*15), "x", INT(AI82*15))</f>
        <v>152x0x0</v>
      </c>
      <c r="AL82">
        <f t="shared" si="1"/>
        <v>9</v>
      </c>
      <c r="AN82" t="str">
        <f>CONCATENATE(VLOOKUP(AL82,Constants!$A$2:$C$16,IF(AM82&lt;&gt;"", 3, 2), FALSE),IF(AM82&lt;&gt;"",CONCATENATE(",",VLOOKUP(AM82,$B:$AN,39,FALSE)),""))</f>
        <v>2,5,2</v>
      </c>
      <c r="AX82">
        <v>30</v>
      </c>
      <c r="AY82" s="15">
        <f t="shared" si="2"/>
        <v>57</v>
      </c>
      <c r="BB82">
        <f t="shared" si="3"/>
        <v>9</v>
      </c>
      <c r="BC82">
        <f t="shared" si="4"/>
        <v>0</v>
      </c>
      <c r="BD82">
        <f t="shared" si="5"/>
        <v>0</v>
      </c>
      <c r="BE82" s="3">
        <f t="shared" si="6"/>
        <v>0.97866666666666668</v>
      </c>
      <c r="BF82">
        <f t="shared" si="7"/>
        <v>7.0000000000000009</v>
      </c>
      <c r="BG82">
        <f>VLOOKUP($H82,Constants!$I:$K, 2, FALSE)</f>
        <v>1</v>
      </c>
      <c r="BH82">
        <f>VLOOKUP($H82,Constants!$I:$K, 3, FALSE)*IF(AND(G82="multiple_unit",AB82&lt;110),0.75,1)</f>
        <v>0.45</v>
      </c>
      <c r="BI82">
        <f>INT(POWER(((Constants!$G$2+$BB82+$BC82+$BD82+$BF82)*$BE82)*$BH82, 1.05))+$BA82</f>
        <v>10</v>
      </c>
      <c r="BJ82">
        <f>INT(POWER((((Constants!$G$1+$BB82+$BC82+$BD82+$BF82)*($BE82))*$BG82),IF($G82="wagon",1,1.2)))+$AZ82</f>
        <v>30</v>
      </c>
      <c r="BK82" s="14">
        <f t="shared" si="8"/>
        <v>625</v>
      </c>
      <c r="BL82" s="14">
        <f t="shared" si="9"/>
        <v>81.900000000000006</v>
      </c>
      <c r="BU82">
        <v>1</v>
      </c>
      <c r="BV82">
        <v>185</v>
      </c>
      <c r="BX82" t="s">
        <v>1035</v>
      </c>
      <c r="BY82" t="s">
        <v>405</v>
      </c>
      <c r="BZ82" t="str">
        <f>VLOOKUP(J82,Eras!$A$2:$C$10, 2, TRUE)</f>
        <v>edw</v>
      </c>
      <c r="CA82" t="s">
        <v>336</v>
      </c>
      <c r="CB82" t="str">
        <f t="shared" si="10"/>
        <v>edw_Flat Wagon</v>
      </c>
      <c r="CC82" t="str">
        <f t="shared" si="204"/>
        <v>wagon_RAIL</v>
      </c>
      <c r="CD82" s="17" t="str" cm="1">
        <f t="array" ref="CD82">_xlfn.CONCAT("{BLACK}Length: {GOLD}", TEXT(ROUNDUP(IF(AQ82&lt;&gt;"",SUM(VALUE(_xlfn.TEXTSPLIT(AQ82, ","))), SUM(VALUE(_xlfn.TEXTSPLIT(AN82, ",")))*IF(M82, M82, 1))/16, 1), "#,##0.0"), " tiles{}")</f>
        <v>{BLACK}Length: {GOLD}0.6 tiles{}</v>
      </c>
      <c r="CE82" t="str">
        <f>VLOOKUP($CC82, Constants!$M:$N, 2, FALSE)</f>
        <v/>
      </c>
      <c r="CF82" t="str">
        <f t="shared" si="205"/>
        <v/>
      </c>
      <c r="CG82" t="s">
        <v>754</v>
      </c>
      <c r="CH82" t="str">
        <f t="shared" si="194"/>
        <v/>
      </c>
      <c r="CI82" t="str">
        <f t="shared" si="206"/>
        <v/>
      </c>
      <c r="CJ82" t="str">
        <f t="shared" si="207"/>
        <v>{BLACK}Length: {GOLD}0.6 tiles{}{SILVER}Bolster wagons were some of the earliest goods vehicles to use bogies rather than fixed axles. The wooden bolsters running across the wagon made long, rigid loads easy to tie down.</v>
      </c>
    </row>
    <row r="83" spans="1:89" x14ac:dyDescent="0.35">
      <c r="A83" t="s">
        <v>760</v>
      </c>
      <c r="B83" t="s">
        <v>761</v>
      </c>
      <c r="C83">
        <v>66</v>
      </c>
      <c r="E83">
        <v>1057</v>
      </c>
      <c r="F83" t="s">
        <v>1498</v>
      </c>
      <c r="G83" t="s">
        <v>276</v>
      </c>
      <c r="H83" t="s">
        <v>276</v>
      </c>
      <c r="I83" t="s">
        <v>270</v>
      </c>
      <c r="J83">
        <v>1925</v>
      </c>
      <c r="L83">
        <v>1970</v>
      </c>
      <c r="W83">
        <v>7</v>
      </c>
      <c r="Y83">
        <v>3</v>
      </c>
      <c r="AA83" s="3" t="str">
        <f t="shared" si="29"/>
        <v/>
      </c>
      <c r="AB83">
        <v>50</v>
      </c>
      <c r="AC83">
        <f t="shared" si="27"/>
        <v>80</v>
      </c>
      <c r="AF83">
        <v>10</v>
      </c>
      <c r="AG83">
        <v>10</v>
      </c>
      <c r="AJ83" s="10">
        <v>30</v>
      </c>
      <c r="AK83" t="str">
        <f>CONCATENATE(VLOOKUP(AL83, 'Voxel Sizes'!$A$2:$B$18,2,FALSE),"x",INT(AH83*15), "x", INT(AI83*15))</f>
        <v>102x0x0</v>
      </c>
      <c r="AL83">
        <f t="shared" si="1"/>
        <v>6</v>
      </c>
      <c r="AN83" t="str">
        <f>CONCATENATE(VLOOKUP(AL83,Constants!$A$2:$C$16,IF(AM83&lt;&gt;"", 3, 2), FALSE),IF(AM83&lt;&gt;"",CONCATENATE(",",VLOOKUP(AM83,$B:$AN,39,FALSE)),""))</f>
        <v>2,2,2</v>
      </c>
      <c r="AX83">
        <v>30</v>
      </c>
      <c r="AY83" s="15">
        <f t="shared" si="2"/>
        <v>53</v>
      </c>
      <c r="BB83">
        <f t="shared" si="3"/>
        <v>10</v>
      </c>
      <c r="BC83">
        <f t="shared" si="4"/>
        <v>0</v>
      </c>
      <c r="BD83">
        <f t="shared" si="5"/>
        <v>0</v>
      </c>
      <c r="BE83" s="3">
        <f t="shared" si="6"/>
        <v>0.96666666666666667</v>
      </c>
      <c r="BF83">
        <f t="shared" si="7"/>
        <v>5</v>
      </c>
      <c r="BG83">
        <f>VLOOKUP($H83,Constants!$I:$K, 2, FALSE)</f>
        <v>1</v>
      </c>
      <c r="BH83">
        <f>VLOOKUP($H83,Constants!$I:$K, 3, FALSE)*IF(AND(G83="multiple_unit",AB83&lt;110),0.75,1)</f>
        <v>0.45</v>
      </c>
      <c r="BI83">
        <f>INT(POWER(((Constants!$G$2+$BB83+$BC83+$BD83+$BF83)*$BE83)*$BH83, 1.05))+$BA83</f>
        <v>9</v>
      </c>
      <c r="BJ83">
        <f>INT(POWER((((Constants!$G$1+$BB83+$BC83+$BD83+$BF83)*($BE83))*$BG83),IF($G83="wagon",1,1.2)))+$AZ83</f>
        <v>29</v>
      </c>
      <c r="BK83" s="14">
        <f t="shared" si="8"/>
        <v>562.5</v>
      </c>
      <c r="BL83" s="14">
        <f t="shared" si="9"/>
        <v>79.17</v>
      </c>
      <c r="BU83">
        <v>1</v>
      </c>
      <c r="BV83">
        <v>185</v>
      </c>
      <c r="BX83" t="s">
        <v>1035</v>
      </c>
      <c r="BY83" t="s">
        <v>405</v>
      </c>
      <c r="BZ83" t="str">
        <f>VLOOKUP(J83,Eras!$A$2:$C$10, 2, TRUE)</f>
        <v>big4</v>
      </c>
      <c r="CA83" t="s">
        <v>336</v>
      </c>
      <c r="CB83" t="str">
        <f t="shared" si="10"/>
        <v>big4_Flat Wagon</v>
      </c>
      <c r="CC83" t="str">
        <f t="shared" si="204"/>
        <v>wagon_RAIL</v>
      </c>
      <c r="CD83" s="17" t="str" cm="1">
        <f t="array" ref="CD83">_xlfn.CONCAT("{BLACK}Length: {GOLD}", TEXT(ROUNDUP(IF(AQ83&lt;&gt;"",SUM(VALUE(_xlfn.TEXTSPLIT(AQ83, ","))), SUM(VALUE(_xlfn.TEXTSPLIT(AN83, ",")))*IF(M83, M83, 1))/16, 1), "#,##0.0"), " tiles{}")</f>
        <v>{BLACK}Length: {GOLD}0.4 tiles{}</v>
      </c>
      <c r="CE83" t="str">
        <f>VLOOKUP($CC83, Constants!$M:$N, 2, FALSE)</f>
        <v/>
      </c>
      <c r="CF83" t="str">
        <f t="shared" si="205"/>
        <v/>
      </c>
      <c r="CG83" t="s">
        <v>762</v>
      </c>
      <c r="CH83" t="str">
        <f t="shared" si="194"/>
        <v/>
      </c>
      <c r="CI83" t="str">
        <f t="shared" si="206"/>
        <v/>
      </c>
      <c r="CJ83" t="str">
        <f t="shared" si="207"/>
        <v>{BLACK}Length: {GOLD}0.4 tiles{}{SILVER}The LMS built double bolsters to carry welded rail, with single rails laid across multiple bolster wagons.</v>
      </c>
    </row>
    <row r="84" spans="1:89" x14ac:dyDescent="0.35">
      <c r="A84" t="s">
        <v>766</v>
      </c>
      <c r="B84" t="s">
        <v>767</v>
      </c>
      <c r="C84">
        <v>68</v>
      </c>
      <c r="E84">
        <v>1058</v>
      </c>
      <c r="F84" t="s">
        <v>1498</v>
      </c>
      <c r="G84" t="s">
        <v>276</v>
      </c>
      <c r="H84" t="s">
        <v>276</v>
      </c>
      <c r="I84" t="s">
        <v>270</v>
      </c>
      <c r="J84">
        <v>1949</v>
      </c>
      <c r="L84">
        <v>2010</v>
      </c>
      <c r="W84">
        <v>16</v>
      </c>
      <c r="Y84">
        <v>5</v>
      </c>
      <c r="AA84" s="3" t="str">
        <f t="shared" si="29"/>
        <v/>
      </c>
      <c r="AB84">
        <v>60</v>
      </c>
      <c r="AC84">
        <f t="shared" si="27"/>
        <v>96</v>
      </c>
      <c r="AF84">
        <v>15.8</v>
      </c>
      <c r="AG84">
        <v>19.8</v>
      </c>
      <c r="AJ84" s="10">
        <f>19*3</f>
        <v>57</v>
      </c>
      <c r="AK84" t="str">
        <f>CONCATENATE(VLOOKUP(AL84, 'Voxel Sizes'!$A$2:$B$18,2,FALSE),"x",INT(AH84*15), "x", INT(AI84*15))</f>
        <v>198x0x0</v>
      </c>
      <c r="AL84">
        <f t="shared" si="1"/>
        <v>12</v>
      </c>
      <c r="AN84" t="str">
        <f>CONCATENATE(VLOOKUP(AL84,Constants!$A$2:$C$16,IF(AM84&lt;&gt;"", 3, 2), FALSE),IF(AM84&lt;&gt;"",CONCATENATE(",",VLOOKUP(AM84,$B:$AN,39,FALSE)),""))</f>
        <v>4,4,4</v>
      </c>
      <c r="AX84">
        <v>30</v>
      </c>
      <c r="AY84" s="15">
        <f t="shared" si="2"/>
        <v>69</v>
      </c>
      <c r="BB84">
        <f t="shared" si="3"/>
        <v>12</v>
      </c>
      <c r="BC84">
        <f t="shared" si="4"/>
        <v>0</v>
      </c>
      <c r="BD84">
        <f t="shared" si="5"/>
        <v>0</v>
      </c>
      <c r="BE84" s="3">
        <f t="shared" si="6"/>
        <v>0.93466666666666665</v>
      </c>
      <c r="BF84">
        <f t="shared" si="7"/>
        <v>9.5</v>
      </c>
      <c r="BG84">
        <f>VLOOKUP($H84,Constants!$I:$K, 2, FALSE)</f>
        <v>1</v>
      </c>
      <c r="BH84">
        <f>VLOOKUP($H84,Constants!$I:$K, 3, FALSE)*IF(AND(G84="multiple_unit",AB84&lt;110),0.75,1)</f>
        <v>0.45</v>
      </c>
      <c r="BI84">
        <f>INT(POWER(((Constants!$G$2+$BB84+$BC84+$BD84+$BF84)*$BE84)*$BH84, 1.05))+$BA84</f>
        <v>12</v>
      </c>
      <c r="BJ84">
        <f>INT(POWER((((Constants!$G$1+$BB84+$BC84+$BD84+$BF84)*($BE84))*$BG84),IF($G84="wagon",1,1.2)))+$AZ84</f>
        <v>34</v>
      </c>
      <c r="BK84" s="14">
        <f t="shared" si="8"/>
        <v>750</v>
      </c>
      <c r="BL84" s="14">
        <f t="shared" si="9"/>
        <v>92.82</v>
      </c>
      <c r="BU84">
        <v>1</v>
      </c>
      <c r="BV84">
        <v>185</v>
      </c>
      <c r="BX84" t="s">
        <v>1035</v>
      </c>
      <c r="BY84" t="s">
        <v>405</v>
      </c>
      <c r="BZ84" t="str">
        <f>VLOOKUP(J84,Eras!$A$2:$C$10, 2, TRUE)</f>
        <v>ebr</v>
      </c>
      <c r="CA84" t="s">
        <v>336</v>
      </c>
      <c r="CB84" t="str">
        <f t="shared" si="10"/>
        <v>ebr_Flat Wagon</v>
      </c>
      <c r="CC84" t="str">
        <f t="shared" si="204"/>
        <v>wagon_RAIL</v>
      </c>
      <c r="CD84" s="17" t="str" cm="1">
        <f t="array" ref="CD84">_xlfn.CONCAT("{BLACK}Length: {GOLD}", TEXT(ROUNDUP(IF(AQ84&lt;&gt;"",SUM(VALUE(_xlfn.TEXTSPLIT(AQ84, ","))), SUM(VALUE(_xlfn.TEXTSPLIT(AN84, ",")))*IF(M84, M84, 1))/16, 1), "#,##0.0"), " tiles{}")</f>
        <v>{BLACK}Length: {GOLD}0.8 tiles{}</v>
      </c>
      <c r="CE84" t="str">
        <f>VLOOKUP($CC84, Constants!$M:$N, 2, FALSE)</f>
        <v/>
      </c>
      <c r="CF84" t="str">
        <f t="shared" si="205"/>
        <v/>
      </c>
      <c r="CG84" t="s">
        <v>768</v>
      </c>
      <c r="CH84" t="str">
        <f t="shared" si="194"/>
        <v/>
      </c>
      <c r="CI84" t="str">
        <f t="shared" si="206"/>
        <v/>
      </c>
      <c r="CJ84" t="str">
        <f t="shared" si="207"/>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85" spans="1:89" x14ac:dyDescent="0.35">
      <c r="A85" t="s">
        <v>1500</v>
      </c>
      <c r="B85" t="s">
        <v>1501</v>
      </c>
      <c r="C85">
        <v>69</v>
      </c>
      <c r="E85">
        <v>1059</v>
      </c>
      <c r="F85" t="s">
        <v>1498</v>
      </c>
      <c r="G85" t="s">
        <v>276</v>
      </c>
      <c r="H85" t="s">
        <v>276</v>
      </c>
      <c r="I85" t="s">
        <v>270</v>
      </c>
      <c r="J85">
        <v>1952</v>
      </c>
      <c r="L85">
        <v>1985</v>
      </c>
      <c r="W85">
        <v>9</v>
      </c>
      <c r="Y85">
        <v>4</v>
      </c>
      <c r="AA85" s="3" t="str">
        <f t="shared" ref="AA85" si="208">IF(AND(W85&gt;0,Z85&gt;0),(Z85/((W85+X85)*10)),"")</f>
        <v/>
      </c>
      <c r="AB85">
        <v>60</v>
      </c>
      <c r="AC85">
        <f t="shared" ref="AC85" si="209">ROUND(AB85*1.6, 0)</f>
        <v>96</v>
      </c>
      <c r="AF85">
        <v>11</v>
      </c>
      <c r="AG85">
        <v>11</v>
      </c>
      <c r="AJ85" s="10">
        <v>24</v>
      </c>
      <c r="AK85" t="str">
        <f>CONCATENATE(VLOOKUP(AL85, 'Voxel Sizes'!$A$2:$B$18,2,FALSE),"x",INT(AH85*15), "x", INT(AI85*15))</f>
        <v>102x0x0</v>
      </c>
      <c r="AL85">
        <f t="shared" ref="AL85" si="210">ROUND(15*((AG85*10)/256),0)</f>
        <v>6</v>
      </c>
      <c r="AN85" t="str">
        <f>CONCATENATE(VLOOKUP(AL85,Constants!$A$2:$C$16,IF(AM85&lt;&gt;"", 3, 2), FALSE),IF(AM85&lt;&gt;"",CONCATENATE(",",VLOOKUP(AM85,$B:$AN,39,FALSE)),""))</f>
        <v>2,2,2</v>
      </c>
      <c r="AX85">
        <v>30</v>
      </c>
      <c r="AY85" s="15">
        <f t="shared" ref="AY85" si="211">IF(L85&lt;&gt;"",MAX(16,(L85-J85)+8),"")</f>
        <v>41</v>
      </c>
      <c r="BB85">
        <f t="shared" ref="BB85" si="212">MIN(AB85/150, 1)*30</f>
        <v>12</v>
      </c>
      <c r="BC85">
        <f t="shared" ref="BC85" si="213">MIN(N85/4000, 1)*20</f>
        <v>0</v>
      </c>
      <c r="BD85">
        <f t="shared" ref="BD85" si="214">MIN(Z85/400,1)*20</f>
        <v>0</v>
      </c>
      <c r="BE85" s="3">
        <f t="shared" ref="BE85" si="215">1-(MAX(J85-1900, 0)/750)</f>
        <v>0.93066666666666664</v>
      </c>
      <c r="BF85">
        <f t="shared" ref="BF85" si="216">((MAX($M85,1)*MIN($AJ85/300,1)))*IF(G85="Wagon",50,10)</f>
        <v>4</v>
      </c>
      <c r="BG85">
        <f>VLOOKUP($H85,Constants!$I:$K, 2, FALSE)</f>
        <v>1</v>
      </c>
      <c r="BH85">
        <f>VLOOKUP($H85,Constants!$I:$K, 3, FALSE)*IF(AND(G85="multiple_unit",AB85&lt;110),0.75,1)</f>
        <v>0.45</v>
      </c>
      <c r="BI85">
        <f>INT(POWER(((Constants!$G$2+$BB85+$BC85+$BD85+$BF85)*$BE85)*$BH85, 1.05))+$BA85</f>
        <v>9</v>
      </c>
      <c r="BJ85">
        <f>INT(POWER((((Constants!$G$1+$BB85+$BC85+$BD85+$BF85)*($BE85))*$BG85),IF($G85="wagon",1,1.2)))+$AZ85</f>
        <v>28</v>
      </c>
      <c r="BK85" s="14">
        <f t="shared" ref="BK85" si="217">BI85*IF($G85="wagon",62.5,781.25)</f>
        <v>562.5</v>
      </c>
      <c r="BL85" s="14">
        <f t="shared" ref="BL85" si="218">BJ85*IF($G85="wagon",2.73,81.25)</f>
        <v>76.44</v>
      </c>
      <c r="BU85">
        <v>1</v>
      </c>
      <c r="BV85">
        <v>185</v>
      </c>
      <c r="BX85" t="s">
        <v>1035</v>
      </c>
      <c r="BY85" t="s">
        <v>405</v>
      </c>
      <c r="BZ85" t="str">
        <f>VLOOKUP(J85,Eras!$A$2:$C$10, 2, TRUE)</f>
        <v>ebr</v>
      </c>
      <c r="CA85" t="s">
        <v>336</v>
      </c>
      <c r="CB85" t="str">
        <f t="shared" ref="CB85" si="219">CONCATENATE(BZ85,"_",CA85)</f>
        <v>ebr_Flat Wagon</v>
      </c>
      <c r="CC85" t="str">
        <f t="shared" si="204"/>
        <v>wagon_RAIL</v>
      </c>
      <c r="CD85" s="17" t="str" cm="1">
        <f t="array" ref="CD85">_xlfn.CONCAT("{BLACK}Length: {GOLD}", TEXT(ROUNDUP(IF(AQ85&lt;&gt;"",SUM(VALUE(_xlfn.TEXTSPLIT(AQ85, ","))), SUM(VALUE(_xlfn.TEXTSPLIT(AN85, ",")))*IF(M85, M85, 1))/16, 1), "#,##0.0"), " tiles{}")</f>
        <v>{BLACK}Length: {GOLD}0.4 tiles{}</v>
      </c>
      <c r="CE85" t="str">
        <f>VLOOKUP($CC85, Constants!$M:$N, 2, FALSE)</f>
        <v/>
      </c>
      <c r="CF85" t="str">
        <f t="shared" si="205"/>
        <v/>
      </c>
      <c r="CG85" t="s">
        <v>1502</v>
      </c>
      <c r="CH85" t="str">
        <f t="shared" si="194"/>
        <v/>
      </c>
      <c r="CI85" t="str">
        <f t="shared" si="206"/>
        <v/>
      </c>
      <c r="CJ85" t="str">
        <f t="shared" si="207"/>
        <v>{BLACK}Length: {GOLD}0.4 tiles{}{SILVER}"Lowmac" was a GWR code for a low wagon intended to fit tall, bulky cargo within the railway loading gauge. BR built a number of small Lowmac types in the early 1950s.</v>
      </c>
    </row>
    <row r="86" spans="1:89" x14ac:dyDescent="0.35">
      <c r="A86" t="s">
        <v>763</v>
      </c>
      <c r="B86" t="s">
        <v>764</v>
      </c>
      <c r="C86">
        <v>70</v>
      </c>
      <c r="E86">
        <v>1060</v>
      </c>
      <c r="F86" t="s">
        <v>1498</v>
      </c>
      <c r="G86" t="s">
        <v>276</v>
      </c>
      <c r="H86" t="s">
        <v>276</v>
      </c>
      <c r="I86" t="s">
        <v>270</v>
      </c>
      <c r="J86">
        <v>1975</v>
      </c>
      <c r="W86">
        <v>16</v>
      </c>
      <c r="Y86">
        <v>4</v>
      </c>
      <c r="AA86" s="3" t="str">
        <f t="shared" si="29"/>
        <v/>
      </c>
      <c r="AB86">
        <v>70</v>
      </c>
      <c r="AC86">
        <f t="shared" si="27"/>
        <v>112</v>
      </c>
      <c r="AF86">
        <v>15.8</v>
      </c>
      <c r="AG86">
        <v>15.8</v>
      </c>
      <c r="AJ86" s="10">
        <v>45</v>
      </c>
      <c r="AK86" t="str">
        <f>CONCATENATE(VLOOKUP(AL86, 'Voxel Sizes'!$A$2:$B$18,2,FALSE),"x",INT(AH86*15), "x", INT(AI86*15))</f>
        <v>152x0x0</v>
      </c>
      <c r="AL86">
        <f t="shared" si="1"/>
        <v>9</v>
      </c>
      <c r="AN86" t="str">
        <f>CONCATENATE(VLOOKUP(AL86,Constants!$A$2:$C$16,IF(AM86&lt;&gt;"", 3, 2), FALSE),IF(AM86&lt;&gt;"",CONCATENATE(",",VLOOKUP(AM86,$B:$AN,39,FALSE)),""))</f>
        <v>2,5,2</v>
      </c>
      <c r="AX86">
        <v>30</v>
      </c>
      <c r="AY86" s="15" t="str">
        <f t="shared" si="2"/>
        <v/>
      </c>
      <c r="BB86">
        <f t="shared" si="3"/>
        <v>14</v>
      </c>
      <c r="BC86">
        <f t="shared" si="4"/>
        <v>0</v>
      </c>
      <c r="BD86">
        <f t="shared" si="5"/>
        <v>0</v>
      </c>
      <c r="BE86" s="3">
        <f t="shared" si="6"/>
        <v>0.9</v>
      </c>
      <c r="BF86">
        <f t="shared" si="7"/>
        <v>7.5</v>
      </c>
      <c r="BG86">
        <f>VLOOKUP($H86,Constants!$I:$K, 2, FALSE)</f>
        <v>1</v>
      </c>
      <c r="BH86">
        <f>VLOOKUP($H86,Constants!$I:$K, 3, FALSE)*IF(AND(G86="multiple_unit",AB86&lt;110),0.75,1)</f>
        <v>0.45</v>
      </c>
      <c r="BI86">
        <f>INT(POWER(((Constants!$G$2+$BB86+$BC86+$BD86+$BF86)*$BE86)*$BH86, 1.05))+$BA86</f>
        <v>12</v>
      </c>
      <c r="BJ86">
        <f>INT(POWER((((Constants!$G$1+$BB86+$BC86+$BD86+$BF86)*($BE86))*$BG86),IF($G86="wagon",1,1.2)))+$AZ86</f>
        <v>32</v>
      </c>
      <c r="BK86" s="14">
        <f t="shared" si="8"/>
        <v>750</v>
      </c>
      <c r="BL86" s="14">
        <f t="shared" si="9"/>
        <v>87.36</v>
      </c>
      <c r="BU86">
        <v>1</v>
      </c>
      <c r="BV86">
        <v>185</v>
      </c>
      <c r="BX86" t="s">
        <v>1035</v>
      </c>
      <c r="BY86" t="s">
        <v>405</v>
      </c>
      <c r="BZ86" t="str">
        <f>VLOOKUP(J86,Eras!$A$2:$C$10, 2, TRUE)</f>
        <v>lbr</v>
      </c>
      <c r="CA86" t="s">
        <v>336</v>
      </c>
      <c r="CB86" t="str">
        <f t="shared" si="10"/>
        <v>lbr_Flat Wagon</v>
      </c>
      <c r="CC86" t="str">
        <f t="shared" si="204"/>
        <v>wagon_RAIL</v>
      </c>
      <c r="CD86" s="17" t="str" cm="1">
        <f t="array" ref="CD86">_xlfn.CONCAT("{BLACK}Length: {GOLD}", TEXT(ROUNDUP(IF(AQ86&lt;&gt;"",SUM(VALUE(_xlfn.TEXTSPLIT(AQ86, ","))), SUM(VALUE(_xlfn.TEXTSPLIT(AN86, ",")))*IF(M86, M86, 1))/16, 1), "#,##0.0"), " tiles{}")</f>
        <v>{BLACK}Length: {GOLD}0.6 tiles{}</v>
      </c>
      <c r="CE86" t="str">
        <f>VLOOKUP($CC86, Constants!$M:$N, 2, FALSE)</f>
        <v/>
      </c>
      <c r="CF86" t="str">
        <f t="shared" si="205"/>
        <v/>
      </c>
      <c r="CG86" t="s">
        <v>765</v>
      </c>
      <c r="CH86" t="str">
        <f t="shared" si="194"/>
        <v/>
      </c>
      <c r="CI86" t="str">
        <f t="shared" si="206"/>
        <v/>
      </c>
      <c r="CJ86" t="str">
        <f t="shared" si="207"/>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87" spans="1:89" x14ac:dyDescent="0.35">
      <c r="A87" t="s">
        <v>769</v>
      </c>
      <c r="B87" t="s">
        <v>770</v>
      </c>
      <c r="C87">
        <v>72</v>
      </c>
      <c r="E87">
        <v>1061</v>
      </c>
      <c r="F87" t="s">
        <v>1498</v>
      </c>
      <c r="G87" t="s">
        <v>276</v>
      </c>
      <c r="H87" t="s">
        <v>276</v>
      </c>
      <c r="I87" t="s">
        <v>270</v>
      </c>
      <c r="J87">
        <v>2009</v>
      </c>
      <c r="W87">
        <v>16</v>
      </c>
      <c r="Y87">
        <v>4</v>
      </c>
      <c r="AA87" s="3" t="str">
        <f t="shared" si="29"/>
        <v/>
      </c>
      <c r="AB87">
        <v>85</v>
      </c>
      <c r="AC87">
        <f t="shared" si="27"/>
        <v>136</v>
      </c>
      <c r="AF87">
        <v>15.8</v>
      </c>
      <c r="AG87">
        <v>19.8</v>
      </c>
      <c r="AJ87" s="10">
        <v>60</v>
      </c>
      <c r="AK87" t="str">
        <f>CONCATENATE(VLOOKUP(AL87, 'Voxel Sizes'!$A$2:$B$18,2,FALSE),"x",INT(AH87*15), "x", INT(AI87*15))</f>
        <v>198x0x0</v>
      </c>
      <c r="AL87">
        <f t="shared" si="1"/>
        <v>12</v>
      </c>
      <c r="AN87" t="str">
        <f>CONCATENATE(VLOOKUP(AL87,Constants!$A$2:$C$16,IF(AM87&lt;&gt;"", 3, 2), FALSE),IF(AM87&lt;&gt;"",CONCATENATE(",",VLOOKUP(AM87,$B:$AN,39,FALSE)),""))</f>
        <v>4,4,4</v>
      </c>
      <c r="AX87">
        <v>30</v>
      </c>
      <c r="AY87" s="15" t="str">
        <f t="shared" si="2"/>
        <v/>
      </c>
      <c r="BB87">
        <f t="shared" si="3"/>
        <v>17</v>
      </c>
      <c r="BC87">
        <f t="shared" si="4"/>
        <v>0</v>
      </c>
      <c r="BD87">
        <f t="shared" si="5"/>
        <v>0</v>
      </c>
      <c r="BE87" s="3">
        <f t="shared" si="6"/>
        <v>0.85466666666666669</v>
      </c>
      <c r="BF87">
        <f t="shared" si="7"/>
        <v>10</v>
      </c>
      <c r="BG87">
        <f>VLOOKUP($H87,Constants!$I:$K, 2, FALSE)</f>
        <v>1</v>
      </c>
      <c r="BH87">
        <f>VLOOKUP($H87,Constants!$I:$K, 3, FALSE)*IF(AND(G87="multiple_unit",AB87&lt;110),0.75,1)</f>
        <v>0.45</v>
      </c>
      <c r="BI87">
        <f>INT(POWER(((Constants!$G$2+$BB87+$BC87+$BD87+$BF87)*$BE87)*$BH87, 1.05))+$BA87</f>
        <v>13</v>
      </c>
      <c r="BJ87">
        <f>INT(POWER((((Constants!$G$1+$BB87+$BC87+$BD87+$BF87)*($BE87))*$BG87),IF($G87="wagon",1,1.2)))+$AZ87</f>
        <v>35</v>
      </c>
      <c r="BK87" s="14">
        <f t="shared" si="8"/>
        <v>812.5</v>
      </c>
      <c r="BL87" s="14">
        <f t="shared" si="9"/>
        <v>95.55</v>
      </c>
      <c r="BU87">
        <v>1</v>
      </c>
      <c r="BV87">
        <v>185</v>
      </c>
      <c r="BX87" t="s">
        <v>1035</v>
      </c>
      <c r="BY87" t="s">
        <v>405</v>
      </c>
      <c r="BZ87" t="str">
        <f>VLOOKUP(J87,Eras!$A$2:$C$10, 2, TRUE)</f>
        <v>mod</v>
      </c>
      <c r="CA87" t="s">
        <v>336</v>
      </c>
      <c r="CB87" t="str">
        <f t="shared" si="10"/>
        <v>mod_Flat Wagon</v>
      </c>
      <c r="CC87" t="str">
        <f t="shared" si="204"/>
        <v>wagon_RAIL</v>
      </c>
      <c r="CD87" s="17" t="str" cm="1">
        <f t="array" ref="CD87">_xlfn.CONCAT("{BLACK}Length: {GOLD}", TEXT(ROUNDUP(IF(AQ87&lt;&gt;"",SUM(VALUE(_xlfn.TEXTSPLIT(AQ87, ","))), SUM(VALUE(_xlfn.TEXTSPLIT(AN87, ",")))*IF(M87, M87, 1))/16, 1), "#,##0.0"), " tiles{}")</f>
        <v>{BLACK}Length: {GOLD}0.8 tiles{}</v>
      </c>
      <c r="CE87" t="str">
        <f>VLOOKUP($CC87, Constants!$M:$N, 2, FALSE)</f>
        <v/>
      </c>
      <c r="CF87" t="str">
        <f t="shared" si="205"/>
        <v/>
      </c>
      <c r="CG87" t="s">
        <v>771</v>
      </c>
      <c r="CH87" t="str">
        <f t="shared" si="194"/>
        <v/>
      </c>
      <c r="CI87" t="str">
        <f t="shared" si="206"/>
        <v/>
      </c>
      <c r="CJ87" t="str">
        <f t="shared" si="207"/>
        <v>{BLACK}Length: {GOLD}0.8 tiles{}{SILVER}Despite the age of the "Salmon" bolster wagons, in 2009 they were refurbished with new end plates to make loading track panels simpler.</v>
      </c>
    </row>
    <row r="88" spans="1:89" x14ac:dyDescent="0.35">
      <c r="A88" t="s">
        <v>1509</v>
      </c>
      <c r="B88" t="s">
        <v>1508</v>
      </c>
      <c r="C88">
        <v>74</v>
      </c>
      <c r="E88">
        <v>1062</v>
      </c>
      <c r="F88" t="s">
        <v>1498</v>
      </c>
      <c r="G88" t="s">
        <v>276</v>
      </c>
      <c r="H88" t="s">
        <v>276</v>
      </c>
      <c r="I88" t="s">
        <v>270</v>
      </c>
      <c r="J88">
        <v>2020</v>
      </c>
      <c r="W88">
        <v>15</v>
      </c>
      <c r="Y88">
        <v>4</v>
      </c>
      <c r="AA88" s="3" t="str">
        <f t="shared" ref="AA88" si="220">IF(AND(W88&gt;0,Z88&gt;0),(Z88/((W88+X88)*10)),"")</f>
        <v/>
      </c>
      <c r="AB88">
        <v>85</v>
      </c>
      <c r="AC88">
        <f t="shared" ref="AC88" si="221">ROUND(AB88*1.6, 0)</f>
        <v>136</v>
      </c>
      <c r="AF88">
        <v>15.8</v>
      </c>
      <c r="AG88">
        <v>19.8</v>
      </c>
      <c r="AJ88" s="10">
        <v>60</v>
      </c>
      <c r="AK88" t="str">
        <f>CONCATENATE(VLOOKUP(AL88, 'Voxel Sizes'!$A$2:$B$18,2,FALSE),"x",INT(AH88*15), "x", INT(AI88*15))</f>
        <v>198x0x0</v>
      </c>
      <c r="AL88">
        <f t="shared" ref="AL88" si="222">ROUND(15*((AG88*10)/256),0)</f>
        <v>12</v>
      </c>
      <c r="AN88" t="str">
        <f>CONCATENATE(VLOOKUP(AL88,Constants!$A$2:$C$16,IF(AM88&lt;&gt;"", 3, 2), FALSE),IF(AM88&lt;&gt;"",CONCATENATE(",",VLOOKUP(AM88,$B:$AN,39,FALSE)),""))</f>
        <v>4,4,4</v>
      </c>
      <c r="AX88">
        <v>30</v>
      </c>
      <c r="AY88" s="15" t="str">
        <f t="shared" ref="AY88" si="223">IF(L88&lt;&gt;"",MAX(16,(L88-J88)+8),"")</f>
        <v/>
      </c>
      <c r="AZ88">
        <v>-2</v>
      </c>
      <c r="BA88">
        <v>2</v>
      </c>
      <c r="BB88">
        <f t="shared" ref="BB88" si="224">MIN(AB88/150, 1)*30</f>
        <v>17</v>
      </c>
      <c r="BC88">
        <f t="shared" ref="BC88" si="225">MIN(N88/4000, 1)*20</f>
        <v>0</v>
      </c>
      <c r="BD88">
        <f t="shared" ref="BD88" si="226">MIN(Z88/400,1)*20</f>
        <v>0</v>
      </c>
      <c r="BE88" s="3">
        <f t="shared" ref="BE88" si="227">1-(MAX(J88-1900, 0)/750)</f>
        <v>0.84</v>
      </c>
      <c r="BF88">
        <f t="shared" ref="BF88" si="228">((MAX($M88,1)*MIN($AJ88/300,1)))*IF(G88="Wagon",50,10)</f>
        <v>10</v>
      </c>
      <c r="BG88">
        <f>VLOOKUP($H88,Constants!$I:$K, 2, FALSE)</f>
        <v>1</v>
      </c>
      <c r="BH88">
        <f>VLOOKUP($H88,Constants!$I:$K, 3, FALSE)*IF(AND(G88="multiple_unit",AB88&lt;110),0.75,1)</f>
        <v>0.45</v>
      </c>
      <c r="BI88">
        <f>INT(POWER(((Constants!$G$2+$BB88+$BC88+$BD88+$BF88)*$BE88)*$BH88, 1.05))+$BA88</f>
        <v>15</v>
      </c>
      <c r="BJ88">
        <f>INT(POWER((((Constants!$G$1+$BB88+$BC88+$BD88+$BF88)*($BE88))*$BG88),IF($G88="wagon",1,1.2)))+$AZ88</f>
        <v>33</v>
      </c>
      <c r="BK88" s="14">
        <f t="shared" ref="BK88" si="229">BI88*IF($G88="wagon",62.5,781.25)</f>
        <v>937.5</v>
      </c>
      <c r="BL88" s="14">
        <f t="shared" ref="BL88" si="230">BJ88*IF($G88="wagon",2.73,81.25)</f>
        <v>90.09</v>
      </c>
      <c r="BU88">
        <v>1</v>
      </c>
      <c r="BV88">
        <v>185</v>
      </c>
      <c r="BX88" t="s">
        <v>1035</v>
      </c>
      <c r="BY88" t="s">
        <v>405</v>
      </c>
      <c r="BZ88" t="str">
        <f>VLOOKUP(J88,Eras!$A$2:$C$10, 2, TRUE)</f>
        <v>mod</v>
      </c>
      <c r="CA88" t="s">
        <v>336</v>
      </c>
      <c r="CB88" t="str">
        <f t="shared" ref="CB88" si="231">CONCATENATE(BZ88,"_",CA88)</f>
        <v>mod_Flat Wagon</v>
      </c>
      <c r="CC88" t="str">
        <f t="shared" si="204"/>
        <v>wagon_RAIL</v>
      </c>
      <c r="CD88" s="17" t="str" cm="1">
        <f t="array" ref="CD88">_xlfn.CONCAT("{BLACK}Length: {GOLD}", TEXT(ROUNDUP(IF(AQ88&lt;&gt;"",SUM(VALUE(_xlfn.TEXTSPLIT(AQ88, ","))), SUM(VALUE(_xlfn.TEXTSPLIT(AN88, ",")))*IF(M88, M88, 1))/16, 1), "#,##0.0"), " tiles{}")</f>
        <v>{BLACK}Length: {GOLD}0.8 tiles{}</v>
      </c>
      <c r="CE88" t="str">
        <f>VLOOKUP($CC88, Constants!$M:$N, 2, FALSE)</f>
        <v/>
      </c>
      <c r="CF88" t="str">
        <f t="shared" si="205"/>
        <v/>
      </c>
      <c r="CG88" t="s">
        <v>1510</v>
      </c>
      <c r="CH88" t="str">
        <f t="shared" si="194"/>
        <v/>
      </c>
      <c r="CI88" t="str">
        <f t="shared" si="206"/>
        <v/>
      </c>
      <c r="CJ88" t="str">
        <f t="shared" si="207"/>
        <v>{BLACK}Length: {GOLD}0.8 tiles{}{SILVER}The FEA-W is a modular wagon built by Wascosa, based on a strong metal spine which can be topped by a variety of modules for different purposes.</v>
      </c>
    </row>
    <row r="89" spans="1:89" x14ac:dyDescent="0.35">
      <c r="A89" t="s">
        <v>775</v>
      </c>
      <c r="B89" t="s">
        <v>776</v>
      </c>
      <c r="C89">
        <v>80</v>
      </c>
      <c r="E89">
        <v>1063</v>
      </c>
      <c r="F89" t="s">
        <v>1498</v>
      </c>
      <c r="G89" t="s">
        <v>276</v>
      </c>
      <c r="H89" t="s">
        <v>276</v>
      </c>
      <c r="I89" t="s">
        <v>270</v>
      </c>
      <c r="J89">
        <v>1972</v>
      </c>
      <c r="W89">
        <v>17</v>
      </c>
      <c r="Y89">
        <v>5</v>
      </c>
      <c r="AA89" s="3" t="str">
        <f t="shared" si="29"/>
        <v/>
      </c>
      <c r="AB89">
        <v>70</v>
      </c>
      <c r="AC89">
        <f t="shared" si="27"/>
        <v>112</v>
      </c>
      <c r="AF89">
        <v>13.3</v>
      </c>
      <c r="AG89">
        <v>13.3</v>
      </c>
      <c r="AJ89" s="10">
        <v>42</v>
      </c>
      <c r="AK89" t="str">
        <f>CONCATENATE(VLOOKUP(AL89, 'Voxel Sizes'!$A$2:$B$18,2,FALSE),"x",INT(AH89*15), "x", INT(AI89*15))</f>
        <v>136x0x0</v>
      </c>
      <c r="AL89">
        <f t="shared" si="1"/>
        <v>8</v>
      </c>
      <c r="AN89" t="str">
        <f>CONCATENATE(VLOOKUP(AL89,Constants!$A$2:$C$16,IF(AM89&lt;&gt;"", 3, 2), FALSE),IF(AM89&lt;&gt;"",CONCATENATE(",",VLOOKUP(AM89,$B:$AN,39,FALSE)),""))</f>
        <v>2,4,2</v>
      </c>
      <c r="AX89">
        <v>30</v>
      </c>
      <c r="AY89" s="15" t="str">
        <f t="shared" si="2"/>
        <v/>
      </c>
      <c r="BB89">
        <f t="shared" si="3"/>
        <v>14</v>
      </c>
      <c r="BC89">
        <f t="shared" si="4"/>
        <v>0</v>
      </c>
      <c r="BD89">
        <f t="shared" si="5"/>
        <v>0</v>
      </c>
      <c r="BE89" s="3">
        <f t="shared" si="6"/>
        <v>0.90400000000000003</v>
      </c>
      <c r="BF89">
        <f t="shared" si="7"/>
        <v>7.0000000000000009</v>
      </c>
      <c r="BG89">
        <f>VLOOKUP($H89,Constants!$I:$K, 2, FALSE)</f>
        <v>1</v>
      </c>
      <c r="BH89">
        <f>VLOOKUP($H89,Constants!$I:$K, 3, FALSE)*IF(AND(G89="multiple_unit",AB89&lt;110),0.75,1)</f>
        <v>0.45</v>
      </c>
      <c r="BI89">
        <f>INT(POWER(((Constants!$G$2+$BB89+$BC89+$BD89+$BF89)*$BE89)*$BH89, 1.05))+$BA89</f>
        <v>11</v>
      </c>
      <c r="BJ89">
        <f>INT(POWER((((Constants!$G$1+$BB89+$BC89+$BD89+$BF89)*($BE89))*$BG89),IF($G89="wagon",1,1.2)))+$AZ89</f>
        <v>32</v>
      </c>
      <c r="BK89" s="14">
        <f t="shared" si="8"/>
        <v>687.5</v>
      </c>
      <c r="BL89" s="14">
        <f t="shared" si="9"/>
        <v>87.36</v>
      </c>
      <c r="BU89">
        <v>1</v>
      </c>
      <c r="BV89">
        <v>185</v>
      </c>
      <c r="BX89" t="s">
        <v>881</v>
      </c>
      <c r="BY89" t="s">
        <v>785</v>
      </c>
      <c r="BZ89" t="str">
        <f>VLOOKUP(J89,Eras!$A$2:$C$10, 2, TRUE)</f>
        <v>lbr</v>
      </c>
      <c r="CA89" t="s">
        <v>336</v>
      </c>
      <c r="CB89" t="str">
        <f t="shared" si="10"/>
        <v>lbr_Flat Wagon</v>
      </c>
      <c r="CC89" t="str">
        <f t="shared" si="204"/>
        <v>wagon_RAIL</v>
      </c>
      <c r="CD89" s="17" t="str" cm="1">
        <f t="array" ref="CD89">_xlfn.CONCAT("{BLACK}Length: {GOLD}", TEXT(ROUNDUP(IF(AQ89&lt;&gt;"",SUM(VALUE(_xlfn.TEXTSPLIT(AQ89, ","))), SUM(VALUE(_xlfn.TEXTSPLIT(AN89, ",")))*IF(M89, M89, 1))/16, 1), "#,##0.0"), " tiles{}")</f>
        <v>{BLACK}Length: {GOLD}0.5 tiles{}</v>
      </c>
      <c r="CE89" t="str">
        <f>VLOOKUP($CC89, Constants!$M:$N, 2, FALSE)</f>
        <v/>
      </c>
      <c r="CF89" t="str">
        <f t="shared" si="205"/>
        <v/>
      </c>
      <c r="CG89" t="s">
        <v>786</v>
      </c>
      <c r="CH89" t="str">
        <f t="shared" si="194"/>
        <v/>
      </c>
      <c r="CI89" t="str">
        <f t="shared" si="206"/>
        <v/>
      </c>
      <c r="CJ89" t="str">
        <f t="shared" si="207"/>
        <v>{BLACK}Length: {GOLD}0.5 tiles{}{SILVER}BAA wagons could initially carry steel in a large variety of forms, although many were later modified to be dedicated coil carriers.</v>
      </c>
    </row>
    <row r="90" spans="1:89" x14ac:dyDescent="0.35">
      <c r="A90" t="s">
        <v>777</v>
      </c>
      <c r="B90" t="s">
        <v>778</v>
      </c>
      <c r="C90">
        <v>82</v>
      </c>
      <c r="E90">
        <v>1064</v>
      </c>
      <c r="F90" t="s">
        <v>1498</v>
      </c>
      <c r="G90" t="s">
        <v>276</v>
      </c>
      <c r="H90" t="s">
        <v>276</v>
      </c>
      <c r="I90" t="s">
        <v>270</v>
      </c>
      <c r="J90">
        <v>1998</v>
      </c>
      <c r="W90">
        <v>24</v>
      </c>
      <c r="Y90">
        <v>8</v>
      </c>
      <c r="AA90" s="3" t="str">
        <f t="shared" si="29"/>
        <v/>
      </c>
      <c r="AB90">
        <v>85</v>
      </c>
      <c r="AC90">
        <f t="shared" si="27"/>
        <v>136</v>
      </c>
      <c r="AF90">
        <v>18.600000000000001</v>
      </c>
      <c r="AG90">
        <v>18.600000000000001</v>
      </c>
      <c r="AJ90" s="10">
        <v>78</v>
      </c>
      <c r="AK90" t="str">
        <f>CONCATENATE(VLOOKUP(AL90, 'Voxel Sizes'!$A$2:$B$18,2,FALSE),"x",INT(AH90*15), "x", INT(AI90*15))</f>
        <v>186x0x0</v>
      </c>
      <c r="AL90">
        <f t="shared" si="1"/>
        <v>11</v>
      </c>
      <c r="AN90" t="str">
        <f>CONCATENATE(VLOOKUP(AL90,Constants!$A$2:$C$16,IF(AM90&lt;&gt;"", 3, 2), FALSE),IF(AM90&lt;&gt;"",CONCATENATE(",",VLOOKUP(AM90,$B:$AN,39,FALSE)),""))</f>
        <v>4,3,4</v>
      </c>
      <c r="AX90">
        <v>30</v>
      </c>
      <c r="AY90" s="15" t="str">
        <f t="shared" si="2"/>
        <v/>
      </c>
      <c r="BB90">
        <f t="shared" si="3"/>
        <v>17</v>
      </c>
      <c r="BC90">
        <f t="shared" si="4"/>
        <v>0</v>
      </c>
      <c r="BD90">
        <f t="shared" si="5"/>
        <v>0</v>
      </c>
      <c r="BE90" s="3">
        <f t="shared" si="6"/>
        <v>0.86933333333333329</v>
      </c>
      <c r="BF90">
        <f t="shared" si="7"/>
        <v>13</v>
      </c>
      <c r="BG90">
        <f>VLOOKUP($H90,Constants!$I:$K, 2, FALSE)</f>
        <v>1</v>
      </c>
      <c r="BH90">
        <f>VLOOKUP($H90,Constants!$I:$K, 3, FALSE)*IF(AND(G90="multiple_unit",AB90&lt;110),0.75,1)</f>
        <v>0.45</v>
      </c>
      <c r="BI90">
        <f>INT(POWER(((Constants!$G$2+$BB90+$BC90+$BD90+$BF90)*$BE90)*$BH90, 1.05))+$BA90</f>
        <v>15</v>
      </c>
      <c r="BJ90">
        <f>INT(POWER((((Constants!$G$1+$BB90+$BC90+$BD90+$BF90)*($BE90))*$BG90),IF($G90="wagon",1,1.2)))+$AZ90</f>
        <v>39</v>
      </c>
      <c r="BK90" s="14">
        <f t="shared" si="8"/>
        <v>937.5</v>
      </c>
      <c r="BL90" s="14">
        <f t="shared" si="9"/>
        <v>106.47</v>
      </c>
      <c r="BU90">
        <v>1</v>
      </c>
      <c r="BV90">
        <v>185</v>
      </c>
      <c r="BX90" t="s">
        <v>881</v>
      </c>
      <c r="BY90" t="s">
        <v>785</v>
      </c>
      <c r="BZ90" t="str">
        <f>VLOOKUP(J90,Eras!$A$2:$C$10, 2, TRUE)</f>
        <v>prv</v>
      </c>
      <c r="CA90" t="s">
        <v>336</v>
      </c>
      <c r="CB90" t="str">
        <f t="shared" si="10"/>
        <v>prv_Flat Wagon</v>
      </c>
      <c r="CC90" t="str">
        <f t="shared" si="204"/>
        <v>wagon_RAIL</v>
      </c>
      <c r="CD90" s="17" t="str" cm="1">
        <f t="array" ref="CD90">_xlfn.CONCAT("{BLACK}Length: {GOLD}", TEXT(ROUNDUP(IF(AQ90&lt;&gt;"",SUM(VALUE(_xlfn.TEXTSPLIT(AQ90, ","))), SUM(VALUE(_xlfn.TEXTSPLIT(AN90, ",")))*IF(M90, M90, 1))/16, 1), "#,##0.0"), " tiles{}")</f>
        <v>{BLACK}Length: {GOLD}0.7 tiles{}</v>
      </c>
      <c r="CE90" t="str">
        <f>VLOOKUP($CC90, Constants!$M:$N, 2, FALSE)</f>
        <v/>
      </c>
      <c r="CF90" t="str">
        <f t="shared" si="205"/>
        <v/>
      </c>
      <c r="CG90" t="s">
        <v>784</v>
      </c>
      <c r="CH90" t="str">
        <f t="shared" si="194"/>
        <v/>
      </c>
      <c r="CI90" t="str">
        <f t="shared" si="206"/>
        <v/>
      </c>
      <c r="CJ90" t="str">
        <f t="shared" si="207"/>
        <v>{BLACK}Length: {GOLD}0.7 tiles{}{SILVER}The BYA/BRA covered steel carriers gained their name from the corrugated sliding cover and its curved cross section.</v>
      </c>
      <c r="CK90">
        <v>1</v>
      </c>
    </row>
    <row r="91" spans="1:89" x14ac:dyDescent="0.35">
      <c r="A91" t="s">
        <v>115</v>
      </c>
      <c r="B91" t="s">
        <v>274</v>
      </c>
      <c r="C91">
        <v>93</v>
      </c>
      <c r="E91">
        <v>1065</v>
      </c>
      <c r="F91" t="s">
        <v>1498</v>
      </c>
      <c r="G91" t="s">
        <v>276</v>
      </c>
      <c r="H91" t="s">
        <v>276</v>
      </c>
      <c r="I91" t="s">
        <v>270</v>
      </c>
      <c r="J91">
        <v>1860</v>
      </c>
      <c r="L91">
        <v>1922</v>
      </c>
      <c r="W91">
        <v>5</v>
      </c>
      <c r="Y91">
        <v>2</v>
      </c>
      <c r="AA91" s="3" t="str">
        <f t="shared" si="29"/>
        <v/>
      </c>
      <c r="AB91">
        <v>35</v>
      </c>
      <c r="AC91">
        <f t="shared" si="27"/>
        <v>56</v>
      </c>
      <c r="AF91">
        <v>4.9000000000000004</v>
      </c>
      <c r="AG91">
        <v>6</v>
      </c>
      <c r="AJ91" s="10">
        <v>15</v>
      </c>
      <c r="AK91" t="str">
        <f>CONCATENATE(VLOOKUP(AL91, 'Voxel Sizes'!$A$2:$B$18,2,FALSE),"x",INT(AH91*15), "x", INT(AI91*15))</f>
        <v>60x0x0</v>
      </c>
      <c r="AL91">
        <f t="shared" si="1"/>
        <v>4</v>
      </c>
      <c r="AN91" t="str">
        <f>CONCATENATE(VLOOKUP(AL91,Constants!$A$2:$C$16,IF(AM91&lt;&gt;"", 3, 2), FALSE),IF(AM91&lt;&gt;"",CONCATENATE(",",VLOOKUP(AM91,$B:$AN,39,FALSE)),""))</f>
        <v>1,2,1</v>
      </c>
      <c r="AX91">
        <v>30</v>
      </c>
      <c r="AY91" s="15">
        <f t="shared" si="2"/>
        <v>70</v>
      </c>
      <c r="BB91">
        <f t="shared" si="3"/>
        <v>7</v>
      </c>
      <c r="BC91">
        <f t="shared" si="4"/>
        <v>0</v>
      </c>
      <c r="BD91">
        <f t="shared" si="5"/>
        <v>0</v>
      </c>
      <c r="BE91" s="3">
        <f t="shared" si="6"/>
        <v>1</v>
      </c>
      <c r="BF91">
        <f t="shared" si="7"/>
        <v>2.5</v>
      </c>
      <c r="BG91">
        <f>VLOOKUP($H91,Constants!$I:$K, 2, FALSE)</f>
        <v>1</v>
      </c>
      <c r="BH91">
        <f>VLOOKUP($H91,Constants!$I:$K, 3, FALSE)*IF(AND(G91="multiple_unit",AB91&lt;110),0.75,1)</f>
        <v>0.45</v>
      </c>
      <c r="BI91">
        <f>INT(POWER(((Constants!$G$2+$BB91+$BC91+$BD91+$BF91)*$BE91)*$BH91, 1.05))+$BA91</f>
        <v>7</v>
      </c>
      <c r="BJ91">
        <f>INT(POWER((((Constants!$G$1+$BB91+$BC91+$BD91+$BF91)*($BE91))*$BG91),IF($G91="wagon",1,1.2)))+$AZ91</f>
        <v>24</v>
      </c>
      <c r="BK91" s="14">
        <f t="shared" si="8"/>
        <v>437.5</v>
      </c>
      <c r="BL91" s="14">
        <f t="shared" si="9"/>
        <v>65.52</v>
      </c>
      <c r="BU91">
        <v>1</v>
      </c>
      <c r="BV91">
        <v>185</v>
      </c>
      <c r="BX91" t="s">
        <v>338</v>
      </c>
      <c r="BY91" t="s">
        <v>279</v>
      </c>
      <c r="BZ91" t="str">
        <f>VLOOKUP(J91,Eras!$A$2:$C$10, 2, TRUE)</f>
        <v>vct</v>
      </c>
      <c r="CA91" t="s">
        <v>338</v>
      </c>
      <c r="CB91" t="str">
        <f t="shared" si="10"/>
        <v>vct_Tanker</v>
      </c>
      <c r="CC91" t="str">
        <f t="shared" si="204"/>
        <v>wagon_RAIL</v>
      </c>
      <c r="CD91" s="17" t="str" cm="1">
        <f t="array" ref="CD91">_xlfn.CONCAT("{BLACK}Length: {GOLD}", TEXT(ROUNDUP(IF(AQ91&lt;&gt;"",SUM(VALUE(_xlfn.TEXTSPLIT(AQ91, ","))), SUM(VALUE(_xlfn.TEXTSPLIT(AN91, ",")))*IF(M91, M91, 1))/16, 1), "#,##0.0"), " tiles{}")</f>
        <v>{BLACK}Length: {GOLD}0.3 tiles{}</v>
      </c>
      <c r="CE91" t="str">
        <f>VLOOKUP($CC91, Constants!$M:$N, 2, FALSE)</f>
        <v/>
      </c>
      <c r="CF91" t="str">
        <f t="shared" si="205"/>
        <v/>
      </c>
      <c r="CG91" t="s">
        <v>357</v>
      </c>
      <c r="CH91" t="str">
        <f t="shared" si="194"/>
        <v/>
      </c>
      <c r="CI91" t="str">
        <f t="shared" si="206"/>
        <v/>
      </c>
      <c r="CJ91" t="str">
        <f t="shared" si="207"/>
        <v>{BLACK}Length: {GOLD}0.3 tiles{}{SILVER}Early four wheel tank wagons are limited to low speeds by their construction and primitive suspension.</v>
      </c>
    </row>
    <row r="92" spans="1:89" x14ac:dyDescent="0.35">
      <c r="A92" t="s">
        <v>400</v>
      </c>
      <c r="B92" t="s">
        <v>401</v>
      </c>
      <c r="C92">
        <v>94</v>
      </c>
      <c r="E92">
        <v>1066</v>
      </c>
      <c r="F92" t="s">
        <v>1498</v>
      </c>
      <c r="G92" t="s">
        <v>276</v>
      </c>
      <c r="H92" t="s">
        <v>276</v>
      </c>
      <c r="I92" t="s">
        <v>270</v>
      </c>
      <c r="J92">
        <v>1901</v>
      </c>
      <c r="L92">
        <v>1939</v>
      </c>
      <c r="W92">
        <v>10</v>
      </c>
      <c r="Y92">
        <v>3</v>
      </c>
      <c r="AA92" s="3" t="str">
        <f t="shared" si="29"/>
        <v/>
      </c>
      <c r="AB92">
        <v>45</v>
      </c>
      <c r="AC92">
        <f t="shared" si="27"/>
        <v>72</v>
      </c>
      <c r="AF92">
        <v>8</v>
      </c>
      <c r="AG92">
        <v>8</v>
      </c>
      <c r="AJ92" s="10">
        <v>21</v>
      </c>
      <c r="AK92" t="str">
        <f>CONCATENATE(VLOOKUP(AL92, 'Voxel Sizes'!$A$2:$B$18,2,FALSE),"x",INT(AH92*15), "x", INT(AI92*15))</f>
        <v>82x0x0</v>
      </c>
      <c r="AL92">
        <f t="shared" si="1"/>
        <v>5</v>
      </c>
      <c r="AN92" t="str">
        <f>CONCATENATE(VLOOKUP(AL92,Constants!$A$2:$C$16,IF(AM92&lt;&gt;"", 3, 2), FALSE),IF(AM92&lt;&gt;"",CONCATENATE(",",VLOOKUP(AM92,$B:$AN,39,FALSE)),""))</f>
        <v>2,1,2</v>
      </c>
      <c r="AX92">
        <v>30</v>
      </c>
      <c r="AY92" s="15">
        <f t="shared" si="2"/>
        <v>46</v>
      </c>
      <c r="BB92">
        <f t="shared" si="3"/>
        <v>9</v>
      </c>
      <c r="BC92">
        <f t="shared" si="4"/>
        <v>0</v>
      </c>
      <c r="BD92">
        <f t="shared" si="5"/>
        <v>0</v>
      </c>
      <c r="BE92" s="3">
        <f t="shared" si="6"/>
        <v>0.9986666666666667</v>
      </c>
      <c r="BF92">
        <f t="shared" si="7"/>
        <v>3.5000000000000004</v>
      </c>
      <c r="BG92">
        <f>VLOOKUP($H92,Constants!$I:$K, 2, FALSE)</f>
        <v>1</v>
      </c>
      <c r="BH92">
        <f>VLOOKUP($H92,Constants!$I:$K, 3, FALSE)*IF(AND(G92="multiple_unit",AB92&lt;110),0.75,1)</f>
        <v>0.45</v>
      </c>
      <c r="BI92">
        <f>INT(POWER(((Constants!$G$2+$BB92+$BC92+$BD92+$BF92)*$BE92)*$BH92, 1.05))+$BA92</f>
        <v>8</v>
      </c>
      <c r="BJ92">
        <f>INT(POWER((((Constants!$G$1+$BB92+$BC92+$BD92+$BF92)*($BE92))*$BG92),IF($G92="wagon",1,1.2)))+$AZ92</f>
        <v>27</v>
      </c>
      <c r="BK92" s="14">
        <f t="shared" si="8"/>
        <v>500</v>
      </c>
      <c r="BL92" s="14">
        <f t="shared" si="9"/>
        <v>73.709999999999994</v>
      </c>
      <c r="BU92">
        <v>1</v>
      </c>
      <c r="BV92">
        <v>185</v>
      </c>
      <c r="BX92" t="s">
        <v>338</v>
      </c>
      <c r="BY92" t="s">
        <v>279</v>
      </c>
      <c r="BZ92" t="str">
        <f>VLOOKUP(J92,Eras!$A$2:$C$10, 2, TRUE)</f>
        <v>edw</v>
      </c>
      <c r="CA92" t="s">
        <v>338</v>
      </c>
      <c r="CB92" t="str">
        <f t="shared" si="10"/>
        <v>edw_Tanker</v>
      </c>
      <c r="CC92" t="str">
        <f t="shared" si="204"/>
        <v>wagon_RAIL</v>
      </c>
      <c r="CD92" s="17" t="str" cm="1">
        <f t="array" ref="CD92">_xlfn.CONCAT("{BLACK}Length: {GOLD}", TEXT(ROUNDUP(IF(AQ92&lt;&gt;"",SUM(VALUE(_xlfn.TEXTSPLIT(AQ92, ","))), SUM(VALUE(_xlfn.TEXTSPLIT(AN92, ",")))*IF(M92, M92, 1))/16, 1), "#,##0.0"), " tiles{}")</f>
        <v>{BLACK}Length: {GOLD}0.4 tiles{}</v>
      </c>
      <c r="CE92" t="str">
        <f>VLOOKUP($CC92, Constants!$M:$N, 2, FALSE)</f>
        <v/>
      </c>
      <c r="CF92" t="str">
        <f t="shared" si="205"/>
        <v/>
      </c>
      <c r="CG92" t="s">
        <v>402</v>
      </c>
      <c r="CH92" t="str">
        <f t="shared" si="194"/>
        <v/>
      </c>
      <c r="CI92" t="str">
        <f t="shared" si="206"/>
        <v/>
      </c>
      <c r="CJ92" t="str">
        <f t="shared" si="207"/>
        <v>{BLACK}Length: {GOLD}0.4 tiles{}{SILVER}The GWR's cylindrical tank wagons were built by the Locomotive department, as the iron cylinders used similar techniques to steam engines.</v>
      </c>
    </row>
    <row r="93" spans="1:89" x14ac:dyDescent="0.35">
      <c r="A93" t="s">
        <v>727</v>
      </c>
      <c r="B93" t="s">
        <v>275</v>
      </c>
      <c r="C93">
        <v>96</v>
      </c>
      <c r="E93">
        <v>1067</v>
      </c>
      <c r="F93" t="s">
        <v>1498</v>
      </c>
      <c r="G93" t="s">
        <v>276</v>
      </c>
      <c r="H93" t="s">
        <v>276</v>
      </c>
      <c r="I93" t="s">
        <v>270</v>
      </c>
      <c r="J93">
        <v>1928</v>
      </c>
      <c r="L93">
        <v>1975</v>
      </c>
      <c r="W93">
        <v>11</v>
      </c>
      <c r="Y93">
        <v>3</v>
      </c>
      <c r="AB93">
        <v>50</v>
      </c>
      <c r="AC93">
        <f t="shared" si="27"/>
        <v>80</v>
      </c>
      <c r="AF93">
        <v>8</v>
      </c>
      <c r="AG93">
        <v>8</v>
      </c>
      <c r="AJ93" s="10">
        <v>27</v>
      </c>
      <c r="AK93" t="str">
        <f>CONCATENATE(VLOOKUP(AL93, 'Voxel Sizes'!$A$2:$B$18,2,FALSE),"x",INT(AH93*15), "x", INT(AI93*15))</f>
        <v>82x0x0</v>
      </c>
      <c r="AL93">
        <f t="shared" si="1"/>
        <v>5</v>
      </c>
      <c r="AN93" t="str">
        <f>CONCATENATE(VLOOKUP(AL93,Constants!$A$2:$C$16,IF(AM93&lt;&gt;"", 3, 2), FALSE),IF(AM93&lt;&gt;"",CONCATENATE(",",VLOOKUP(AM93,$B:$AN,39,FALSE)),""))</f>
        <v>2,1,2</v>
      </c>
      <c r="AX93">
        <v>30</v>
      </c>
      <c r="AY93" s="15">
        <f t="shared" si="2"/>
        <v>55</v>
      </c>
      <c r="BB93">
        <f t="shared" si="3"/>
        <v>10</v>
      </c>
      <c r="BC93">
        <f t="shared" si="4"/>
        <v>0</v>
      </c>
      <c r="BD93">
        <f t="shared" si="5"/>
        <v>0</v>
      </c>
      <c r="BE93" s="3">
        <f t="shared" si="6"/>
        <v>0.96266666666666667</v>
      </c>
      <c r="BF93">
        <f t="shared" si="7"/>
        <v>4.5</v>
      </c>
      <c r="BG93">
        <f>VLOOKUP($H93,Constants!$I:$K, 2, FALSE)</f>
        <v>1</v>
      </c>
      <c r="BH93">
        <f>VLOOKUP($H93,Constants!$I:$K, 3, FALSE)*IF(AND(G93="multiple_unit",AB93&lt;110),0.75,1)</f>
        <v>0.45</v>
      </c>
      <c r="BI93">
        <f>INT(POWER(((Constants!$G$2+$BB93+$BC93+$BD93+$BF93)*$BE93)*$BH93, 1.05))+$BA93</f>
        <v>9</v>
      </c>
      <c r="BJ93">
        <f>INT(POWER((((Constants!$G$1+$BB93+$BC93+$BD93+$BF93)*($BE93))*$BG93),IF($G93="wagon",1,1.2)))+$AZ93</f>
        <v>28</v>
      </c>
      <c r="BK93" s="14">
        <f t="shared" si="8"/>
        <v>562.5</v>
      </c>
      <c r="BL93" s="14">
        <f t="shared" si="9"/>
        <v>76.44</v>
      </c>
      <c r="BU93">
        <v>1</v>
      </c>
      <c r="BV93">
        <v>185</v>
      </c>
      <c r="BX93" t="s">
        <v>338</v>
      </c>
      <c r="BY93" t="s">
        <v>279</v>
      </c>
      <c r="BZ93" t="str">
        <f>VLOOKUP(J93,Eras!$A$2:$C$10, 2, TRUE)</f>
        <v>big4</v>
      </c>
      <c r="CA93" t="s">
        <v>338</v>
      </c>
      <c r="CB93" t="str">
        <f t="shared" si="10"/>
        <v>big4_Tanker</v>
      </c>
      <c r="CC93" t="str">
        <f t="shared" si="204"/>
        <v>wagon_RAIL</v>
      </c>
      <c r="CD93" s="17" t="str" cm="1">
        <f t="array" ref="CD93">_xlfn.CONCAT("{BLACK}Length: {GOLD}", TEXT(ROUNDUP(IF(AQ93&lt;&gt;"",SUM(VALUE(_xlfn.TEXTSPLIT(AQ93, ","))), SUM(VALUE(_xlfn.TEXTSPLIT(AN93, ",")))*IF(M93, M93, 1))/16, 1), "#,##0.0"), " tiles{}")</f>
        <v>{BLACK}Length: {GOLD}0.4 tiles{}</v>
      </c>
      <c r="CE93" t="str">
        <f>VLOOKUP($CC93, Constants!$M:$N, 2, FALSE)</f>
        <v/>
      </c>
      <c r="CF93" t="str">
        <f t="shared" si="205"/>
        <v/>
      </c>
      <c r="CG93" t="s">
        <v>728</v>
      </c>
      <c r="CH93" t="str">
        <f t="shared" si="194"/>
        <v/>
      </c>
      <c r="CI93" t="str">
        <f t="shared" si="206"/>
        <v/>
      </c>
      <c r="CJ93" t="str">
        <f t="shared" si="207"/>
        <v>{BLACK}Length: {GOLD}0.4 tiles{}{SILVER}Six wheeled tank wagons formed the core of the GWR (and later BR) "milk trains", long freight consists transporting milk from farms to cities.</v>
      </c>
      <c r="CK93">
        <v>1</v>
      </c>
    </row>
    <row r="94" spans="1:89" x14ac:dyDescent="0.35">
      <c r="A94" t="s">
        <v>725</v>
      </c>
      <c r="B94" t="s">
        <v>704</v>
      </c>
      <c r="C94">
        <v>97</v>
      </c>
      <c r="E94">
        <v>1068</v>
      </c>
      <c r="F94" t="s">
        <v>1498</v>
      </c>
      <c r="G94" t="s">
        <v>276</v>
      </c>
      <c r="H94" t="s">
        <v>276</v>
      </c>
      <c r="I94" t="s">
        <v>270</v>
      </c>
      <c r="J94">
        <v>1966</v>
      </c>
      <c r="W94">
        <v>12</v>
      </c>
      <c r="Y94">
        <v>4</v>
      </c>
      <c r="AA94" s="3" t="str">
        <f t="shared" ref="AA94:AA155" si="232">IF(AND(W94&gt;0,Z94&gt;0),(Z94/((W94+X94)*10)),"")</f>
        <v/>
      </c>
      <c r="AB94">
        <v>65</v>
      </c>
      <c r="AC94">
        <f t="shared" si="27"/>
        <v>104</v>
      </c>
      <c r="AF94">
        <v>9.8000000000000007</v>
      </c>
      <c r="AG94">
        <v>9.8000000000000007</v>
      </c>
      <c r="AJ94" s="10">
        <v>33</v>
      </c>
      <c r="AK94" t="str">
        <f>CONCATENATE(VLOOKUP(AL94, 'Voxel Sizes'!$A$2:$B$18,2,FALSE),"x",INT(AH94*15), "x", INT(AI94*15))</f>
        <v>102x0x0</v>
      </c>
      <c r="AL94">
        <f t="shared" si="1"/>
        <v>6</v>
      </c>
      <c r="AN94" t="str">
        <f>CONCATENATE(VLOOKUP(AL94,Constants!$A$2:$C$16,IF(AM94&lt;&gt;"", 3, 2), FALSE),IF(AM94&lt;&gt;"",CONCATENATE(",",VLOOKUP(AM94,$B:$AN,39,FALSE)),""))</f>
        <v>2,2,2</v>
      </c>
      <c r="AX94">
        <v>30</v>
      </c>
      <c r="AY94" s="15" t="str">
        <f t="shared" si="2"/>
        <v/>
      </c>
      <c r="BB94">
        <f t="shared" si="3"/>
        <v>13</v>
      </c>
      <c r="BC94">
        <f t="shared" si="4"/>
        <v>0</v>
      </c>
      <c r="BD94">
        <f t="shared" si="5"/>
        <v>0</v>
      </c>
      <c r="BE94" s="3">
        <f t="shared" si="6"/>
        <v>0.91200000000000003</v>
      </c>
      <c r="BF94">
        <f t="shared" si="7"/>
        <v>5.5</v>
      </c>
      <c r="BG94">
        <f>VLOOKUP($H94,Constants!$I:$K, 2, FALSE)</f>
        <v>1</v>
      </c>
      <c r="BH94">
        <f>VLOOKUP($H94,Constants!$I:$K, 3, FALSE)*IF(AND(G94="multiple_unit",AB94&lt;110),0.75,1)</f>
        <v>0.45</v>
      </c>
      <c r="BI94">
        <f>INT(POWER(((Constants!$G$2+$BB94+$BC94+$BD94+$BF94)*$BE94)*$BH94, 1.05))+$BA94</f>
        <v>10</v>
      </c>
      <c r="BJ94">
        <f>INT(POWER((((Constants!$G$1+$BB94+$BC94+$BD94+$BF94)*($BE94))*$BG94),IF($G94="wagon",1,1.2)))+$AZ94</f>
        <v>30</v>
      </c>
      <c r="BK94" s="14">
        <f t="shared" si="8"/>
        <v>625</v>
      </c>
      <c r="BL94" s="14">
        <f t="shared" si="9"/>
        <v>81.900000000000006</v>
      </c>
      <c r="BU94">
        <v>1</v>
      </c>
      <c r="BV94">
        <v>185</v>
      </c>
      <c r="BX94" t="s">
        <v>338</v>
      </c>
      <c r="BY94" t="s">
        <v>279</v>
      </c>
      <c r="BZ94" t="str">
        <f>VLOOKUP(J94,Eras!$A$2:$C$10, 2, TRUE)</f>
        <v>dsl</v>
      </c>
      <c r="CA94" t="s">
        <v>338</v>
      </c>
      <c r="CB94" t="str">
        <f t="shared" si="10"/>
        <v>dsl_Tanker</v>
      </c>
      <c r="CC94" t="str">
        <f t="shared" si="204"/>
        <v>wagon_RAIL</v>
      </c>
      <c r="CD94" s="17" t="str" cm="1">
        <f t="array" ref="CD94">_xlfn.CONCAT("{BLACK}Length: {GOLD}", TEXT(ROUNDUP(IF(AQ94&lt;&gt;"",SUM(VALUE(_xlfn.TEXTSPLIT(AQ94, ","))), SUM(VALUE(_xlfn.TEXTSPLIT(AN94, ",")))*IF(M94, M94, 1))/16, 1), "#,##0.0"), " tiles{}")</f>
        <v>{BLACK}Length: {GOLD}0.4 tiles{}</v>
      </c>
      <c r="CE94" t="str">
        <f>VLOOKUP($CC94, Constants!$M:$N, 2, FALSE)</f>
        <v/>
      </c>
      <c r="CF94" t="str">
        <f t="shared" si="205"/>
        <v/>
      </c>
      <c r="CG94" t="s">
        <v>702</v>
      </c>
      <c r="CH94" t="str">
        <f t="shared" si="194"/>
        <v/>
      </c>
      <c r="CI94" t="str">
        <f t="shared" si="206"/>
        <v/>
      </c>
      <c r="CJ94" t="str">
        <f t="shared" si="207"/>
        <v>{BLACK}Length: {GOLD}0.4 tiles{}{SILVER}TTA tankers were constructed on "monobloc" principles and featured automatic braking.</v>
      </c>
      <c r="CK94">
        <v>1</v>
      </c>
    </row>
    <row r="95" spans="1:89" x14ac:dyDescent="0.35">
      <c r="A95" t="s">
        <v>726</v>
      </c>
      <c r="B95" t="s">
        <v>705</v>
      </c>
      <c r="C95">
        <v>99</v>
      </c>
      <c r="E95">
        <v>1069</v>
      </c>
      <c r="F95" t="s">
        <v>1498</v>
      </c>
      <c r="G95" t="s">
        <v>276</v>
      </c>
      <c r="H95" t="s">
        <v>276</v>
      </c>
      <c r="I95" t="s">
        <v>270</v>
      </c>
      <c r="J95">
        <v>1970</v>
      </c>
      <c r="W95">
        <v>24</v>
      </c>
      <c r="Y95">
        <v>5</v>
      </c>
      <c r="AA95" s="3" t="str">
        <f t="shared" si="232"/>
        <v/>
      </c>
      <c r="AB95">
        <v>70</v>
      </c>
      <c r="AC95">
        <f t="shared" si="27"/>
        <v>112</v>
      </c>
      <c r="AF95">
        <v>17.7</v>
      </c>
      <c r="AG95">
        <v>17.7</v>
      </c>
      <c r="AJ95" s="10">
        <v>78</v>
      </c>
      <c r="AK95" t="str">
        <f>CONCATENATE(VLOOKUP(AL95, 'Voxel Sizes'!$A$2:$B$18,2,FALSE),"x",INT(AH95*15), "x", INT(AI95*15))</f>
        <v>164x0x0</v>
      </c>
      <c r="AL95">
        <f t="shared" ref="AL95:AL156" si="233">ROUND(15*((AG95*10)/256),0)</f>
        <v>10</v>
      </c>
      <c r="AN95" t="str">
        <f>CONCATENATE(VLOOKUP(AL95,Constants!$A$2:$C$16,IF(AM95&lt;&gt;"", 3, 2), FALSE),IF(AM95&lt;&gt;"",CONCATENATE(",",VLOOKUP(AM95,$B:$AN,39,FALSE)),""))</f>
        <v>4,2,4</v>
      </c>
      <c r="AX95">
        <v>30</v>
      </c>
      <c r="AY95" s="15" t="str">
        <f t="shared" ref="AY95:AY156" si="234">IF(L95&lt;&gt;"",MAX(16,(L95-J95)+8),"")</f>
        <v/>
      </c>
      <c r="BB95">
        <f t="shared" ref="BB95:BB156" si="235">MIN(AB95/150, 1)*30</f>
        <v>14</v>
      </c>
      <c r="BC95">
        <f t="shared" ref="BC95:BC156" si="236">MIN(N95/4000, 1)*20</f>
        <v>0</v>
      </c>
      <c r="BD95">
        <f t="shared" ref="BD95:BD156" si="237">MIN(Z95/400,1)*20</f>
        <v>0</v>
      </c>
      <c r="BE95" s="3">
        <f t="shared" ref="BE95:BE156" si="238">1-(MAX(J95-1900, 0)/750)</f>
        <v>0.90666666666666662</v>
      </c>
      <c r="BF95">
        <f t="shared" ref="BF95:BF156" si="239">((MAX($M95,1)*MIN($AJ95/300,1)))*IF(G95="Wagon",50,10)</f>
        <v>13</v>
      </c>
      <c r="BG95">
        <f>VLOOKUP($H95,Constants!$I:$K, 2, FALSE)</f>
        <v>1</v>
      </c>
      <c r="BH95">
        <f>VLOOKUP($H95,Constants!$I:$K, 3, FALSE)*IF(AND(G95="multiple_unit",AB95&lt;110),0.75,1)</f>
        <v>0.45</v>
      </c>
      <c r="BI95">
        <f>INT(POWER(((Constants!$G$2+$BB95+$BC95+$BD95+$BF95)*$BE95)*$BH95, 1.05))+$BA95</f>
        <v>14</v>
      </c>
      <c r="BJ95">
        <f>INT(POWER((((Constants!$G$1+$BB95+$BC95+$BD95+$BF95)*($BE95))*$BG95),IF($G95="wagon",1,1.2)))+$AZ95</f>
        <v>38</v>
      </c>
      <c r="BK95" s="14">
        <f t="shared" ref="BK95:BK156" si="240">BI95*IF($G95="wagon",62.5,781.25)</f>
        <v>875</v>
      </c>
      <c r="BL95" s="14">
        <f t="shared" ref="BL95:BL156" si="241">BJ95*IF($G95="wagon",2.73,81.25)</f>
        <v>103.74</v>
      </c>
      <c r="BU95">
        <v>1</v>
      </c>
      <c r="BV95">
        <v>185</v>
      </c>
      <c r="BX95" t="s">
        <v>338</v>
      </c>
      <c r="BY95" t="s">
        <v>279</v>
      </c>
      <c r="BZ95" t="str">
        <f>VLOOKUP(J95,Eras!$A$2:$C$10, 2, TRUE)</f>
        <v>lbr</v>
      </c>
      <c r="CA95" t="s">
        <v>338</v>
      </c>
      <c r="CB95" t="str">
        <f t="shared" ref="CB95:CB156" si="242">CONCATENATE(BZ95,"_",CA95)</f>
        <v>lbr_Tanker</v>
      </c>
      <c r="CC95" t="str">
        <f t="shared" si="204"/>
        <v>wagon_RAIL</v>
      </c>
      <c r="CD95" s="17" t="str" cm="1">
        <f t="array" ref="CD95">_xlfn.CONCAT("{BLACK}Length: {GOLD}", TEXT(ROUNDUP(IF(AQ95&lt;&gt;"",SUM(VALUE(_xlfn.TEXTSPLIT(AQ95, ","))), SUM(VALUE(_xlfn.TEXTSPLIT(AN95, ",")))*IF(M95, M95, 1))/16, 1), "#,##0.0"), " tiles{}")</f>
        <v>{BLACK}Length: {GOLD}0.7 tiles{}</v>
      </c>
      <c r="CE95" t="str">
        <f>VLOOKUP($CC95, Constants!$M:$N, 2, FALSE)</f>
        <v/>
      </c>
      <c r="CF95" t="str">
        <f t="shared" si="205"/>
        <v/>
      </c>
      <c r="CG95" t="s">
        <v>703</v>
      </c>
      <c r="CH95" t="str">
        <f t="shared" si="194"/>
        <v/>
      </c>
      <c r="CI95" t="str">
        <f t="shared" si="206"/>
        <v/>
      </c>
      <c r="CJ95" t="str">
        <f t="shared" si="207"/>
        <v>{BLACK}Length: {GOLD}0.7 tiles{}{SILVER}Large bogie tankers allowed for carrying heavy loads of liquids at high speeds. The long frames allow tanks to take up more space without fouling axles.</v>
      </c>
      <c r="CK95">
        <v>1</v>
      </c>
    </row>
    <row r="96" spans="1:89" x14ac:dyDescent="0.35">
      <c r="A96" t="s">
        <v>795</v>
      </c>
      <c r="B96" t="s">
        <v>205</v>
      </c>
      <c r="C96">
        <v>100</v>
      </c>
      <c r="E96">
        <v>1070</v>
      </c>
      <c r="F96" t="s">
        <v>1498</v>
      </c>
      <c r="G96" t="s">
        <v>276</v>
      </c>
      <c r="H96" t="s">
        <v>276</v>
      </c>
      <c r="I96" t="s">
        <v>270</v>
      </c>
      <c r="J96">
        <v>1850</v>
      </c>
      <c r="L96">
        <v>1925</v>
      </c>
      <c r="W96">
        <v>8</v>
      </c>
      <c r="Y96">
        <v>3</v>
      </c>
      <c r="AA96" s="3" t="str">
        <f t="shared" si="232"/>
        <v/>
      </c>
      <c r="AB96">
        <v>40</v>
      </c>
      <c r="AC96">
        <f t="shared" si="27"/>
        <v>64</v>
      </c>
      <c r="AF96">
        <v>6</v>
      </c>
      <c r="AG96">
        <v>6</v>
      </c>
      <c r="AJ96" s="10">
        <v>18</v>
      </c>
      <c r="AK96" t="str">
        <f>CONCATENATE(VLOOKUP(AL96, 'Voxel Sizes'!$A$2:$B$18,2,FALSE),"x",INT(AH96*15), "x", INT(AI96*15))</f>
        <v>60x0x0</v>
      </c>
      <c r="AL96">
        <f t="shared" si="233"/>
        <v>4</v>
      </c>
      <c r="AN96" t="str">
        <f>CONCATENATE(VLOOKUP(AL96,Constants!$A$2:$C$16,IF(AM96&lt;&gt;"", 3, 2), FALSE),IF(AM96&lt;&gt;"",CONCATENATE(",",VLOOKUP(AM96,$B:$AN,39,FALSE)),""))</f>
        <v>1,2,1</v>
      </c>
      <c r="AX96">
        <v>30</v>
      </c>
      <c r="AY96" s="15">
        <f t="shared" si="234"/>
        <v>83</v>
      </c>
      <c r="BB96">
        <f t="shared" si="235"/>
        <v>8</v>
      </c>
      <c r="BC96">
        <f t="shared" si="236"/>
        <v>0</v>
      </c>
      <c r="BD96">
        <f t="shared" si="237"/>
        <v>0</v>
      </c>
      <c r="BE96" s="3">
        <f t="shared" si="238"/>
        <v>1</v>
      </c>
      <c r="BF96">
        <f t="shared" si="239"/>
        <v>3</v>
      </c>
      <c r="BG96">
        <f>VLOOKUP($H96,Constants!$I:$K, 2, FALSE)</f>
        <v>1</v>
      </c>
      <c r="BH96">
        <f>VLOOKUP($H96,Constants!$I:$K, 3, FALSE)*IF(AND(G96="multiple_unit",AB96&lt;110),0.75,1)</f>
        <v>0.45</v>
      </c>
      <c r="BI96">
        <f>INT(POWER(((Constants!$G$2+$BB96+$BC96+$BD96+$BF96)*$BE96)*$BH96, 1.05))+$BA96</f>
        <v>7</v>
      </c>
      <c r="BJ96">
        <f>INT(POWER((((Constants!$G$1+$BB96+$BC96+$BD96+$BF96)*($BE96))*$BG96),IF($G96="wagon",1,1.2)))+$AZ96</f>
        <v>26</v>
      </c>
      <c r="BK96" s="14">
        <f t="shared" si="240"/>
        <v>437.5</v>
      </c>
      <c r="BL96" s="14">
        <f t="shared" si="241"/>
        <v>70.98</v>
      </c>
      <c r="BU96">
        <v>1</v>
      </c>
      <c r="BV96">
        <v>185</v>
      </c>
      <c r="BX96" t="s">
        <v>897</v>
      </c>
      <c r="BY96" t="s">
        <v>745</v>
      </c>
      <c r="BZ96" t="str">
        <f>VLOOKUP(J96,Eras!$A$2:$C$10, 2, TRUE)</f>
        <v>vct</v>
      </c>
      <c r="CA96" t="s">
        <v>337</v>
      </c>
      <c r="CB96" t="str">
        <f t="shared" si="242"/>
        <v>vct_Van</v>
      </c>
      <c r="CC96" t="str">
        <f t="shared" si="204"/>
        <v>wagon_RAIL</v>
      </c>
      <c r="CD96" s="17" t="str" cm="1">
        <f t="array" ref="CD96">_xlfn.CONCAT("{BLACK}Length: {GOLD}", TEXT(ROUNDUP(IF(AQ96&lt;&gt;"",SUM(VALUE(_xlfn.TEXTSPLIT(AQ96, ","))), SUM(VALUE(_xlfn.TEXTSPLIT(AN96, ",")))*IF(M96, M96, 1))/16, 1), "#,##0.0"), " tiles{}")</f>
        <v>{BLACK}Length: {GOLD}0.3 tiles{}</v>
      </c>
      <c r="CE96" t="str">
        <f>VLOOKUP($CC96, Constants!$M:$N, 2, FALSE)</f>
        <v/>
      </c>
      <c r="CF96" t="str">
        <f t="shared" si="205"/>
        <v/>
      </c>
      <c r="CG96" t="s">
        <v>744</v>
      </c>
      <c r="CH96" t="str">
        <f t="shared" si="194"/>
        <v/>
      </c>
      <c r="CI96" t="str">
        <f t="shared" si="206"/>
        <v/>
      </c>
      <c r="CJ96" t="str">
        <f t="shared" si="207"/>
        <v>{BLACK}Length: {GOLD}0.3 tiles{}{SILVER}Livestock traffic was common early on in railway history, with specialised cattle wagons and stations equipped to handle loading and unloading.</v>
      </c>
    </row>
    <row r="97" spans="1:89" x14ac:dyDescent="0.35">
      <c r="A97" t="s">
        <v>796</v>
      </c>
      <c r="B97" t="s">
        <v>746</v>
      </c>
      <c r="C97">
        <v>101</v>
      </c>
      <c r="E97">
        <v>1071</v>
      </c>
      <c r="F97" t="s">
        <v>1498</v>
      </c>
      <c r="G97" t="s">
        <v>276</v>
      </c>
      <c r="H97" t="s">
        <v>276</v>
      </c>
      <c r="I97" t="s">
        <v>270</v>
      </c>
      <c r="J97">
        <v>1905</v>
      </c>
      <c r="L97">
        <v>1955</v>
      </c>
      <c r="W97">
        <v>10</v>
      </c>
      <c r="Y97">
        <v>3</v>
      </c>
      <c r="AA97" s="3" t="str">
        <f t="shared" si="232"/>
        <v/>
      </c>
      <c r="AB97">
        <v>45</v>
      </c>
      <c r="AC97">
        <f t="shared" si="27"/>
        <v>72</v>
      </c>
      <c r="AF97">
        <v>8.9</v>
      </c>
      <c r="AG97">
        <v>8.9</v>
      </c>
      <c r="AJ97" s="10">
        <v>24</v>
      </c>
      <c r="AK97" t="str">
        <f>CONCATENATE(VLOOKUP(AL97, 'Voxel Sizes'!$A$2:$B$18,2,FALSE),"x",INT(AH97*15), "x", INT(AI97*15))</f>
        <v>82x0x0</v>
      </c>
      <c r="AL97">
        <f t="shared" si="233"/>
        <v>5</v>
      </c>
      <c r="AN97" t="str">
        <f>CONCATENATE(VLOOKUP(AL97,Constants!$A$2:$C$16,IF(AM97&lt;&gt;"", 3, 2), FALSE),IF(AM97&lt;&gt;"",CONCATENATE(",",VLOOKUP(AM97,$B:$AN,39,FALSE)),""))</f>
        <v>2,1,2</v>
      </c>
      <c r="AX97">
        <v>30</v>
      </c>
      <c r="AY97" s="15">
        <f t="shared" si="234"/>
        <v>58</v>
      </c>
      <c r="BB97">
        <f t="shared" si="235"/>
        <v>9</v>
      </c>
      <c r="BC97">
        <f t="shared" si="236"/>
        <v>0</v>
      </c>
      <c r="BD97">
        <f t="shared" si="237"/>
        <v>0</v>
      </c>
      <c r="BE97" s="3">
        <f t="shared" si="238"/>
        <v>0.99333333333333329</v>
      </c>
      <c r="BF97">
        <f t="shared" si="239"/>
        <v>4</v>
      </c>
      <c r="BG97">
        <f>VLOOKUP($H97,Constants!$I:$K, 2, FALSE)</f>
        <v>1</v>
      </c>
      <c r="BH97">
        <f>VLOOKUP($H97,Constants!$I:$K, 3, FALSE)*IF(AND(G97="multiple_unit",AB97&lt;110),0.75,1)</f>
        <v>0.45</v>
      </c>
      <c r="BI97">
        <f>INT(POWER(((Constants!$G$2+$BB97+$BC97+$BD97+$BF97)*$BE97)*$BH97, 1.05))+$BA97</f>
        <v>8</v>
      </c>
      <c r="BJ97">
        <f>INT(POWER((((Constants!$G$1+$BB97+$BC97+$BD97+$BF97)*($BE97))*$BG97),IF($G97="wagon",1,1.2)))+$AZ97</f>
        <v>27</v>
      </c>
      <c r="BK97" s="14">
        <f t="shared" si="240"/>
        <v>500</v>
      </c>
      <c r="BL97" s="14">
        <f t="shared" si="241"/>
        <v>73.709999999999994</v>
      </c>
      <c r="BU97">
        <v>1</v>
      </c>
      <c r="BV97">
        <v>185</v>
      </c>
      <c r="BX97" t="s">
        <v>897</v>
      </c>
      <c r="BY97" t="s">
        <v>745</v>
      </c>
      <c r="BZ97" t="str">
        <f>VLOOKUP(J97,Eras!$A$2:$C$10, 2, TRUE)</f>
        <v>edw</v>
      </c>
      <c r="CA97" t="s">
        <v>337</v>
      </c>
      <c r="CB97" t="str">
        <f t="shared" si="242"/>
        <v>edw_Van</v>
      </c>
      <c r="CC97" t="str">
        <f t="shared" si="204"/>
        <v>wagon_RAIL</v>
      </c>
      <c r="CD97" s="17" t="str" cm="1">
        <f t="array" ref="CD97">_xlfn.CONCAT("{BLACK}Length: {GOLD}", TEXT(ROUNDUP(IF(AQ97&lt;&gt;"",SUM(VALUE(_xlfn.TEXTSPLIT(AQ97, ","))), SUM(VALUE(_xlfn.TEXTSPLIT(AN97, ",")))*IF(M97, M97, 1))/16, 1), "#,##0.0"), " tiles{}")</f>
        <v>{BLACK}Length: {GOLD}0.4 tiles{}</v>
      </c>
      <c r="CE97" t="str">
        <f>VLOOKUP($CC97, Constants!$M:$N, 2, FALSE)</f>
        <v/>
      </c>
      <c r="CF97" t="str">
        <f t="shared" si="205"/>
        <v/>
      </c>
      <c r="CG97" t="s">
        <v>748</v>
      </c>
      <c r="CH97" t="str">
        <f t="shared" si="194"/>
        <v/>
      </c>
      <c r="CI97" t="str">
        <f t="shared" si="206"/>
        <v/>
      </c>
      <c r="CJ97" t="str">
        <f t="shared" si="207"/>
        <v>{BLACK}Length: {GOLD}0.4 tiles{}{SILVER}Livestock vans evolved along with improvements in covered van design.</v>
      </c>
    </row>
    <row r="98" spans="1:89" x14ac:dyDescent="0.35">
      <c r="A98" t="s">
        <v>797</v>
      </c>
      <c r="B98" t="s">
        <v>747</v>
      </c>
      <c r="C98">
        <v>102</v>
      </c>
      <c r="E98">
        <v>1072</v>
      </c>
      <c r="F98" t="s">
        <v>1498</v>
      </c>
      <c r="G98" t="s">
        <v>276</v>
      </c>
      <c r="H98" t="s">
        <v>276</v>
      </c>
      <c r="I98" t="s">
        <v>270</v>
      </c>
      <c r="J98">
        <v>1930</v>
      </c>
      <c r="L98">
        <v>1975</v>
      </c>
      <c r="W98">
        <v>10</v>
      </c>
      <c r="Y98">
        <v>3</v>
      </c>
      <c r="AA98" s="3" t="str">
        <f t="shared" si="232"/>
        <v/>
      </c>
      <c r="AB98">
        <v>50</v>
      </c>
      <c r="AC98">
        <f t="shared" si="27"/>
        <v>80</v>
      </c>
      <c r="AF98">
        <v>8.9</v>
      </c>
      <c r="AG98">
        <v>8.9</v>
      </c>
      <c r="AJ98" s="10">
        <v>24</v>
      </c>
      <c r="AK98" t="str">
        <f>CONCATENATE(VLOOKUP(AL98, 'Voxel Sizes'!$A$2:$B$18,2,FALSE),"x",INT(AH98*15), "x", INT(AI98*15))</f>
        <v>82x0x0</v>
      </c>
      <c r="AL98">
        <f t="shared" si="233"/>
        <v>5</v>
      </c>
      <c r="AN98" t="str">
        <f>CONCATENATE(VLOOKUP(AL98,Constants!$A$2:$C$16,IF(AM98&lt;&gt;"", 3, 2), FALSE),IF(AM98&lt;&gt;"",CONCATENATE(",",VLOOKUP(AM98,$B:$AN,39,FALSE)),""))</f>
        <v>2,1,2</v>
      </c>
      <c r="AX98">
        <v>30</v>
      </c>
      <c r="AY98" s="15">
        <f t="shared" si="234"/>
        <v>53</v>
      </c>
      <c r="BB98">
        <f t="shared" si="235"/>
        <v>10</v>
      </c>
      <c r="BC98">
        <f t="shared" si="236"/>
        <v>0</v>
      </c>
      <c r="BD98">
        <f t="shared" si="237"/>
        <v>0</v>
      </c>
      <c r="BE98" s="3">
        <f t="shared" si="238"/>
        <v>0.96</v>
      </c>
      <c r="BF98">
        <f t="shared" si="239"/>
        <v>4</v>
      </c>
      <c r="BG98">
        <f>VLOOKUP($H98,Constants!$I:$K, 2, FALSE)</f>
        <v>1</v>
      </c>
      <c r="BH98">
        <f>VLOOKUP($H98,Constants!$I:$K, 3, FALSE)*IF(AND(G98="multiple_unit",AB98&lt;110),0.75,1)</f>
        <v>0.45</v>
      </c>
      <c r="BI98">
        <f>INT(POWER(((Constants!$G$2+$BB98+$BC98+$BD98+$BF98)*$BE98)*$BH98, 1.05))+$BA98</f>
        <v>9</v>
      </c>
      <c r="BJ98">
        <f>INT(POWER((((Constants!$G$1+$BB98+$BC98+$BD98+$BF98)*($BE98))*$BG98),IF($G98="wagon",1,1.2)))+$AZ98</f>
        <v>27</v>
      </c>
      <c r="BK98" s="14">
        <f t="shared" si="240"/>
        <v>562.5</v>
      </c>
      <c r="BL98" s="14">
        <f t="shared" si="241"/>
        <v>73.709999999999994</v>
      </c>
      <c r="BU98">
        <v>1</v>
      </c>
      <c r="BV98">
        <v>185</v>
      </c>
      <c r="BX98" t="s">
        <v>897</v>
      </c>
      <c r="BY98" t="s">
        <v>745</v>
      </c>
      <c r="BZ98" t="str">
        <f>VLOOKUP(J98,Eras!$A$2:$C$10, 2, TRUE)</f>
        <v>big4</v>
      </c>
      <c r="CA98" t="s">
        <v>337</v>
      </c>
      <c r="CB98" t="str">
        <f t="shared" si="242"/>
        <v>big4_Van</v>
      </c>
      <c r="CC98" t="str">
        <f t="shared" si="204"/>
        <v>wagon_RAIL</v>
      </c>
      <c r="CD98" s="17" t="str" cm="1">
        <f t="array" ref="CD98">_xlfn.CONCAT("{BLACK}Length: {GOLD}", TEXT(ROUNDUP(IF(AQ98&lt;&gt;"",SUM(VALUE(_xlfn.TEXTSPLIT(AQ98, ","))), SUM(VALUE(_xlfn.TEXTSPLIT(AN98, ",")))*IF(M98, M98, 1))/16, 1), "#,##0.0"), " tiles{}")</f>
        <v>{BLACK}Length: {GOLD}0.4 tiles{}</v>
      </c>
      <c r="CE98" t="str">
        <f>VLOOKUP($CC98, Constants!$M:$N, 2, FALSE)</f>
        <v/>
      </c>
      <c r="CF98" t="str">
        <f t="shared" si="205"/>
        <v/>
      </c>
      <c r="CG98" t="s">
        <v>749</v>
      </c>
      <c r="CH98" t="str">
        <f t="shared" si="194"/>
        <v/>
      </c>
      <c r="CI98" t="str">
        <f t="shared" si="206"/>
        <v/>
      </c>
      <c r="CJ98" t="str">
        <f t="shared" si="207"/>
        <v>{BLACK}Length: {GOLD}0.4 tiles{}{SILVER}Specialised cattle vans such as this Southern Railway example were built from the 1930s to the 1950s, although livestock traffic reduced in the latter part of this period.</v>
      </c>
    </row>
    <row r="99" spans="1:89" x14ac:dyDescent="0.35">
      <c r="A99" t="s">
        <v>798</v>
      </c>
      <c r="B99" t="s">
        <v>750</v>
      </c>
      <c r="C99">
        <v>103</v>
      </c>
      <c r="E99">
        <v>1073</v>
      </c>
      <c r="F99" t="s">
        <v>1498</v>
      </c>
      <c r="G99" t="s">
        <v>276</v>
      </c>
      <c r="H99" t="s">
        <v>276</v>
      </c>
      <c r="I99" t="s">
        <v>270</v>
      </c>
      <c r="J99">
        <v>1960</v>
      </c>
      <c r="L99">
        <v>2000</v>
      </c>
      <c r="W99">
        <v>14</v>
      </c>
      <c r="Y99">
        <v>4</v>
      </c>
      <c r="AA99" s="3" t="str">
        <f t="shared" si="232"/>
        <v/>
      </c>
      <c r="AB99">
        <v>65</v>
      </c>
      <c r="AC99">
        <f t="shared" si="27"/>
        <v>104</v>
      </c>
      <c r="AF99">
        <v>10.6</v>
      </c>
      <c r="AG99">
        <v>10.6</v>
      </c>
      <c r="AJ99" s="10">
        <v>39</v>
      </c>
      <c r="AK99" t="str">
        <f>CONCATENATE(VLOOKUP(AL99, 'Voxel Sizes'!$A$2:$B$18,2,FALSE),"x",INT(AH99*15), "x", INT(AI99*15))</f>
        <v>102x0x0</v>
      </c>
      <c r="AL99">
        <f t="shared" si="233"/>
        <v>6</v>
      </c>
      <c r="AN99" t="str">
        <f>CONCATENATE(VLOOKUP(AL99,Constants!$A$2:$C$16,IF(AM99&lt;&gt;"", 3, 2), FALSE),IF(AM99&lt;&gt;"",CONCATENATE(",",VLOOKUP(AM99,$B:$AN,39,FALSE)),""))</f>
        <v>2,2,2</v>
      </c>
      <c r="AX99">
        <v>30</v>
      </c>
      <c r="AY99" s="15">
        <f t="shared" si="234"/>
        <v>48</v>
      </c>
      <c r="BB99">
        <f t="shared" si="235"/>
        <v>13</v>
      </c>
      <c r="BC99">
        <f t="shared" si="236"/>
        <v>0</v>
      </c>
      <c r="BD99">
        <f t="shared" si="237"/>
        <v>0</v>
      </c>
      <c r="BE99" s="3">
        <f t="shared" si="238"/>
        <v>0.92</v>
      </c>
      <c r="BF99">
        <f t="shared" si="239"/>
        <v>6.5</v>
      </c>
      <c r="BG99">
        <f>VLOOKUP($H99,Constants!$I:$K, 2, FALSE)</f>
        <v>1</v>
      </c>
      <c r="BH99">
        <f>VLOOKUP($H99,Constants!$I:$K, 3, FALSE)*IF(AND(G99="multiple_unit",AB99&lt;110),0.75,1)</f>
        <v>0.45</v>
      </c>
      <c r="BI99">
        <f>INT(POWER(((Constants!$G$2+$BB99+$BC99+$BD99+$BF99)*$BE99)*$BH99, 1.05))+$BA99</f>
        <v>11</v>
      </c>
      <c r="BJ99">
        <f>INT(POWER((((Constants!$G$1+$BB99+$BC99+$BD99+$BF99)*($BE99))*$BG99),IF($G99="wagon",1,1.2)))+$AZ99</f>
        <v>31</v>
      </c>
      <c r="BK99" s="14">
        <f t="shared" si="240"/>
        <v>687.5</v>
      </c>
      <c r="BL99" s="14">
        <f t="shared" si="241"/>
        <v>84.63</v>
      </c>
      <c r="BT99" t="s">
        <v>1538</v>
      </c>
      <c r="BU99">
        <v>1</v>
      </c>
      <c r="BV99">
        <v>185</v>
      </c>
      <c r="BX99" t="s">
        <v>897</v>
      </c>
      <c r="BY99" t="s">
        <v>745</v>
      </c>
      <c r="BZ99" t="str">
        <f>VLOOKUP(J99,Eras!$A$2:$C$10, 2, TRUE)</f>
        <v>dsl</v>
      </c>
      <c r="CA99" t="s">
        <v>337</v>
      </c>
      <c r="CB99" t="str">
        <f t="shared" si="242"/>
        <v>dsl_Van</v>
      </c>
      <c r="CC99" t="str">
        <f t="shared" si="204"/>
        <v>wagon_RAIL</v>
      </c>
      <c r="CD99" s="17" t="str" cm="1">
        <f t="array" ref="CD99">_xlfn.CONCAT("{BLACK}Length: {GOLD}", TEXT(ROUNDUP(IF(AQ99&lt;&gt;"",SUM(VALUE(_xlfn.TEXTSPLIT(AQ99, ","))), SUM(VALUE(_xlfn.TEXTSPLIT(AN99, ",")))*IF(M99, M99, 1))/16, 1), "#,##0.0"), " tiles{}")</f>
        <v>{BLACK}Length: {GOLD}0.4 tiles{}</v>
      </c>
      <c r="CE99" t="str">
        <f>VLOOKUP($CC99, Constants!$M:$N, 2, FALSE)</f>
        <v/>
      </c>
      <c r="CF99" t="str">
        <f t="shared" si="205"/>
        <v/>
      </c>
      <c r="CG99" t="s">
        <v>753</v>
      </c>
      <c r="CH99" t="str">
        <f t="shared" si="194"/>
        <v>{GREEN}Included for gameplay purposes</v>
      </c>
      <c r="CI99" t="str">
        <f t="shared" si="206"/>
        <v/>
      </c>
      <c r="CJ99" t="str">
        <f t="shared" si="207"/>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K99">
        <v>1</v>
      </c>
    </row>
    <row r="100" spans="1:89" x14ac:dyDescent="0.35">
      <c r="A100" t="s">
        <v>799</v>
      </c>
      <c r="B100" t="s">
        <v>751</v>
      </c>
      <c r="C100">
        <v>104</v>
      </c>
      <c r="E100">
        <v>1074</v>
      </c>
      <c r="F100" t="s">
        <v>1498</v>
      </c>
      <c r="G100" t="s">
        <v>276</v>
      </c>
      <c r="H100" t="s">
        <v>276</v>
      </c>
      <c r="I100" t="s">
        <v>270</v>
      </c>
      <c r="J100">
        <v>1990</v>
      </c>
      <c r="W100">
        <v>16</v>
      </c>
      <c r="Y100">
        <v>4</v>
      </c>
      <c r="AA100" s="3" t="str">
        <f t="shared" si="232"/>
        <v/>
      </c>
      <c r="AB100">
        <v>75</v>
      </c>
      <c r="AC100">
        <f t="shared" si="27"/>
        <v>120</v>
      </c>
      <c r="AF100">
        <v>12.2</v>
      </c>
      <c r="AG100">
        <v>12.2</v>
      </c>
      <c r="AJ100" s="10">
        <v>39</v>
      </c>
      <c r="AK100" t="str">
        <f>CONCATENATE(VLOOKUP(AL100, 'Voxel Sizes'!$A$2:$B$18,2,FALSE),"x",INT(AH100*15), "x", INT(AI100*15))</f>
        <v>120x0x0</v>
      </c>
      <c r="AL100">
        <f t="shared" si="233"/>
        <v>7</v>
      </c>
      <c r="AN100" t="str">
        <f>CONCATENATE(VLOOKUP(AL100,Constants!$A$2:$C$16,IF(AM100&lt;&gt;"", 3, 2), FALSE),IF(AM100&lt;&gt;"",CONCATENATE(",",VLOOKUP(AM100,$B:$AN,39,FALSE)),""))</f>
        <v>2,3,2</v>
      </c>
      <c r="AX100">
        <v>30</v>
      </c>
      <c r="AY100" s="15" t="str">
        <f t="shared" si="234"/>
        <v/>
      </c>
      <c r="BB100">
        <f t="shared" si="235"/>
        <v>15</v>
      </c>
      <c r="BC100">
        <f t="shared" si="236"/>
        <v>0</v>
      </c>
      <c r="BD100">
        <f t="shared" si="237"/>
        <v>0</v>
      </c>
      <c r="BE100" s="3">
        <f t="shared" si="238"/>
        <v>0.88</v>
      </c>
      <c r="BF100">
        <f t="shared" si="239"/>
        <v>6.5</v>
      </c>
      <c r="BG100">
        <f>VLOOKUP($H100,Constants!$I:$K, 2, FALSE)</f>
        <v>1</v>
      </c>
      <c r="BH100">
        <f>VLOOKUP($H100,Constants!$I:$K, 3, FALSE)*IF(AND(G100="multiple_unit",AB100&lt;110),0.75,1)</f>
        <v>0.45</v>
      </c>
      <c r="BI100">
        <f>INT(POWER(((Constants!$G$2+$BB100+$BC100+$BD100+$BF100)*$BE100)*$BH100, 1.05))+$BA100</f>
        <v>11</v>
      </c>
      <c r="BJ100">
        <f>INT(POWER((((Constants!$G$1+$BB100+$BC100+$BD100+$BF100)*($BE100))*$BG100),IF($G100="wagon",1,1.2)))+$AZ100</f>
        <v>32</v>
      </c>
      <c r="BK100" s="14">
        <f t="shared" si="240"/>
        <v>687.5</v>
      </c>
      <c r="BL100" s="14">
        <f t="shared" si="241"/>
        <v>87.36</v>
      </c>
      <c r="BT100" t="s">
        <v>1538</v>
      </c>
      <c r="BU100">
        <v>1</v>
      </c>
      <c r="BV100">
        <v>185</v>
      </c>
      <c r="BX100" t="s">
        <v>897</v>
      </c>
      <c r="BY100" t="s">
        <v>745</v>
      </c>
      <c r="BZ100" t="str">
        <f>VLOOKUP(J100,Eras!$A$2:$C$10, 2, TRUE)</f>
        <v>lbr</v>
      </c>
      <c r="CA100" t="s">
        <v>337</v>
      </c>
      <c r="CB100" t="str">
        <f t="shared" si="242"/>
        <v>lbr_Van</v>
      </c>
      <c r="CC100" t="str">
        <f t="shared" si="204"/>
        <v>wagon_RAIL</v>
      </c>
      <c r="CD100" s="17" t="str" cm="1">
        <f t="array" ref="CD100">_xlfn.CONCAT("{BLACK}Length: {GOLD}", TEXT(ROUNDUP(IF(AQ100&lt;&gt;"",SUM(VALUE(_xlfn.TEXTSPLIT(AQ100, ","))), SUM(VALUE(_xlfn.TEXTSPLIT(AN100, ",")))*IF(M100, M100, 1))/16, 1), "#,##0.0"), " tiles{}")</f>
        <v>{BLACK}Length: {GOLD}0.5 tiles{}</v>
      </c>
      <c r="CE100" t="str">
        <f>VLOOKUP($CC100, Constants!$M:$N, 2, FALSE)</f>
        <v/>
      </c>
      <c r="CF100" t="str">
        <f t="shared" si="205"/>
        <v/>
      </c>
      <c r="CG100" t="s">
        <v>752</v>
      </c>
      <c r="CH100" t="str">
        <f t="shared" si="194"/>
        <v>{GREEN}Included for gameplay purposes</v>
      </c>
      <c r="CI100" t="str">
        <f t="shared" si="206"/>
        <v/>
      </c>
      <c r="CJ100" t="str">
        <f t="shared" si="207"/>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K100">
        <v>1</v>
      </c>
    </row>
    <row r="101" spans="1:89" x14ac:dyDescent="0.35">
      <c r="A101" t="s">
        <v>1348</v>
      </c>
      <c r="B101" t="s">
        <v>1349</v>
      </c>
      <c r="C101">
        <v>110</v>
      </c>
      <c r="E101">
        <v>1075</v>
      </c>
      <c r="F101" t="s">
        <v>1498</v>
      </c>
      <c r="G101" t="s">
        <v>276</v>
      </c>
      <c r="H101" t="s">
        <v>276</v>
      </c>
      <c r="I101" t="s">
        <v>1370</v>
      </c>
      <c r="J101">
        <v>1700</v>
      </c>
      <c r="L101">
        <v>1875</v>
      </c>
      <c r="W101">
        <v>3</v>
      </c>
      <c r="Y101">
        <v>2</v>
      </c>
      <c r="AA101" s="3" t="str">
        <f t="shared" si="232"/>
        <v/>
      </c>
      <c r="AB101">
        <v>35</v>
      </c>
      <c r="AC101">
        <f t="shared" si="27"/>
        <v>56</v>
      </c>
      <c r="AF101">
        <v>6</v>
      </c>
      <c r="AG101">
        <v>6</v>
      </c>
      <c r="AJ101" s="10">
        <v>15</v>
      </c>
      <c r="AK101" t="str">
        <f>CONCATENATE(VLOOKUP(AL101, 'Voxel Sizes'!$A$2:$B$18,2,FALSE),"x",INT(AH101*15), "x", INT(AI101*15))</f>
        <v>60x0x0</v>
      </c>
      <c r="AL101">
        <f t="shared" si="233"/>
        <v>4</v>
      </c>
      <c r="AN101" t="str">
        <f>CONCATENATE(VLOOKUP(AL101,Constants!$A$2:$C$16,IF(AM101&lt;&gt;"", 3, 2), FALSE),IF(AM101&lt;&gt;"",CONCATENATE(",",VLOOKUP(AM101,$B:$AN,39,FALSE)),""))</f>
        <v>1,2,1</v>
      </c>
      <c r="AX101">
        <v>30</v>
      </c>
      <c r="AY101" s="15">
        <f t="shared" si="234"/>
        <v>183</v>
      </c>
      <c r="AZ101">
        <v>-15</v>
      </c>
      <c r="BA101">
        <v>-2</v>
      </c>
      <c r="BB101">
        <f t="shared" si="235"/>
        <v>7</v>
      </c>
      <c r="BC101">
        <f t="shared" si="236"/>
        <v>0</v>
      </c>
      <c r="BD101">
        <f t="shared" si="237"/>
        <v>0</v>
      </c>
      <c r="BE101" s="3">
        <f t="shared" si="238"/>
        <v>1</v>
      </c>
      <c r="BF101">
        <f t="shared" si="239"/>
        <v>2.5</v>
      </c>
      <c r="BG101">
        <f>VLOOKUP($H101,Constants!$I:$K, 2, FALSE)</f>
        <v>1</v>
      </c>
      <c r="BH101">
        <f>VLOOKUP($H101,Constants!$I:$K, 3, FALSE)*IF(AND(G101="multiple_unit",AB101&lt;110),0.75,1)</f>
        <v>0.45</v>
      </c>
      <c r="BI101">
        <f>INT(POWER(((Constants!$G$2+$BB101+$BC101+$BD101+$BF101)*$BE101)*$BH101, 1.05))+$BA101</f>
        <v>5</v>
      </c>
      <c r="BJ101">
        <f>INT(POWER((((Constants!$G$1+$BB101+$BC101+$BD101+$BF101)*($BE101))*$BG101),IF($G101="wagon",1,1.2)))+$AZ101</f>
        <v>9</v>
      </c>
      <c r="BK101" s="14">
        <f t="shared" si="240"/>
        <v>312.5</v>
      </c>
      <c r="BL101" s="14">
        <f t="shared" si="241"/>
        <v>24.57</v>
      </c>
      <c r="BU101">
        <v>1</v>
      </c>
      <c r="BV101">
        <v>185</v>
      </c>
      <c r="BX101" t="s">
        <v>337</v>
      </c>
      <c r="BY101" t="s">
        <v>281</v>
      </c>
      <c r="BZ101" t="str">
        <f>VLOOKUP(J101,Eras!$A$2:$C$10, 2, TRUE)</f>
        <v>early</v>
      </c>
      <c r="CA101" t="s">
        <v>337</v>
      </c>
      <c r="CB101" t="str">
        <f t="shared" si="242"/>
        <v>early_Van</v>
      </c>
      <c r="CC101" t="str">
        <f t="shared" si="204"/>
        <v>wagon_PLATEWAY</v>
      </c>
      <c r="CD101" s="17" t="str" cm="1">
        <f t="array" ref="CD101">_xlfn.CONCAT("{BLACK}Length: {GOLD}", TEXT(ROUNDUP(IF(AQ101&lt;&gt;"",SUM(VALUE(_xlfn.TEXTSPLIT(AQ101, ","))), SUM(VALUE(_xlfn.TEXTSPLIT(AN101, ",")))*IF(M101, M101, 1))/16, 1), "#,##0.0"), " tiles{}")</f>
        <v>{BLACK}Length: {GOLD}0.3 tiles{}</v>
      </c>
      <c r="CE101" t="str">
        <f>VLOOKUP($CC101, Constants!$M:$N, 2, FALSE)</f>
        <v/>
      </c>
      <c r="CF101" t="str">
        <f t="shared" si="205"/>
        <v/>
      </c>
      <c r="CG101" t="s">
        <v>1350</v>
      </c>
      <c r="CH101" t="str">
        <f t="shared" si="194"/>
        <v/>
      </c>
      <c r="CI101" t="str">
        <f t="shared" si="206"/>
        <v/>
      </c>
      <c r="CJ101" t="str">
        <f t="shared" si="207"/>
        <v>{BLACK}Length: {GOLD}0.3 tiles{}{SILVER}Simple canvas-covered wagons were some of the earliest vehicles for moving piece goods which needed to be sheltered from the elements.</v>
      </c>
    </row>
    <row r="102" spans="1:89" x14ac:dyDescent="0.35">
      <c r="A102" t="s">
        <v>741</v>
      </c>
      <c r="B102" t="s">
        <v>742</v>
      </c>
      <c r="C102">
        <v>112</v>
      </c>
      <c r="E102">
        <v>1076</v>
      </c>
      <c r="F102" t="s">
        <v>1498</v>
      </c>
      <c r="G102" t="s">
        <v>276</v>
      </c>
      <c r="H102" t="s">
        <v>276</v>
      </c>
      <c r="I102" t="s">
        <v>270</v>
      </c>
      <c r="J102">
        <v>1850</v>
      </c>
      <c r="L102">
        <v>1930</v>
      </c>
      <c r="W102">
        <v>6</v>
      </c>
      <c r="Y102">
        <v>3</v>
      </c>
      <c r="AA102" s="3" t="str">
        <f t="shared" si="232"/>
        <v/>
      </c>
      <c r="AB102">
        <v>45</v>
      </c>
      <c r="AC102">
        <f t="shared" si="27"/>
        <v>72</v>
      </c>
      <c r="AF102">
        <v>6</v>
      </c>
      <c r="AG102">
        <v>6</v>
      </c>
      <c r="AJ102" s="10">
        <v>18</v>
      </c>
      <c r="AK102" t="str">
        <f>CONCATENATE(VLOOKUP(AL102, 'Voxel Sizes'!$A$2:$B$18,2,FALSE),"x",INT(AH102*15), "x", INT(AI102*15))</f>
        <v>60x0x0</v>
      </c>
      <c r="AL102">
        <f t="shared" si="233"/>
        <v>4</v>
      </c>
      <c r="AN102" t="str">
        <f>CONCATENATE(VLOOKUP(AL102,Constants!$A$2:$C$16,IF(AM102&lt;&gt;"", 3, 2), FALSE),IF(AM102&lt;&gt;"",CONCATENATE(",",VLOOKUP(AM102,$B:$AN,39,FALSE)),""))</f>
        <v>1,2,1</v>
      </c>
      <c r="AX102">
        <v>30</v>
      </c>
      <c r="AY102" s="15">
        <f t="shared" si="234"/>
        <v>88</v>
      </c>
      <c r="BB102">
        <f t="shared" si="235"/>
        <v>9</v>
      </c>
      <c r="BC102">
        <f t="shared" si="236"/>
        <v>0</v>
      </c>
      <c r="BD102">
        <f t="shared" si="237"/>
        <v>0</v>
      </c>
      <c r="BE102" s="3">
        <f t="shared" si="238"/>
        <v>1</v>
      </c>
      <c r="BF102">
        <f t="shared" si="239"/>
        <v>3</v>
      </c>
      <c r="BG102">
        <f>VLOOKUP($H102,Constants!$I:$K, 2, FALSE)</f>
        <v>1</v>
      </c>
      <c r="BH102">
        <f>VLOOKUP($H102,Constants!$I:$K, 3, FALSE)*IF(AND(G102="multiple_unit",AB102&lt;110),0.75,1)</f>
        <v>0.45</v>
      </c>
      <c r="BI102">
        <f>INT(POWER(((Constants!$G$2+$BB102+$BC102+$BD102+$BF102)*$BE102)*$BH102, 1.05))+$BA102</f>
        <v>8</v>
      </c>
      <c r="BJ102">
        <f>INT(POWER((((Constants!$G$1+$BB102+$BC102+$BD102+$BF102)*($BE102))*$BG102),IF($G102="wagon",1,1.2)))+$AZ102</f>
        <v>27</v>
      </c>
      <c r="BK102" s="14">
        <f t="shared" si="240"/>
        <v>500</v>
      </c>
      <c r="BL102" s="14">
        <f t="shared" si="241"/>
        <v>73.709999999999994</v>
      </c>
      <c r="BU102">
        <v>1</v>
      </c>
      <c r="BV102">
        <v>185</v>
      </c>
      <c r="BX102" t="s">
        <v>337</v>
      </c>
      <c r="BY102" t="s">
        <v>281</v>
      </c>
      <c r="BZ102" t="str">
        <f>VLOOKUP(J102,Eras!$A$2:$C$10, 2, TRUE)</f>
        <v>vct</v>
      </c>
      <c r="CA102" t="s">
        <v>337</v>
      </c>
      <c r="CB102" t="str">
        <f t="shared" si="242"/>
        <v>vct_Van</v>
      </c>
      <c r="CC102" t="str">
        <f t="shared" si="204"/>
        <v>wagon_RAIL</v>
      </c>
      <c r="CD102" s="17" t="str" cm="1">
        <f t="array" ref="CD102">_xlfn.CONCAT("{BLACK}Length: {GOLD}", TEXT(ROUNDUP(IF(AQ102&lt;&gt;"",SUM(VALUE(_xlfn.TEXTSPLIT(AQ102, ","))), SUM(VALUE(_xlfn.TEXTSPLIT(AN102, ",")))*IF(M102, M102, 1))/16, 1), "#,##0.0"), " tiles{}")</f>
        <v>{BLACK}Length: {GOLD}0.3 tiles{}</v>
      </c>
      <c r="CE102" t="str">
        <f>VLOOKUP($CC102, Constants!$M:$N, 2, FALSE)</f>
        <v/>
      </c>
      <c r="CF102" t="str">
        <f t="shared" si="205"/>
        <v/>
      </c>
      <c r="CG102" t="s">
        <v>743</v>
      </c>
      <c r="CH102" t="str">
        <f t="shared" si="194"/>
        <v/>
      </c>
      <c r="CI102" t="str">
        <f t="shared" si="206"/>
        <v/>
      </c>
      <c r="CJ102" t="str">
        <f t="shared" si="207"/>
        <v>{BLACK}Length: {GOLD}0.3 tiles{}{SILVER}Piece goods were an important source of revenue for early railways, with most building large quantities of covered vans.</v>
      </c>
    </row>
    <row r="103" spans="1:89" x14ac:dyDescent="0.35">
      <c r="A103" t="s">
        <v>408</v>
      </c>
      <c r="B103" t="s">
        <v>409</v>
      </c>
      <c r="C103">
        <v>114</v>
      </c>
      <c r="E103">
        <v>1077</v>
      </c>
      <c r="F103" t="s">
        <v>1498</v>
      </c>
      <c r="G103" t="s">
        <v>276</v>
      </c>
      <c r="H103" t="s">
        <v>276</v>
      </c>
      <c r="I103" t="s">
        <v>270</v>
      </c>
      <c r="J103">
        <v>1902</v>
      </c>
      <c r="L103">
        <v>1960</v>
      </c>
      <c r="W103">
        <v>7</v>
      </c>
      <c r="Y103">
        <v>3</v>
      </c>
      <c r="AA103" s="3" t="str">
        <f t="shared" si="232"/>
        <v/>
      </c>
      <c r="AB103">
        <v>50</v>
      </c>
      <c r="AC103">
        <f t="shared" si="27"/>
        <v>80</v>
      </c>
      <c r="AF103">
        <v>8</v>
      </c>
      <c r="AG103">
        <v>8</v>
      </c>
      <c r="AJ103" s="10">
        <v>24</v>
      </c>
      <c r="AK103" t="str">
        <f>CONCATENATE(VLOOKUP(AL103, 'Voxel Sizes'!$A$2:$B$18,2,FALSE),"x",INT(AH103*15), "x", INT(AI103*15))</f>
        <v>82x0x0</v>
      </c>
      <c r="AL103">
        <f t="shared" si="233"/>
        <v>5</v>
      </c>
      <c r="AN103" t="str">
        <f>CONCATENATE(VLOOKUP(AL103,Constants!$A$2:$C$16,IF(AM103&lt;&gt;"", 3, 2), FALSE),IF(AM103&lt;&gt;"",CONCATENATE(",",VLOOKUP(AM103,$B:$AN,39,FALSE)),""))</f>
        <v>2,1,2</v>
      </c>
      <c r="AX103">
        <v>30</v>
      </c>
      <c r="AY103" s="15">
        <f t="shared" si="234"/>
        <v>66</v>
      </c>
      <c r="BB103">
        <f t="shared" si="235"/>
        <v>10</v>
      </c>
      <c r="BC103">
        <f t="shared" si="236"/>
        <v>0</v>
      </c>
      <c r="BD103">
        <f t="shared" si="237"/>
        <v>0</v>
      </c>
      <c r="BE103" s="3">
        <f t="shared" si="238"/>
        <v>0.99733333333333329</v>
      </c>
      <c r="BF103">
        <f t="shared" si="239"/>
        <v>4</v>
      </c>
      <c r="BG103">
        <f>VLOOKUP($H103,Constants!$I:$K, 2, FALSE)</f>
        <v>1</v>
      </c>
      <c r="BH103">
        <f>VLOOKUP($H103,Constants!$I:$K, 3, FALSE)*IF(AND(G103="multiple_unit",AB103&lt;110),0.75,1)</f>
        <v>0.45</v>
      </c>
      <c r="BI103">
        <f>INT(POWER(((Constants!$G$2+$BB103+$BC103+$BD103+$BF103)*$BE103)*$BH103, 1.05))+$BA103</f>
        <v>9</v>
      </c>
      <c r="BJ103">
        <f>INT(POWER((((Constants!$G$1+$BB103+$BC103+$BD103+$BF103)*($BE103))*$BG103),IF($G103="wagon",1,1.2)))+$AZ103</f>
        <v>28</v>
      </c>
      <c r="BK103" s="14">
        <f t="shared" si="240"/>
        <v>562.5</v>
      </c>
      <c r="BL103" s="14">
        <f t="shared" si="241"/>
        <v>76.44</v>
      </c>
      <c r="BU103">
        <v>1</v>
      </c>
      <c r="BV103">
        <v>185</v>
      </c>
      <c r="BX103" t="s">
        <v>337</v>
      </c>
      <c r="BY103" t="s">
        <v>281</v>
      </c>
      <c r="BZ103" t="str">
        <f>VLOOKUP(J103,Eras!$A$2:$C$10, 2, TRUE)</f>
        <v>edw</v>
      </c>
      <c r="CA103" t="s">
        <v>337</v>
      </c>
      <c r="CB103" t="str">
        <f t="shared" si="242"/>
        <v>edw_Van</v>
      </c>
      <c r="CC103" t="str">
        <f t="shared" si="204"/>
        <v>wagon_RAIL</v>
      </c>
      <c r="CD103" s="17" t="str" cm="1">
        <f t="array" ref="CD103">_xlfn.CONCAT("{BLACK}Length: {GOLD}", TEXT(ROUNDUP(IF(AQ103&lt;&gt;"",SUM(VALUE(_xlfn.TEXTSPLIT(AQ103, ","))), SUM(VALUE(_xlfn.TEXTSPLIT(AN103, ",")))*IF(M103, M103, 1))/16, 1), "#,##0.0"), " tiles{}")</f>
        <v>{BLACK}Length: {GOLD}0.4 tiles{}</v>
      </c>
      <c r="CE103" t="str">
        <f>VLOOKUP($CC103, Constants!$M:$N, 2, FALSE)</f>
        <v/>
      </c>
      <c r="CF103" t="str">
        <f t="shared" si="205"/>
        <v/>
      </c>
      <c r="CG103" t="s">
        <v>407</v>
      </c>
      <c r="CH103" t="str">
        <f t="shared" si="194"/>
        <v/>
      </c>
      <c r="CI103" t="str">
        <f t="shared" si="206"/>
        <v/>
      </c>
      <c r="CJ103" t="str">
        <f t="shared" si="207"/>
        <v>{BLACK}Length: {GOLD}0.4 tiles{}{SILVER}This goods van uses an iron frame with a wooden body, making it stronger than earlier wooden-framed vans.</v>
      </c>
    </row>
    <row r="104" spans="1:89" x14ac:dyDescent="0.35">
      <c r="A104" t="s">
        <v>729</v>
      </c>
      <c r="B104" t="s">
        <v>730</v>
      </c>
      <c r="C104">
        <v>116</v>
      </c>
      <c r="E104">
        <v>1078</v>
      </c>
      <c r="F104" t="s">
        <v>1498</v>
      </c>
      <c r="G104" t="s">
        <v>276</v>
      </c>
      <c r="H104" t="s">
        <v>276</v>
      </c>
      <c r="I104" t="s">
        <v>270</v>
      </c>
      <c r="J104">
        <v>1932</v>
      </c>
      <c r="L104">
        <v>1970</v>
      </c>
      <c r="W104">
        <v>8</v>
      </c>
      <c r="Y104">
        <v>3</v>
      </c>
      <c r="AA104" s="3" t="str">
        <f t="shared" si="232"/>
        <v/>
      </c>
      <c r="AB104">
        <v>60</v>
      </c>
      <c r="AC104">
        <f t="shared" si="27"/>
        <v>96</v>
      </c>
      <c r="AF104">
        <v>8</v>
      </c>
      <c r="AG104">
        <v>8</v>
      </c>
      <c r="AJ104" s="10">
        <v>27</v>
      </c>
      <c r="AK104" t="str">
        <f>CONCATENATE(VLOOKUP(AL104, 'Voxel Sizes'!$A$2:$B$18,2,FALSE),"x",INT(AH104*15), "x", INT(AI104*15))</f>
        <v>82x0x0</v>
      </c>
      <c r="AL104">
        <f t="shared" si="233"/>
        <v>5</v>
      </c>
      <c r="AN104" t="str">
        <f>CONCATENATE(VLOOKUP(AL104,Constants!$A$2:$C$16,IF(AM104&lt;&gt;"", 3, 2), FALSE),IF(AM104&lt;&gt;"",CONCATENATE(",",VLOOKUP(AM104,$B:$AN,39,FALSE)),""))</f>
        <v>2,1,2</v>
      </c>
      <c r="AX104">
        <v>30</v>
      </c>
      <c r="AY104" s="15">
        <f t="shared" si="234"/>
        <v>46</v>
      </c>
      <c r="BB104">
        <f t="shared" si="235"/>
        <v>12</v>
      </c>
      <c r="BC104">
        <f t="shared" si="236"/>
        <v>0</v>
      </c>
      <c r="BD104">
        <f t="shared" si="237"/>
        <v>0</v>
      </c>
      <c r="BE104" s="3">
        <f t="shared" si="238"/>
        <v>0.95733333333333337</v>
      </c>
      <c r="BF104">
        <f t="shared" si="239"/>
        <v>4.5</v>
      </c>
      <c r="BG104">
        <f>VLOOKUP($H104,Constants!$I:$K, 2, FALSE)</f>
        <v>1</v>
      </c>
      <c r="BH104">
        <f>VLOOKUP($H104,Constants!$I:$K, 3, FALSE)*IF(AND(G104="multiple_unit",AB104&lt;110),0.75,1)</f>
        <v>0.45</v>
      </c>
      <c r="BI104">
        <f>INT(POWER(((Constants!$G$2+$BB104+$BC104+$BD104+$BF104)*$BE104)*$BH104, 1.05))+$BA104</f>
        <v>10</v>
      </c>
      <c r="BJ104">
        <f>INT(POWER((((Constants!$G$1+$BB104+$BC104+$BD104+$BF104)*($BE104))*$BG104),IF($G104="wagon",1,1.2)))+$AZ104</f>
        <v>30</v>
      </c>
      <c r="BK104" s="14">
        <f t="shared" si="240"/>
        <v>625</v>
      </c>
      <c r="BL104" s="14">
        <f t="shared" si="241"/>
        <v>81.900000000000006</v>
      </c>
      <c r="BU104">
        <v>1</v>
      </c>
      <c r="BV104">
        <v>185</v>
      </c>
      <c r="BX104" t="s">
        <v>337</v>
      </c>
      <c r="BY104" t="s">
        <v>281</v>
      </c>
      <c r="BZ104" t="str">
        <f>VLOOKUP(J104,Eras!$A$2:$C$10, 2, TRUE)</f>
        <v>big4</v>
      </c>
      <c r="CA104" t="s">
        <v>337</v>
      </c>
      <c r="CB104" t="str">
        <f t="shared" si="242"/>
        <v>big4_Van</v>
      </c>
      <c r="CC104" t="str">
        <f t="shared" si="204"/>
        <v>wagon_RAIL</v>
      </c>
      <c r="CD104" s="17" t="str" cm="1">
        <f t="array" ref="CD104">_xlfn.CONCAT("{BLACK}Length: {GOLD}", TEXT(ROUNDUP(IF(AQ104&lt;&gt;"",SUM(VALUE(_xlfn.TEXTSPLIT(AQ104, ","))), SUM(VALUE(_xlfn.TEXTSPLIT(AN104, ",")))*IF(M104, M104, 1))/16, 1), "#,##0.0"), " tiles{}")</f>
        <v>{BLACK}Length: {GOLD}0.4 tiles{}</v>
      </c>
      <c r="CE104" t="str">
        <f>VLOOKUP($CC104, Constants!$M:$N, 2, FALSE)</f>
        <v/>
      </c>
      <c r="CF104" t="str">
        <f t="shared" si="205"/>
        <v/>
      </c>
      <c r="CG104" t="s">
        <v>731</v>
      </c>
      <c r="CH104" t="str">
        <f t="shared" si="194"/>
        <v/>
      </c>
      <c r="CI104" t="str">
        <f t="shared" si="206"/>
        <v/>
      </c>
      <c r="CJ104" t="str">
        <f t="shared" si="207"/>
        <v>{BLACK}Length: {GOLD}0.4 tiles{}{SILVER}Fitted vans had brakes which could be controlled from the locomotive or a brake van, allowing higher braking force and thus speed. This example is typical of a Southern Railways vacuum-braked model.</v>
      </c>
    </row>
    <row r="105" spans="1:89" x14ac:dyDescent="0.35">
      <c r="A105" t="s">
        <v>732</v>
      </c>
      <c r="B105" t="s">
        <v>733</v>
      </c>
      <c r="C105">
        <v>118</v>
      </c>
      <c r="E105">
        <v>1079</v>
      </c>
      <c r="F105" t="s">
        <v>1498</v>
      </c>
      <c r="G105" t="s">
        <v>276</v>
      </c>
      <c r="H105" t="s">
        <v>276</v>
      </c>
      <c r="I105" t="s">
        <v>270</v>
      </c>
      <c r="J105">
        <v>1962</v>
      </c>
      <c r="L105">
        <v>1985</v>
      </c>
      <c r="W105">
        <v>8</v>
      </c>
      <c r="Y105">
        <v>4</v>
      </c>
      <c r="AA105" s="3" t="str">
        <f t="shared" si="232"/>
        <v/>
      </c>
      <c r="AB105">
        <v>65</v>
      </c>
      <c r="AC105">
        <f t="shared" si="27"/>
        <v>104</v>
      </c>
      <c r="AF105">
        <v>8</v>
      </c>
      <c r="AG105">
        <v>8</v>
      </c>
      <c r="AJ105" s="10">
        <v>27</v>
      </c>
      <c r="AK105" t="str">
        <f>CONCATENATE(VLOOKUP(AL105, 'Voxel Sizes'!$A$2:$B$18,2,FALSE),"x",INT(AH105*15), "x", INT(AI105*15))</f>
        <v>82x0x0</v>
      </c>
      <c r="AL105">
        <f t="shared" si="233"/>
        <v>5</v>
      </c>
      <c r="AN105" t="str">
        <f>CONCATENATE(VLOOKUP(AL105,Constants!$A$2:$C$16,IF(AM105&lt;&gt;"", 3, 2), FALSE),IF(AM105&lt;&gt;"",CONCATENATE(",",VLOOKUP(AM105,$B:$AN,39,FALSE)),""))</f>
        <v>2,1,2</v>
      </c>
      <c r="AX105">
        <v>30</v>
      </c>
      <c r="AY105" s="15">
        <f t="shared" si="234"/>
        <v>31</v>
      </c>
      <c r="BB105">
        <f t="shared" si="235"/>
        <v>13</v>
      </c>
      <c r="BC105">
        <f t="shared" si="236"/>
        <v>0</v>
      </c>
      <c r="BD105">
        <f t="shared" si="237"/>
        <v>0</v>
      </c>
      <c r="BE105" s="3">
        <f t="shared" si="238"/>
        <v>0.91733333333333333</v>
      </c>
      <c r="BF105">
        <f t="shared" si="239"/>
        <v>4.5</v>
      </c>
      <c r="BG105">
        <f>VLOOKUP($H105,Constants!$I:$K, 2, FALSE)</f>
        <v>1</v>
      </c>
      <c r="BH105">
        <f>VLOOKUP($H105,Constants!$I:$K, 3, FALSE)*IF(AND(G105="multiple_unit",AB105&lt;110),0.75,1)</f>
        <v>0.45</v>
      </c>
      <c r="BI105">
        <f>INT(POWER(((Constants!$G$2+$BB105+$BC105+$BD105+$BF105)*$BE105)*$BH105, 1.05))+$BA105</f>
        <v>10</v>
      </c>
      <c r="BJ105">
        <f>INT(POWER((((Constants!$G$1+$BB105+$BC105+$BD105+$BF105)*($BE105))*$BG105),IF($G105="wagon",1,1.2)))+$AZ105</f>
        <v>29</v>
      </c>
      <c r="BK105" s="14">
        <f t="shared" si="240"/>
        <v>625</v>
      </c>
      <c r="BL105" s="14">
        <f t="shared" si="241"/>
        <v>79.17</v>
      </c>
      <c r="BU105">
        <v>1</v>
      </c>
      <c r="BV105">
        <v>185</v>
      </c>
      <c r="BX105" t="s">
        <v>337</v>
      </c>
      <c r="BY105" t="s">
        <v>281</v>
      </c>
      <c r="BZ105" t="str">
        <f>VLOOKUP(J105,Eras!$A$2:$C$10, 2, TRUE)</f>
        <v>dsl</v>
      </c>
      <c r="CA105" t="s">
        <v>337</v>
      </c>
      <c r="CB105" t="str">
        <f t="shared" si="242"/>
        <v>dsl_Van</v>
      </c>
      <c r="CC105" t="str">
        <f t="shared" si="204"/>
        <v>wagon_RAIL</v>
      </c>
      <c r="CD105" s="17" t="str" cm="1">
        <f t="array" ref="CD105">_xlfn.CONCAT("{BLACK}Length: {GOLD}", TEXT(ROUNDUP(IF(AQ105&lt;&gt;"",SUM(VALUE(_xlfn.TEXTSPLIT(AQ105, ","))), SUM(VALUE(_xlfn.TEXTSPLIT(AN105, ",")))*IF(M105, M105, 1))/16, 1), "#,##0.0"), " tiles{}")</f>
        <v>{BLACK}Length: {GOLD}0.4 tiles{}</v>
      </c>
      <c r="CE105" t="str">
        <f>VLOOKUP($CC105, Constants!$M:$N, 2, FALSE)</f>
        <v/>
      </c>
      <c r="CF105" t="str">
        <f t="shared" si="205"/>
        <v/>
      </c>
      <c r="CG105" t="s">
        <v>734</v>
      </c>
      <c r="CH105" t="str">
        <f t="shared" si="194"/>
        <v/>
      </c>
      <c r="CI105" t="str">
        <f t="shared" si="206"/>
        <v/>
      </c>
      <c r="CJ105" t="str">
        <f t="shared" si="207"/>
        <v>{BLACK}Length: {GOLD}0.4 tiles{}{SILVER}The Vanwide was BR's final development of the traditional van design, featuring wider doors for increased loading speed.</v>
      </c>
      <c r="CK105">
        <v>1</v>
      </c>
    </row>
    <row r="106" spans="1:89" x14ac:dyDescent="0.35">
      <c r="A106" t="s">
        <v>793</v>
      </c>
      <c r="B106" t="s">
        <v>206</v>
      </c>
      <c r="C106">
        <v>121</v>
      </c>
      <c r="E106">
        <v>1080</v>
      </c>
      <c r="F106" t="s">
        <v>1498</v>
      </c>
      <c r="G106" t="s">
        <v>276</v>
      </c>
      <c r="H106" t="s">
        <v>276</v>
      </c>
      <c r="I106" t="s">
        <v>270</v>
      </c>
      <c r="J106">
        <v>1969</v>
      </c>
      <c r="L106">
        <v>2010</v>
      </c>
      <c r="W106">
        <v>16</v>
      </c>
      <c r="Y106">
        <v>4</v>
      </c>
      <c r="AA106" s="3" t="str">
        <f t="shared" si="232"/>
        <v/>
      </c>
      <c r="AB106">
        <v>75</v>
      </c>
      <c r="AC106">
        <f t="shared" si="27"/>
        <v>120</v>
      </c>
      <c r="AF106">
        <v>11.2</v>
      </c>
      <c r="AG106">
        <v>11.2</v>
      </c>
      <c r="AJ106" s="10">
        <v>39</v>
      </c>
      <c r="AK106" t="str">
        <f>CONCATENATE(VLOOKUP(AL106, 'Voxel Sizes'!$A$2:$B$18,2,FALSE),"x",INT(AH106*15), "x", INT(AI106*15))</f>
        <v>120x0x0</v>
      </c>
      <c r="AL106">
        <f t="shared" si="233"/>
        <v>7</v>
      </c>
      <c r="AN106" t="str">
        <f>CONCATENATE(VLOOKUP(AL106,Constants!$A$2:$C$16,IF(AM106&lt;&gt;"", 3, 2), FALSE),IF(AM106&lt;&gt;"",CONCATENATE(",",VLOOKUP(AM106,$B:$AN,39,FALSE)),""))</f>
        <v>2,3,2</v>
      </c>
      <c r="AX106">
        <v>30</v>
      </c>
      <c r="AY106" s="15">
        <f t="shared" si="234"/>
        <v>49</v>
      </c>
      <c r="BB106">
        <f t="shared" si="235"/>
        <v>15</v>
      </c>
      <c r="BC106">
        <f t="shared" si="236"/>
        <v>0</v>
      </c>
      <c r="BD106">
        <f t="shared" si="237"/>
        <v>0</v>
      </c>
      <c r="BE106" s="3">
        <f t="shared" si="238"/>
        <v>0.90800000000000003</v>
      </c>
      <c r="BF106">
        <f t="shared" si="239"/>
        <v>6.5</v>
      </c>
      <c r="BG106">
        <f>VLOOKUP($H106,Constants!$I:$K, 2, FALSE)</f>
        <v>1</v>
      </c>
      <c r="BH106">
        <f>VLOOKUP($H106,Constants!$I:$K, 3, FALSE)*IF(AND(G106="multiple_unit",AB106&lt;110),0.75,1)</f>
        <v>0.45</v>
      </c>
      <c r="BI106">
        <f>INT(POWER(((Constants!$G$2+$BB106+$BC106+$BD106+$BF106)*$BE106)*$BH106, 1.05))+$BA106</f>
        <v>12</v>
      </c>
      <c r="BJ106">
        <f>INT(POWER((((Constants!$G$1+$BB106+$BC106+$BD106+$BF106)*($BE106))*$BG106),IF($G106="wagon",1,1.2)))+$AZ106</f>
        <v>33</v>
      </c>
      <c r="BK106" s="14">
        <f t="shared" si="240"/>
        <v>750</v>
      </c>
      <c r="BL106" s="14">
        <f t="shared" si="241"/>
        <v>90.09</v>
      </c>
      <c r="BU106">
        <v>1</v>
      </c>
      <c r="BV106">
        <v>185</v>
      </c>
      <c r="BX106" t="s">
        <v>337</v>
      </c>
      <c r="BY106" t="s">
        <v>281</v>
      </c>
      <c r="BZ106" t="str">
        <f>VLOOKUP(J106,Eras!$A$2:$C$10, 2, TRUE)</f>
        <v>dsl</v>
      </c>
      <c r="CA106" t="s">
        <v>337</v>
      </c>
      <c r="CB106" t="str">
        <f t="shared" si="242"/>
        <v>dsl_Van</v>
      </c>
      <c r="CC106" t="str">
        <f t="shared" si="204"/>
        <v>wagon_RAIL</v>
      </c>
      <c r="CD106" s="17" t="str" cm="1">
        <f t="array" ref="CD106">_xlfn.CONCAT("{BLACK}Length: {GOLD}", TEXT(ROUNDUP(IF(AQ106&lt;&gt;"",SUM(VALUE(_xlfn.TEXTSPLIT(AQ106, ","))), SUM(VALUE(_xlfn.TEXTSPLIT(AN106, ",")))*IF(M106, M106, 1))/16, 1), "#,##0.0"), " tiles{}")</f>
        <v>{BLACK}Length: {GOLD}0.5 tiles{}</v>
      </c>
      <c r="CE106" t="str">
        <f>VLOOKUP($CC106, Constants!$M:$N, 2, FALSE)</f>
        <v/>
      </c>
      <c r="CF106" t="str">
        <f t="shared" si="205"/>
        <v/>
      </c>
      <c r="CG106" t="s">
        <v>738</v>
      </c>
      <c r="CH106" t="str">
        <f t="shared" si="194"/>
        <v/>
      </c>
      <c r="CI106" t="str">
        <f t="shared" si="206"/>
        <v/>
      </c>
      <c r="CJ106" t="str">
        <f t="shared" si="207"/>
        <v>{BLACK}Length: {GOLD}0.5 tiles{}{SILVER}The VDA was BR's first air braked general purpose van, later used for the Speedlink freight network.</v>
      </c>
      <c r="CK106">
        <v>1</v>
      </c>
    </row>
    <row r="107" spans="1:89" x14ac:dyDescent="0.35">
      <c r="A107" t="s">
        <v>735</v>
      </c>
      <c r="B107" t="s">
        <v>736</v>
      </c>
      <c r="C107">
        <v>123</v>
      </c>
      <c r="E107">
        <v>1081</v>
      </c>
      <c r="F107" t="s">
        <v>1498</v>
      </c>
      <c r="G107" t="s">
        <v>276</v>
      </c>
      <c r="H107" t="s">
        <v>276</v>
      </c>
      <c r="I107" t="s">
        <v>270</v>
      </c>
      <c r="J107">
        <v>1978</v>
      </c>
      <c r="W107">
        <v>8</v>
      </c>
      <c r="Y107">
        <v>4</v>
      </c>
      <c r="AA107" s="3" t="str">
        <f t="shared" si="232"/>
        <v/>
      </c>
      <c r="AB107">
        <v>75</v>
      </c>
      <c r="AC107">
        <f t="shared" si="27"/>
        <v>120</v>
      </c>
      <c r="AF107">
        <v>8</v>
      </c>
      <c r="AG107">
        <v>8</v>
      </c>
      <c r="AJ107" s="10">
        <v>27</v>
      </c>
      <c r="AK107" t="str">
        <f>CONCATENATE(VLOOKUP(AL107, 'Voxel Sizes'!$A$2:$B$18,2,FALSE),"x",INT(AH107*15), "x", INT(AI107*15))</f>
        <v>82x0x0</v>
      </c>
      <c r="AL107">
        <f t="shared" si="233"/>
        <v>5</v>
      </c>
      <c r="AN107" t="str">
        <f>CONCATENATE(VLOOKUP(AL107,Constants!$A$2:$C$16,IF(AM107&lt;&gt;"", 3, 2), FALSE),IF(AM107&lt;&gt;"",CONCATENATE(",",VLOOKUP(AM107,$B:$AN,39,FALSE)),""))</f>
        <v>2,1,2</v>
      </c>
      <c r="AX107">
        <v>30</v>
      </c>
      <c r="AY107" s="15" t="str">
        <f t="shared" si="234"/>
        <v/>
      </c>
      <c r="BB107">
        <f t="shared" si="235"/>
        <v>15</v>
      </c>
      <c r="BC107">
        <f t="shared" si="236"/>
        <v>0</v>
      </c>
      <c r="BD107">
        <f t="shared" si="237"/>
        <v>0</v>
      </c>
      <c r="BE107" s="3">
        <f t="shared" si="238"/>
        <v>0.89600000000000002</v>
      </c>
      <c r="BF107">
        <f t="shared" si="239"/>
        <v>4.5</v>
      </c>
      <c r="BG107">
        <f>VLOOKUP($H107,Constants!$I:$K, 2, FALSE)</f>
        <v>1</v>
      </c>
      <c r="BH107">
        <f>VLOOKUP($H107,Constants!$I:$K, 3, FALSE)*IF(AND(G107="multiple_unit",AB107&lt;110),0.75,1)</f>
        <v>0.45</v>
      </c>
      <c r="BI107">
        <f>INT(POWER(((Constants!$G$2+$BB107+$BC107+$BD107+$BF107)*$BE107)*$BH107, 1.05))+$BA107</f>
        <v>11</v>
      </c>
      <c r="BJ107">
        <f>INT(POWER((((Constants!$G$1+$BB107+$BC107+$BD107+$BF107)*($BE107))*$BG107),IF($G107="wagon",1,1.2)))+$AZ107</f>
        <v>30</v>
      </c>
      <c r="BK107" s="14">
        <f t="shared" si="240"/>
        <v>687.5</v>
      </c>
      <c r="BL107" s="14">
        <f t="shared" si="241"/>
        <v>81.900000000000006</v>
      </c>
      <c r="BU107">
        <v>1</v>
      </c>
      <c r="BV107">
        <v>185</v>
      </c>
      <c r="BX107" t="s">
        <v>337</v>
      </c>
      <c r="BY107" t="s">
        <v>281</v>
      </c>
      <c r="BZ107" t="str">
        <f>VLOOKUP(J107,Eras!$A$2:$C$10, 2, TRUE)</f>
        <v>lbr</v>
      </c>
      <c r="CA107" t="s">
        <v>337</v>
      </c>
      <c r="CB107" t="str">
        <f t="shared" si="242"/>
        <v>lbr_Van</v>
      </c>
      <c r="CC107" t="str">
        <f t="shared" si="204"/>
        <v>wagon_RAIL</v>
      </c>
      <c r="CD107" s="17" t="str" cm="1">
        <f t="array" ref="CD107">_xlfn.CONCAT("{BLACK}Length: {GOLD}", TEXT(ROUNDUP(IF(AQ107&lt;&gt;"",SUM(VALUE(_xlfn.TEXTSPLIT(AQ107, ","))), SUM(VALUE(_xlfn.TEXTSPLIT(AN107, ",")))*IF(M107, M107, 1))/16, 1), "#,##0.0"), " tiles{}")</f>
        <v>{BLACK}Length: {GOLD}0.4 tiles{}</v>
      </c>
      <c r="CE107" t="str">
        <f>VLOOKUP($CC107, Constants!$M:$N, 2, FALSE)</f>
        <v/>
      </c>
      <c r="CF107" t="str">
        <f t="shared" si="205"/>
        <v/>
      </c>
      <c r="CG107" t="s">
        <v>737</v>
      </c>
      <c r="CH107" t="str">
        <f t="shared" si="194"/>
        <v/>
      </c>
      <c r="CI107" t="str">
        <f t="shared" si="206"/>
        <v/>
      </c>
      <c r="CJ107" t="str">
        <f t="shared" si="207"/>
        <v>{BLACK}Length: {GOLD}0.4 tiles{}{SILVER}VEA vans were refurbished vans fitted with improved suspension and air brakes, allowing higher speed operation while still being suitable for narrow radius curves in small yards.</v>
      </c>
      <c r="CK107">
        <v>1</v>
      </c>
    </row>
    <row r="108" spans="1:89" x14ac:dyDescent="0.35">
      <c r="A108" t="s">
        <v>794</v>
      </c>
      <c r="B108" t="s">
        <v>739</v>
      </c>
      <c r="C108">
        <v>125</v>
      </c>
      <c r="E108">
        <v>1082</v>
      </c>
      <c r="F108" t="s">
        <v>1498</v>
      </c>
      <c r="G108" t="s">
        <v>276</v>
      </c>
      <c r="H108" t="s">
        <v>276</v>
      </c>
      <c r="I108" t="s">
        <v>270</v>
      </c>
      <c r="J108">
        <v>1982</v>
      </c>
      <c r="W108">
        <v>21</v>
      </c>
      <c r="Y108">
        <v>6</v>
      </c>
      <c r="AA108" s="3" t="str">
        <f t="shared" si="232"/>
        <v/>
      </c>
      <c r="AB108">
        <v>85</v>
      </c>
      <c r="AC108">
        <f t="shared" si="27"/>
        <v>136</v>
      </c>
      <c r="AF108">
        <v>12.8</v>
      </c>
      <c r="AG108">
        <v>12.8</v>
      </c>
      <c r="AJ108" s="10">
        <v>45</v>
      </c>
      <c r="AK108" t="str">
        <f>CONCATENATE(VLOOKUP(AL108, 'Voxel Sizes'!$A$2:$B$18,2,FALSE),"x",INT(AH108*15), "x", INT(AI108*15))</f>
        <v>136x0x0</v>
      </c>
      <c r="AL108">
        <f t="shared" si="233"/>
        <v>8</v>
      </c>
      <c r="AN108" t="str">
        <f>CONCATENATE(VLOOKUP(AL108,Constants!$A$2:$C$16,IF(AM108&lt;&gt;"", 3, 2), FALSE),IF(AM108&lt;&gt;"",CONCATENATE(",",VLOOKUP(AM108,$B:$AN,39,FALSE)),""))</f>
        <v>2,4,2</v>
      </c>
      <c r="AX108">
        <v>30</v>
      </c>
      <c r="AY108" s="15" t="str">
        <f t="shared" si="234"/>
        <v/>
      </c>
      <c r="BB108">
        <f t="shared" si="235"/>
        <v>17</v>
      </c>
      <c r="BC108">
        <f t="shared" si="236"/>
        <v>0</v>
      </c>
      <c r="BD108">
        <f t="shared" si="237"/>
        <v>0</v>
      </c>
      <c r="BE108" s="3">
        <f t="shared" si="238"/>
        <v>0.89066666666666672</v>
      </c>
      <c r="BF108">
        <f t="shared" si="239"/>
        <v>7.5</v>
      </c>
      <c r="BG108">
        <f>VLOOKUP($H108,Constants!$I:$K, 2, FALSE)</f>
        <v>1</v>
      </c>
      <c r="BH108">
        <f>VLOOKUP($H108,Constants!$I:$K, 3, FALSE)*IF(AND(G108="multiple_unit",AB108&lt;110),0.75,1)</f>
        <v>0.45</v>
      </c>
      <c r="BI108">
        <f>INT(POWER(((Constants!$G$2+$BB108+$BC108+$BD108+$BF108)*$BE108)*$BH108, 1.05))+$BA108</f>
        <v>13</v>
      </c>
      <c r="BJ108">
        <f>INT(POWER((((Constants!$G$1+$BB108+$BC108+$BD108+$BF108)*($BE108))*$BG108),IF($G108="wagon",1,1.2)))+$AZ108</f>
        <v>35</v>
      </c>
      <c r="BK108" s="14">
        <f t="shared" si="240"/>
        <v>812.5</v>
      </c>
      <c r="BL108" s="14">
        <f t="shared" si="241"/>
        <v>95.55</v>
      </c>
      <c r="BU108">
        <v>1</v>
      </c>
      <c r="BV108">
        <v>185</v>
      </c>
      <c r="BX108" t="s">
        <v>337</v>
      </c>
      <c r="BY108" t="s">
        <v>281</v>
      </c>
      <c r="BZ108" t="str">
        <f>VLOOKUP(J108,Eras!$A$2:$C$10, 2, TRUE)</f>
        <v>lbr</v>
      </c>
      <c r="CA108" t="s">
        <v>337</v>
      </c>
      <c r="CB108" t="str">
        <f t="shared" si="242"/>
        <v>lbr_Van</v>
      </c>
      <c r="CC108" t="str">
        <f t="shared" si="204"/>
        <v>wagon_RAIL</v>
      </c>
      <c r="CD108" s="17" t="str" cm="1">
        <f t="array" ref="CD108">_xlfn.CONCAT("{BLACK}Length: {GOLD}", TEXT(ROUNDUP(IF(AQ108&lt;&gt;"",SUM(VALUE(_xlfn.TEXTSPLIT(AQ108, ","))), SUM(VALUE(_xlfn.TEXTSPLIT(AN108, ",")))*IF(M108, M108, 1))/16, 1), "#,##0.0"), " tiles{}")</f>
        <v>{BLACK}Length: {GOLD}0.5 tiles{}</v>
      </c>
      <c r="CE108" t="str">
        <f>VLOOKUP($CC108, Constants!$M:$N, 2, FALSE)</f>
        <v/>
      </c>
      <c r="CF108" t="str">
        <f t="shared" ref="CF108:CF130" si="243">IF(M108&gt;1,_xlfn.CONCAT("{BLACK}Cars: {GOLD}", M108),"")</f>
        <v/>
      </c>
      <c r="CG108" t="s">
        <v>740</v>
      </c>
      <c r="CH108" t="str">
        <f t="shared" si="194"/>
        <v/>
      </c>
      <c r="CI108" t="str">
        <f t="shared" si="206"/>
        <v/>
      </c>
      <c r="CJ108" t="str">
        <f t="shared" si="207"/>
        <v>{BLACK}Length: {GOLD}0.5 tiles{}{SILVER}VGA vans followed continental practice with doors extending into the roof panel, providing a larger vertical opening.</v>
      </c>
      <c r="CK108">
        <v>1</v>
      </c>
    </row>
    <row r="109" spans="1:89" x14ac:dyDescent="0.35">
      <c r="A109" t="s">
        <v>801</v>
      </c>
      <c r="B109" t="s">
        <v>800</v>
      </c>
      <c r="C109">
        <v>131</v>
      </c>
      <c r="E109">
        <v>1083</v>
      </c>
      <c r="F109" t="s">
        <v>1498</v>
      </c>
      <c r="G109" t="s">
        <v>276</v>
      </c>
      <c r="H109" t="s">
        <v>276</v>
      </c>
      <c r="I109" t="s">
        <v>270</v>
      </c>
      <c r="J109">
        <v>1913</v>
      </c>
      <c r="K109">
        <v>1955</v>
      </c>
      <c r="L109">
        <v>1965</v>
      </c>
      <c r="W109">
        <v>20</v>
      </c>
      <c r="Y109">
        <v>4</v>
      </c>
      <c r="AA109" s="3" t="str">
        <f t="shared" si="232"/>
        <v/>
      </c>
      <c r="AB109">
        <v>70</v>
      </c>
      <c r="AC109">
        <f t="shared" si="27"/>
        <v>112</v>
      </c>
      <c r="AF109">
        <v>15</v>
      </c>
      <c r="AG109">
        <v>15</v>
      </c>
      <c r="AJ109" s="10">
        <v>60</v>
      </c>
      <c r="AK109" t="str">
        <f>CONCATENATE(VLOOKUP(AL109, 'Voxel Sizes'!$A$2:$B$18,2,FALSE),"x",INT(AH109*15), "x", INT(AI109*15))</f>
        <v>152x0x0</v>
      </c>
      <c r="AL109">
        <f t="shared" si="233"/>
        <v>9</v>
      </c>
      <c r="AN109" t="str">
        <f>CONCATENATE(VLOOKUP(AL109,Constants!$A$2:$C$16,IF(AM109&lt;&gt;"", 3, 2), FALSE),IF(AM109&lt;&gt;"",CONCATENATE(",",VLOOKUP(AM109,$B:$AN,39,FALSE)),""))</f>
        <v>2,5,2</v>
      </c>
      <c r="AX109">
        <v>30</v>
      </c>
      <c r="AY109" s="15">
        <f t="shared" si="234"/>
        <v>60</v>
      </c>
      <c r="AZ109">
        <v>25</v>
      </c>
      <c r="BA109">
        <v>8</v>
      </c>
      <c r="BB109">
        <f t="shared" si="235"/>
        <v>14</v>
      </c>
      <c r="BC109">
        <f t="shared" si="236"/>
        <v>0</v>
      </c>
      <c r="BD109">
        <f t="shared" si="237"/>
        <v>0</v>
      </c>
      <c r="BE109" s="3">
        <f t="shared" si="238"/>
        <v>0.98266666666666669</v>
      </c>
      <c r="BF109">
        <f t="shared" si="239"/>
        <v>10</v>
      </c>
      <c r="BG109">
        <f>VLOOKUP($H109,Constants!$I:$K, 2, FALSE)</f>
        <v>1</v>
      </c>
      <c r="BH109">
        <f>VLOOKUP($H109,Constants!$I:$K, 3, FALSE)*IF(AND(G109="multiple_unit",AB109&lt;110),0.75,1)</f>
        <v>0.45</v>
      </c>
      <c r="BI109">
        <f>INT(POWER(((Constants!$G$2+$BB109+$BC109+$BD109+$BF109)*$BE109)*$BH109, 1.05))+$BA109</f>
        <v>22</v>
      </c>
      <c r="BJ109">
        <f>INT(POWER((((Constants!$G$1+$BB109+$BC109+$BD109+$BF109)*($BE109))*$BG109),IF($G109="wagon",1,1.2)))+$AZ109</f>
        <v>63</v>
      </c>
      <c r="BK109" s="14">
        <f t="shared" si="240"/>
        <v>1375</v>
      </c>
      <c r="BL109" s="14">
        <f t="shared" si="241"/>
        <v>171.99</v>
      </c>
      <c r="BU109">
        <v>1</v>
      </c>
      <c r="BV109">
        <v>185</v>
      </c>
      <c r="BX109" t="s">
        <v>1039</v>
      </c>
      <c r="BY109" t="s">
        <v>644</v>
      </c>
      <c r="BZ109" t="str">
        <f>VLOOKUP(J109,Eras!$A$2:$C$10, 2, TRUE)</f>
        <v>edw</v>
      </c>
      <c r="CA109" t="s">
        <v>331</v>
      </c>
      <c r="CB109" t="str">
        <f t="shared" si="242"/>
        <v>edw_Mail Carriage</v>
      </c>
      <c r="CC109" t="str">
        <f t="shared" si="204"/>
        <v>wagon_RAIL</v>
      </c>
      <c r="CD109" s="17" t="str" cm="1">
        <f t="array" ref="CD109">_xlfn.CONCAT("{BLACK}Length: {GOLD}", TEXT(ROUNDUP(IF(AQ109&lt;&gt;"",SUM(VALUE(_xlfn.TEXTSPLIT(AQ109, ","))), SUM(VALUE(_xlfn.TEXTSPLIT(AN109, ",")))*IF(M109, M109, 1))/16, 1), "#,##0.0"), " tiles{}")</f>
        <v>{BLACK}Length: {GOLD}0.6 tiles{}</v>
      </c>
      <c r="CE109" t="str">
        <f>VLOOKUP($CC109, Constants!$M:$N, 2, FALSE)</f>
        <v/>
      </c>
      <c r="CF109" t="str">
        <f t="shared" si="243"/>
        <v/>
      </c>
      <c r="CG109" t="s">
        <v>802</v>
      </c>
      <c r="CH109" t="str">
        <f t="shared" si="194"/>
        <v/>
      </c>
      <c r="CI109" t="str">
        <f t="shared" si="206"/>
        <v/>
      </c>
      <c r="CJ109" t="str">
        <f t="shared" si="207"/>
        <v>{BLACK}Length: {GOLD}0.6 tiles{}{SILVER}GWR's "Siphon" vans were built to carry loads of milk churns at passenger train speeds. They were also used for parcel and newspaper traffic, the basic design being built well into the BR era.</v>
      </c>
    </row>
    <row r="110" spans="1:89" x14ac:dyDescent="0.35">
      <c r="A110" t="s">
        <v>779</v>
      </c>
      <c r="B110" t="s">
        <v>781</v>
      </c>
      <c r="C110">
        <v>133</v>
      </c>
      <c r="E110">
        <v>1084</v>
      </c>
      <c r="F110" t="s">
        <v>1498</v>
      </c>
      <c r="G110" t="s">
        <v>276</v>
      </c>
      <c r="H110" t="s">
        <v>276</v>
      </c>
      <c r="I110" t="s">
        <v>270</v>
      </c>
      <c r="J110">
        <v>1950</v>
      </c>
      <c r="L110">
        <v>1975</v>
      </c>
      <c r="W110">
        <v>18</v>
      </c>
      <c r="Y110">
        <v>4</v>
      </c>
      <c r="AA110" s="3" t="str">
        <f t="shared" si="232"/>
        <v/>
      </c>
      <c r="AB110">
        <v>80</v>
      </c>
      <c r="AC110">
        <f t="shared" si="27"/>
        <v>128</v>
      </c>
      <c r="AF110">
        <v>11.2</v>
      </c>
      <c r="AG110">
        <v>11.2</v>
      </c>
      <c r="AJ110" s="10">
        <v>45</v>
      </c>
      <c r="AK110" t="str">
        <f>CONCATENATE(VLOOKUP(AL110, 'Voxel Sizes'!$A$2:$B$18,2,FALSE),"x",INT(AH110*15), "x", INT(AI110*15))</f>
        <v>120x0x0</v>
      </c>
      <c r="AL110">
        <f t="shared" si="233"/>
        <v>7</v>
      </c>
      <c r="AN110" t="str">
        <f>CONCATENATE(VLOOKUP(AL110,Constants!$A$2:$C$16,IF(AM110&lt;&gt;"", 3, 2), FALSE),IF(AM110&lt;&gt;"",CONCATENATE(",",VLOOKUP(AM110,$B:$AN,39,FALSE)),""))</f>
        <v>2,3,2</v>
      </c>
      <c r="AX110">
        <v>30</v>
      </c>
      <c r="AY110" s="15">
        <f t="shared" si="234"/>
        <v>33</v>
      </c>
      <c r="AZ110">
        <v>25</v>
      </c>
      <c r="BA110">
        <v>9</v>
      </c>
      <c r="BB110">
        <f t="shared" si="235"/>
        <v>16</v>
      </c>
      <c r="BC110">
        <f t="shared" si="236"/>
        <v>0</v>
      </c>
      <c r="BD110">
        <f t="shared" si="237"/>
        <v>0</v>
      </c>
      <c r="BE110" s="3">
        <f t="shared" si="238"/>
        <v>0.93333333333333335</v>
      </c>
      <c r="BF110">
        <f t="shared" si="239"/>
        <v>7.5</v>
      </c>
      <c r="BG110">
        <f>VLOOKUP($H110,Constants!$I:$K, 2, FALSE)</f>
        <v>1</v>
      </c>
      <c r="BH110">
        <f>VLOOKUP($H110,Constants!$I:$K, 3, FALSE)*IF(AND(G110="multiple_unit",AB110&lt;110),0.75,1)</f>
        <v>0.45</v>
      </c>
      <c r="BI110">
        <f>INT(POWER(((Constants!$G$2+$BB110+$BC110+$BD110+$BF110)*$BE110)*$BH110, 1.05))+$BA110</f>
        <v>22</v>
      </c>
      <c r="BJ110">
        <f>INT(POWER((((Constants!$G$1+$BB110+$BC110+$BD110+$BF110)*($BE110))*$BG110),IF($G110="wagon",1,1.2)))+$AZ110</f>
        <v>60</v>
      </c>
      <c r="BK110" s="14">
        <f t="shared" si="240"/>
        <v>1375</v>
      </c>
      <c r="BL110" s="14">
        <f t="shared" si="241"/>
        <v>163.80000000000001</v>
      </c>
      <c r="BU110">
        <v>1</v>
      </c>
      <c r="BV110">
        <v>185</v>
      </c>
      <c r="BX110" t="s">
        <v>1037</v>
      </c>
      <c r="BY110" t="s">
        <v>644</v>
      </c>
      <c r="BZ110" t="str">
        <f>VLOOKUP(J110,Eras!$A$2:$C$10, 2, TRUE)</f>
        <v>ebr</v>
      </c>
      <c r="CA110" t="s">
        <v>331</v>
      </c>
      <c r="CB110" t="str">
        <f t="shared" si="242"/>
        <v>ebr_Mail Carriage</v>
      </c>
      <c r="CC110" t="str">
        <f t="shared" si="204"/>
        <v>wagon_RAIL</v>
      </c>
      <c r="CD110" s="17" t="str" cm="1">
        <f t="array" ref="CD110">_xlfn.CONCAT("{BLACK}Length: {GOLD}", TEXT(ROUNDUP(IF(AQ110&lt;&gt;"",SUM(VALUE(_xlfn.TEXTSPLIT(AQ110, ","))), SUM(VALUE(_xlfn.TEXTSPLIT(AN110, ",")))*IF(M110, M110, 1))/16, 1), "#,##0.0"), " tiles{}")</f>
        <v>{BLACK}Length: {GOLD}0.5 tiles{}</v>
      </c>
      <c r="CE110" t="str">
        <f>VLOOKUP($CC110, Constants!$M:$N, 2, FALSE)</f>
        <v/>
      </c>
      <c r="CF110" t="str">
        <f t="shared" si="243"/>
        <v/>
      </c>
      <c r="CG110" t="s">
        <v>804</v>
      </c>
      <c r="CH110" t="str">
        <f t="shared" si="194"/>
        <v/>
      </c>
      <c r="CI110" t="str">
        <f t="shared" si="206"/>
        <v/>
      </c>
      <c r="CJ110" t="str">
        <f t="shared" si="207"/>
        <v>{BLACK}Length: {GOLD}0.5 tiles{}{SILVER}BR built several of these six-wheeled parcels vans in the early 1950s.</v>
      </c>
    </row>
    <row r="111" spans="1:89" x14ac:dyDescent="0.35">
      <c r="A111" t="s">
        <v>1342</v>
      </c>
      <c r="B111" t="s">
        <v>1343</v>
      </c>
      <c r="C111">
        <v>600</v>
      </c>
      <c r="E111">
        <v>1085</v>
      </c>
      <c r="F111" t="s">
        <v>1498</v>
      </c>
      <c r="G111" t="s">
        <v>276</v>
      </c>
      <c r="H111" t="s">
        <v>1100</v>
      </c>
      <c r="I111" t="s">
        <v>1370</v>
      </c>
      <c r="J111">
        <v>1700</v>
      </c>
      <c r="L111">
        <v>1860</v>
      </c>
      <c r="W111">
        <v>5</v>
      </c>
      <c r="AA111" s="3" t="str">
        <f>IF(AND(W111&gt;0,Z111&gt;0),(Z111/((W111+X111)*10)),"")</f>
        <v/>
      </c>
      <c r="AB111">
        <v>39</v>
      </c>
      <c r="AC111">
        <f>ROUND(AB111*1.6, 0)</f>
        <v>62</v>
      </c>
      <c r="AF111">
        <v>6</v>
      </c>
      <c r="AG111">
        <v>6</v>
      </c>
      <c r="AJ111" s="10">
        <v>0</v>
      </c>
      <c r="AK111" t="str">
        <f>CONCATENATE(VLOOKUP(AL111, 'Voxel Sizes'!$A$2:$B$18,2,FALSE),"x",INT(AH111*15), "x", INT(AI111*15))</f>
        <v>60x0x0</v>
      </c>
      <c r="AL111">
        <f>ROUND(15*((AG111*10)/256),0)</f>
        <v>4</v>
      </c>
      <c r="AN111" t="str">
        <f>CONCATENATE(VLOOKUP(AL111,Constants!$A$2:$C$16,IF(AM111&lt;&gt;"", 3, 2), FALSE),IF(AM111&lt;&gt;"",CONCATENATE(",",VLOOKUP(AM111,$B:$AN,39,FALSE)),""))</f>
        <v>1,2,1</v>
      </c>
      <c r="AX111">
        <v>30</v>
      </c>
      <c r="AY111" s="15">
        <f>IF(L111&lt;&gt;"",MAX(16,(L111-J111)+8),"")</f>
        <v>168</v>
      </c>
      <c r="BB111">
        <f>MIN(AB111/150, 1)*30</f>
        <v>7.8000000000000007</v>
      </c>
      <c r="BC111">
        <f>MIN(N111/4000, 1)*20</f>
        <v>0</v>
      </c>
      <c r="BD111">
        <f>MIN(Z111/400,1)*20</f>
        <v>0</v>
      </c>
      <c r="BE111" s="3">
        <f>1-(MAX(J111-1900, 0)/750)</f>
        <v>1</v>
      </c>
      <c r="BF111">
        <f>((MAX($M111,1)*MIN($AJ111/300,1)))*IF(G111="Wagon",50,10)</f>
        <v>0</v>
      </c>
      <c r="BG111">
        <f>VLOOKUP($H111,Constants!$I:$K, 2, FALSE)</f>
        <v>1</v>
      </c>
      <c r="BH111">
        <f>VLOOKUP($H111,Constants!$I:$K, 3, FALSE)*IF(AND(G111="multiple_unit",AB111&lt;110),0.75,1)</f>
        <v>0.4</v>
      </c>
      <c r="BI111">
        <f>INT(POWER(((Constants!$G$2+$BB111+$BC111+$BD111+$BF111)*$BE111)*$BH111, 1.05))+$BA111</f>
        <v>5</v>
      </c>
      <c r="BJ111">
        <f>INT(POWER((((Constants!$G$1+$BB111+$BC111+$BD111+$BF111)*($BE111))*$BG111),IF($G111="wagon",1,1.2)))+$AZ111</f>
        <v>22</v>
      </c>
      <c r="BK111" s="14">
        <f>BI111*IF($G111="wagon",62.5,781.25)</f>
        <v>312.5</v>
      </c>
      <c r="BL111" s="14">
        <f>BJ111*IF($G111="wagon",2.73,81.25)</f>
        <v>60.06</v>
      </c>
      <c r="BU111">
        <v>7</v>
      </c>
      <c r="BX111" t="s">
        <v>1038</v>
      </c>
      <c r="BY111" t="s">
        <v>689</v>
      </c>
      <c r="BZ111" t="str">
        <f>VLOOKUP(J111,Eras!$A$2:$C$10, 2, TRUE)</f>
        <v>early</v>
      </c>
      <c r="CA111" t="s">
        <v>687</v>
      </c>
      <c r="CB111" t="str">
        <f>CONCATENATE(BZ111,"_",CA111)</f>
        <v>early_Extra</v>
      </c>
      <c r="CC111" t="str">
        <f t="shared" si="204"/>
        <v>brake_PLATEWAY</v>
      </c>
      <c r="CD111" s="17" t="str" cm="1">
        <f t="array" ref="CD111">_xlfn.CONCAT("{BLACK}Length: {GOLD}", TEXT(ROUNDUP(IF(AQ111&lt;&gt;"",SUM(VALUE(_xlfn.TEXTSPLIT(AQ111, ","))), SUM(VALUE(_xlfn.TEXTSPLIT(AN111, ",")))*IF(M111, M111, 1))/16, 1), "#,##0.0"), " tiles{}")</f>
        <v>{BLACK}Length: {GOLD}0.3 tiles{}</v>
      </c>
      <c r="CE111" t="str">
        <f>VLOOKUP($CC111, Constants!$M:$N, 2, FALSE)</f>
        <v/>
      </c>
      <c r="CF111" t="str">
        <f t="shared" si="243"/>
        <v/>
      </c>
      <c r="CG111" t="s">
        <v>1344</v>
      </c>
      <c r="CH111" t="str">
        <f t="shared" si="194"/>
        <v/>
      </c>
      <c r="CI111" t="str">
        <f t="shared" si="206"/>
        <v>{YELLOW}Speed bonus for slow wagons{}</v>
      </c>
      <c r="CJ111" t="str">
        <f t="shared" si="207"/>
        <v>{BLACK}Length: {GOLD}0.3 tiles{}{YELLOW}Speed bonus for slow wagons{}{SILVER}Early brake wagons were little more than open wagons with basic friction brakes added.</v>
      </c>
    </row>
    <row r="112" spans="1:89" x14ac:dyDescent="0.35">
      <c r="A112" t="s">
        <v>114</v>
      </c>
      <c r="B112" t="s">
        <v>1499</v>
      </c>
      <c r="C112">
        <v>601</v>
      </c>
      <c r="E112">
        <v>1086</v>
      </c>
      <c r="F112" t="s">
        <v>1498</v>
      </c>
      <c r="G112" t="s">
        <v>276</v>
      </c>
      <c r="H112" t="s">
        <v>1100</v>
      </c>
      <c r="I112" t="s">
        <v>270</v>
      </c>
      <c r="J112">
        <v>1850</v>
      </c>
      <c r="L112">
        <v>1910</v>
      </c>
      <c r="W112">
        <v>10</v>
      </c>
      <c r="AA112" s="3" t="str">
        <f>IF(AND(W112&gt;0,Z112&gt;0),(Z112/((W112+X112)*10)),"")</f>
        <v/>
      </c>
      <c r="AB112">
        <v>50</v>
      </c>
      <c r="AC112">
        <f>ROUND(AB112*1.6, 0)</f>
        <v>80</v>
      </c>
      <c r="AF112">
        <v>6</v>
      </c>
      <c r="AG112">
        <v>6</v>
      </c>
      <c r="AJ112" s="10">
        <v>0</v>
      </c>
      <c r="AK112" t="str">
        <f>CONCATENATE(VLOOKUP(AL112, 'Voxel Sizes'!$A$2:$B$18,2,FALSE),"x",INT(AH112*15), "x", INT(AI112*15))</f>
        <v>60x0x0</v>
      </c>
      <c r="AL112">
        <f>ROUND(15*((AG112*10)/256),0)</f>
        <v>4</v>
      </c>
      <c r="AN112" t="str">
        <f>CONCATENATE(VLOOKUP(AL112,Constants!$A$2:$C$16,IF(AM112&lt;&gt;"", 3, 2), FALSE),IF(AM112&lt;&gt;"",CONCATENATE(",",VLOOKUP(AM112,$B:$AN,39,FALSE)),""))</f>
        <v>1,2,1</v>
      </c>
      <c r="AX112">
        <v>30</v>
      </c>
      <c r="AY112" s="15">
        <f>IF(L112&lt;&gt;"",MAX(16,(L112-J112)+8),"")</f>
        <v>68</v>
      </c>
      <c r="BB112">
        <f>MIN(AB112/150, 1)*30</f>
        <v>10</v>
      </c>
      <c r="BC112">
        <f>MIN(N112/4000, 1)*20</f>
        <v>0</v>
      </c>
      <c r="BD112">
        <f>MIN(Z112/400,1)*20</f>
        <v>0</v>
      </c>
      <c r="BE112" s="3">
        <f>1-(MAX(J112-1900, 0)/750)</f>
        <v>1</v>
      </c>
      <c r="BF112">
        <f>((MAX($M112,1)*MIN($AJ112/300,1)))*IF(G112="Wagon",50,10)</f>
        <v>0</v>
      </c>
      <c r="BG112">
        <f>VLOOKUP($H112,Constants!$I:$K, 2, FALSE)</f>
        <v>1</v>
      </c>
      <c r="BH112">
        <f>VLOOKUP($H112,Constants!$I:$K, 3, FALSE)*IF(AND(G112="multiple_unit",AB112&lt;110),0.75,1)</f>
        <v>0.4</v>
      </c>
      <c r="BI112">
        <f>INT(POWER(((Constants!$G$2+$BB112+$BC112+$BD112+$BF112)*$BE112)*$BH112, 1.05))+$BA112</f>
        <v>6</v>
      </c>
      <c r="BJ112">
        <f>INT(POWER((((Constants!$G$1+$BB112+$BC112+$BD112+$BF112)*($BE112))*$BG112),IF($G112="wagon",1,1.2)))+$AZ112</f>
        <v>25</v>
      </c>
      <c r="BK112" s="14">
        <f>BI112*IF($G112="wagon",62.5,781.25)</f>
        <v>375</v>
      </c>
      <c r="BL112" s="14">
        <f>BJ112*IF($G112="wagon",2.73,81.25)</f>
        <v>68.25</v>
      </c>
      <c r="BU112">
        <v>7</v>
      </c>
      <c r="BX112" t="s">
        <v>1038</v>
      </c>
      <c r="BY112" t="s">
        <v>689</v>
      </c>
      <c r="BZ112" t="str">
        <f>VLOOKUP(J112,Eras!$A$2:$C$10, 2, TRUE)</f>
        <v>vct</v>
      </c>
      <c r="CA112" t="s">
        <v>687</v>
      </c>
      <c r="CB112" t="str">
        <f>CONCATENATE(BZ112,"_",CA112)</f>
        <v>vct_Extra</v>
      </c>
      <c r="CC112" t="str">
        <f t="shared" si="204"/>
        <v>brake_RAIL</v>
      </c>
      <c r="CD112" s="17" t="str" cm="1">
        <f t="array" ref="CD112">_xlfn.CONCAT("{BLACK}Length: {GOLD}", TEXT(ROUNDUP(IF(AQ112&lt;&gt;"",SUM(VALUE(_xlfn.TEXTSPLIT(AQ112, ","))), SUM(VALUE(_xlfn.TEXTSPLIT(AN112, ",")))*IF(M112, M112, 1))/16, 1), "#,##0.0"), " tiles{}")</f>
        <v>{BLACK}Length: {GOLD}0.3 tiles{}</v>
      </c>
      <c r="CE112" t="str">
        <f>VLOOKUP($CC112, Constants!$M:$N, 2, FALSE)</f>
        <v/>
      </c>
      <c r="CF112" t="str">
        <f t="shared" si="243"/>
        <v/>
      </c>
      <c r="CG112" t="s">
        <v>1324</v>
      </c>
      <c r="CH112" t="str">
        <f t="shared" si="194"/>
        <v/>
      </c>
      <c r="CI112" t="str">
        <f t="shared" si="206"/>
        <v>{YELLOW}Speed bonus for slow wagons{}</v>
      </c>
      <c r="CJ112" t="str">
        <f t="shared" si="207"/>
        <v>{BLACK}Length: {GOLD}0.3 tiles{}{YELLOW}Speed bonus for slow wagons{}{SILVER}Brake vans gave extra braking power to allow trains to run at higher speed, and also gave a place for a guard to look after the train from the rear.</v>
      </c>
    </row>
    <row r="113" spans="1:88" x14ac:dyDescent="0.35">
      <c r="A113" t="s">
        <v>112</v>
      </c>
      <c r="B113" t="s">
        <v>200</v>
      </c>
      <c r="C113">
        <v>602</v>
      </c>
      <c r="E113">
        <v>1087</v>
      </c>
      <c r="F113" t="s">
        <v>1498</v>
      </c>
      <c r="G113" t="s">
        <v>276</v>
      </c>
      <c r="H113" t="s">
        <v>1100</v>
      </c>
      <c r="I113" t="s">
        <v>270</v>
      </c>
      <c r="J113">
        <v>1894</v>
      </c>
      <c r="L113">
        <v>1970</v>
      </c>
      <c r="W113">
        <v>20</v>
      </c>
      <c r="AA113" s="3" t="str">
        <f>IF(AND(W113&gt;0,Z113&gt;0),(Z113/((W113+X113)*10)),"")</f>
        <v/>
      </c>
      <c r="AB113">
        <v>70</v>
      </c>
      <c r="AC113">
        <f>ROUND(AB113*1.6, 0)</f>
        <v>112</v>
      </c>
      <c r="AF113">
        <v>7.3</v>
      </c>
      <c r="AG113">
        <v>11</v>
      </c>
      <c r="AJ113" s="10">
        <v>0</v>
      </c>
      <c r="AK113" t="str">
        <f>CONCATENATE(VLOOKUP(AL113, 'Voxel Sizes'!$A$2:$B$18,2,FALSE),"x",INT(AH113*15), "x", INT(AI113*15))</f>
        <v>102x0x0</v>
      </c>
      <c r="AL113">
        <f>ROUND(15*((AG113*10)/256),0)</f>
        <v>6</v>
      </c>
      <c r="AN113" t="str">
        <f>CONCATENATE(VLOOKUP(AL113,Constants!$A$2:$C$16,IF(AM113&lt;&gt;"", 3, 2), FALSE),IF(AM113&lt;&gt;"",CONCATENATE(",",VLOOKUP(AM113,$B:$AN,39,FALSE)),""))</f>
        <v>2,2,2</v>
      </c>
      <c r="AX113">
        <v>30</v>
      </c>
      <c r="AY113" s="15">
        <f>IF(L113&lt;&gt;"",MAX(16,(L113-J113)+8),"")</f>
        <v>84</v>
      </c>
      <c r="BB113">
        <f>MIN(AB113/150, 1)*30</f>
        <v>14</v>
      </c>
      <c r="BC113">
        <f>MIN(N113/4000, 1)*20</f>
        <v>0</v>
      </c>
      <c r="BD113">
        <f>MIN(Z113/400,1)*20</f>
        <v>0</v>
      </c>
      <c r="BE113" s="3">
        <f>1-(MAX(J113-1900, 0)/750)</f>
        <v>1</v>
      </c>
      <c r="BF113">
        <f>((MAX($M113,1)*MIN($AJ113/300,1)))*IF(G113="Wagon",50,10)</f>
        <v>0</v>
      </c>
      <c r="BG113">
        <f>VLOOKUP($H113,Constants!$I:$K, 2, FALSE)</f>
        <v>1</v>
      </c>
      <c r="BH113">
        <f>VLOOKUP($H113,Constants!$I:$K, 3, FALSE)*IF(AND(G113="multiple_unit",AB113&lt;110),0.75,1)</f>
        <v>0.4</v>
      </c>
      <c r="BI113">
        <f>INT(POWER(((Constants!$G$2+$BB113+$BC113+$BD113+$BF113)*$BE113)*$BH113, 1.05))+$BA113</f>
        <v>8</v>
      </c>
      <c r="BJ113">
        <f>INT(POWER((((Constants!$G$1+$BB113+$BC113+$BD113+$BF113)*($BE113))*$BG113),IF($G113="wagon",1,1.2)))+$AZ113</f>
        <v>29</v>
      </c>
      <c r="BK113" s="14">
        <f>BI113*IF($G113="wagon",62.5,781.25)</f>
        <v>500</v>
      </c>
      <c r="BL113" s="14">
        <f>BJ113*IF($G113="wagon",2.73,81.25)</f>
        <v>79.17</v>
      </c>
      <c r="BU113">
        <v>7</v>
      </c>
      <c r="BX113" t="s">
        <v>1038</v>
      </c>
      <c r="BY113" t="s">
        <v>689</v>
      </c>
      <c r="BZ113" t="str">
        <f>VLOOKUP(J113,Eras!$A$2:$C$10, 2, TRUE)</f>
        <v>vct</v>
      </c>
      <c r="CA113" t="s">
        <v>687</v>
      </c>
      <c r="CB113" t="str">
        <f>CONCATENATE(BZ113,"_",CA113)</f>
        <v>vct_Extra</v>
      </c>
      <c r="CC113" t="str">
        <f t="shared" si="204"/>
        <v>brake_RAIL</v>
      </c>
      <c r="CD113" s="17" t="str" cm="1">
        <f t="array" ref="CD113">_xlfn.CONCAT("{BLACK}Length: {GOLD}", TEXT(ROUNDUP(IF(AQ113&lt;&gt;"",SUM(VALUE(_xlfn.TEXTSPLIT(AQ113, ","))), SUM(VALUE(_xlfn.TEXTSPLIT(AN113, ",")))*IF(M113, M113, 1))/16, 1), "#,##0.0"), " tiles{}")</f>
        <v>{BLACK}Length: {GOLD}0.4 tiles{}</v>
      </c>
      <c r="CE113" t="str">
        <f>VLOOKUP($CC113, Constants!$M:$N, 2, FALSE)</f>
        <v/>
      </c>
      <c r="CF113" t="str">
        <f t="shared" si="243"/>
        <v/>
      </c>
      <c r="CG113" t="s">
        <v>688</v>
      </c>
      <c r="CH113" t="str">
        <f t="shared" si="194"/>
        <v/>
      </c>
      <c r="CI113" t="str">
        <f t="shared" si="206"/>
        <v>{YELLOW}Speed bonus for slow wagons{}</v>
      </c>
      <c r="CJ113" t="str">
        <f t="shared" si="207"/>
        <v>{BLACK}Length: {GOLD}0.4 tiles{}{YELLOW}Speed bonus for slow wagons{}{SILVER}The Great Western Railway standardised brake van designs from 1894. The distinctive design includes an open "veranda" at the back of the vehicle.</v>
      </c>
    </row>
    <row r="114" spans="1:88" x14ac:dyDescent="0.35">
      <c r="A114" t="s">
        <v>113</v>
      </c>
      <c r="B114" t="s">
        <v>201</v>
      </c>
      <c r="C114">
        <v>604</v>
      </c>
      <c r="E114">
        <v>1088</v>
      </c>
      <c r="F114" t="s">
        <v>1498</v>
      </c>
      <c r="G114" t="s">
        <v>276</v>
      </c>
      <c r="H114" t="s">
        <v>1100</v>
      </c>
      <c r="I114" t="s">
        <v>270</v>
      </c>
      <c r="J114">
        <v>1941</v>
      </c>
      <c r="L114">
        <v>1970</v>
      </c>
      <c r="W114">
        <v>20</v>
      </c>
      <c r="AA114" s="3" t="str">
        <f>IF(AND(W114&gt;0,Z114&gt;0),(Z114/((W114+X114)*10)),"")</f>
        <v/>
      </c>
      <c r="AB114">
        <v>70</v>
      </c>
      <c r="AC114">
        <f>ROUND(AB114*1.6, 0)</f>
        <v>112</v>
      </c>
      <c r="AF114">
        <v>7.3</v>
      </c>
      <c r="AG114">
        <v>11</v>
      </c>
      <c r="AJ114" s="10">
        <v>0</v>
      </c>
      <c r="AK114" t="str">
        <f>CONCATENATE(VLOOKUP(AL114, 'Voxel Sizes'!$A$2:$B$18,2,FALSE),"x",INT(AH114*15), "x", INT(AI114*15))</f>
        <v>102x0x0</v>
      </c>
      <c r="AL114">
        <f>ROUND(15*((AG114*10)/256),0)</f>
        <v>6</v>
      </c>
      <c r="AN114" t="str">
        <f>CONCATENATE(VLOOKUP(AL114,Constants!$A$2:$C$16,IF(AM114&lt;&gt;"", 3, 2), FALSE),IF(AM114&lt;&gt;"",CONCATENATE(",",VLOOKUP(AM114,$B:$AN,39,FALSE)),""))</f>
        <v>2,2,2</v>
      </c>
      <c r="AX114">
        <v>30</v>
      </c>
      <c r="AY114" s="15">
        <f>IF(L114&lt;&gt;"",MAX(16,(L114-J114)+8),"")</f>
        <v>37</v>
      </c>
      <c r="BB114">
        <f>MIN(AB114/150, 1)*30</f>
        <v>14</v>
      </c>
      <c r="BC114">
        <f>MIN(N114/4000, 1)*20</f>
        <v>0</v>
      </c>
      <c r="BD114">
        <f>MIN(Z114/400,1)*20</f>
        <v>0</v>
      </c>
      <c r="BE114" s="3">
        <f>1-(MAX(J114-1900, 0)/750)</f>
        <v>0.94533333333333336</v>
      </c>
      <c r="BF114">
        <f>((MAX($M114,1)*MIN($AJ114/300,1)))*IF(G114="Wagon",50,10)</f>
        <v>0</v>
      </c>
      <c r="BG114">
        <f>VLOOKUP($H114,Constants!$I:$K, 2, FALSE)</f>
        <v>1</v>
      </c>
      <c r="BH114">
        <f>VLOOKUP($H114,Constants!$I:$K, 3, FALSE)*IF(AND(G114="multiple_unit",AB114&lt;110),0.75,1)</f>
        <v>0.4</v>
      </c>
      <c r="BI114">
        <f>INT(POWER(((Constants!$G$2+$BB114+$BC114+$BD114+$BF114)*$BE114)*$BH114, 1.05))+$BA114</f>
        <v>7</v>
      </c>
      <c r="BJ114">
        <f>INT(POWER((((Constants!$G$1+$BB114+$BC114+$BD114+$BF114)*($BE114))*$BG114),IF($G114="wagon",1,1.2)))+$AZ114</f>
        <v>27</v>
      </c>
      <c r="BK114" s="14">
        <f>BI114*IF($G114="wagon",62.5,781.25)</f>
        <v>437.5</v>
      </c>
      <c r="BL114" s="14">
        <f>BJ114*IF($G114="wagon",2.73,81.25)</f>
        <v>73.709999999999994</v>
      </c>
      <c r="BU114">
        <v>8</v>
      </c>
      <c r="BX114" t="s">
        <v>1038</v>
      </c>
      <c r="BY114" t="s">
        <v>689</v>
      </c>
      <c r="BZ114" t="str">
        <f>VLOOKUP(J114,Eras!$A$2:$C$10, 2, TRUE)</f>
        <v>big4</v>
      </c>
      <c r="CA114" t="s">
        <v>687</v>
      </c>
      <c r="CB114" t="str">
        <f>CONCATENATE(BZ114,"_",CA114)</f>
        <v>big4_Extra</v>
      </c>
      <c r="CC114" t="str">
        <f t="shared" si="204"/>
        <v>brake_RAIL</v>
      </c>
      <c r="CD114" s="17" t="str" cm="1">
        <f t="array" ref="CD114">_xlfn.CONCAT("{BLACK}Length: {GOLD}", TEXT(ROUNDUP(IF(AQ114&lt;&gt;"",SUM(VALUE(_xlfn.TEXTSPLIT(AQ114, ","))), SUM(VALUE(_xlfn.TEXTSPLIT(AN114, ",")))*IF(M114, M114, 1))/16, 1), "#,##0.0"), " tiles{}")</f>
        <v>{BLACK}Length: {GOLD}0.4 tiles{}</v>
      </c>
      <c r="CE114" t="str">
        <f>VLOOKUP($CC114, Constants!$M:$N, 2, FALSE)</f>
        <v/>
      </c>
      <c r="CF114" t="str">
        <f t="shared" si="243"/>
        <v/>
      </c>
      <c r="CG114" t="s">
        <v>700</v>
      </c>
      <c r="CH114" t="str">
        <f t="shared" si="194"/>
        <v/>
      </c>
      <c r="CI114" t="str">
        <f t="shared" si="206"/>
        <v>{YELLOW}Speed bonus for slow wagons{}</v>
      </c>
      <c r="CJ114" t="str">
        <f t="shared" si="207"/>
        <v>{BLACK}Length: {GOLD}0.4 tiles{}{YELLOW}Speed bonus for slow wagons{}{SILVER}BR inherited a large number of brake vans from the Big Four, but quickly set about introducing their own standard model based on 1940s LNER practice.</v>
      </c>
    </row>
    <row r="115" spans="1:88" x14ac:dyDescent="0.35">
      <c r="A115" t="s">
        <v>1379</v>
      </c>
      <c r="B115" t="s">
        <v>1380</v>
      </c>
      <c r="C115">
        <v>149</v>
      </c>
      <c r="E115">
        <v>1</v>
      </c>
      <c r="F115" t="s">
        <v>1498</v>
      </c>
      <c r="G115" t="s">
        <v>1381</v>
      </c>
      <c r="H115" t="s">
        <v>1381</v>
      </c>
      <c r="I115" t="s">
        <v>1370</v>
      </c>
      <c r="J115">
        <v>1700</v>
      </c>
      <c r="L115">
        <v>1870</v>
      </c>
      <c r="N115">
        <v>5</v>
      </c>
      <c r="T115" s="6"/>
      <c r="W115">
        <v>1</v>
      </c>
      <c r="Z115">
        <v>3</v>
      </c>
      <c r="AA115" s="3">
        <f t="shared" si="232"/>
        <v>0.3</v>
      </c>
      <c r="AB115">
        <v>18</v>
      </c>
      <c r="AC115">
        <f t="shared" si="27"/>
        <v>29</v>
      </c>
      <c r="AG115">
        <v>6</v>
      </c>
      <c r="AJ115" s="10">
        <v>0</v>
      </c>
      <c r="AK115" t="str">
        <f>CONCATENATE(VLOOKUP(AL115, 'Voxel Sizes'!$A$2:$B$18,2,FALSE),"x",INT(AH115*15), "x", INT(AI115*15))</f>
        <v>60x0x0</v>
      </c>
      <c r="AL115">
        <f t="shared" si="233"/>
        <v>4</v>
      </c>
      <c r="AN115" t="str">
        <f>CONCATENATE(VLOOKUP(AL115,Constants!$A$2:$C$16,IF(AM115&lt;&gt;"", 3, 2), FALSE),IF(AM115&lt;&gt;"",CONCATENATE(",",VLOOKUP(AM115,$B:$AN,39,FALSE)),""))</f>
        <v>1,2,1</v>
      </c>
      <c r="AV115">
        <v>1</v>
      </c>
      <c r="AX115">
        <v>12</v>
      </c>
      <c r="AY115" s="15">
        <f t="shared" si="234"/>
        <v>178</v>
      </c>
      <c r="AZ115">
        <v>-13</v>
      </c>
      <c r="BA115">
        <v>-3</v>
      </c>
      <c r="BB115">
        <f t="shared" si="235"/>
        <v>3.5999999999999996</v>
      </c>
      <c r="BC115">
        <f t="shared" si="236"/>
        <v>2.5000000000000001E-2</v>
      </c>
      <c r="BD115">
        <f t="shared" si="237"/>
        <v>0.15</v>
      </c>
      <c r="BE115" s="3">
        <f t="shared" si="238"/>
        <v>1</v>
      </c>
      <c r="BF115">
        <f t="shared" si="239"/>
        <v>0</v>
      </c>
      <c r="BG115">
        <f>VLOOKUP($H115,Constants!$I:$K, 2, FALSE)</f>
        <v>0.5</v>
      </c>
      <c r="BH115">
        <f>VLOOKUP($H115,Constants!$I:$K, 3, FALSE)*IF(AND(G115="multiple_unit",AB115&lt;110),0.75,1)</f>
        <v>0.5</v>
      </c>
      <c r="BI115">
        <f>INT(POWER(((Constants!$G$2+$BB115+$BC115+$BD115+$BF115)*$BE115)*$BH115, 1.05))+$BA115</f>
        <v>1</v>
      </c>
      <c r="BJ115">
        <f>INT(POWER((((Constants!$G$1+$BB115+$BC115+$BD115+$BF115)*($BE115))*$BG115),IF($G115="wagon",1,1.2)))+$AZ115</f>
        <v>1</v>
      </c>
      <c r="BK115" s="14">
        <f t="shared" si="240"/>
        <v>781.25</v>
      </c>
      <c r="BL115" s="14">
        <f t="shared" si="241"/>
        <v>81.25</v>
      </c>
      <c r="BU115">
        <v>1</v>
      </c>
      <c r="BZ115" t="str">
        <f>VLOOKUP(J115,Eras!$A$2:$C$10, 2, TRUE)</f>
        <v>early</v>
      </c>
      <c r="CA115" t="s">
        <v>322</v>
      </c>
      <c r="CB115" t="str">
        <f t="shared" si="242"/>
        <v>early_Mixed Traffic</v>
      </c>
      <c r="CC115" t="str">
        <f t="shared" si="204"/>
        <v>horses_PLATEWAY</v>
      </c>
      <c r="CD115" s="17" t="str" cm="1">
        <f t="array" ref="CD115">_xlfn.CONCAT("{BLACK}Length: {GOLD}", TEXT(ROUNDUP(IF(AQ115&lt;&gt;"",SUM(VALUE(_xlfn.TEXTSPLIT(AQ115, ","))), SUM(VALUE(_xlfn.TEXTSPLIT(AN115, ",")))*IF(M115, M115, 1))/16, 1), "#,##0.0"), " tiles{}")</f>
        <v>{BLACK}Length: {GOLD}0.3 tiles{}</v>
      </c>
      <c r="CE115" t="str">
        <f>VLOOKUP($CC115, Constants!$M:$N, 2, FALSE)</f>
        <v>{BLACK}Powered by: {GOLD}Grass and hay</v>
      </c>
      <c r="CF115" t="str">
        <f t="shared" si="243"/>
        <v/>
      </c>
      <c r="CG115" t="s">
        <v>1384</v>
      </c>
      <c r="CH115" t="str">
        <f t="shared" si="194"/>
        <v/>
      </c>
      <c r="CI115" t="str">
        <f t="shared" si="206"/>
        <v/>
      </c>
      <c r="CJ115" t="str">
        <f t="shared" si="207"/>
        <v>{BLACK}Powered by: {GOLD}Grass and hay {}{BLACK}Length: {GOLD}0.3 tiles{}{SILVER}Most early industrial railways used two sources of power: horses and gravity. Often horses would ride downhill in dandy wagons, to save their energy for pulling the train uphill.</v>
      </c>
    </row>
    <row r="116" spans="1:88" x14ac:dyDescent="0.35">
      <c r="A116" t="s">
        <v>1385</v>
      </c>
      <c r="B116" t="s">
        <v>1381</v>
      </c>
      <c r="C116">
        <v>150</v>
      </c>
      <c r="E116">
        <v>2</v>
      </c>
      <c r="F116" t="s">
        <v>1498</v>
      </c>
      <c r="G116" t="s">
        <v>1381</v>
      </c>
      <c r="H116" t="s">
        <v>1381</v>
      </c>
      <c r="I116" t="s">
        <v>1370</v>
      </c>
      <c r="J116">
        <v>1700</v>
      </c>
      <c r="L116">
        <v>1870</v>
      </c>
      <c r="N116">
        <v>10</v>
      </c>
      <c r="T116" s="6"/>
      <c r="W116">
        <v>2</v>
      </c>
      <c r="Z116">
        <v>6</v>
      </c>
      <c r="AA116" s="3">
        <f t="shared" si="232"/>
        <v>0.3</v>
      </c>
      <c r="AB116">
        <v>18</v>
      </c>
      <c r="AC116">
        <f t="shared" ref="AC116:AC180" si="244">ROUND(AB116*1.6, 0)</f>
        <v>29</v>
      </c>
      <c r="AG116">
        <v>6</v>
      </c>
      <c r="AJ116" s="10">
        <v>0</v>
      </c>
      <c r="AK116" t="str">
        <f>CONCATENATE(VLOOKUP(AL116, 'Voxel Sizes'!$A$2:$B$18,2,FALSE),"x",INT(AH116*15), "x", INT(AI116*15))</f>
        <v>60x0x0</v>
      </c>
      <c r="AL116">
        <f t="shared" si="233"/>
        <v>4</v>
      </c>
      <c r="AN116" t="str">
        <f>CONCATENATE(VLOOKUP(AL116,Constants!$A$2:$C$16,IF(AM116&lt;&gt;"", 3, 2), FALSE),IF(AM116&lt;&gt;"",CONCATENATE(",",VLOOKUP(AM116,$B:$AN,39,FALSE)),""))</f>
        <v>1,2,1</v>
      </c>
      <c r="AV116">
        <v>1</v>
      </c>
      <c r="AX116">
        <v>12</v>
      </c>
      <c r="AY116" s="15">
        <f t="shared" si="234"/>
        <v>178</v>
      </c>
      <c r="AZ116">
        <v>-12</v>
      </c>
      <c r="BA116">
        <v>-2</v>
      </c>
      <c r="BB116">
        <f t="shared" si="235"/>
        <v>3.5999999999999996</v>
      </c>
      <c r="BC116">
        <f t="shared" si="236"/>
        <v>0.05</v>
      </c>
      <c r="BD116">
        <f t="shared" si="237"/>
        <v>0.3</v>
      </c>
      <c r="BE116" s="3">
        <f t="shared" si="238"/>
        <v>1</v>
      </c>
      <c r="BF116">
        <f t="shared" si="239"/>
        <v>0</v>
      </c>
      <c r="BG116">
        <f>VLOOKUP($H116,Constants!$I:$K, 2, FALSE)</f>
        <v>0.5</v>
      </c>
      <c r="BH116">
        <f>VLOOKUP($H116,Constants!$I:$K, 3, FALSE)*IF(AND(G116="multiple_unit",AB116&lt;110),0.75,1)</f>
        <v>0.5</v>
      </c>
      <c r="BI116">
        <f>INT(POWER(((Constants!$G$2+$BB116+$BC116+$BD116+$BF116)*$BE116)*$BH116, 1.05))+$BA116</f>
        <v>2</v>
      </c>
      <c r="BJ116">
        <f>INT(POWER((((Constants!$G$1+$BB116+$BC116+$BD116+$BF116)*($BE116))*$BG116),IF($G116="wagon",1,1.2)))+$AZ116</f>
        <v>2</v>
      </c>
      <c r="BK116" s="14">
        <f t="shared" si="240"/>
        <v>1562.5</v>
      </c>
      <c r="BL116" s="14">
        <f t="shared" si="241"/>
        <v>162.5</v>
      </c>
      <c r="BU116">
        <v>1</v>
      </c>
      <c r="BZ116" t="str">
        <f>VLOOKUP(J116,Eras!$A$2:$C$10, 2, TRUE)</f>
        <v>early</v>
      </c>
      <c r="CA116" t="s">
        <v>322</v>
      </c>
      <c r="CB116" t="str">
        <f t="shared" si="242"/>
        <v>early_Mixed Traffic</v>
      </c>
      <c r="CC116" t="str">
        <f t="shared" si="204"/>
        <v>horses_PLATEWAY</v>
      </c>
      <c r="CD116" s="17" t="str" cm="1">
        <f t="array" ref="CD116">_xlfn.CONCAT("{BLACK}Length: {GOLD}", TEXT(ROUNDUP(IF(AQ116&lt;&gt;"",SUM(VALUE(_xlfn.TEXTSPLIT(AQ116, ","))), SUM(VALUE(_xlfn.TEXTSPLIT(AN116, ",")))*IF(M116, M116, 1))/16, 1), "#,##0.0"), " tiles{}")</f>
        <v>{BLACK}Length: {GOLD}0.3 tiles{}</v>
      </c>
      <c r="CE116" t="str">
        <f>VLOOKUP($CC116, Constants!$M:$N, 2, FALSE)</f>
        <v>{BLACK}Powered by: {GOLD}Grass and hay</v>
      </c>
      <c r="CF116" t="str">
        <f t="shared" si="243"/>
        <v/>
      </c>
      <c r="CG116" t="s">
        <v>1386</v>
      </c>
      <c r="CH116" t="str">
        <f t="shared" si="194"/>
        <v/>
      </c>
      <c r="CI116" t="str">
        <f t="shared" si="206"/>
        <v/>
      </c>
      <c r="CJ116" t="str">
        <f t="shared" si="207"/>
        <v>{BLACK}Powered by: {GOLD}Grass and hay {}{BLACK}Length: {GOLD}0.3 tiles{}{SILVER}The power of a horse-drawn train can easily be doubled by the expedient addition of a second horse.</v>
      </c>
    </row>
    <row r="117" spans="1:88" x14ac:dyDescent="0.35">
      <c r="A117" t="s">
        <v>1373</v>
      </c>
      <c r="B117" t="s">
        <v>1374</v>
      </c>
      <c r="C117">
        <v>151</v>
      </c>
      <c r="E117">
        <v>3</v>
      </c>
      <c r="F117" t="s">
        <v>1498</v>
      </c>
      <c r="G117" t="s">
        <v>258</v>
      </c>
      <c r="H117" t="s">
        <v>267</v>
      </c>
      <c r="I117" t="s">
        <v>1370</v>
      </c>
      <c r="J117">
        <v>1813</v>
      </c>
      <c r="L117">
        <v>1862</v>
      </c>
      <c r="N117">
        <v>15</v>
      </c>
      <c r="P117" s="5">
        <v>9</v>
      </c>
      <c r="Q117" s="5">
        <v>36</v>
      </c>
      <c r="R117" s="5">
        <v>2</v>
      </c>
      <c r="S117" s="5">
        <v>50</v>
      </c>
      <c r="T117" s="6">
        <f>((($AB117/2)/60)*5280)/($U117*3.2*PI())</f>
        <v>60.788346319821144</v>
      </c>
      <c r="U117" s="5">
        <v>1.44</v>
      </c>
      <c r="V117" s="5">
        <f>((($P117*$P117/4)*PI())*($Q117/12)*$R117*$S117*$T117)/(33000*1.1)</f>
        <v>31.96022727272728</v>
      </c>
      <c r="W117">
        <v>4</v>
      </c>
      <c r="X117" s="8">
        <v>3</v>
      </c>
      <c r="Z117">
        <v>7</v>
      </c>
      <c r="AA117" s="3">
        <f t="shared" si="232"/>
        <v>0.1</v>
      </c>
      <c r="AB117">
        <v>20</v>
      </c>
      <c r="AC117">
        <f t="shared" si="244"/>
        <v>32</v>
      </c>
      <c r="AG117">
        <v>6</v>
      </c>
      <c r="AJ117" s="10">
        <v>0</v>
      </c>
      <c r="AK117" t="str">
        <f>CONCATENATE(VLOOKUP(AL117, 'Voxel Sizes'!$A$2:$B$18,2,FALSE),"x",INT(AH117*15), "x", INT(AI117*15))</f>
        <v>60x0x0</v>
      </c>
      <c r="AL117">
        <f t="shared" si="233"/>
        <v>4</v>
      </c>
      <c r="AM117" t="s">
        <v>1372</v>
      </c>
      <c r="AN117" t="str">
        <f>CONCATENATE(VLOOKUP(AL117,Constants!$A$2:$C$16,IF(AM117&lt;&gt;"", 3, 2), FALSE),IF(AM117&lt;&gt;"",CONCATENATE(",",VLOOKUP(AM117,$B:$AN,39,FALSE)),""))</f>
        <v>1,2,1,1,2,1</v>
      </c>
      <c r="AX117">
        <v>28</v>
      </c>
      <c r="AY117" s="15">
        <f t="shared" si="234"/>
        <v>57</v>
      </c>
      <c r="AZ117">
        <v>-35</v>
      </c>
      <c r="BA117">
        <v>-12</v>
      </c>
      <c r="BB117">
        <f t="shared" si="235"/>
        <v>4</v>
      </c>
      <c r="BC117">
        <f t="shared" si="236"/>
        <v>7.4999999999999997E-2</v>
      </c>
      <c r="BD117">
        <f t="shared" si="237"/>
        <v>0.35000000000000003</v>
      </c>
      <c r="BE117" s="3">
        <f t="shared" si="238"/>
        <v>1</v>
      </c>
      <c r="BF117">
        <f t="shared" si="239"/>
        <v>0</v>
      </c>
      <c r="BG117">
        <f>VLOOKUP($H117,Constants!$I:$K, 2, FALSE)</f>
        <v>1.1499999999999999</v>
      </c>
      <c r="BH117">
        <f>VLOOKUP($H117,Constants!$I:$K, 3, FALSE)*IF(AND(G117="multiple_unit",AB117&lt;110),0.75,1)</f>
        <v>1.7</v>
      </c>
      <c r="BI117">
        <f>INT(POWER(((Constants!$G$2+$BB117+$BC117+$BD117+$BF117)*$BE117)*$BH117, 1.05))+$BA117</f>
        <v>6</v>
      </c>
      <c r="BJ117">
        <f>INT(POWER((((Constants!$G$1+$BB117+$BC117+$BD117+$BF117)*($BE117))*$BG117),IF($G117="wagon",1,1.2)))+$AZ117</f>
        <v>6</v>
      </c>
      <c r="BK117" s="14">
        <f t="shared" si="240"/>
        <v>4687.5</v>
      </c>
      <c r="BL117" s="14">
        <f t="shared" si="241"/>
        <v>487.5</v>
      </c>
      <c r="BU117">
        <v>3</v>
      </c>
      <c r="BZ117" t="str">
        <f>VLOOKUP(J117,Eras!$A$2:$C$10, 2, TRUE)</f>
        <v>early</v>
      </c>
      <c r="CA117" t="s">
        <v>322</v>
      </c>
      <c r="CB117" t="str">
        <f t="shared" si="242"/>
        <v>early_Mixed Traffic</v>
      </c>
      <c r="CC117" t="str">
        <f t="shared" si="204"/>
        <v>steam_PLATEWAY</v>
      </c>
      <c r="CD117" s="17" t="str" cm="1">
        <f t="array" ref="CD117">_xlfn.CONCAT("{BLACK}Length: {GOLD}", TEXT(ROUNDUP(IF(AQ117&lt;&gt;"",SUM(VALUE(_xlfn.TEXTSPLIT(AQ117, ","))), SUM(VALUE(_xlfn.TEXTSPLIT(AN117, ",")))*IF(M117, M117, 1))/16, 1), "#,##0.0"), " tiles{}")</f>
        <v>{BLACK}Length: {GOLD}0.5 tiles{}</v>
      </c>
      <c r="CE117" t="str">
        <f>VLOOKUP($CC117, Constants!$M:$N, 2, FALSE)</f>
        <v>{BLACK}Powered by: {GOLD}Steam</v>
      </c>
      <c r="CF117" t="str">
        <f t="shared" si="243"/>
        <v/>
      </c>
      <c r="CG117" t="s">
        <v>1377</v>
      </c>
      <c r="CH117" t="str">
        <f t="shared" si="194"/>
        <v/>
      </c>
      <c r="CI117" t="str">
        <f t="shared" si="206"/>
        <v/>
      </c>
      <c r="CJ117" t="str">
        <f t="shared" si="207"/>
        <v>{BLACK}Powered by: {GOLD}Steam {}{BLACK}Length: {GOLD}0.5 tiles{}{SILVER}Puffing Billy was the first steam locomotive to operate by the adhesion of the wheels alone, all previous locomotives using a rack by the railside. The real version was very slow, capable only of walking speeds.</v>
      </c>
    </row>
    <row r="118" spans="1:88" x14ac:dyDescent="0.35">
      <c r="A118" t="s">
        <v>1513</v>
      </c>
      <c r="B118" t="s">
        <v>1511</v>
      </c>
      <c r="C118">
        <v>751</v>
      </c>
      <c r="E118">
        <v>4</v>
      </c>
      <c r="F118" t="s">
        <v>1498</v>
      </c>
      <c r="G118" t="s">
        <v>258</v>
      </c>
      <c r="H118" t="s">
        <v>267</v>
      </c>
      <c r="I118" t="s">
        <v>1370</v>
      </c>
      <c r="J118">
        <v>1825</v>
      </c>
      <c r="L118">
        <v>1857</v>
      </c>
      <c r="N118">
        <v>25</v>
      </c>
      <c r="P118" s="5">
        <v>9</v>
      </c>
      <c r="Q118" s="5">
        <v>24</v>
      </c>
      <c r="R118" s="5">
        <v>2</v>
      </c>
      <c r="S118" s="5">
        <v>50</v>
      </c>
      <c r="T118" s="6">
        <f>((($AB118/2)/60)*5280)/($U118*3.2*PI())</f>
        <v>53.812634447054783</v>
      </c>
      <c r="U118" s="5">
        <v>1.22</v>
      </c>
      <c r="V118" s="5">
        <f>((($P118*$P118/4)*PI())*($Q118/12)*$R118*$S118*$T118)/(33000*1.1)</f>
        <v>18.86177347242921</v>
      </c>
      <c r="W118">
        <v>4</v>
      </c>
      <c r="X118" s="8">
        <v>3</v>
      </c>
      <c r="Z118">
        <v>10</v>
      </c>
      <c r="AA118" s="3">
        <f t="shared" ref="AA118:AA119" si="245">IF(AND(W118&gt;0,Z118&gt;0),(Z118/((W118+X118)*10)),"")</f>
        <v>0.14285714285714285</v>
      </c>
      <c r="AB118">
        <v>15</v>
      </c>
      <c r="AC118">
        <f t="shared" ref="AC118:AC119" si="246">ROUND(AB118*1.6, 0)</f>
        <v>24</v>
      </c>
      <c r="AG118">
        <v>6</v>
      </c>
      <c r="AJ118" s="10">
        <v>0</v>
      </c>
      <c r="AK118" t="str">
        <f>CONCATENATE(VLOOKUP(AL118, 'Voxel Sizes'!$A$2:$B$18,2,FALSE),"x",INT(AH118*15), "x", INT(AI118*15))</f>
        <v>60x0x0</v>
      </c>
      <c r="AL118">
        <f t="shared" ref="AL118:AL119" si="247">ROUND(15*((AG118*10)/256),0)</f>
        <v>4</v>
      </c>
      <c r="AM118" t="s">
        <v>1518</v>
      </c>
      <c r="AN118" t="str">
        <f>CONCATENATE(VLOOKUP(AL118,Constants!$A$2:$C$16,IF(AM118&lt;&gt;"", 3, 2), FALSE),IF(AM118&lt;&gt;"",CONCATENATE(",",VLOOKUP(AM118,$B:$AN,39,FALSE)),""))</f>
        <v>1,2,1,1,2,1</v>
      </c>
      <c r="AV118">
        <v>1</v>
      </c>
      <c r="AX118">
        <v>24</v>
      </c>
      <c r="AY118" s="15">
        <f t="shared" ref="AY118:AY119" si="248">IF(L118&lt;&gt;"",MAX(16,(L118-J118)+8),"")</f>
        <v>40</v>
      </c>
      <c r="AZ118">
        <v>-29</v>
      </c>
      <c r="BA118">
        <v>-8</v>
      </c>
      <c r="BB118">
        <f t="shared" ref="BB118:BB119" si="249">MIN(AB118/150, 1)*30</f>
        <v>3</v>
      </c>
      <c r="BC118">
        <f t="shared" ref="BC118:BC119" si="250">MIN(N118/4000, 1)*20</f>
        <v>0.125</v>
      </c>
      <c r="BD118">
        <f t="shared" ref="BD118:BD119" si="251">MIN(Z118/400,1)*20</f>
        <v>0.5</v>
      </c>
      <c r="BE118" s="3">
        <f t="shared" ref="BE118:BE119" si="252">1-(MAX(J118-1900, 0)/750)</f>
        <v>1</v>
      </c>
      <c r="BF118">
        <f t="shared" ref="BF118:BF119" si="253">((MAX($M118,1)*MIN($AJ118/300,1)))*IF(G118="Wagon",50,10)</f>
        <v>0</v>
      </c>
      <c r="BG118">
        <f>VLOOKUP($H118,Constants!$I:$K, 2, FALSE)</f>
        <v>1.1499999999999999</v>
      </c>
      <c r="BH118">
        <f>VLOOKUP($H118,Constants!$I:$K, 3, FALSE)*IF(AND(G118="multiple_unit",AB118&lt;110),0.75,1)</f>
        <v>1.7</v>
      </c>
      <c r="BI118">
        <f>INT(POWER(((Constants!$G$2+$BB118+$BC118+$BD118+$BF118)*$BE118)*$BH118, 1.05))+$BA118</f>
        <v>8</v>
      </c>
      <c r="BJ118">
        <f>INT(POWER((((Constants!$G$1+$BB118+$BC118+$BD118+$BF118)*($BE118))*$BG118),IF($G118="wagon",1,1.2)))+$AZ118</f>
        <v>10</v>
      </c>
      <c r="BK118" s="14">
        <f t="shared" ref="BK118:BK119" si="254">BI118*IF($G118="wagon",62.5,781.25)</f>
        <v>6250</v>
      </c>
      <c r="BL118" s="14">
        <f t="shared" ref="BL118:BL119" si="255">BJ118*IF($G118="wagon",2.73,81.25)</f>
        <v>812.5</v>
      </c>
      <c r="BU118">
        <v>1</v>
      </c>
      <c r="BZ118" t="str">
        <f>VLOOKUP(J118,Eras!$A$2:$C$10, 2, TRUE)</f>
        <v>early</v>
      </c>
      <c r="CA118" t="s">
        <v>322</v>
      </c>
      <c r="CB118" t="str">
        <f t="shared" ref="CB118:CB119" si="256">CONCATENATE(BZ118,"_",CA118)</f>
        <v>early_Mixed Traffic</v>
      </c>
      <c r="CC118" t="str">
        <f t="shared" si="204"/>
        <v>steam_PLATEWAY</v>
      </c>
      <c r="CD118" s="17" t="str" cm="1">
        <f t="array" ref="CD118">_xlfn.CONCAT("{BLACK}Length: {GOLD}", TEXT(ROUNDUP(IF(AQ118&lt;&gt;"",SUM(VALUE(_xlfn.TEXTSPLIT(AQ118, ","))), SUM(VALUE(_xlfn.TEXTSPLIT(AN118, ",")))*IF(M118, M118, 1))/16, 1), "#,##0.0"), " tiles{}")</f>
        <v>{BLACK}Length: {GOLD}0.5 tiles{}</v>
      </c>
      <c r="CE118" t="str">
        <f>VLOOKUP($CC118, Constants!$M:$N, 2, FALSE)</f>
        <v>{BLACK}Powered by: {GOLD}Steam</v>
      </c>
      <c r="CF118" t="str">
        <f t="shared" si="243"/>
        <v/>
      </c>
      <c r="CG118" t="s">
        <v>1512</v>
      </c>
      <c r="CH118" t="str">
        <f t="shared" si="194"/>
        <v/>
      </c>
      <c r="CI118" t="str">
        <f t="shared" si="206"/>
        <v/>
      </c>
      <c r="CJ118" t="str">
        <f t="shared" si="207"/>
        <v>{BLACK}Powered by: {GOLD}Steam {}{BLACK}Length: {GOLD}0.5 tiles{}{SILVER}Originally named "Active", the Stockton and Darlington's Locomotion No. 1 was the first steam locomotive to operate on a public railway. Unfortunately the early design was flawed and it soon became obsolete.</v>
      </c>
    </row>
    <row r="119" spans="1:88" x14ac:dyDescent="0.35">
      <c r="A119" t="s">
        <v>1514</v>
      </c>
      <c r="B119" t="s">
        <v>1515</v>
      </c>
      <c r="C119">
        <v>752</v>
      </c>
      <c r="E119">
        <v>5</v>
      </c>
      <c r="F119" t="s">
        <v>1498</v>
      </c>
      <c r="G119" t="s">
        <v>258</v>
      </c>
      <c r="H119" t="s">
        <v>267</v>
      </c>
      <c r="I119" t="s">
        <v>1370</v>
      </c>
      <c r="J119">
        <v>1827</v>
      </c>
      <c r="L119">
        <v>1858</v>
      </c>
      <c r="N119">
        <v>30</v>
      </c>
      <c r="P119" s="5">
        <v>9</v>
      </c>
      <c r="Q119" s="5">
        <v>36</v>
      </c>
      <c r="R119" s="5">
        <v>2</v>
      </c>
      <c r="S119" s="5">
        <v>50</v>
      </c>
      <c r="T119" s="6">
        <f>((($AB119/2)/60)*5280)/($U119*3.2*PI())</f>
        <v>54.709511687839033</v>
      </c>
      <c r="U119" s="5">
        <v>1.44</v>
      </c>
      <c r="V119" s="5">
        <f>((($P119*$P119/4)*PI())*($Q119/12)*$R119*$S119*$T119)/(33000*1.1)</f>
        <v>28.76420454545455</v>
      </c>
      <c r="W119">
        <v>5</v>
      </c>
      <c r="X119" s="8">
        <v>3</v>
      </c>
      <c r="Z119">
        <v>11</v>
      </c>
      <c r="AA119" s="3">
        <f t="shared" si="245"/>
        <v>0.13750000000000001</v>
      </c>
      <c r="AB119">
        <v>18</v>
      </c>
      <c r="AC119">
        <f t="shared" si="246"/>
        <v>29</v>
      </c>
      <c r="AG119">
        <v>8</v>
      </c>
      <c r="AJ119" s="10">
        <v>0</v>
      </c>
      <c r="AK119" t="str">
        <f>CONCATENATE(VLOOKUP(AL119, 'Voxel Sizes'!$A$2:$B$18,2,FALSE),"x",INT(AH119*15), "x", INT(AI119*15))</f>
        <v>82x0x0</v>
      </c>
      <c r="AL119">
        <f t="shared" si="247"/>
        <v>5</v>
      </c>
      <c r="AM119" t="s">
        <v>1518</v>
      </c>
      <c r="AN119" t="str">
        <f>CONCATENATE(VLOOKUP(AL119,Constants!$A$2:$C$16,IF(AM119&lt;&gt;"", 3, 2), FALSE),IF(AM119&lt;&gt;"",CONCATENATE(",",VLOOKUP(AM119,$B:$AN,39,FALSE)),""))</f>
        <v>2,1,2,1,2,1</v>
      </c>
      <c r="AV119">
        <v>1</v>
      </c>
      <c r="AX119">
        <v>26</v>
      </c>
      <c r="AY119" s="15">
        <f t="shared" si="248"/>
        <v>39</v>
      </c>
      <c r="AZ119">
        <v>-26</v>
      </c>
      <c r="BA119">
        <v>-8</v>
      </c>
      <c r="BB119">
        <f t="shared" si="249"/>
        <v>3.5999999999999996</v>
      </c>
      <c r="BC119">
        <f t="shared" si="250"/>
        <v>0.15</v>
      </c>
      <c r="BD119">
        <f t="shared" si="251"/>
        <v>0.55000000000000004</v>
      </c>
      <c r="BE119" s="3">
        <f t="shared" si="252"/>
        <v>1</v>
      </c>
      <c r="BF119">
        <f t="shared" si="253"/>
        <v>0</v>
      </c>
      <c r="BG119">
        <f>VLOOKUP($H119,Constants!$I:$K, 2, FALSE)</f>
        <v>1.1499999999999999</v>
      </c>
      <c r="BH119">
        <f>VLOOKUP($H119,Constants!$I:$K, 3, FALSE)*IF(AND(G119="multiple_unit",AB119&lt;110),0.75,1)</f>
        <v>1.7</v>
      </c>
      <c r="BI119">
        <f>INT(POWER(((Constants!$G$2+$BB119+$BC119+$BD119+$BF119)*$BE119)*$BH119, 1.05))+$BA119</f>
        <v>10</v>
      </c>
      <c r="BJ119">
        <f>INT(POWER((((Constants!$G$1+$BB119+$BC119+$BD119+$BF119)*($BE119))*$BG119),IF($G119="wagon",1,1.2)))+$AZ119</f>
        <v>15</v>
      </c>
      <c r="BK119" s="14">
        <f t="shared" si="254"/>
        <v>7812.5</v>
      </c>
      <c r="BL119" s="14">
        <f t="shared" si="255"/>
        <v>1218.75</v>
      </c>
      <c r="BU119">
        <v>11</v>
      </c>
      <c r="BZ119" t="str">
        <f>VLOOKUP(J119,Eras!$A$2:$C$10, 2, TRUE)</f>
        <v>early</v>
      </c>
      <c r="CA119" t="s">
        <v>322</v>
      </c>
      <c r="CB119" t="str">
        <f t="shared" si="256"/>
        <v>early_Mixed Traffic</v>
      </c>
      <c r="CC119" t="str">
        <f t="shared" si="204"/>
        <v>steam_PLATEWAY</v>
      </c>
      <c r="CD119" s="17" t="str" cm="1">
        <f t="array" ref="CD119">_xlfn.CONCAT("{BLACK}Length: {GOLD}", TEXT(ROUNDUP(IF(AQ119&lt;&gt;"",SUM(VALUE(_xlfn.TEXTSPLIT(AQ119, ","))), SUM(VALUE(_xlfn.TEXTSPLIT(AN119, ",")))*IF(M119, M119, 1))/16, 1), "#,##0.0"), " tiles{}")</f>
        <v>{BLACK}Length: {GOLD}0.6 tiles{}</v>
      </c>
      <c r="CE119" t="str">
        <f>VLOOKUP($CC119, Constants!$M:$N, 2, FALSE)</f>
        <v>{BLACK}Powered by: {GOLD}Steam</v>
      </c>
      <c r="CF119" t="str">
        <f t="shared" si="243"/>
        <v/>
      </c>
      <c r="CG119" t="s">
        <v>1516</v>
      </c>
      <c r="CH119" t="str">
        <f t="shared" si="194"/>
        <v/>
      </c>
      <c r="CI119" t="str">
        <f t="shared" si="206"/>
        <v/>
      </c>
      <c r="CJ119" t="str">
        <f t="shared" si="207"/>
        <v>{BLACK}Powered by: {GOLD}Steam {}{BLACK}Length: {GOLD}0.6 tiles{}{SILVER}Timothy Hackworth was an influential early locomotive engineer. The Royal George locomotive was built around the boiler from an earlier locomotive Chittaprat, and was capable of hauling heavy coal trains.</v>
      </c>
    </row>
    <row r="120" spans="1:88" x14ac:dyDescent="0.35">
      <c r="A120" t="s">
        <v>1387</v>
      </c>
      <c r="B120" t="s">
        <v>1388</v>
      </c>
      <c r="C120">
        <v>152</v>
      </c>
      <c r="E120">
        <v>6</v>
      </c>
      <c r="F120" t="s">
        <v>1498</v>
      </c>
      <c r="G120" t="s">
        <v>1388</v>
      </c>
      <c r="H120" t="s">
        <v>1381</v>
      </c>
      <c r="I120" t="s">
        <v>1370</v>
      </c>
      <c r="J120">
        <v>1829</v>
      </c>
      <c r="L120">
        <v>1842</v>
      </c>
      <c r="N120">
        <v>10</v>
      </c>
      <c r="T120" s="6"/>
      <c r="W120">
        <v>3</v>
      </c>
      <c r="Z120">
        <v>8</v>
      </c>
      <c r="AA120" s="3">
        <f t="shared" si="232"/>
        <v>0.26666666666666666</v>
      </c>
      <c r="AB120">
        <v>22</v>
      </c>
      <c r="AC120">
        <f t="shared" si="244"/>
        <v>35</v>
      </c>
      <c r="AG120">
        <v>8</v>
      </c>
      <c r="AJ120" s="10">
        <v>0</v>
      </c>
      <c r="AK120" t="str">
        <f>CONCATENATE(VLOOKUP(AL120, 'Voxel Sizes'!$A$2:$B$18,2,FALSE),"x",INT(AH120*15), "x", INT(AI120*15))</f>
        <v>82x0x0</v>
      </c>
      <c r="AL120">
        <f t="shared" si="233"/>
        <v>5</v>
      </c>
      <c r="AN120" t="str">
        <f>CONCATENATE(VLOOKUP(AL120,Constants!$A$2:$C$16,IF(AM120&lt;&gt;"", 3, 2), FALSE),IF(AM120&lt;&gt;"",CONCATENATE(",",VLOOKUP(AM120,$B:$AN,39,FALSE)),""))</f>
        <v>2,1,2</v>
      </c>
      <c r="AV120">
        <v>1</v>
      </c>
      <c r="AX120">
        <v>12</v>
      </c>
      <c r="AY120" s="15">
        <f t="shared" si="234"/>
        <v>21</v>
      </c>
      <c r="AZ120">
        <v>-13</v>
      </c>
      <c r="BA120">
        <v>-1</v>
      </c>
      <c r="BB120">
        <f t="shared" si="235"/>
        <v>4.4000000000000004</v>
      </c>
      <c r="BC120">
        <f t="shared" si="236"/>
        <v>0.05</v>
      </c>
      <c r="BD120">
        <f t="shared" si="237"/>
        <v>0.4</v>
      </c>
      <c r="BE120" s="3">
        <f t="shared" si="238"/>
        <v>1</v>
      </c>
      <c r="BF120">
        <f t="shared" si="239"/>
        <v>0</v>
      </c>
      <c r="BG120">
        <f>VLOOKUP($H120,Constants!$I:$K, 2, FALSE)</f>
        <v>0.5</v>
      </c>
      <c r="BH120">
        <f>VLOOKUP($H120,Constants!$I:$K, 3, FALSE)*IF(AND(G120="multiple_unit",AB120&lt;110),0.75,1)</f>
        <v>0.5</v>
      </c>
      <c r="BI120">
        <f>INT(POWER(((Constants!$G$2+$BB120+$BC120+$BD120+$BF120)*$BE120)*$BH120, 1.05))+$BA120</f>
        <v>4</v>
      </c>
      <c r="BJ120">
        <f>INT(POWER((((Constants!$G$1+$BB120+$BC120+$BD120+$BF120)*($BE120))*$BG120),IF($G120="wagon",1,1.2)))+$AZ120</f>
        <v>2</v>
      </c>
      <c r="BK120" s="14">
        <f t="shared" si="240"/>
        <v>3125</v>
      </c>
      <c r="BL120" s="14">
        <f t="shared" si="241"/>
        <v>162.5</v>
      </c>
      <c r="BU120">
        <v>3</v>
      </c>
      <c r="BZ120" t="str">
        <f>VLOOKUP(J120,Eras!$A$2:$C$10, 2, TRUE)</f>
        <v>early</v>
      </c>
      <c r="CA120" t="s">
        <v>322</v>
      </c>
      <c r="CB120" t="str">
        <f t="shared" si="242"/>
        <v>early_Mixed Traffic</v>
      </c>
      <c r="CC120" t="str">
        <f t="shared" si="204"/>
        <v>horses_PLATEWAY</v>
      </c>
      <c r="CD120" s="17" t="str" cm="1">
        <f t="array" ref="CD120">_xlfn.CONCAT("{BLACK}Length: {GOLD}", TEXT(ROUNDUP(IF(AQ120&lt;&gt;"",SUM(VALUE(_xlfn.TEXTSPLIT(AQ120, ","))), SUM(VALUE(_xlfn.TEXTSPLIT(AN120, ",")))*IF(M120, M120, 1))/16, 1), "#,##0.0"), " tiles{}")</f>
        <v>{BLACK}Length: {GOLD}0.4 tiles{}</v>
      </c>
      <c r="CE120" t="str">
        <f>VLOOKUP($CC120, Constants!$M:$N, 2, FALSE)</f>
        <v>{BLACK}Powered by: {GOLD}Grass and hay</v>
      </c>
      <c r="CF120" t="str">
        <f t="shared" si="243"/>
        <v/>
      </c>
      <c r="CG120" t="s">
        <v>1389</v>
      </c>
      <c r="CH120" t="str">
        <f t="shared" si="194"/>
        <v/>
      </c>
      <c r="CI120" t="str">
        <f t="shared" si="206"/>
        <v/>
      </c>
      <c r="CJ120" t="str">
        <f t="shared" si="207"/>
        <v>{BLACK}Powered by: {GOLD}Grass and hay {}{BLACK}Length: {GOLD}0.4 tiles{}{SILVER}Brandreth's "Cycloped" was the only entry in the Rainhill Trials not powered by steam. Unfortunately during the trials the horse burst through the floor, withdrawing it from the competition.</v>
      </c>
    </row>
    <row r="121" spans="1:88" x14ac:dyDescent="0.35">
      <c r="A121" t="s">
        <v>1361</v>
      </c>
      <c r="B121" t="s">
        <v>1357</v>
      </c>
      <c r="C121">
        <v>153</v>
      </c>
      <c r="E121">
        <v>7</v>
      </c>
      <c r="F121" t="s">
        <v>1498</v>
      </c>
      <c r="G121" t="s">
        <v>258</v>
      </c>
      <c r="H121" t="s">
        <v>267</v>
      </c>
      <c r="I121" t="s">
        <v>1370</v>
      </c>
      <c r="J121">
        <v>1829</v>
      </c>
      <c r="L121">
        <v>1846</v>
      </c>
      <c r="N121">
        <v>30</v>
      </c>
      <c r="P121" s="5">
        <v>8</v>
      </c>
      <c r="Q121" s="5">
        <v>17</v>
      </c>
      <c r="R121" s="5">
        <v>2</v>
      </c>
      <c r="S121" s="5">
        <v>50</v>
      </c>
      <c r="T121" s="6">
        <f t="shared" ref="T121:T142" si="257">((($AB121/2)/60)*5280)/($U121*3.2*PI())</f>
        <v>91.18251947973171</v>
      </c>
      <c r="U121" s="5">
        <v>1.44</v>
      </c>
      <c r="V121" s="5">
        <f t="shared" ref="V121:V142" si="258">((($P121*$P121/4)*PI())*($Q121/12)*$R121*$S121*$T121)/(33000*1.1)</f>
        <v>17.887205387205388</v>
      </c>
      <c r="W121">
        <v>4</v>
      </c>
      <c r="X121" s="8">
        <v>3</v>
      </c>
      <c r="Z121">
        <v>8.5</v>
      </c>
      <c r="AA121" s="3">
        <f t="shared" si="232"/>
        <v>0.12142857142857143</v>
      </c>
      <c r="AB121">
        <v>30</v>
      </c>
      <c r="AC121">
        <f t="shared" si="244"/>
        <v>48</v>
      </c>
      <c r="AG121">
        <v>6</v>
      </c>
      <c r="AJ121" s="10">
        <v>0</v>
      </c>
      <c r="AK121" t="str">
        <f>CONCATENATE(VLOOKUP(AL121, 'Voxel Sizes'!$A$2:$B$18,2,FALSE),"x",INT(AH121*15), "x", INT(AI121*15))</f>
        <v>60x0x0</v>
      </c>
      <c r="AL121">
        <f t="shared" si="233"/>
        <v>4</v>
      </c>
      <c r="AM121" t="s">
        <v>1359</v>
      </c>
      <c r="AN121" t="str">
        <f>CONCATENATE(VLOOKUP(AL121,Constants!$A$2:$C$16,IF(AM121&lt;&gt;"", 3, 2), FALSE),IF(AM121&lt;&gt;"",CONCATENATE(",",VLOOKUP(AM121,$B:$AN,39,FALSE)),""))</f>
        <v>1,2,1,1,2,1</v>
      </c>
      <c r="AV121">
        <v>1</v>
      </c>
      <c r="AX121">
        <v>22</v>
      </c>
      <c r="AY121" s="15">
        <f t="shared" si="234"/>
        <v>25</v>
      </c>
      <c r="AZ121">
        <v>-28</v>
      </c>
      <c r="BA121">
        <v>-12</v>
      </c>
      <c r="BB121">
        <f t="shared" si="235"/>
        <v>6</v>
      </c>
      <c r="BC121">
        <f t="shared" si="236"/>
        <v>0.15</v>
      </c>
      <c r="BD121">
        <f t="shared" si="237"/>
        <v>0.42500000000000004</v>
      </c>
      <c r="BE121" s="3">
        <f t="shared" si="238"/>
        <v>1</v>
      </c>
      <c r="BF121">
        <f t="shared" si="239"/>
        <v>0</v>
      </c>
      <c r="BG121">
        <f>VLOOKUP($H121,Constants!$I:$K, 2, FALSE)</f>
        <v>1.1499999999999999</v>
      </c>
      <c r="BH121">
        <f>VLOOKUP($H121,Constants!$I:$K, 3, FALSE)*IF(AND(G121="multiple_unit",AB121&lt;110),0.75,1)</f>
        <v>1.7</v>
      </c>
      <c r="BI121">
        <f>INT(POWER(((Constants!$G$2+$BB121+$BC121+$BD121+$BF121)*$BE121)*$BH121, 1.05))+$BA121</f>
        <v>10</v>
      </c>
      <c r="BJ121">
        <f>INT(POWER((((Constants!$G$1+$BB121+$BC121+$BD121+$BF121)*($BE121))*$BG121),IF($G121="wagon",1,1.2)))+$AZ121</f>
        <v>19</v>
      </c>
      <c r="BK121" s="14">
        <f t="shared" si="240"/>
        <v>7812.5</v>
      </c>
      <c r="BL121" s="14">
        <f t="shared" si="241"/>
        <v>1543.75</v>
      </c>
      <c r="BU121">
        <v>3</v>
      </c>
      <c r="BZ121" t="str">
        <f>VLOOKUP(J121,Eras!$A$2:$C$10, 2, TRUE)</f>
        <v>early</v>
      </c>
      <c r="CA121" t="s">
        <v>322</v>
      </c>
      <c r="CB121" t="str">
        <f t="shared" si="242"/>
        <v>early_Mixed Traffic</v>
      </c>
      <c r="CC121" t="str">
        <f t="shared" si="204"/>
        <v>steam_PLATEWAY</v>
      </c>
      <c r="CD121" s="17" t="str" cm="1">
        <f t="array" ref="CD121">_xlfn.CONCAT("{BLACK}Length: {GOLD}", TEXT(ROUNDUP(IF(AQ121&lt;&gt;"",SUM(VALUE(_xlfn.TEXTSPLIT(AQ121, ","))), SUM(VALUE(_xlfn.TEXTSPLIT(AN121, ",")))*IF(M121, M121, 1))/16, 1), "#,##0.0"), " tiles{}")</f>
        <v>{BLACK}Length: {GOLD}0.5 tiles{}</v>
      </c>
      <c r="CE121" t="str">
        <f>VLOOKUP($CC121, Constants!$M:$N, 2, FALSE)</f>
        <v>{BLACK}Powered by: {GOLD}Steam</v>
      </c>
      <c r="CF121" t="str">
        <f t="shared" si="243"/>
        <v/>
      </c>
      <c r="CG121" t="s">
        <v>1358</v>
      </c>
      <c r="CH121" t="str">
        <f t="shared" si="194"/>
        <v/>
      </c>
      <c r="CI121" t="str">
        <f t="shared" si="206"/>
        <v/>
      </c>
      <c r="CJ121" t="str">
        <f t="shared" si="207"/>
        <v>{BLACK}Powered by: {GOLD}Steam {}{BLACK}Length: {GOLD}0.5 tiles{}{SILVER}Although not the first steam locomotive, Rocket's advanced design and success in the Rainhill trials made it the pivotal design for steam engines to replace horses on the railway.</v>
      </c>
    </row>
    <row r="122" spans="1:88" x14ac:dyDescent="0.35">
      <c r="A122" t="s">
        <v>1362</v>
      </c>
      <c r="B122" t="s">
        <v>144</v>
      </c>
      <c r="C122">
        <v>154</v>
      </c>
      <c r="E122">
        <v>8</v>
      </c>
      <c r="F122" t="s">
        <v>1498</v>
      </c>
      <c r="G122" t="s">
        <v>258</v>
      </c>
      <c r="H122" t="s">
        <v>267</v>
      </c>
      <c r="I122" t="s">
        <v>1370</v>
      </c>
      <c r="J122">
        <v>1830</v>
      </c>
      <c r="L122">
        <v>1850</v>
      </c>
      <c r="N122">
        <v>50</v>
      </c>
      <c r="P122" s="5">
        <v>11</v>
      </c>
      <c r="Q122" s="5">
        <v>16</v>
      </c>
      <c r="R122" s="5">
        <v>2</v>
      </c>
      <c r="S122" s="5">
        <v>50</v>
      </c>
      <c r="T122" s="6">
        <f t="shared" si="257"/>
        <v>100.78067942496661</v>
      </c>
      <c r="U122" s="5">
        <v>1.52</v>
      </c>
      <c r="V122" s="5">
        <f t="shared" si="258"/>
        <v>35.179093567251456</v>
      </c>
      <c r="W122">
        <v>4.3</v>
      </c>
      <c r="X122" s="8">
        <v>3</v>
      </c>
      <c r="Z122">
        <v>8.5</v>
      </c>
      <c r="AA122" s="3">
        <f t="shared" si="232"/>
        <v>0.11643835616438356</v>
      </c>
      <c r="AB122">
        <v>35</v>
      </c>
      <c r="AC122">
        <f t="shared" si="244"/>
        <v>56</v>
      </c>
      <c r="AG122">
        <v>6</v>
      </c>
      <c r="AJ122" s="10">
        <v>0</v>
      </c>
      <c r="AK122" t="str">
        <f>CONCATENATE(VLOOKUP(AL122, 'Voxel Sizes'!$A$2:$B$18,2,FALSE),"x",INT(AH122*15), "x", INT(AI122*15))</f>
        <v>60x0x0</v>
      </c>
      <c r="AL122">
        <f t="shared" si="233"/>
        <v>4</v>
      </c>
      <c r="AM122" t="s">
        <v>1353</v>
      </c>
      <c r="AN122" t="str">
        <f>CONCATENATE(VLOOKUP(AL122,Constants!$A$2:$C$16,IF(AM122&lt;&gt;"", 3, 2), FALSE),IF(AM122&lt;&gt;"",CONCATENATE(",",VLOOKUP(AM122,$B:$AN,39,FALSE)),""))</f>
        <v>1,2,1,1,2,1</v>
      </c>
      <c r="AX122">
        <v>26</v>
      </c>
      <c r="AY122" s="15">
        <f t="shared" si="234"/>
        <v>28</v>
      </c>
      <c r="AZ122">
        <v>-24</v>
      </c>
      <c r="BA122">
        <v>-12</v>
      </c>
      <c r="BB122">
        <f t="shared" si="235"/>
        <v>7</v>
      </c>
      <c r="BC122">
        <f t="shared" si="236"/>
        <v>0.25</v>
      </c>
      <c r="BD122">
        <f t="shared" si="237"/>
        <v>0.42500000000000004</v>
      </c>
      <c r="BE122" s="3">
        <f t="shared" si="238"/>
        <v>1</v>
      </c>
      <c r="BF122">
        <f t="shared" si="239"/>
        <v>0</v>
      </c>
      <c r="BG122">
        <f>VLOOKUP($H122,Constants!$I:$K, 2, FALSE)</f>
        <v>1.1499999999999999</v>
      </c>
      <c r="BH122">
        <f>VLOOKUP($H122,Constants!$I:$K, 3, FALSE)*IF(AND(G122="multiple_unit",AB122&lt;110),0.75,1)</f>
        <v>1.7</v>
      </c>
      <c r="BI122">
        <f>INT(POWER(((Constants!$G$2+$BB122+$BC122+$BD122+$BF122)*$BE122)*$BH122, 1.05))+$BA122</f>
        <v>13</v>
      </c>
      <c r="BJ122">
        <f>INT(POWER((((Constants!$G$1+$BB122+$BC122+$BD122+$BF122)*($BE122))*$BG122),IF($G122="wagon",1,1.2)))+$AZ122</f>
        <v>26</v>
      </c>
      <c r="BK122" s="14">
        <f t="shared" si="240"/>
        <v>10156.25</v>
      </c>
      <c r="BL122" s="14">
        <f t="shared" si="241"/>
        <v>2112.5</v>
      </c>
      <c r="BU122">
        <v>9</v>
      </c>
      <c r="BZ122" t="str">
        <f>VLOOKUP(J122,Eras!$A$2:$C$10, 2, TRUE)</f>
        <v>early</v>
      </c>
      <c r="CA122" t="s">
        <v>322</v>
      </c>
      <c r="CB122" t="str">
        <f t="shared" si="242"/>
        <v>early_Mixed Traffic</v>
      </c>
      <c r="CC122" t="str">
        <f t="shared" si="204"/>
        <v>steam_PLATEWAY</v>
      </c>
      <c r="CD122" s="17" t="str" cm="1">
        <f t="array" ref="CD122">_xlfn.CONCAT("{BLACK}Length: {GOLD}", TEXT(ROUNDUP(IF(AQ122&lt;&gt;"",SUM(VALUE(_xlfn.TEXTSPLIT(AQ122, ","))), SUM(VALUE(_xlfn.TEXTSPLIT(AN122, ",")))*IF(M122, M122, 1))/16, 1), "#,##0.0"), " tiles{}")</f>
        <v>{BLACK}Length: {GOLD}0.5 tiles{}</v>
      </c>
      <c r="CE122" t="str">
        <f>VLOOKUP($CC122, Constants!$M:$N, 2, FALSE)</f>
        <v>{BLACK}Powered by: {GOLD}Steam</v>
      </c>
      <c r="CF122" t="str">
        <f t="shared" si="243"/>
        <v/>
      </c>
      <c r="CG122" t="s">
        <v>1354</v>
      </c>
      <c r="CH122" t="str">
        <f t="shared" si="194"/>
        <v/>
      </c>
      <c r="CI122" t="str">
        <f t="shared" si="206"/>
        <v/>
      </c>
      <c r="CJ122" t="str">
        <f t="shared" si="207"/>
        <v>{BLACK}Powered by: {GOLD}Steam {}{BLACK}Length: {GOLD}0.5 tiles{}{SILVER}Stephenson's "Planet" locomotives made several improvements to the Rocket design, including being the first locomotive to feature cylinders inside the frame.</v>
      </c>
    </row>
    <row r="123" spans="1:88" x14ac:dyDescent="0.35">
      <c r="A123" t="s">
        <v>1363</v>
      </c>
      <c r="B123" t="s">
        <v>1355</v>
      </c>
      <c r="C123">
        <v>155</v>
      </c>
      <c r="E123">
        <v>9</v>
      </c>
      <c r="F123" t="s">
        <v>1498</v>
      </c>
      <c r="G123" t="s">
        <v>258</v>
      </c>
      <c r="H123" t="s">
        <v>267</v>
      </c>
      <c r="I123" t="s">
        <v>270</v>
      </c>
      <c r="J123">
        <v>1833</v>
      </c>
      <c r="L123">
        <v>1865</v>
      </c>
      <c r="N123">
        <v>75</v>
      </c>
      <c r="P123" s="5">
        <v>11</v>
      </c>
      <c r="Q123" s="5">
        <v>16</v>
      </c>
      <c r="R123" s="5">
        <v>2</v>
      </c>
      <c r="S123" s="5">
        <v>50</v>
      </c>
      <c r="T123" s="6">
        <f t="shared" si="257"/>
        <v>109.41902337567804</v>
      </c>
      <c r="U123" s="5">
        <v>1.52</v>
      </c>
      <c r="V123" s="5">
        <f t="shared" si="258"/>
        <v>38.194444444444443</v>
      </c>
      <c r="W123">
        <v>5</v>
      </c>
      <c r="X123" s="8">
        <v>3</v>
      </c>
      <c r="Z123">
        <v>11</v>
      </c>
      <c r="AA123" s="3">
        <f t="shared" si="232"/>
        <v>0.13750000000000001</v>
      </c>
      <c r="AB123">
        <v>38</v>
      </c>
      <c r="AC123">
        <f t="shared" si="244"/>
        <v>61</v>
      </c>
      <c r="AG123">
        <v>8</v>
      </c>
      <c r="AJ123" s="10">
        <v>0</v>
      </c>
      <c r="AK123" t="str">
        <f>CONCATENATE(VLOOKUP(AL123, 'Voxel Sizes'!$A$2:$B$18,2,FALSE),"x",INT(AH123*15), "x", INT(AI123*15))</f>
        <v>82x0x0</v>
      </c>
      <c r="AL123">
        <f t="shared" si="233"/>
        <v>5</v>
      </c>
      <c r="AM123" t="s">
        <v>1353</v>
      </c>
      <c r="AN123" t="str">
        <f>CONCATENATE(VLOOKUP(AL123,Constants!$A$2:$C$16,IF(AM123&lt;&gt;"", 3, 2), FALSE),IF(AM123&lt;&gt;"",CONCATENATE(",",VLOOKUP(AM123,$B:$AN,39,FALSE)),""))</f>
        <v>2,1,2,1,2,1</v>
      </c>
      <c r="AX123">
        <v>28</v>
      </c>
      <c r="AY123" s="15">
        <f t="shared" si="234"/>
        <v>40</v>
      </c>
      <c r="AZ123">
        <v>-16</v>
      </c>
      <c r="BA123">
        <v>-10</v>
      </c>
      <c r="BB123">
        <f t="shared" si="235"/>
        <v>7.6000000000000005</v>
      </c>
      <c r="BC123">
        <f t="shared" si="236"/>
        <v>0.375</v>
      </c>
      <c r="BD123">
        <f t="shared" si="237"/>
        <v>0.55000000000000004</v>
      </c>
      <c r="BE123" s="3">
        <f t="shared" si="238"/>
        <v>1</v>
      </c>
      <c r="BF123">
        <f t="shared" si="239"/>
        <v>0</v>
      </c>
      <c r="BG123">
        <f>VLOOKUP($H123,Constants!$I:$K, 2, FALSE)</f>
        <v>1.1499999999999999</v>
      </c>
      <c r="BH123">
        <f>VLOOKUP($H123,Constants!$I:$K, 3, FALSE)*IF(AND(G123="multiple_unit",AB123&lt;110),0.75,1)</f>
        <v>1.7</v>
      </c>
      <c r="BI123">
        <f>INT(POWER(((Constants!$G$2+$BB123+$BC123+$BD123+$BF123)*$BE123)*$BH123, 1.05))+$BA123</f>
        <v>16</v>
      </c>
      <c r="BJ123">
        <f>INT(POWER((((Constants!$G$1+$BB123+$BC123+$BD123+$BF123)*($BE123))*$BG123),IF($G123="wagon",1,1.2)))+$AZ123</f>
        <v>36</v>
      </c>
      <c r="BK123" s="14">
        <f t="shared" si="240"/>
        <v>12500</v>
      </c>
      <c r="BL123" s="14">
        <f t="shared" si="241"/>
        <v>2925</v>
      </c>
      <c r="BU123">
        <v>9</v>
      </c>
      <c r="BZ123" t="str">
        <f>VLOOKUP(J123,Eras!$A$2:$C$10, 2, TRUE)</f>
        <v>early</v>
      </c>
      <c r="CA123" t="s">
        <v>322</v>
      </c>
      <c r="CB123" t="str">
        <f t="shared" si="242"/>
        <v>early_Mixed Traffic</v>
      </c>
      <c r="CC123" t="str">
        <f t="shared" si="204"/>
        <v>steam_RAIL</v>
      </c>
      <c r="CD123" s="17" t="str" cm="1">
        <f t="array" ref="CD123">_xlfn.CONCAT("{BLACK}Length: {GOLD}", TEXT(ROUNDUP(IF(AQ123&lt;&gt;"",SUM(VALUE(_xlfn.TEXTSPLIT(AQ123, ","))), SUM(VALUE(_xlfn.TEXTSPLIT(AN123, ",")))*IF(M123, M123, 1))/16, 1), "#,##0.0"), " tiles{}")</f>
        <v>{BLACK}Length: {GOLD}0.6 tiles{}</v>
      </c>
      <c r="CE123" t="str">
        <f>VLOOKUP($CC123, Constants!$M:$N, 2, FALSE)</f>
        <v>{BLACK}Powered by: {GOLD}Steam</v>
      </c>
      <c r="CF123" t="str">
        <f t="shared" si="243"/>
        <v/>
      </c>
      <c r="CG123" t="s">
        <v>1356</v>
      </c>
      <c r="CH123" t="str">
        <f t="shared" si="194"/>
        <v/>
      </c>
      <c r="CI123" t="str">
        <f t="shared" si="206"/>
        <v/>
      </c>
      <c r="CJ123" t="str">
        <f t="shared" si="207"/>
        <v>{BLACK}Powered by: {GOLD}Steam {}{BLACK}Length: {GOLD}0.6 tiles{}{SILVER}The Patentee was an enlarged version of the Planet type with an additional trailing rear axle, making it more stable and allowing a larger firebox.</v>
      </c>
    </row>
    <row r="124" spans="1:88" x14ac:dyDescent="0.35">
      <c r="A124" t="s">
        <v>120</v>
      </c>
      <c r="B124" t="s">
        <v>207</v>
      </c>
      <c r="C124">
        <v>156</v>
      </c>
      <c r="E124">
        <v>10</v>
      </c>
      <c r="F124" t="s">
        <v>1498</v>
      </c>
      <c r="G124" t="s">
        <v>258</v>
      </c>
      <c r="H124" t="s">
        <v>267</v>
      </c>
      <c r="I124" t="s">
        <v>270</v>
      </c>
      <c r="J124">
        <v>1838</v>
      </c>
      <c r="L124">
        <v>1870</v>
      </c>
      <c r="N124">
        <v>100</v>
      </c>
      <c r="P124" s="5">
        <v>14</v>
      </c>
      <c r="Q124" s="5">
        <v>18</v>
      </c>
      <c r="R124" s="5">
        <v>2</v>
      </c>
      <c r="S124" s="5">
        <v>50</v>
      </c>
      <c r="T124" s="6">
        <f t="shared" si="257"/>
        <v>116.71362493405657</v>
      </c>
      <c r="U124" s="5">
        <v>1.5</v>
      </c>
      <c r="V124" s="5">
        <f t="shared" si="258"/>
        <v>74.242424242424235</v>
      </c>
      <c r="W124">
        <v>8</v>
      </c>
      <c r="X124" s="8">
        <v>4</v>
      </c>
      <c r="Z124">
        <v>18</v>
      </c>
      <c r="AA124" s="3">
        <f t="shared" si="232"/>
        <v>0.15</v>
      </c>
      <c r="AB124">
        <v>40</v>
      </c>
      <c r="AC124">
        <f t="shared" si="244"/>
        <v>64</v>
      </c>
      <c r="AG124">
        <v>8</v>
      </c>
      <c r="AJ124" s="10">
        <v>0</v>
      </c>
      <c r="AK124" t="str">
        <f>CONCATENATE(VLOOKUP(AL124, 'Voxel Sizes'!$A$2:$B$18,2,FALSE),"x",INT(AH124*15), "x", INT(AI124*15))</f>
        <v>82x0x0</v>
      </c>
      <c r="AL124">
        <f t="shared" si="233"/>
        <v>5</v>
      </c>
      <c r="AM124" t="s">
        <v>1337</v>
      </c>
      <c r="AN124" t="str">
        <f>CONCATENATE(VLOOKUP(AL124,Constants!$A$2:$C$16,IF(AM124&lt;&gt;"", 3, 2), FALSE),IF(AM124&lt;&gt;"",CONCATENATE(",",VLOOKUP(AM124,$B:$AN,39,FALSE)),""))</f>
        <v>2,1,2,1,2,1</v>
      </c>
      <c r="AV124">
        <v>1</v>
      </c>
      <c r="AX124">
        <v>32</v>
      </c>
      <c r="AY124" s="15">
        <f t="shared" si="234"/>
        <v>40</v>
      </c>
      <c r="AZ124">
        <v>-5</v>
      </c>
      <c r="BA124">
        <v>-8</v>
      </c>
      <c r="BB124">
        <f t="shared" si="235"/>
        <v>8</v>
      </c>
      <c r="BC124">
        <f t="shared" si="236"/>
        <v>0.5</v>
      </c>
      <c r="BD124">
        <f t="shared" si="237"/>
        <v>0.89999999999999991</v>
      </c>
      <c r="BE124" s="3">
        <f t="shared" si="238"/>
        <v>1</v>
      </c>
      <c r="BF124">
        <f t="shared" si="239"/>
        <v>0</v>
      </c>
      <c r="BG124">
        <f>VLOOKUP($H124,Constants!$I:$K, 2, FALSE)</f>
        <v>1.1499999999999999</v>
      </c>
      <c r="BH124">
        <f>VLOOKUP($H124,Constants!$I:$K, 3, FALSE)*IF(AND(G124="multiple_unit",AB124&lt;110),0.75,1)</f>
        <v>1.7</v>
      </c>
      <c r="BI124">
        <f>INT(POWER(((Constants!$G$2+$BB124+$BC124+$BD124+$BF124)*$BE124)*$BH124, 1.05))+$BA124</f>
        <v>20</v>
      </c>
      <c r="BJ124">
        <f>INT(POWER((((Constants!$G$1+$BB124+$BC124+$BD124+$BF124)*($BE124))*$BG124),IF($G124="wagon",1,1.2)))+$AZ124</f>
        <v>49</v>
      </c>
      <c r="BK124" s="14">
        <f t="shared" si="240"/>
        <v>15625</v>
      </c>
      <c r="BL124" s="14">
        <f t="shared" si="241"/>
        <v>3981.25</v>
      </c>
      <c r="BU124">
        <v>5</v>
      </c>
      <c r="BZ124" t="str">
        <f>VLOOKUP(J124,Eras!$A$2:$C$10, 2, TRUE)</f>
        <v>early</v>
      </c>
      <c r="CA124" t="s">
        <v>322</v>
      </c>
      <c r="CB124" t="str">
        <f t="shared" si="242"/>
        <v>early_Mixed Traffic</v>
      </c>
      <c r="CC124" t="str">
        <f t="shared" si="204"/>
        <v>steam_RAIL</v>
      </c>
      <c r="CD124" s="17" t="str" cm="1">
        <f t="array" ref="CD124">_xlfn.CONCAT("{BLACK}Length: {GOLD}", TEXT(ROUNDUP(IF(AQ124&lt;&gt;"",SUM(VALUE(_xlfn.TEXTSPLIT(AQ124, ","))), SUM(VALUE(_xlfn.TEXTSPLIT(AN124, ",")))*IF(M124, M124, 1))/16, 1), "#,##0.0"), " tiles{}")</f>
        <v>{BLACK}Length: {GOLD}0.6 tiles{}</v>
      </c>
      <c r="CE124" t="str">
        <f>VLOOKUP($CC124, Constants!$M:$N, 2, FALSE)</f>
        <v>{BLACK}Powered by: {GOLD}Steam</v>
      </c>
      <c r="CF124" t="str">
        <f t="shared" si="243"/>
        <v/>
      </c>
      <c r="CG124" t="s">
        <v>1338</v>
      </c>
      <c r="CH124" t="str">
        <f t="shared" si="194"/>
        <v/>
      </c>
      <c r="CI124" t="str">
        <f t="shared" si="206"/>
        <v/>
      </c>
      <c r="CJ124" t="str">
        <f t="shared" si="207"/>
        <v>{BLACK}Powered by: {GOLD}Steam {}{BLACK}Length: {GOLD}0.6 tiles{}{SILVER}The Liverpool and Manchester Railway's "Lion" is most famous for its appearance in the 1953 film "The Titfield Thunderbolt", in which it sustained a dent which can still be seen today.</v>
      </c>
    </row>
    <row r="125" spans="1:88" x14ac:dyDescent="0.35">
      <c r="A125" t="s">
        <v>0</v>
      </c>
      <c r="B125" t="s">
        <v>145</v>
      </c>
      <c r="C125">
        <v>160</v>
      </c>
      <c r="E125">
        <v>11</v>
      </c>
      <c r="F125" t="s">
        <v>1498</v>
      </c>
      <c r="G125" t="s">
        <v>258</v>
      </c>
      <c r="H125" t="s">
        <v>267</v>
      </c>
      <c r="I125" t="s">
        <v>270</v>
      </c>
      <c r="J125">
        <v>1846</v>
      </c>
      <c r="L125">
        <v>1900</v>
      </c>
      <c r="N125">
        <v>250</v>
      </c>
      <c r="P125" s="5">
        <v>14</v>
      </c>
      <c r="Q125" s="5">
        <v>24</v>
      </c>
      <c r="R125" s="5">
        <v>2</v>
      </c>
      <c r="S125" s="5">
        <v>110</v>
      </c>
      <c r="T125" s="6">
        <f t="shared" si="257"/>
        <v>121.57669263964229</v>
      </c>
      <c r="U125" s="5">
        <v>1.44</v>
      </c>
      <c r="V125" s="5">
        <f t="shared" si="258"/>
        <v>226.85185185185185</v>
      </c>
      <c r="W125">
        <v>19</v>
      </c>
      <c r="X125" s="8">
        <v>11</v>
      </c>
      <c r="Z125">
        <v>34</v>
      </c>
      <c r="AA125" s="3">
        <f t="shared" si="232"/>
        <v>0.11333333333333333</v>
      </c>
      <c r="AB125">
        <v>40</v>
      </c>
      <c r="AC125">
        <f t="shared" si="244"/>
        <v>64</v>
      </c>
      <c r="AG125">
        <v>8</v>
      </c>
      <c r="AJ125" s="10">
        <v>0</v>
      </c>
      <c r="AK125" t="str">
        <f>CONCATENATE(VLOOKUP(AL125, 'Voxel Sizes'!$A$2:$B$18,2,FALSE),"x",INT(AH125*15), "x", INT(AI125*15))</f>
        <v>82x0x0</v>
      </c>
      <c r="AL125">
        <f t="shared" si="233"/>
        <v>5</v>
      </c>
      <c r="AM125" t="s">
        <v>1335</v>
      </c>
      <c r="AN125" t="str">
        <f>CONCATENATE(VLOOKUP(AL125,Constants!$A$2:$C$16,IF(AM125&lt;&gt;"", 3, 2), FALSE),IF(AM125&lt;&gt;"",CONCATENATE(",",VLOOKUP(AM125,$B:$AN,39,FALSE)),""))</f>
        <v>2,1,2,1,2,1</v>
      </c>
      <c r="AV125">
        <v>1</v>
      </c>
      <c r="AX125">
        <v>30</v>
      </c>
      <c r="AY125" s="15">
        <f t="shared" si="234"/>
        <v>62</v>
      </c>
      <c r="BA125">
        <v>-5</v>
      </c>
      <c r="BB125">
        <f t="shared" si="235"/>
        <v>8</v>
      </c>
      <c r="BC125">
        <f t="shared" si="236"/>
        <v>1.25</v>
      </c>
      <c r="BD125">
        <f t="shared" si="237"/>
        <v>1.7000000000000002</v>
      </c>
      <c r="BE125" s="3">
        <f t="shared" si="238"/>
        <v>1</v>
      </c>
      <c r="BF125">
        <f t="shared" si="239"/>
        <v>0</v>
      </c>
      <c r="BG125">
        <f>VLOOKUP($H125,Constants!$I:$K, 2, FALSE)</f>
        <v>1.1499999999999999</v>
      </c>
      <c r="BH125">
        <f>VLOOKUP($H125,Constants!$I:$K, 3, FALSE)*IF(AND(G125="multiple_unit",AB125&lt;110),0.75,1)</f>
        <v>1.7</v>
      </c>
      <c r="BI125">
        <f>INT(POWER(((Constants!$G$2+$BB125+$BC125+$BD125+$BF125)*$BE125)*$BH125, 1.05))+$BA125</f>
        <v>26</v>
      </c>
      <c r="BJ125">
        <f>INT(POWER((((Constants!$G$1+$BB125+$BC125+$BD125+$BF125)*($BE125))*$BG125),IF($G125="wagon",1,1.2)))+$AZ125</f>
        <v>58</v>
      </c>
      <c r="BK125" s="14">
        <f t="shared" si="240"/>
        <v>20312.5</v>
      </c>
      <c r="BL125" s="14">
        <f t="shared" si="241"/>
        <v>4712.5</v>
      </c>
      <c r="BU125">
        <v>7</v>
      </c>
      <c r="BZ125" t="str">
        <f>VLOOKUP(J125,Eras!$A$2:$C$10, 2, TRUE)</f>
        <v>early</v>
      </c>
      <c r="CA125" t="s">
        <v>322</v>
      </c>
      <c r="CB125" t="str">
        <f t="shared" si="242"/>
        <v>early_Mixed Traffic</v>
      </c>
      <c r="CC125" t="str">
        <f t="shared" si="204"/>
        <v>steam_RAIL</v>
      </c>
      <c r="CD125" s="17" t="str" cm="1">
        <f t="array" ref="CD125">_xlfn.CONCAT("{BLACK}Length: {GOLD}", TEXT(ROUNDUP(IF(AQ125&lt;&gt;"",SUM(VALUE(_xlfn.TEXTSPLIT(AQ125, ","))), SUM(VALUE(_xlfn.TEXTSPLIT(AN125, ",")))*IF(M125, M125, 1))/16, 1), "#,##0.0"), " tiles{}")</f>
        <v>{BLACK}Length: {GOLD}0.6 tiles{}</v>
      </c>
      <c r="CE125" t="str">
        <f>VLOOKUP($CC125, Constants!$M:$N, 2, FALSE)</f>
        <v>{BLACK}Powered by: {GOLD}Steam</v>
      </c>
      <c r="CF125" t="str">
        <f t="shared" si="243"/>
        <v/>
      </c>
      <c r="CG125" t="s">
        <v>1333</v>
      </c>
      <c r="CH125" t="str">
        <f t="shared" si="194"/>
        <v/>
      </c>
      <c r="CI125" t="str">
        <f t="shared" si="206"/>
        <v/>
      </c>
      <c r="CJ125" t="str">
        <f t="shared" si="207"/>
        <v>{BLACK}Powered by: {GOLD}Steam {}{BLACK}Length: {GOLD}0.6 tiles{}{SILVER}Bury's bar frame locomotives used iron frames between the wheels to reduce weight. The "Coppernob" was named for its copper-plated firebox.</v>
      </c>
    </row>
    <row r="126" spans="1:88" x14ac:dyDescent="0.35">
      <c r="A126" t="s">
        <v>1</v>
      </c>
      <c r="B126" t="s">
        <v>146</v>
      </c>
      <c r="C126">
        <v>164</v>
      </c>
      <c r="E126">
        <v>12</v>
      </c>
      <c r="F126" t="s">
        <v>1498</v>
      </c>
      <c r="G126" t="s">
        <v>258</v>
      </c>
      <c r="H126" t="s">
        <v>267</v>
      </c>
      <c r="I126" t="s">
        <v>270</v>
      </c>
      <c r="J126">
        <v>1847</v>
      </c>
      <c r="L126">
        <v>1885</v>
      </c>
      <c r="N126">
        <v>300</v>
      </c>
      <c r="P126" s="5">
        <v>14</v>
      </c>
      <c r="Q126" s="5">
        <v>24</v>
      </c>
      <c r="R126" s="5">
        <v>2</v>
      </c>
      <c r="S126" s="5">
        <v>130</v>
      </c>
      <c r="T126" s="6">
        <f t="shared" si="257"/>
        <v>131.30282805081364</v>
      </c>
      <c r="U126" s="5">
        <v>2</v>
      </c>
      <c r="V126" s="5">
        <f t="shared" si="258"/>
        <v>289.5454545454545</v>
      </c>
      <c r="W126">
        <v>21</v>
      </c>
      <c r="X126" s="8">
        <v>11</v>
      </c>
      <c r="Z126">
        <v>28</v>
      </c>
      <c r="AA126" s="3">
        <f t="shared" si="232"/>
        <v>8.7499999999999994E-2</v>
      </c>
      <c r="AB126">
        <v>60</v>
      </c>
      <c r="AC126">
        <f t="shared" si="244"/>
        <v>96</v>
      </c>
      <c r="AF126">
        <v>8</v>
      </c>
      <c r="AG126">
        <v>8</v>
      </c>
      <c r="AJ126" s="10">
        <v>0</v>
      </c>
      <c r="AK126" t="str">
        <f>CONCATENATE(VLOOKUP(AL126, 'Voxel Sizes'!$A$2:$B$18,2,FALSE),"x",INT(AH126*15), "x", INT(AI126*15))</f>
        <v>82x0x0</v>
      </c>
      <c r="AL126">
        <f t="shared" si="233"/>
        <v>5</v>
      </c>
      <c r="AM126" t="s">
        <v>1337</v>
      </c>
      <c r="AN126" t="str">
        <f>CONCATENATE(VLOOKUP(AL126,Constants!$A$2:$C$16,IF(AM126&lt;&gt;"", 3, 2), FALSE),IF(AM126&lt;&gt;"",CONCATENATE(",",VLOOKUP(AM126,$B:$AN,39,FALSE)),""))</f>
        <v>2,1,2,1,2,1</v>
      </c>
      <c r="AV126">
        <v>1</v>
      </c>
      <c r="AX126">
        <v>28</v>
      </c>
      <c r="AY126" s="15">
        <f t="shared" si="234"/>
        <v>46</v>
      </c>
      <c r="BA126">
        <v>-5</v>
      </c>
      <c r="BB126">
        <f t="shared" si="235"/>
        <v>12</v>
      </c>
      <c r="BC126">
        <f t="shared" si="236"/>
        <v>1.5</v>
      </c>
      <c r="BD126">
        <f t="shared" si="237"/>
        <v>1.4000000000000001</v>
      </c>
      <c r="BE126" s="3">
        <f t="shared" si="238"/>
        <v>1</v>
      </c>
      <c r="BF126">
        <f t="shared" si="239"/>
        <v>0</v>
      </c>
      <c r="BG126">
        <f>VLOOKUP($H126,Constants!$I:$K, 2, FALSE)</f>
        <v>1.1499999999999999</v>
      </c>
      <c r="BH126">
        <f>VLOOKUP($H126,Constants!$I:$K, 3, FALSE)*IF(AND(G126="multiple_unit",AB126&lt;110),0.75,1)</f>
        <v>1.7</v>
      </c>
      <c r="BI126">
        <f>INT(POWER(((Constants!$G$2+$BB126+$BC126+$BD126+$BF126)*$BE126)*$BH126, 1.05))+$BA126</f>
        <v>35</v>
      </c>
      <c r="BJ126">
        <f>INT(POWER((((Constants!$G$1+$BB126+$BC126+$BD126+$BF126)*($BE126))*$BG126),IF($G126="wagon",1,1.2)))+$AZ126</f>
        <v>69</v>
      </c>
      <c r="BK126" s="14">
        <f t="shared" si="240"/>
        <v>27343.75</v>
      </c>
      <c r="BL126" s="14">
        <f t="shared" si="241"/>
        <v>5606.25</v>
      </c>
      <c r="BU126">
        <v>9</v>
      </c>
      <c r="BZ126" t="str">
        <f>VLOOKUP(J126,Eras!$A$2:$C$10, 2, TRUE)</f>
        <v>early</v>
      </c>
      <c r="CA126" t="s">
        <v>323</v>
      </c>
      <c r="CB126" t="str">
        <f t="shared" si="242"/>
        <v>early_Express</v>
      </c>
      <c r="CC126" t="str">
        <f t="shared" si="204"/>
        <v>steam_RAIL</v>
      </c>
      <c r="CD126" s="17" t="str" cm="1">
        <f t="array" ref="CD126">_xlfn.CONCAT("{BLACK}Length: {GOLD}", TEXT(ROUNDUP(IF(AQ126&lt;&gt;"",SUM(VALUE(_xlfn.TEXTSPLIT(AQ126, ","))), SUM(VALUE(_xlfn.TEXTSPLIT(AN126, ",")))*IF(M126, M126, 1))/16, 1), "#,##0.0"), " tiles{}")</f>
        <v>{BLACK}Length: {GOLD}0.6 tiles{}</v>
      </c>
      <c r="CE126" t="str">
        <f>VLOOKUP($CC126, Constants!$M:$N, 2, FALSE)</f>
        <v>{BLACK}Powered by: {GOLD}Steam</v>
      </c>
      <c r="CF126" t="str">
        <f t="shared" si="243"/>
        <v/>
      </c>
      <c r="CG126" t="s">
        <v>1330</v>
      </c>
      <c r="CH126" t="str">
        <f t="shared" si="194"/>
        <v/>
      </c>
      <c r="CI126" t="str">
        <f t="shared" si="206"/>
        <v/>
      </c>
      <c r="CJ126" t="str">
        <f t="shared" si="207"/>
        <v>{BLACK}Powered by: {GOLD}Steam {}{BLACK}Length: {GOLD}0.6 tiles{}{SILVER}Crampton locomotives were designed for a low centre of gravity, to run at higher speeds on standard gauge track. Features included large driving wheels and an oval boiler.</v>
      </c>
    </row>
    <row r="127" spans="1:88" x14ac:dyDescent="0.35">
      <c r="A127" t="s">
        <v>2</v>
      </c>
      <c r="B127" t="s">
        <v>147</v>
      </c>
      <c r="C127">
        <v>166</v>
      </c>
      <c r="E127">
        <v>13</v>
      </c>
      <c r="F127" t="s">
        <v>1498</v>
      </c>
      <c r="G127" t="s">
        <v>258</v>
      </c>
      <c r="H127" t="s">
        <v>267</v>
      </c>
      <c r="I127" t="s">
        <v>270</v>
      </c>
      <c r="J127">
        <v>1852</v>
      </c>
      <c r="L127">
        <v>1923</v>
      </c>
      <c r="N127">
        <v>500</v>
      </c>
      <c r="P127" s="5">
        <v>17</v>
      </c>
      <c r="Q127" s="5">
        <v>26</v>
      </c>
      <c r="R127" s="5">
        <v>2</v>
      </c>
      <c r="S127" s="5">
        <v>140</v>
      </c>
      <c r="T127" s="6">
        <f t="shared" si="257"/>
        <v>145.89203116757071</v>
      </c>
      <c r="U127" s="5">
        <v>1.5</v>
      </c>
      <c r="V127" s="5">
        <f t="shared" si="258"/>
        <v>553.43013468013453</v>
      </c>
      <c r="W127">
        <v>36</v>
      </c>
      <c r="X127" s="8">
        <v>22.5</v>
      </c>
      <c r="Z127">
        <v>65</v>
      </c>
      <c r="AA127" s="3">
        <f t="shared" si="232"/>
        <v>0.1111111111111111</v>
      </c>
      <c r="AB127">
        <v>50</v>
      </c>
      <c r="AC127">
        <f t="shared" si="244"/>
        <v>80</v>
      </c>
      <c r="AG127">
        <v>10</v>
      </c>
      <c r="AJ127" s="10">
        <v>0</v>
      </c>
      <c r="AK127" t="str">
        <f>CONCATENATE(VLOOKUP(AL127, 'Voxel Sizes'!$A$2:$B$18,2,FALSE),"x",INT(AH127*15), "x", INT(AI127*15))</f>
        <v>102x0x0</v>
      </c>
      <c r="AL127">
        <f t="shared" si="233"/>
        <v>6</v>
      </c>
      <c r="AM127" t="s">
        <v>1332</v>
      </c>
      <c r="AN127" t="str">
        <f>CONCATENATE(VLOOKUP(AL127,Constants!$A$2:$C$16,IF(AM127&lt;&gt;"", 3, 2), FALSE),IF(AM127&lt;&gt;"",CONCATENATE(",",VLOOKUP(AM127,$B:$AN,39,FALSE)),""))</f>
        <v>2,2,2,1,2,1</v>
      </c>
      <c r="AV127">
        <v>1</v>
      </c>
      <c r="AX127">
        <v>30</v>
      </c>
      <c r="AY127" s="15">
        <f t="shared" si="234"/>
        <v>79</v>
      </c>
      <c r="BB127">
        <f t="shared" si="235"/>
        <v>10</v>
      </c>
      <c r="BC127">
        <f t="shared" si="236"/>
        <v>2.5</v>
      </c>
      <c r="BD127">
        <f t="shared" si="237"/>
        <v>3.25</v>
      </c>
      <c r="BE127" s="3">
        <f t="shared" si="238"/>
        <v>1</v>
      </c>
      <c r="BF127">
        <f t="shared" si="239"/>
        <v>0</v>
      </c>
      <c r="BG127">
        <f>VLOOKUP($H127,Constants!$I:$K, 2, FALSE)</f>
        <v>1.1499999999999999</v>
      </c>
      <c r="BH127">
        <f>VLOOKUP($H127,Constants!$I:$K, 3, FALSE)*IF(AND(G127="multiple_unit",AB127&lt;110),0.75,1)</f>
        <v>1.7</v>
      </c>
      <c r="BI127">
        <f>INT(POWER(((Constants!$G$2+$BB127+$BC127+$BD127+$BF127)*$BE127)*$BH127, 1.05))+$BA127</f>
        <v>42</v>
      </c>
      <c r="BJ127">
        <f>INT(POWER((((Constants!$G$1+$BB127+$BC127+$BD127+$BF127)*($BE127))*$BG127),IF($G127="wagon",1,1.2)))+$AZ127</f>
        <v>72</v>
      </c>
      <c r="BK127" s="14">
        <f t="shared" si="240"/>
        <v>32812.5</v>
      </c>
      <c r="BL127" s="14">
        <f t="shared" si="241"/>
        <v>5850</v>
      </c>
      <c r="BU127">
        <v>10</v>
      </c>
      <c r="BZ127" t="str">
        <f>VLOOKUP(J127,Eras!$A$2:$C$10, 2, TRUE)</f>
        <v>vct</v>
      </c>
      <c r="CA127" t="s">
        <v>324</v>
      </c>
      <c r="CB127" t="str">
        <f t="shared" si="242"/>
        <v>vct_Freight</v>
      </c>
      <c r="CC127" t="str">
        <f t="shared" si="204"/>
        <v>steam_RAIL</v>
      </c>
      <c r="CD127" s="17" t="str" cm="1">
        <f t="array" ref="CD127">_xlfn.CONCAT("{BLACK}Length: {GOLD}", TEXT(ROUNDUP(IF(AQ127&lt;&gt;"",SUM(VALUE(_xlfn.TEXTSPLIT(AQ127, ","))), SUM(VALUE(_xlfn.TEXTSPLIT(AN127, ",")))*IF(M127, M127, 1))/16, 1), "#,##0.0"), " tiles{}")</f>
        <v>{BLACK}Length: {GOLD}0.7 tiles{}</v>
      </c>
      <c r="CE127" t="str">
        <f>VLOOKUP($CC127, Constants!$M:$N, 2, FALSE)</f>
        <v>{BLACK}Powered by: {GOLD}Steam</v>
      </c>
      <c r="CF127" t="str">
        <f t="shared" si="243"/>
        <v/>
      </c>
      <c r="CG127" t="s">
        <v>1329</v>
      </c>
      <c r="CH127" t="str">
        <f t="shared" ref="CH127:CH190" si="259">IF($BT127="!param_no_gameplay_units","{GREEN}Included for gameplay purposes","")</f>
        <v/>
      </c>
      <c r="CI127" t="str">
        <f t="shared" si="206"/>
        <v/>
      </c>
      <c r="CJ127" t="str">
        <f t="shared" si="207"/>
        <v>{BLACK}Powered by: {GOLD}Steam {}{BLACK}Length: {GOLD}0.7 tiles{}{SILVER}The NER 1001 Class is typical of a "long boiler" freight engine, with a small firebox mounted behind the rear axle.</v>
      </c>
    </row>
    <row r="128" spans="1:88" x14ac:dyDescent="0.35">
      <c r="A128" t="s">
        <v>1463</v>
      </c>
      <c r="B128" t="s">
        <v>1464</v>
      </c>
      <c r="C128">
        <v>167</v>
      </c>
      <c r="E128">
        <v>14</v>
      </c>
      <c r="F128" t="s">
        <v>1498</v>
      </c>
      <c r="G128" t="s">
        <v>258</v>
      </c>
      <c r="H128" t="s">
        <v>267</v>
      </c>
      <c r="I128" t="s">
        <v>270</v>
      </c>
      <c r="J128">
        <v>1858</v>
      </c>
      <c r="L128">
        <v>1930</v>
      </c>
      <c r="N128">
        <v>450</v>
      </c>
      <c r="P128" s="5">
        <v>17</v>
      </c>
      <c r="Q128" s="5">
        <v>24</v>
      </c>
      <c r="R128" s="5">
        <v>2</v>
      </c>
      <c r="S128" s="5">
        <v>120</v>
      </c>
      <c r="T128" s="6">
        <f t="shared" si="257"/>
        <v>111.15583327053008</v>
      </c>
      <c r="U128" s="5">
        <v>1.575</v>
      </c>
      <c r="V128" s="5">
        <f t="shared" si="258"/>
        <v>333.62193362193369</v>
      </c>
      <c r="W128">
        <v>19</v>
      </c>
      <c r="X128" s="8">
        <v>10</v>
      </c>
      <c r="Z128">
        <v>51</v>
      </c>
      <c r="AA128" s="3">
        <f t="shared" si="232"/>
        <v>0.17586206896551723</v>
      </c>
      <c r="AB128">
        <v>40</v>
      </c>
      <c r="AC128">
        <f t="shared" si="244"/>
        <v>64</v>
      </c>
      <c r="AG128">
        <v>10</v>
      </c>
      <c r="AJ128" s="10">
        <v>0</v>
      </c>
      <c r="AK128" t="str">
        <f>CONCATENATE(VLOOKUP(AL128, 'Voxel Sizes'!$A$2:$B$18,2,FALSE),"x",INT(AH128*15), "x", INT(AI128*15))</f>
        <v>102x0x0</v>
      </c>
      <c r="AL128">
        <f t="shared" si="233"/>
        <v>6</v>
      </c>
      <c r="AM128" t="s">
        <v>1466</v>
      </c>
      <c r="AN128" t="str">
        <f>CONCATENATE(VLOOKUP(AL128,Constants!$A$2:$C$16,IF(AM128&lt;&gt;"", 3, 2), FALSE),IF(AM128&lt;&gt;"",CONCATENATE(",",VLOOKUP(AM128,$B:$AN,39,FALSE)),""))</f>
        <v>2,2,2,1,2,1</v>
      </c>
      <c r="AV128">
        <v>1</v>
      </c>
      <c r="AX128">
        <v>31</v>
      </c>
      <c r="AY128" s="15">
        <f t="shared" si="234"/>
        <v>80</v>
      </c>
      <c r="BB128">
        <f t="shared" si="235"/>
        <v>8</v>
      </c>
      <c r="BC128">
        <f t="shared" si="236"/>
        <v>2.25</v>
      </c>
      <c r="BD128">
        <f t="shared" si="237"/>
        <v>2.5499999999999998</v>
      </c>
      <c r="BE128" s="3">
        <f t="shared" si="238"/>
        <v>1</v>
      </c>
      <c r="BF128">
        <f t="shared" si="239"/>
        <v>0</v>
      </c>
      <c r="BG128">
        <f>VLOOKUP($H128,Constants!$I:$K, 2, FALSE)</f>
        <v>1.1499999999999999</v>
      </c>
      <c r="BH128">
        <f>VLOOKUP($H128,Constants!$I:$K, 3, FALSE)*IF(AND(G128="multiple_unit",AB128&lt;110),0.75,1)</f>
        <v>1.7</v>
      </c>
      <c r="BI128">
        <f>INT(POWER(((Constants!$G$2+$BB128+$BC128+$BD128+$BF128)*$BE128)*$BH128, 1.05))+$BA128</f>
        <v>35</v>
      </c>
      <c r="BJ128">
        <f>INT(POWER((((Constants!$G$1+$BB128+$BC128+$BD128+$BF128)*($BE128))*$BG128),IF($G128="wagon",1,1.2)))+$AZ128</f>
        <v>63</v>
      </c>
      <c r="BK128" s="14">
        <f t="shared" si="240"/>
        <v>27343.75</v>
      </c>
      <c r="BL128" s="14">
        <f t="shared" si="241"/>
        <v>5118.75</v>
      </c>
      <c r="BU128">
        <v>9</v>
      </c>
      <c r="BZ128" t="str">
        <f>VLOOKUP(J128,Eras!$A$2:$C$10, 2, TRUE)</f>
        <v>vct</v>
      </c>
      <c r="CA128" t="s">
        <v>323</v>
      </c>
      <c r="CB128" t="str">
        <f t="shared" si="242"/>
        <v>vct_Express</v>
      </c>
      <c r="CC128" t="str">
        <f t="shared" si="204"/>
        <v>steam_RAIL</v>
      </c>
      <c r="CD128" s="17" t="str" cm="1">
        <f t="array" ref="CD128">_xlfn.CONCAT("{BLACK}Length: {GOLD}", TEXT(ROUNDUP(IF(AQ128&lt;&gt;"",SUM(VALUE(_xlfn.TEXTSPLIT(AQ128, ","))), SUM(VALUE(_xlfn.TEXTSPLIT(AN128, ",")))*IF(M128, M128, 1))/16, 1), "#,##0.0"), " tiles{}")</f>
        <v>{BLACK}Length: {GOLD}0.7 tiles{}</v>
      </c>
      <c r="CE128" t="str">
        <f>VLOOKUP($CC128, Constants!$M:$N, 2, FALSE)</f>
        <v>{BLACK}Powered by: {GOLD}Steam</v>
      </c>
      <c r="CF128" t="str">
        <f t="shared" si="243"/>
        <v/>
      </c>
      <c r="CG128" t="s">
        <v>1465</v>
      </c>
      <c r="CH128" t="str">
        <f t="shared" si="259"/>
        <v/>
      </c>
      <c r="CI128" t="str">
        <f t="shared" si="206"/>
        <v/>
      </c>
      <c r="CJ128" t="str">
        <f t="shared" si="207"/>
        <v>{BLACK}Powered by: {GOLD}Steam {}{BLACK}Length: {GOLD}0.7 tiles{}{SILVER}More LNWR DX Goods locomotives were produced than any other steam locomotive class: 943 in total.</v>
      </c>
    </row>
    <row r="129" spans="1:88" x14ac:dyDescent="0.35">
      <c r="A129" t="s">
        <v>3</v>
      </c>
      <c r="B129" t="s">
        <v>208</v>
      </c>
      <c r="C129">
        <v>168</v>
      </c>
      <c r="E129">
        <v>15</v>
      </c>
      <c r="F129" t="s">
        <v>1498</v>
      </c>
      <c r="G129" t="s">
        <v>258</v>
      </c>
      <c r="H129" t="s">
        <v>267</v>
      </c>
      <c r="I129" t="s">
        <v>270</v>
      </c>
      <c r="J129">
        <v>1859</v>
      </c>
      <c r="L129">
        <v>1907</v>
      </c>
      <c r="N129">
        <v>400</v>
      </c>
      <c r="P129" s="5">
        <v>16</v>
      </c>
      <c r="Q129" s="5">
        <v>24</v>
      </c>
      <c r="R129" s="5">
        <v>2</v>
      </c>
      <c r="S129" s="5">
        <v>120</v>
      </c>
      <c r="T129" s="6">
        <f t="shared" si="257"/>
        <v>134.37423923328885</v>
      </c>
      <c r="U129" s="5">
        <v>2.2799999999999998</v>
      </c>
      <c r="V129" s="5">
        <f t="shared" si="258"/>
        <v>357.25677830940992</v>
      </c>
      <c r="W129">
        <v>27.4</v>
      </c>
      <c r="X129" s="8">
        <v>15</v>
      </c>
      <c r="Z129">
        <v>31</v>
      </c>
      <c r="AA129" s="3">
        <f t="shared" si="232"/>
        <v>7.3113207547169809E-2</v>
      </c>
      <c r="AB129">
        <v>70</v>
      </c>
      <c r="AC129">
        <f t="shared" si="244"/>
        <v>112</v>
      </c>
      <c r="AG129">
        <v>8</v>
      </c>
      <c r="AJ129" s="10">
        <v>0</v>
      </c>
      <c r="AK129" t="str">
        <f>CONCATENATE(VLOOKUP(AL129, 'Voxel Sizes'!$A$2:$B$18,2,FALSE),"x",INT(AH129*15), "x", INT(AI129*15))</f>
        <v>82x0x0</v>
      </c>
      <c r="AL129">
        <f t="shared" si="233"/>
        <v>5</v>
      </c>
      <c r="AM129" t="s">
        <v>1337</v>
      </c>
      <c r="AN129" t="str">
        <f>CONCATENATE(VLOOKUP(AL129,Constants!$A$2:$C$16,IF(AM129&lt;&gt;"", 3, 2), FALSE),IF(AM129&lt;&gt;"",CONCATENATE(",",VLOOKUP(AM129,$B:$AN,39,FALSE)),""))</f>
        <v>2,1,2,1,2,1</v>
      </c>
      <c r="AV129">
        <v>1</v>
      </c>
      <c r="AX129">
        <v>30</v>
      </c>
      <c r="AY129" s="15">
        <f t="shared" si="234"/>
        <v>56</v>
      </c>
      <c r="AZ129">
        <v>5</v>
      </c>
      <c r="BA129">
        <v>6</v>
      </c>
      <c r="BB129">
        <f t="shared" si="235"/>
        <v>14</v>
      </c>
      <c r="BC129">
        <f t="shared" si="236"/>
        <v>2</v>
      </c>
      <c r="BD129">
        <f t="shared" si="237"/>
        <v>1.55</v>
      </c>
      <c r="BE129" s="3">
        <f t="shared" si="238"/>
        <v>1</v>
      </c>
      <c r="BF129">
        <f t="shared" si="239"/>
        <v>0</v>
      </c>
      <c r="BG129">
        <f>VLOOKUP($H129,Constants!$I:$K, 2, FALSE)</f>
        <v>1.1499999999999999</v>
      </c>
      <c r="BH129">
        <f>VLOOKUP($H129,Constants!$I:$K, 3, FALSE)*IF(AND(G129="multiple_unit",AB129&lt;110),0.75,1)</f>
        <v>1.7</v>
      </c>
      <c r="BI129">
        <f>INT(POWER(((Constants!$G$2+$BB129+$BC129+$BD129+$BF129)*$BE129)*$BH129, 1.05))+$BA129</f>
        <v>52</v>
      </c>
      <c r="BJ129">
        <f>INT(POWER((((Constants!$G$1+$BB129+$BC129+$BD129+$BF129)*($BE129))*$BG129),IF($G129="wagon",1,1.2)))+$AZ129</f>
        <v>82</v>
      </c>
      <c r="BK129" s="14">
        <f t="shared" si="240"/>
        <v>40625</v>
      </c>
      <c r="BL129" s="14">
        <f t="shared" si="241"/>
        <v>6662.5</v>
      </c>
      <c r="BU129">
        <v>11</v>
      </c>
      <c r="BZ129" t="str">
        <f>VLOOKUP(J129,Eras!$A$2:$C$10, 2, TRUE)</f>
        <v>vct</v>
      </c>
      <c r="CA129" t="s">
        <v>323</v>
      </c>
      <c r="CB129" t="str">
        <f t="shared" si="242"/>
        <v>vct_Express</v>
      </c>
      <c r="CC129" t="str">
        <f t="shared" si="204"/>
        <v>steam_RAIL</v>
      </c>
      <c r="CD129" s="17" t="str" cm="1">
        <f t="array" ref="CD129">_xlfn.CONCAT("{BLACK}Length: {GOLD}", TEXT(ROUNDUP(IF(AQ129&lt;&gt;"",SUM(VALUE(_xlfn.TEXTSPLIT(AQ129, ","))), SUM(VALUE(_xlfn.TEXTSPLIT(AN129, ",")))*IF(M129, M129, 1))/16, 1), "#,##0.0"), " tiles{}")</f>
        <v>{BLACK}Length: {GOLD}0.6 tiles{}</v>
      </c>
      <c r="CE129" t="str">
        <f>VLOOKUP($CC129, Constants!$M:$N, 2, FALSE)</f>
        <v>{BLACK}Powered by: {GOLD}Steam</v>
      </c>
      <c r="CF129" t="str">
        <f t="shared" si="243"/>
        <v/>
      </c>
      <c r="CG129" t="s">
        <v>1390</v>
      </c>
      <c r="CH129" t="str">
        <f t="shared" si="259"/>
        <v/>
      </c>
      <c r="CI129" t="str">
        <f t="shared" si="206"/>
        <v/>
      </c>
      <c r="CJ129" t="str">
        <f t="shared" si="207"/>
        <v>{BLACK}Powered by: {GOLD}Steam {}{BLACK}Length: {GOLD}0.6 tiles{}{SILVER}Cast iron coupling rods could not withstand high speeds, so early express locomotives used a large single driving wheel to reduce valve gear speeds.</v>
      </c>
    </row>
    <row r="130" spans="1:88" x14ac:dyDescent="0.35">
      <c r="A130" t="s">
        <v>10</v>
      </c>
      <c r="B130" t="s">
        <v>148</v>
      </c>
      <c r="C130">
        <v>170</v>
      </c>
      <c r="E130">
        <v>16</v>
      </c>
      <c r="F130" t="s">
        <v>1498</v>
      </c>
      <c r="G130" t="s">
        <v>258</v>
      </c>
      <c r="H130" t="s">
        <v>267</v>
      </c>
      <c r="I130" t="s">
        <v>270</v>
      </c>
      <c r="J130">
        <v>1868</v>
      </c>
      <c r="L130">
        <v>1945</v>
      </c>
      <c r="N130">
        <v>350</v>
      </c>
      <c r="P130" s="5">
        <v>15</v>
      </c>
      <c r="Q130" s="5">
        <v>24</v>
      </c>
      <c r="R130" s="5">
        <v>2</v>
      </c>
      <c r="S130" s="5">
        <v>150</v>
      </c>
      <c r="T130" s="6">
        <f t="shared" si="257"/>
        <v>116.71362493405657</v>
      </c>
      <c r="U130" s="5">
        <v>1.5</v>
      </c>
      <c r="V130" s="5">
        <f t="shared" si="258"/>
        <v>340.90909090909088</v>
      </c>
      <c r="W130">
        <v>35.799999999999997</v>
      </c>
      <c r="Z130">
        <v>65</v>
      </c>
      <c r="AA130" s="3">
        <f t="shared" si="232"/>
        <v>0.18156424581005587</v>
      </c>
      <c r="AB130">
        <v>40</v>
      </c>
      <c r="AC130">
        <f t="shared" si="244"/>
        <v>64</v>
      </c>
      <c r="AF130">
        <v>8.65</v>
      </c>
      <c r="AG130">
        <v>8.65</v>
      </c>
      <c r="AI130">
        <v>3.7</v>
      </c>
      <c r="AJ130" s="10">
        <v>0</v>
      </c>
      <c r="AK130" t="str">
        <f>CONCATENATE(VLOOKUP(AL130, 'Voxel Sizes'!$A$2:$B$18,2,FALSE),"x",INT(AH130*15), "x", INT(AI130*15))</f>
        <v>82x0x55</v>
      </c>
      <c r="AL130">
        <f t="shared" si="233"/>
        <v>5</v>
      </c>
      <c r="AN130" t="str">
        <f>CONCATENATE(VLOOKUP(AL130,Constants!$A$2:$C$16,IF(AM130&lt;&gt;"", 3, 2), FALSE),IF(AM130&lt;&gt;"",CONCATENATE(",",VLOOKUP(AM130,$B:$AN,39,FALSE)),""))</f>
        <v>2,1,2</v>
      </c>
      <c r="AV130">
        <v>1</v>
      </c>
      <c r="AX130">
        <v>30</v>
      </c>
      <c r="AY130" s="15">
        <f t="shared" si="234"/>
        <v>85</v>
      </c>
      <c r="BB130">
        <f t="shared" si="235"/>
        <v>8</v>
      </c>
      <c r="BC130">
        <f t="shared" si="236"/>
        <v>1.75</v>
      </c>
      <c r="BD130">
        <f t="shared" si="237"/>
        <v>3.25</v>
      </c>
      <c r="BE130" s="3">
        <f t="shared" si="238"/>
        <v>1</v>
      </c>
      <c r="BF130">
        <f t="shared" si="239"/>
        <v>0</v>
      </c>
      <c r="BG130">
        <f>VLOOKUP($H130,Constants!$I:$K, 2, FALSE)</f>
        <v>1.1499999999999999</v>
      </c>
      <c r="BH130">
        <f>VLOOKUP($H130,Constants!$I:$K, 3, FALSE)*IF(AND(G130="multiple_unit",AB130&lt;110),0.75,1)</f>
        <v>1.7</v>
      </c>
      <c r="BI130">
        <f>INT(POWER(((Constants!$G$2+$BB130+$BC130+$BD130+$BF130)*$BE130)*$BH130, 1.05))+$BA130</f>
        <v>36</v>
      </c>
      <c r="BJ130">
        <f>INT(POWER((((Constants!$G$1+$BB130+$BC130+$BD130+$BF130)*($BE130))*$BG130),IF($G130="wagon",1,1.2)))+$AZ130</f>
        <v>64</v>
      </c>
      <c r="BK130" s="14">
        <f t="shared" si="240"/>
        <v>28125</v>
      </c>
      <c r="BL130" s="14">
        <f t="shared" si="241"/>
        <v>5200</v>
      </c>
      <c r="BU130">
        <v>12</v>
      </c>
      <c r="BZ130" t="str">
        <f>VLOOKUP(J130,Eras!$A$2:$C$10, 2, TRUE)</f>
        <v>vct</v>
      </c>
      <c r="CA130" t="s">
        <v>322</v>
      </c>
      <c r="CB130" t="str">
        <f t="shared" si="242"/>
        <v>vct_Mixed Traffic</v>
      </c>
      <c r="CC130" t="str">
        <f t="shared" si="204"/>
        <v>steam_RAIL</v>
      </c>
      <c r="CD130" s="17" t="str" cm="1">
        <f t="array" ref="CD130">_xlfn.CONCAT("{BLACK}Length: {GOLD}", TEXT(ROUNDUP(IF(AQ130&lt;&gt;"",SUM(VALUE(_xlfn.TEXTSPLIT(AQ130, ","))), SUM(VALUE(_xlfn.TEXTSPLIT(AN130, ",")))*IF(M130, M130, 1))/16, 1), "#,##0.0"), " tiles{}")</f>
        <v>{BLACK}Length: {GOLD}0.4 tiles{}</v>
      </c>
      <c r="CE130" t="str">
        <f>VLOOKUP($CC130, Constants!$M:$N, 2, FALSE)</f>
        <v>{BLACK}Powered by: {GOLD}Steam</v>
      </c>
      <c r="CF130" t="str">
        <f t="shared" si="243"/>
        <v/>
      </c>
      <c r="CG130" t="s">
        <v>1328</v>
      </c>
      <c r="CH130" t="str">
        <f t="shared" si="259"/>
        <v/>
      </c>
      <c r="CI130" t="str">
        <f t="shared" si="206"/>
        <v/>
      </c>
      <c r="CJ130" t="str">
        <f t="shared" si="207"/>
        <v>{BLACK}Powered by: {GOLD}Steam {}{BLACK}Length: {GOLD}0.4 tiles{}{SILVER}The GWR 517 class encompassed a variety of 0-4-2 side tank engines, some having been rebuilt from existing saddle tanks.</v>
      </c>
    </row>
    <row r="131" spans="1:88" x14ac:dyDescent="0.35">
      <c r="A131" t="s">
        <v>1460</v>
      </c>
      <c r="B131" t="s">
        <v>1461</v>
      </c>
      <c r="C131">
        <v>171</v>
      </c>
      <c r="E131">
        <v>17</v>
      </c>
      <c r="F131" t="s">
        <v>1498</v>
      </c>
      <c r="G131" t="s">
        <v>258</v>
      </c>
      <c r="H131" t="s">
        <v>267</v>
      </c>
      <c r="I131" t="s">
        <v>270</v>
      </c>
      <c r="J131">
        <v>1869</v>
      </c>
      <c r="L131">
        <v>1951</v>
      </c>
      <c r="N131">
        <v>480</v>
      </c>
      <c r="P131" s="5">
        <v>17</v>
      </c>
      <c r="Q131" s="5">
        <v>24</v>
      </c>
      <c r="R131" s="5">
        <v>2</v>
      </c>
      <c r="S131" s="5">
        <v>140</v>
      </c>
      <c r="T131" s="6">
        <f t="shared" si="257"/>
        <v>138.5050928806051</v>
      </c>
      <c r="U131" s="5">
        <v>1.58</v>
      </c>
      <c r="V131" s="5">
        <f t="shared" si="258"/>
        <v>484.99232834675865</v>
      </c>
      <c r="W131">
        <v>36.6</v>
      </c>
      <c r="X131" s="8">
        <v>16</v>
      </c>
      <c r="Z131">
        <v>72</v>
      </c>
      <c r="AA131" s="3">
        <f t="shared" si="232"/>
        <v>0.13688212927756654</v>
      </c>
      <c r="AB131">
        <v>50</v>
      </c>
      <c r="AC131">
        <f t="shared" si="244"/>
        <v>80</v>
      </c>
      <c r="AG131">
        <v>10</v>
      </c>
      <c r="AJ131" s="10">
        <v>0</v>
      </c>
      <c r="AK131" t="str">
        <f>CONCATENATE(VLOOKUP(AL131, 'Voxel Sizes'!$A$2:$B$18,2,FALSE),"x",INT(AH131*15), "x", INT(AI131*15))</f>
        <v>102x0x0</v>
      </c>
      <c r="AL131">
        <f t="shared" si="233"/>
        <v>6</v>
      </c>
      <c r="AM131" t="s">
        <v>1332</v>
      </c>
      <c r="AN131" t="str">
        <f>CONCATENATE(VLOOKUP(AL131,Constants!$A$2:$C$16,IF(AM131&lt;&gt;"", 3, 2), FALSE),IF(AM131&lt;&gt;"",CONCATENATE(",",VLOOKUP(AM131,$B:$AN,39,FALSE)),""))</f>
        <v>2,2,2,1,2,1</v>
      </c>
      <c r="AV131">
        <v>1</v>
      </c>
      <c r="AX131">
        <v>33</v>
      </c>
      <c r="AY131" s="15">
        <f t="shared" si="234"/>
        <v>90</v>
      </c>
      <c r="AZ131">
        <v>2</v>
      </c>
      <c r="BA131">
        <v>-2</v>
      </c>
      <c r="BB131">
        <f t="shared" si="235"/>
        <v>10</v>
      </c>
      <c r="BC131">
        <f t="shared" si="236"/>
        <v>2.4</v>
      </c>
      <c r="BD131">
        <f t="shared" si="237"/>
        <v>3.5999999999999996</v>
      </c>
      <c r="BE131" s="3">
        <f t="shared" si="238"/>
        <v>1</v>
      </c>
      <c r="BF131">
        <f t="shared" si="239"/>
        <v>0</v>
      </c>
      <c r="BG131">
        <f>VLOOKUP($H131,Constants!$I:$K, 2, FALSE)</f>
        <v>1.1499999999999999</v>
      </c>
      <c r="BH131">
        <f>VLOOKUP($H131,Constants!$I:$K, 3, FALSE)*IF(AND(G131="multiple_unit",AB131&lt;110),0.75,1)</f>
        <v>1.7</v>
      </c>
      <c r="BI131">
        <f>INT(POWER(((Constants!$G$2+$BB131+$BC131+$BD131+$BF131)*$BE131)*$BH131, 1.05))+$BA131</f>
        <v>40</v>
      </c>
      <c r="BJ131">
        <f>INT(POWER((((Constants!$G$1+$BB131+$BC131+$BD131+$BF131)*($BE131))*$BG131),IF($G131="wagon",1,1.2)))+$AZ131</f>
        <v>74</v>
      </c>
      <c r="BK131" s="14">
        <f t="shared" si="240"/>
        <v>31250</v>
      </c>
      <c r="BL131" s="14">
        <f t="shared" si="241"/>
        <v>6012.5</v>
      </c>
      <c r="BU131">
        <v>5</v>
      </c>
      <c r="BZ131" t="s">
        <v>378</v>
      </c>
      <c r="CA131" t="s">
        <v>324</v>
      </c>
      <c r="CB131" t="str">
        <f t="shared" si="242"/>
        <v>vct_Freight</v>
      </c>
      <c r="CC131" t="str">
        <f t="shared" si="204"/>
        <v>steam_RAIL</v>
      </c>
      <c r="CD131" s="17" t="str" cm="1">
        <f t="array" ref="CD131">_xlfn.CONCAT("{BLACK}Length: {GOLD}", TEXT(ROUNDUP(IF(AQ131&lt;&gt;"",SUM(VALUE(_xlfn.TEXTSPLIT(AQ131, ","))), SUM(VALUE(_xlfn.TEXTSPLIT(AN131, ",")))*IF(M131, M131, 1))/16, 1), "#,##0.0"), " tiles{}")</f>
        <v>{BLACK}Length: {GOLD}0.7 tiles{}</v>
      </c>
      <c r="CE131" t="str">
        <f>VLOOKUP($CC131, Constants!$M:$N, 2, FALSE)</f>
        <v>{BLACK}Powered by: {GOLD}Steam</v>
      </c>
      <c r="CG131" t="s">
        <v>1462</v>
      </c>
      <c r="CH131" t="str">
        <f t="shared" si="259"/>
        <v/>
      </c>
      <c r="CI131" t="str">
        <f t="shared" si="206"/>
        <v/>
      </c>
      <c r="CJ131" t="str">
        <f t="shared" si="207"/>
        <v>{BLACK}Powered by: {GOLD}Steam {}{BLACK}Length: {GOLD}0.7 tiles{}{SILVER}The 700 class was a widely-produced freight engine. In its later years a sixth of the originally produced locomotives were sold to the Italian State Railway.</v>
      </c>
    </row>
    <row r="132" spans="1:88" x14ac:dyDescent="0.35">
      <c r="A132" t="s">
        <v>31</v>
      </c>
      <c r="B132" t="s">
        <v>209</v>
      </c>
      <c r="C132">
        <v>172</v>
      </c>
      <c r="E132">
        <v>18</v>
      </c>
      <c r="F132" t="s">
        <v>1498</v>
      </c>
      <c r="G132" t="s">
        <v>258</v>
      </c>
      <c r="H132" t="s">
        <v>267</v>
      </c>
      <c r="I132" t="s">
        <v>270</v>
      </c>
      <c r="J132">
        <v>1872</v>
      </c>
      <c r="K132">
        <v>1880</v>
      </c>
      <c r="L132">
        <v>1963</v>
      </c>
      <c r="N132">
        <v>300</v>
      </c>
      <c r="P132" s="5">
        <v>12</v>
      </c>
      <c r="Q132" s="5">
        <v>20</v>
      </c>
      <c r="R132" s="5">
        <v>2</v>
      </c>
      <c r="S132" s="5">
        <v>150</v>
      </c>
      <c r="T132" s="6">
        <f t="shared" si="257"/>
        <v>164.12853506351709</v>
      </c>
      <c r="U132" s="5">
        <v>1.2</v>
      </c>
      <c r="V132" s="5">
        <f t="shared" si="258"/>
        <v>255.68181818181824</v>
      </c>
      <c r="W132">
        <v>28</v>
      </c>
      <c r="Z132">
        <v>34</v>
      </c>
      <c r="AA132" s="3">
        <f t="shared" si="232"/>
        <v>0.12142857142857143</v>
      </c>
      <c r="AB132">
        <v>45</v>
      </c>
      <c r="AC132">
        <f t="shared" si="244"/>
        <v>72</v>
      </c>
      <c r="AF132">
        <v>7.94</v>
      </c>
      <c r="AG132">
        <v>8</v>
      </c>
      <c r="AJ132" s="10">
        <v>0</v>
      </c>
      <c r="AK132" t="str">
        <f>CONCATENATE(VLOOKUP(AL132, 'Voxel Sizes'!$A$2:$B$18,2,FALSE),"x",INT(AH132*15), "x", INT(AI132*15))</f>
        <v>82x0x0</v>
      </c>
      <c r="AL132">
        <f t="shared" si="233"/>
        <v>5</v>
      </c>
      <c r="AN132" t="str">
        <f>CONCATENATE(VLOOKUP(AL132,Constants!$A$2:$C$16,IF(AM132&lt;&gt;"", 3, 2), FALSE),IF(AM132&lt;&gt;"",CONCATENATE(",",VLOOKUP(AM132,$B:$AN,39,FALSE)),""))</f>
        <v>2,1,2</v>
      </c>
      <c r="AV132">
        <v>1</v>
      </c>
      <c r="AX132">
        <v>35</v>
      </c>
      <c r="AY132" s="15">
        <f t="shared" si="234"/>
        <v>99</v>
      </c>
      <c r="BB132">
        <f t="shared" si="235"/>
        <v>9</v>
      </c>
      <c r="BC132">
        <f t="shared" si="236"/>
        <v>1.5</v>
      </c>
      <c r="BD132">
        <f t="shared" si="237"/>
        <v>1.7000000000000002</v>
      </c>
      <c r="BE132" s="3">
        <f t="shared" si="238"/>
        <v>1</v>
      </c>
      <c r="BF132">
        <f t="shared" si="239"/>
        <v>0</v>
      </c>
      <c r="BG132">
        <f>VLOOKUP($H132,Constants!$I:$K, 2, FALSE)</f>
        <v>1.1499999999999999</v>
      </c>
      <c r="BH132">
        <f>VLOOKUP($H132,Constants!$I:$K, 3, FALSE)*IF(AND(G132="multiple_unit",AB132&lt;110),0.75,1)</f>
        <v>1.7</v>
      </c>
      <c r="BI132">
        <f>INT(POWER(((Constants!$G$2+$BB132+$BC132+$BD132+$BF132)*$BE132)*$BH132, 1.05))+$BA132</f>
        <v>34</v>
      </c>
      <c r="BJ132">
        <f>INT(POWER((((Constants!$G$1+$BB132+$BC132+$BD132+$BF132)*($BE132))*$BG132),IF($G132="wagon",1,1.2)))+$AZ132</f>
        <v>62</v>
      </c>
      <c r="BK132" s="14">
        <f t="shared" si="240"/>
        <v>26562.5</v>
      </c>
      <c r="BL132" s="14">
        <f t="shared" si="241"/>
        <v>5037.5</v>
      </c>
      <c r="BU132">
        <v>1</v>
      </c>
      <c r="BZ132" t="str">
        <f>VLOOKUP(J132,Eras!$A$2:$C$10, 2, TRUE)</f>
        <v>vct</v>
      </c>
      <c r="CB132" t="str">
        <f t="shared" si="242"/>
        <v>vct_</v>
      </c>
      <c r="CC132" t="str">
        <f t="shared" si="204"/>
        <v>steam_RAIL</v>
      </c>
      <c r="CD132" s="17" t="str" cm="1">
        <f t="array" ref="CD132">_xlfn.CONCAT("{BLACK}Length: {GOLD}", TEXT(ROUNDUP(IF(AQ132&lt;&gt;"",SUM(VALUE(_xlfn.TEXTSPLIT(AQ132, ","))), SUM(VALUE(_xlfn.TEXTSPLIT(AN132, ",")))*IF(M132, M132, 1))/16, 1), "#,##0.0"), " tiles{}")</f>
        <v>{BLACK}Length: {GOLD}0.4 tiles{}</v>
      </c>
      <c r="CE132" t="str">
        <f>VLOOKUP($CC132, Constants!$M:$N, 2, FALSE)</f>
        <v>{BLACK}Powered by: {GOLD}Steam</v>
      </c>
      <c r="CF132" t="str">
        <f t="shared" ref="CF132:CF163" si="260">IF(M132&gt;1,_xlfn.CONCAT("{BLACK}Cars: {GOLD}", M132),"")</f>
        <v/>
      </c>
      <c r="CG132" t="s">
        <v>1323</v>
      </c>
      <c r="CH132" t="str">
        <f t="shared" si="259"/>
        <v/>
      </c>
      <c r="CI132" t="str">
        <f t="shared" si="206"/>
        <v/>
      </c>
      <c r="CJ132" t="str">
        <f t="shared" si="207"/>
        <v>{BLACK}Powered by: {GOLD}Steam {}{BLACK}Length: {GOLD}0.4 tiles{}{SILVER}Originally designed to operate commuter services, the small A1 tank locomotives were still used into the 1960s on the Hayling Island branch line.</v>
      </c>
    </row>
    <row r="133" spans="1:88" x14ac:dyDescent="0.35">
      <c r="A133" t="s">
        <v>1312</v>
      </c>
      <c r="B133" t="s">
        <v>1315</v>
      </c>
      <c r="C133">
        <v>173</v>
      </c>
      <c r="E133">
        <v>19</v>
      </c>
      <c r="F133" t="s">
        <v>1498</v>
      </c>
      <c r="G133" t="s">
        <v>258</v>
      </c>
      <c r="H133" t="s">
        <v>267</v>
      </c>
      <c r="I133" t="s">
        <v>270</v>
      </c>
      <c r="J133">
        <v>1876</v>
      </c>
      <c r="L133">
        <v>1925</v>
      </c>
      <c r="N133">
        <v>750</v>
      </c>
      <c r="P133" s="5">
        <v>18</v>
      </c>
      <c r="Q133" s="5">
        <v>26</v>
      </c>
      <c r="R133" s="5">
        <v>2</v>
      </c>
      <c r="S133" s="5">
        <v>165</v>
      </c>
      <c r="T133" s="6">
        <f t="shared" si="257"/>
        <v>163.39907490767919</v>
      </c>
      <c r="U133" s="5">
        <v>1.5</v>
      </c>
      <c r="V133" s="5">
        <f t="shared" si="258"/>
        <v>818.99999999999966</v>
      </c>
      <c r="W133">
        <v>41</v>
      </c>
      <c r="X133" s="8">
        <v>40</v>
      </c>
      <c r="Z133">
        <v>86</v>
      </c>
      <c r="AA133" s="3">
        <f t="shared" si="232"/>
        <v>0.10617283950617284</v>
      </c>
      <c r="AB133">
        <v>56</v>
      </c>
      <c r="AC133">
        <f t="shared" si="244"/>
        <v>90</v>
      </c>
      <c r="AF133">
        <v>14.99</v>
      </c>
      <c r="AG133">
        <v>10</v>
      </c>
      <c r="AJ133" s="10">
        <v>0</v>
      </c>
      <c r="AK133" t="str">
        <f>CONCATENATE(VLOOKUP(AL133, 'Voxel Sizes'!$A$2:$B$18,2,FALSE),"x",INT(AH133*15), "x", INT(AI133*15))</f>
        <v>102x0x0</v>
      </c>
      <c r="AL133">
        <f t="shared" si="233"/>
        <v>6</v>
      </c>
      <c r="AM133" t="s">
        <v>1311</v>
      </c>
      <c r="AN133" t="str">
        <f>CONCATENATE(VLOOKUP(AL133,Constants!$A$2:$C$16,IF(AM133&lt;&gt;"", 3, 2), FALSE),IF(AM133&lt;&gt;"",CONCATENATE(",",VLOOKUP(AM133,$B:$AN,39,FALSE)),""))</f>
        <v>2,2,2,2,1,2</v>
      </c>
      <c r="AV133">
        <v>1</v>
      </c>
      <c r="AX133">
        <v>32</v>
      </c>
      <c r="AY133" s="15">
        <f t="shared" si="234"/>
        <v>57</v>
      </c>
      <c r="BB133">
        <f t="shared" si="235"/>
        <v>11.200000000000001</v>
      </c>
      <c r="BC133">
        <f t="shared" si="236"/>
        <v>3.75</v>
      </c>
      <c r="BD133">
        <f t="shared" si="237"/>
        <v>4.3</v>
      </c>
      <c r="BE133" s="3">
        <f t="shared" si="238"/>
        <v>1</v>
      </c>
      <c r="BF133">
        <f t="shared" si="239"/>
        <v>0</v>
      </c>
      <c r="BG133">
        <f>VLOOKUP($H133,Constants!$I:$K, 2, FALSE)</f>
        <v>1.1499999999999999</v>
      </c>
      <c r="BH133">
        <f>VLOOKUP($H133,Constants!$I:$K, 3, FALSE)*IF(AND(G133="multiple_unit",AB133&lt;110),0.75,1)</f>
        <v>1.7</v>
      </c>
      <c r="BI133">
        <f>INT(POWER(((Constants!$G$2+$BB133+$BC133+$BD133+$BF133)*$BE133)*$BH133, 1.05))+$BA133</f>
        <v>49</v>
      </c>
      <c r="BJ133">
        <f>INT(POWER((((Constants!$G$1+$BB133+$BC133+$BD133+$BF133)*($BE133))*$BG133),IF($G133="wagon",1,1.2)))+$AZ133</f>
        <v>82</v>
      </c>
      <c r="BK133" s="14">
        <f t="shared" si="240"/>
        <v>38281.25</v>
      </c>
      <c r="BL133" s="14">
        <f t="shared" si="241"/>
        <v>6662.5</v>
      </c>
      <c r="BU133">
        <v>4</v>
      </c>
      <c r="BZ133" t="str">
        <f>VLOOKUP(J133,Eras!$A$2:$C$10, 2, TRUE)</f>
        <v>vct</v>
      </c>
      <c r="CA133" t="s">
        <v>322</v>
      </c>
      <c r="CB133" t="str">
        <f t="shared" si="242"/>
        <v>vct_Mixed Traffic</v>
      </c>
      <c r="CC133" t="str">
        <f t="shared" si="204"/>
        <v>steam_RAIL</v>
      </c>
      <c r="CD133" s="17" t="str" cm="1">
        <f t="array" ref="CD133">_xlfn.CONCAT("{BLACK}Length: {GOLD}", TEXT(ROUNDUP(IF(AQ133&lt;&gt;"",SUM(VALUE(_xlfn.TEXTSPLIT(AQ133, ","))), SUM(VALUE(_xlfn.TEXTSPLIT(AN133, ",")))*IF(M133, M133, 1))/16, 1), "#,##0.0"), " tiles{}")</f>
        <v>{BLACK}Length: {GOLD}0.7 tiles{}</v>
      </c>
      <c r="CE133" t="str">
        <f>VLOOKUP($CC133, Constants!$M:$N, 2, FALSE)</f>
        <v>{BLACK}Powered by: {GOLD}Steam</v>
      </c>
      <c r="CF133" t="str">
        <f t="shared" si="260"/>
        <v/>
      </c>
      <c r="CG133" t="s">
        <v>1314</v>
      </c>
      <c r="CH133" t="str">
        <f t="shared" si="259"/>
        <v/>
      </c>
      <c r="CI133" t="str">
        <f t="shared" si="206"/>
        <v/>
      </c>
      <c r="CJ133" t="str">
        <f t="shared" si="207"/>
        <v>{BLACK}Powered by: {GOLD}Steam {}{BLACK}Length: {GOLD}0.7 tiles{}{SILVER}Dugald Drummond's C Class used large (for the time) 18 inch cylinders. They survived into LNER ownership as class J32, although rebuilt to Holmes' later design by that point.</v>
      </c>
    </row>
    <row r="134" spans="1:88" x14ac:dyDescent="0.35">
      <c r="A134" t="s">
        <v>4</v>
      </c>
      <c r="B134" t="s">
        <v>149</v>
      </c>
      <c r="C134">
        <v>174</v>
      </c>
      <c r="E134">
        <v>20</v>
      </c>
      <c r="F134" t="s">
        <v>1498</v>
      </c>
      <c r="G134" t="s">
        <v>258</v>
      </c>
      <c r="H134" t="s">
        <v>267</v>
      </c>
      <c r="I134" t="s">
        <v>270</v>
      </c>
      <c r="J134">
        <v>1883</v>
      </c>
      <c r="L134">
        <v>1957</v>
      </c>
      <c r="N134">
        <v>800</v>
      </c>
      <c r="P134" s="5">
        <v>17.5</v>
      </c>
      <c r="Q134" s="5">
        <v>24</v>
      </c>
      <c r="R134" s="5">
        <v>2</v>
      </c>
      <c r="S134" s="5">
        <v>160</v>
      </c>
      <c r="T134" s="6">
        <f t="shared" si="257"/>
        <v>189.65964051784192</v>
      </c>
      <c r="U134" s="5">
        <v>1.5</v>
      </c>
      <c r="V134" s="5">
        <f t="shared" si="258"/>
        <v>804.2929292929291</v>
      </c>
      <c r="W134">
        <f>41.6+34.3</f>
        <v>75.900000000000006</v>
      </c>
      <c r="X134" s="8">
        <v>30</v>
      </c>
      <c r="Z134">
        <v>75.400000000000006</v>
      </c>
      <c r="AA134" s="3">
        <f t="shared" si="232"/>
        <v>7.1199244570349388E-2</v>
      </c>
      <c r="AB134">
        <v>65</v>
      </c>
      <c r="AC134">
        <f t="shared" si="244"/>
        <v>104</v>
      </c>
      <c r="AF134">
        <v>14.4</v>
      </c>
      <c r="AG134">
        <v>10</v>
      </c>
      <c r="AJ134" s="10">
        <v>0</v>
      </c>
      <c r="AK134" t="str">
        <f>CONCATENATE(VLOOKUP(AL134, 'Voxel Sizes'!$A$2:$B$18,2,FALSE),"x",INT(AH134*15), "x", INT(AI134*15))</f>
        <v>102x0x0</v>
      </c>
      <c r="AL134">
        <f t="shared" si="233"/>
        <v>6</v>
      </c>
      <c r="AM134" t="s">
        <v>1311</v>
      </c>
      <c r="AN134" t="str">
        <f>CONCATENATE(VLOOKUP(AL134,Constants!$A$2:$C$16,IF(AM134&lt;&gt;"", 3, 2), FALSE),IF(AM134&lt;&gt;"",CONCATENATE(",",VLOOKUP(AM134,$B:$AN,39,FALSE)),""))</f>
        <v>2,2,2,2,1,2</v>
      </c>
      <c r="AV134">
        <v>1</v>
      </c>
      <c r="AX134">
        <v>38</v>
      </c>
      <c r="AY134" s="15">
        <f t="shared" si="234"/>
        <v>82</v>
      </c>
      <c r="BB134">
        <f t="shared" si="235"/>
        <v>13</v>
      </c>
      <c r="BC134">
        <f t="shared" si="236"/>
        <v>4</v>
      </c>
      <c r="BD134">
        <f t="shared" si="237"/>
        <v>3.77</v>
      </c>
      <c r="BE134" s="3">
        <f t="shared" si="238"/>
        <v>1</v>
      </c>
      <c r="BF134">
        <f t="shared" si="239"/>
        <v>0</v>
      </c>
      <c r="BG134">
        <f>VLOOKUP($H134,Constants!$I:$K, 2, FALSE)</f>
        <v>1.1499999999999999</v>
      </c>
      <c r="BH134">
        <f>VLOOKUP($H134,Constants!$I:$K, 3, FALSE)*IF(AND(G134="multiple_unit",AB134&lt;110),0.75,1)</f>
        <v>1.7</v>
      </c>
      <c r="BI134">
        <f>INT(POWER(((Constants!$G$2+$BB134+$BC134+$BD134+$BF134)*$BE134)*$BH134, 1.05))+$BA134</f>
        <v>52</v>
      </c>
      <c r="BJ134">
        <f>INT(POWER((((Constants!$G$1+$BB134+$BC134+$BD134+$BF134)*($BE134))*$BG134),IF($G134="wagon",1,1.2)))+$AZ134</f>
        <v>86</v>
      </c>
      <c r="BK134" s="14">
        <f t="shared" si="240"/>
        <v>40625</v>
      </c>
      <c r="BL134" s="14">
        <f t="shared" si="241"/>
        <v>6987.5</v>
      </c>
      <c r="BU134">
        <v>2</v>
      </c>
      <c r="BZ134" t="str">
        <f>VLOOKUP(J134,Eras!$A$2:$C$10, 2, TRUE)</f>
        <v>vct</v>
      </c>
      <c r="CA134" t="s">
        <v>322</v>
      </c>
      <c r="CB134" t="str">
        <f t="shared" si="242"/>
        <v>vct_Mixed Traffic</v>
      </c>
      <c r="CC134" t="str">
        <f t="shared" si="204"/>
        <v>steam_RAIL</v>
      </c>
      <c r="CD134" s="17" t="str" cm="1">
        <f t="array" ref="CD134">_xlfn.CONCAT("{BLACK}Length: {GOLD}", TEXT(ROUNDUP(IF(AQ134&lt;&gt;"",SUM(VALUE(_xlfn.TEXTSPLIT(AQ134, ","))), SUM(VALUE(_xlfn.TEXTSPLIT(AN134, ",")))*IF(M134, M134, 1))/16, 1), "#,##0.0"), " tiles{}")</f>
        <v>{BLACK}Length: {GOLD}0.7 tiles{}</v>
      </c>
      <c r="CE134" t="str">
        <f>VLOOKUP($CC134, Constants!$M:$N, 2, FALSE)</f>
        <v>{BLACK}Powered by: {GOLD}Steam</v>
      </c>
      <c r="CF134" t="str">
        <f t="shared" si="260"/>
        <v/>
      </c>
      <c r="CG134" t="s">
        <v>1470</v>
      </c>
      <c r="CH134" t="str">
        <f t="shared" si="259"/>
        <v/>
      </c>
      <c r="CI134" t="str">
        <f t="shared" si="206"/>
        <v/>
      </c>
      <c r="CJ134" t="str">
        <f t="shared" si="207"/>
        <v>{BLACK}Powered by: {GOLD}Steam {}{BLACK}Length: {GOLD}0.7 tiles{}{SILVER}GER's Y14 was a highly successful design, being built in much the same form through to 1913. One was built by the Stratford works in under 10 hours.</v>
      </c>
    </row>
    <row r="135" spans="1:88" x14ac:dyDescent="0.35">
      <c r="A135" t="s">
        <v>121</v>
      </c>
      <c r="B135" t="s">
        <v>1327</v>
      </c>
      <c r="C135">
        <v>176</v>
      </c>
      <c r="E135">
        <v>21</v>
      </c>
      <c r="F135" t="s">
        <v>1498</v>
      </c>
      <c r="G135" t="s">
        <v>258</v>
      </c>
      <c r="H135" t="s">
        <v>267</v>
      </c>
      <c r="I135" t="s">
        <v>270</v>
      </c>
      <c r="J135">
        <v>1883</v>
      </c>
      <c r="L135">
        <v>1957</v>
      </c>
      <c r="N135">
        <v>825</v>
      </c>
      <c r="P135" s="5">
        <v>17</v>
      </c>
      <c r="Q135" s="5">
        <v>24</v>
      </c>
      <c r="R135" s="5">
        <v>2</v>
      </c>
      <c r="S135" s="5">
        <v>180</v>
      </c>
      <c r="T135" s="6">
        <f t="shared" si="257"/>
        <v>183.64031895218693</v>
      </c>
      <c r="U135" s="5">
        <v>1.43</v>
      </c>
      <c r="V135" s="5">
        <f t="shared" si="258"/>
        <v>826.76414494596304</v>
      </c>
      <c r="W135">
        <v>41.2</v>
      </c>
      <c r="X135" s="8">
        <v>34</v>
      </c>
      <c r="Z135">
        <v>80</v>
      </c>
      <c r="AA135" s="3">
        <f t="shared" si="232"/>
        <v>0.10638297872340426</v>
      </c>
      <c r="AB135">
        <v>60</v>
      </c>
      <c r="AC135">
        <f t="shared" si="244"/>
        <v>96</v>
      </c>
      <c r="AF135">
        <v>14.4</v>
      </c>
      <c r="AG135">
        <v>10</v>
      </c>
      <c r="AJ135" s="10">
        <v>0</v>
      </c>
      <c r="AK135" t="str">
        <f>CONCATENATE(VLOOKUP(AL135, 'Voxel Sizes'!$A$2:$B$18,2,FALSE),"x",INT(AH135*15), "x", INT(AI135*15))</f>
        <v>102x0x0</v>
      </c>
      <c r="AL135">
        <f t="shared" si="233"/>
        <v>6</v>
      </c>
      <c r="AM135" t="s">
        <v>1190</v>
      </c>
      <c r="AN135" t="str">
        <f>CONCATENATE(VLOOKUP(AL135,Constants!$A$2:$C$16,IF(AM135&lt;&gt;"", 3, 2), FALSE),IF(AM135&lt;&gt;"",CONCATENATE(",",VLOOKUP(AM135,$B:$AN,39,FALSE)),""))</f>
        <v>2,2,2,2,1,2</v>
      </c>
      <c r="AV135">
        <v>1</v>
      </c>
      <c r="AX135">
        <v>34</v>
      </c>
      <c r="AY135" s="15">
        <f t="shared" si="234"/>
        <v>82</v>
      </c>
      <c r="BA135">
        <v>-2</v>
      </c>
      <c r="BB135">
        <f t="shared" si="235"/>
        <v>12</v>
      </c>
      <c r="BC135">
        <f t="shared" si="236"/>
        <v>4.125</v>
      </c>
      <c r="BD135">
        <f t="shared" si="237"/>
        <v>4</v>
      </c>
      <c r="BE135" s="3">
        <f t="shared" si="238"/>
        <v>1</v>
      </c>
      <c r="BF135">
        <f t="shared" si="239"/>
        <v>0</v>
      </c>
      <c r="BG135">
        <f>VLOOKUP($H135,Constants!$I:$K, 2, FALSE)</f>
        <v>1.1499999999999999</v>
      </c>
      <c r="BH135">
        <f>VLOOKUP($H135,Constants!$I:$K, 3, FALSE)*IF(AND(G135="multiple_unit",AB135&lt;110),0.75,1)</f>
        <v>1.7</v>
      </c>
      <c r="BI135">
        <f>INT(POWER(((Constants!$G$2+$BB135+$BC135+$BD135+$BF135)*$BE135)*$BH135, 1.05))+$BA135</f>
        <v>49</v>
      </c>
      <c r="BJ135">
        <f>INT(POWER((((Constants!$G$1+$BB135+$BC135+$BD135+$BF135)*($BE135))*$BG135),IF($G135="wagon",1,1.2)))+$AZ135</f>
        <v>84</v>
      </c>
      <c r="BK135" s="14">
        <f t="shared" si="240"/>
        <v>38281.25</v>
      </c>
      <c r="BL135" s="14">
        <f t="shared" si="241"/>
        <v>6825</v>
      </c>
      <c r="BU135">
        <v>3</v>
      </c>
      <c r="BZ135" t="str">
        <f>VLOOKUP(J135,Eras!$A$2:$C$10, 2, TRUE)</f>
        <v>vct</v>
      </c>
      <c r="CA135" t="s">
        <v>324</v>
      </c>
      <c r="CB135" t="str">
        <f t="shared" si="242"/>
        <v>vct_Freight</v>
      </c>
      <c r="CC135" t="str">
        <f t="shared" si="204"/>
        <v>steam_RAIL</v>
      </c>
      <c r="CD135" s="17" t="str" cm="1">
        <f t="array" ref="CD135">_xlfn.CONCAT("{BLACK}Length: {GOLD}", TEXT(ROUNDUP(IF(AQ135&lt;&gt;"",SUM(VALUE(_xlfn.TEXTSPLIT(AQ135, ","))), SUM(VALUE(_xlfn.TEXTSPLIT(AN135, ",")))*IF(M135, M135, 1))/16, 1), "#,##0.0"), " tiles{}")</f>
        <v>{BLACK}Length: {GOLD}0.7 tiles{}</v>
      </c>
      <c r="CE135" t="str">
        <f>VLOOKUP($CC135, Constants!$M:$N, 2, FALSE)</f>
        <v>{BLACK}Powered by: {GOLD}Steam</v>
      </c>
      <c r="CF135" t="str">
        <f t="shared" si="260"/>
        <v/>
      </c>
      <c r="CG135" t="s">
        <v>1326</v>
      </c>
      <c r="CH135" t="str">
        <f t="shared" si="259"/>
        <v/>
      </c>
      <c r="CI135" t="str">
        <f t="shared" si="206"/>
        <v/>
      </c>
      <c r="CJ135" t="str">
        <f t="shared" si="207"/>
        <v>{BLACK}Powered by: {GOLD}Steam {}{BLACK}Length: {GOLD}0.7 tiles{}{SILVER}William Dean's 2301 class was the first GWR locomotive to have no outside frame. The light weight made them suited to branch lines.</v>
      </c>
    </row>
    <row r="136" spans="1:88" x14ac:dyDescent="0.35">
      <c r="A136" t="s">
        <v>1313</v>
      </c>
      <c r="B136" t="s">
        <v>1309</v>
      </c>
      <c r="C136">
        <v>178</v>
      </c>
      <c r="E136">
        <v>22</v>
      </c>
      <c r="F136" t="s">
        <v>1498</v>
      </c>
      <c r="G136" t="s">
        <v>258</v>
      </c>
      <c r="H136" t="s">
        <v>267</v>
      </c>
      <c r="I136" t="s">
        <v>270</v>
      </c>
      <c r="J136">
        <v>1888</v>
      </c>
      <c r="L136">
        <v>1967</v>
      </c>
      <c r="N136">
        <v>850</v>
      </c>
      <c r="P136" s="5">
        <v>18</v>
      </c>
      <c r="Q136" s="5">
        <v>26</v>
      </c>
      <c r="R136" s="5">
        <v>2</v>
      </c>
      <c r="S136" s="5">
        <v>165</v>
      </c>
      <c r="T136" s="6">
        <f t="shared" si="257"/>
        <v>175.07043740108486</v>
      </c>
      <c r="U136" s="5">
        <v>1.5</v>
      </c>
      <c r="V136" s="5">
        <f t="shared" si="258"/>
        <v>877.49999999999966</v>
      </c>
      <c r="W136">
        <v>42.6</v>
      </c>
      <c r="X136" s="8">
        <v>40</v>
      </c>
      <c r="Z136">
        <v>88</v>
      </c>
      <c r="AA136" s="3">
        <f t="shared" si="232"/>
        <v>0.10653753026634383</v>
      </c>
      <c r="AB136">
        <v>60</v>
      </c>
      <c r="AC136">
        <f t="shared" si="244"/>
        <v>96</v>
      </c>
      <c r="AF136">
        <v>14.99</v>
      </c>
      <c r="AG136">
        <v>10</v>
      </c>
      <c r="AJ136" s="10">
        <v>0</v>
      </c>
      <c r="AK136" t="str">
        <f>CONCATENATE(VLOOKUP(AL136, 'Voxel Sizes'!$A$2:$B$18,2,FALSE),"x",INT(AH136*15), "x", INT(AI136*15))</f>
        <v>102x0x0</v>
      </c>
      <c r="AL136">
        <f t="shared" si="233"/>
        <v>6</v>
      </c>
      <c r="AM136" t="s">
        <v>1311</v>
      </c>
      <c r="AN136" t="str">
        <f>CONCATENATE(VLOOKUP(AL136,Constants!$A$2:$C$16,IF(AM136&lt;&gt;"", 3, 2), FALSE),IF(AM136&lt;&gt;"",CONCATENATE(",",VLOOKUP(AM136,$B:$AN,39,FALSE)),""))</f>
        <v>2,2,2,2,1,2</v>
      </c>
      <c r="AV136">
        <v>1</v>
      </c>
      <c r="AX136">
        <v>36</v>
      </c>
      <c r="AY136" s="15">
        <f t="shared" si="234"/>
        <v>87</v>
      </c>
      <c r="BB136">
        <f t="shared" si="235"/>
        <v>12</v>
      </c>
      <c r="BC136">
        <f t="shared" si="236"/>
        <v>4.25</v>
      </c>
      <c r="BD136">
        <f t="shared" si="237"/>
        <v>4.4000000000000004</v>
      </c>
      <c r="BE136" s="3">
        <f t="shared" si="238"/>
        <v>1</v>
      </c>
      <c r="BF136">
        <f t="shared" si="239"/>
        <v>0</v>
      </c>
      <c r="BG136">
        <f>VLOOKUP($H136,Constants!$I:$K, 2, FALSE)</f>
        <v>1.1499999999999999</v>
      </c>
      <c r="BH136">
        <f>VLOOKUP($H136,Constants!$I:$K, 3, FALSE)*IF(AND(G136="multiple_unit",AB136&lt;110),0.75,1)</f>
        <v>1.7</v>
      </c>
      <c r="BI136">
        <f>INT(POWER(((Constants!$G$2+$BB136+$BC136+$BD136+$BF136)*$BE136)*$BH136, 1.05))+$BA136</f>
        <v>52</v>
      </c>
      <c r="BJ136">
        <f>INT(POWER((((Constants!$G$1+$BB136+$BC136+$BD136+$BF136)*($BE136))*$BG136),IF($G136="wagon",1,1.2)))+$AZ136</f>
        <v>86</v>
      </c>
      <c r="BK136" s="14">
        <f t="shared" si="240"/>
        <v>40625</v>
      </c>
      <c r="BL136" s="14">
        <f t="shared" si="241"/>
        <v>6987.5</v>
      </c>
      <c r="BU136">
        <v>4</v>
      </c>
      <c r="BZ136" t="str">
        <f>VLOOKUP(J136,Eras!$A$2:$C$10, 2, TRUE)</f>
        <v>vct</v>
      </c>
      <c r="CA136" t="s">
        <v>322</v>
      </c>
      <c r="CB136" t="str">
        <f t="shared" si="242"/>
        <v>vct_Mixed Traffic</v>
      </c>
      <c r="CC136" t="str">
        <f t="shared" si="204"/>
        <v>steam_RAIL</v>
      </c>
      <c r="CD136" s="17" t="str" cm="1">
        <f t="array" ref="CD136">_xlfn.CONCAT("{BLACK}Length: {GOLD}", TEXT(ROUNDUP(IF(AQ136&lt;&gt;"",SUM(VALUE(_xlfn.TEXTSPLIT(AQ136, ","))), SUM(VALUE(_xlfn.TEXTSPLIT(AN136, ",")))*IF(M136, M136, 1))/16, 1), "#,##0.0"), " tiles{}")</f>
        <v>{BLACK}Length: {GOLD}0.7 tiles{}</v>
      </c>
      <c r="CE136" t="str">
        <f>VLOOKUP($CC136, Constants!$M:$N, 2, FALSE)</f>
        <v>{BLACK}Powered by: {GOLD}Steam</v>
      </c>
      <c r="CF136" t="str">
        <f t="shared" si="260"/>
        <v/>
      </c>
      <c r="CG136" t="s">
        <v>1316</v>
      </c>
      <c r="CH136" t="str">
        <f t="shared" si="259"/>
        <v/>
      </c>
      <c r="CI136" t="str">
        <f t="shared" si="206"/>
        <v/>
      </c>
      <c r="CJ136" t="str">
        <f t="shared" si="207"/>
        <v>{BLACK}Powered by: {GOLD}Steam {}{BLACK}Length: {GOLD}0.7 tiles{}{SILVER}Matthew Holmes' Class C was an evolution of Drummond's design. They had a long career, becoming LNER class J36 and surviving to the last days of steam on British railways.</v>
      </c>
    </row>
    <row r="137" spans="1:88" x14ac:dyDescent="0.35">
      <c r="A137" t="s">
        <v>1307</v>
      </c>
      <c r="B137" t="s">
        <v>236</v>
      </c>
      <c r="C137">
        <v>182</v>
      </c>
      <c r="E137">
        <v>23</v>
      </c>
      <c r="F137" t="s">
        <v>1498</v>
      </c>
      <c r="G137" t="s">
        <v>258</v>
      </c>
      <c r="H137" t="s">
        <v>267</v>
      </c>
      <c r="I137" t="s">
        <v>270</v>
      </c>
      <c r="J137">
        <v>1896</v>
      </c>
      <c r="L137">
        <v>1928</v>
      </c>
      <c r="N137">
        <v>850</v>
      </c>
      <c r="P137" s="5">
        <v>19.5</v>
      </c>
      <c r="Q137" s="5">
        <v>26</v>
      </c>
      <c r="R137" s="5">
        <v>2</v>
      </c>
      <c r="S137" s="5">
        <v>170</v>
      </c>
      <c r="T137" s="6">
        <f t="shared" si="257"/>
        <v>166.20611145672612</v>
      </c>
      <c r="U137" s="5">
        <v>2.37</v>
      </c>
      <c r="V137" s="5">
        <f t="shared" si="258"/>
        <v>1007.3270281933254</v>
      </c>
      <c r="W137">
        <v>48</v>
      </c>
      <c r="X137" s="8">
        <v>42</v>
      </c>
      <c r="Z137">
        <v>68</v>
      </c>
      <c r="AA137" s="3">
        <f t="shared" si="232"/>
        <v>7.5555555555555556E-2</v>
      </c>
      <c r="AB137">
        <v>90</v>
      </c>
      <c r="AC137">
        <f t="shared" si="244"/>
        <v>144</v>
      </c>
      <c r="AF137">
        <v>11</v>
      </c>
      <c r="AG137">
        <v>11</v>
      </c>
      <c r="AJ137" s="10">
        <v>0</v>
      </c>
      <c r="AK137" t="str">
        <f>CONCATENATE(VLOOKUP(AL137, 'Voxel Sizes'!$A$2:$B$18,2,FALSE),"x",INT(AH137*15), "x", INT(AI137*15))</f>
        <v>102x0x0</v>
      </c>
      <c r="AL137">
        <f t="shared" si="233"/>
        <v>6</v>
      </c>
      <c r="AM137" t="s">
        <v>304</v>
      </c>
      <c r="AN137" t="str">
        <f>CONCATENATE(VLOOKUP(AL137,Constants!$A$2:$C$16,IF(AM137&lt;&gt;"", 3, 2), FALSE),IF(AM137&lt;&gt;"",CONCATENATE(",",VLOOKUP(AM137,$B:$AN,39,FALSE)),""))</f>
        <v>2,2,2,2,1,2</v>
      </c>
      <c r="AX137">
        <v>30</v>
      </c>
      <c r="AY137" s="15">
        <f t="shared" si="234"/>
        <v>40</v>
      </c>
      <c r="BB137">
        <f t="shared" si="235"/>
        <v>18</v>
      </c>
      <c r="BC137">
        <f t="shared" si="236"/>
        <v>4.25</v>
      </c>
      <c r="BD137">
        <f t="shared" si="237"/>
        <v>3.4000000000000004</v>
      </c>
      <c r="BE137" s="3">
        <f t="shared" si="238"/>
        <v>1</v>
      </c>
      <c r="BF137">
        <f t="shared" si="239"/>
        <v>0</v>
      </c>
      <c r="BG137">
        <f>VLOOKUP($H137,Constants!$I:$K, 2, FALSE)</f>
        <v>1.1499999999999999</v>
      </c>
      <c r="BH137">
        <f>VLOOKUP($H137,Constants!$I:$K, 3, FALSE)*IF(AND(G137="multiple_unit",AB137&lt;110),0.75,1)</f>
        <v>1.7</v>
      </c>
      <c r="BI137">
        <f>INT(POWER(((Constants!$G$2+$BB137+$BC137+$BD137+$BF137)*$BE137)*$BH137, 1.05))+$BA137</f>
        <v>63</v>
      </c>
      <c r="BJ137">
        <f>INT(POWER((((Constants!$G$1+$BB137+$BC137+$BD137+$BF137)*($BE137))*$BG137),IF($G137="wagon",1,1.2)))+$AZ137</f>
        <v>100</v>
      </c>
      <c r="BK137" s="14">
        <f t="shared" si="240"/>
        <v>49218.75</v>
      </c>
      <c r="BL137" s="14">
        <f t="shared" si="241"/>
        <v>8125</v>
      </c>
      <c r="BU137">
        <v>6</v>
      </c>
      <c r="BZ137" t="str">
        <f>VLOOKUP(J137,Eras!$A$2:$C$10, 2, TRUE)</f>
        <v>vct</v>
      </c>
      <c r="CA137" t="s">
        <v>323</v>
      </c>
      <c r="CB137" t="str">
        <f t="shared" si="242"/>
        <v>vct_Express</v>
      </c>
      <c r="CC137" t="str">
        <f t="shared" si="204"/>
        <v>steam_RAIL</v>
      </c>
      <c r="CD137" s="17" t="str" cm="1">
        <f t="array" ref="CD137">_xlfn.CONCAT("{BLACK}Length: {GOLD}", TEXT(ROUNDUP(IF(AQ137&lt;&gt;"",SUM(VALUE(_xlfn.TEXTSPLIT(AQ137, ","))), SUM(VALUE(_xlfn.TEXTSPLIT(AN137, ",")))*IF(M137, M137, 1))/16, 1), "#,##0.0"), " tiles{}")</f>
        <v>{BLACK}Length: {GOLD}0.7 tiles{}</v>
      </c>
      <c r="CE137" t="str">
        <f>VLOOKUP($CC137, Constants!$M:$N, 2, FALSE)</f>
        <v>{BLACK}Powered by: {GOLD}Steam</v>
      </c>
      <c r="CF137" t="str">
        <f t="shared" si="260"/>
        <v/>
      </c>
      <c r="CG137" t="s">
        <v>1308</v>
      </c>
      <c r="CH137" t="str">
        <f t="shared" si="259"/>
        <v/>
      </c>
      <c r="CI137" t="str">
        <f t="shared" si="206"/>
        <v/>
      </c>
      <c r="CJ137" t="str">
        <f t="shared" si="207"/>
        <v>{BLACK}Powered by: {GOLD}Steam {}{BLACK}Length: {GOLD}0.7 tiles{}{SILVER}The Midland 115 class gained the nickname "Spinner" due to the large single driving wheel. The Midland Railway compensated for the low tractive effort of the 4-2-2 layout by double-heading the trains on heavy loads.</v>
      </c>
    </row>
    <row r="138" spans="1:88" x14ac:dyDescent="0.35">
      <c r="A138" t="s">
        <v>127</v>
      </c>
      <c r="B138" t="s">
        <v>1306</v>
      </c>
      <c r="C138">
        <v>184</v>
      </c>
      <c r="E138">
        <v>24</v>
      </c>
      <c r="F138" t="s">
        <v>1498</v>
      </c>
      <c r="G138" t="s">
        <v>258</v>
      </c>
      <c r="H138" t="s">
        <v>267</v>
      </c>
      <c r="I138" t="s">
        <v>270</v>
      </c>
      <c r="J138">
        <v>1897</v>
      </c>
      <c r="K138">
        <v>1911</v>
      </c>
      <c r="L138">
        <v>1957</v>
      </c>
      <c r="N138">
        <v>500</v>
      </c>
      <c r="P138" s="5">
        <v>18.5</v>
      </c>
      <c r="Q138" s="5">
        <v>26</v>
      </c>
      <c r="R138" s="5">
        <v>2</v>
      </c>
      <c r="S138" s="5">
        <v>175</v>
      </c>
      <c r="T138" s="6">
        <f t="shared" si="257"/>
        <v>90.109783956440737</v>
      </c>
      <c r="U138" s="5">
        <v>1.7</v>
      </c>
      <c r="V138" s="5">
        <f t="shared" si="258"/>
        <v>506.00966001931067</v>
      </c>
      <c r="W138">
        <v>61.2</v>
      </c>
      <c r="Z138">
        <v>87</v>
      </c>
      <c r="AA138" s="3">
        <f t="shared" si="232"/>
        <v>0.14215686274509803</v>
      </c>
      <c r="AB138">
        <v>35</v>
      </c>
      <c r="AC138">
        <f t="shared" si="244"/>
        <v>56</v>
      </c>
      <c r="AF138">
        <v>10.5</v>
      </c>
      <c r="AG138">
        <v>10.5</v>
      </c>
      <c r="AJ138" s="10">
        <v>0</v>
      </c>
      <c r="AK138" t="str">
        <f>CONCATENATE(VLOOKUP(AL138, 'Voxel Sizes'!$A$2:$B$18,2,FALSE),"x",INT(AH138*15), "x", INT(AI138*15))</f>
        <v>102x0x0</v>
      </c>
      <c r="AL138">
        <f t="shared" si="233"/>
        <v>6</v>
      </c>
      <c r="AN138" t="str">
        <f>CONCATENATE(VLOOKUP(AL138,Constants!$A$2:$C$16,IF(AM138&lt;&gt;"", 3, 2), FALSE),IF(AM138&lt;&gt;"",CONCATENATE(",",VLOOKUP(AM138,$B:$AN,39,FALSE)),""))</f>
        <v>2,2,2</v>
      </c>
      <c r="AV138">
        <v>1</v>
      </c>
      <c r="AX138">
        <v>34</v>
      </c>
      <c r="AY138" s="15">
        <f t="shared" si="234"/>
        <v>68</v>
      </c>
      <c r="BB138">
        <f t="shared" si="235"/>
        <v>7</v>
      </c>
      <c r="BC138">
        <f t="shared" si="236"/>
        <v>2.5</v>
      </c>
      <c r="BD138">
        <f t="shared" si="237"/>
        <v>4.3499999999999996</v>
      </c>
      <c r="BE138" s="3">
        <f t="shared" si="238"/>
        <v>1</v>
      </c>
      <c r="BF138">
        <f t="shared" si="239"/>
        <v>0</v>
      </c>
      <c r="BG138">
        <f>VLOOKUP($H138,Constants!$I:$K, 2, FALSE)</f>
        <v>1.1499999999999999</v>
      </c>
      <c r="BH138">
        <f>VLOOKUP($H138,Constants!$I:$K, 3, FALSE)*IF(AND(G138="multiple_unit",AB138&lt;110),0.75,1)</f>
        <v>1.7</v>
      </c>
      <c r="BI138">
        <f>INT(POWER(((Constants!$G$2+$BB138+$BC138+$BD138+$BF138)*$BE138)*$BH138, 1.05))+$BA138</f>
        <v>38</v>
      </c>
      <c r="BJ138">
        <f>INT(POWER((((Constants!$G$1+$BB138+$BC138+$BD138+$BF138)*($BE138))*$BG138),IF($G138="wagon",1,1.2)))+$AZ138</f>
        <v>66</v>
      </c>
      <c r="BK138" s="14">
        <f t="shared" si="240"/>
        <v>29687.5</v>
      </c>
      <c r="BL138" s="14">
        <f t="shared" si="241"/>
        <v>5362.5</v>
      </c>
      <c r="BU138">
        <v>7</v>
      </c>
      <c r="BZ138" t="str">
        <f>VLOOKUP(J138,Eras!$A$2:$C$10, 2, TRUE)</f>
        <v>vct</v>
      </c>
      <c r="CA138" t="s">
        <v>321</v>
      </c>
      <c r="CB138" t="str">
        <f t="shared" si="242"/>
        <v>vct_Cheap</v>
      </c>
      <c r="CC138" t="str">
        <f t="shared" si="204"/>
        <v>steam_RAIL</v>
      </c>
      <c r="CD138" s="17" t="str" cm="1">
        <f t="array" ref="CD138">_xlfn.CONCAT("{BLACK}Length: {GOLD}", TEXT(ROUNDUP(IF(AQ138&lt;&gt;"",SUM(VALUE(_xlfn.TEXTSPLIT(AQ138, ","))), SUM(VALUE(_xlfn.TEXTSPLIT(AN138, ",")))*IF(M138, M138, 1))/16, 1), "#,##0.0"), " tiles{}")</f>
        <v>{BLACK}Length: {GOLD}0.4 tiles{}</v>
      </c>
      <c r="CE138" t="str">
        <f>VLOOKUP($CC138, Constants!$M:$N, 2, FALSE)</f>
        <v>{BLACK}Powered by: {GOLD}Steam</v>
      </c>
      <c r="CF138" t="str">
        <f t="shared" si="260"/>
        <v/>
      </c>
      <c r="CG138" t="s">
        <v>1305</v>
      </c>
      <c r="CH138" t="str">
        <f t="shared" si="259"/>
        <v/>
      </c>
      <c r="CI138" t="str">
        <f t="shared" si="206"/>
        <v/>
      </c>
      <c r="CJ138" t="str">
        <f t="shared" si="207"/>
        <v>{BLACK}Powered by: {GOLD}Steam {}{BLACK}Length: {GOLD}0.4 tiles{}{SILVER}The Drummond M7 was built for the London &amp; South Western railway. Its usefulness saw it survive in operation until well into the BR era.</v>
      </c>
    </row>
    <row r="139" spans="1:88" x14ac:dyDescent="0.35">
      <c r="A139" t="s">
        <v>125</v>
      </c>
      <c r="B139" t="s">
        <v>234</v>
      </c>
      <c r="C139">
        <v>188</v>
      </c>
      <c r="E139">
        <v>25</v>
      </c>
      <c r="F139" t="s">
        <v>1498</v>
      </c>
      <c r="G139" t="s">
        <v>258</v>
      </c>
      <c r="H139" t="s">
        <v>267</v>
      </c>
      <c r="I139" t="s">
        <v>270</v>
      </c>
      <c r="J139">
        <v>1899</v>
      </c>
      <c r="K139">
        <v>1902</v>
      </c>
      <c r="L139">
        <v>1954</v>
      </c>
      <c r="N139">
        <v>600</v>
      </c>
      <c r="P139" s="5">
        <v>18</v>
      </c>
      <c r="Q139" s="5">
        <v>26</v>
      </c>
      <c r="R139" s="5">
        <v>2</v>
      </c>
      <c r="S139" s="5">
        <v>160</v>
      </c>
      <c r="T139" s="6">
        <f t="shared" si="257"/>
        <v>125.05031242934635</v>
      </c>
      <c r="U139" s="5">
        <v>1.4</v>
      </c>
      <c r="V139" s="5">
        <f t="shared" si="258"/>
        <v>607.79220779220771</v>
      </c>
      <c r="W139">
        <v>49.5</v>
      </c>
      <c r="Z139">
        <v>92</v>
      </c>
      <c r="AA139" s="3">
        <f t="shared" si="232"/>
        <v>0.18585858585858586</v>
      </c>
      <c r="AB139">
        <v>40</v>
      </c>
      <c r="AC139">
        <f t="shared" si="244"/>
        <v>64</v>
      </c>
      <c r="AF139">
        <v>9.57</v>
      </c>
      <c r="AG139">
        <v>9.57</v>
      </c>
      <c r="AJ139" s="10">
        <v>0</v>
      </c>
      <c r="AK139" t="str">
        <f>CONCATENATE(VLOOKUP(AL139, 'Voxel Sizes'!$A$2:$B$18,2,FALSE),"x",INT(AH139*15), "x", INT(AI139*15))</f>
        <v>102x0x0</v>
      </c>
      <c r="AL139">
        <f t="shared" si="233"/>
        <v>6</v>
      </c>
      <c r="AN139" t="str">
        <f>CONCATENATE(VLOOKUP(AL139,Constants!$A$2:$C$16,IF(AM139&lt;&gt;"", 3, 2), FALSE),IF(AM139&lt;&gt;"",CONCATENATE(",",VLOOKUP(AM139,$B:$AN,39,FALSE)),""))</f>
        <v>2,2,2</v>
      </c>
      <c r="AV139">
        <v>1</v>
      </c>
      <c r="AX139">
        <v>30</v>
      </c>
      <c r="AY139" s="15">
        <f t="shared" si="234"/>
        <v>63</v>
      </c>
      <c r="BB139">
        <f t="shared" si="235"/>
        <v>8</v>
      </c>
      <c r="BC139">
        <f t="shared" si="236"/>
        <v>3</v>
      </c>
      <c r="BD139">
        <f t="shared" si="237"/>
        <v>4.6000000000000005</v>
      </c>
      <c r="BE139" s="3">
        <f t="shared" si="238"/>
        <v>1</v>
      </c>
      <c r="BF139">
        <f t="shared" si="239"/>
        <v>0</v>
      </c>
      <c r="BG139">
        <f>VLOOKUP($H139,Constants!$I:$K, 2, FALSE)</f>
        <v>1.1499999999999999</v>
      </c>
      <c r="BH139">
        <f>VLOOKUP($H139,Constants!$I:$K, 3, FALSE)*IF(AND(G139="multiple_unit",AB139&lt;110),0.75,1)</f>
        <v>1.7</v>
      </c>
      <c r="BI139">
        <f>INT(POWER(((Constants!$G$2+$BB139+$BC139+$BD139+$BF139)*$BE139)*$BH139, 1.05))+$BA139</f>
        <v>41</v>
      </c>
      <c r="BJ139">
        <f>INT(POWER((((Constants!$G$1+$BB139+$BC139+$BD139+$BF139)*($BE139))*$BG139),IF($G139="wagon",1,1.2)))+$AZ139</f>
        <v>71</v>
      </c>
      <c r="BK139" s="14">
        <f t="shared" si="240"/>
        <v>32031.25</v>
      </c>
      <c r="BL139" s="14">
        <f t="shared" si="241"/>
        <v>5768.75</v>
      </c>
      <c r="BU139">
        <v>9</v>
      </c>
      <c r="BZ139" t="str">
        <f>VLOOKUP(J139,Eras!$A$2:$C$10, 2, TRUE)</f>
        <v>vct</v>
      </c>
      <c r="CA139" t="s">
        <v>321</v>
      </c>
      <c r="CB139" t="str">
        <f t="shared" si="242"/>
        <v>vct_Cheap</v>
      </c>
      <c r="CC139" t="str">
        <f t="shared" si="204"/>
        <v>steam_RAIL</v>
      </c>
      <c r="CD139" s="17" t="str" cm="1">
        <f t="array" ref="CD139">_xlfn.CONCAT("{BLACK}Length: {GOLD}", TEXT(ROUNDUP(IF(AQ139&lt;&gt;"",SUM(VALUE(_xlfn.TEXTSPLIT(AQ139, ","))), SUM(VALUE(_xlfn.TEXTSPLIT(AN139, ",")))*IF(M139, M139, 1))/16, 1), "#,##0.0"), " tiles{}")</f>
        <v>{BLACK}Length: {GOLD}0.4 tiles{}</v>
      </c>
      <c r="CE139" t="str">
        <f>VLOOKUP($CC139, Constants!$M:$N, 2, FALSE)</f>
        <v>{BLACK}Powered by: {GOLD}Steam</v>
      </c>
      <c r="CF139" t="str">
        <f t="shared" si="260"/>
        <v/>
      </c>
      <c r="CG139" t="s">
        <v>1143</v>
      </c>
      <c r="CH139" t="str">
        <f t="shared" si="259"/>
        <v/>
      </c>
      <c r="CI139" t="str">
        <f t="shared" si="206"/>
        <v/>
      </c>
      <c r="CJ139" t="str">
        <f t="shared" si="207"/>
        <v>{BLACK}Powered by: {GOLD}Steam {}{BLACK}Length: {GOLD}0.4 tiles{}{SILVER}Samuel Johnson's tank engine design were rebuilt later in life by Henry Fowler, providing the inspiration for Fowler's own 3F "Jinty" design.</v>
      </c>
    </row>
    <row r="140" spans="1:88" x14ac:dyDescent="0.35">
      <c r="A140" t="s">
        <v>1469</v>
      </c>
      <c r="B140" t="s">
        <v>1468</v>
      </c>
      <c r="C140">
        <v>190</v>
      </c>
      <c r="E140">
        <v>26</v>
      </c>
      <c r="F140" t="s">
        <v>1498</v>
      </c>
      <c r="G140" t="s">
        <v>258</v>
      </c>
      <c r="H140" t="s">
        <v>267</v>
      </c>
      <c r="I140" t="s">
        <v>270</v>
      </c>
      <c r="J140">
        <v>1900</v>
      </c>
      <c r="L140">
        <v>1954</v>
      </c>
      <c r="N140">
        <v>1100</v>
      </c>
      <c r="P140" s="5">
        <v>19</v>
      </c>
      <c r="Q140" s="5">
        <v>26</v>
      </c>
      <c r="R140" s="5">
        <v>2</v>
      </c>
      <c r="S140" s="5">
        <v>180</v>
      </c>
      <c r="T140" s="6">
        <f t="shared" si="257"/>
        <v>175.07043740108486</v>
      </c>
      <c r="U140" s="5">
        <v>1.5</v>
      </c>
      <c r="V140" s="5">
        <f t="shared" si="258"/>
        <v>1066.5909090909088</v>
      </c>
      <c r="W140">
        <v>45.3</v>
      </c>
      <c r="X140" s="8">
        <v>38.9</v>
      </c>
      <c r="Z140">
        <v>109</v>
      </c>
      <c r="AA140" s="3">
        <f t="shared" si="232"/>
        <v>0.12945368171021379</v>
      </c>
      <c r="AB140">
        <v>60</v>
      </c>
      <c r="AC140">
        <f t="shared" si="244"/>
        <v>96</v>
      </c>
      <c r="AF140">
        <v>14.4</v>
      </c>
      <c r="AG140">
        <v>10</v>
      </c>
      <c r="AJ140" s="10">
        <v>0</v>
      </c>
      <c r="AK140" t="str">
        <f>CONCATENATE(VLOOKUP(AL140, 'Voxel Sizes'!$A$2:$B$18,2,FALSE),"x",INT(AH140*15), "x", INT(AI140*15))</f>
        <v>102x0x0</v>
      </c>
      <c r="AL140">
        <f t="shared" si="233"/>
        <v>6</v>
      </c>
      <c r="AM140" t="s">
        <v>1311</v>
      </c>
      <c r="AN140" t="str">
        <f>CONCATENATE(VLOOKUP(AL140,Constants!$A$2:$C$16,IF(AM140&lt;&gt;"", 3, 2), FALSE),IF(AM140&lt;&gt;"",CONCATENATE(",",VLOOKUP(AM140,$B:$AN,39,FALSE)),""))</f>
        <v>2,2,2,2,1,2</v>
      </c>
      <c r="AV140">
        <v>1</v>
      </c>
      <c r="AX140">
        <v>32</v>
      </c>
      <c r="AY140" s="15">
        <f t="shared" si="234"/>
        <v>62</v>
      </c>
      <c r="AZ140">
        <v>2</v>
      </c>
      <c r="BA140">
        <v>2</v>
      </c>
      <c r="BB140">
        <f t="shared" si="235"/>
        <v>12</v>
      </c>
      <c r="BC140">
        <f t="shared" si="236"/>
        <v>5.5</v>
      </c>
      <c r="BD140">
        <f t="shared" si="237"/>
        <v>5.45</v>
      </c>
      <c r="BE140" s="3">
        <f t="shared" si="238"/>
        <v>1</v>
      </c>
      <c r="BF140">
        <f t="shared" si="239"/>
        <v>0</v>
      </c>
      <c r="BG140">
        <f>VLOOKUP($H140,Constants!$I:$K, 2, FALSE)</f>
        <v>1.1499999999999999</v>
      </c>
      <c r="BH140">
        <f>VLOOKUP($H140,Constants!$I:$K, 3, FALSE)*IF(AND(G140="multiple_unit",AB140&lt;110),0.75,1)</f>
        <v>1.7</v>
      </c>
      <c r="BI140">
        <f>INT(POWER(((Constants!$G$2+$BB140+$BC140+$BD140+$BF140)*$BE140)*$BH140, 1.05))+$BA140</f>
        <v>59</v>
      </c>
      <c r="BJ140">
        <f>INT(POWER((((Constants!$G$1+$BB140+$BC140+$BD140+$BF140)*($BE140))*$BG140),IF($G140="wagon",1,1.2)))+$AZ140</f>
        <v>94</v>
      </c>
      <c r="BK140" s="14">
        <f t="shared" si="240"/>
        <v>46093.75</v>
      </c>
      <c r="BL140" s="14">
        <f t="shared" si="241"/>
        <v>7637.5</v>
      </c>
      <c r="BU140">
        <v>2</v>
      </c>
      <c r="BZ140" t="str">
        <f>VLOOKUP(J140,Eras!$A$2:$C$10, 2, TRUE)</f>
        <v>edw</v>
      </c>
      <c r="CA140" t="s">
        <v>322</v>
      </c>
      <c r="CB140" t="str">
        <f t="shared" si="242"/>
        <v>edw_Mixed Traffic</v>
      </c>
      <c r="CC140" t="str">
        <f t="shared" ref="CC140:CC203" si="261">_xlfn.CONCAT(H140, "_",I140)</f>
        <v>steam_RAIL</v>
      </c>
      <c r="CD140" s="17" t="str" cm="1">
        <f t="array" ref="CD140">_xlfn.CONCAT("{BLACK}Length: {GOLD}", TEXT(ROUNDUP(IF(AQ140&lt;&gt;"",SUM(VALUE(_xlfn.TEXTSPLIT(AQ140, ","))), SUM(VALUE(_xlfn.TEXTSPLIT(AN140, ",")))*IF(M140, M140, 1))/16, 1), "#,##0.0"), " tiles{}")</f>
        <v>{BLACK}Length: {GOLD}0.7 tiles{}</v>
      </c>
      <c r="CE140" t="str">
        <f>VLOOKUP($CC140, Constants!$M:$N, 2, FALSE)</f>
        <v>{BLACK}Powered by: {GOLD}Steam</v>
      </c>
      <c r="CF140" t="str">
        <f t="shared" si="260"/>
        <v/>
      </c>
      <c r="CG140" t="s">
        <v>1472</v>
      </c>
      <c r="CH140" t="str">
        <f t="shared" si="259"/>
        <v/>
      </c>
      <c r="CI140" t="str">
        <f t="shared" ref="CI140:CI203" si="262">IF(BW140="buffet","{YELLOW}25% long distance bonus for consist{}",IF(BY140="BRAKE","{YELLOW}Speed bonus for slow wagons{}",IF(BV140&gt;190,CONCATENATE("{YELLOW}",INT((BV140-185)/1.85),"% bonus for long distance travel{}"),IF(AND(BV140&lt;180,BV140&lt;&gt;0),CONCATENATE("{YELLOW}",INT((185-BV140)/1.85),"% penalty for long distance travel{}"),""))))</f>
        <v/>
      </c>
      <c r="CJ140" t="str">
        <f t="shared" ref="CJ140:CJ203" si="263">_xlfn.CONCAT(CE140,IF(CE140&lt;&gt;""," ",""),CF140,IF(OR(CF140&lt;&gt;"",CE140&lt;&gt;""),"{}",""),CD140,CI140,"{SILVER}",CG140,IF(CH140&lt;&gt;"","{}{}",""),CH140)</f>
        <v>{BLACK}Powered by: {GOLD}Steam {}{BLACK}Length: {GOLD}0.7 tiles{}{SILVER}On introduction the GER F48 was nominally the most powerful 0-6-0 tender locomotive in Britain. Numerous variations of firebox were tried over the production run.</v>
      </c>
    </row>
    <row r="141" spans="1:88" x14ac:dyDescent="0.35">
      <c r="A141" t="s">
        <v>392</v>
      </c>
      <c r="B141" t="s">
        <v>393</v>
      </c>
      <c r="C141">
        <v>194</v>
      </c>
      <c r="E141">
        <v>27</v>
      </c>
      <c r="F141" t="s">
        <v>1498</v>
      </c>
      <c r="G141" t="s">
        <v>258</v>
      </c>
      <c r="H141" t="s">
        <v>267</v>
      </c>
      <c r="I141" t="s">
        <v>270</v>
      </c>
      <c r="J141">
        <v>1901</v>
      </c>
      <c r="K141">
        <v>1914</v>
      </c>
      <c r="L141">
        <v>1955</v>
      </c>
      <c r="N141">
        <v>350</v>
      </c>
      <c r="P141" s="5">
        <v>14</v>
      </c>
      <c r="Q141" s="5">
        <v>20</v>
      </c>
      <c r="R141" s="5">
        <v>2</v>
      </c>
      <c r="S141" s="5">
        <v>160</v>
      </c>
      <c r="T141" s="6">
        <f t="shared" si="257"/>
        <v>145.89203116757074</v>
      </c>
      <c r="U141" s="5">
        <v>0.9</v>
      </c>
      <c r="V141" s="5">
        <f t="shared" si="258"/>
        <v>329.96632996632997</v>
      </c>
      <c r="W141">
        <v>23</v>
      </c>
      <c r="Z141">
        <v>49</v>
      </c>
      <c r="AA141" s="3">
        <f t="shared" si="232"/>
        <v>0.21304347826086956</v>
      </c>
      <c r="AB141">
        <v>30</v>
      </c>
      <c r="AC141">
        <f t="shared" si="244"/>
        <v>48</v>
      </c>
      <c r="AF141">
        <v>6.12</v>
      </c>
      <c r="AG141">
        <v>6.12</v>
      </c>
      <c r="AJ141" s="10">
        <v>0</v>
      </c>
      <c r="AK141" t="str">
        <f>CONCATENATE(VLOOKUP(AL141, 'Voxel Sizes'!$A$2:$B$18,2,FALSE),"x",INT(AH141*15), "x", INT(AI141*15))</f>
        <v>60x0x0</v>
      </c>
      <c r="AL141">
        <f t="shared" si="233"/>
        <v>4</v>
      </c>
      <c r="AN141" t="str">
        <f>CONCATENATE(VLOOKUP(AL141,Constants!$A$2:$C$16,IF(AM141&lt;&gt;"", 3, 2), FALSE),IF(AM141&lt;&gt;"",CONCATENATE(",",VLOOKUP(AM141,$B:$AN,39,FALSE)),""))</f>
        <v>1,2,1</v>
      </c>
      <c r="AV141">
        <v>1</v>
      </c>
      <c r="AX141">
        <v>30</v>
      </c>
      <c r="AY141" s="15">
        <f t="shared" si="234"/>
        <v>62</v>
      </c>
      <c r="BB141">
        <f t="shared" si="235"/>
        <v>6</v>
      </c>
      <c r="BC141">
        <f t="shared" si="236"/>
        <v>1.75</v>
      </c>
      <c r="BD141">
        <f t="shared" si="237"/>
        <v>2.4500000000000002</v>
      </c>
      <c r="BE141" s="3">
        <f t="shared" si="238"/>
        <v>0.9986666666666667</v>
      </c>
      <c r="BF141">
        <f t="shared" si="239"/>
        <v>0</v>
      </c>
      <c r="BG141">
        <f>VLOOKUP($H141,Constants!$I:$K, 2, FALSE)</f>
        <v>1.1499999999999999</v>
      </c>
      <c r="BH141">
        <f>VLOOKUP($H141,Constants!$I:$K, 3, FALSE)*IF(AND(G141="multiple_unit",AB141&lt;110),0.75,1)</f>
        <v>1.7</v>
      </c>
      <c r="BI141">
        <f>INT(POWER(((Constants!$G$2+$BB141+$BC141+$BD141+$BF141)*$BE141)*$BH141, 1.05))+$BA141</f>
        <v>30</v>
      </c>
      <c r="BJ141">
        <f>INT(POWER((((Constants!$G$1+$BB141+$BC141+$BD141+$BF141)*($BE141))*$BG141),IF($G141="wagon",1,1.2)))+$AZ141</f>
        <v>56</v>
      </c>
      <c r="BK141" s="14">
        <f t="shared" si="240"/>
        <v>23437.5</v>
      </c>
      <c r="BL141" s="14">
        <f t="shared" si="241"/>
        <v>4550</v>
      </c>
      <c r="BU141">
        <v>10</v>
      </c>
      <c r="BZ141" t="str">
        <f>VLOOKUP(J141,Eras!$A$2:$C$10, 2, TRUE)</f>
        <v>edw</v>
      </c>
      <c r="CA141" t="s">
        <v>321</v>
      </c>
      <c r="CB141" t="str">
        <f t="shared" si="242"/>
        <v>edw_Cheap</v>
      </c>
      <c r="CC141" t="str">
        <f t="shared" si="261"/>
        <v>steam_RAIL</v>
      </c>
      <c r="CD141" s="17" t="str" cm="1">
        <f t="array" ref="CD141">_xlfn.CONCAT("{BLACK}Length: {GOLD}", TEXT(ROUNDUP(IF(AQ141&lt;&gt;"",SUM(VALUE(_xlfn.TEXTSPLIT(AQ141, ","))), SUM(VALUE(_xlfn.TEXTSPLIT(AN141, ",")))*IF(M141, M141, 1))/16, 1), "#,##0.0"), " tiles{}")</f>
        <v>{BLACK}Length: {GOLD}0.3 tiles{}</v>
      </c>
      <c r="CE141" t="str">
        <f>VLOOKUP($CC141, Constants!$M:$N, 2, FALSE)</f>
        <v>{BLACK}Powered by: {GOLD}Steam</v>
      </c>
      <c r="CF141" t="str">
        <f t="shared" si="260"/>
        <v/>
      </c>
      <c r="CG141" t="s">
        <v>394</v>
      </c>
      <c r="CH141" t="str">
        <f t="shared" si="259"/>
        <v/>
      </c>
      <c r="CI141" t="str">
        <f t="shared" si="262"/>
        <v/>
      </c>
      <c r="CJ141" t="str">
        <f t="shared" si="263"/>
        <v>{BLACK}Powered by: {GOLD}Steam {}{BLACK}Length: {GOLD}0.3 tiles{}{SILVER}This 0-4-0 saddle tank engine is typical of the many acquired by the GWR from smaller railways during the 1923 grouping of railway companies into the Big Four.</v>
      </c>
    </row>
    <row r="142" spans="1:88" x14ac:dyDescent="0.35">
      <c r="A142" t="s">
        <v>8</v>
      </c>
      <c r="B142" t="s">
        <v>235</v>
      </c>
      <c r="C142">
        <v>196</v>
      </c>
      <c r="E142">
        <v>28</v>
      </c>
      <c r="F142" t="s">
        <v>1498</v>
      </c>
      <c r="G142" t="s">
        <v>258</v>
      </c>
      <c r="H142" t="s">
        <v>267</v>
      </c>
      <c r="I142" t="s">
        <v>270</v>
      </c>
      <c r="J142">
        <v>1902</v>
      </c>
      <c r="L142">
        <v>1935</v>
      </c>
      <c r="N142">
        <v>950</v>
      </c>
      <c r="P142" s="5">
        <v>20.3</v>
      </c>
      <c r="Q142" s="5">
        <v>26</v>
      </c>
      <c r="R142" s="5">
        <v>3</v>
      </c>
      <c r="S142" s="5">
        <f>220*0.5</f>
        <v>110</v>
      </c>
      <c r="T142" s="6">
        <f t="shared" si="257"/>
        <v>166.73374990579512</v>
      </c>
      <c r="U142" s="5">
        <v>2.1</v>
      </c>
      <c r="V142" s="5">
        <f t="shared" si="258"/>
        <v>1062.9305555555557</v>
      </c>
      <c r="W142">
        <v>62</v>
      </c>
      <c r="X142" s="8">
        <v>42</v>
      </c>
      <c r="Z142">
        <v>97</v>
      </c>
      <c r="AA142" s="3">
        <f t="shared" si="232"/>
        <v>9.3269230769230771E-2</v>
      </c>
      <c r="AB142">
        <v>80</v>
      </c>
      <c r="AC142">
        <f t="shared" si="244"/>
        <v>128</v>
      </c>
      <c r="AF142">
        <v>17.268999999999998</v>
      </c>
      <c r="AG142">
        <f>AF142-7.5</f>
        <v>9.7689999999999984</v>
      </c>
      <c r="AJ142" s="10">
        <v>0</v>
      </c>
      <c r="AK142" t="str">
        <f>CONCATENATE(VLOOKUP(AL142, 'Voxel Sizes'!$A$2:$B$18,2,FALSE),"x",INT(AH142*15), "x", INT(AI142*15))</f>
        <v>102x0x0</v>
      </c>
      <c r="AL142">
        <f t="shared" si="233"/>
        <v>6</v>
      </c>
      <c r="AM142" t="s">
        <v>304</v>
      </c>
      <c r="AN142" t="str">
        <f>CONCATENATE(VLOOKUP(AL142,Constants!$A$2:$C$16,IF(AM142&lt;&gt;"", 3, 2), FALSE),IF(AM142&lt;&gt;"",CONCATENATE(",",VLOOKUP(AM142,$B:$AN,39,FALSE)),""))</f>
        <v>2,2,2,2,1,2</v>
      </c>
      <c r="AV142">
        <v>1</v>
      </c>
      <c r="AX142">
        <v>30</v>
      </c>
      <c r="AY142" s="15">
        <f t="shared" si="234"/>
        <v>41</v>
      </c>
      <c r="BB142">
        <f t="shared" si="235"/>
        <v>16</v>
      </c>
      <c r="BC142">
        <f t="shared" si="236"/>
        <v>4.75</v>
      </c>
      <c r="BD142">
        <f t="shared" si="237"/>
        <v>4.8499999999999996</v>
      </c>
      <c r="BE142" s="3">
        <f t="shared" si="238"/>
        <v>0.99733333333333329</v>
      </c>
      <c r="BF142">
        <f t="shared" si="239"/>
        <v>0</v>
      </c>
      <c r="BG142">
        <f>VLOOKUP($H142,Constants!$I:$K, 2, FALSE)</f>
        <v>1.1499999999999999</v>
      </c>
      <c r="BH142">
        <f>VLOOKUP($H142,Constants!$I:$K, 3, FALSE)*IF(AND(G142="multiple_unit",AB142&lt;110),0.75,1)</f>
        <v>1.7</v>
      </c>
      <c r="BI142">
        <f>INT(POWER(((Constants!$G$2+$BB142+$BC142+$BD142+$BF142)*$BE142)*$BH142, 1.05))+$BA142</f>
        <v>63</v>
      </c>
      <c r="BJ142">
        <f>INT(POWER((((Constants!$G$1+$BB142+$BC142+$BD142+$BF142)*($BE142))*$BG142),IF($G142="wagon",1,1.2)))+$AZ142</f>
        <v>100</v>
      </c>
      <c r="BK142" s="14">
        <f t="shared" si="240"/>
        <v>49218.75</v>
      </c>
      <c r="BL142" s="14">
        <f t="shared" si="241"/>
        <v>8125</v>
      </c>
      <c r="BU142">
        <v>11</v>
      </c>
      <c r="BZ142" t="str">
        <f>VLOOKUP(J142,Eras!$A$2:$C$10, 2, TRUE)</f>
        <v>edw</v>
      </c>
      <c r="CA142" t="s">
        <v>323</v>
      </c>
      <c r="CB142" t="str">
        <f t="shared" si="242"/>
        <v>edw_Express</v>
      </c>
      <c r="CC142" t="str">
        <f t="shared" si="261"/>
        <v>steam_RAIL</v>
      </c>
      <c r="CD142" s="17" t="str" cm="1">
        <f t="array" ref="CD142">_xlfn.CONCAT("{BLACK}Length: {GOLD}", TEXT(ROUNDUP(IF(AQ142&lt;&gt;"",SUM(VALUE(_xlfn.TEXTSPLIT(AQ142, ","))), SUM(VALUE(_xlfn.TEXTSPLIT(AN142, ",")))*IF(M142, M142, 1))/16, 1), "#,##0.0"), " tiles{}")</f>
        <v>{BLACK}Length: {GOLD}0.7 tiles{}</v>
      </c>
      <c r="CE142" t="str">
        <f>VLOOKUP($CC142, Constants!$M:$N, 2, FALSE)</f>
        <v>{BLACK}Powered by: {GOLD}Steam</v>
      </c>
      <c r="CF142" t="str">
        <f t="shared" si="260"/>
        <v/>
      </c>
      <c r="CG142" t="s">
        <v>343</v>
      </c>
      <c r="CH142" t="str">
        <f t="shared" si="259"/>
        <v/>
      </c>
      <c r="CI142" t="str">
        <f t="shared" si="262"/>
        <v/>
      </c>
      <c r="CJ142" t="str">
        <f t="shared" si="263"/>
        <v>{BLACK}Powered by: {GOLD}Steam {}{BLACK}Length: {GOLD}0.7 tiles{}{SILVER}The 1000 class is an express locomotive with a three-cylinder arrangement, using a high pressure cylinder inside the frame and two low pressure cylinders on the outside.</v>
      </c>
    </row>
    <row r="143" spans="1:88" x14ac:dyDescent="0.35">
      <c r="A143" t="s">
        <v>55</v>
      </c>
      <c r="B143" t="s">
        <v>150</v>
      </c>
      <c r="C143">
        <v>198</v>
      </c>
      <c r="E143">
        <v>29</v>
      </c>
      <c r="F143" t="s">
        <v>1498</v>
      </c>
      <c r="G143" t="s">
        <v>258</v>
      </c>
      <c r="H143" t="s">
        <v>291</v>
      </c>
      <c r="I143" t="s">
        <v>292</v>
      </c>
      <c r="J143">
        <v>1903</v>
      </c>
      <c r="K143">
        <v>1904</v>
      </c>
      <c r="L143">
        <v>1927</v>
      </c>
      <c r="N143">
        <v>640</v>
      </c>
      <c r="W143">
        <v>57</v>
      </c>
      <c r="Z143">
        <v>111</v>
      </c>
      <c r="AA143" s="3">
        <f t="shared" si="232"/>
        <v>0.19473684210526315</v>
      </c>
      <c r="AB143">
        <v>27</v>
      </c>
      <c r="AC143">
        <f t="shared" si="244"/>
        <v>43</v>
      </c>
      <c r="AF143">
        <v>11.56</v>
      </c>
      <c r="AG143">
        <v>11.56</v>
      </c>
      <c r="AI143">
        <v>3.93</v>
      </c>
      <c r="AJ143" s="10">
        <v>0</v>
      </c>
      <c r="AK143" t="str">
        <f>CONCATENATE(VLOOKUP(AL143, 'Voxel Sizes'!$A$2:$B$18,2,FALSE),"x",INT(AH143*15), "x", INT(AI143*15))</f>
        <v>120x0x58</v>
      </c>
      <c r="AL143">
        <f t="shared" si="233"/>
        <v>7</v>
      </c>
      <c r="AN143" t="str">
        <f>CONCATENATE(VLOOKUP(AL143,Constants!$A$2:$C$16,IF(AM143&lt;&gt;"", 3, 2), FALSE),IF(AM143&lt;&gt;"",CONCATENATE(",",VLOOKUP(AM143,$B:$AN,39,FALSE)),""))</f>
        <v>2,3,2</v>
      </c>
      <c r="AX143">
        <v>30</v>
      </c>
      <c r="AY143" s="15">
        <f t="shared" si="234"/>
        <v>32</v>
      </c>
      <c r="BB143">
        <f t="shared" si="235"/>
        <v>5.3999999999999995</v>
      </c>
      <c r="BC143">
        <f t="shared" si="236"/>
        <v>3.2</v>
      </c>
      <c r="BD143">
        <f t="shared" si="237"/>
        <v>5.5500000000000007</v>
      </c>
      <c r="BE143" s="3">
        <f t="shared" si="238"/>
        <v>0.996</v>
      </c>
      <c r="BF143">
        <f t="shared" si="239"/>
        <v>0</v>
      </c>
      <c r="BG143">
        <f>VLOOKUP($H143,Constants!$I:$K, 2, FALSE)</f>
        <v>0.85</v>
      </c>
      <c r="BH143">
        <f>VLOOKUP($H143,Constants!$I:$K, 3, FALSE)*IF(AND(G143="multiple_unit",AB143&lt;110),0.75,1)</f>
        <v>2.2999999999999998</v>
      </c>
      <c r="BI143">
        <f>INT(POWER(((Constants!$G$2+$BB143+$BC143+$BD143+$BF143)*$BE143)*$BH143, 1.05))+$BA143</f>
        <v>52</v>
      </c>
      <c r="BJ143">
        <f>INT(POWER((((Constants!$G$1+$BB143+$BC143+$BD143+$BF143)*($BE143))*$BG143),IF($G143="wagon",1,1.2)))+$AZ143</f>
        <v>46</v>
      </c>
      <c r="BK143" s="14">
        <f t="shared" si="240"/>
        <v>40625</v>
      </c>
      <c r="BL143" s="14">
        <f t="shared" si="241"/>
        <v>3737.5</v>
      </c>
      <c r="BU143">
        <v>12</v>
      </c>
      <c r="BZ143" t="str">
        <f>VLOOKUP(J143,Eras!$A$2:$C$10, 2, TRUE)</f>
        <v>edw</v>
      </c>
      <c r="CA143" t="s">
        <v>334</v>
      </c>
      <c r="CB143" t="str">
        <f t="shared" si="242"/>
        <v>edw_Freight (Electric)</v>
      </c>
      <c r="CC143" t="str">
        <f t="shared" si="261"/>
        <v>electric_ELRL</v>
      </c>
      <c r="CD143" s="17" t="str" cm="1">
        <f t="array" ref="CD143">_xlfn.CONCAT("{BLACK}Length: {GOLD}", TEXT(ROUNDUP(IF(AQ143&lt;&gt;"",SUM(VALUE(_xlfn.TEXTSPLIT(AQ143, ","))), SUM(VALUE(_xlfn.TEXTSPLIT(AN143, ",")))*IF(M143, M143, 1))/16, 1), "#,##0.0"), " tiles{}")</f>
        <v>{BLACK}Length: {GOLD}0.5 tiles{}</v>
      </c>
      <c r="CE143" t="str">
        <f>VLOOKUP($CC143, Constants!$M:$N, 2, FALSE)</f>
        <v>{BLACK}Powered by: {GOLD}25kV AC</v>
      </c>
      <c r="CF143" t="str">
        <f t="shared" si="260"/>
        <v/>
      </c>
      <c r="CG143" t="s">
        <v>345</v>
      </c>
      <c r="CH143" t="str">
        <f t="shared" si="259"/>
        <v/>
      </c>
      <c r="CI143" t="str">
        <f t="shared" si="262"/>
        <v/>
      </c>
      <c r="CJ143" t="str">
        <f t="shared" si="263"/>
        <v>{BLACK}Powered by: {GOLD}25kV AC {}{BLACK}Length: {GOLD}0.5 tiles{}{SILVER}The LNER ES1 (ES for Electric Shunter) is designed for hauling heavy freight trains on steep inclines.</v>
      </c>
    </row>
    <row r="144" spans="1:88" ht="14.25" customHeight="1" x14ac:dyDescent="0.35">
      <c r="A144" t="s">
        <v>9</v>
      </c>
      <c r="B144" t="s">
        <v>152</v>
      </c>
      <c r="C144">
        <v>202</v>
      </c>
      <c r="E144">
        <v>30</v>
      </c>
      <c r="F144" t="s">
        <v>1498</v>
      </c>
      <c r="G144" t="s">
        <v>258</v>
      </c>
      <c r="H144" t="s">
        <v>267</v>
      </c>
      <c r="I144" t="s">
        <v>270</v>
      </c>
      <c r="J144">
        <v>1904</v>
      </c>
      <c r="L144">
        <v>1962</v>
      </c>
      <c r="N144">
        <v>730</v>
      </c>
      <c r="P144" s="5">
        <v>18</v>
      </c>
      <c r="Q144" s="5">
        <v>26</v>
      </c>
      <c r="R144" s="5">
        <v>2</v>
      </c>
      <c r="S144" s="5">
        <v>160</v>
      </c>
      <c r="T144" s="6">
        <f t="shared" ref="T144:T151" si="264">((($AB144/2)/60)*5280)/($U144*3.2*PI())</f>
        <v>150.4511571415573</v>
      </c>
      <c r="U144" s="5">
        <v>1.6</v>
      </c>
      <c r="V144" s="5">
        <f t="shared" ref="V144:V151" si="265">((($P144*$P144/4)*PI())*($Q144/12)*$R144*$S144*$T144)/(33000*1.1)</f>
        <v>731.24999999999977</v>
      </c>
      <c r="W144">
        <v>55</v>
      </c>
      <c r="Z144">
        <v>77</v>
      </c>
      <c r="AA144" s="3">
        <f t="shared" si="232"/>
        <v>0.14000000000000001</v>
      </c>
      <c r="AB144">
        <v>55</v>
      </c>
      <c r="AC144">
        <f t="shared" si="244"/>
        <v>88</v>
      </c>
      <c r="AF144">
        <v>10.02</v>
      </c>
      <c r="AG144">
        <v>10.02</v>
      </c>
      <c r="AJ144" s="10">
        <v>0</v>
      </c>
      <c r="AK144" t="str">
        <f>CONCATENATE(VLOOKUP(AL144, 'Voxel Sizes'!$A$2:$B$18,2,FALSE),"x",INT(AH144*15), "x", INT(AI144*15))</f>
        <v>102x0x0</v>
      </c>
      <c r="AL144">
        <f t="shared" si="233"/>
        <v>6</v>
      </c>
      <c r="AN144" t="str">
        <f>CONCATENATE(VLOOKUP(AL144,Constants!$A$2:$C$16,IF(AM144&lt;&gt;"", 3, 2), FALSE),IF(AM144&lt;&gt;"",CONCATENATE(",",VLOOKUP(AM144,$B:$AN,39,FALSE)),""))</f>
        <v>2,2,2</v>
      </c>
      <c r="AV144">
        <v>1</v>
      </c>
      <c r="AX144">
        <v>30</v>
      </c>
      <c r="AY144" s="15">
        <f t="shared" si="234"/>
        <v>66</v>
      </c>
      <c r="BB144">
        <f t="shared" si="235"/>
        <v>11</v>
      </c>
      <c r="BC144">
        <f t="shared" si="236"/>
        <v>3.65</v>
      </c>
      <c r="BD144">
        <f t="shared" si="237"/>
        <v>3.85</v>
      </c>
      <c r="BE144" s="3">
        <f t="shared" si="238"/>
        <v>0.9946666666666667</v>
      </c>
      <c r="BF144">
        <f t="shared" si="239"/>
        <v>0</v>
      </c>
      <c r="BG144">
        <f>VLOOKUP($H144,Constants!$I:$K, 2, FALSE)</f>
        <v>1.1499999999999999</v>
      </c>
      <c r="BH144">
        <f>VLOOKUP($H144,Constants!$I:$K, 3, FALSE)*IF(AND(G144="multiple_unit",AB144&lt;110),0.75,1)</f>
        <v>1.7</v>
      </c>
      <c r="BI144">
        <f>INT(POWER(((Constants!$G$2+$BB144+$BC144+$BD144+$BF144)*$BE144)*$BH144, 1.05))+$BA144</f>
        <v>47</v>
      </c>
      <c r="BJ144">
        <f>INT(POWER((((Constants!$G$1+$BB144+$BC144+$BD144+$BF144)*($BE144))*$BG144),IF($G144="wagon",1,1.2)))+$AZ144</f>
        <v>79</v>
      </c>
      <c r="BK144" s="14">
        <f t="shared" si="240"/>
        <v>36718.75</v>
      </c>
      <c r="BL144" s="14">
        <f t="shared" si="241"/>
        <v>6418.75</v>
      </c>
      <c r="BU144">
        <v>1</v>
      </c>
      <c r="BZ144" t="str">
        <f>VLOOKUP(J144,Eras!$A$2:$C$10, 2, TRUE)</f>
        <v>edw</v>
      </c>
      <c r="CA144" t="s">
        <v>371</v>
      </c>
      <c r="CB144" t="str">
        <f t="shared" si="242"/>
        <v>edw_Passenger</v>
      </c>
      <c r="CC144" t="str">
        <f t="shared" si="261"/>
        <v>steam_RAIL</v>
      </c>
      <c r="CD144" s="17" t="str" cm="1">
        <f t="array" ref="CD144">_xlfn.CONCAT("{BLACK}Length: {GOLD}", TEXT(ROUNDUP(IF(AQ144&lt;&gt;"",SUM(VALUE(_xlfn.TEXTSPLIT(AQ144, ","))), SUM(VALUE(_xlfn.TEXTSPLIT(AN144, ",")))*IF(M144, M144, 1))/16, 1), "#,##0.0"), " tiles{}")</f>
        <v>{BLACK}Length: {GOLD}0.4 tiles{}</v>
      </c>
      <c r="CE144" t="str">
        <f>VLOOKUP($CC144, Constants!$M:$N, 2, FALSE)</f>
        <v>{BLACK}Powered by: {GOLD}Steam</v>
      </c>
      <c r="CF144" t="str">
        <f t="shared" si="260"/>
        <v/>
      </c>
      <c r="CG144" t="s">
        <v>363</v>
      </c>
      <c r="CH144" t="str">
        <f t="shared" si="259"/>
        <v/>
      </c>
      <c r="CI144" t="str">
        <f t="shared" si="262"/>
        <v/>
      </c>
      <c r="CJ144" t="str">
        <f t="shared" si="263"/>
        <v>{BLACK}Powered by: {GOLD}Steam {}{BLACK}Length: {GOLD}0.4 tiles{}{SILVER}The South Eastern and Chatham Railway H Class is an 0-4-4T tank engine designed for suburban passenger routes. It was in use until the 1960s.</v>
      </c>
    </row>
    <row r="145" spans="1:88" ht="14.25" customHeight="1" x14ac:dyDescent="0.35">
      <c r="A145" t="s">
        <v>11</v>
      </c>
      <c r="B145" t="s">
        <v>373</v>
      </c>
      <c r="C145">
        <v>204</v>
      </c>
      <c r="E145">
        <v>31</v>
      </c>
      <c r="F145" t="s">
        <v>1498</v>
      </c>
      <c r="G145" t="s">
        <v>258</v>
      </c>
      <c r="H145" t="s">
        <v>267</v>
      </c>
      <c r="I145" t="s">
        <v>270</v>
      </c>
      <c r="J145">
        <v>1904</v>
      </c>
      <c r="K145">
        <v>1914</v>
      </c>
      <c r="L145">
        <v>1955</v>
      </c>
      <c r="N145">
        <v>850</v>
      </c>
      <c r="P145" s="5">
        <v>17</v>
      </c>
      <c r="Q145" s="5">
        <v>24</v>
      </c>
      <c r="R145" s="5">
        <v>2</v>
      </c>
      <c r="S145" s="5">
        <v>180</v>
      </c>
      <c r="T145" s="6">
        <f t="shared" si="264"/>
        <v>192.57748114119337</v>
      </c>
      <c r="U145" s="5">
        <v>1.25</v>
      </c>
      <c r="V145" s="5">
        <f t="shared" si="265"/>
        <v>867</v>
      </c>
      <c r="W145">
        <v>63.4</v>
      </c>
      <c r="Z145">
        <v>95</v>
      </c>
      <c r="AA145" s="3">
        <f t="shared" si="232"/>
        <v>0.14984227129337541</v>
      </c>
      <c r="AB145">
        <v>55</v>
      </c>
      <c r="AC145">
        <f t="shared" si="244"/>
        <v>88</v>
      </c>
      <c r="AF145">
        <v>11.5</v>
      </c>
      <c r="AG145">
        <v>11.5</v>
      </c>
      <c r="AJ145" s="10">
        <v>0</v>
      </c>
      <c r="AK145" t="str">
        <f>CONCATENATE(VLOOKUP(AL145, 'Voxel Sizes'!$A$2:$B$18,2,FALSE),"x",INT(AH145*15), "x", INT(AI145*15))</f>
        <v>120x0x0</v>
      </c>
      <c r="AL145">
        <f t="shared" si="233"/>
        <v>7</v>
      </c>
      <c r="AN145" t="str">
        <f>CONCATENATE(VLOOKUP(AL145,Constants!$A$2:$C$16,IF(AM145&lt;&gt;"", 3, 2), FALSE),IF(AM145&lt;&gt;"",CONCATENATE(",",VLOOKUP(AM145,$B:$AN,39,FALSE)),""))</f>
        <v>2,3,2</v>
      </c>
      <c r="AV145">
        <v>1</v>
      </c>
      <c r="AX145">
        <v>38</v>
      </c>
      <c r="AY145" s="15">
        <f t="shared" si="234"/>
        <v>59</v>
      </c>
      <c r="BB145">
        <f t="shared" si="235"/>
        <v>11</v>
      </c>
      <c r="BC145">
        <f t="shared" si="236"/>
        <v>4.25</v>
      </c>
      <c r="BD145">
        <f t="shared" si="237"/>
        <v>4.75</v>
      </c>
      <c r="BE145" s="3">
        <f t="shared" si="238"/>
        <v>0.9946666666666667</v>
      </c>
      <c r="BF145">
        <f t="shared" si="239"/>
        <v>0</v>
      </c>
      <c r="BG145">
        <f>VLOOKUP($H145,Constants!$I:$K, 2, FALSE)</f>
        <v>1.1499999999999999</v>
      </c>
      <c r="BH145">
        <f>VLOOKUP($H145,Constants!$I:$K, 3, FALSE)*IF(AND(G145="multiple_unit",AB145&lt;110),0.75,1)</f>
        <v>1.7</v>
      </c>
      <c r="BI145">
        <f>INT(POWER(((Constants!$G$2+$BB145+$BC145+$BD145+$BF145)*$BE145)*$BH145, 1.05))+$BA145</f>
        <v>50</v>
      </c>
      <c r="BJ145">
        <f>INT(POWER((((Constants!$G$1+$BB145+$BC145+$BD145+$BF145)*($BE145))*$BG145),IF($G145="wagon",1,1.2)))+$AZ145</f>
        <v>83</v>
      </c>
      <c r="BK145" s="14">
        <f t="shared" si="240"/>
        <v>39062.5</v>
      </c>
      <c r="BL145" s="14">
        <f t="shared" si="241"/>
        <v>6743.75</v>
      </c>
      <c r="BU145">
        <v>2</v>
      </c>
      <c r="BZ145" t="str">
        <f>VLOOKUP(J145,Eras!$A$2:$C$10, 2, TRUE)</f>
        <v>edw</v>
      </c>
      <c r="CA145" t="s">
        <v>322</v>
      </c>
      <c r="CB145" t="str">
        <f t="shared" si="242"/>
        <v>edw_Mixed Traffic</v>
      </c>
      <c r="CC145" t="str">
        <f t="shared" si="261"/>
        <v>steam_RAIL</v>
      </c>
      <c r="CD145" s="17" t="str" cm="1">
        <f t="array" ref="CD145">_xlfn.CONCAT("{BLACK}Length: {GOLD}", TEXT(ROUNDUP(IF(AQ145&lt;&gt;"",SUM(VALUE(_xlfn.TEXTSPLIT(AQ145, ","))), SUM(VALUE(_xlfn.TEXTSPLIT(AN145, ",")))*IF(M145, M145, 1))/16, 1), "#,##0.0"), " tiles{}")</f>
        <v>{BLACK}Length: {GOLD}0.5 tiles{}</v>
      </c>
      <c r="CE145" t="str">
        <f>VLOOKUP($CC145, Constants!$M:$N, 2, FALSE)</f>
        <v>{BLACK}Powered by: {GOLD}Steam</v>
      </c>
      <c r="CF145" t="str">
        <f t="shared" si="260"/>
        <v/>
      </c>
      <c r="CG145" t="s">
        <v>372</v>
      </c>
      <c r="CH145" t="str">
        <f t="shared" si="259"/>
        <v/>
      </c>
      <c r="CI145" t="str">
        <f t="shared" si="262"/>
        <v/>
      </c>
      <c r="CJ145" t="str">
        <f t="shared" si="263"/>
        <v>{BLACK}Powered by: {GOLD}Steam {}{BLACK}Length: {GOLD}0.5 tiles{}{SILVER}The GWR "Small Prairie" tank engines were designed for operating branch lines.</v>
      </c>
    </row>
    <row r="146" spans="1:88" x14ac:dyDescent="0.35">
      <c r="A146" t="s">
        <v>1186</v>
      </c>
      <c r="B146" t="s">
        <v>1187</v>
      </c>
      <c r="C146">
        <v>205</v>
      </c>
      <c r="E146">
        <v>32</v>
      </c>
      <c r="F146" t="s">
        <v>1498</v>
      </c>
      <c r="G146" t="s">
        <v>258</v>
      </c>
      <c r="H146" t="s">
        <v>267</v>
      </c>
      <c r="I146" t="s">
        <v>270</v>
      </c>
      <c r="J146">
        <v>1906</v>
      </c>
      <c r="K146">
        <v>1923</v>
      </c>
      <c r="L146">
        <v>1957</v>
      </c>
      <c r="N146">
        <v>1200</v>
      </c>
      <c r="P146" s="5">
        <v>14.25</v>
      </c>
      <c r="Q146" s="5">
        <v>26</v>
      </c>
      <c r="R146" s="5">
        <v>4</v>
      </c>
      <c r="S146" s="5">
        <v>225</v>
      </c>
      <c r="T146" s="6">
        <f t="shared" si="264"/>
        <v>181.47545340356362</v>
      </c>
      <c r="U146" s="5">
        <v>2.0499999999999998</v>
      </c>
      <c r="V146" s="5">
        <f t="shared" si="265"/>
        <v>1554.7676171008873</v>
      </c>
      <c r="W146">
        <v>77</v>
      </c>
      <c r="X146" s="8">
        <v>40</v>
      </c>
      <c r="Z146">
        <v>111</v>
      </c>
      <c r="AA146" s="3">
        <f t="shared" si="232"/>
        <v>9.4871794871794868E-2</v>
      </c>
      <c r="AB146">
        <v>85</v>
      </c>
      <c r="AC146">
        <f t="shared" si="244"/>
        <v>136</v>
      </c>
      <c r="AG146">
        <v>12</v>
      </c>
      <c r="AJ146" s="10">
        <v>0</v>
      </c>
      <c r="AK146" t="str">
        <f>CONCATENATE(VLOOKUP(AL146, 'Voxel Sizes'!$A$2:$B$18,2,FALSE),"x",INT(AH146*15), "x", INT(AI146*15))</f>
        <v>120x0x0</v>
      </c>
      <c r="AL146">
        <f t="shared" si="233"/>
        <v>7</v>
      </c>
      <c r="AM146" t="s">
        <v>1190</v>
      </c>
      <c r="AN146" t="str">
        <f>CONCATENATE(VLOOKUP(AL146,Constants!$A$2:$C$16,IF(AM146&lt;&gt;"", 3, 2), FALSE),IF(AM146&lt;&gt;"",CONCATENATE(",",VLOOKUP(AM146,$B:$AN,39,FALSE)),""))</f>
        <v>2,3,2,2,1,2</v>
      </c>
      <c r="AV146">
        <v>1</v>
      </c>
      <c r="AX146">
        <v>29</v>
      </c>
      <c r="AY146" s="15">
        <f t="shared" si="234"/>
        <v>59</v>
      </c>
      <c r="AZ146">
        <v>12</v>
      </c>
      <c r="BA146">
        <v>10</v>
      </c>
      <c r="BB146">
        <f t="shared" si="235"/>
        <v>17</v>
      </c>
      <c r="BC146">
        <f t="shared" si="236"/>
        <v>6</v>
      </c>
      <c r="BD146">
        <f t="shared" si="237"/>
        <v>5.5500000000000007</v>
      </c>
      <c r="BE146" s="3">
        <f t="shared" si="238"/>
        <v>0.99199999999999999</v>
      </c>
      <c r="BF146">
        <f t="shared" si="239"/>
        <v>0</v>
      </c>
      <c r="BG146">
        <f>VLOOKUP($H146,Constants!$I:$K, 2, FALSE)</f>
        <v>1.1499999999999999</v>
      </c>
      <c r="BH146">
        <f>VLOOKUP($H146,Constants!$I:$K, 3, FALSE)*IF(AND(G146="multiple_unit",AB146&lt;110),0.75,1)</f>
        <v>1.7</v>
      </c>
      <c r="BI146">
        <f>INT(POWER(((Constants!$G$2+$BB146+$BC146+$BD146+$BF146)*$BE146)*$BH146, 1.05))+$BA146</f>
        <v>79</v>
      </c>
      <c r="BJ146">
        <f>INT(POWER((((Constants!$G$1+$BB146+$BC146+$BD146+$BF146)*($BE146))*$BG146),IF($G146="wagon",1,1.2)))+$AZ146</f>
        <v>120</v>
      </c>
      <c r="BK146" s="14">
        <f t="shared" si="240"/>
        <v>61718.75</v>
      </c>
      <c r="BL146" s="14">
        <f t="shared" si="241"/>
        <v>9750</v>
      </c>
      <c r="BU146">
        <v>1</v>
      </c>
      <c r="BZ146" t="str">
        <f>VLOOKUP(J146,Eras!$A$2:$C$10, 2, TRUE)</f>
        <v>edw</v>
      </c>
      <c r="CA146" t="s">
        <v>323</v>
      </c>
      <c r="CB146" t="str">
        <f t="shared" si="242"/>
        <v>edw_Express</v>
      </c>
      <c r="CC146" t="str">
        <f t="shared" si="261"/>
        <v>steam_RAIL</v>
      </c>
      <c r="CD146" s="17" t="str" cm="1">
        <f t="array" ref="CD146">_xlfn.CONCAT("{BLACK}Length: {GOLD}", TEXT(ROUNDUP(IF(AQ146&lt;&gt;"",SUM(VALUE(_xlfn.TEXTSPLIT(AQ146, ","))), SUM(VALUE(_xlfn.TEXTSPLIT(AN146, ",")))*IF(M146, M146, 1))/16, 1), "#,##0.0"), " tiles{}")</f>
        <v>{BLACK}Length: {GOLD}0.8 tiles{}</v>
      </c>
      <c r="CE146" t="str">
        <f>VLOOKUP($CC146, Constants!$M:$N, 2, FALSE)</f>
        <v>{BLACK}Powered by: {GOLD}Steam</v>
      </c>
      <c r="CF146" t="str">
        <f t="shared" si="260"/>
        <v/>
      </c>
      <c r="CG146" t="s">
        <v>1188</v>
      </c>
      <c r="CH146" t="str">
        <f t="shared" si="259"/>
        <v/>
      </c>
      <c r="CI146" t="str">
        <f t="shared" si="262"/>
        <v/>
      </c>
      <c r="CJ146" t="str">
        <f t="shared" si="263"/>
        <v>{BLACK}Powered by: {GOLD}Steam {}{BLACK}Length: {GOLD}0.8 tiles{}{SILVER}The Star class was the first in a string of successful four cylinder express locomotives built by the GWR.</v>
      </c>
    </row>
    <row r="147" spans="1:88" x14ac:dyDescent="0.35">
      <c r="A147" t="s">
        <v>18</v>
      </c>
      <c r="B147" t="s">
        <v>153</v>
      </c>
      <c r="C147">
        <v>206</v>
      </c>
      <c r="E147">
        <v>33</v>
      </c>
      <c r="F147" t="s">
        <v>1498</v>
      </c>
      <c r="G147" t="s">
        <v>258</v>
      </c>
      <c r="H147" t="s">
        <v>267</v>
      </c>
      <c r="I147" t="s">
        <v>270</v>
      </c>
      <c r="J147">
        <v>1911</v>
      </c>
      <c r="K147">
        <v>1926</v>
      </c>
      <c r="L147">
        <v>1960</v>
      </c>
      <c r="N147">
        <v>850</v>
      </c>
      <c r="P147" s="5">
        <v>20</v>
      </c>
      <c r="Q147" s="5">
        <v>26</v>
      </c>
      <c r="R147" s="5">
        <v>2</v>
      </c>
      <c r="S147" s="5">
        <v>180</v>
      </c>
      <c r="T147" s="6">
        <f t="shared" si="264"/>
        <v>128.72826279491534</v>
      </c>
      <c r="U147" s="5">
        <v>1.7</v>
      </c>
      <c r="V147" s="5">
        <f t="shared" si="265"/>
        <v>868.98395721925135</v>
      </c>
      <c r="W147">
        <v>87</v>
      </c>
      <c r="Z147">
        <v>106</v>
      </c>
      <c r="AA147" s="3">
        <f t="shared" si="232"/>
        <v>0.12183908045977011</v>
      </c>
      <c r="AB147">
        <v>50</v>
      </c>
      <c r="AC147">
        <f t="shared" si="244"/>
        <v>80</v>
      </c>
      <c r="AF147">
        <v>13.1</v>
      </c>
      <c r="AG147">
        <v>13.1</v>
      </c>
      <c r="AJ147" s="10">
        <v>0</v>
      </c>
      <c r="AK147" t="str">
        <f>CONCATENATE(VLOOKUP(AL147, 'Voxel Sizes'!$A$2:$B$18,2,FALSE),"x",INT(AH147*15), "x", INT(AI147*15))</f>
        <v>136x0x0</v>
      </c>
      <c r="AL147">
        <f t="shared" si="233"/>
        <v>8</v>
      </c>
      <c r="AN147" t="str">
        <f>CONCATENATE(VLOOKUP(AL147,Constants!$A$2:$C$16,IF(AM147&lt;&gt;"", 3, 2), FALSE),IF(AM147&lt;&gt;"",CONCATENATE(",",VLOOKUP(AM147,$B:$AN,39,FALSE)),""))</f>
        <v>2,4,2</v>
      </c>
      <c r="AV147">
        <v>1</v>
      </c>
      <c r="AX147">
        <v>32</v>
      </c>
      <c r="AY147" s="15">
        <f t="shared" si="234"/>
        <v>57</v>
      </c>
      <c r="BB147">
        <f t="shared" si="235"/>
        <v>10</v>
      </c>
      <c r="BC147">
        <f t="shared" si="236"/>
        <v>4.25</v>
      </c>
      <c r="BD147">
        <f t="shared" si="237"/>
        <v>5.3000000000000007</v>
      </c>
      <c r="BE147" s="3">
        <f t="shared" si="238"/>
        <v>0.98533333333333328</v>
      </c>
      <c r="BF147">
        <f t="shared" si="239"/>
        <v>0</v>
      </c>
      <c r="BG147">
        <f>VLOOKUP($H147,Constants!$I:$K, 2, FALSE)</f>
        <v>1.1499999999999999</v>
      </c>
      <c r="BH147">
        <f>VLOOKUP($H147,Constants!$I:$K, 3, FALSE)*IF(AND(G147="multiple_unit",AB147&lt;110),0.75,1)</f>
        <v>1.7</v>
      </c>
      <c r="BI147">
        <f>INT(POWER(((Constants!$G$2+$BB147+$BC147+$BD147+$BF147)*$BE147)*$BH147, 1.05))+$BA147</f>
        <v>49</v>
      </c>
      <c r="BJ147">
        <f>INT(POWER((((Constants!$G$1+$BB147+$BC147+$BD147+$BF147)*($BE147))*$BG147),IF($G147="wagon",1,1.2)))+$AZ147</f>
        <v>81</v>
      </c>
      <c r="BK147" s="14">
        <f t="shared" si="240"/>
        <v>38281.25</v>
      </c>
      <c r="BL147" s="14">
        <f t="shared" si="241"/>
        <v>6581.25</v>
      </c>
      <c r="BU147">
        <v>3</v>
      </c>
      <c r="BZ147" t="str">
        <f>VLOOKUP(J147,Eras!$A$2:$C$10, 2, TRUE)</f>
        <v>edw</v>
      </c>
      <c r="CA147" t="s">
        <v>371</v>
      </c>
      <c r="CB147" t="str">
        <f t="shared" si="242"/>
        <v>edw_Passenger</v>
      </c>
      <c r="CC147" t="str">
        <f t="shared" si="261"/>
        <v>steam_RAIL</v>
      </c>
      <c r="CD147" s="17" t="str" cm="1">
        <f t="array" ref="CD147">_xlfn.CONCAT("{BLACK}Length: {GOLD}", TEXT(ROUNDUP(IF(AQ147&lt;&gt;"",SUM(VALUE(_xlfn.TEXTSPLIT(AQ147, ","))), SUM(VALUE(_xlfn.TEXTSPLIT(AN147, ",")))*IF(M147, M147, 1))/16, 1), "#,##0.0"), " tiles{}")</f>
        <v>{BLACK}Length: {GOLD}0.5 tiles{}</v>
      </c>
      <c r="CE147" t="str">
        <f>VLOOKUP($CC147, Constants!$M:$N, 2, FALSE)</f>
        <v>{BLACK}Powered by: {GOLD}Steam</v>
      </c>
      <c r="CF147" t="str">
        <f t="shared" si="260"/>
        <v/>
      </c>
      <c r="CG147" t="s">
        <v>375</v>
      </c>
      <c r="CH147" t="str">
        <f t="shared" si="259"/>
        <v/>
      </c>
      <c r="CI147" t="str">
        <f t="shared" si="262"/>
        <v/>
      </c>
      <c r="CJ147" t="str">
        <f t="shared" si="263"/>
        <v>{BLACK}Powered by: {GOLD}Steam {}{BLACK}Length: {GOLD}0.5 tiles{}{SILVER}The GCR 9N (later LNER A5) is a 4-6-2 tank locomotive designed for suburban passenger services.</v>
      </c>
    </row>
    <row r="148" spans="1:88" x14ac:dyDescent="0.35">
      <c r="A148" t="s">
        <v>19</v>
      </c>
      <c r="B148" t="s">
        <v>379</v>
      </c>
      <c r="C148">
        <v>208</v>
      </c>
      <c r="E148">
        <v>34</v>
      </c>
      <c r="F148" t="s">
        <v>1498</v>
      </c>
      <c r="G148" t="s">
        <v>258</v>
      </c>
      <c r="H148" t="s">
        <v>267</v>
      </c>
      <c r="I148" t="s">
        <v>270</v>
      </c>
      <c r="J148">
        <v>1911</v>
      </c>
      <c r="K148">
        <v>1914</v>
      </c>
      <c r="L148">
        <v>1966</v>
      </c>
      <c r="N148">
        <v>1250</v>
      </c>
      <c r="P148" s="5">
        <v>21</v>
      </c>
      <c r="Q148" s="5">
        <v>26</v>
      </c>
      <c r="R148" s="5">
        <v>2</v>
      </c>
      <c r="S148" s="5">
        <v>180</v>
      </c>
      <c r="T148" s="6">
        <f t="shared" si="264"/>
        <v>123.28904042329923</v>
      </c>
      <c r="U148" s="5">
        <v>1.42</v>
      </c>
      <c r="V148" s="5">
        <f t="shared" si="265"/>
        <v>917.57362355953899</v>
      </c>
      <c r="W148">
        <v>75</v>
      </c>
      <c r="X148" s="8">
        <v>42</v>
      </c>
      <c r="Z148">
        <v>139</v>
      </c>
      <c r="AA148" s="3">
        <f t="shared" si="232"/>
        <v>0.1188034188034188</v>
      </c>
      <c r="AB148">
        <v>40</v>
      </c>
      <c r="AC148">
        <f t="shared" si="244"/>
        <v>64</v>
      </c>
      <c r="AF148">
        <v>18.809999999999999</v>
      </c>
      <c r="AG148">
        <v>11.31</v>
      </c>
      <c r="AJ148" s="10">
        <v>0</v>
      </c>
      <c r="AK148" t="str">
        <f>CONCATENATE(VLOOKUP(AL148, 'Voxel Sizes'!$A$2:$B$18,2,FALSE),"x",INT(AH148*15), "x", INT(AI148*15))</f>
        <v>120x0x0</v>
      </c>
      <c r="AL148">
        <f t="shared" si="233"/>
        <v>7</v>
      </c>
      <c r="AM148" t="s">
        <v>304</v>
      </c>
      <c r="AN148" t="str">
        <f>CONCATENATE(VLOOKUP(AL148,Constants!$A$2:$C$16,IF(AM148&lt;&gt;"", 3, 2), FALSE),IF(AM148&lt;&gt;"",CONCATENATE(",",VLOOKUP(AM148,$B:$AN,39,FALSE)),""))</f>
        <v>2,3,2,2,1,2</v>
      </c>
      <c r="AV148">
        <v>1</v>
      </c>
      <c r="AX148">
        <v>34</v>
      </c>
      <c r="AY148" s="15">
        <f t="shared" si="234"/>
        <v>63</v>
      </c>
      <c r="BB148">
        <f t="shared" si="235"/>
        <v>8</v>
      </c>
      <c r="BC148">
        <f t="shared" si="236"/>
        <v>6.25</v>
      </c>
      <c r="BD148">
        <f t="shared" si="237"/>
        <v>6.9499999999999993</v>
      </c>
      <c r="BE148" s="3">
        <f t="shared" si="238"/>
        <v>0.98533333333333328</v>
      </c>
      <c r="BF148">
        <f t="shared" si="239"/>
        <v>0</v>
      </c>
      <c r="BG148">
        <f>VLOOKUP($H148,Constants!$I:$K, 2, FALSE)</f>
        <v>1.1499999999999999</v>
      </c>
      <c r="BH148">
        <f>VLOOKUP($H148,Constants!$I:$K, 3, FALSE)*IF(AND(G148="multiple_unit",AB148&lt;110),0.75,1)</f>
        <v>1.7</v>
      </c>
      <c r="BI148">
        <f>INT(POWER(((Constants!$G$2+$BB148+$BC148+$BD148+$BF148)*$BE148)*$BH148, 1.05))+$BA148</f>
        <v>53</v>
      </c>
      <c r="BJ148">
        <f>INT(POWER((((Constants!$G$1+$BB148+$BC148+$BD148+$BF148)*($BE148))*$BG148),IF($G148="wagon",1,1.2)))+$AZ148</f>
        <v>86</v>
      </c>
      <c r="BK148" s="14">
        <f t="shared" si="240"/>
        <v>41406.25</v>
      </c>
      <c r="BL148" s="14">
        <f t="shared" si="241"/>
        <v>6987.5</v>
      </c>
      <c r="BU148">
        <v>4</v>
      </c>
      <c r="BZ148" t="str">
        <f>VLOOKUP(J148,Eras!$A$2:$C$10, 2, TRUE)</f>
        <v>edw</v>
      </c>
      <c r="CA148" t="s">
        <v>324</v>
      </c>
      <c r="CB148" t="str">
        <f t="shared" si="242"/>
        <v>edw_Freight</v>
      </c>
      <c r="CC148" t="str">
        <f t="shared" si="261"/>
        <v>steam_RAIL</v>
      </c>
      <c r="CD148" s="17" t="str" cm="1">
        <f t="array" ref="CD148">_xlfn.CONCAT("{BLACK}Length: {GOLD}", TEXT(ROUNDUP(IF(AQ148&lt;&gt;"",SUM(VALUE(_xlfn.TEXTSPLIT(AQ148, ","))), SUM(VALUE(_xlfn.TEXTSPLIT(AN148, ",")))*IF(M148, M148, 1))/16, 1), "#,##0.0"), " tiles{}")</f>
        <v>{BLACK}Length: {GOLD}0.8 tiles{}</v>
      </c>
      <c r="CE148" t="str">
        <f>VLOOKUP($CC148, Constants!$M:$N, 2, FALSE)</f>
        <v>{BLACK}Powered by: {GOLD}Steam</v>
      </c>
      <c r="CF148" t="str">
        <f t="shared" si="260"/>
        <v/>
      </c>
      <c r="CG148" t="s">
        <v>1185</v>
      </c>
      <c r="CH148" t="str">
        <f t="shared" si="259"/>
        <v/>
      </c>
      <c r="CI148" t="str">
        <f t="shared" si="262"/>
        <v/>
      </c>
      <c r="CJ148" t="str">
        <f t="shared" si="263"/>
        <v>{BLACK}Powered by: {GOLD}Steam {}{BLACK}Length: {GOLD}0.8 tiles{}{SILVER}The Robinson 8K is a heavy freight engine based on earlier 0-8-0 designs, with a front pony truck to improve the ride and axle loads at the front of the locomotive.</v>
      </c>
    </row>
    <row r="149" spans="1:88" x14ac:dyDescent="0.35">
      <c r="A149" t="s">
        <v>1162</v>
      </c>
      <c r="B149" t="s">
        <v>1161</v>
      </c>
      <c r="C149">
        <v>209</v>
      </c>
      <c r="E149">
        <v>35</v>
      </c>
      <c r="F149" t="s">
        <v>1498</v>
      </c>
      <c r="G149" t="s">
        <v>258</v>
      </c>
      <c r="H149" t="s">
        <v>267</v>
      </c>
      <c r="I149" t="s">
        <v>270</v>
      </c>
      <c r="J149">
        <v>1919</v>
      </c>
      <c r="L149">
        <v>1956</v>
      </c>
      <c r="N149">
        <v>1400</v>
      </c>
      <c r="P149" s="5">
        <v>16.75</v>
      </c>
      <c r="Q149" s="5">
        <v>28</v>
      </c>
      <c r="R149" s="5">
        <v>4</v>
      </c>
      <c r="S149" s="5">
        <v>180</v>
      </c>
      <c r="T149" s="6">
        <f t="shared" si="264"/>
        <v>125.05031242934635</v>
      </c>
      <c r="U149" s="5">
        <v>1.4</v>
      </c>
      <c r="V149" s="5">
        <f t="shared" si="265"/>
        <v>1275.2840909090912</v>
      </c>
      <c r="W149">
        <v>74.8</v>
      </c>
      <c r="X149" s="8">
        <f>106.7-74.8</f>
        <v>31.900000000000006</v>
      </c>
      <c r="Z149">
        <v>193</v>
      </c>
      <c r="AA149" s="3">
        <f t="shared" si="232"/>
        <v>0.18088097469540768</v>
      </c>
      <c r="AB149">
        <v>40</v>
      </c>
      <c r="AC149">
        <f t="shared" si="244"/>
        <v>64</v>
      </c>
      <c r="AG149">
        <v>13</v>
      </c>
      <c r="AJ149" s="10">
        <v>0</v>
      </c>
      <c r="AK149" t="str">
        <f>CONCATENATE(VLOOKUP(AL149, 'Voxel Sizes'!$A$2:$B$18,2,FALSE),"x",INT(AH149*15), "x", INT(AI149*15))</f>
        <v>136x0x0</v>
      </c>
      <c r="AL149">
        <f t="shared" si="233"/>
        <v>8</v>
      </c>
      <c r="AM149" t="s">
        <v>1179</v>
      </c>
      <c r="AN149" t="str">
        <f>CONCATENATE(VLOOKUP(AL149,Constants!$A$2:$C$16,IF(AM149&lt;&gt;"", 3, 2), FALSE),IF(AM149&lt;&gt;"",CONCATENATE(",",VLOOKUP(AM149,$B:$AN,39,FALSE)),""))</f>
        <v>2,4,2,2,1,2</v>
      </c>
      <c r="AV149">
        <v>1</v>
      </c>
      <c r="AX149">
        <v>31</v>
      </c>
      <c r="AY149" s="15">
        <f t="shared" si="234"/>
        <v>45</v>
      </c>
      <c r="BA149">
        <v>4</v>
      </c>
      <c r="BB149">
        <f t="shared" si="235"/>
        <v>8</v>
      </c>
      <c r="BC149">
        <f t="shared" si="236"/>
        <v>7</v>
      </c>
      <c r="BD149">
        <f t="shared" si="237"/>
        <v>9.65</v>
      </c>
      <c r="BE149" s="3">
        <f t="shared" si="238"/>
        <v>0.97466666666666668</v>
      </c>
      <c r="BF149">
        <f t="shared" si="239"/>
        <v>0</v>
      </c>
      <c r="BG149">
        <f>VLOOKUP($H149,Constants!$I:$K, 2, FALSE)</f>
        <v>1.1499999999999999</v>
      </c>
      <c r="BH149">
        <f>VLOOKUP($H149,Constants!$I:$K, 3, FALSE)*IF(AND(G149="multiple_unit",AB149&lt;110),0.75,1)</f>
        <v>1.7</v>
      </c>
      <c r="BI149">
        <f>INT(POWER(((Constants!$G$2+$BB149+$BC149+$BD149+$BF149)*$BE149)*$BH149, 1.05))+$BA149</f>
        <v>63</v>
      </c>
      <c r="BJ149">
        <f>INT(POWER((((Constants!$G$1+$BB149+$BC149+$BD149+$BF149)*($BE149))*$BG149),IF($G149="wagon",1,1.2)))+$AZ149</f>
        <v>94</v>
      </c>
      <c r="BK149" s="14">
        <f t="shared" si="240"/>
        <v>49218.75</v>
      </c>
      <c r="BL149" s="14">
        <f t="shared" si="241"/>
        <v>7637.5</v>
      </c>
      <c r="BU149">
        <v>3</v>
      </c>
      <c r="BZ149" t="str">
        <f>VLOOKUP(J149,Eras!$A$2:$C$10, 2, TRUE)</f>
        <v>edw</v>
      </c>
      <c r="CA149" t="s">
        <v>324</v>
      </c>
      <c r="CB149" t="str">
        <f t="shared" si="242"/>
        <v>edw_Freight</v>
      </c>
      <c r="CC149" t="str">
        <f t="shared" si="261"/>
        <v>steam_RAIL</v>
      </c>
      <c r="CD149" s="17" t="str" cm="1">
        <f t="array" ref="CD149">_xlfn.CONCAT("{BLACK}Length: {GOLD}", TEXT(ROUNDUP(IF(AQ149&lt;&gt;"",SUM(VALUE(_xlfn.TEXTSPLIT(AQ149, ","))), SUM(VALUE(_xlfn.TEXTSPLIT(AN149, ",")))*IF(M149, M149, 1))/16, 1), "#,##0.0"), " tiles{}")</f>
        <v>{BLACK}Length: {GOLD}0.9 tiles{}</v>
      </c>
      <c r="CE149" t="str">
        <f>VLOOKUP($CC149, Constants!$M:$N, 2, FALSE)</f>
        <v>{BLACK}Powered by: {GOLD}Steam</v>
      </c>
      <c r="CF149" t="str">
        <f t="shared" si="260"/>
        <v/>
      </c>
      <c r="CG149" t="s">
        <v>1173</v>
      </c>
      <c r="CH149" t="str">
        <f t="shared" si="259"/>
        <v/>
      </c>
      <c r="CI149" t="str">
        <f t="shared" si="262"/>
        <v/>
      </c>
      <c r="CJ149" t="str">
        <f t="shared" si="263"/>
        <v>{BLACK}Powered by: {GOLD}Steam {}{BLACK}Length: {GOLD}0.9 tiles{}{SILVER}The "Lickey Banker" was a single 0-10-0 engine built to help add power and tractive effort to trains climbing the 1 in 37 Lickey Incline.</v>
      </c>
    </row>
    <row r="150" spans="1:88" x14ac:dyDescent="0.35">
      <c r="A150" t="s">
        <v>381</v>
      </c>
      <c r="B150" t="s">
        <v>382</v>
      </c>
      <c r="C150">
        <v>210</v>
      </c>
      <c r="E150">
        <v>36</v>
      </c>
      <c r="F150" t="s">
        <v>1498</v>
      </c>
      <c r="G150" t="s">
        <v>258</v>
      </c>
      <c r="H150" t="s">
        <v>267</v>
      </c>
      <c r="I150" t="s">
        <v>270</v>
      </c>
      <c r="J150">
        <v>1912</v>
      </c>
      <c r="L150">
        <v>1962</v>
      </c>
      <c r="N150">
        <v>1050</v>
      </c>
      <c r="P150" s="5">
        <v>20</v>
      </c>
      <c r="Q150" s="5">
        <v>26</v>
      </c>
      <c r="R150" s="5">
        <v>2</v>
      </c>
      <c r="S150" s="5">
        <v>180</v>
      </c>
      <c r="T150" s="6">
        <f t="shared" si="264"/>
        <v>141.60108907440687</v>
      </c>
      <c r="U150" s="5">
        <v>1.7</v>
      </c>
      <c r="V150" s="5">
        <f t="shared" si="265"/>
        <v>955.88235294117646</v>
      </c>
      <c r="W150">
        <v>61</v>
      </c>
      <c r="Z150">
        <v>104</v>
      </c>
      <c r="AA150" s="3">
        <f t="shared" si="232"/>
        <v>0.17049180327868851</v>
      </c>
      <c r="AB150">
        <v>55</v>
      </c>
      <c r="AC150">
        <f t="shared" si="244"/>
        <v>88</v>
      </c>
      <c r="AF150">
        <v>14.4</v>
      </c>
      <c r="AG150">
        <v>10</v>
      </c>
      <c r="AJ150" s="10">
        <v>0</v>
      </c>
      <c r="AK150" t="str">
        <f>CONCATENATE(VLOOKUP(AL150, 'Voxel Sizes'!$A$2:$B$18,2,FALSE),"x",INT(AH150*15), "x", INT(AI150*15))</f>
        <v>102x0x0</v>
      </c>
      <c r="AL150">
        <f t="shared" si="233"/>
        <v>6</v>
      </c>
      <c r="AM150" t="s">
        <v>384</v>
      </c>
      <c r="AN150" t="str">
        <f>CONCATENATE(VLOOKUP(AL150,Constants!$A$2:$C$16,IF(AM150&lt;&gt;"", 3, 2), FALSE),IF(AM150&lt;&gt;"",CONCATENATE(",",VLOOKUP(AM150,$B:$AN,39,FALSE)),""))</f>
        <v>2,2,2,2,1,2</v>
      </c>
      <c r="AV150">
        <v>1</v>
      </c>
      <c r="AX150">
        <v>30</v>
      </c>
      <c r="AY150" s="15">
        <f t="shared" si="234"/>
        <v>58</v>
      </c>
      <c r="AZ150">
        <v>5</v>
      </c>
      <c r="BB150">
        <f t="shared" si="235"/>
        <v>11</v>
      </c>
      <c r="BC150">
        <f t="shared" si="236"/>
        <v>5.25</v>
      </c>
      <c r="BD150">
        <f t="shared" si="237"/>
        <v>5.2</v>
      </c>
      <c r="BE150" s="3">
        <f t="shared" si="238"/>
        <v>0.98399999999999999</v>
      </c>
      <c r="BF150">
        <f t="shared" si="239"/>
        <v>0</v>
      </c>
      <c r="BG150">
        <f>VLOOKUP($H150,Constants!$I:$K, 2, FALSE)</f>
        <v>1.1499999999999999</v>
      </c>
      <c r="BH150">
        <f>VLOOKUP($H150,Constants!$I:$K, 3, FALSE)*IF(AND(G150="multiple_unit",AB150&lt;110),0.75,1)</f>
        <v>1.7</v>
      </c>
      <c r="BI150">
        <f>INT(POWER(((Constants!$G$2+$BB150+$BC150+$BD150+$BF150)*$BE150)*$BH150, 1.05))+$BA150</f>
        <v>53</v>
      </c>
      <c r="BJ150">
        <f>INT(POWER((((Constants!$G$1+$BB150+$BC150+$BD150+$BF150)*($BE150))*$BG150),IF($G150="wagon",1,1.2)))+$AZ150</f>
        <v>91</v>
      </c>
      <c r="BK150" s="14">
        <f t="shared" si="240"/>
        <v>41406.25</v>
      </c>
      <c r="BL150" s="14">
        <f t="shared" si="241"/>
        <v>7393.75</v>
      </c>
      <c r="BU150">
        <v>5</v>
      </c>
      <c r="BZ150" t="str">
        <f>VLOOKUP(J150,Eras!$A$2:$C$10, 2, TRUE)</f>
        <v>edw</v>
      </c>
      <c r="CA150" t="s">
        <v>324</v>
      </c>
      <c r="CB150" t="str">
        <f t="shared" si="242"/>
        <v>edw_Freight</v>
      </c>
      <c r="CC150" t="str">
        <f t="shared" si="261"/>
        <v>steam_RAIL</v>
      </c>
      <c r="CD150" s="17" t="str" cm="1">
        <f t="array" ref="CD150">_xlfn.CONCAT("{BLACK}Length: {GOLD}", TEXT(ROUNDUP(IF(AQ150&lt;&gt;"",SUM(VALUE(_xlfn.TEXTSPLIT(AQ150, ","))), SUM(VALUE(_xlfn.TEXTSPLIT(AN150, ",")))*IF(M150, M150, 1))/16, 1), "#,##0.0"), " tiles{}")</f>
        <v>{BLACK}Length: {GOLD}0.7 tiles{}</v>
      </c>
      <c r="CE150" t="str">
        <f>VLOOKUP($CC150, Constants!$M:$N, 2, FALSE)</f>
        <v>{BLACK}Powered by: {GOLD}Steam</v>
      </c>
      <c r="CF150" t="str">
        <f t="shared" si="260"/>
        <v/>
      </c>
      <c r="CG150" t="s">
        <v>380</v>
      </c>
      <c r="CH150" t="str">
        <f t="shared" si="259"/>
        <v/>
      </c>
      <c r="CI150" t="str">
        <f t="shared" si="262"/>
        <v/>
      </c>
      <c r="CJ150" t="str">
        <f t="shared" si="263"/>
        <v>{BLACK}Powered by: {GOLD}Steam {}{BLACK}Length: {GOLD}0.7 tiles{}{SILVER}The Gresley K2 is a freight engine, designed for the GNR which had been using passenger engines to haul goods trains.</v>
      </c>
    </row>
    <row r="151" spans="1:88" x14ac:dyDescent="0.35">
      <c r="A151" t="s">
        <v>1169</v>
      </c>
      <c r="B151" t="s">
        <v>1170</v>
      </c>
      <c r="C151">
        <v>211</v>
      </c>
      <c r="E151">
        <v>37</v>
      </c>
      <c r="F151" t="s">
        <v>1498</v>
      </c>
      <c r="G151" t="s">
        <v>258</v>
      </c>
      <c r="H151" t="s">
        <v>267</v>
      </c>
      <c r="I151" t="s">
        <v>270</v>
      </c>
      <c r="J151">
        <v>1920</v>
      </c>
      <c r="L151">
        <v>1960</v>
      </c>
      <c r="N151">
        <v>1250</v>
      </c>
      <c r="P151" s="5">
        <v>20</v>
      </c>
      <c r="Q151" s="5">
        <v>28</v>
      </c>
      <c r="R151" s="5">
        <v>2</v>
      </c>
      <c r="S151" s="5">
        <v>180</v>
      </c>
      <c r="T151" s="6">
        <f t="shared" si="264"/>
        <v>175.07043740108486</v>
      </c>
      <c r="U151" s="5">
        <v>1.5</v>
      </c>
      <c r="V151" s="5">
        <f t="shared" si="265"/>
        <v>1272.727272727273</v>
      </c>
      <c r="W151">
        <v>55.6</v>
      </c>
      <c r="X151" s="8">
        <v>32</v>
      </c>
      <c r="Z151">
        <v>129</v>
      </c>
      <c r="AA151" s="3">
        <f t="shared" si="232"/>
        <v>0.14726027397260275</v>
      </c>
      <c r="AB151">
        <v>60</v>
      </c>
      <c r="AC151">
        <f t="shared" si="244"/>
        <v>96</v>
      </c>
      <c r="AF151">
        <v>16.61</v>
      </c>
      <c r="AG151">
        <v>10</v>
      </c>
      <c r="AJ151" s="10">
        <v>0</v>
      </c>
      <c r="AK151" t="str">
        <f>CONCATENATE(VLOOKUP(AL151, 'Voxel Sizes'!$A$2:$B$18,2,FALSE),"x",INT(AH151*15), "x", INT(AI151*15))</f>
        <v>102x0x0</v>
      </c>
      <c r="AL151">
        <f t="shared" si="233"/>
        <v>6</v>
      </c>
      <c r="AM151" t="s">
        <v>384</v>
      </c>
      <c r="AN151" t="str">
        <f>CONCATENATE(VLOOKUP(AL151,Constants!$A$2:$C$16,IF(AM151&lt;&gt;"", 3, 2), FALSE),IF(AM151&lt;&gt;"",CONCATENATE(",",VLOOKUP(AM151,$B:$AN,39,FALSE)),""))</f>
        <v>2,2,2,2,1,2</v>
      </c>
      <c r="AV151">
        <v>1</v>
      </c>
      <c r="AX151">
        <v>30</v>
      </c>
      <c r="AY151" s="15">
        <f t="shared" si="234"/>
        <v>48</v>
      </c>
      <c r="BB151">
        <f t="shared" si="235"/>
        <v>12</v>
      </c>
      <c r="BC151">
        <f t="shared" si="236"/>
        <v>6.25</v>
      </c>
      <c r="BD151">
        <f t="shared" si="237"/>
        <v>6.45</v>
      </c>
      <c r="BE151" s="3">
        <f t="shared" si="238"/>
        <v>0.97333333333333338</v>
      </c>
      <c r="BF151">
        <f t="shared" si="239"/>
        <v>0</v>
      </c>
      <c r="BG151">
        <f>VLOOKUP($H151,Constants!$I:$K, 2, FALSE)</f>
        <v>1.1499999999999999</v>
      </c>
      <c r="BH151">
        <f>VLOOKUP($H151,Constants!$I:$K, 3, FALSE)*IF(AND(G151="multiple_unit",AB151&lt;110),0.75,1)</f>
        <v>1.7</v>
      </c>
      <c r="BI151">
        <f>INT(POWER(((Constants!$G$2+$BB151+$BC151+$BD151+$BF151)*$BE151)*$BH151, 1.05))+$BA151</f>
        <v>59</v>
      </c>
      <c r="BJ151">
        <f>INT(POWER((((Constants!$G$1+$BB151+$BC151+$BD151+$BF151)*($BE151))*$BG151),IF($G151="wagon",1,1.2)))+$AZ151</f>
        <v>94</v>
      </c>
      <c r="BK151" s="14">
        <f t="shared" si="240"/>
        <v>46093.75</v>
      </c>
      <c r="BL151" s="14">
        <f t="shared" si="241"/>
        <v>7637.5</v>
      </c>
      <c r="BU151">
        <v>4</v>
      </c>
      <c r="BZ151" t="str">
        <f>VLOOKUP(J151,Eras!$A$2:$C$10, 2, TRUE)</f>
        <v>edw</v>
      </c>
      <c r="CA151" t="s">
        <v>324</v>
      </c>
      <c r="CB151" t="str">
        <f t="shared" si="242"/>
        <v>edw_Freight</v>
      </c>
      <c r="CC151" t="str">
        <f t="shared" si="261"/>
        <v>steam_RAIL</v>
      </c>
      <c r="CD151" s="17" t="str" cm="1">
        <f t="array" ref="CD151">_xlfn.CONCAT("{BLACK}Length: {GOLD}", TEXT(ROUNDUP(IF(AQ151&lt;&gt;"",SUM(VALUE(_xlfn.TEXTSPLIT(AQ151, ","))), SUM(VALUE(_xlfn.TEXTSPLIT(AN151, ",")))*IF(M151, M151, 1))/16, 1), "#,##0.0"), " tiles{}")</f>
        <v>{BLACK}Length: {GOLD}0.7 tiles{}</v>
      </c>
      <c r="CE151" t="str">
        <f>VLOOKUP($CC151, Constants!$M:$N, 2, FALSE)</f>
        <v>{BLACK}Powered by: {GOLD}Steam</v>
      </c>
      <c r="CF151" t="str">
        <f t="shared" si="260"/>
        <v/>
      </c>
      <c r="CG151" t="s">
        <v>1471</v>
      </c>
      <c r="CH151" t="str">
        <f t="shared" si="259"/>
        <v/>
      </c>
      <c r="CI151" t="str">
        <f t="shared" si="262"/>
        <v/>
      </c>
      <c r="CJ151" t="str">
        <f t="shared" si="263"/>
        <v>{BLACK}Powered by: {GOLD}Steam {}{BLACK}Length: {GOLD}0.7 tiles{}{SILVER}The D81 (later LNER J20 Class) continued the GER's habit of building powerful 0-6-0s, and remained the most powerful British 0-6-0 tender locomotive for over twenty years.</v>
      </c>
    </row>
    <row r="152" spans="1:88" x14ac:dyDescent="0.35">
      <c r="A152" t="s">
        <v>56</v>
      </c>
      <c r="B152" t="s">
        <v>154</v>
      </c>
      <c r="C152">
        <v>212</v>
      </c>
      <c r="E152">
        <v>38</v>
      </c>
      <c r="F152" t="s">
        <v>1498</v>
      </c>
      <c r="G152" t="s">
        <v>258</v>
      </c>
      <c r="H152" t="s">
        <v>291</v>
      </c>
      <c r="I152" t="s">
        <v>292</v>
      </c>
      <c r="J152">
        <v>1914</v>
      </c>
      <c r="K152">
        <v>1919</v>
      </c>
      <c r="L152">
        <v>1950</v>
      </c>
      <c r="N152">
        <v>1100</v>
      </c>
      <c r="W152">
        <v>76</v>
      </c>
      <c r="Z152">
        <v>140</v>
      </c>
      <c r="AA152" s="3">
        <f t="shared" si="232"/>
        <v>0.18421052631578946</v>
      </c>
      <c r="AB152">
        <v>35</v>
      </c>
      <c r="AC152">
        <f t="shared" si="244"/>
        <v>56</v>
      </c>
      <c r="AF152">
        <v>12</v>
      </c>
      <c r="AG152">
        <v>12</v>
      </c>
      <c r="AJ152" s="10">
        <v>0</v>
      </c>
      <c r="AK152" t="str">
        <f>CONCATENATE(VLOOKUP(AL152, 'Voxel Sizes'!$A$2:$B$18,2,FALSE),"x",INT(AH152*15), "x", INT(AI152*15))</f>
        <v>120x0x0</v>
      </c>
      <c r="AL152">
        <f t="shared" si="233"/>
        <v>7</v>
      </c>
      <c r="AN152" t="str">
        <f>CONCATENATE(VLOOKUP(AL152,Constants!$A$2:$C$16,IF(AM152&lt;&gt;"", 3, 2), FALSE),IF(AM152&lt;&gt;"",CONCATENATE(",",VLOOKUP(AM152,$B:$AN,39,FALSE)),""))</f>
        <v>2,3,2</v>
      </c>
      <c r="AX152">
        <v>16</v>
      </c>
      <c r="AY152" s="15">
        <f t="shared" si="234"/>
        <v>44</v>
      </c>
      <c r="BA152">
        <v>8</v>
      </c>
      <c r="BB152">
        <f t="shared" si="235"/>
        <v>7</v>
      </c>
      <c r="BC152">
        <f t="shared" si="236"/>
        <v>5.5</v>
      </c>
      <c r="BD152">
        <f t="shared" si="237"/>
        <v>7</v>
      </c>
      <c r="BE152" s="3">
        <f t="shared" si="238"/>
        <v>0.98133333333333328</v>
      </c>
      <c r="BF152">
        <f t="shared" si="239"/>
        <v>0</v>
      </c>
      <c r="BG152">
        <f>VLOOKUP($H152,Constants!$I:$K, 2, FALSE)</f>
        <v>0.85</v>
      </c>
      <c r="BH152">
        <f>VLOOKUP($H152,Constants!$I:$K, 3, FALSE)*IF(AND(G152="multiple_unit",AB152&lt;110),0.75,1)</f>
        <v>2.2999999999999998</v>
      </c>
      <c r="BI152">
        <f>INT(POWER(((Constants!$G$2+$BB152+$BC152+$BD152+$BF152)*$BE152)*$BH152, 1.05))+$BA152</f>
        <v>75</v>
      </c>
      <c r="BJ152">
        <f>INT(POWER((((Constants!$G$1+$BB152+$BC152+$BD152+$BF152)*($BE152))*$BG152),IF($G152="wagon",1,1.2)))+$AZ152</f>
        <v>56</v>
      </c>
      <c r="BK152" s="14">
        <f t="shared" si="240"/>
        <v>58593.75</v>
      </c>
      <c r="BL152" s="14">
        <f t="shared" si="241"/>
        <v>4550</v>
      </c>
      <c r="BU152">
        <v>6</v>
      </c>
      <c r="BZ152" t="str">
        <f>VLOOKUP(J152,Eras!$A$2:$C$10, 2, TRUE)</f>
        <v>edw</v>
      </c>
      <c r="CA152" t="s">
        <v>334</v>
      </c>
      <c r="CB152" t="str">
        <f t="shared" si="242"/>
        <v>edw_Freight (Electric)</v>
      </c>
      <c r="CC152" t="str">
        <f t="shared" si="261"/>
        <v>electric_ELRL</v>
      </c>
      <c r="CD152" s="17" t="str" cm="1">
        <f t="array" ref="CD152">_xlfn.CONCAT("{BLACK}Length: {GOLD}", TEXT(ROUNDUP(IF(AQ152&lt;&gt;"",SUM(VALUE(_xlfn.TEXTSPLIT(AQ152, ","))), SUM(VALUE(_xlfn.TEXTSPLIT(AN152, ",")))*IF(M152, M152, 1))/16, 1), "#,##0.0"), " tiles{}")</f>
        <v>{BLACK}Length: {GOLD}0.5 tiles{}</v>
      </c>
      <c r="CE152" t="str">
        <f>VLOOKUP($CC152, Constants!$M:$N, 2, FALSE)</f>
        <v>{BLACK}Powered by: {GOLD}25kV AC</v>
      </c>
      <c r="CF152" t="str">
        <f t="shared" si="260"/>
        <v/>
      </c>
      <c r="CG152" t="s">
        <v>385</v>
      </c>
      <c r="CH152" t="str">
        <f t="shared" si="259"/>
        <v/>
      </c>
      <c r="CI152" t="str">
        <f t="shared" si="262"/>
        <v/>
      </c>
      <c r="CJ152" t="str">
        <f t="shared" si="263"/>
        <v>{BLACK}Powered by: {GOLD}25kV AC {}{BLACK}Length: {GOLD}0.5 tiles{}{SILVER}The LNER EF1 is an early electric freight engine designed for hauling heavy coal trains.</v>
      </c>
    </row>
    <row r="153" spans="1:88" x14ac:dyDescent="0.35">
      <c r="A153" t="s">
        <v>6</v>
      </c>
      <c r="B153" t="s">
        <v>155</v>
      </c>
      <c r="C153">
        <v>214</v>
      </c>
      <c r="E153">
        <v>39</v>
      </c>
      <c r="F153" t="s">
        <v>1498</v>
      </c>
      <c r="G153" t="s">
        <v>258</v>
      </c>
      <c r="H153" t="s">
        <v>267</v>
      </c>
      <c r="I153" t="s">
        <v>270</v>
      </c>
      <c r="J153">
        <v>1923</v>
      </c>
      <c r="L153">
        <v>1966</v>
      </c>
      <c r="N153">
        <v>950</v>
      </c>
      <c r="P153" s="5">
        <v>20</v>
      </c>
      <c r="Q153" s="5">
        <v>26</v>
      </c>
      <c r="R153" s="5">
        <v>2</v>
      </c>
      <c r="S153" s="5">
        <v>175</v>
      </c>
      <c r="T153" s="6">
        <f t="shared" ref="T153:T158" si="266">((($AB153/2)/60)*5280)/($U153*3.2*PI())</f>
        <v>150.4511571415573</v>
      </c>
      <c r="U153" s="5">
        <v>1.6</v>
      </c>
      <c r="V153" s="5">
        <f t="shared" ref="V153:V158" si="267">((($P153*$P153/4)*PI())*($Q153/12)*$R153*$S153*$T153)/(33000*1.1)</f>
        <v>987.41319444444446</v>
      </c>
      <c r="W153">
        <f>49.5+41.8</f>
        <v>91.3</v>
      </c>
      <c r="Z153">
        <v>109</v>
      </c>
      <c r="AA153" s="3">
        <f t="shared" si="232"/>
        <v>0.11938663745892661</v>
      </c>
      <c r="AB153">
        <v>55</v>
      </c>
      <c r="AC153">
        <f t="shared" si="244"/>
        <v>88</v>
      </c>
      <c r="AF153">
        <v>15.8</v>
      </c>
      <c r="AG153">
        <v>10</v>
      </c>
      <c r="AJ153" s="10">
        <v>0</v>
      </c>
      <c r="AK153" t="str">
        <f>CONCATENATE(VLOOKUP(AL153, 'Voxel Sizes'!$A$2:$B$18,2,FALSE),"x",INT(AH153*15), "x", INT(AI153*15))</f>
        <v>102x0x0</v>
      </c>
      <c r="AL153">
        <f t="shared" si="233"/>
        <v>6</v>
      </c>
      <c r="AM153" t="s">
        <v>304</v>
      </c>
      <c r="AN153" t="str">
        <f>CONCATENATE(VLOOKUP(AL153,Constants!$A$2:$C$16,IF(AM153&lt;&gt;"", 3, 2), FALSE),IF(AM153&lt;&gt;"",CONCATENATE(",",VLOOKUP(AM153,$B:$AN,39,FALSE)),""))</f>
        <v>2,2,2,2,1,2</v>
      </c>
      <c r="AV153">
        <v>1</v>
      </c>
      <c r="AX153">
        <v>36</v>
      </c>
      <c r="AY153" s="15">
        <f t="shared" si="234"/>
        <v>51</v>
      </c>
      <c r="BB153">
        <f t="shared" si="235"/>
        <v>11</v>
      </c>
      <c r="BC153">
        <f t="shared" si="236"/>
        <v>4.75</v>
      </c>
      <c r="BD153">
        <f t="shared" si="237"/>
        <v>5.45</v>
      </c>
      <c r="BE153" s="3">
        <f t="shared" si="238"/>
        <v>0.96933333333333338</v>
      </c>
      <c r="BF153">
        <f t="shared" si="239"/>
        <v>0</v>
      </c>
      <c r="BG153">
        <f>VLOOKUP($H153,Constants!$I:$K, 2, FALSE)</f>
        <v>1.1499999999999999</v>
      </c>
      <c r="BH153">
        <f>VLOOKUP($H153,Constants!$I:$K, 3, FALSE)*IF(AND(G153="multiple_unit",AB153&lt;110),0.75,1)</f>
        <v>1.7</v>
      </c>
      <c r="BI153">
        <f>INT(POWER(((Constants!$G$2+$BB153+$BC153+$BD153+$BF153)*$BE153)*$BH153, 1.05))+$BA153</f>
        <v>52</v>
      </c>
      <c r="BJ153">
        <f>INT(POWER((((Constants!$G$1+$BB153+$BC153+$BD153+$BF153)*($BE153))*$BG153),IF($G153="wagon",1,1.2)))+$AZ153</f>
        <v>84</v>
      </c>
      <c r="BK153" s="14">
        <f t="shared" si="240"/>
        <v>40625</v>
      </c>
      <c r="BL153" s="14">
        <f t="shared" si="241"/>
        <v>6825</v>
      </c>
      <c r="BU153">
        <v>9</v>
      </c>
      <c r="BZ153" t="str">
        <f>VLOOKUP(J153,Eras!$A$2:$C$10, 2, TRUE)</f>
        <v>big4</v>
      </c>
      <c r="CA153" t="s">
        <v>322</v>
      </c>
      <c r="CB153" t="str">
        <f t="shared" si="242"/>
        <v>big4_Mixed Traffic</v>
      </c>
      <c r="CC153" t="str">
        <f t="shared" si="261"/>
        <v>steam_RAIL</v>
      </c>
      <c r="CD153" s="17" t="str" cm="1">
        <f t="array" ref="CD153">_xlfn.CONCAT("{BLACK}Length: {GOLD}", TEXT(ROUNDUP(IF(AQ153&lt;&gt;"",SUM(VALUE(_xlfn.TEXTSPLIT(AQ153, ","))), SUM(VALUE(_xlfn.TEXTSPLIT(AN153, ",")))*IF(M153, M153, 1))/16, 1), "#,##0.0"), " tiles{}")</f>
        <v>{BLACK}Length: {GOLD}0.7 tiles{}</v>
      </c>
      <c r="CE153" t="str">
        <f>VLOOKUP($CC153, Constants!$M:$N, 2, FALSE)</f>
        <v>{BLACK}Powered by: {GOLD}Steam</v>
      </c>
      <c r="CF153" t="str">
        <f t="shared" si="260"/>
        <v/>
      </c>
      <c r="CG153" t="s">
        <v>411</v>
      </c>
      <c r="CH153" t="str">
        <f t="shared" si="259"/>
        <v/>
      </c>
      <c r="CI153" t="str">
        <f t="shared" si="262"/>
        <v/>
      </c>
      <c r="CJ153" t="str">
        <f t="shared" si="263"/>
        <v>{BLACK}Powered by: {GOLD}Steam {}{BLACK}Length: {GOLD}0.7 tiles{}{SILVER}The Fowler 4F is a development of the earlier Midland 3835 class.</v>
      </c>
    </row>
    <row r="154" spans="1:88" x14ac:dyDescent="0.35">
      <c r="A154" t="s">
        <v>1163</v>
      </c>
      <c r="B154" t="s">
        <v>1165</v>
      </c>
      <c r="C154">
        <v>215</v>
      </c>
      <c r="E154">
        <v>40</v>
      </c>
      <c r="F154" t="s">
        <v>1498</v>
      </c>
      <c r="G154" t="s">
        <v>258</v>
      </c>
      <c r="H154" t="s">
        <v>267</v>
      </c>
      <c r="I154" t="s">
        <v>270</v>
      </c>
      <c r="J154">
        <v>1921</v>
      </c>
      <c r="L154">
        <v>1962</v>
      </c>
      <c r="N154">
        <v>450</v>
      </c>
      <c r="P154" s="5">
        <v>15</v>
      </c>
      <c r="Q154" s="5">
        <v>22</v>
      </c>
      <c r="R154" s="5">
        <v>2</v>
      </c>
      <c r="S154" s="5">
        <v>160</v>
      </c>
      <c r="T154" s="6">
        <f t="shared" si="266"/>
        <v>159.15494309189532</v>
      </c>
      <c r="U154" s="5">
        <v>1.1000000000000001</v>
      </c>
      <c r="V154" s="5">
        <f t="shared" si="267"/>
        <v>454.54545454545445</v>
      </c>
      <c r="W154">
        <v>33.299999999999997</v>
      </c>
      <c r="Z154">
        <v>65</v>
      </c>
      <c r="AA154" s="3">
        <f t="shared" si="232"/>
        <v>0.19519519519519518</v>
      </c>
      <c r="AB154">
        <v>40</v>
      </c>
      <c r="AC154">
        <f t="shared" si="244"/>
        <v>64</v>
      </c>
      <c r="AG154">
        <v>8</v>
      </c>
      <c r="AJ154" s="10">
        <v>0</v>
      </c>
      <c r="AK154" t="str">
        <f>CONCATENATE(VLOOKUP(AL154, 'Voxel Sizes'!$A$2:$B$18,2,FALSE),"x",INT(AH154*15), "x", INT(AI154*15))</f>
        <v>82x0x0</v>
      </c>
      <c r="AL154">
        <f t="shared" si="233"/>
        <v>5</v>
      </c>
      <c r="AN154" t="str">
        <f>CONCATENATE(VLOOKUP(AL154,Constants!$A$2:$C$16,IF(AM154&lt;&gt;"", 3, 2), FALSE),IF(AM154&lt;&gt;"",CONCATENATE(",",VLOOKUP(AM154,$B:$AN,39,FALSE)),""))</f>
        <v>2,1,2</v>
      </c>
      <c r="AV154">
        <v>1</v>
      </c>
      <c r="AX154">
        <v>33</v>
      </c>
      <c r="AY154" s="15">
        <f t="shared" si="234"/>
        <v>49</v>
      </c>
      <c r="AZ154">
        <v>-15</v>
      </c>
      <c r="BA154">
        <v>-9</v>
      </c>
      <c r="BB154">
        <f t="shared" si="235"/>
        <v>8</v>
      </c>
      <c r="BC154">
        <f t="shared" si="236"/>
        <v>2.25</v>
      </c>
      <c r="BD154">
        <f t="shared" si="237"/>
        <v>3.25</v>
      </c>
      <c r="BE154" s="3">
        <f t="shared" si="238"/>
        <v>0.97199999999999998</v>
      </c>
      <c r="BF154">
        <f t="shared" si="239"/>
        <v>0</v>
      </c>
      <c r="BG154">
        <f>VLOOKUP($H154,Constants!$I:$K, 2, FALSE)</f>
        <v>1.1499999999999999</v>
      </c>
      <c r="BH154">
        <f>VLOOKUP($H154,Constants!$I:$K, 3, FALSE)*IF(AND(G154="multiple_unit",AB154&lt;110),0.75,1)</f>
        <v>1.7</v>
      </c>
      <c r="BI154">
        <f>INT(POWER(((Constants!$G$2+$BB154+$BC154+$BD154+$BF154)*$BE154)*$BH154, 1.05))+$BA154</f>
        <v>27</v>
      </c>
      <c r="BJ154">
        <f>INT(POWER((((Constants!$G$1+$BB154+$BC154+$BD154+$BF154)*($BE154))*$BG154),IF($G154="wagon",1,1.2)))+$AZ154</f>
        <v>48</v>
      </c>
      <c r="BK154" s="14">
        <f t="shared" si="240"/>
        <v>21093.75</v>
      </c>
      <c r="BL154" s="14">
        <f t="shared" si="241"/>
        <v>3900</v>
      </c>
      <c r="BU154">
        <v>6</v>
      </c>
      <c r="BZ154" t="str">
        <f>VLOOKUP(J154,Eras!$A$2:$C$10, 2, TRUE)</f>
        <v>edw</v>
      </c>
      <c r="CA154" t="s">
        <v>321</v>
      </c>
      <c r="CB154" t="str">
        <f t="shared" si="242"/>
        <v>edw_Cheap</v>
      </c>
      <c r="CC154" t="str">
        <f t="shared" si="261"/>
        <v>steam_RAIL</v>
      </c>
      <c r="CD154" s="17" t="str" cm="1">
        <f t="array" ref="CD154">_xlfn.CONCAT("{BLACK}Length: {GOLD}", TEXT(ROUNDUP(IF(AQ154&lt;&gt;"",SUM(VALUE(_xlfn.TEXTSPLIT(AQ154, ","))), SUM(VALUE(_xlfn.TEXTSPLIT(AN154, ",")))*IF(M154, M154, 1))/16, 1), "#,##0.0"), " tiles{}")</f>
        <v>{BLACK}Length: {GOLD}0.4 tiles{}</v>
      </c>
      <c r="CE154" t="str">
        <f>VLOOKUP($CC154, Constants!$M:$N, 2, FALSE)</f>
        <v>{BLACK}Powered by: {GOLD}Steam</v>
      </c>
      <c r="CF154" t="str">
        <f t="shared" si="260"/>
        <v/>
      </c>
      <c r="CG154" t="s">
        <v>1181</v>
      </c>
      <c r="CH154" t="str">
        <f t="shared" si="259"/>
        <v/>
      </c>
      <c r="CI154" t="str">
        <f t="shared" si="262"/>
        <v/>
      </c>
      <c r="CJ154" t="str">
        <f t="shared" si="263"/>
        <v>{BLACK}Powered by: {GOLD}Steam {}{BLACK}Length: {GOLD}0.4 tiles{}{SILVER}The 1528 class is a small 0-4-0 tank engine. Designed for shunting, it was built in two batches, the first in 1907 and the second (as here) with minor detail changes in 1921</v>
      </c>
    </row>
    <row r="155" spans="1:88" x14ac:dyDescent="0.35">
      <c r="A155" t="s">
        <v>412</v>
      </c>
      <c r="B155" t="s">
        <v>413</v>
      </c>
      <c r="C155">
        <v>216</v>
      </c>
      <c r="E155">
        <v>41</v>
      </c>
      <c r="F155" t="s">
        <v>1498</v>
      </c>
      <c r="G155" t="s">
        <v>258</v>
      </c>
      <c r="H155" t="s">
        <v>267</v>
      </c>
      <c r="I155" t="s">
        <v>270</v>
      </c>
      <c r="J155">
        <v>1923</v>
      </c>
      <c r="K155">
        <v>1950</v>
      </c>
      <c r="L155">
        <v>1950</v>
      </c>
      <c r="N155">
        <v>1900</v>
      </c>
      <c r="P155" s="5">
        <v>16</v>
      </c>
      <c r="Q155" s="5">
        <v>26</v>
      </c>
      <c r="R155" s="5">
        <v>4</v>
      </c>
      <c r="S155" s="5">
        <v>225</v>
      </c>
      <c r="T155" s="6">
        <f t="shared" si="266"/>
        <v>223.21480768638321</v>
      </c>
      <c r="U155" s="5">
        <v>2</v>
      </c>
      <c r="V155" s="5">
        <f t="shared" si="267"/>
        <v>2410.9090909090905</v>
      </c>
      <c r="W155">
        <v>81.099999999999994</v>
      </c>
      <c r="X155" s="8">
        <v>48</v>
      </c>
      <c r="Z155">
        <v>141</v>
      </c>
      <c r="AA155" s="3">
        <f t="shared" si="232"/>
        <v>0.10921766072811774</v>
      </c>
      <c r="AB155">
        <v>102</v>
      </c>
      <c r="AC155">
        <f t="shared" si="244"/>
        <v>163</v>
      </c>
      <c r="AE155">
        <v>1</v>
      </c>
      <c r="AF155">
        <v>19.86</v>
      </c>
      <c r="AG155">
        <f>AF155-7.64</f>
        <v>12.219999999999999</v>
      </c>
      <c r="AI155">
        <v>4.07</v>
      </c>
      <c r="AJ155" s="10">
        <v>0</v>
      </c>
      <c r="AK155" t="str">
        <f>CONCATENATE(VLOOKUP(AL155, 'Voxel Sizes'!$A$2:$B$18,2,FALSE),"x",INT(AH155*15), "x", INT(AI155*15))</f>
        <v>120x0x61</v>
      </c>
      <c r="AL155">
        <f t="shared" si="233"/>
        <v>7</v>
      </c>
      <c r="AM155" t="s">
        <v>415</v>
      </c>
      <c r="AN155" t="str">
        <f>CONCATENATE(VLOOKUP(AL155,Constants!$A$2:$C$16,IF(AM155&lt;&gt;"", 3, 2), FALSE),IF(AM155&lt;&gt;"",CONCATENATE(",",VLOOKUP(AM155,$B:$AN,39,FALSE)),""))</f>
        <v>2,3,2,2,1,2</v>
      </c>
      <c r="AV155">
        <v>1</v>
      </c>
      <c r="AX155">
        <v>30</v>
      </c>
      <c r="AY155" s="15">
        <f t="shared" si="234"/>
        <v>35</v>
      </c>
      <c r="BB155">
        <f t="shared" si="235"/>
        <v>20.400000000000002</v>
      </c>
      <c r="BC155">
        <f t="shared" si="236"/>
        <v>9.5</v>
      </c>
      <c r="BD155">
        <f t="shared" si="237"/>
        <v>7.05</v>
      </c>
      <c r="BE155" s="3">
        <f t="shared" si="238"/>
        <v>0.96933333333333338</v>
      </c>
      <c r="BF155">
        <f t="shared" si="239"/>
        <v>0</v>
      </c>
      <c r="BG155">
        <f>VLOOKUP($H155,Constants!$I:$K, 2, FALSE)</f>
        <v>1.1499999999999999</v>
      </c>
      <c r="BH155">
        <f>VLOOKUP($H155,Constants!$I:$K, 3, FALSE)*IF(AND(G155="multiple_unit",AB155&lt;110),0.75,1)</f>
        <v>1.7</v>
      </c>
      <c r="BI155">
        <f>INT(POWER(((Constants!$G$2+$BB155+$BC155+$BD155+$BF155)*$BE155)*$BH155, 1.05))+$BA155</f>
        <v>85</v>
      </c>
      <c r="BJ155">
        <f>INT(POWER((((Constants!$G$1+$BB155+$BC155+$BD155+$BF155)*($BE155))*$BG155),IF($G155="wagon",1,1.2)))+$AZ155</f>
        <v>130</v>
      </c>
      <c r="BK155" s="14">
        <f t="shared" si="240"/>
        <v>66406.25</v>
      </c>
      <c r="BL155" s="14">
        <f t="shared" si="241"/>
        <v>10562.5</v>
      </c>
      <c r="BU155">
        <v>10</v>
      </c>
      <c r="BZ155" t="str">
        <f>VLOOKUP(J155,Eras!$A$2:$C$10, 2, TRUE)</f>
        <v>big4</v>
      </c>
      <c r="CA155" t="s">
        <v>323</v>
      </c>
      <c r="CB155" t="str">
        <f t="shared" si="242"/>
        <v>big4_Express</v>
      </c>
      <c r="CC155" t="str">
        <f t="shared" si="261"/>
        <v>steam_RAIL</v>
      </c>
      <c r="CD155" s="17" t="str" cm="1">
        <f t="array" ref="CD155">_xlfn.CONCAT("{BLACK}Length: {GOLD}", TEXT(ROUNDUP(IF(AQ155&lt;&gt;"",SUM(VALUE(_xlfn.TEXTSPLIT(AQ155, ","))), SUM(VALUE(_xlfn.TEXTSPLIT(AN155, ",")))*IF(M155, M155, 1))/16, 1), "#,##0.0"), " tiles{}")</f>
        <v>{BLACK}Length: {GOLD}0.8 tiles{}</v>
      </c>
      <c r="CE155" t="str">
        <f>VLOOKUP($CC155, Constants!$M:$N, 2, FALSE)</f>
        <v>{BLACK}Powered by: {GOLD}Steam</v>
      </c>
      <c r="CF155" t="str">
        <f t="shared" si="260"/>
        <v/>
      </c>
      <c r="CG155" t="s">
        <v>416</v>
      </c>
      <c r="CH155" t="str">
        <f t="shared" si="259"/>
        <v/>
      </c>
      <c r="CI155" t="str">
        <f t="shared" si="262"/>
        <v/>
      </c>
      <c r="CJ155" t="str">
        <f t="shared" si="263"/>
        <v>{BLACK}Powered by: {GOLD}Steam {}{BLACK}Length: {GOLD}0.8 tiles{}{SILVER}The Castle Class is a large, powerful express locomotive designed by GWR Chief Mechanical Engineer Charles Collett</v>
      </c>
    </row>
    <row r="156" spans="1:88" x14ac:dyDescent="0.35">
      <c r="A156" t="s">
        <v>1164</v>
      </c>
      <c r="B156" t="s">
        <v>1168</v>
      </c>
      <c r="C156">
        <v>217</v>
      </c>
      <c r="E156">
        <v>42</v>
      </c>
      <c r="F156" t="s">
        <v>1498</v>
      </c>
      <c r="G156" t="s">
        <v>258</v>
      </c>
      <c r="H156" t="s">
        <v>267</v>
      </c>
      <c r="I156" t="s">
        <v>270</v>
      </c>
      <c r="J156">
        <v>1921</v>
      </c>
      <c r="K156">
        <v>1922</v>
      </c>
      <c r="L156">
        <v>1964</v>
      </c>
      <c r="N156">
        <v>1000</v>
      </c>
      <c r="P156" s="5">
        <v>20.5</v>
      </c>
      <c r="Q156" s="5">
        <v>24</v>
      </c>
      <c r="R156" s="5">
        <v>2</v>
      </c>
      <c r="S156" s="5">
        <v>175</v>
      </c>
      <c r="T156" s="6">
        <f t="shared" si="266"/>
        <v>157.43744370601161</v>
      </c>
      <c r="U156" s="5">
        <v>1.39</v>
      </c>
      <c r="V156" s="5">
        <f t="shared" si="267"/>
        <v>1002.0676640505778</v>
      </c>
      <c r="W156">
        <v>63</v>
      </c>
      <c r="X156" s="8">
        <f>104.4-63</f>
        <v>41.400000000000006</v>
      </c>
      <c r="Z156">
        <v>125</v>
      </c>
      <c r="AA156" s="3">
        <f t="shared" ref="AA156:AA217" si="268">IF(AND(W156&gt;0,Z156&gt;0),(Z156/((W156+X156)*10)),"")</f>
        <v>0.11973180076628352</v>
      </c>
      <c r="AB156">
        <v>50</v>
      </c>
      <c r="AC156">
        <f t="shared" si="244"/>
        <v>80</v>
      </c>
      <c r="AG156">
        <v>10</v>
      </c>
      <c r="AJ156" s="10">
        <v>0</v>
      </c>
      <c r="AK156" t="str">
        <f>CONCATENATE(VLOOKUP(AL156, 'Voxel Sizes'!$A$2:$B$18,2,FALSE),"x",INT(AH156*15), "x", INT(AI156*15))</f>
        <v>102x0x0</v>
      </c>
      <c r="AL156">
        <f t="shared" si="233"/>
        <v>6</v>
      </c>
      <c r="AM156" t="s">
        <v>1174</v>
      </c>
      <c r="AN156" t="str">
        <f>CONCATENATE(VLOOKUP(AL156,Constants!$A$2:$C$16,IF(AM156&lt;&gt;"", 3, 2), FALSE),IF(AM156&lt;&gt;"",CONCATENATE(",",VLOOKUP(AM156,$B:$AN,39,FALSE)),""))</f>
        <v>2,2,2,2,1,2</v>
      </c>
      <c r="AV156">
        <v>1</v>
      </c>
      <c r="AX156">
        <v>30</v>
      </c>
      <c r="AY156" s="15">
        <f t="shared" si="234"/>
        <v>51</v>
      </c>
      <c r="BB156">
        <f t="shared" si="235"/>
        <v>10</v>
      </c>
      <c r="BC156">
        <f t="shared" si="236"/>
        <v>5</v>
      </c>
      <c r="BD156">
        <f t="shared" si="237"/>
        <v>6.25</v>
      </c>
      <c r="BE156" s="3">
        <f t="shared" si="238"/>
        <v>0.97199999999999998</v>
      </c>
      <c r="BF156">
        <f t="shared" si="239"/>
        <v>0</v>
      </c>
      <c r="BG156">
        <f>VLOOKUP($H156,Constants!$I:$K, 2, FALSE)</f>
        <v>1.1499999999999999</v>
      </c>
      <c r="BH156">
        <f>VLOOKUP($H156,Constants!$I:$K, 3, FALSE)*IF(AND(G156="multiple_unit",AB156&lt;110),0.75,1)</f>
        <v>1.7</v>
      </c>
      <c r="BI156">
        <f>INT(POWER(((Constants!$G$2+$BB156+$BC156+$BD156+$BF156)*$BE156)*$BH156, 1.05))+$BA156</f>
        <v>52</v>
      </c>
      <c r="BJ156">
        <f>INT(POWER((((Constants!$G$1+$BB156+$BC156+$BD156+$BF156)*($BE156))*$BG156),IF($G156="wagon",1,1.2)))+$AZ156</f>
        <v>84</v>
      </c>
      <c r="BK156" s="14">
        <f t="shared" si="240"/>
        <v>40625</v>
      </c>
      <c r="BL156" s="14">
        <f t="shared" si="241"/>
        <v>6825</v>
      </c>
      <c r="BU156">
        <v>7</v>
      </c>
      <c r="BZ156" t="str">
        <f>VLOOKUP(J156,Eras!$A$2:$C$10, 2, TRUE)</f>
        <v>edw</v>
      </c>
      <c r="CA156" t="s">
        <v>324</v>
      </c>
      <c r="CB156" t="str">
        <f t="shared" si="242"/>
        <v>edw_Freight</v>
      </c>
      <c r="CC156" t="str">
        <f t="shared" si="261"/>
        <v>steam_RAIL</v>
      </c>
      <c r="CD156" s="17" t="str" cm="1">
        <f t="array" ref="CD156">_xlfn.CONCAT("{BLACK}Length: {GOLD}", TEXT(ROUNDUP(IF(AQ156&lt;&gt;"",SUM(VALUE(_xlfn.TEXTSPLIT(AQ156, ","))), SUM(VALUE(_xlfn.TEXTSPLIT(AN156, ",")))*IF(M156, M156, 1))/16, 1), "#,##0.0"), " tiles{}")</f>
        <v>{BLACK}Length: {GOLD}0.7 tiles{}</v>
      </c>
      <c r="CE156" t="str">
        <f>VLOOKUP($CC156, Constants!$M:$N, 2, FALSE)</f>
        <v>{BLACK}Powered by: {GOLD}Steam</v>
      </c>
      <c r="CF156" t="str">
        <f t="shared" si="260"/>
        <v/>
      </c>
      <c r="CG156" t="s">
        <v>1176</v>
      </c>
      <c r="CH156" t="str">
        <f t="shared" si="259"/>
        <v/>
      </c>
      <c r="CI156" t="str">
        <f t="shared" si="262"/>
        <v/>
      </c>
      <c r="CJ156" t="str">
        <f t="shared" si="263"/>
        <v>{BLACK}Powered by: {GOLD}Steam {}{BLACK}Length: {GOLD}0.7 tiles{}{SILVER}The LNWR G2 is an 0-8-0 freight locomotive, built from scratch as a new class and never rebuilt instead of the usual LNWR practice of rebuilding existing 8-coupled locomotives.</v>
      </c>
    </row>
    <row r="157" spans="1:88" x14ac:dyDescent="0.35">
      <c r="A157" t="s">
        <v>5</v>
      </c>
      <c r="B157" t="s">
        <v>156</v>
      </c>
      <c r="C157">
        <v>218</v>
      </c>
      <c r="E157">
        <v>43</v>
      </c>
      <c r="F157" t="s">
        <v>1498</v>
      </c>
      <c r="G157" t="s">
        <v>258</v>
      </c>
      <c r="H157" t="s">
        <v>267</v>
      </c>
      <c r="I157" t="s">
        <v>270</v>
      </c>
      <c r="J157">
        <v>1924</v>
      </c>
      <c r="L157">
        <v>1967</v>
      </c>
      <c r="N157">
        <v>650</v>
      </c>
      <c r="P157" s="5">
        <v>18</v>
      </c>
      <c r="Q157" s="5">
        <v>26</v>
      </c>
      <c r="R157" s="5">
        <v>2</v>
      </c>
      <c r="S157" s="5">
        <v>160</v>
      </c>
      <c r="T157" s="6">
        <f t="shared" si="266"/>
        <v>140.68160148301465</v>
      </c>
      <c r="U157" s="5">
        <v>1.4</v>
      </c>
      <c r="V157" s="5">
        <f t="shared" si="267"/>
        <v>683.76623376623365</v>
      </c>
      <c r="W157">
        <v>50.2</v>
      </c>
      <c r="Z157">
        <v>93</v>
      </c>
      <c r="AA157" s="3">
        <f t="shared" si="268"/>
        <v>0.1852589641434263</v>
      </c>
      <c r="AB157">
        <v>45</v>
      </c>
      <c r="AC157">
        <f t="shared" si="244"/>
        <v>72</v>
      </c>
      <c r="AF157">
        <v>9.57</v>
      </c>
      <c r="AG157">
        <v>9.57</v>
      </c>
      <c r="AJ157" s="10">
        <v>0</v>
      </c>
      <c r="AK157" t="str">
        <f>CONCATENATE(VLOOKUP(AL157, 'Voxel Sizes'!$A$2:$B$18,2,FALSE),"x",INT(AH157*15), "x", INT(AI157*15))</f>
        <v>102x0x0</v>
      </c>
      <c r="AL157">
        <f t="shared" ref="AL157:AL218" si="269">ROUND(15*((AG157*10)/256),0)</f>
        <v>6</v>
      </c>
      <c r="AN157" t="str">
        <f>CONCATENATE(VLOOKUP(AL157,Constants!$A$2:$C$16,IF(AM157&lt;&gt;"", 3, 2), FALSE),IF(AM157&lt;&gt;"",CONCATENATE(",",VLOOKUP(AM157,$B:$AN,39,FALSE)),""))</f>
        <v>2,2,2</v>
      </c>
      <c r="AV157">
        <v>1</v>
      </c>
      <c r="AX157">
        <v>48</v>
      </c>
      <c r="AY157" s="15">
        <f t="shared" ref="AY157:AY218" si="270">IF(L157&lt;&gt;"",MAX(16,(L157-J157)+8),"")</f>
        <v>51</v>
      </c>
      <c r="BB157">
        <f t="shared" ref="BB157:BB218" si="271">MIN(AB157/150, 1)*30</f>
        <v>9</v>
      </c>
      <c r="BC157">
        <f t="shared" ref="BC157:BC218" si="272">MIN(N157/4000, 1)*20</f>
        <v>3.25</v>
      </c>
      <c r="BD157">
        <f t="shared" ref="BD157:BD218" si="273">MIN(Z157/400,1)*20</f>
        <v>4.6500000000000004</v>
      </c>
      <c r="BE157" s="3">
        <f t="shared" ref="BE157:BE218" si="274">1-(MAX(J157-1900, 0)/750)</f>
        <v>0.96799999999999997</v>
      </c>
      <c r="BF157">
        <f t="shared" ref="BF157:BF218" si="275">((MAX($M157,1)*MIN($AJ157/300,1)))*IF(G157="Wagon",50,10)</f>
        <v>0</v>
      </c>
      <c r="BG157">
        <f>VLOOKUP($H157,Constants!$I:$K, 2, FALSE)</f>
        <v>1.1499999999999999</v>
      </c>
      <c r="BH157">
        <f>VLOOKUP($H157,Constants!$I:$K, 3, FALSE)*IF(AND(G157="multiple_unit",AB157&lt;110),0.75,1)</f>
        <v>1.7</v>
      </c>
      <c r="BI157">
        <f>INT(POWER(((Constants!$G$2+$BB157+$BC157+$BD157+$BF157)*$BE157)*$BH157, 1.05))+$BA157</f>
        <v>43</v>
      </c>
      <c r="BJ157">
        <f>INT(POWER((((Constants!$G$1+$BB157+$BC157+$BD157+$BF157)*($BE157))*$BG157),IF($G157="wagon",1,1.2)))+$AZ157</f>
        <v>72</v>
      </c>
      <c r="BK157" s="14">
        <f t="shared" ref="BK157:BK218" si="276">BI157*IF($G157="wagon",62.5,781.25)</f>
        <v>33593.75</v>
      </c>
      <c r="BL157" s="14">
        <f t="shared" ref="BL157:BL218" si="277">BJ157*IF($G157="wagon",2.73,81.25)</f>
        <v>5850</v>
      </c>
      <c r="BU157">
        <v>11</v>
      </c>
      <c r="BZ157" t="str">
        <f>VLOOKUP(J157,Eras!$A$2:$C$10, 2, TRUE)</f>
        <v>big4</v>
      </c>
      <c r="CA157" t="s">
        <v>321</v>
      </c>
      <c r="CB157" t="str">
        <f t="shared" ref="CB157:CB218" si="278">CONCATENATE(BZ157,"_",CA157)</f>
        <v>big4_Cheap</v>
      </c>
      <c r="CC157" t="str">
        <f t="shared" si="261"/>
        <v>steam_RAIL</v>
      </c>
      <c r="CD157" s="17" t="str" cm="1">
        <f t="array" ref="CD157">_xlfn.CONCAT("{BLACK}Length: {GOLD}", TEXT(ROUNDUP(IF(AQ157&lt;&gt;"",SUM(VALUE(_xlfn.TEXTSPLIT(AQ157, ","))), SUM(VALUE(_xlfn.TEXTSPLIT(AN157, ",")))*IF(M157, M157, 1))/16, 1), "#,##0.0"), " tiles{}")</f>
        <v>{BLACK}Length: {GOLD}0.4 tiles{}</v>
      </c>
      <c r="CE157" t="str">
        <f>VLOOKUP($CC157, Constants!$M:$N, 2, FALSE)</f>
        <v>{BLACK}Powered by: {GOLD}Steam</v>
      </c>
      <c r="CF157" t="str">
        <f t="shared" si="260"/>
        <v/>
      </c>
      <c r="CG157" t="s">
        <v>346</v>
      </c>
      <c r="CH157" t="str">
        <f t="shared" si="259"/>
        <v/>
      </c>
      <c r="CI157" t="str">
        <f t="shared" si="262"/>
        <v/>
      </c>
      <c r="CJ157" t="str">
        <f t="shared" si="263"/>
        <v>{BLACK}Powered by: {GOLD}Steam {}{BLACK}Length: {GOLD}0.4 tiles{}{SILVER}The Jinty is a popular tank engine that was built in large quantities. Although small and low powered it is reliable and cheap to run. Jinties were sometimes run in pairs (or more) for working on steep inclines.</v>
      </c>
    </row>
    <row r="158" spans="1:88" x14ac:dyDescent="0.35">
      <c r="A158" t="s">
        <v>1171</v>
      </c>
      <c r="B158" t="s">
        <v>1172</v>
      </c>
      <c r="C158">
        <v>219</v>
      </c>
      <c r="E158">
        <v>44</v>
      </c>
      <c r="F158" t="s">
        <v>1498</v>
      </c>
      <c r="G158" t="s">
        <v>258</v>
      </c>
      <c r="H158" t="s">
        <v>267</v>
      </c>
      <c r="I158" t="s">
        <v>270</v>
      </c>
      <c r="J158">
        <v>1921</v>
      </c>
      <c r="K158">
        <v>1922</v>
      </c>
      <c r="L158">
        <v>1959</v>
      </c>
      <c r="N158">
        <v>1350</v>
      </c>
      <c r="P158" s="5">
        <v>20.5</v>
      </c>
      <c r="Q158" s="5">
        <v>26</v>
      </c>
      <c r="R158" s="5">
        <v>2</v>
      </c>
      <c r="S158" s="5">
        <v>180</v>
      </c>
      <c r="T158" s="6">
        <f t="shared" si="266"/>
        <v>195.8024628827923</v>
      </c>
      <c r="U158" s="5">
        <v>1.9</v>
      </c>
      <c r="V158" s="5">
        <f t="shared" si="267"/>
        <v>1388.6849581339709</v>
      </c>
      <c r="W158">
        <v>62.2</v>
      </c>
      <c r="X158" s="8">
        <v>40</v>
      </c>
      <c r="Z158">
        <v>95</v>
      </c>
      <c r="AA158" s="3">
        <f t="shared" si="268"/>
        <v>9.2954990215264183E-2</v>
      </c>
      <c r="AB158">
        <v>85</v>
      </c>
      <c r="AC158">
        <f t="shared" si="244"/>
        <v>136</v>
      </c>
      <c r="AG158">
        <v>10</v>
      </c>
      <c r="AJ158" s="10">
        <v>0</v>
      </c>
      <c r="AK158" t="str">
        <f>CONCATENATE(VLOOKUP(AL158, 'Voxel Sizes'!$A$2:$B$18,2,FALSE),"x",INT(AH158*15), "x", INT(AI158*15))</f>
        <v>102x0x0</v>
      </c>
      <c r="AL158">
        <f t="shared" si="269"/>
        <v>6</v>
      </c>
      <c r="AM158" t="s">
        <v>1174</v>
      </c>
      <c r="AN158" t="str">
        <f>CONCATENATE(VLOOKUP(AL158,Constants!$A$2:$C$16,IF(AM158&lt;&gt;"", 3, 2), FALSE),IF(AM158&lt;&gt;"",CONCATENATE(",",VLOOKUP(AM158,$B:$AN,39,FALSE)),""))</f>
        <v>2,2,2,2,1,2</v>
      </c>
      <c r="AX158">
        <v>31</v>
      </c>
      <c r="AY158" s="15">
        <f t="shared" si="270"/>
        <v>46</v>
      </c>
      <c r="BB158">
        <f t="shared" si="271"/>
        <v>17</v>
      </c>
      <c r="BC158">
        <f t="shared" si="272"/>
        <v>6.75</v>
      </c>
      <c r="BD158">
        <f t="shared" si="273"/>
        <v>4.75</v>
      </c>
      <c r="BE158" s="3">
        <f t="shared" si="274"/>
        <v>0.97199999999999998</v>
      </c>
      <c r="BF158">
        <f t="shared" si="275"/>
        <v>0</v>
      </c>
      <c r="BG158">
        <f>VLOOKUP($H158,Constants!$I:$K, 2, FALSE)</f>
        <v>1.1499999999999999</v>
      </c>
      <c r="BH158">
        <f>VLOOKUP($H158,Constants!$I:$K, 3, FALSE)*IF(AND(G158="multiple_unit",AB158&lt;110),0.75,1)</f>
        <v>1.7</v>
      </c>
      <c r="BI158">
        <f>INT(POWER(((Constants!$G$2+$BB158+$BC158+$BD158+$BF158)*$BE158)*$BH158, 1.05))+$BA158</f>
        <v>67</v>
      </c>
      <c r="BJ158">
        <f>INT(POWER((((Constants!$G$1+$BB158+$BC158+$BD158+$BF158)*($BE158))*$BG158),IF($G158="wagon",1,1.2)))+$AZ158</f>
        <v>105</v>
      </c>
      <c r="BK158" s="14">
        <f t="shared" si="276"/>
        <v>52343.75</v>
      </c>
      <c r="BL158" s="14">
        <f t="shared" si="277"/>
        <v>8531.25</v>
      </c>
      <c r="BU158">
        <v>8</v>
      </c>
      <c r="BZ158" t="str">
        <f>VLOOKUP(J158,Eras!$A$2:$C$10, 2, TRUE)</f>
        <v>edw</v>
      </c>
      <c r="CA158" t="s">
        <v>323</v>
      </c>
      <c r="CB158" t="str">
        <f t="shared" si="278"/>
        <v>edw_Express</v>
      </c>
      <c r="CC158" t="str">
        <f t="shared" si="261"/>
        <v>steam_RAIL</v>
      </c>
      <c r="CD158" s="17" t="str" cm="1">
        <f t="array" ref="CD158">_xlfn.CONCAT("{BLACK}Length: {GOLD}", TEXT(ROUNDUP(IF(AQ158&lt;&gt;"",SUM(VALUE(_xlfn.TEXTSPLIT(AQ158, ","))), SUM(VALUE(_xlfn.TEXTSPLIT(AN158, ",")))*IF(M158, M158, 1))/16, 1), "#,##0.0"), " tiles{}")</f>
        <v>{BLACK}Length: {GOLD}0.7 tiles{}</v>
      </c>
      <c r="CE158" t="str">
        <f>VLOOKUP($CC158, Constants!$M:$N, 2, FALSE)</f>
        <v>{BLACK}Powered by: {GOLD}Steam</v>
      </c>
      <c r="CF158" t="str">
        <f t="shared" si="260"/>
        <v/>
      </c>
      <c r="CG158" t="s">
        <v>1177</v>
      </c>
      <c r="CH158" t="str">
        <f t="shared" si="259"/>
        <v/>
      </c>
      <c r="CI158" t="str">
        <f t="shared" si="262"/>
        <v/>
      </c>
      <c r="CJ158" t="str">
        <f t="shared" si="263"/>
        <v>{BLACK}Powered by: {GOLD}Steam {}{BLACK}Length: {GOLD}0.7 tiles{}{SILVER}The Caledonian 72 class was a 4-4-0 express locomotive, later inherited by the LMS after grouping.</v>
      </c>
    </row>
    <row r="159" spans="1:88" x14ac:dyDescent="0.35">
      <c r="A159" t="s">
        <v>12</v>
      </c>
      <c r="B159" t="s">
        <v>157</v>
      </c>
      <c r="C159">
        <v>220</v>
      </c>
      <c r="E159">
        <v>45</v>
      </c>
      <c r="F159" t="s">
        <v>1498</v>
      </c>
      <c r="G159" t="s">
        <v>258</v>
      </c>
      <c r="H159" t="s">
        <v>267</v>
      </c>
      <c r="I159" t="s">
        <v>270</v>
      </c>
      <c r="J159">
        <v>1924</v>
      </c>
      <c r="K159">
        <v>1928</v>
      </c>
      <c r="L159">
        <v>1965</v>
      </c>
      <c r="N159">
        <v>900</v>
      </c>
      <c r="W159">
        <v>62</v>
      </c>
      <c r="Z159">
        <v>115</v>
      </c>
      <c r="AA159" s="3">
        <f t="shared" si="268"/>
        <v>0.18548387096774194</v>
      </c>
      <c r="AB159">
        <v>50</v>
      </c>
      <c r="AC159">
        <f t="shared" si="244"/>
        <v>80</v>
      </c>
      <c r="AF159">
        <v>11.43</v>
      </c>
      <c r="AG159">
        <v>11.43</v>
      </c>
      <c r="AJ159" s="10">
        <v>0</v>
      </c>
      <c r="AK159" t="str">
        <f>CONCATENATE(VLOOKUP(AL159, 'Voxel Sizes'!$A$2:$B$18,2,FALSE),"x",INT(AH159*15), "x", INT(AI159*15))</f>
        <v>120x0x0</v>
      </c>
      <c r="AL159">
        <f t="shared" si="269"/>
        <v>7</v>
      </c>
      <c r="AN159" t="str">
        <f>CONCATENATE(VLOOKUP(AL159,Constants!$A$2:$C$16,IF(AM159&lt;&gt;"", 3, 2), FALSE),IF(AM159&lt;&gt;"",CONCATENATE(",",VLOOKUP(AM159,$B:$AN,39,FALSE)),""))</f>
        <v>2,3,2</v>
      </c>
      <c r="AV159">
        <v>1</v>
      </c>
      <c r="AX159">
        <v>33</v>
      </c>
      <c r="AY159" s="15">
        <f t="shared" si="270"/>
        <v>49</v>
      </c>
      <c r="BB159">
        <f t="shared" si="271"/>
        <v>10</v>
      </c>
      <c r="BC159">
        <f t="shared" si="272"/>
        <v>4.5</v>
      </c>
      <c r="BD159">
        <f t="shared" si="273"/>
        <v>5.75</v>
      </c>
      <c r="BE159" s="3">
        <f t="shared" si="274"/>
        <v>0.96799999999999997</v>
      </c>
      <c r="BF159">
        <f t="shared" si="275"/>
        <v>0</v>
      </c>
      <c r="BG159">
        <f>VLOOKUP($H159,Constants!$I:$K, 2, FALSE)</f>
        <v>1.1499999999999999</v>
      </c>
      <c r="BH159">
        <f>VLOOKUP($H159,Constants!$I:$K, 3, FALSE)*IF(AND(G159="multiple_unit",AB159&lt;110),0.75,1)</f>
        <v>1.7</v>
      </c>
      <c r="BI159">
        <f>INT(POWER(((Constants!$G$2+$BB159+$BC159+$BD159+$BF159)*$BE159)*$BH159, 1.05))+$BA159</f>
        <v>50</v>
      </c>
      <c r="BJ159">
        <f>INT(POWER((((Constants!$G$1+$BB159+$BC159+$BD159+$BF159)*($BE159))*$BG159),IF($G159="wagon",1,1.2)))+$AZ159</f>
        <v>81</v>
      </c>
      <c r="BK159" s="14">
        <f t="shared" si="276"/>
        <v>39062.5</v>
      </c>
      <c r="BL159" s="14">
        <f t="shared" si="277"/>
        <v>6581.25</v>
      </c>
      <c r="BU159">
        <v>12</v>
      </c>
      <c r="BZ159" t="str">
        <f>VLOOKUP(J159,Eras!$A$2:$C$10, 2, TRUE)</f>
        <v>big4</v>
      </c>
      <c r="CA159" t="s">
        <v>322</v>
      </c>
      <c r="CB159" t="str">
        <f t="shared" si="278"/>
        <v>big4_Mixed Traffic</v>
      </c>
      <c r="CC159" t="str">
        <f t="shared" si="261"/>
        <v>steam_RAIL</v>
      </c>
      <c r="CD159" s="17" t="str" cm="1">
        <f t="array" ref="CD159">_xlfn.CONCAT("{BLACK}Length: {GOLD}", TEXT(ROUNDUP(IF(AQ159&lt;&gt;"",SUM(VALUE(_xlfn.TEXTSPLIT(AQ159, ","))), SUM(VALUE(_xlfn.TEXTSPLIT(AN159, ",")))*IF(M159, M159, 1))/16, 1), "#,##0.0"), " tiles{}")</f>
        <v>{BLACK}Length: {GOLD}0.5 tiles{}</v>
      </c>
      <c r="CE159" t="str">
        <f>VLOOKUP($CC159, Constants!$M:$N, 2, FALSE)</f>
        <v>{BLACK}Powered by: {GOLD}Steam</v>
      </c>
      <c r="CF159" t="str">
        <f t="shared" si="260"/>
        <v/>
      </c>
      <c r="CG159" t="s">
        <v>347</v>
      </c>
      <c r="CH159" t="str">
        <f t="shared" si="259"/>
        <v/>
      </c>
      <c r="CI159" t="str">
        <f t="shared" si="262"/>
        <v/>
      </c>
      <c r="CJ159" t="str">
        <f t="shared" si="263"/>
        <v>{BLACK}Powered by: {GOLD}Steam {}{BLACK}Length: {GOLD}0.5 tiles{}{SILVER}The 5600 Class is a large tank engine that offers more power and tractive effort than smaller 0-6-0 tank engines, at the expense of greater weight and higher running costs.</v>
      </c>
    </row>
    <row r="160" spans="1:88" x14ac:dyDescent="0.35">
      <c r="A160" t="s">
        <v>1166</v>
      </c>
      <c r="B160" t="s">
        <v>1167</v>
      </c>
      <c r="C160">
        <v>221</v>
      </c>
      <c r="E160">
        <v>46</v>
      </c>
      <c r="F160" t="s">
        <v>1498</v>
      </c>
      <c r="G160" t="s">
        <v>258</v>
      </c>
      <c r="H160" t="s">
        <v>267</v>
      </c>
      <c r="I160" t="s">
        <v>270</v>
      </c>
      <c r="J160">
        <v>1923</v>
      </c>
      <c r="L160">
        <v>1951</v>
      </c>
      <c r="N160">
        <v>1000</v>
      </c>
      <c r="P160" s="5">
        <v>20</v>
      </c>
      <c r="Q160" s="5">
        <v>26</v>
      </c>
      <c r="R160" s="5">
        <v>2</v>
      </c>
      <c r="S160" s="5">
        <v>185</v>
      </c>
      <c r="T160" s="6">
        <f t="shared" ref="T160:T166" si="279">((($AB160/2)/60)*5280)/($U160*3.2*PI())</f>
        <v>144.81929564427978</v>
      </c>
      <c r="U160" s="5">
        <v>1.36</v>
      </c>
      <c r="V160" s="5">
        <f t="shared" ref="V160:V166" si="280">((($P160*$P160/4)*PI())*($Q160/12)*$R160*$S160*$T160)/(33000*1.1)</f>
        <v>1004.7627005347595</v>
      </c>
      <c r="W160">
        <v>61</v>
      </c>
      <c r="Z160">
        <v>133</v>
      </c>
      <c r="AA160" s="3">
        <f t="shared" si="268"/>
        <v>0.21803278688524591</v>
      </c>
      <c r="AB160">
        <v>45</v>
      </c>
      <c r="AC160">
        <f t="shared" si="244"/>
        <v>72</v>
      </c>
      <c r="AG160">
        <v>14</v>
      </c>
      <c r="AJ160" s="10">
        <v>0</v>
      </c>
      <c r="AK160" t="str">
        <f>CONCATENATE(VLOOKUP(AL160, 'Voxel Sizes'!$A$2:$B$18,2,FALSE),"x",INT(AH160*15), "x", INT(AI160*15))</f>
        <v>136x0x0</v>
      </c>
      <c r="AL160">
        <f t="shared" si="269"/>
        <v>8</v>
      </c>
      <c r="AN160" t="str">
        <f>CONCATENATE(VLOOKUP(AL160,Constants!$A$2:$C$16,IF(AM160&lt;&gt;"", 3, 2), FALSE),IF(AM160&lt;&gt;"",CONCATENATE(",",VLOOKUP(AM160,$B:$AN,39,FALSE)),""))</f>
        <v>2,4,2</v>
      </c>
      <c r="AV160">
        <v>1</v>
      </c>
      <c r="AX160">
        <v>30</v>
      </c>
      <c r="AY160" s="15">
        <f t="shared" si="270"/>
        <v>36</v>
      </c>
      <c r="BB160">
        <f t="shared" si="271"/>
        <v>9</v>
      </c>
      <c r="BC160">
        <f t="shared" si="272"/>
        <v>5</v>
      </c>
      <c r="BD160">
        <f t="shared" si="273"/>
        <v>6.65</v>
      </c>
      <c r="BE160" s="3">
        <f t="shared" si="274"/>
        <v>0.96933333333333338</v>
      </c>
      <c r="BF160">
        <f t="shared" si="275"/>
        <v>0</v>
      </c>
      <c r="BG160">
        <f>VLOOKUP($H160,Constants!$I:$K, 2, FALSE)</f>
        <v>1.1499999999999999</v>
      </c>
      <c r="BH160">
        <f>VLOOKUP($H160,Constants!$I:$K, 3, FALSE)*IF(AND(G160="multiple_unit",AB160&lt;110),0.75,1)</f>
        <v>1.7</v>
      </c>
      <c r="BI160">
        <f>INT(POWER(((Constants!$G$2+$BB160+$BC160+$BD160+$BF160)*$BE160)*$BH160, 1.05))+$BA160</f>
        <v>50</v>
      </c>
      <c r="BJ160">
        <f>INT(POWER((((Constants!$G$1+$BB160+$BC160+$BD160+$BF160)*($BE160))*$BG160),IF($G160="wagon",1,1.2)))+$AZ160</f>
        <v>82</v>
      </c>
      <c r="BK160" s="14">
        <f t="shared" si="276"/>
        <v>39062.5</v>
      </c>
      <c r="BL160" s="14">
        <f t="shared" si="277"/>
        <v>6662.5</v>
      </c>
      <c r="BU160">
        <v>5</v>
      </c>
      <c r="BZ160" t="str">
        <f>VLOOKUP(J160,Eras!$A$2:$C$10, 2, TRUE)</f>
        <v>big4</v>
      </c>
      <c r="CA160" t="s">
        <v>324</v>
      </c>
      <c r="CB160" t="str">
        <f t="shared" si="278"/>
        <v>big4_Freight</v>
      </c>
      <c r="CC160" t="str">
        <f t="shared" si="261"/>
        <v>steam_RAIL</v>
      </c>
      <c r="CD160" s="17" t="str" cm="1">
        <f t="array" ref="CD160">_xlfn.CONCAT("{BLACK}Length: {GOLD}", TEXT(ROUNDUP(IF(AQ160&lt;&gt;"",SUM(VALUE(_xlfn.TEXTSPLIT(AQ160, ","))), SUM(VALUE(_xlfn.TEXTSPLIT(AN160, ",")))*IF(M160, M160, 1))/16, 1), "#,##0.0"), " tiles{}")</f>
        <v>{BLACK}Length: {GOLD}0.5 tiles{}</v>
      </c>
      <c r="CE160" t="str">
        <f>VLOOKUP($CC160, Constants!$M:$N, 2, FALSE)</f>
        <v>{BLACK}Powered by: {GOLD}Steam</v>
      </c>
      <c r="CF160" t="str">
        <f t="shared" si="260"/>
        <v/>
      </c>
      <c r="CG160" t="s">
        <v>1178</v>
      </c>
      <c r="CH160" t="str">
        <f t="shared" si="259"/>
        <v/>
      </c>
      <c r="CI160" t="str">
        <f t="shared" si="262"/>
        <v/>
      </c>
      <c r="CJ160" t="str">
        <f t="shared" si="263"/>
        <v>{BLACK}Powered by: {GOLD}Steam {}{BLACK}Length: {GOLD}0.5 tiles{}{SILVER}The LNWR 380 class is a large tank locomotive with an 0-8-4T chassis. It was derived from the LNWR's 0-8-0 tender engines and similar 0-8-2T tanks.</v>
      </c>
    </row>
    <row r="161" spans="1:88" x14ac:dyDescent="0.35">
      <c r="A161" t="s">
        <v>21</v>
      </c>
      <c r="B161" t="s">
        <v>290</v>
      </c>
      <c r="C161">
        <v>222</v>
      </c>
      <c r="E161">
        <v>47</v>
      </c>
      <c r="F161" t="s">
        <v>1498</v>
      </c>
      <c r="G161" t="s">
        <v>258</v>
      </c>
      <c r="H161" t="s">
        <v>267</v>
      </c>
      <c r="I161" t="s">
        <v>270</v>
      </c>
      <c r="J161">
        <v>1926</v>
      </c>
      <c r="K161">
        <v>1932</v>
      </c>
      <c r="L161">
        <v>1967</v>
      </c>
      <c r="N161">
        <v>1400</v>
      </c>
      <c r="P161" s="5">
        <v>21</v>
      </c>
      <c r="Q161" s="5">
        <v>26</v>
      </c>
      <c r="R161" s="5">
        <v>2</v>
      </c>
      <c r="S161" s="5">
        <v>180</v>
      </c>
      <c r="T161" s="6">
        <f t="shared" si="279"/>
        <v>191.48329090743655</v>
      </c>
      <c r="U161" s="5">
        <v>1.6</v>
      </c>
      <c r="V161" s="5">
        <f t="shared" si="280"/>
        <v>1425.1065340909088</v>
      </c>
      <c r="W161">
        <v>67</v>
      </c>
      <c r="X161" s="8">
        <v>46</v>
      </c>
      <c r="Z161">
        <v>118</v>
      </c>
      <c r="AA161" s="3">
        <f t="shared" si="268"/>
        <v>0.10442477876106195</v>
      </c>
      <c r="AB161">
        <v>70</v>
      </c>
      <c r="AC161">
        <f t="shared" si="244"/>
        <v>112</v>
      </c>
      <c r="AF161">
        <v>10.44</v>
      </c>
      <c r="AG161">
        <v>10.44</v>
      </c>
      <c r="AJ161" s="10">
        <v>0</v>
      </c>
      <c r="AK161" t="str">
        <f>CONCATENATE(VLOOKUP(AL161, 'Voxel Sizes'!$A$2:$B$18,2,FALSE),"x",INT(AH161*15), "x", INT(AI161*15))</f>
        <v>102x0x0</v>
      </c>
      <c r="AL161">
        <f t="shared" si="269"/>
        <v>6</v>
      </c>
      <c r="AM161" t="s">
        <v>284</v>
      </c>
      <c r="AN161" t="str">
        <f>CONCATENATE(VLOOKUP(AL161,Constants!$A$2:$C$16,IF(AM161&lt;&gt;"", 3, 2), FALSE),IF(AM161&lt;&gt;"",CONCATENATE(",",VLOOKUP(AM161,$B:$AN,39,FALSE)),""))</f>
        <v>2,2,2,2,1,2</v>
      </c>
      <c r="AV161">
        <v>1</v>
      </c>
      <c r="AX161">
        <v>28</v>
      </c>
      <c r="AY161" s="15">
        <f t="shared" si="270"/>
        <v>49</v>
      </c>
      <c r="BB161">
        <f t="shared" si="271"/>
        <v>14</v>
      </c>
      <c r="BC161">
        <f t="shared" si="272"/>
        <v>7</v>
      </c>
      <c r="BD161">
        <f t="shared" si="273"/>
        <v>5.8999999999999995</v>
      </c>
      <c r="BE161" s="3">
        <f t="shared" si="274"/>
        <v>0.96533333333333338</v>
      </c>
      <c r="BF161">
        <f t="shared" si="275"/>
        <v>0</v>
      </c>
      <c r="BG161">
        <f>VLOOKUP($H161,Constants!$I:$K, 2, FALSE)</f>
        <v>1.1499999999999999</v>
      </c>
      <c r="BH161">
        <f>VLOOKUP($H161,Constants!$I:$K, 3, FALSE)*IF(AND(G161="multiple_unit",AB161&lt;110),0.75,1)</f>
        <v>1.7</v>
      </c>
      <c r="BI161">
        <f>INT(POWER(((Constants!$G$2+$BB161+$BC161+$BD161+$BF161)*$BE161)*$BH161, 1.05))+$BA161</f>
        <v>63</v>
      </c>
      <c r="BJ161">
        <f>INT(POWER((((Constants!$G$1+$BB161+$BC161+$BD161+$BF161)*($BE161))*$BG161),IF($G161="wagon",1,1.2)))+$AZ161</f>
        <v>100</v>
      </c>
      <c r="BK161" s="14">
        <f t="shared" si="276"/>
        <v>49218.75</v>
      </c>
      <c r="BL161" s="14">
        <f t="shared" si="277"/>
        <v>8125</v>
      </c>
      <c r="BU161">
        <v>1</v>
      </c>
      <c r="BZ161" t="str">
        <f>VLOOKUP(J161,Eras!$A$2:$C$10, 2, TRUE)</f>
        <v>big4</v>
      </c>
      <c r="CA161" t="s">
        <v>323</v>
      </c>
      <c r="CB161" t="str">
        <f t="shared" si="278"/>
        <v>big4_Express</v>
      </c>
      <c r="CC161" t="str">
        <f t="shared" si="261"/>
        <v>steam_RAIL</v>
      </c>
      <c r="CD161" s="17" t="str" cm="1">
        <f t="array" ref="CD161">_xlfn.CONCAT("{BLACK}Length: {GOLD}", TEXT(ROUNDUP(IF(AQ161&lt;&gt;"",SUM(VALUE(_xlfn.TEXTSPLIT(AQ161, ","))), SUM(VALUE(_xlfn.TEXTSPLIT(AN161, ",")))*IF(M161, M161, 1))/16, 1), "#,##0.0"), " tiles{}")</f>
        <v>{BLACK}Length: {GOLD}0.7 tiles{}</v>
      </c>
      <c r="CE161" t="str">
        <f>VLOOKUP($CC161, Constants!$M:$N, 2, FALSE)</f>
        <v>{BLACK}Powered by: {GOLD}Steam</v>
      </c>
      <c r="CF161" t="str">
        <f t="shared" si="260"/>
        <v/>
      </c>
      <c r="CG161" t="s">
        <v>348</v>
      </c>
      <c r="CH161" t="str">
        <f t="shared" si="259"/>
        <v/>
      </c>
      <c r="CI161" t="str">
        <f t="shared" si="262"/>
        <v/>
      </c>
      <c r="CJ161" t="str">
        <f t="shared" si="263"/>
        <v>{BLACK}Powered by: {GOLD}Steam {}{BLACK}Length: {GOLD}0.7 tiles{}{SILVER}The Hughes Crab was named for its distinctive "scuttling" motion, caused by the inclined cylinders.</v>
      </c>
    </row>
    <row r="162" spans="1:88" x14ac:dyDescent="0.35">
      <c r="A162" t="s">
        <v>123</v>
      </c>
      <c r="B162" t="s">
        <v>418</v>
      </c>
      <c r="C162">
        <v>224</v>
      </c>
      <c r="E162">
        <v>48</v>
      </c>
      <c r="F162" t="s">
        <v>1498</v>
      </c>
      <c r="G162" t="s">
        <v>258</v>
      </c>
      <c r="H162" t="s">
        <v>267</v>
      </c>
      <c r="I162" t="s">
        <v>270</v>
      </c>
      <c r="J162">
        <v>1927</v>
      </c>
      <c r="L162">
        <v>1961</v>
      </c>
      <c r="N162">
        <v>1200</v>
      </c>
      <c r="P162" s="5">
        <v>17</v>
      </c>
      <c r="Q162" s="5">
        <v>26</v>
      </c>
      <c r="R162" s="5">
        <v>3</v>
      </c>
      <c r="S162" s="5">
        <v>180</v>
      </c>
      <c r="T162" s="6">
        <f t="shared" si="279"/>
        <v>164.12853506351706</v>
      </c>
      <c r="U162" s="5">
        <v>2</v>
      </c>
      <c r="V162" s="5">
        <f t="shared" si="280"/>
        <v>1200.7457386363637</v>
      </c>
      <c r="W162">
        <v>66</v>
      </c>
      <c r="X162" s="8">
        <v>53</v>
      </c>
      <c r="Z162">
        <v>96</v>
      </c>
      <c r="AA162" s="3">
        <f t="shared" si="268"/>
        <v>8.067226890756303E-2</v>
      </c>
      <c r="AB162">
        <v>75</v>
      </c>
      <c r="AC162">
        <f t="shared" si="244"/>
        <v>120</v>
      </c>
      <c r="AF162">
        <v>17.899999999999999</v>
      </c>
      <c r="AG162">
        <f>AF162-7.5</f>
        <v>10.399999999999999</v>
      </c>
      <c r="AJ162" s="10">
        <v>0</v>
      </c>
      <c r="AK162" t="str">
        <f>CONCATENATE(VLOOKUP(AL162, 'Voxel Sizes'!$A$2:$B$18,2,FALSE),"x",INT(AH162*15), "x", INT(AI162*15))</f>
        <v>102x0x0</v>
      </c>
      <c r="AL162">
        <f t="shared" si="269"/>
        <v>6</v>
      </c>
      <c r="AM162" t="s">
        <v>384</v>
      </c>
      <c r="AN162" t="str">
        <f>CONCATENATE(VLOOKUP(AL162,Constants!$A$2:$C$16,IF(AM162&lt;&gt;"", 3, 2), FALSE),IF(AM162&lt;&gt;"",CONCATENATE(",",VLOOKUP(AM162,$B:$AN,39,FALSE)),""))</f>
        <v>2,2,2,2,1,2</v>
      </c>
      <c r="AV162">
        <v>1</v>
      </c>
      <c r="AX162">
        <v>30</v>
      </c>
      <c r="AY162" s="15">
        <f t="shared" si="270"/>
        <v>42</v>
      </c>
      <c r="BB162">
        <f t="shared" si="271"/>
        <v>15</v>
      </c>
      <c r="BC162">
        <f t="shared" si="272"/>
        <v>6</v>
      </c>
      <c r="BD162">
        <f t="shared" si="273"/>
        <v>4.8</v>
      </c>
      <c r="BE162" s="3">
        <f t="shared" si="274"/>
        <v>0.96399999999999997</v>
      </c>
      <c r="BF162">
        <f t="shared" si="275"/>
        <v>0</v>
      </c>
      <c r="BG162">
        <f>VLOOKUP($H162,Constants!$I:$K, 2, FALSE)</f>
        <v>1.1499999999999999</v>
      </c>
      <c r="BH162">
        <f>VLOOKUP($H162,Constants!$I:$K, 3, FALSE)*IF(AND(G162="multiple_unit",AB162&lt;110),0.75,1)</f>
        <v>1.7</v>
      </c>
      <c r="BI162">
        <f>INT(POWER(((Constants!$G$2+$BB162+$BC162+$BD162+$BF162)*$BE162)*$BH162, 1.05))+$BA162</f>
        <v>61</v>
      </c>
      <c r="BJ162">
        <f>INT(POWER((((Constants!$G$1+$BB162+$BC162+$BD162+$BF162)*($BE162))*$BG162),IF($G162="wagon",1,1.2)))+$AZ162</f>
        <v>96</v>
      </c>
      <c r="BK162" s="14">
        <f t="shared" si="276"/>
        <v>47656.25</v>
      </c>
      <c r="BL162" s="14">
        <f t="shared" si="277"/>
        <v>7800</v>
      </c>
      <c r="BU162">
        <v>2</v>
      </c>
      <c r="BZ162" t="str">
        <f>VLOOKUP(J162,Eras!$A$2:$C$10, 2, TRUE)</f>
        <v>big4</v>
      </c>
      <c r="CA162" t="s">
        <v>371</v>
      </c>
      <c r="CB162" t="str">
        <f t="shared" si="278"/>
        <v>big4_Passenger</v>
      </c>
      <c r="CC162" t="str">
        <f t="shared" si="261"/>
        <v>steam_RAIL</v>
      </c>
      <c r="CD162" s="17" t="str" cm="1">
        <f t="array" ref="CD162">_xlfn.CONCAT("{BLACK}Length: {GOLD}", TEXT(ROUNDUP(IF(AQ162&lt;&gt;"",SUM(VALUE(_xlfn.TEXTSPLIT(AQ162, ","))), SUM(VALUE(_xlfn.TEXTSPLIT(AN162, ",")))*IF(M162, M162, 1))/16, 1), "#,##0.0"), " tiles{}")</f>
        <v>{BLACK}Length: {GOLD}0.7 tiles{}</v>
      </c>
      <c r="CE162" t="str">
        <f>VLOOKUP($CC162, Constants!$M:$N, 2, FALSE)</f>
        <v>{BLACK}Powered by: {GOLD}Steam</v>
      </c>
      <c r="CF162" t="str">
        <f t="shared" si="260"/>
        <v/>
      </c>
      <c r="CG162" t="s">
        <v>417</v>
      </c>
      <c r="CH162" t="str">
        <f t="shared" si="259"/>
        <v/>
      </c>
      <c r="CI162" t="str">
        <f t="shared" si="262"/>
        <v/>
      </c>
      <c r="CJ162" t="str">
        <f t="shared" si="263"/>
        <v>{BLACK}Powered by: {GOLD}Steam {}{BLACK}Length: {GOLD}0.7 tiles{}{SILVER}The D49 is a Nigel Gresley designed 4-4-0 locomotive for passenger traffic.</v>
      </c>
    </row>
    <row r="163" spans="1:88" x14ac:dyDescent="0.35">
      <c r="A163" t="s">
        <v>420</v>
      </c>
      <c r="B163" t="s">
        <v>419</v>
      </c>
      <c r="C163">
        <v>226</v>
      </c>
      <c r="E163">
        <v>49</v>
      </c>
      <c r="F163" t="s">
        <v>1498</v>
      </c>
      <c r="G163" t="s">
        <v>258</v>
      </c>
      <c r="H163" t="s">
        <v>267</v>
      </c>
      <c r="I163" t="s">
        <v>270</v>
      </c>
      <c r="J163">
        <v>1927</v>
      </c>
      <c r="K163">
        <v>1936</v>
      </c>
      <c r="L163">
        <v>1962</v>
      </c>
      <c r="N163">
        <v>2300</v>
      </c>
      <c r="P163" s="5">
        <v>16.25</v>
      </c>
      <c r="Q163" s="5">
        <v>28</v>
      </c>
      <c r="R163" s="5">
        <v>4</v>
      </c>
      <c r="S163" s="5">
        <v>250</v>
      </c>
      <c r="T163" s="6">
        <f t="shared" si="279"/>
        <v>232.10095867568069</v>
      </c>
      <c r="U163" s="5">
        <v>1.98</v>
      </c>
      <c r="V163" s="5">
        <f t="shared" si="280"/>
        <v>3094.166690580043</v>
      </c>
      <c r="W163">
        <v>90.4</v>
      </c>
      <c r="X163" s="8">
        <v>47</v>
      </c>
      <c r="Z163">
        <v>179</v>
      </c>
      <c r="AA163" s="3">
        <f t="shared" si="268"/>
        <v>0.13027656477438138</v>
      </c>
      <c r="AB163">
        <v>105</v>
      </c>
      <c r="AC163">
        <f t="shared" si="244"/>
        <v>168</v>
      </c>
      <c r="AF163">
        <v>20.78</v>
      </c>
      <c r="AG163">
        <f>AF163-7.5</f>
        <v>13.280000000000001</v>
      </c>
      <c r="AI163">
        <v>4.08</v>
      </c>
      <c r="AJ163" s="10">
        <v>0</v>
      </c>
      <c r="AK163" t="str">
        <f>CONCATENATE(VLOOKUP(AL163, 'Voxel Sizes'!$A$2:$B$18,2,FALSE),"x",INT(AH163*15), "x", INT(AI163*15))</f>
        <v>136x0x61</v>
      </c>
      <c r="AL163">
        <f t="shared" si="269"/>
        <v>8</v>
      </c>
      <c r="AM163" t="s">
        <v>415</v>
      </c>
      <c r="AN163" t="str">
        <f>CONCATENATE(VLOOKUP(AL163,Constants!$A$2:$C$16,IF(AM163&lt;&gt;"", 3, 2), FALSE),IF(AM163&lt;&gt;"",CONCATENATE(",",VLOOKUP(AM163,$B:$AN,39,FALSE)),""))</f>
        <v>2,4,2,2,1,2</v>
      </c>
      <c r="AV163">
        <v>1</v>
      </c>
      <c r="AX163">
        <v>30</v>
      </c>
      <c r="AY163" s="15">
        <f t="shared" si="270"/>
        <v>43</v>
      </c>
      <c r="BB163">
        <f t="shared" si="271"/>
        <v>21</v>
      </c>
      <c r="BC163">
        <f t="shared" si="272"/>
        <v>11.5</v>
      </c>
      <c r="BD163">
        <f t="shared" si="273"/>
        <v>8.9499999999999993</v>
      </c>
      <c r="BE163" s="3">
        <f t="shared" si="274"/>
        <v>0.96399999999999997</v>
      </c>
      <c r="BF163">
        <f t="shared" si="275"/>
        <v>0</v>
      </c>
      <c r="BG163">
        <f>VLOOKUP($H163,Constants!$I:$K, 2, FALSE)</f>
        <v>1.1499999999999999</v>
      </c>
      <c r="BH163">
        <f>VLOOKUP($H163,Constants!$I:$K, 3, FALSE)*IF(AND(G163="multiple_unit",AB163&lt;110),0.75,1)</f>
        <v>1.7</v>
      </c>
      <c r="BI163">
        <f>INT(POWER(((Constants!$G$2+$BB163+$BC163+$BD163+$BF163)*$BE163)*$BH163, 1.05))+$BA163</f>
        <v>94</v>
      </c>
      <c r="BJ163">
        <f>INT(POWER((((Constants!$G$1+$BB163+$BC163+$BD163+$BF163)*($BE163))*$BG163),IF($G163="wagon",1,1.2)))+$AZ163</f>
        <v>143</v>
      </c>
      <c r="BK163" s="14">
        <f t="shared" si="276"/>
        <v>73437.5</v>
      </c>
      <c r="BL163" s="14">
        <f t="shared" si="277"/>
        <v>11618.75</v>
      </c>
      <c r="BU163">
        <v>3</v>
      </c>
      <c r="BZ163" t="str">
        <f>VLOOKUP(J163,Eras!$A$2:$C$10, 2, TRUE)</f>
        <v>big4</v>
      </c>
      <c r="CA163" t="s">
        <v>323</v>
      </c>
      <c r="CB163" t="str">
        <f t="shared" si="278"/>
        <v>big4_Express</v>
      </c>
      <c r="CC163" t="str">
        <f t="shared" si="261"/>
        <v>steam_RAIL</v>
      </c>
      <c r="CD163" s="17" t="str" cm="1">
        <f t="array" ref="CD163">_xlfn.CONCAT("{BLACK}Length: {GOLD}", TEXT(ROUNDUP(IF(AQ163&lt;&gt;"",SUM(VALUE(_xlfn.TEXTSPLIT(AQ163, ","))), SUM(VALUE(_xlfn.TEXTSPLIT(AN163, ",")))*IF(M163, M163, 1))/16, 1), "#,##0.0"), " tiles{}")</f>
        <v>{BLACK}Length: {GOLD}0.9 tiles{}</v>
      </c>
      <c r="CE163" t="str">
        <f>VLOOKUP($CC163, Constants!$M:$N, 2, FALSE)</f>
        <v>{BLACK}Powered by: {GOLD}Steam</v>
      </c>
      <c r="CF163" t="str">
        <f t="shared" si="260"/>
        <v/>
      </c>
      <c r="CG163" t="s">
        <v>421</v>
      </c>
      <c r="CH163" t="str">
        <f t="shared" si="259"/>
        <v/>
      </c>
      <c r="CI163" t="str">
        <f t="shared" si="262"/>
        <v/>
      </c>
      <c r="CJ163" t="str">
        <f t="shared" si="263"/>
        <v>{BLACK}Powered by: {GOLD}Steam {}{BLACK}Length: {GOLD}0.9 tiles{}{SILVER}The King Class is a larger and more powerful development of the Castle Class, designed for even higher sustained speeds.</v>
      </c>
    </row>
    <row r="164" spans="1:88" x14ac:dyDescent="0.35">
      <c r="A164" t="s">
        <v>24</v>
      </c>
      <c r="B164" t="s">
        <v>423</v>
      </c>
      <c r="C164">
        <v>228</v>
      </c>
      <c r="E164">
        <v>50</v>
      </c>
      <c r="F164" t="s">
        <v>1498</v>
      </c>
      <c r="G164" t="s">
        <v>258</v>
      </c>
      <c r="H164" t="s">
        <v>267</v>
      </c>
      <c r="I164" t="s">
        <v>270</v>
      </c>
      <c r="J164">
        <v>1927</v>
      </c>
      <c r="K164">
        <v>1934</v>
      </c>
      <c r="L164">
        <v>1966</v>
      </c>
      <c r="N164">
        <v>950</v>
      </c>
      <c r="P164" s="5">
        <v>19</v>
      </c>
      <c r="Q164" s="5">
        <v>26</v>
      </c>
      <c r="R164" s="5">
        <v>2</v>
      </c>
      <c r="S164" s="5">
        <v>200</v>
      </c>
      <c r="T164" s="6">
        <f t="shared" si="279"/>
        <v>205.96522047186451</v>
      </c>
      <c r="U164" s="5">
        <v>1.7</v>
      </c>
      <c r="V164" s="5">
        <f t="shared" si="280"/>
        <v>1394.2364824717758</v>
      </c>
      <c r="W164">
        <v>87.6</v>
      </c>
      <c r="Z164">
        <v>102</v>
      </c>
      <c r="AA164" s="3">
        <f t="shared" si="268"/>
        <v>0.11643835616438356</v>
      </c>
      <c r="AB164">
        <v>80</v>
      </c>
      <c r="AC164">
        <f t="shared" si="244"/>
        <v>128</v>
      </c>
      <c r="AF164">
        <v>14.4</v>
      </c>
      <c r="AG164">
        <v>14.4</v>
      </c>
      <c r="AJ164" s="10">
        <v>0</v>
      </c>
      <c r="AK164" t="str">
        <f>CONCATENATE(VLOOKUP(AL164, 'Voxel Sizes'!$A$2:$B$18,2,FALSE),"x",INT(AH164*15), "x", INT(AI164*15))</f>
        <v>136x0x0</v>
      </c>
      <c r="AL164">
        <f t="shared" si="269"/>
        <v>8</v>
      </c>
      <c r="AN164" t="str">
        <f>CONCATENATE(VLOOKUP(AL164,Constants!$A$2:$C$16,IF(AM164&lt;&gt;"", 3, 2), FALSE),IF(AM164&lt;&gt;"",CONCATENATE(",",VLOOKUP(AM164,$B:$AN,39,FALSE)),""))</f>
        <v>2,4,2</v>
      </c>
      <c r="AV164">
        <v>1</v>
      </c>
      <c r="AX164">
        <v>30</v>
      </c>
      <c r="AY164" s="15">
        <f t="shared" si="270"/>
        <v>47</v>
      </c>
      <c r="BB164">
        <f t="shared" si="271"/>
        <v>16</v>
      </c>
      <c r="BC164">
        <f t="shared" si="272"/>
        <v>4.75</v>
      </c>
      <c r="BD164">
        <f t="shared" si="273"/>
        <v>5.0999999999999996</v>
      </c>
      <c r="BE164" s="3">
        <f t="shared" si="274"/>
        <v>0.96399999999999997</v>
      </c>
      <c r="BF164">
        <f t="shared" si="275"/>
        <v>0</v>
      </c>
      <c r="BG164">
        <f>VLOOKUP($H164,Constants!$I:$K, 2, FALSE)</f>
        <v>1.1499999999999999</v>
      </c>
      <c r="BH164">
        <f>VLOOKUP($H164,Constants!$I:$K, 3, FALSE)*IF(AND(G164="multiple_unit",AB164&lt;110),0.75,1)</f>
        <v>1.7</v>
      </c>
      <c r="BI164">
        <f>INT(POWER(((Constants!$G$2+$BB164+$BC164+$BD164+$BF164)*$BE164)*$BH164, 1.05))+$BA164</f>
        <v>61</v>
      </c>
      <c r="BJ164">
        <f>INT(POWER((((Constants!$G$1+$BB164+$BC164+$BD164+$BF164)*($BE164))*$BG164),IF($G164="wagon",1,1.2)))+$AZ164</f>
        <v>97</v>
      </c>
      <c r="BK164" s="14">
        <f t="shared" si="276"/>
        <v>47656.25</v>
      </c>
      <c r="BL164" s="14">
        <f t="shared" si="277"/>
        <v>7881.25</v>
      </c>
      <c r="BU164">
        <v>4</v>
      </c>
      <c r="BZ164" t="str">
        <f>VLOOKUP(J164,Eras!$A$2:$C$10, 2, TRUE)</f>
        <v>big4</v>
      </c>
      <c r="CA164" t="s">
        <v>322</v>
      </c>
      <c r="CB164" t="str">
        <f t="shared" si="278"/>
        <v>big4_Mixed Traffic</v>
      </c>
      <c r="CC164" t="str">
        <f t="shared" si="261"/>
        <v>steam_RAIL</v>
      </c>
      <c r="CD164" s="17" t="str" cm="1">
        <f t="array" ref="CD164">_xlfn.CONCAT("{BLACK}Length: {GOLD}", TEXT(ROUNDUP(IF(AQ164&lt;&gt;"",SUM(VALUE(_xlfn.TEXTSPLIT(AQ164, ","))), SUM(VALUE(_xlfn.TEXTSPLIT(AN164, ",")))*IF(M164, M164, 1))/16, 1), "#,##0.0"), " tiles{}")</f>
        <v>{BLACK}Length: {GOLD}0.5 tiles{}</v>
      </c>
      <c r="CE164" t="str">
        <f>VLOOKUP($CC164, Constants!$M:$N, 2, FALSE)</f>
        <v>{BLACK}Powered by: {GOLD}Steam</v>
      </c>
      <c r="CF164" t="str">
        <f t="shared" ref="CF164:CF195" si="281">IF(M164&gt;1,_xlfn.CONCAT("{BLACK}Cars: {GOLD}", M164),"")</f>
        <v/>
      </c>
      <c r="CG164" t="s">
        <v>422</v>
      </c>
      <c r="CH164" t="str">
        <f t="shared" si="259"/>
        <v/>
      </c>
      <c r="CI164" t="str">
        <f t="shared" si="262"/>
        <v/>
      </c>
      <c r="CJ164" t="str">
        <f t="shared" si="263"/>
        <v>{BLACK}Powered by: {GOLD}Steam {}{BLACK}Length: {GOLD}0.5 tiles{}{SILVER}Fowler's 2-6-4T achieved high speeds for a tank engine, and was typically used on longer distance services.</v>
      </c>
    </row>
    <row r="165" spans="1:88" x14ac:dyDescent="0.35">
      <c r="A165" t="s">
        <v>424</v>
      </c>
      <c r="B165" t="s">
        <v>426</v>
      </c>
      <c r="C165">
        <v>230</v>
      </c>
      <c r="E165">
        <v>51</v>
      </c>
      <c r="F165" t="s">
        <v>1498</v>
      </c>
      <c r="G165" t="s">
        <v>258</v>
      </c>
      <c r="H165" t="s">
        <v>267</v>
      </c>
      <c r="I165" t="s">
        <v>270</v>
      </c>
      <c r="J165">
        <v>1928</v>
      </c>
      <c r="K165">
        <v>1943</v>
      </c>
      <c r="L165">
        <v>1965</v>
      </c>
      <c r="N165">
        <v>1600</v>
      </c>
      <c r="P165" s="5">
        <v>18.5</v>
      </c>
      <c r="Q165" s="5">
        <v>30</v>
      </c>
      <c r="R165" s="5">
        <v>2</v>
      </c>
      <c r="S165" s="5">
        <v>225</v>
      </c>
      <c r="T165" s="6">
        <f t="shared" si="279"/>
        <v>194.52270822342763</v>
      </c>
      <c r="U165" s="5">
        <v>1.8</v>
      </c>
      <c r="V165" s="5">
        <f t="shared" si="280"/>
        <v>1620.501893939394</v>
      </c>
      <c r="W165">
        <v>76.2</v>
      </c>
      <c r="X165" s="8">
        <v>47</v>
      </c>
      <c r="Z165">
        <v>121</v>
      </c>
      <c r="AA165" s="3">
        <f t="shared" si="268"/>
        <v>9.8214285714285712E-2</v>
      </c>
      <c r="AB165">
        <v>80</v>
      </c>
      <c r="AC165">
        <f t="shared" si="244"/>
        <v>128</v>
      </c>
      <c r="AF165">
        <v>19.2</v>
      </c>
      <c r="AG165">
        <f>AF165-7.5</f>
        <v>11.7</v>
      </c>
      <c r="AI165">
        <v>4.04</v>
      </c>
      <c r="AJ165" s="10">
        <v>0</v>
      </c>
      <c r="AK165" t="str">
        <f>CONCATENATE(VLOOKUP(AL165, 'Voxel Sizes'!$A$2:$B$18,2,FALSE),"x",INT(AH165*15), "x", INT(AI165*15))</f>
        <v>120x0x60</v>
      </c>
      <c r="AL165">
        <f t="shared" si="269"/>
        <v>7</v>
      </c>
      <c r="AM165" t="s">
        <v>415</v>
      </c>
      <c r="AN165" t="str">
        <f>CONCATENATE(VLOOKUP(AL165,Constants!$A$2:$C$16,IF(AM165&lt;&gt;"", 3, 2), FALSE),IF(AM165&lt;&gt;"",CONCATENATE(",",VLOOKUP(AM165,$B:$AN,39,FALSE)),""))</f>
        <v>2,3,2,2,1,2</v>
      </c>
      <c r="AV165">
        <v>1</v>
      </c>
      <c r="AX165">
        <v>30</v>
      </c>
      <c r="AY165" s="15">
        <f t="shared" si="270"/>
        <v>45</v>
      </c>
      <c r="BB165">
        <f t="shared" si="271"/>
        <v>16</v>
      </c>
      <c r="BC165">
        <f t="shared" si="272"/>
        <v>8</v>
      </c>
      <c r="BD165">
        <f t="shared" si="273"/>
        <v>6.05</v>
      </c>
      <c r="BE165" s="3">
        <f t="shared" si="274"/>
        <v>0.96266666666666667</v>
      </c>
      <c r="BF165">
        <f t="shared" si="275"/>
        <v>0</v>
      </c>
      <c r="BG165">
        <f>VLOOKUP($H165,Constants!$I:$K, 2, FALSE)</f>
        <v>1.1499999999999999</v>
      </c>
      <c r="BH165">
        <f>VLOOKUP($H165,Constants!$I:$K, 3, FALSE)*IF(AND(G165="multiple_unit",AB165&lt;110),0.75,1)</f>
        <v>1.7</v>
      </c>
      <c r="BI165">
        <f>INT(POWER(((Constants!$G$2+$BB165+$BC165+$BD165+$BF165)*$BE165)*$BH165, 1.05))+$BA165</f>
        <v>70</v>
      </c>
      <c r="BJ165">
        <f>INT(POWER((((Constants!$G$1+$BB165+$BC165+$BD165+$BF165)*($BE165))*$BG165),IF($G165="wagon",1,1.2)))+$AZ165</f>
        <v>109</v>
      </c>
      <c r="BK165" s="14">
        <f t="shared" si="276"/>
        <v>54687.5</v>
      </c>
      <c r="BL165" s="14">
        <f t="shared" si="277"/>
        <v>8856.25</v>
      </c>
      <c r="BU165">
        <v>5</v>
      </c>
      <c r="BZ165" t="str">
        <f>VLOOKUP(J165,Eras!$A$2:$C$10, 2, TRUE)</f>
        <v>big4</v>
      </c>
      <c r="CA165" t="s">
        <v>322</v>
      </c>
      <c r="CB165" t="str">
        <f t="shared" si="278"/>
        <v>big4_Mixed Traffic</v>
      </c>
      <c r="CC165" t="str">
        <f t="shared" si="261"/>
        <v>steam_RAIL</v>
      </c>
      <c r="CD165" s="17" t="str" cm="1">
        <f t="array" ref="CD165">_xlfn.CONCAT("{BLACK}Length: {GOLD}", TEXT(ROUNDUP(IF(AQ165&lt;&gt;"",SUM(VALUE(_xlfn.TEXTSPLIT(AQ165, ","))), SUM(VALUE(_xlfn.TEXTSPLIT(AN165, ",")))*IF(M165, M165, 1))/16, 1), "#,##0.0"), " tiles{}")</f>
        <v>{BLACK}Length: {GOLD}0.8 tiles{}</v>
      </c>
      <c r="CE165" t="str">
        <f>VLOOKUP($CC165, Constants!$M:$N, 2, FALSE)</f>
        <v>{BLACK}Powered by: {GOLD}Steam</v>
      </c>
      <c r="CF165" t="str">
        <f t="shared" si="281"/>
        <v/>
      </c>
      <c r="CG165" t="s">
        <v>425</v>
      </c>
      <c r="CH165" t="str">
        <f t="shared" si="259"/>
        <v/>
      </c>
      <c r="CI165" t="str">
        <f t="shared" si="262"/>
        <v/>
      </c>
      <c r="CJ165" t="str">
        <f t="shared" si="263"/>
        <v>{BLACK}Powered by: {GOLD}Steam {}{BLACK}Length: {GOLD}0.8 tiles{}{SILVER}The GWR 4900 Hall Class set the template for the 4-6-0 mixed traffic locomotive, fast enough for express passenger services with enough tractive effort for freight.</v>
      </c>
    </row>
    <row r="166" spans="1:88" x14ac:dyDescent="0.35">
      <c r="A166" t="s">
        <v>16</v>
      </c>
      <c r="B166" t="s">
        <v>428</v>
      </c>
      <c r="C166">
        <v>232</v>
      </c>
      <c r="E166">
        <v>52</v>
      </c>
      <c r="F166" t="s">
        <v>1498</v>
      </c>
      <c r="G166" t="s">
        <v>258</v>
      </c>
      <c r="H166" t="s">
        <v>267</v>
      </c>
      <c r="I166" t="s">
        <v>270</v>
      </c>
      <c r="J166">
        <v>1928</v>
      </c>
      <c r="K166">
        <v>1935</v>
      </c>
      <c r="L166">
        <v>1966</v>
      </c>
      <c r="N166">
        <v>2100</v>
      </c>
      <c r="P166" s="5">
        <v>19</v>
      </c>
      <c r="Q166" s="5">
        <v>26</v>
      </c>
      <c r="R166" s="5">
        <v>3</v>
      </c>
      <c r="S166" s="5">
        <v>220</v>
      </c>
      <c r="T166" s="6">
        <f t="shared" si="279"/>
        <v>236.34509049146459</v>
      </c>
      <c r="U166" s="5">
        <v>2</v>
      </c>
      <c r="V166" s="5">
        <f t="shared" si="280"/>
        <v>2639.8124999999995</v>
      </c>
      <c r="W166">
        <v>92.8</v>
      </c>
      <c r="X166" s="8">
        <v>54</v>
      </c>
      <c r="Z166">
        <v>146</v>
      </c>
      <c r="AA166" s="3">
        <f t="shared" si="268"/>
        <v>9.9455040871934602E-2</v>
      </c>
      <c r="AB166">
        <v>108</v>
      </c>
      <c r="AC166">
        <f t="shared" si="244"/>
        <v>173</v>
      </c>
      <c r="AE166">
        <v>1</v>
      </c>
      <c r="AF166">
        <v>21.46</v>
      </c>
      <c r="AG166">
        <f>AF166-7.5</f>
        <v>13.96</v>
      </c>
      <c r="AJ166" s="10">
        <v>0</v>
      </c>
      <c r="AK166" t="str">
        <f>CONCATENATE(VLOOKUP(AL166, 'Voxel Sizes'!$A$2:$B$18,2,FALSE),"x",INT(AH166*15), "x", INT(AI166*15))</f>
        <v>136x0x0</v>
      </c>
      <c r="AL166">
        <f t="shared" si="269"/>
        <v>8</v>
      </c>
      <c r="AM166" t="s">
        <v>430</v>
      </c>
      <c r="AN166" t="str">
        <f>CONCATENATE(VLOOKUP(AL166,Constants!$A$2:$C$16,IF(AM166&lt;&gt;"", 3, 2), FALSE),IF(AM166&lt;&gt;"",CONCATENATE(",",VLOOKUP(AM166,$B:$AN,39,FALSE)),""))</f>
        <v>2,4,2,2,1,2</v>
      </c>
      <c r="AV166">
        <v>1</v>
      </c>
      <c r="AX166">
        <v>32</v>
      </c>
      <c r="AY166" s="15">
        <f t="shared" si="270"/>
        <v>46</v>
      </c>
      <c r="BB166">
        <f t="shared" si="271"/>
        <v>21.599999999999998</v>
      </c>
      <c r="BC166">
        <f t="shared" si="272"/>
        <v>10.5</v>
      </c>
      <c r="BD166">
        <f t="shared" si="273"/>
        <v>7.3</v>
      </c>
      <c r="BE166" s="3">
        <f t="shared" si="274"/>
        <v>0.96266666666666667</v>
      </c>
      <c r="BF166">
        <f t="shared" si="275"/>
        <v>0</v>
      </c>
      <c r="BG166">
        <f>VLOOKUP($H166,Constants!$I:$K, 2, FALSE)</f>
        <v>1.1499999999999999</v>
      </c>
      <c r="BH166">
        <f>VLOOKUP($H166,Constants!$I:$K, 3, FALSE)*IF(AND(G166="multiple_unit",AB166&lt;110),0.75,1)</f>
        <v>1.7</v>
      </c>
      <c r="BI166">
        <f>INT(POWER(((Constants!$G$2+$BB166+$BC166+$BD166+$BF166)*$BE166)*$BH166, 1.05))+$BA166</f>
        <v>90</v>
      </c>
      <c r="BJ166">
        <f>INT(POWER((((Constants!$G$1+$BB166+$BC166+$BD166+$BF166)*($BE166))*$BG166),IF($G166="wagon",1,1.2)))+$AZ166</f>
        <v>136</v>
      </c>
      <c r="BK166" s="14">
        <f t="shared" si="276"/>
        <v>70312.5</v>
      </c>
      <c r="BL166" s="14">
        <f t="shared" si="277"/>
        <v>11050</v>
      </c>
      <c r="BU166">
        <v>6</v>
      </c>
      <c r="BZ166" t="str">
        <f>VLOOKUP(J166,Eras!$A$2:$C$10, 2, TRUE)</f>
        <v>big4</v>
      </c>
      <c r="CA166" t="s">
        <v>323</v>
      </c>
      <c r="CB166" t="str">
        <f t="shared" si="278"/>
        <v>big4_Express</v>
      </c>
      <c r="CC166" t="str">
        <f t="shared" si="261"/>
        <v>steam_RAIL</v>
      </c>
      <c r="CD166" s="17" t="str" cm="1">
        <f t="array" ref="CD166">_xlfn.CONCAT("{BLACK}Length: {GOLD}", TEXT(ROUNDUP(IF(AQ166&lt;&gt;"",SUM(VALUE(_xlfn.TEXTSPLIT(AQ166, ","))), SUM(VALUE(_xlfn.TEXTSPLIT(AN166, ",")))*IF(M166, M166, 1))/16, 1), "#,##0.0"), " tiles{}")</f>
        <v>{BLACK}Length: {GOLD}0.9 tiles{}</v>
      </c>
      <c r="CE166" t="str">
        <f>VLOOKUP($CC166, Constants!$M:$N, 2, FALSE)</f>
        <v>{BLACK}Powered by: {GOLD}Steam</v>
      </c>
      <c r="CF166" t="str">
        <f t="shared" si="281"/>
        <v/>
      </c>
      <c r="CG166" t="s">
        <v>427</v>
      </c>
      <c r="CH166" t="str">
        <f t="shared" si="259"/>
        <v/>
      </c>
      <c r="CI166" t="str">
        <f t="shared" si="262"/>
        <v/>
      </c>
      <c r="CJ166" t="str">
        <f t="shared" si="263"/>
        <v>{BLACK}Powered by: {GOLD}Steam {}{BLACK}Length: {GOLD}0.9 tiles{}{SILVER}The Gresley A3 is a Pacific (4-6-2) locomotive famed for its 100mph+ performance hauling LNER's Flying Scotsman service.</v>
      </c>
    </row>
    <row r="167" spans="1:88" x14ac:dyDescent="0.35">
      <c r="A167" t="s">
        <v>1391</v>
      </c>
      <c r="B167" t="s">
        <v>1392</v>
      </c>
      <c r="C167">
        <v>233</v>
      </c>
      <c r="E167">
        <v>53</v>
      </c>
      <c r="F167" t="s">
        <v>1498</v>
      </c>
      <c r="G167" t="s">
        <v>258</v>
      </c>
      <c r="H167" t="s">
        <v>267</v>
      </c>
      <c r="I167" t="s">
        <v>270</v>
      </c>
      <c r="J167">
        <v>1930</v>
      </c>
      <c r="K167">
        <v>1934</v>
      </c>
      <c r="L167">
        <v>1965</v>
      </c>
      <c r="N167">
        <v>1200</v>
      </c>
      <c r="W167">
        <v>82</v>
      </c>
      <c r="X167" s="8">
        <v>44</v>
      </c>
      <c r="Z167">
        <v>118</v>
      </c>
      <c r="AA167" s="3">
        <f t="shared" si="268"/>
        <v>9.3650793650793651E-2</v>
      </c>
      <c r="AB167">
        <v>90</v>
      </c>
      <c r="AC167">
        <f t="shared" si="244"/>
        <v>144</v>
      </c>
      <c r="AE167">
        <v>1</v>
      </c>
      <c r="AF167">
        <v>11.76</v>
      </c>
      <c r="AG167">
        <v>11.76</v>
      </c>
      <c r="AJ167" s="10">
        <v>0</v>
      </c>
      <c r="AK167" t="str">
        <f>CONCATENATE(VLOOKUP(AL167, 'Voxel Sizes'!$A$2:$B$18,2,FALSE),"x",INT(AH167*15), "x", INT(AI167*15))</f>
        <v>120x0x0</v>
      </c>
      <c r="AL167">
        <f t="shared" si="269"/>
        <v>7</v>
      </c>
      <c r="AM167" t="s">
        <v>284</v>
      </c>
      <c r="AN167" t="str">
        <f>CONCATENATE(VLOOKUP(AL167,Constants!$A$2:$C$16,IF(AM167&lt;&gt;"", 3, 2), FALSE),IF(AM167&lt;&gt;"",CONCATENATE(",",VLOOKUP(AM167,$B:$AN,39,FALSE)),""))</f>
        <v>2,3,2,2,1,2</v>
      </c>
      <c r="AV167">
        <v>1</v>
      </c>
      <c r="AX167">
        <v>34</v>
      </c>
      <c r="AY167" s="15">
        <f t="shared" si="270"/>
        <v>43</v>
      </c>
      <c r="BB167">
        <f t="shared" si="271"/>
        <v>18</v>
      </c>
      <c r="BC167">
        <f t="shared" si="272"/>
        <v>6</v>
      </c>
      <c r="BD167">
        <f t="shared" si="273"/>
        <v>5.8999999999999995</v>
      </c>
      <c r="BE167" s="3">
        <f t="shared" si="274"/>
        <v>0.96</v>
      </c>
      <c r="BF167">
        <f t="shared" si="275"/>
        <v>0</v>
      </c>
      <c r="BG167">
        <f>VLOOKUP($H167,Constants!$I:$K, 2, FALSE)</f>
        <v>1.1499999999999999</v>
      </c>
      <c r="BH167">
        <f>VLOOKUP($H167,Constants!$I:$K, 3, FALSE)*IF(AND(G167="multiple_unit",AB167&lt;110),0.75,1)</f>
        <v>1.7</v>
      </c>
      <c r="BI167">
        <f>INT(POWER(((Constants!$G$2+$BB167+$BC167+$BD167+$BF167)*$BE167)*$BH167, 1.05))+$BA167</f>
        <v>69</v>
      </c>
      <c r="BJ167">
        <f>INT(POWER((((Constants!$G$1+$BB167+$BC167+$BD167+$BF167)*($BE167))*$BG167),IF($G167="wagon",1,1.2)))+$AZ167</f>
        <v>108</v>
      </c>
      <c r="BK167" s="14">
        <f t="shared" si="276"/>
        <v>53906.25</v>
      </c>
      <c r="BL167" s="14">
        <f t="shared" si="277"/>
        <v>8775</v>
      </c>
      <c r="BU167">
        <v>11</v>
      </c>
      <c r="BZ167" t="str">
        <f>VLOOKUP(J167,Eras!$A$2:$C$10, 2, TRUE)</f>
        <v>big4</v>
      </c>
      <c r="CA167" t="s">
        <v>323</v>
      </c>
      <c r="CB167" t="str">
        <f t="shared" si="278"/>
        <v>big4_Express</v>
      </c>
      <c r="CC167" t="str">
        <f t="shared" si="261"/>
        <v>steam_RAIL</v>
      </c>
      <c r="CD167" s="17" t="str" cm="1">
        <f t="array" ref="CD167">_xlfn.CONCAT("{BLACK}Length: {GOLD}", TEXT(ROUNDUP(IF(AQ167&lt;&gt;"",SUM(VALUE(_xlfn.TEXTSPLIT(AQ167, ","))), SUM(VALUE(_xlfn.TEXTSPLIT(AN167, ",")))*IF(M167, M167, 1))/16, 1), "#,##0.0"), " tiles{}")</f>
        <v>{BLACK}Length: {GOLD}0.8 tiles{}</v>
      </c>
      <c r="CE167" t="str">
        <f>VLOOKUP($CC167, Constants!$M:$N, 2, FALSE)</f>
        <v>{BLACK}Powered by: {GOLD}Steam</v>
      </c>
      <c r="CF167" t="str">
        <f t="shared" si="281"/>
        <v/>
      </c>
      <c r="CG167" t="s">
        <v>1393</v>
      </c>
      <c r="CH167" t="str">
        <f t="shared" si="259"/>
        <v/>
      </c>
      <c r="CI167" t="str">
        <f t="shared" si="262"/>
        <v/>
      </c>
      <c r="CJ167" t="str">
        <f t="shared" si="263"/>
        <v>{BLACK}Powered by: {GOLD}Steam {}{BLACK}Length: {GOLD}0.8 tiles{}{SILVER}The Patriot class combined the Royal Scot chassis with boilers from the LNWR's Large Claughton class. Although none were preserved, there is a project to build a new Patriot-class locomotive.</v>
      </c>
    </row>
    <row r="168" spans="1:88" x14ac:dyDescent="0.35">
      <c r="A168" t="s">
        <v>13</v>
      </c>
      <c r="B168" t="s">
        <v>432</v>
      </c>
      <c r="C168">
        <v>234</v>
      </c>
      <c r="E168">
        <v>54</v>
      </c>
      <c r="F168" t="s">
        <v>1498</v>
      </c>
      <c r="G168" t="s">
        <v>258</v>
      </c>
      <c r="H168" t="s">
        <v>267</v>
      </c>
      <c r="I168" t="s">
        <v>270</v>
      </c>
      <c r="J168">
        <v>1929</v>
      </c>
      <c r="K168">
        <v>1950</v>
      </c>
      <c r="L168">
        <v>1971</v>
      </c>
      <c r="N168">
        <v>750</v>
      </c>
      <c r="P168" s="5">
        <v>17.5</v>
      </c>
      <c r="Q168" s="5">
        <v>24</v>
      </c>
      <c r="R168" s="5">
        <v>2</v>
      </c>
      <c r="S168" s="5">
        <v>200</v>
      </c>
      <c r="T168" s="6">
        <f>((($AB168/2)/60)*5280)/($U168*3.2*PI())</f>
        <v>187.57546864401954</v>
      </c>
      <c r="U168" s="5">
        <v>1.4</v>
      </c>
      <c r="V168" s="5">
        <f>((($P168*$P168/4)*PI())*($Q168/12)*$R168*$S168*$T168)/(33000*1.1)</f>
        <v>994.31818181818198</v>
      </c>
      <c r="W168">
        <v>48.3</v>
      </c>
      <c r="Z168">
        <v>100</v>
      </c>
      <c r="AA168" s="3">
        <f t="shared" si="268"/>
        <v>0.20703933747412009</v>
      </c>
      <c r="AB168">
        <v>60</v>
      </c>
      <c r="AC168">
        <f t="shared" si="244"/>
        <v>96</v>
      </c>
      <c r="AE168">
        <v>1</v>
      </c>
      <c r="AF168">
        <v>9.5</v>
      </c>
      <c r="AG168">
        <v>9.5</v>
      </c>
      <c r="AI168">
        <v>3.7349999999999999</v>
      </c>
      <c r="AJ168" s="10">
        <v>0</v>
      </c>
      <c r="AK168" t="str">
        <f>CONCATENATE(VLOOKUP(AL168, 'Voxel Sizes'!$A$2:$B$18,2,FALSE),"x",INT(AH168*15), "x", INT(AI168*15))</f>
        <v>102x0x56</v>
      </c>
      <c r="AL168">
        <f t="shared" si="269"/>
        <v>6</v>
      </c>
      <c r="AN168" t="str">
        <f>CONCATENATE(VLOOKUP(AL168,Constants!$A$2:$C$16,IF(AM168&lt;&gt;"", 3, 2), FALSE),IF(AM168&lt;&gt;"",CONCATENATE(",",VLOOKUP(AM168,$B:$AN,39,FALSE)),""))</f>
        <v>2,2,2</v>
      </c>
      <c r="AV168">
        <v>1</v>
      </c>
      <c r="AX168">
        <v>37</v>
      </c>
      <c r="AY168" s="15">
        <f t="shared" si="270"/>
        <v>50</v>
      </c>
      <c r="BB168">
        <f t="shared" si="271"/>
        <v>12</v>
      </c>
      <c r="BC168">
        <f t="shared" si="272"/>
        <v>3.75</v>
      </c>
      <c r="BD168">
        <f t="shared" si="273"/>
        <v>5</v>
      </c>
      <c r="BE168" s="3">
        <f t="shared" si="274"/>
        <v>0.96133333333333337</v>
      </c>
      <c r="BF168">
        <f t="shared" si="275"/>
        <v>0</v>
      </c>
      <c r="BG168">
        <f>VLOOKUP($H168,Constants!$I:$K, 2, FALSE)</f>
        <v>1.1499999999999999</v>
      </c>
      <c r="BH168">
        <f>VLOOKUP($H168,Constants!$I:$K, 3, FALSE)*IF(AND(G168="multiple_unit",AB168&lt;110),0.75,1)</f>
        <v>1.7</v>
      </c>
      <c r="BI168">
        <f>INT(POWER(((Constants!$G$2+$BB168+$BC168+$BD168+$BF168)*$BE168)*$BH168, 1.05))+$BA168</f>
        <v>50</v>
      </c>
      <c r="BJ168">
        <f>INT(POWER((((Constants!$G$1+$BB168+$BC168+$BD168+$BF168)*($BE168))*$BG168),IF($G168="wagon",1,1.2)))+$AZ168</f>
        <v>82</v>
      </c>
      <c r="BK168" s="14">
        <f t="shared" si="276"/>
        <v>39062.5</v>
      </c>
      <c r="BL168" s="14">
        <f t="shared" si="277"/>
        <v>6662.5</v>
      </c>
      <c r="BU168">
        <v>7</v>
      </c>
      <c r="BZ168" t="str">
        <f>VLOOKUP(J168,Eras!$A$2:$C$10, 2, TRUE)</f>
        <v>big4</v>
      </c>
      <c r="CA168" t="s">
        <v>321</v>
      </c>
      <c r="CB168" t="str">
        <f t="shared" si="278"/>
        <v>big4_Cheap</v>
      </c>
      <c r="CC168" t="str">
        <f t="shared" si="261"/>
        <v>steam_RAIL</v>
      </c>
      <c r="CD168" s="17" t="str" cm="1">
        <f t="array" ref="CD168">_xlfn.CONCAT("{BLACK}Length: {GOLD}", TEXT(ROUNDUP(IF(AQ168&lt;&gt;"",SUM(VALUE(_xlfn.TEXTSPLIT(AQ168, ","))), SUM(VALUE(_xlfn.TEXTSPLIT(AN168, ",")))*IF(M168, M168, 1))/16, 1), "#,##0.0"), " tiles{}")</f>
        <v>{BLACK}Length: {GOLD}0.4 tiles{}</v>
      </c>
      <c r="CE168" t="str">
        <f>VLOOKUP($CC168, Constants!$M:$N, 2, FALSE)</f>
        <v>{BLACK}Powered by: {GOLD}Steam</v>
      </c>
      <c r="CF168" t="str">
        <f t="shared" si="281"/>
        <v/>
      </c>
      <c r="CG168" t="s">
        <v>431</v>
      </c>
      <c r="CH168" t="str">
        <f t="shared" si="259"/>
        <v/>
      </c>
      <c r="CI168" t="str">
        <f t="shared" si="262"/>
        <v/>
      </c>
      <c r="CJ168" t="str">
        <f t="shared" si="263"/>
        <v>{BLACK}Powered by: {GOLD}Steam {}{BLACK}Length: {GOLD}0.4 tiles{}{SILVER}The 5700 class numbered 863 locomotives, and was ubiquitous across the GWR network.</v>
      </c>
    </row>
    <row r="169" spans="1:88" ht="14.25" customHeight="1" x14ac:dyDescent="0.35">
      <c r="A169" t="s">
        <v>25</v>
      </c>
      <c r="B169" t="s">
        <v>158</v>
      </c>
      <c r="C169">
        <v>235</v>
      </c>
      <c r="E169">
        <v>55</v>
      </c>
      <c r="F169" t="s">
        <v>1498</v>
      </c>
      <c r="G169" t="s">
        <v>258</v>
      </c>
      <c r="H169" t="s">
        <v>267</v>
      </c>
      <c r="I169" t="s">
        <v>270</v>
      </c>
      <c r="J169">
        <v>1930</v>
      </c>
      <c r="K169">
        <v>1935</v>
      </c>
      <c r="L169">
        <v>1961</v>
      </c>
      <c r="N169">
        <v>1750</v>
      </c>
      <c r="P169" s="5">
        <v>16.5</v>
      </c>
      <c r="Q169" s="5">
        <v>26</v>
      </c>
      <c r="R169" s="5">
        <v>3</v>
      </c>
      <c r="S169" s="5">
        <v>220</v>
      </c>
      <c r="T169" s="6">
        <f>((($AB169/2)/60)*5280)/($U169*3.2*PI())</f>
        <v>207.89614441378828</v>
      </c>
      <c r="U169" s="5">
        <v>2</v>
      </c>
      <c r="V169" s="5">
        <f>((($P169*$P169/4)*PI())*($Q169/12)*$R169*$S169*$T169)/(33000*1.1)</f>
        <v>1751.19140625</v>
      </c>
      <c r="W169">
        <v>68.2</v>
      </c>
      <c r="X169" s="8">
        <v>43.1</v>
      </c>
      <c r="Z169">
        <v>111</v>
      </c>
      <c r="AA169" s="3">
        <f t="shared" si="268"/>
        <v>9.9730458221024262E-2</v>
      </c>
      <c r="AB169">
        <v>95</v>
      </c>
      <c r="AC169">
        <f t="shared" si="244"/>
        <v>152</v>
      </c>
      <c r="AF169">
        <v>17.93</v>
      </c>
      <c r="AG169">
        <f>AF169-7.5</f>
        <v>10.43</v>
      </c>
      <c r="AI169">
        <v>3.96</v>
      </c>
      <c r="AJ169" s="10">
        <v>0</v>
      </c>
      <c r="AK169" t="str">
        <f>CONCATENATE(VLOOKUP(AL169, 'Voxel Sizes'!$A$2:$B$18,2,FALSE),"x",INT(AH169*15), "x", INT(AI169*15))</f>
        <v>102x0x59</v>
      </c>
      <c r="AL169">
        <f t="shared" si="269"/>
        <v>6</v>
      </c>
      <c r="AM169" t="s">
        <v>435</v>
      </c>
      <c r="AN169" t="str">
        <f>CONCATENATE(VLOOKUP(AL169,Constants!$A$2:$C$16,IF(AM169&lt;&gt;"", 3, 2), FALSE),IF(AM169&lt;&gt;"",CONCATENATE(",",VLOOKUP(AM169,$B:$AN,39,FALSE)),""))</f>
        <v>2,2,2,2,1,2</v>
      </c>
      <c r="AV169">
        <v>1</v>
      </c>
      <c r="AX169">
        <v>29</v>
      </c>
      <c r="AY169" s="15">
        <f t="shared" si="270"/>
        <v>39</v>
      </c>
      <c r="BB169">
        <f t="shared" si="271"/>
        <v>19</v>
      </c>
      <c r="BC169">
        <f t="shared" si="272"/>
        <v>8.75</v>
      </c>
      <c r="BD169">
        <f t="shared" si="273"/>
        <v>5.5500000000000007</v>
      </c>
      <c r="BE169" s="3">
        <f t="shared" si="274"/>
        <v>0.96</v>
      </c>
      <c r="BF169">
        <f t="shared" si="275"/>
        <v>0</v>
      </c>
      <c r="BG169">
        <f>VLOOKUP($H169,Constants!$I:$K, 2, FALSE)</f>
        <v>1.1499999999999999</v>
      </c>
      <c r="BH169">
        <f>VLOOKUP($H169,Constants!$I:$K, 3, FALSE)*IF(AND(G169="multiple_unit",AB169&lt;110),0.75,1)</f>
        <v>1.7</v>
      </c>
      <c r="BI169">
        <f>INT(POWER(((Constants!$G$2+$BB169+$BC169+$BD169+$BF169)*$BE169)*$BH169, 1.05))+$BA169</f>
        <v>76</v>
      </c>
      <c r="BJ169">
        <f>INT(POWER((((Constants!$G$1+$BB169+$BC169+$BD169+$BF169)*($BE169))*$BG169),IF($G169="wagon",1,1.2)))+$AZ169</f>
        <v>118</v>
      </c>
      <c r="BK169" s="14">
        <f t="shared" si="276"/>
        <v>59375</v>
      </c>
      <c r="BL169" s="14">
        <f t="shared" si="277"/>
        <v>9587.5</v>
      </c>
      <c r="BU169">
        <v>8</v>
      </c>
      <c r="BZ169" t="str">
        <f>VLOOKUP(J169,Eras!$A$2:$C$10, 2, TRUE)</f>
        <v>big4</v>
      </c>
      <c r="CA169" t="s">
        <v>323</v>
      </c>
      <c r="CB169" t="str">
        <f t="shared" si="278"/>
        <v>big4_Express</v>
      </c>
      <c r="CC169" t="str">
        <f t="shared" si="261"/>
        <v>steam_RAIL</v>
      </c>
      <c r="CD169" s="17" t="str" cm="1">
        <f t="array" ref="CD169">_xlfn.CONCAT("{BLACK}Length: {GOLD}", TEXT(ROUNDUP(IF(AQ169&lt;&gt;"",SUM(VALUE(_xlfn.TEXTSPLIT(AQ169, ","))), SUM(VALUE(_xlfn.TEXTSPLIT(AN169, ",")))*IF(M169, M169, 1))/16, 1), "#,##0.0"), " tiles{}")</f>
        <v>{BLACK}Length: {GOLD}0.7 tiles{}</v>
      </c>
      <c r="CE169" t="str">
        <f>VLOOKUP($CC169, Constants!$M:$N, 2, FALSE)</f>
        <v>{BLACK}Powered by: {GOLD}Steam</v>
      </c>
      <c r="CF169" t="str">
        <f t="shared" si="281"/>
        <v/>
      </c>
      <c r="CG169" t="s">
        <v>433</v>
      </c>
      <c r="CH169" t="str">
        <f t="shared" si="259"/>
        <v/>
      </c>
      <c r="CI169" t="str">
        <f t="shared" si="262"/>
        <v/>
      </c>
      <c r="CJ169" t="str">
        <f t="shared" si="263"/>
        <v>{BLACK}Powered by: {GOLD}Steam {}{BLACK}Length: {GOLD}0.7 tiles{}{SILVER}The Schools class was the most powerful 4-4-0 locomotive produced in  Europe, and the last British locomotive with such a wheel layout.</v>
      </c>
    </row>
    <row r="170" spans="1:88" x14ac:dyDescent="0.35">
      <c r="A170" t="s">
        <v>436</v>
      </c>
      <c r="B170" t="s">
        <v>438</v>
      </c>
      <c r="C170">
        <v>237</v>
      </c>
      <c r="E170">
        <v>56</v>
      </c>
      <c r="F170" t="s">
        <v>1498</v>
      </c>
      <c r="G170" t="s">
        <v>258</v>
      </c>
      <c r="H170" t="s">
        <v>267</v>
      </c>
      <c r="I170" t="s">
        <v>270</v>
      </c>
      <c r="J170">
        <v>1932</v>
      </c>
      <c r="K170">
        <v>1936</v>
      </c>
      <c r="L170">
        <v>1965</v>
      </c>
      <c r="N170">
        <v>600</v>
      </c>
      <c r="P170" s="5">
        <v>16</v>
      </c>
      <c r="Q170" s="5">
        <v>24</v>
      </c>
      <c r="R170" s="5">
        <v>2</v>
      </c>
      <c r="S170" s="5">
        <v>165</v>
      </c>
      <c r="T170" s="6">
        <f>((($AB170/2)/60)*5280)/($U170*3.2*PI())</f>
        <v>218.83804675135607</v>
      </c>
      <c r="U170" s="5">
        <v>1.6</v>
      </c>
      <c r="V170" s="5">
        <f>((($P170*$P170/4)*PI())*($Q170/12)*$R170*$S170*$T170)/(33000*1.1)</f>
        <v>799.99999999999977</v>
      </c>
      <c r="W170">
        <v>43</v>
      </c>
      <c r="Z170">
        <v>62</v>
      </c>
      <c r="AA170" s="3">
        <f t="shared" si="268"/>
        <v>0.14418604651162792</v>
      </c>
      <c r="AB170">
        <v>80</v>
      </c>
      <c r="AC170">
        <f t="shared" si="244"/>
        <v>128</v>
      </c>
      <c r="AF170">
        <v>9.1199999999999992</v>
      </c>
      <c r="AG170">
        <v>9.1199999999999992</v>
      </c>
      <c r="AI170">
        <v>3.82</v>
      </c>
      <c r="AJ170" s="10">
        <v>0</v>
      </c>
      <c r="AK170" t="str">
        <f>CONCATENATE(VLOOKUP(AL170, 'Voxel Sizes'!$A$2:$B$18,2,FALSE),"x",INT(AH170*15), "x", INT(AI170*15))</f>
        <v>82x0x57</v>
      </c>
      <c r="AL170">
        <f t="shared" si="269"/>
        <v>5</v>
      </c>
      <c r="AN170" t="str">
        <f>CONCATENATE(VLOOKUP(AL170,Constants!$A$2:$C$16,IF(AM170&lt;&gt;"", 3, 2), FALSE),IF(AM170&lt;&gt;"",CONCATENATE(",",VLOOKUP(AM170,$B:$AN,39,FALSE)),""))</f>
        <v>2,1,2</v>
      </c>
      <c r="AV170">
        <v>1</v>
      </c>
      <c r="AX170">
        <v>36</v>
      </c>
      <c r="AY170" s="15">
        <f t="shared" si="270"/>
        <v>41</v>
      </c>
      <c r="BB170">
        <f t="shared" si="271"/>
        <v>16</v>
      </c>
      <c r="BC170">
        <f t="shared" si="272"/>
        <v>3</v>
      </c>
      <c r="BD170">
        <f t="shared" si="273"/>
        <v>3.1</v>
      </c>
      <c r="BE170" s="3">
        <f t="shared" si="274"/>
        <v>0.95733333333333337</v>
      </c>
      <c r="BF170">
        <f t="shared" si="275"/>
        <v>0</v>
      </c>
      <c r="BG170">
        <f>VLOOKUP($H170,Constants!$I:$K, 2, FALSE)</f>
        <v>1.1499999999999999</v>
      </c>
      <c r="BH170">
        <f>VLOOKUP($H170,Constants!$I:$K, 3, FALSE)*IF(AND(G170="multiple_unit",AB170&lt;110),0.75,1)</f>
        <v>1.7</v>
      </c>
      <c r="BI170">
        <f>INT(POWER(((Constants!$G$2+$BB170+$BC170+$BD170+$BF170)*$BE170)*$BH170, 1.05))+$BA170</f>
        <v>53</v>
      </c>
      <c r="BJ170">
        <f>INT(POWER((((Constants!$G$1+$BB170+$BC170+$BD170+$BF170)*($BE170))*$BG170),IF($G170="wagon",1,1.2)))+$AZ170</f>
        <v>85</v>
      </c>
      <c r="BK170" s="14">
        <f t="shared" si="276"/>
        <v>41406.25</v>
      </c>
      <c r="BL170" s="14">
        <f t="shared" si="277"/>
        <v>6906.25</v>
      </c>
      <c r="BU170">
        <v>10</v>
      </c>
      <c r="BZ170" t="str">
        <f>VLOOKUP(J170,Eras!$A$2:$C$10, 2, TRUE)</f>
        <v>big4</v>
      </c>
      <c r="CA170" t="s">
        <v>321</v>
      </c>
      <c r="CB170" t="str">
        <f t="shared" si="278"/>
        <v>big4_Cheap</v>
      </c>
      <c r="CC170" t="str">
        <f t="shared" si="261"/>
        <v>steam_RAIL</v>
      </c>
      <c r="CD170" s="17" t="str" cm="1">
        <f t="array" ref="CD170">_xlfn.CONCAT("{BLACK}Length: {GOLD}", TEXT(ROUNDUP(IF(AQ170&lt;&gt;"",SUM(VALUE(_xlfn.TEXTSPLIT(AQ170, ","))), SUM(VALUE(_xlfn.TEXTSPLIT(AN170, ",")))*IF(M170, M170, 1))/16, 1), "#,##0.0"), " tiles{}")</f>
        <v>{BLACK}Length: {GOLD}0.4 tiles{}</v>
      </c>
      <c r="CE170" t="str">
        <f>VLOOKUP($CC170, Constants!$M:$N, 2, FALSE)</f>
        <v>{BLACK}Powered by: {GOLD}Steam</v>
      </c>
      <c r="CF170" t="str">
        <f t="shared" si="281"/>
        <v/>
      </c>
      <c r="CG170" t="s">
        <v>437</v>
      </c>
      <c r="CH170" t="str">
        <f t="shared" si="259"/>
        <v/>
      </c>
      <c r="CI170" t="str">
        <f t="shared" si="262"/>
        <v/>
      </c>
      <c r="CJ170" t="str">
        <f t="shared" si="263"/>
        <v>{BLACK}Powered by: {GOLD}Steam {}{BLACK}Length: {GOLD}0.4 tiles{}{SILVER}The 1400 class (originally the 4800 class) is an update of an 1868 design with more modern features. Although small, it is capable of high speed.</v>
      </c>
    </row>
    <row r="171" spans="1:88" x14ac:dyDescent="0.35">
      <c r="A171" t="s">
        <v>20</v>
      </c>
      <c r="B171" t="s">
        <v>283</v>
      </c>
      <c r="C171">
        <v>238</v>
      </c>
      <c r="E171">
        <v>57</v>
      </c>
      <c r="F171" t="s">
        <v>1498</v>
      </c>
      <c r="G171" t="s">
        <v>258</v>
      </c>
      <c r="H171" t="s">
        <v>267</v>
      </c>
      <c r="I171" t="s">
        <v>270</v>
      </c>
      <c r="J171">
        <v>1934</v>
      </c>
      <c r="K171">
        <v>1951</v>
      </c>
      <c r="L171">
        <v>1967</v>
      </c>
      <c r="N171">
        <v>1250</v>
      </c>
      <c r="W171">
        <v>73.400000000000006</v>
      </c>
      <c r="X171" s="8">
        <v>46</v>
      </c>
      <c r="Z171">
        <v>113</v>
      </c>
      <c r="AA171" s="3">
        <f t="shared" si="268"/>
        <v>9.4639865996649919E-2</v>
      </c>
      <c r="AB171">
        <v>92</v>
      </c>
      <c r="AC171">
        <f t="shared" si="244"/>
        <v>147</v>
      </c>
      <c r="AE171">
        <v>1</v>
      </c>
      <c r="AF171">
        <v>11.76</v>
      </c>
      <c r="AG171">
        <v>11.76</v>
      </c>
      <c r="AJ171" s="10">
        <v>0</v>
      </c>
      <c r="AK171" t="str">
        <f>CONCATENATE(VLOOKUP(AL171, 'Voxel Sizes'!$A$2:$B$18,2,FALSE),"x",INT(AH171*15), "x", INT(AI171*15))</f>
        <v>120x0x0</v>
      </c>
      <c r="AL171">
        <f t="shared" si="269"/>
        <v>7</v>
      </c>
      <c r="AM171" t="s">
        <v>289</v>
      </c>
      <c r="AN171" t="str">
        <f>CONCATENATE(VLOOKUP(AL171,Constants!$A$2:$C$16,IF(AM171&lt;&gt;"", 3, 2), FALSE),IF(AM171&lt;&gt;"",CONCATENATE(",",VLOOKUP(AM171,$B:$AN,39,FALSE)),""))</f>
        <v>2,3,2,2,1,2</v>
      </c>
      <c r="AV171">
        <v>1</v>
      </c>
      <c r="AX171">
        <v>34</v>
      </c>
      <c r="AY171" s="15">
        <f t="shared" si="270"/>
        <v>41</v>
      </c>
      <c r="BB171">
        <f t="shared" si="271"/>
        <v>18.399999999999999</v>
      </c>
      <c r="BC171">
        <f t="shared" si="272"/>
        <v>6.25</v>
      </c>
      <c r="BD171">
        <f t="shared" si="273"/>
        <v>5.6499999999999995</v>
      </c>
      <c r="BE171" s="3">
        <f t="shared" si="274"/>
        <v>0.95466666666666666</v>
      </c>
      <c r="BF171">
        <f t="shared" si="275"/>
        <v>0</v>
      </c>
      <c r="BG171">
        <f>VLOOKUP($H171,Constants!$I:$K, 2, FALSE)</f>
        <v>1.1499999999999999</v>
      </c>
      <c r="BH171">
        <f>VLOOKUP($H171,Constants!$I:$K, 3, FALSE)*IF(AND(G171="multiple_unit",AB171&lt;110),0.75,1)</f>
        <v>1.7</v>
      </c>
      <c r="BI171">
        <f>INT(POWER(((Constants!$G$2+$BB171+$BC171+$BD171+$BF171)*$BE171)*$BH171, 1.05))+$BA171</f>
        <v>70</v>
      </c>
      <c r="BJ171">
        <f>INT(POWER((((Constants!$G$1+$BB171+$BC171+$BD171+$BF171)*($BE171))*$BG171),IF($G171="wagon",1,1.2)))+$AZ171</f>
        <v>108</v>
      </c>
      <c r="BK171" s="14">
        <f t="shared" si="276"/>
        <v>54687.5</v>
      </c>
      <c r="BL171" s="14">
        <f t="shared" si="277"/>
        <v>8775</v>
      </c>
      <c r="BU171">
        <v>11</v>
      </c>
      <c r="BZ171" t="str">
        <f>VLOOKUP(J171,Eras!$A$2:$C$10, 2, TRUE)</f>
        <v>big4</v>
      </c>
      <c r="CA171" t="s">
        <v>322</v>
      </c>
      <c r="CB171" t="str">
        <f t="shared" si="278"/>
        <v>big4_Mixed Traffic</v>
      </c>
      <c r="CC171" t="str">
        <f t="shared" si="261"/>
        <v>steam_RAIL</v>
      </c>
      <c r="CD171" s="17" t="str" cm="1">
        <f t="array" ref="CD171">_xlfn.CONCAT("{BLACK}Length: {GOLD}", TEXT(ROUNDUP(IF(AQ171&lt;&gt;"",SUM(VALUE(_xlfn.TEXTSPLIT(AQ171, ","))), SUM(VALUE(_xlfn.TEXTSPLIT(AN171, ",")))*IF(M171, M171, 1))/16, 1), "#,##0.0"), " tiles{}")</f>
        <v>{BLACK}Length: {GOLD}0.8 tiles{}</v>
      </c>
      <c r="CE171" t="str">
        <f>VLOOKUP($CC171, Constants!$M:$N, 2, FALSE)</f>
        <v>{BLACK}Powered by: {GOLD}Steam</v>
      </c>
      <c r="CF171" t="str">
        <f t="shared" si="281"/>
        <v/>
      </c>
      <c r="CG171" t="s">
        <v>362</v>
      </c>
      <c r="CH171" t="str">
        <f t="shared" si="259"/>
        <v/>
      </c>
      <c r="CI171" t="str">
        <f t="shared" si="262"/>
        <v/>
      </c>
      <c r="CJ171" t="str">
        <f t="shared" si="263"/>
        <v>{BLACK}Powered by: {GOLD}Steam {}{BLACK}Length: {GOLD}0.8 tiles{}{SILVER}The Stanier Class 5, commonly known as the "Black 5", was a workhorse for the LMS and into the British Rail era. Although intended as a mixed traffic locomotive it was capable of high top speeds.</v>
      </c>
    </row>
    <row r="172" spans="1:88" x14ac:dyDescent="0.35">
      <c r="A172" t="s">
        <v>22</v>
      </c>
      <c r="B172" t="s">
        <v>282</v>
      </c>
      <c r="C172">
        <v>240</v>
      </c>
      <c r="E172">
        <v>58</v>
      </c>
      <c r="F172" t="s">
        <v>1498</v>
      </c>
      <c r="G172" t="s">
        <v>258</v>
      </c>
      <c r="H172" t="s">
        <v>267</v>
      </c>
      <c r="I172" t="s">
        <v>270</v>
      </c>
      <c r="J172">
        <v>1934</v>
      </c>
      <c r="K172">
        <v>1936</v>
      </c>
      <c r="L172">
        <v>1967</v>
      </c>
      <c r="N172">
        <v>1375</v>
      </c>
      <c r="W172">
        <v>80.8</v>
      </c>
      <c r="X172" s="8">
        <v>52</v>
      </c>
      <c r="Z172">
        <v>118</v>
      </c>
      <c r="AA172" s="3">
        <f t="shared" si="268"/>
        <v>8.8855421686746983E-2</v>
      </c>
      <c r="AB172">
        <v>95</v>
      </c>
      <c r="AC172">
        <f t="shared" si="244"/>
        <v>152</v>
      </c>
      <c r="AE172">
        <v>1</v>
      </c>
      <c r="AF172">
        <v>12.09</v>
      </c>
      <c r="AG172">
        <v>12.09</v>
      </c>
      <c r="AJ172" s="10">
        <v>0</v>
      </c>
      <c r="AK172" t="str">
        <f>CONCATENATE(VLOOKUP(AL172, 'Voxel Sizes'!$A$2:$B$18,2,FALSE),"x",INT(AH172*15), "x", INT(AI172*15))</f>
        <v>120x0x0</v>
      </c>
      <c r="AL172">
        <f t="shared" si="269"/>
        <v>7</v>
      </c>
      <c r="AM172" t="s">
        <v>284</v>
      </c>
      <c r="AN172" t="str">
        <f>CONCATENATE(VLOOKUP(AL172,Constants!$A$2:$C$16,IF(AM172&lt;&gt;"", 3, 2), FALSE),IF(AM172&lt;&gt;"",CONCATENATE(",",VLOOKUP(AM172,$B:$AN,39,FALSE)),""))</f>
        <v>2,3,2,2,1,2</v>
      </c>
      <c r="AV172">
        <v>1</v>
      </c>
      <c r="AX172">
        <v>34</v>
      </c>
      <c r="AY172" s="15">
        <f t="shared" si="270"/>
        <v>41</v>
      </c>
      <c r="BB172">
        <f t="shared" si="271"/>
        <v>19</v>
      </c>
      <c r="BC172">
        <f t="shared" si="272"/>
        <v>6.875</v>
      </c>
      <c r="BD172">
        <f t="shared" si="273"/>
        <v>5.8999999999999995</v>
      </c>
      <c r="BE172" s="3">
        <f t="shared" si="274"/>
        <v>0.95466666666666666</v>
      </c>
      <c r="BF172">
        <f t="shared" si="275"/>
        <v>0</v>
      </c>
      <c r="BG172">
        <f>VLOOKUP($H172,Constants!$I:$K, 2, FALSE)</f>
        <v>1.1499999999999999</v>
      </c>
      <c r="BH172">
        <f>VLOOKUP($H172,Constants!$I:$K, 3, FALSE)*IF(AND(G172="multiple_unit",AB172&lt;110),0.75,1)</f>
        <v>1.7</v>
      </c>
      <c r="BI172">
        <f>INT(POWER(((Constants!$G$2+$BB172+$BC172+$BD172+$BF172)*$BE172)*$BH172, 1.05))+$BA172</f>
        <v>73</v>
      </c>
      <c r="BJ172">
        <f>INT(POWER((((Constants!$G$1+$BB172+$BC172+$BD172+$BF172)*($BE172))*$BG172),IF($G172="wagon",1,1.2)))+$AZ172</f>
        <v>112</v>
      </c>
      <c r="BK172" s="14">
        <f t="shared" si="276"/>
        <v>57031.25</v>
      </c>
      <c r="BL172" s="14">
        <f t="shared" si="277"/>
        <v>9100</v>
      </c>
      <c r="BU172">
        <v>12</v>
      </c>
      <c r="BZ172" t="str">
        <f>VLOOKUP(J172,Eras!$A$2:$C$10, 2, TRUE)</f>
        <v>big4</v>
      </c>
      <c r="CA172" t="s">
        <v>323</v>
      </c>
      <c r="CB172" t="str">
        <f t="shared" si="278"/>
        <v>big4_Express</v>
      </c>
      <c r="CC172" t="str">
        <f t="shared" si="261"/>
        <v>steam_RAIL</v>
      </c>
      <c r="CD172" s="17" t="str" cm="1">
        <f t="array" ref="CD172">_xlfn.CONCAT("{BLACK}Length: {GOLD}", TEXT(ROUNDUP(IF(AQ172&lt;&gt;"",SUM(VALUE(_xlfn.TEXTSPLIT(AQ172, ","))), SUM(VALUE(_xlfn.TEXTSPLIT(AN172, ",")))*IF(M172, M172, 1))/16, 1), "#,##0.0"), " tiles{}")</f>
        <v>{BLACK}Length: {GOLD}0.8 tiles{}</v>
      </c>
      <c r="CE172" t="str">
        <f>VLOOKUP($CC172, Constants!$M:$N, 2, FALSE)</f>
        <v>{BLACK}Powered by: {GOLD}Steam</v>
      </c>
      <c r="CF172" t="str">
        <f t="shared" si="281"/>
        <v/>
      </c>
      <c r="CG172" t="s">
        <v>349</v>
      </c>
      <c r="CH172" t="str">
        <f t="shared" si="259"/>
        <v/>
      </c>
      <c r="CI172" t="str">
        <f t="shared" si="262"/>
        <v/>
      </c>
      <c r="CJ172" t="str">
        <f t="shared" si="263"/>
        <v>{BLACK}Powered by: {GOLD}Steam {}{BLACK}Length: {GOLD}0.8 tiles{}{SILVER}The Jubilee is the counterpart to the Class 5, often called the "Red Stanier" due to its red LMS livery. It was intended for passenger work, with slightly larger diameter driving wheels giving a higher top speed.</v>
      </c>
    </row>
    <row r="173" spans="1:88" x14ac:dyDescent="0.35">
      <c r="A173" t="s">
        <v>444</v>
      </c>
      <c r="B173" t="s">
        <v>159</v>
      </c>
      <c r="C173">
        <v>242</v>
      </c>
      <c r="E173">
        <v>59</v>
      </c>
      <c r="F173" t="s">
        <v>1498</v>
      </c>
      <c r="G173" t="s">
        <v>258</v>
      </c>
      <c r="H173" t="s">
        <v>267</v>
      </c>
      <c r="I173" t="s">
        <v>270</v>
      </c>
      <c r="J173">
        <v>1935</v>
      </c>
      <c r="L173">
        <v>1968</v>
      </c>
      <c r="N173">
        <v>1300</v>
      </c>
      <c r="W173">
        <v>73</v>
      </c>
      <c r="X173" s="8">
        <v>46</v>
      </c>
      <c r="Z173">
        <v>144</v>
      </c>
      <c r="AA173" s="3">
        <f t="shared" si="268"/>
        <v>0.12100840336134454</v>
      </c>
      <c r="AB173">
        <v>70</v>
      </c>
      <c r="AC173">
        <f t="shared" si="244"/>
        <v>112</v>
      </c>
      <c r="AF173">
        <v>19.22</v>
      </c>
      <c r="AG173">
        <f>19.22-7.46</f>
        <v>11.759999999999998</v>
      </c>
      <c r="AJ173" s="10">
        <v>0</v>
      </c>
      <c r="AK173" t="str">
        <f>CONCATENATE(VLOOKUP(AL173, 'Voxel Sizes'!$A$2:$B$18,2,FALSE),"x",INT(AH173*15), "x", INT(AI173*15))</f>
        <v>120x0x0</v>
      </c>
      <c r="AL173">
        <f t="shared" si="269"/>
        <v>7</v>
      </c>
      <c r="AM173" t="s">
        <v>289</v>
      </c>
      <c r="AN173" t="str">
        <f>CONCATENATE(VLOOKUP(AL173,Constants!$A$2:$C$16,IF(AM173&lt;&gt;"", 3, 2), FALSE),IF(AM173&lt;&gt;"",CONCATENATE(",",VLOOKUP(AM173,$B:$AN,39,FALSE)),""))</f>
        <v>2,3,2,2,1,2</v>
      </c>
      <c r="AV173">
        <v>1</v>
      </c>
      <c r="AX173">
        <v>34</v>
      </c>
      <c r="AY173" s="15">
        <f t="shared" si="270"/>
        <v>41</v>
      </c>
      <c r="BB173">
        <f t="shared" si="271"/>
        <v>14</v>
      </c>
      <c r="BC173">
        <f t="shared" si="272"/>
        <v>6.5</v>
      </c>
      <c r="BD173">
        <f t="shared" si="273"/>
        <v>7.1999999999999993</v>
      </c>
      <c r="BE173" s="3">
        <f t="shared" si="274"/>
        <v>0.95333333333333337</v>
      </c>
      <c r="BF173">
        <f t="shared" si="275"/>
        <v>0</v>
      </c>
      <c r="BG173">
        <f>VLOOKUP($H173,Constants!$I:$K, 2, FALSE)</f>
        <v>1.1499999999999999</v>
      </c>
      <c r="BH173">
        <f>VLOOKUP($H173,Constants!$I:$K, 3, FALSE)*IF(AND(G173="multiple_unit",AB173&lt;110),0.75,1)</f>
        <v>1.7</v>
      </c>
      <c r="BI173">
        <f>INT(POWER(((Constants!$G$2+$BB173+$BC173+$BD173+$BF173)*$BE173)*$BH173, 1.05))+$BA173</f>
        <v>64</v>
      </c>
      <c r="BJ173">
        <f>INT(POWER((((Constants!$G$1+$BB173+$BC173+$BD173+$BF173)*($BE173))*$BG173),IF($G173="wagon",1,1.2)))+$AZ173</f>
        <v>101</v>
      </c>
      <c r="BK173" s="14">
        <f t="shared" si="276"/>
        <v>50000</v>
      </c>
      <c r="BL173" s="14">
        <f t="shared" si="277"/>
        <v>8206.25</v>
      </c>
      <c r="BU173">
        <v>1</v>
      </c>
      <c r="BZ173" t="str">
        <f>VLOOKUP(J173,Eras!$A$2:$C$10, 2, TRUE)</f>
        <v>big4</v>
      </c>
      <c r="CA173" t="s">
        <v>324</v>
      </c>
      <c r="CB173" t="str">
        <f t="shared" si="278"/>
        <v>big4_Freight</v>
      </c>
      <c r="CC173" t="str">
        <f t="shared" si="261"/>
        <v>steam_RAIL</v>
      </c>
      <c r="CD173" s="17" t="str" cm="1">
        <f t="array" ref="CD173">_xlfn.CONCAT("{BLACK}Length: {GOLD}", TEXT(ROUNDUP(IF(AQ173&lt;&gt;"",SUM(VALUE(_xlfn.TEXTSPLIT(AQ173, ","))), SUM(VALUE(_xlfn.TEXTSPLIT(AN173, ",")))*IF(M173, M173, 1))/16, 1), "#,##0.0"), " tiles{}")</f>
        <v>{BLACK}Length: {GOLD}0.8 tiles{}</v>
      </c>
      <c r="CE173" t="str">
        <f>VLOOKUP($CC173, Constants!$M:$N, 2, FALSE)</f>
        <v>{BLACK}Powered by: {GOLD}Steam</v>
      </c>
      <c r="CF173" t="str">
        <f t="shared" si="281"/>
        <v/>
      </c>
      <c r="CG173" t="s">
        <v>445</v>
      </c>
      <c r="CH173" t="str">
        <f t="shared" si="259"/>
        <v/>
      </c>
      <c r="CI173" t="str">
        <f t="shared" si="262"/>
        <v/>
      </c>
      <c r="CJ173" t="str">
        <f t="shared" si="263"/>
        <v>{BLACK}Powered by: {GOLD}Steam {}{BLACK}Length: {GOLD}0.8 tiles{}{SILVER}The Stanier 8F is a further development of the Class 5, specialised for freight traffic with a 2-8-0 layout.</v>
      </c>
    </row>
    <row r="174" spans="1:88" x14ac:dyDescent="0.35">
      <c r="A174" t="s">
        <v>17</v>
      </c>
      <c r="B174" t="s">
        <v>447</v>
      </c>
      <c r="C174">
        <v>244</v>
      </c>
      <c r="E174">
        <v>60</v>
      </c>
      <c r="F174" t="s">
        <v>1498</v>
      </c>
      <c r="G174" t="s">
        <v>258</v>
      </c>
      <c r="H174" t="s">
        <v>267</v>
      </c>
      <c r="I174" t="s">
        <v>270</v>
      </c>
      <c r="J174">
        <v>1935</v>
      </c>
      <c r="K174">
        <v>1938</v>
      </c>
      <c r="L174">
        <v>1966</v>
      </c>
      <c r="N174">
        <v>2450</v>
      </c>
      <c r="W174">
        <v>104.6</v>
      </c>
      <c r="X174" s="8">
        <v>64</v>
      </c>
      <c r="Z174">
        <v>157</v>
      </c>
      <c r="AA174" s="3">
        <f t="shared" si="268"/>
        <v>9.3119810201660741E-2</v>
      </c>
      <c r="AB174">
        <v>126</v>
      </c>
      <c r="AC174">
        <f t="shared" si="244"/>
        <v>202</v>
      </c>
      <c r="AE174">
        <v>1</v>
      </c>
      <c r="AF174">
        <v>21.65</v>
      </c>
      <c r="AG174">
        <f>AF174-7.5</f>
        <v>14.149999999999999</v>
      </c>
      <c r="AI174">
        <v>3.99</v>
      </c>
      <c r="AJ174" s="10">
        <v>0</v>
      </c>
      <c r="AK174" t="str">
        <f>CONCATENATE(VLOOKUP(AL174, 'Voxel Sizes'!$A$2:$B$18,2,FALSE),"x",INT(AH174*15), "x", INT(AI174*15))</f>
        <v>136x0x59</v>
      </c>
      <c r="AL174">
        <f t="shared" si="269"/>
        <v>8</v>
      </c>
      <c r="AM174" t="s">
        <v>430</v>
      </c>
      <c r="AN174" t="str">
        <f>CONCATENATE(VLOOKUP(AL174,Constants!$A$2:$C$16,IF(AM174&lt;&gt;"", 3, 2), FALSE),IF(AM174&lt;&gt;"",CONCATENATE(",",VLOOKUP(AM174,$B:$AN,39,FALSE)),""))</f>
        <v>2,4,2,2,1,2</v>
      </c>
      <c r="AV174">
        <v>1</v>
      </c>
      <c r="AX174">
        <v>28</v>
      </c>
      <c r="AY174" s="15">
        <f t="shared" si="270"/>
        <v>39</v>
      </c>
      <c r="BB174">
        <f t="shared" si="271"/>
        <v>25.2</v>
      </c>
      <c r="BC174">
        <f t="shared" si="272"/>
        <v>12.25</v>
      </c>
      <c r="BD174">
        <f t="shared" si="273"/>
        <v>7.8500000000000005</v>
      </c>
      <c r="BE174" s="3">
        <f t="shared" si="274"/>
        <v>0.95333333333333337</v>
      </c>
      <c r="BF174">
        <f t="shared" si="275"/>
        <v>0</v>
      </c>
      <c r="BG174">
        <f>VLOOKUP($H174,Constants!$I:$K, 2, FALSE)</f>
        <v>1.1499999999999999</v>
      </c>
      <c r="BH174">
        <f>VLOOKUP($H174,Constants!$I:$K, 3, FALSE)*IF(AND(G174="multiple_unit",AB174&lt;110),0.75,1)</f>
        <v>1.7</v>
      </c>
      <c r="BI174">
        <f>INT(POWER(((Constants!$G$2+$BB174+$BC174+$BD174+$BF174)*$BE174)*$BH174, 1.05))+$BA174</f>
        <v>101</v>
      </c>
      <c r="BJ174">
        <f>INT(POWER((((Constants!$G$1+$BB174+$BC174+$BD174+$BF174)*($BE174))*$BG174),IF($G174="wagon",1,1.2)))+$AZ174</f>
        <v>152</v>
      </c>
      <c r="BK174" s="14">
        <f t="shared" si="276"/>
        <v>78906.25</v>
      </c>
      <c r="BL174" s="14">
        <f t="shared" si="277"/>
        <v>12350</v>
      </c>
      <c r="BU174">
        <v>2</v>
      </c>
      <c r="BZ174" t="str">
        <f>VLOOKUP(J174,Eras!$A$2:$C$10, 2, TRUE)</f>
        <v>big4</v>
      </c>
      <c r="CA174" t="s">
        <v>323</v>
      </c>
      <c r="CB174" t="str">
        <f t="shared" si="278"/>
        <v>big4_Express</v>
      </c>
      <c r="CC174" t="str">
        <f t="shared" si="261"/>
        <v>steam_RAIL</v>
      </c>
      <c r="CD174" s="17" t="str" cm="1">
        <f t="array" ref="CD174">_xlfn.CONCAT("{BLACK}Length: {GOLD}", TEXT(ROUNDUP(IF(AQ174&lt;&gt;"",SUM(VALUE(_xlfn.TEXTSPLIT(AQ174, ","))), SUM(VALUE(_xlfn.TEXTSPLIT(AN174, ",")))*IF(M174, M174, 1))/16, 1), "#,##0.0"), " tiles{}")</f>
        <v>{BLACK}Length: {GOLD}0.9 tiles{}</v>
      </c>
      <c r="CE174" t="str">
        <f>VLOOKUP($CC174, Constants!$M:$N, 2, FALSE)</f>
        <v>{BLACK}Powered by: {GOLD}Steam</v>
      </c>
      <c r="CF174" t="str">
        <f t="shared" si="281"/>
        <v/>
      </c>
      <c r="CG174" t="s">
        <v>446</v>
      </c>
      <c r="CH174" t="str">
        <f t="shared" si="259"/>
        <v/>
      </c>
      <c r="CI174" t="str">
        <f t="shared" si="262"/>
        <v/>
      </c>
      <c r="CJ174" t="str">
        <f t="shared" si="263"/>
        <v>{BLACK}Powered by: {GOLD}Steam {}{BLACK}Length: {GOLD}0.9 tiles{}{SILVER}The Gresley A4 is the iconic pinnacle of high-speed British steam, holding numerous speed and power records.</v>
      </c>
    </row>
    <row r="175" spans="1:88" x14ac:dyDescent="0.35">
      <c r="A175" t="s">
        <v>7</v>
      </c>
      <c r="B175" t="s">
        <v>448</v>
      </c>
      <c r="C175">
        <v>246</v>
      </c>
      <c r="E175">
        <v>61</v>
      </c>
      <c r="F175" t="s">
        <v>1498</v>
      </c>
      <c r="G175" t="s">
        <v>258</v>
      </c>
      <c r="H175" t="s">
        <v>267</v>
      </c>
      <c r="I175" t="s">
        <v>270</v>
      </c>
      <c r="J175">
        <v>1936</v>
      </c>
      <c r="K175">
        <v>1944</v>
      </c>
      <c r="L175">
        <v>1966</v>
      </c>
      <c r="N175">
        <v>1900</v>
      </c>
      <c r="P175" s="5">
        <v>18.5</v>
      </c>
      <c r="Q175" s="5">
        <v>26</v>
      </c>
      <c r="R175" s="5">
        <v>3</v>
      </c>
      <c r="S175" s="5">
        <v>220</v>
      </c>
      <c r="T175" s="6">
        <f>((($AB175/2)/60)*5280)/($U175*3.2*PI())</f>
        <v>216.509982424214</v>
      </c>
      <c r="U175" s="5">
        <v>1.88</v>
      </c>
      <c r="V175" s="5">
        <f>((($P175*$P175/4)*PI())*($Q175/12)*$R175*$S175*$T175)/(33000*1.1)</f>
        <v>2292.6653922872338</v>
      </c>
      <c r="W175">
        <v>91</v>
      </c>
      <c r="X175" s="8">
        <v>54</v>
      </c>
      <c r="Z175">
        <v>150</v>
      </c>
      <c r="AA175" s="3">
        <f t="shared" si="268"/>
        <v>0.10344827586206896</v>
      </c>
      <c r="AB175">
        <v>93</v>
      </c>
      <c r="AC175">
        <f t="shared" si="244"/>
        <v>149</v>
      </c>
      <c r="AE175">
        <v>1</v>
      </c>
      <c r="AF175">
        <v>20.239999999999998</v>
      </c>
      <c r="AG175">
        <f>AF175-7.5</f>
        <v>12.739999999999998</v>
      </c>
      <c r="AJ175" s="10">
        <v>0</v>
      </c>
      <c r="AK175" t="str">
        <f>CONCATENATE(VLOOKUP(AL175, 'Voxel Sizes'!$A$2:$B$18,2,FALSE),"x",INT(AH175*15), "x", INT(AI175*15))</f>
        <v>120x0x0</v>
      </c>
      <c r="AL175">
        <f t="shared" si="269"/>
        <v>7</v>
      </c>
      <c r="AM175" t="s">
        <v>430</v>
      </c>
      <c r="AN175" t="str">
        <f>CONCATENATE(VLOOKUP(AL175,Constants!$A$2:$C$16,IF(AM175&lt;&gt;"", 3, 2), FALSE),IF(AM175&lt;&gt;"",CONCATENATE(",",VLOOKUP(AM175,$B:$AN,39,FALSE)),""))</f>
        <v>2,3,2,2,1,2</v>
      </c>
      <c r="AV175">
        <v>1</v>
      </c>
      <c r="AX175">
        <v>32</v>
      </c>
      <c r="AY175" s="15">
        <f t="shared" si="270"/>
        <v>38</v>
      </c>
      <c r="BB175">
        <f t="shared" si="271"/>
        <v>18.600000000000001</v>
      </c>
      <c r="BC175">
        <f t="shared" si="272"/>
        <v>9.5</v>
      </c>
      <c r="BD175">
        <f t="shared" si="273"/>
        <v>7.5</v>
      </c>
      <c r="BE175" s="3">
        <f t="shared" si="274"/>
        <v>0.95199999999999996</v>
      </c>
      <c r="BF175">
        <f t="shared" si="275"/>
        <v>0</v>
      </c>
      <c r="BG175">
        <f>VLOOKUP($H175,Constants!$I:$K, 2, FALSE)</f>
        <v>1.1499999999999999</v>
      </c>
      <c r="BH175">
        <f>VLOOKUP($H175,Constants!$I:$K, 3, FALSE)*IF(AND(G175="multiple_unit",AB175&lt;110),0.75,1)</f>
        <v>1.7</v>
      </c>
      <c r="BI175">
        <f>INT(POWER(((Constants!$G$2+$BB175+$BC175+$BD175+$BF175)*$BE175)*$BH175, 1.05))+$BA175</f>
        <v>81</v>
      </c>
      <c r="BJ175">
        <f>INT(POWER((((Constants!$G$1+$BB175+$BC175+$BD175+$BF175)*($BE175))*$BG175),IF($G175="wagon",1,1.2)))+$AZ175</f>
        <v>123</v>
      </c>
      <c r="BK175" s="14">
        <f t="shared" si="276"/>
        <v>63281.25</v>
      </c>
      <c r="BL175" s="14">
        <f t="shared" si="277"/>
        <v>9993.75</v>
      </c>
      <c r="BU175">
        <v>3</v>
      </c>
      <c r="BZ175" t="str">
        <f>VLOOKUP(J175,Eras!$A$2:$C$10, 2, TRUE)</f>
        <v>big4</v>
      </c>
      <c r="CA175" t="s">
        <v>322</v>
      </c>
      <c r="CB175" t="str">
        <f t="shared" si="278"/>
        <v>big4_Mixed Traffic</v>
      </c>
      <c r="CC175" t="str">
        <f t="shared" si="261"/>
        <v>steam_RAIL</v>
      </c>
      <c r="CD175" s="17" t="str" cm="1">
        <f t="array" ref="CD175">_xlfn.CONCAT("{BLACK}Length: {GOLD}", TEXT(ROUNDUP(IF(AQ175&lt;&gt;"",SUM(VALUE(_xlfn.TEXTSPLIT(AQ175, ","))), SUM(VALUE(_xlfn.TEXTSPLIT(AN175, ",")))*IF(M175, M175, 1))/16, 1), "#,##0.0"), " tiles{}")</f>
        <v>{BLACK}Length: {GOLD}0.8 tiles{}</v>
      </c>
      <c r="CE175" t="str">
        <f>VLOOKUP($CC175, Constants!$M:$N, 2, FALSE)</f>
        <v>{BLACK}Powered by: {GOLD}Steam</v>
      </c>
      <c r="CF175" t="str">
        <f t="shared" si="281"/>
        <v/>
      </c>
      <c r="CG175" t="s">
        <v>449</v>
      </c>
      <c r="CH175" t="str">
        <f t="shared" si="259"/>
        <v/>
      </c>
      <c r="CI175" t="str">
        <f t="shared" si="262"/>
        <v/>
      </c>
      <c r="CJ175" t="str">
        <f t="shared" si="263"/>
        <v>{BLACK}Powered by: {GOLD}Steam {}{BLACK}Length: {GOLD}0.8 tiles{}{SILVER}The Gresley V2 is derived from the A3 type, adapted to mixed traffic with a shorter boiler, smaller driving wheels and a 2-6-2 layout.</v>
      </c>
    </row>
    <row r="176" spans="1:88" x14ac:dyDescent="0.35">
      <c r="A176" t="s">
        <v>14</v>
      </c>
      <c r="B176" t="s">
        <v>450</v>
      </c>
      <c r="C176">
        <v>248</v>
      </c>
      <c r="E176">
        <v>62</v>
      </c>
      <c r="F176" t="s">
        <v>1498</v>
      </c>
      <c r="G176" t="s">
        <v>258</v>
      </c>
      <c r="H176" t="s">
        <v>267</v>
      </c>
      <c r="I176" t="s">
        <v>270</v>
      </c>
      <c r="J176">
        <v>1936</v>
      </c>
      <c r="K176">
        <v>1939</v>
      </c>
      <c r="L176">
        <v>1965</v>
      </c>
      <c r="N176">
        <v>1600</v>
      </c>
      <c r="P176" s="5">
        <v>18.5</v>
      </c>
      <c r="Q176" s="5">
        <v>30</v>
      </c>
      <c r="R176" s="5">
        <v>2</v>
      </c>
      <c r="S176" s="5">
        <v>225</v>
      </c>
      <c r="T176" s="6">
        <f>((($AB176/2)/60)*5280)/($U176*3.2*PI())</f>
        <v>193.09239419237301</v>
      </c>
      <c r="U176" s="5">
        <v>1.7</v>
      </c>
      <c r="V176" s="5">
        <f>((($P176*$P176/4)*PI())*($Q176/12)*$R176*$S176*$T176)/(33000*1.1)</f>
        <v>1608.5864388368984</v>
      </c>
      <c r="W176">
        <v>75.2</v>
      </c>
      <c r="X176" s="8">
        <v>48</v>
      </c>
      <c r="Z176">
        <v>128</v>
      </c>
      <c r="AA176" s="3">
        <f t="shared" si="268"/>
        <v>0.1038961038961039</v>
      </c>
      <c r="AB176">
        <v>75</v>
      </c>
      <c r="AC176">
        <f t="shared" si="244"/>
        <v>120</v>
      </c>
      <c r="AF176">
        <v>19.21</v>
      </c>
      <c r="AG176">
        <f>AF176-7.5</f>
        <v>11.71</v>
      </c>
      <c r="AI176">
        <v>3.96</v>
      </c>
      <c r="AJ176" s="10">
        <v>0</v>
      </c>
      <c r="AK176" t="str">
        <f>CONCATENATE(VLOOKUP(AL176, 'Voxel Sizes'!$A$2:$B$18,2,FALSE),"x",INT(AH176*15), "x", INT(AI176*15))</f>
        <v>120x0x59</v>
      </c>
      <c r="AL176">
        <f t="shared" si="269"/>
        <v>7</v>
      </c>
      <c r="AM176" t="s">
        <v>415</v>
      </c>
      <c r="AN176" t="str">
        <f>CONCATENATE(VLOOKUP(AL176,Constants!$A$2:$C$16,IF(AM176&lt;&gt;"", 3, 2), FALSE),IF(AM176&lt;&gt;"",CONCATENATE(",",VLOOKUP(AM176,$B:$AN,39,FALSE)),""))</f>
        <v>2,3,2,2,1,2</v>
      </c>
      <c r="AV176">
        <v>1</v>
      </c>
      <c r="AX176">
        <v>30</v>
      </c>
      <c r="AY176" s="15">
        <f t="shared" si="270"/>
        <v>37</v>
      </c>
      <c r="BB176">
        <f t="shared" si="271"/>
        <v>15</v>
      </c>
      <c r="BC176">
        <f t="shared" si="272"/>
        <v>8</v>
      </c>
      <c r="BD176">
        <f t="shared" si="273"/>
        <v>6.4</v>
      </c>
      <c r="BE176" s="3">
        <f t="shared" si="274"/>
        <v>0.95199999999999996</v>
      </c>
      <c r="BF176">
        <f t="shared" si="275"/>
        <v>0</v>
      </c>
      <c r="BG176">
        <f>VLOOKUP($H176,Constants!$I:$K, 2, FALSE)</f>
        <v>1.1499999999999999</v>
      </c>
      <c r="BH176">
        <f>VLOOKUP($H176,Constants!$I:$K, 3, FALSE)*IF(AND(G176="multiple_unit",AB176&lt;110),0.75,1)</f>
        <v>1.7</v>
      </c>
      <c r="BI176">
        <f>INT(POWER(((Constants!$G$2+$BB176+$BC176+$BD176+$BF176)*$BE176)*$BH176, 1.05))+$BA176</f>
        <v>68</v>
      </c>
      <c r="BJ176">
        <f>INT(POWER((((Constants!$G$1+$BB176+$BC176+$BD176+$BF176)*($BE176))*$BG176),IF($G176="wagon",1,1.2)))+$AZ176</f>
        <v>105</v>
      </c>
      <c r="BK176" s="14">
        <f t="shared" si="276"/>
        <v>53125</v>
      </c>
      <c r="BL176" s="14">
        <f t="shared" si="277"/>
        <v>8531.25</v>
      </c>
      <c r="BU176">
        <v>4</v>
      </c>
      <c r="BZ176" t="str">
        <f>VLOOKUP(J176,Eras!$A$2:$C$10, 2, TRUE)</f>
        <v>big4</v>
      </c>
      <c r="CA176" t="s">
        <v>322</v>
      </c>
      <c r="CB176" t="str">
        <f t="shared" si="278"/>
        <v>big4_Mixed Traffic</v>
      </c>
      <c r="CC176" t="str">
        <f t="shared" si="261"/>
        <v>steam_RAIL</v>
      </c>
      <c r="CD176" s="17" t="str" cm="1">
        <f t="array" ref="CD176">_xlfn.CONCAT("{BLACK}Length: {GOLD}", TEXT(ROUNDUP(IF(AQ176&lt;&gt;"",SUM(VALUE(_xlfn.TEXTSPLIT(AQ176, ","))), SUM(VALUE(_xlfn.TEXTSPLIT(AN176, ",")))*IF(M176, M176, 1))/16, 1), "#,##0.0"), " tiles{}")</f>
        <v>{BLACK}Length: {GOLD}0.8 tiles{}</v>
      </c>
      <c r="CE176" t="str">
        <f>VLOOKUP($CC176, Constants!$M:$N, 2, FALSE)</f>
        <v>{BLACK}Powered by: {GOLD}Steam</v>
      </c>
      <c r="CF176" t="str">
        <f t="shared" si="281"/>
        <v/>
      </c>
      <c r="CG176" t="s">
        <v>452</v>
      </c>
      <c r="CH176" t="str">
        <f t="shared" si="259"/>
        <v/>
      </c>
      <c r="CI176" t="str">
        <f t="shared" si="262"/>
        <v/>
      </c>
      <c r="CJ176" t="str">
        <f t="shared" si="263"/>
        <v>{BLACK}Powered by: {GOLD}Steam {}{BLACK}Length: {GOLD}0.8 tiles{}{SILVER}The Grange class is a conservative design similar to the Hall class with smaller driving wheels, but proved to be reliable in service.</v>
      </c>
    </row>
    <row r="177" spans="1:88" x14ac:dyDescent="0.35">
      <c r="A177" t="s">
        <v>23</v>
      </c>
      <c r="B177" t="s">
        <v>451</v>
      </c>
      <c r="C177">
        <v>250</v>
      </c>
      <c r="E177">
        <v>63</v>
      </c>
      <c r="F177" t="s">
        <v>1498</v>
      </c>
      <c r="G177" t="s">
        <v>258</v>
      </c>
      <c r="H177" t="s">
        <v>267</v>
      </c>
      <c r="I177" t="s">
        <v>270</v>
      </c>
      <c r="J177">
        <v>1937</v>
      </c>
      <c r="K177">
        <v>1948</v>
      </c>
      <c r="L177">
        <v>1964</v>
      </c>
      <c r="N177">
        <v>2500</v>
      </c>
      <c r="W177">
        <v>110</v>
      </c>
      <c r="X177" s="8">
        <v>57</v>
      </c>
      <c r="Z177">
        <v>180</v>
      </c>
      <c r="AA177" s="3">
        <f t="shared" si="268"/>
        <v>0.10778443113772455</v>
      </c>
      <c r="AB177">
        <v>115</v>
      </c>
      <c r="AC177">
        <f t="shared" si="244"/>
        <v>184</v>
      </c>
      <c r="AE177">
        <v>1</v>
      </c>
      <c r="AF177">
        <v>22.49</v>
      </c>
      <c r="AG177">
        <f>AF177-7.5</f>
        <v>14.989999999999998</v>
      </c>
      <c r="AI177">
        <v>4.0389999999999997</v>
      </c>
      <c r="AJ177" s="10">
        <v>0</v>
      </c>
      <c r="AK177" t="str">
        <f>CONCATENATE(VLOOKUP(AL177, 'Voxel Sizes'!$A$2:$B$18,2,FALSE),"x",INT(AH177*15), "x", INT(AI177*15))</f>
        <v>152x0x60</v>
      </c>
      <c r="AL177">
        <f t="shared" si="269"/>
        <v>9</v>
      </c>
      <c r="AM177" t="s">
        <v>454</v>
      </c>
      <c r="AN177" t="str">
        <f>CONCATENATE(VLOOKUP(AL177,Constants!$A$2:$C$16,IF(AM177&lt;&gt;"", 3, 2), FALSE),IF(AM177&lt;&gt;"",CONCATENATE(",",VLOOKUP(AM177,$B:$AN,39,FALSE)),""))</f>
        <v>2,5,2,2,1,2</v>
      </c>
      <c r="AV177">
        <v>1</v>
      </c>
      <c r="AX177">
        <v>35</v>
      </c>
      <c r="AY177" s="15">
        <f t="shared" si="270"/>
        <v>35</v>
      </c>
      <c r="BB177">
        <f t="shared" si="271"/>
        <v>23</v>
      </c>
      <c r="BC177">
        <f t="shared" si="272"/>
        <v>12.5</v>
      </c>
      <c r="BD177">
        <f t="shared" si="273"/>
        <v>9</v>
      </c>
      <c r="BE177" s="3">
        <f t="shared" si="274"/>
        <v>0.95066666666666666</v>
      </c>
      <c r="BF177">
        <f t="shared" si="275"/>
        <v>0</v>
      </c>
      <c r="BG177">
        <f>VLOOKUP($H177,Constants!$I:$K, 2, FALSE)</f>
        <v>1.1499999999999999</v>
      </c>
      <c r="BH177">
        <f>VLOOKUP($H177,Constants!$I:$K, 3, FALSE)*IF(AND(G177="multiple_unit",AB177&lt;110),0.75,1)</f>
        <v>1.7</v>
      </c>
      <c r="BI177">
        <f>INT(POWER(((Constants!$G$2+$BB177+$BC177+$BD177+$BF177)*$BE177)*$BH177, 1.05))+$BA177</f>
        <v>99</v>
      </c>
      <c r="BJ177">
        <f>INT(POWER((((Constants!$G$1+$BB177+$BC177+$BD177+$BF177)*($BE177))*$BG177),IF($G177="wagon",1,1.2)))+$AZ177</f>
        <v>149</v>
      </c>
      <c r="BK177" s="14">
        <f t="shared" si="276"/>
        <v>77343.75</v>
      </c>
      <c r="BL177" s="14">
        <f t="shared" si="277"/>
        <v>12106.25</v>
      </c>
      <c r="BU177">
        <v>5</v>
      </c>
      <c r="BZ177" t="str">
        <f>VLOOKUP(J177,Eras!$A$2:$C$10, 2, TRUE)</f>
        <v>big4</v>
      </c>
      <c r="CA177" t="s">
        <v>323</v>
      </c>
      <c r="CB177" t="str">
        <f t="shared" si="278"/>
        <v>big4_Express</v>
      </c>
      <c r="CC177" t="str">
        <f t="shared" si="261"/>
        <v>steam_RAIL</v>
      </c>
      <c r="CD177" s="17" t="str" cm="1">
        <f t="array" ref="CD177">_xlfn.CONCAT("{BLACK}Length: {GOLD}", TEXT(ROUNDUP(IF(AQ177&lt;&gt;"",SUM(VALUE(_xlfn.TEXTSPLIT(AQ177, ","))), SUM(VALUE(_xlfn.TEXTSPLIT(AN177, ",")))*IF(M177, M177, 1))/16, 1), "#,##0.0"), " tiles{}")</f>
        <v>{BLACK}Length: {GOLD}0.9 tiles{}</v>
      </c>
      <c r="CE177" t="str">
        <f>VLOOKUP($CC177, Constants!$M:$N, 2, FALSE)</f>
        <v>{BLACK}Powered by: {GOLD}Steam</v>
      </c>
      <c r="CF177" t="str">
        <f t="shared" si="281"/>
        <v/>
      </c>
      <c r="CG177" t="s">
        <v>453</v>
      </c>
      <c r="CH177" t="str">
        <f t="shared" si="259"/>
        <v/>
      </c>
      <c r="CI177" t="str">
        <f t="shared" si="262"/>
        <v/>
      </c>
      <c r="CJ177" t="str">
        <f t="shared" si="263"/>
        <v>{BLACK}Powered by: {GOLD}Steam {}{BLACK}Length: {GOLD}0.9 tiles{}{SILVER}The Stanier Coronation briefly held the British speed record for a steam locomotive. In real life, the streamlined casing was only fitted to early examples.</v>
      </c>
    </row>
    <row r="178" spans="1:88" x14ac:dyDescent="0.35">
      <c r="A178" t="s">
        <v>26</v>
      </c>
      <c r="B178" t="s">
        <v>464</v>
      </c>
      <c r="C178">
        <v>252</v>
      </c>
      <c r="E178">
        <v>64</v>
      </c>
      <c r="F178" t="s">
        <v>1498</v>
      </c>
      <c r="G178" t="s">
        <v>258</v>
      </c>
      <c r="H178" t="s">
        <v>267</v>
      </c>
      <c r="I178" t="s">
        <v>270</v>
      </c>
      <c r="J178">
        <v>1941</v>
      </c>
      <c r="K178">
        <v>1949</v>
      </c>
      <c r="L178">
        <v>1967</v>
      </c>
      <c r="N178">
        <v>2100</v>
      </c>
      <c r="P178" s="5">
        <v>18</v>
      </c>
      <c r="Q178" s="5">
        <v>24</v>
      </c>
      <c r="R178" s="5">
        <v>3</v>
      </c>
      <c r="S178" s="5">
        <v>250</v>
      </c>
      <c r="T178" s="6">
        <f>((($AB178/2)/60)*5280)/($U178*3.2*PI())</f>
        <v>241.87363061991991</v>
      </c>
      <c r="U178" s="5">
        <v>1.9</v>
      </c>
      <c r="V178" s="5">
        <f>((($P178*$P178/4)*PI())*($Q178/12)*$R178*$S178*$T178)/(33000*1.1)</f>
        <v>2543.3612440191391</v>
      </c>
      <c r="W178">
        <v>96.3</v>
      </c>
      <c r="X178" s="8">
        <v>52</v>
      </c>
      <c r="Z178">
        <v>167</v>
      </c>
      <c r="AA178" s="3">
        <f t="shared" si="268"/>
        <v>0.11260957518543493</v>
      </c>
      <c r="AB178">
        <v>105</v>
      </c>
      <c r="AC178">
        <f t="shared" si="244"/>
        <v>168</v>
      </c>
      <c r="AE178">
        <v>1</v>
      </c>
      <c r="AF178">
        <v>21.23</v>
      </c>
      <c r="AG178">
        <f>AF178-7.5</f>
        <v>13.73</v>
      </c>
      <c r="AJ178" s="10">
        <v>0</v>
      </c>
      <c r="AK178" t="str">
        <f>CONCATENATE(VLOOKUP(AL178, 'Voxel Sizes'!$A$2:$B$18,2,FALSE),"x",INT(AH178*15), "x", INT(AI178*15))</f>
        <v>136x0x0</v>
      </c>
      <c r="AL178">
        <f t="shared" si="269"/>
        <v>8</v>
      </c>
      <c r="AM178" t="s">
        <v>463</v>
      </c>
      <c r="AN178" t="str">
        <f>CONCATENATE(VLOOKUP(AL178,Constants!$A$2:$C$16,IF(AM178&lt;&gt;"", 3, 2), FALSE),IF(AM178&lt;&gt;"",CONCATENATE(",",VLOOKUP(AM178,$B:$AN,39,FALSE)),""))</f>
        <v>2,4,2,2,1,2</v>
      </c>
      <c r="AV178">
        <v>1</v>
      </c>
      <c r="AX178">
        <v>32</v>
      </c>
      <c r="AY178" s="15">
        <f t="shared" si="270"/>
        <v>34</v>
      </c>
      <c r="BB178">
        <f t="shared" si="271"/>
        <v>21</v>
      </c>
      <c r="BC178">
        <f t="shared" si="272"/>
        <v>10.5</v>
      </c>
      <c r="BD178">
        <f t="shared" si="273"/>
        <v>8.35</v>
      </c>
      <c r="BE178" s="3">
        <f t="shared" si="274"/>
        <v>0.94533333333333336</v>
      </c>
      <c r="BF178">
        <f t="shared" si="275"/>
        <v>0</v>
      </c>
      <c r="BG178">
        <f>VLOOKUP($H178,Constants!$I:$K, 2, FALSE)</f>
        <v>1.1499999999999999</v>
      </c>
      <c r="BH178">
        <f>VLOOKUP($H178,Constants!$I:$K, 3, FALSE)*IF(AND(G178="multiple_unit",AB178&lt;110),0.75,1)</f>
        <v>1.7</v>
      </c>
      <c r="BI178">
        <f>INT(POWER(((Constants!$G$2+$BB178+$BC178+$BD178+$BF178)*$BE178)*$BH178, 1.05))+$BA178</f>
        <v>89</v>
      </c>
      <c r="BJ178">
        <f>INT(POWER((((Constants!$G$1+$BB178+$BC178+$BD178+$BF178)*($BE178))*$BG178),IF($G178="wagon",1,1.2)))+$AZ178</f>
        <v>135</v>
      </c>
      <c r="BK178" s="14">
        <f t="shared" si="276"/>
        <v>69531.25</v>
      </c>
      <c r="BL178" s="14">
        <f t="shared" si="277"/>
        <v>10968.75</v>
      </c>
      <c r="BU178">
        <v>6</v>
      </c>
      <c r="BZ178" t="str">
        <f>VLOOKUP(J178,Eras!$A$2:$C$10, 2, TRUE)</f>
        <v>big4</v>
      </c>
      <c r="CA178" t="s">
        <v>323</v>
      </c>
      <c r="CB178" t="str">
        <f t="shared" si="278"/>
        <v>big4_Express</v>
      </c>
      <c r="CC178" t="str">
        <f t="shared" si="261"/>
        <v>steam_RAIL</v>
      </c>
      <c r="CD178" s="17" t="str" cm="1">
        <f t="array" ref="CD178">_xlfn.CONCAT("{BLACK}Length: {GOLD}", TEXT(ROUNDUP(IF(AQ178&lt;&gt;"",SUM(VALUE(_xlfn.TEXTSPLIT(AQ178, ","))), SUM(VALUE(_xlfn.TEXTSPLIT(AN178, ",")))*IF(M178, M178, 1))/16, 1), "#,##0.0"), " tiles{}")</f>
        <v>{BLACK}Length: {GOLD}0.9 tiles{}</v>
      </c>
      <c r="CE178" t="str">
        <f>VLOOKUP($CC178, Constants!$M:$N, 2, FALSE)</f>
        <v>{BLACK}Powered by: {GOLD}Steam</v>
      </c>
      <c r="CF178" t="str">
        <f t="shared" si="281"/>
        <v/>
      </c>
      <c r="CG178" t="s">
        <v>465</v>
      </c>
      <c r="CH178" t="str">
        <f t="shared" si="259"/>
        <v/>
      </c>
      <c r="CI178" t="str">
        <f t="shared" si="262"/>
        <v/>
      </c>
      <c r="CJ178" t="str">
        <f t="shared" si="263"/>
        <v>{BLACK}Powered by: {GOLD}Steam {}{BLACK}Length: {GOLD}0.9 tiles{}{SILVER}The SR Merchant Navy is a large, powerful locomotive with an air-smoothed casing. Bulleid's novel design features proved to be troublesome, and the class was later rebuilt.</v>
      </c>
    </row>
    <row r="179" spans="1:88" x14ac:dyDescent="0.35">
      <c r="A179" t="s">
        <v>57</v>
      </c>
      <c r="B179" t="s">
        <v>160</v>
      </c>
      <c r="C179">
        <v>256</v>
      </c>
      <c r="E179">
        <v>65</v>
      </c>
      <c r="F179" t="s">
        <v>1498</v>
      </c>
      <c r="G179" t="s">
        <v>258</v>
      </c>
      <c r="H179" t="s">
        <v>291</v>
      </c>
      <c r="I179" t="s">
        <v>298</v>
      </c>
      <c r="J179">
        <v>1941</v>
      </c>
      <c r="K179">
        <v>1948</v>
      </c>
      <c r="L179">
        <v>1968</v>
      </c>
      <c r="N179">
        <v>1470</v>
      </c>
      <c r="W179">
        <v>101</v>
      </c>
      <c r="Z179">
        <v>178</v>
      </c>
      <c r="AA179" s="3">
        <f t="shared" si="268"/>
        <v>0.17623762376237623</v>
      </c>
      <c r="AB179">
        <v>75</v>
      </c>
      <c r="AC179">
        <f t="shared" si="244"/>
        <v>120</v>
      </c>
      <c r="AE179">
        <v>1</v>
      </c>
      <c r="AF179">
        <v>17</v>
      </c>
      <c r="AG179">
        <v>17</v>
      </c>
      <c r="AJ179" s="10">
        <v>0</v>
      </c>
      <c r="AK179" t="str">
        <f>CONCATENATE(VLOOKUP(AL179, 'Voxel Sizes'!$A$2:$B$18,2,FALSE),"x",INT(AH179*15), "x", INT(AI179*15))</f>
        <v>164x0x0</v>
      </c>
      <c r="AL179">
        <f t="shared" si="269"/>
        <v>10</v>
      </c>
      <c r="AN179" t="str">
        <f>CONCATENATE(VLOOKUP(AL179,Constants!$A$2:$C$16,IF(AM179&lt;&gt;"", 3, 2), FALSE),IF(AM179&lt;&gt;"",CONCATENATE(",",VLOOKUP(AM179,$B:$AN,39,FALSE)),""))</f>
        <v>4,2,4</v>
      </c>
      <c r="AX179">
        <v>31</v>
      </c>
      <c r="AY179" s="15">
        <f t="shared" si="270"/>
        <v>35</v>
      </c>
      <c r="BB179">
        <f t="shared" si="271"/>
        <v>15</v>
      </c>
      <c r="BC179">
        <f t="shared" si="272"/>
        <v>7.35</v>
      </c>
      <c r="BD179">
        <f t="shared" si="273"/>
        <v>8.9</v>
      </c>
      <c r="BE179" s="3">
        <f t="shared" si="274"/>
        <v>0.94533333333333336</v>
      </c>
      <c r="BF179">
        <f t="shared" si="275"/>
        <v>0</v>
      </c>
      <c r="BG179">
        <f>VLOOKUP($H179,Constants!$I:$K, 2, FALSE)</f>
        <v>0.85</v>
      </c>
      <c r="BH179">
        <f>VLOOKUP($H179,Constants!$I:$K, 3, FALSE)*IF(AND(G179="multiple_unit",AB179&lt;110),0.75,1)</f>
        <v>2.2999999999999998</v>
      </c>
      <c r="BI179">
        <f>INT(POWER(((Constants!$G$2+$BB179+$BC179+$BD179+$BF179)*$BE179)*$BH179, 1.05))+$BA179</f>
        <v>98</v>
      </c>
      <c r="BJ179">
        <f>INT(POWER((((Constants!$G$1+$BB179+$BC179+$BD179+$BF179)*($BE179))*$BG179),IF($G179="wagon",1,1.2)))+$AZ179</f>
        <v>76</v>
      </c>
      <c r="BK179" s="14">
        <f t="shared" si="276"/>
        <v>76562.5</v>
      </c>
      <c r="BL179" s="14">
        <f t="shared" si="277"/>
        <v>6175</v>
      </c>
      <c r="BU179">
        <v>8</v>
      </c>
      <c r="BZ179" t="str">
        <f>VLOOKUP(J179,Eras!$A$2:$C$10, 2, TRUE)</f>
        <v>big4</v>
      </c>
      <c r="CA179" t="s">
        <v>332</v>
      </c>
      <c r="CB179" t="str">
        <f t="shared" si="278"/>
        <v>big4_MT (Electric)</v>
      </c>
      <c r="CC179" t="str">
        <f t="shared" si="261"/>
        <v>electric_THIRD_RAIL</v>
      </c>
      <c r="CD179" s="17" t="str" cm="1">
        <f t="array" ref="CD179">_xlfn.CONCAT("{BLACK}Length: {GOLD}", TEXT(ROUNDUP(IF(AQ179&lt;&gt;"",SUM(VALUE(_xlfn.TEXTSPLIT(AQ179, ","))), SUM(VALUE(_xlfn.TEXTSPLIT(AN179, ",")))*IF(M179, M179, 1))/16, 1), "#,##0.0"), " tiles{}")</f>
        <v>{BLACK}Length: {GOLD}0.7 tiles{}</v>
      </c>
      <c r="CE179" t="str">
        <f>VLOOKUP($CC179, Constants!$M:$N, 2, FALSE)</f>
        <v>{BLACK}Powered by: {GOLD}750V DC</v>
      </c>
      <c r="CF179" t="str">
        <f t="shared" si="281"/>
        <v/>
      </c>
      <c r="CG179" t="s">
        <v>466</v>
      </c>
      <c r="CH179" t="str">
        <f t="shared" si="259"/>
        <v/>
      </c>
      <c r="CI179" t="str">
        <f t="shared" si="262"/>
        <v/>
      </c>
      <c r="CJ179" t="str">
        <f t="shared" si="263"/>
        <v>{BLACK}Powered by: {GOLD}750V DC {}{BLACK}Length: {GOLD}0.7 tiles{}{SILVER}With six traction motors, the CC is adept at handling both heavy freight and long passenger trains.</v>
      </c>
    </row>
    <row r="180" spans="1:88" x14ac:dyDescent="0.35">
      <c r="A180" t="s">
        <v>29</v>
      </c>
      <c r="B180" t="s">
        <v>467</v>
      </c>
      <c r="C180">
        <v>258</v>
      </c>
      <c r="E180">
        <v>66</v>
      </c>
      <c r="F180" t="s">
        <v>1498</v>
      </c>
      <c r="G180" t="s">
        <v>258</v>
      </c>
      <c r="H180" t="s">
        <v>267</v>
      </c>
      <c r="I180" t="s">
        <v>270</v>
      </c>
      <c r="J180">
        <v>1942</v>
      </c>
      <c r="K180">
        <v>1942</v>
      </c>
      <c r="L180">
        <v>1966</v>
      </c>
      <c r="N180">
        <v>1600</v>
      </c>
      <c r="P180" s="5">
        <v>19</v>
      </c>
      <c r="Q180" s="5">
        <v>26</v>
      </c>
      <c r="R180" s="5">
        <v>2</v>
      </c>
      <c r="S180" s="5">
        <v>230</v>
      </c>
      <c r="T180" s="6">
        <f t="shared" ref="T180:T187" si="282">((($AB180/2)/60)*5280)/($U180*3.2*PI())</f>
        <v>218.83804675135607</v>
      </c>
      <c r="U180" s="5">
        <v>1.5</v>
      </c>
      <c r="V180" s="5">
        <f t="shared" ref="V180:V187" si="283">((($P180*$P180/4)*PI())*($Q180/12)*$R180*$S180*$T180)/(33000*1.1)</f>
        <v>1703.5827020202014</v>
      </c>
      <c r="W180">
        <v>50.3</v>
      </c>
      <c r="X180" s="8">
        <f>90.7-W180</f>
        <v>40.400000000000006</v>
      </c>
      <c r="Z180">
        <v>134</v>
      </c>
      <c r="AA180" s="3">
        <f t="shared" si="268"/>
        <v>0.14773980154355015</v>
      </c>
      <c r="AB180">
        <v>75</v>
      </c>
      <c r="AC180">
        <f t="shared" si="244"/>
        <v>120</v>
      </c>
      <c r="AE180">
        <v>1</v>
      </c>
      <c r="AF180">
        <v>16.73</v>
      </c>
      <c r="AG180">
        <v>10</v>
      </c>
      <c r="AJ180" s="10">
        <v>0</v>
      </c>
      <c r="AK180" t="str">
        <f>CONCATENATE(VLOOKUP(AL180, 'Voxel Sizes'!$A$2:$B$18,2,FALSE),"x",INT(AH180*15), "x", INT(AI180*15))</f>
        <v>102x0x0</v>
      </c>
      <c r="AL180">
        <f t="shared" si="269"/>
        <v>6</v>
      </c>
      <c r="AM180" t="s">
        <v>469</v>
      </c>
      <c r="AN180" t="str">
        <f>CONCATENATE(VLOOKUP(AL180,Constants!$A$2:$C$16,IF(AM180&lt;&gt;"", 3, 2), FALSE),IF(AM180&lt;&gt;"",CONCATENATE(",",VLOOKUP(AM180,$B:$AN,39,FALSE)),""))</f>
        <v>2,2,2,1,2,1</v>
      </c>
      <c r="AV180">
        <v>1</v>
      </c>
      <c r="AX180">
        <v>25</v>
      </c>
      <c r="AY180" s="15">
        <f t="shared" si="270"/>
        <v>32</v>
      </c>
      <c r="BB180">
        <f t="shared" si="271"/>
        <v>15</v>
      </c>
      <c r="BC180">
        <f t="shared" si="272"/>
        <v>8</v>
      </c>
      <c r="BD180">
        <f t="shared" si="273"/>
        <v>6.7</v>
      </c>
      <c r="BE180" s="3">
        <f t="shared" si="274"/>
        <v>0.94399999999999995</v>
      </c>
      <c r="BF180">
        <f t="shared" si="275"/>
        <v>0</v>
      </c>
      <c r="BG180">
        <f>VLOOKUP($H180,Constants!$I:$K, 2, FALSE)</f>
        <v>1.1499999999999999</v>
      </c>
      <c r="BH180">
        <f>VLOOKUP($H180,Constants!$I:$K, 3, FALSE)*IF(AND(G180="multiple_unit",AB180&lt;110),0.75,1)</f>
        <v>1.7</v>
      </c>
      <c r="BI180">
        <f>INT(POWER(((Constants!$G$2+$BB180+$BC180+$BD180+$BF180)*$BE180)*$BH180, 1.05))+$BA180</f>
        <v>68</v>
      </c>
      <c r="BJ180">
        <f>INT(POWER((((Constants!$G$1+$BB180+$BC180+$BD180+$BF180)*($BE180))*$BG180),IF($G180="wagon",1,1.2)))+$AZ180</f>
        <v>105</v>
      </c>
      <c r="BK180" s="14">
        <f t="shared" si="276"/>
        <v>53125</v>
      </c>
      <c r="BL180" s="14">
        <f t="shared" si="277"/>
        <v>8531.25</v>
      </c>
      <c r="BU180">
        <v>9</v>
      </c>
      <c r="BZ180" t="str">
        <f>VLOOKUP(J180,Eras!$A$2:$C$10, 2, TRUE)</f>
        <v>big4</v>
      </c>
      <c r="CA180" t="s">
        <v>321</v>
      </c>
      <c r="CB180" t="str">
        <f t="shared" si="278"/>
        <v>big4_Cheap</v>
      </c>
      <c r="CC180" t="str">
        <f t="shared" si="261"/>
        <v>steam_RAIL</v>
      </c>
      <c r="CD180" s="17" t="str" cm="1">
        <f t="array" ref="CD180">_xlfn.CONCAT("{BLACK}Length: {GOLD}", TEXT(ROUNDUP(IF(AQ180&lt;&gt;"",SUM(VALUE(_xlfn.TEXTSPLIT(AQ180, ","))), SUM(VALUE(_xlfn.TEXTSPLIT(AN180, ",")))*IF(M180, M180, 1))/16, 1), "#,##0.0"), " tiles{}")</f>
        <v>{BLACK}Length: {GOLD}0.7 tiles{}</v>
      </c>
      <c r="CE180" t="str">
        <f>VLOOKUP($CC180, Constants!$M:$N, 2, FALSE)</f>
        <v>{BLACK}Powered by: {GOLD}Steam</v>
      </c>
      <c r="CF180" t="str">
        <f t="shared" si="281"/>
        <v/>
      </c>
      <c r="CG180" t="s">
        <v>468</v>
      </c>
      <c r="CH180" t="str">
        <f t="shared" si="259"/>
        <v/>
      </c>
      <c r="CI180" t="str">
        <f t="shared" si="262"/>
        <v/>
      </c>
      <c r="CJ180" t="str">
        <f t="shared" si="263"/>
        <v>{BLACK}Powered by: {GOLD}Steam {}{BLACK}Length: {GOLD}0.7 tiles{}{SILVER}The Q1 was designed for function over form and the most efficient possible use of materials.</v>
      </c>
    </row>
    <row r="181" spans="1:88" x14ac:dyDescent="0.35">
      <c r="A181" t="s">
        <v>471</v>
      </c>
      <c r="B181" t="s">
        <v>210</v>
      </c>
      <c r="C181">
        <v>260</v>
      </c>
      <c r="E181">
        <v>67</v>
      </c>
      <c r="F181" t="s">
        <v>1498</v>
      </c>
      <c r="G181" t="s">
        <v>258</v>
      </c>
      <c r="H181" t="s">
        <v>267</v>
      </c>
      <c r="I181" t="s">
        <v>270</v>
      </c>
      <c r="J181">
        <v>1943</v>
      </c>
      <c r="K181">
        <v>1964</v>
      </c>
      <c r="L181">
        <v>1967</v>
      </c>
      <c r="N181">
        <v>500</v>
      </c>
      <c r="P181" s="5">
        <v>18</v>
      </c>
      <c r="Q181" s="5">
        <v>26</v>
      </c>
      <c r="R181" s="5">
        <v>2</v>
      </c>
      <c r="S181" s="5">
        <v>170</v>
      </c>
      <c r="T181" s="6">
        <f t="shared" si="282"/>
        <v>94.268697062122627</v>
      </c>
      <c r="U181" s="5">
        <v>1.3</v>
      </c>
      <c r="V181" s="5">
        <f t="shared" si="283"/>
        <v>486.8181818181817</v>
      </c>
      <c r="W181">
        <v>49</v>
      </c>
      <c r="Z181">
        <v>106</v>
      </c>
      <c r="AA181" s="3">
        <f t="shared" si="268"/>
        <v>0.21632653061224491</v>
      </c>
      <c r="AB181">
        <v>28</v>
      </c>
      <c r="AC181">
        <f t="shared" ref="AC181:AC245" si="284">ROUND(AB181*1.6, 0)</f>
        <v>45</v>
      </c>
      <c r="AE181">
        <v>1</v>
      </c>
      <c r="AF181">
        <v>9.25</v>
      </c>
      <c r="AG181">
        <v>9.25</v>
      </c>
      <c r="AJ181" s="10">
        <v>0</v>
      </c>
      <c r="AK181" t="str">
        <f>CONCATENATE(VLOOKUP(AL181, 'Voxel Sizes'!$A$2:$B$18,2,FALSE),"x",INT(AH181*15), "x", INT(AI181*15))</f>
        <v>82x0x0</v>
      </c>
      <c r="AL181">
        <f t="shared" si="269"/>
        <v>5</v>
      </c>
      <c r="AN181" t="str">
        <f>CONCATENATE(VLOOKUP(AL181,Constants!$A$2:$C$16,IF(AM181&lt;&gt;"", 3, 2), FALSE),IF(AM181&lt;&gt;"",CONCATENATE(",",VLOOKUP(AM181,$B:$AN,39,FALSE)),""))</f>
        <v>2,1,2</v>
      </c>
      <c r="AV181">
        <v>1</v>
      </c>
      <c r="AX181">
        <v>23</v>
      </c>
      <c r="AY181" s="15">
        <f t="shared" si="270"/>
        <v>32</v>
      </c>
      <c r="BB181">
        <f t="shared" si="271"/>
        <v>5.6000000000000005</v>
      </c>
      <c r="BC181">
        <f t="shared" si="272"/>
        <v>2.5</v>
      </c>
      <c r="BD181">
        <f t="shared" si="273"/>
        <v>5.3000000000000007</v>
      </c>
      <c r="BE181" s="3">
        <f t="shared" si="274"/>
        <v>0.94266666666666665</v>
      </c>
      <c r="BF181">
        <f t="shared" si="275"/>
        <v>0</v>
      </c>
      <c r="BG181">
        <f>VLOOKUP($H181,Constants!$I:$K, 2, FALSE)</f>
        <v>1.1499999999999999</v>
      </c>
      <c r="BH181">
        <f>VLOOKUP($H181,Constants!$I:$K, 3, FALSE)*IF(AND(G181="multiple_unit",AB181&lt;110),0.75,1)</f>
        <v>1.7</v>
      </c>
      <c r="BI181">
        <f>INT(POWER(((Constants!$G$2+$BB181+$BC181+$BD181+$BF181)*$BE181)*$BH181, 1.05))+$BA181</f>
        <v>34</v>
      </c>
      <c r="BJ181">
        <f>INT(POWER((((Constants!$G$1+$BB181+$BC181+$BD181+$BF181)*($BE181))*$BG181),IF($G181="wagon",1,1.2)))+$AZ181</f>
        <v>61</v>
      </c>
      <c r="BK181" s="14">
        <f t="shared" si="276"/>
        <v>26562.5</v>
      </c>
      <c r="BL181" s="14">
        <f t="shared" si="277"/>
        <v>4956.25</v>
      </c>
      <c r="BU181">
        <v>10</v>
      </c>
      <c r="BZ181" t="str">
        <f>VLOOKUP(J181,Eras!$A$2:$C$10, 2, TRUE)</f>
        <v>big4</v>
      </c>
      <c r="CA181" t="s">
        <v>321</v>
      </c>
      <c r="CB181" t="str">
        <f t="shared" si="278"/>
        <v>big4_Cheap</v>
      </c>
      <c r="CC181" t="str">
        <f t="shared" si="261"/>
        <v>steam_RAIL</v>
      </c>
      <c r="CD181" s="17" t="str" cm="1">
        <f t="array" ref="CD181">_xlfn.CONCAT("{BLACK}Length: {GOLD}", TEXT(ROUNDUP(IF(AQ181&lt;&gt;"",SUM(VALUE(_xlfn.TEXTSPLIT(AQ181, ","))), SUM(VALUE(_xlfn.TEXTSPLIT(AN181, ",")))*IF(M181, M181, 1))/16, 1), "#,##0.0"), " tiles{}")</f>
        <v>{BLACK}Length: {GOLD}0.4 tiles{}</v>
      </c>
      <c r="CE181" t="str">
        <f>VLOOKUP($CC181, Constants!$M:$N, 2, FALSE)</f>
        <v>{BLACK}Powered by: {GOLD}Steam</v>
      </c>
      <c r="CF181" t="str">
        <f t="shared" si="281"/>
        <v/>
      </c>
      <c r="CG181" t="s">
        <v>472</v>
      </c>
      <c r="CH181" t="str">
        <f t="shared" si="259"/>
        <v/>
      </c>
      <c r="CI181" t="str">
        <f t="shared" si="262"/>
        <v/>
      </c>
      <c r="CJ181" t="str">
        <f t="shared" si="263"/>
        <v>{BLACK}Powered by: {GOLD}Steam {}{BLACK}Length: {GOLD}0.4 tiles{}{SILVER}Hunslet's Austerity was designed for shunting duties. It's powerful for its size with good adhesion, but does not run well at higher speeds.</v>
      </c>
    </row>
    <row r="182" spans="1:88" x14ac:dyDescent="0.35">
      <c r="A182" t="s">
        <v>28</v>
      </c>
      <c r="B182" t="s">
        <v>474</v>
      </c>
      <c r="C182">
        <v>262</v>
      </c>
      <c r="E182">
        <v>68</v>
      </c>
      <c r="F182" t="s">
        <v>1498</v>
      </c>
      <c r="G182" t="s">
        <v>258</v>
      </c>
      <c r="H182" t="s">
        <v>267</v>
      </c>
      <c r="I182" t="s">
        <v>270</v>
      </c>
      <c r="J182">
        <v>1943</v>
      </c>
      <c r="K182">
        <v>1945</v>
      </c>
      <c r="L182">
        <v>1962</v>
      </c>
      <c r="N182">
        <v>1200</v>
      </c>
      <c r="P182" s="5">
        <v>19</v>
      </c>
      <c r="Q182" s="5">
        <v>28</v>
      </c>
      <c r="R182" s="5">
        <v>2</v>
      </c>
      <c r="S182" s="5">
        <v>225</v>
      </c>
      <c r="T182" s="6">
        <f t="shared" si="282"/>
        <v>212.58553112988881</v>
      </c>
      <c r="U182" s="5">
        <v>1.4</v>
      </c>
      <c r="V182" s="5">
        <f t="shared" si="283"/>
        <v>1743.4659090909092</v>
      </c>
      <c r="W182">
        <v>71.400000000000006</v>
      </c>
      <c r="X182" s="8">
        <v>56.4</v>
      </c>
      <c r="Z182">
        <v>152</v>
      </c>
      <c r="AA182" s="3">
        <f t="shared" si="268"/>
        <v>0.1189358372456964</v>
      </c>
      <c r="AB182">
        <v>68</v>
      </c>
      <c r="AC182">
        <f t="shared" si="284"/>
        <v>109</v>
      </c>
      <c r="AF182">
        <v>19.350000000000001</v>
      </c>
      <c r="AG182">
        <v>11.7</v>
      </c>
      <c r="AJ182" s="10">
        <v>0</v>
      </c>
      <c r="AK182" t="str">
        <f>CONCATENATE(VLOOKUP(AL182, 'Voxel Sizes'!$A$2:$B$18,2,FALSE),"x",INT(AH182*15), "x", INT(AI182*15))</f>
        <v>120x0x0</v>
      </c>
      <c r="AL182">
        <f t="shared" si="269"/>
        <v>7</v>
      </c>
      <c r="AM182" t="s">
        <v>476</v>
      </c>
      <c r="AN182" t="str">
        <f>CONCATENATE(VLOOKUP(AL182,Constants!$A$2:$C$16,IF(AM182&lt;&gt;"", 3, 2), FALSE),IF(AM182&lt;&gt;"",CONCATENATE(",",VLOOKUP(AM182,$B:$AN,39,FALSE)),""))</f>
        <v>2,3,2,1,2,1</v>
      </c>
      <c r="AV182">
        <v>1</v>
      </c>
      <c r="AX182">
        <v>26</v>
      </c>
      <c r="AY182" s="15">
        <f t="shared" si="270"/>
        <v>27</v>
      </c>
      <c r="BB182">
        <f t="shared" si="271"/>
        <v>13.6</v>
      </c>
      <c r="BC182">
        <f t="shared" si="272"/>
        <v>6</v>
      </c>
      <c r="BD182">
        <f t="shared" si="273"/>
        <v>7.6</v>
      </c>
      <c r="BE182" s="3">
        <f t="shared" si="274"/>
        <v>0.94266666666666665</v>
      </c>
      <c r="BF182">
        <f t="shared" si="275"/>
        <v>0</v>
      </c>
      <c r="BG182">
        <f>VLOOKUP($H182,Constants!$I:$K, 2, FALSE)</f>
        <v>1.1499999999999999</v>
      </c>
      <c r="BH182">
        <f>VLOOKUP($H182,Constants!$I:$K, 3, FALSE)*IF(AND(G182="multiple_unit",AB182&lt;110),0.75,1)</f>
        <v>1.7</v>
      </c>
      <c r="BI182">
        <f>INT(POWER(((Constants!$G$2+$BB182+$BC182+$BD182+$BF182)*$BE182)*$BH182, 1.05))+$BA182</f>
        <v>62</v>
      </c>
      <c r="BJ182">
        <f>INT(POWER((((Constants!$G$1+$BB182+$BC182+$BD182+$BF182)*($BE182))*$BG182),IF($G182="wagon",1,1.2)))+$AZ182</f>
        <v>98</v>
      </c>
      <c r="BK182" s="14">
        <f t="shared" si="276"/>
        <v>48437.5</v>
      </c>
      <c r="BL182" s="14">
        <f t="shared" si="277"/>
        <v>7962.5</v>
      </c>
      <c r="BU182">
        <v>11</v>
      </c>
      <c r="BZ182" t="str">
        <f>VLOOKUP(J182,Eras!$A$2:$C$10, 2, TRUE)</f>
        <v>big4</v>
      </c>
      <c r="CA182" t="s">
        <v>324</v>
      </c>
      <c r="CB182" t="str">
        <f t="shared" si="278"/>
        <v>big4_Freight</v>
      </c>
      <c r="CC182" t="str">
        <f t="shared" si="261"/>
        <v>steam_RAIL</v>
      </c>
      <c r="CD182" s="17" t="str" cm="1">
        <f t="array" ref="CD182">_xlfn.CONCAT("{BLACK}Length: {GOLD}", TEXT(ROUNDUP(IF(AQ182&lt;&gt;"",SUM(VALUE(_xlfn.TEXTSPLIT(AQ182, ","))), SUM(VALUE(_xlfn.TEXTSPLIT(AN182, ",")))*IF(M182, M182, 1))/16, 1), "#,##0.0"), " tiles{}")</f>
        <v>{BLACK}Length: {GOLD}0.7 tiles{}</v>
      </c>
      <c r="CE182" t="str">
        <f>VLOOKUP($CC182, Constants!$M:$N, 2, FALSE)</f>
        <v>{BLACK}Powered by: {GOLD}Steam</v>
      </c>
      <c r="CF182" t="str">
        <f t="shared" si="281"/>
        <v/>
      </c>
      <c r="CG182" t="s">
        <v>473</v>
      </c>
      <c r="CH182" t="str">
        <f t="shared" si="259"/>
        <v/>
      </c>
      <c r="CI182" t="str">
        <f t="shared" si="262"/>
        <v/>
      </c>
      <c r="CJ182" t="str">
        <f t="shared" si="263"/>
        <v>{BLACK}Powered by: {GOLD}Steam {}{BLACK}Length: {GOLD}0.7 tiles{}{SILVER}Robert Riddles adapted the LMS 8F for low cost and simple construction, resulting in this "austerity" freight locomotive.</v>
      </c>
    </row>
    <row r="183" spans="1:88" x14ac:dyDescent="0.35">
      <c r="A183" t="s">
        <v>479</v>
      </c>
      <c r="B183" t="s">
        <v>233</v>
      </c>
      <c r="C183">
        <v>264</v>
      </c>
      <c r="E183">
        <v>69</v>
      </c>
      <c r="F183" t="s">
        <v>1498</v>
      </c>
      <c r="G183" t="s">
        <v>258</v>
      </c>
      <c r="H183" t="s">
        <v>267</v>
      </c>
      <c r="I183" t="s">
        <v>270</v>
      </c>
      <c r="J183">
        <v>1944</v>
      </c>
      <c r="K183">
        <v>1950</v>
      </c>
      <c r="L183">
        <v>1965</v>
      </c>
      <c r="N183">
        <v>1700</v>
      </c>
      <c r="P183" s="5">
        <v>18.5</v>
      </c>
      <c r="Q183" s="5">
        <v>30</v>
      </c>
      <c r="R183" s="5">
        <v>2</v>
      </c>
      <c r="S183" s="5">
        <v>225</v>
      </c>
      <c r="T183" s="6">
        <f t="shared" si="282"/>
        <v>206.68037748739187</v>
      </c>
      <c r="U183" s="5">
        <v>1.8</v>
      </c>
      <c r="V183" s="5">
        <f t="shared" si="283"/>
        <v>1721.7832623106062</v>
      </c>
      <c r="W183">
        <v>77</v>
      </c>
      <c r="X183" s="8">
        <v>48</v>
      </c>
      <c r="Z183">
        <v>121</v>
      </c>
      <c r="AA183" s="3">
        <f t="shared" si="268"/>
        <v>9.6799999999999997E-2</v>
      </c>
      <c r="AB183">
        <v>85</v>
      </c>
      <c r="AC183">
        <f t="shared" si="284"/>
        <v>136</v>
      </c>
      <c r="AF183">
        <v>19.2</v>
      </c>
      <c r="AG183">
        <v>11.7</v>
      </c>
      <c r="AI183">
        <v>4.01</v>
      </c>
      <c r="AJ183" s="10">
        <v>0</v>
      </c>
      <c r="AK183" t="str">
        <f>CONCATENATE(VLOOKUP(AL183, 'Voxel Sizes'!$A$2:$B$18,2,FALSE),"x",INT(AH183*15), "x", INT(AI183*15))</f>
        <v>120x0x60</v>
      </c>
      <c r="AL183">
        <f t="shared" si="269"/>
        <v>7</v>
      </c>
      <c r="AM183" t="s">
        <v>415</v>
      </c>
      <c r="AN183" t="str">
        <f>CONCATENATE(VLOOKUP(AL183,Constants!$A$2:$C$16,IF(AM183&lt;&gt;"", 3, 2), FALSE),IF(AM183&lt;&gt;"",CONCATENATE(",",VLOOKUP(AM183,$B:$AN,39,FALSE)),""))</f>
        <v>2,3,2,2,1,2</v>
      </c>
      <c r="AU183" t="s">
        <v>426</v>
      </c>
      <c r="AV183">
        <v>1</v>
      </c>
      <c r="AX183">
        <v>31</v>
      </c>
      <c r="AY183" s="15">
        <f t="shared" si="270"/>
        <v>29</v>
      </c>
      <c r="BB183">
        <f t="shared" si="271"/>
        <v>17</v>
      </c>
      <c r="BC183">
        <f t="shared" si="272"/>
        <v>8.5</v>
      </c>
      <c r="BD183">
        <f t="shared" si="273"/>
        <v>6.05</v>
      </c>
      <c r="BE183" s="3">
        <f t="shared" si="274"/>
        <v>0.94133333333333336</v>
      </c>
      <c r="BF183">
        <f t="shared" si="275"/>
        <v>0</v>
      </c>
      <c r="BG183">
        <f>VLOOKUP($H183,Constants!$I:$K, 2, FALSE)</f>
        <v>1.1499999999999999</v>
      </c>
      <c r="BH183">
        <f>VLOOKUP($H183,Constants!$I:$K, 3, FALSE)*IF(AND(G183="multiple_unit",AB183&lt;110),0.75,1)</f>
        <v>1.7</v>
      </c>
      <c r="BI183">
        <f>INT(POWER(((Constants!$G$2+$BB183+$BC183+$BD183+$BF183)*$BE183)*$BH183, 1.05))+$BA183</f>
        <v>71</v>
      </c>
      <c r="BJ183">
        <f>INT(POWER((((Constants!$G$1+$BB183+$BC183+$BD183+$BF183)*($BE183))*$BG183),IF($G183="wagon",1,1.2)))+$AZ183</f>
        <v>110</v>
      </c>
      <c r="BK183" s="14">
        <f t="shared" si="276"/>
        <v>55468.75</v>
      </c>
      <c r="BL183" s="14">
        <f t="shared" si="277"/>
        <v>8937.5</v>
      </c>
      <c r="BU183">
        <v>12</v>
      </c>
      <c r="BZ183" t="str">
        <f>VLOOKUP(J183,Eras!$A$2:$C$10, 2, TRUE)</f>
        <v>big4</v>
      </c>
      <c r="CA183" t="s">
        <v>322</v>
      </c>
      <c r="CB183" t="str">
        <f t="shared" si="278"/>
        <v>big4_Mixed Traffic</v>
      </c>
      <c r="CC183" t="str">
        <f t="shared" si="261"/>
        <v>steam_RAIL</v>
      </c>
      <c r="CD183" s="17" t="str" cm="1">
        <f t="array" ref="CD183">_xlfn.CONCAT("{BLACK}Length: {GOLD}", TEXT(ROUNDUP(IF(AQ183&lt;&gt;"",SUM(VALUE(_xlfn.TEXTSPLIT(AQ183, ","))), SUM(VALUE(_xlfn.TEXTSPLIT(AN183, ",")))*IF(M183, M183, 1))/16, 1), "#,##0.0"), " tiles{}")</f>
        <v>{BLACK}Length: {GOLD}0.8 tiles{}</v>
      </c>
      <c r="CE183" t="str">
        <f>VLOOKUP($CC183, Constants!$M:$N, 2, FALSE)</f>
        <v>{BLACK}Powered by: {GOLD}Steam</v>
      </c>
      <c r="CF183" t="str">
        <f t="shared" si="281"/>
        <v/>
      </c>
      <c r="CG183" t="s">
        <v>478</v>
      </c>
      <c r="CH183" t="str">
        <f t="shared" si="259"/>
        <v/>
      </c>
      <c r="CI183" t="str">
        <f t="shared" si="262"/>
        <v/>
      </c>
      <c r="CJ183" t="str">
        <f t="shared" si="263"/>
        <v>{BLACK}Powered by: {GOLD}Steam {}{BLACK}Length: {GOLD}0.8 tiles{}{SILVER}While externally identical to the original Hall class, the Modified Hall was completely new on the inside with many design innovations.</v>
      </c>
    </row>
    <row r="184" spans="1:88" x14ac:dyDescent="0.35">
      <c r="A184" t="s">
        <v>480</v>
      </c>
      <c r="B184" t="s">
        <v>481</v>
      </c>
      <c r="C184">
        <v>266</v>
      </c>
      <c r="E184">
        <v>70</v>
      </c>
      <c r="F184" t="s">
        <v>1498</v>
      </c>
      <c r="G184" t="s">
        <v>258</v>
      </c>
      <c r="H184" t="s">
        <v>267</v>
      </c>
      <c r="I184" t="s">
        <v>270</v>
      </c>
      <c r="J184">
        <v>1945</v>
      </c>
      <c r="K184">
        <v>1947</v>
      </c>
      <c r="L184">
        <v>1964</v>
      </c>
      <c r="N184">
        <v>2200</v>
      </c>
      <c r="P184" s="5">
        <v>18.5</v>
      </c>
      <c r="Q184" s="5">
        <v>30</v>
      </c>
      <c r="R184" s="5">
        <v>2</v>
      </c>
      <c r="S184" s="5">
        <v>280</v>
      </c>
      <c r="T184" s="6">
        <f t="shared" si="282"/>
        <v>230.35583868563802</v>
      </c>
      <c r="U184" s="5">
        <v>1.9</v>
      </c>
      <c r="V184" s="5">
        <f t="shared" si="283"/>
        <v>2388.1080542264754</v>
      </c>
      <c r="W184">
        <v>78.099999999999994</v>
      </c>
      <c r="X184" s="8">
        <v>49.8</v>
      </c>
      <c r="Z184">
        <v>145</v>
      </c>
      <c r="AA184" s="3">
        <f t="shared" si="268"/>
        <v>0.11336982017200939</v>
      </c>
      <c r="AB184">
        <v>100</v>
      </c>
      <c r="AC184">
        <f t="shared" si="284"/>
        <v>160</v>
      </c>
      <c r="AF184">
        <v>19.21</v>
      </c>
      <c r="AG184">
        <v>11.7</v>
      </c>
      <c r="AI184">
        <v>4.08</v>
      </c>
      <c r="AJ184" s="10">
        <v>0</v>
      </c>
      <c r="AK184" t="str">
        <f>CONCATENATE(VLOOKUP(AL184, 'Voxel Sizes'!$A$2:$B$18,2,FALSE),"x",INT(AH184*15), "x", INT(AI184*15))</f>
        <v>120x0x61</v>
      </c>
      <c r="AL184">
        <f t="shared" si="269"/>
        <v>7</v>
      </c>
      <c r="AM184" t="s">
        <v>415</v>
      </c>
      <c r="AN184" t="str">
        <f>CONCATENATE(VLOOKUP(AL184,Constants!$A$2:$C$16,IF(AM184&lt;&gt;"", 3, 2), FALSE),IF(AM184&lt;&gt;"",CONCATENATE(",",VLOOKUP(AM184,$B:$AN,39,FALSE)),""))</f>
        <v>2,3,2,2,1,2</v>
      </c>
      <c r="AV184">
        <v>1</v>
      </c>
      <c r="AX184">
        <v>30</v>
      </c>
      <c r="AY184" s="15">
        <f t="shared" si="270"/>
        <v>27</v>
      </c>
      <c r="BB184">
        <f t="shared" si="271"/>
        <v>20</v>
      </c>
      <c r="BC184">
        <f t="shared" si="272"/>
        <v>11</v>
      </c>
      <c r="BD184">
        <f t="shared" si="273"/>
        <v>7.25</v>
      </c>
      <c r="BE184" s="3">
        <f t="shared" si="274"/>
        <v>0.94</v>
      </c>
      <c r="BF184">
        <f t="shared" si="275"/>
        <v>0</v>
      </c>
      <c r="BG184">
        <f>VLOOKUP($H184,Constants!$I:$K, 2, FALSE)</f>
        <v>1.1499999999999999</v>
      </c>
      <c r="BH184">
        <f>VLOOKUP($H184,Constants!$I:$K, 3, FALSE)*IF(AND(G184="multiple_unit",AB184&lt;110),0.75,1)</f>
        <v>1.7</v>
      </c>
      <c r="BI184">
        <f>INT(POWER(((Constants!$G$2+$BB184+$BC184+$BD184+$BF184)*$BE184)*$BH184, 1.05))+$BA184</f>
        <v>85</v>
      </c>
      <c r="BJ184">
        <f>INT(POWER((((Constants!$G$1+$BB184+$BC184+$BD184+$BF184)*($BE184))*$BG184),IF($G184="wagon",1,1.2)))+$AZ184</f>
        <v>129</v>
      </c>
      <c r="BK184" s="14">
        <f t="shared" si="276"/>
        <v>66406.25</v>
      </c>
      <c r="BL184" s="14">
        <f t="shared" si="277"/>
        <v>10481.25</v>
      </c>
      <c r="BU184">
        <v>1</v>
      </c>
      <c r="BZ184" t="str">
        <f>VLOOKUP(J184,Eras!$A$2:$C$10, 2, TRUE)</f>
        <v>big4</v>
      </c>
      <c r="CA184" t="s">
        <v>323</v>
      </c>
      <c r="CB184" t="str">
        <f t="shared" si="278"/>
        <v>big4_Express</v>
      </c>
      <c r="CC184" t="str">
        <f t="shared" si="261"/>
        <v>steam_RAIL</v>
      </c>
      <c r="CD184" s="17" t="str" cm="1">
        <f t="array" ref="CD184">_xlfn.CONCAT("{BLACK}Length: {GOLD}", TEXT(ROUNDUP(IF(AQ184&lt;&gt;"",SUM(VALUE(_xlfn.TEXTSPLIT(AQ184, ","))), SUM(VALUE(_xlfn.TEXTSPLIT(AN184, ",")))*IF(M184, M184, 1))/16, 1), "#,##0.0"), " tiles{}")</f>
        <v>{BLACK}Length: {GOLD}0.8 tiles{}</v>
      </c>
      <c r="CE184" t="str">
        <f>VLOOKUP($CC184, Constants!$M:$N, 2, FALSE)</f>
        <v>{BLACK}Powered by: {GOLD}Steam</v>
      </c>
      <c r="CF184" t="str">
        <f t="shared" si="281"/>
        <v/>
      </c>
      <c r="CG184" t="s">
        <v>482</v>
      </c>
      <c r="CH184" t="str">
        <f t="shared" si="259"/>
        <v/>
      </c>
      <c r="CI184" t="str">
        <f t="shared" si="262"/>
        <v/>
      </c>
      <c r="CJ184" t="str">
        <f t="shared" si="263"/>
        <v>{BLACK}Powered by: {GOLD}Steam {}{BLACK}Length: {GOLD}0.8 tiles{}{SILVER}The County Class was  Frederick Hawksworth's test of design ideas for a new Pacific. Sadly there was not enough demand for express steam locomotives in the late 1940s.</v>
      </c>
    </row>
    <row r="185" spans="1:88" x14ac:dyDescent="0.35">
      <c r="A185" t="s">
        <v>27</v>
      </c>
      <c r="B185" t="s">
        <v>484</v>
      </c>
      <c r="C185">
        <v>268</v>
      </c>
      <c r="E185">
        <v>71</v>
      </c>
      <c r="F185" t="s">
        <v>1498</v>
      </c>
      <c r="G185" t="s">
        <v>258</v>
      </c>
      <c r="H185" t="s">
        <v>267</v>
      </c>
      <c r="I185" t="s">
        <v>270</v>
      </c>
      <c r="J185">
        <v>1945</v>
      </c>
      <c r="K185">
        <v>1951</v>
      </c>
      <c r="L185">
        <v>1967</v>
      </c>
      <c r="N185">
        <v>1800</v>
      </c>
      <c r="P185" s="5">
        <v>16.375</v>
      </c>
      <c r="Q185" s="5">
        <v>24</v>
      </c>
      <c r="R185" s="5">
        <v>3</v>
      </c>
      <c r="S185" s="5">
        <v>280</v>
      </c>
      <c r="T185" s="6">
        <f t="shared" si="282"/>
        <v>234.96295545935078</v>
      </c>
      <c r="U185" s="5">
        <v>1.9</v>
      </c>
      <c r="V185" s="5">
        <f t="shared" si="283"/>
        <v>2290.1005532296649</v>
      </c>
      <c r="W185">
        <v>87.4</v>
      </c>
      <c r="X185" s="8">
        <v>48</v>
      </c>
      <c r="Z185">
        <v>138</v>
      </c>
      <c r="AA185" s="3">
        <f t="shared" si="268"/>
        <v>0.10192023633677991</v>
      </c>
      <c r="AB185">
        <v>102</v>
      </c>
      <c r="AC185">
        <f t="shared" si="284"/>
        <v>163</v>
      </c>
      <c r="AF185">
        <v>20.54</v>
      </c>
      <c r="AG185">
        <v>13</v>
      </c>
      <c r="AJ185" s="10">
        <v>0</v>
      </c>
      <c r="AK185" t="str">
        <f>CONCATENATE(VLOOKUP(AL185, 'Voxel Sizes'!$A$2:$B$18,2,FALSE),"x",INT(AH185*15), "x", INT(AI185*15))</f>
        <v>136x0x0</v>
      </c>
      <c r="AL185">
        <f t="shared" si="269"/>
        <v>8</v>
      </c>
      <c r="AM185" t="s">
        <v>463</v>
      </c>
      <c r="AN185" t="str">
        <f>CONCATENATE(VLOOKUP(AL185,Constants!$A$2:$C$16,IF(AM185&lt;&gt;"", 3, 2), FALSE),IF(AM185&lt;&gt;"",CONCATENATE(",",VLOOKUP(AM185,$B:$AN,39,FALSE)),""))</f>
        <v>2,4,2,2,1,2</v>
      </c>
      <c r="AV185">
        <v>1</v>
      </c>
      <c r="AX185">
        <v>30</v>
      </c>
      <c r="AY185" s="15">
        <f t="shared" si="270"/>
        <v>30</v>
      </c>
      <c r="BB185">
        <f t="shared" si="271"/>
        <v>20.400000000000002</v>
      </c>
      <c r="BC185">
        <f t="shared" si="272"/>
        <v>9</v>
      </c>
      <c r="BD185">
        <f t="shared" si="273"/>
        <v>6.8999999999999995</v>
      </c>
      <c r="BE185" s="3">
        <f t="shared" si="274"/>
        <v>0.94</v>
      </c>
      <c r="BF185">
        <f t="shared" si="275"/>
        <v>0</v>
      </c>
      <c r="BG185">
        <f>VLOOKUP($H185,Constants!$I:$K, 2, FALSE)</f>
        <v>1.1499999999999999</v>
      </c>
      <c r="BH185">
        <f>VLOOKUP($H185,Constants!$I:$K, 3, FALSE)*IF(AND(G185="multiple_unit",AB185&lt;110),0.75,1)</f>
        <v>1.7</v>
      </c>
      <c r="BI185">
        <f>INT(POWER(((Constants!$G$2+$BB185+$BC185+$BD185+$BF185)*$BE185)*$BH185, 1.05))+$BA185</f>
        <v>81</v>
      </c>
      <c r="BJ185">
        <f>INT(POWER((((Constants!$G$1+$BB185+$BC185+$BD185+$BF185)*($BE185))*$BG185),IF($G185="wagon",1,1.2)))+$AZ185</f>
        <v>123</v>
      </c>
      <c r="BK185" s="14">
        <f t="shared" si="276"/>
        <v>63281.25</v>
      </c>
      <c r="BL185" s="14">
        <f t="shared" si="277"/>
        <v>9993.75</v>
      </c>
      <c r="BU185">
        <v>2</v>
      </c>
      <c r="BZ185" t="str">
        <f>VLOOKUP(J185,Eras!$A$2:$C$10, 2, TRUE)</f>
        <v>big4</v>
      </c>
      <c r="CA185" t="s">
        <v>322</v>
      </c>
      <c r="CB185" t="str">
        <f t="shared" si="278"/>
        <v>big4_Mixed Traffic</v>
      </c>
      <c r="CC185" t="str">
        <f t="shared" si="261"/>
        <v>steam_RAIL</v>
      </c>
      <c r="CD185" s="17" t="str" cm="1">
        <f t="array" ref="CD185">_xlfn.CONCAT("{BLACK}Length: {GOLD}", TEXT(ROUNDUP(IF(AQ185&lt;&gt;"",SUM(VALUE(_xlfn.TEXTSPLIT(AQ185, ","))), SUM(VALUE(_xlfn.TEXTSPLIT(AN185, ",")))*IF(M185, M185, 1))/16, 1), "#,##0.0"), " tiles{}")</f>
        <v>{BLACK}Length: {GOLD}0.9 tiles{}</v>
      </c>
      <c r="CE185" t="str">
        <f>VLOOKUP($CC185, Constants!$M:$N, 2, FALSE)</f>
        <v>{BLACK}Powered by: {GOLD}Steam</v>
      </c>
      <c r="CF185" t="str">
        <f t="shared" si="281"/>
        <v/>
      </c>
      <c r="CG185" t="s">
        <v>483</v>
      </c>
      <c r="CH185" t="str">
        <f t="shared" si="259"/>
        <v/>
      </c>
      <c r="CI185" t="str">
        <f t="shared" si="262"/>
        <v/>
      </c>
      <c r="CJ185" t="str">
        <f t="shared" si="263"/>
        <v>{BLACK}Powered by: {GOLD}Steam {}{BLACK}Length: {GOLD}0.9 tiles{}{SILVER}Bulleid's "Light Pacific" is a smaller and lighter version of the Merchant Navy, capable of operating on more routes.</v>
      </c>
    </row>
    <row r="186" spans="1:88" x14ac:dyDescent="0.35">
      <c r="A186" t="s">
        <v>30</v>
      </c>
      <c r="B186" t="s">
        <v>486</v>
      </c>
      <c r="C186">
        <v>270</v>
      </c>
      <c r="E186">
        <v>72</v>
      </c>
      <c r="F186" t="s">
        <v>1498</v>
      </c>
      <c r="G186" t="s">
        <v>258</v>
      </c>
      <c r="H186" t="s">
        <v>267</v>
      </c>
      <c r="I186" t="s">
        <v>270</v>
      </c>
      <c r="J186">
        <v>1946</v>
      </c>
      <c r="K186">
        <v>1949</v>
      </c>
      <c r="L186">
        <v>1951</v>
      </c>
      <c r="N186">
        <v>1800</v>
      </c>
      <c r="P186" s="5">
        <v>12.25</v>
      </c>
      <c r="Q186" s="5">
        <v>15</v>
      </c>
      <c r="R186" s="5">
        <v>6</v>
      </c>
      <c r="S186" s="5">
        <v>280</v>
      </c>
      <c r="T186" s="6">
        <f t="shared" si="282"/>
        <v>262.60565610162729</v>
      </c>
      <c r="U186" s="5">
        <v>1.5</v>
      </c>
      <c r="V186" s="5">
        <f t="shared" si="283"/>
        <v>1790.518465909091</v>
      </c>
      <c r="W186">
        <v>152</v>
      </c>
      <c r="Z186">
        <v>117</v>
      </c>
      <c r="AA186" s="3">
        <f t="shared" si="268"/>
        <v>7.6973684210526319E-2</v>
      </c>
      <c r="AB186">
        <v>90</v>
      </c>
      <c r="AC186">
        <f t="shared" si="284"/>
        <v>144</v>
      </c>
      <c r="AE186">
        <v>1</v>
      </c>
      <c r="AF186">
        <v>20.420000000000002</v>
      </c>
      <c r="AG186">
        <v>20.420000000000002</v>
      </c>
      <c r="AJ186" s="10">
        <v>0</v>
      </c>
      <c r="AK186" t="str">
        <f>CONCATENATE(VLOOKUP(AL186, 'Voxel Sizes'!$A$2:$B$18,2,FALSE),"x",INT(AH186*15), "x", INT(AI186*15))</f>
        <v>198x0x0</v>
      </c>
      <c r="AL186">
        <f t="shared" si="269"/>
        <v>12</v>
      </c>
      <c r="AN186" t="str">
        <f>CONCATENATE(VLOOKUP(AL186,Constants!$A$2:$C$16,IF(AM186&lt;&gt;"", 3, 2), FALSE),IF(AM186&lt;&gt;"",CONCATENATE(",",VLOOKUP(AM186,$B:$AN,39,FALSE)),""))</f>
        <v>4,4,4</v>
      </c>
      <c r="AX186">
        <v>19</v>
      </c>
      <c r="AY186" s="15">
        <f t="shared" si="270"/>
        <v>16</v>
      </c>
      <c r="BB186">
        <f t="shared" si="271"/>
        <v>18</v>
      </c>
      <c r="BC186">
        <f t="shared" si="272"/>
        <v>9</v>
      </c>
      <c r="BD186">
        <f t="shared" si="273"/>
        <v>5.85</v>
      </c>
      <c r="BE186" s="3">
        <f t="shared" si="274"/>
        <v>0.93866666666666665</v>
      </c>
      <c r="BF186">
        <f t="shared" si="275"/>
        <v>0</v>
      </c>
      <c r="BG186">
        <f>VLOOKUP($H186,Constants!$I:$K, 2, FALSE)</f>
        <v>1.1499999999999999</v>
      </c>
      <c r="BH186">
        <f>VLOOKUP($H186,Constants!$I:$K, 3, FALSE)*IF(AND(G186="multiple_unit",AB186&lt;110),0.75,1)</f>
        <v>1.7</v>
      </c>
      <c r="BI186">
        <f>INT(POWER(((Constants!$G$2+$BB186+$BC186+$BD186+$BF186)*$BE186)*$BH186, 1.05))+$BA186</f>
        <v>74</v>
      </c>
      <c r="BJ186">
        <f>INT(POWER((((Constants!$G$1+$BB186+$BC186+$BD186+$BF186)*($BE186))*$BG186),IF($G186="wagon",1,1.2)))+$AZ186</f>
        <v>113</v>
      </c>
      <c r="BK186" s="14">
        <f t="shared" si="276"/>
        <v>57812.5</v>
      </c>
      <c r="BL186" s="14">
        <f t="shared" si="277"/>
        <v>9181.25</v>
      </c>
      <c r="BU186">
        <v>3</v>
      </c>
      <c r="BZ186" t="str">
        <f>VLOOKUP(J186,Eras!$A$2:$C$10, 2, TRUE)</f>
        <v>big4</v>
      </c>
      <c r="CA186" t="s">
        <v>322</v>
      </c>
      <c r="CB186" t="str">
        <f t="shared" si="278"/>
        <v>big4_Mixed Traffic</v>
      </c>
      <c r="CC186" t="str">
        <f t="shared" si="261"/>
        <v>steam_RAIL</v>
      </c>
      <c r="CD186" s="17" t="str" cm="1">
        <f t="array" ref="CD186">_xlfn.CONCAT("{BLACK}Length: {GOLD}", TEXT(ROUNDUP(IF(AQ186&lt;&gt;"",SUM(VALUE(_xlfn.TEXTSPLIT(AQ186, ","))), SUM(VALUE(_xlfn.TEXTSPLIT(AN186, ",")))*IF(M186, M186, 1))/16, 1), "#,##0.0"), " tiles{}")</f>
        <v>{BLACK}Length: {GOLD}0.8 tiles{}</v>
      </c>
      <c r="CE186" t="str">
        <f>VLOOKUP($CC186, Constants!$M:$N, 2, FALSE)</f>
        <v>{BLACK}Powered by: {GOLD}Steam</v>
      </c>
      <c r="CF186" t="str">
        <f t="shared" si="281"/>
        <v/>
      </c>
      <c r="CG186" t="s">
        <v>485</v>
      </c>
      <c r="CH186" t="str">
        <f t="shared" si="259"/>
        <v/>
      </c>
      <c r="CI186" t="str">
        <f t="shared" si="262"/>
        <v/>
      </c>
      <c r="CJ186" t="str">
        <f t="shared" si="263"/>
        <v>{BLACK}Powered by: {GOLD}Steam {}{BLACK}Length: {GOLD}0.8 tiles{}{SILVER}The Leader was an attempt to make a steam locomotive as easy to operate as a diesel or electric. Complexity, poor reliability and uncomfortably hot cabs caused the project to be scrapped by 1951.</v>
      </c>
    </row>
    <row r="187" spans="1:88" x14ac:dyDescent="0.35">
      <c r="A187" t="s">
        <v>487</v>
      </c>
      <c r="B187" t="s">
        <v>488</v>
      </c>
      <c r="C187">
        <v>272</v>
      </c>
      <c r="E187">
        <v>73</v>
      </c>
      <c r="F187" t="s">
        <v>1498</v>
      </c>
      <c r="G187" t="s">
        <v>258</v>
      </c>
      <c r="H187" t="s">
        <v>267</v>
      </c>
      <c r="I187" t="s">
        <v>270</v>
      </c>
      <c r="J187">
        <v>1946</v>
      </c>
      <c r="K187">
        <v>1953</v>
      </c>
      <c r="L187">
        <v>1967</v>
      </c>
      <c r="N187">
        <v>1000</v>
      </c>
      <c r="P187" s="5">
        <v>16</v>
      </c>
      <c r="Q187" s="5">
        <v>24</v>
      </c>
      <c r="R187" s="5">
        <v>2</v>
      </c>
      <c r="S187" s="5">
        <v>200</v>
      </c>
      <c r="T187" s="6">
        <f t="shared" si="282"/>
        <v>233.42724986811314</v>
      </c>
      <c r="U187" s="5">
        <v>1.5</v>
      </c>
      <c r="V187" s="5">
        <f t="shared" si="283"/>
        <v>1034.3434343434342</v>
      </c>
      <c r="W187">
        <v>47.9</v>
      </c>
      <c r="X187" s="8">
        <v>37.700000000000003</v>
      </c>
      <c r="Z187">
        <v>77</v>
      </c>
      <c r="AA187" s="3">
        <f t="shared" si="268"/>
        <v>8.9953271028037379E-2</v>
      </c>
      <c r="AB187">
        <v>80</v>
      </c>
      <c r="AC187">
        <f t="shared" si="284"/>
        <v>128</v>
      </c>
      <c r="AF187">
        <v>16.2</v>
      </c>
      <c r="AG187">
        <f>AF187-6</f>
        <v>10.199999999999999</v>
      </c>
      <c r="AJ187" s="10">
        <v>0</v>
      </c>
      <c r="AK187" t="str">
        <f>CONCATENATE(VLOOKUP(AL187, 'Voxel Sizes'!$A$2:$B$18,2,FALSE),"x",INT(AH187*15), "x", INT(AI187*15))</f>
        <v>102x0x0</v>
      </c>
      <c r="AL187">
        <f t="shared" si="269"/>
        <v>6</v>
      </c>
      <c r="AM187" t="s">
        <v>489</v>
      </c>
      <c r="AN187" t="str">
        <f>CONCATENATE(VLOOKUP(AL187,Constants!$A$2:$C$16,IF(AM187&lt;&gt;"", 3, 2), FALSE),IF(AM187&lt;&gt;"",CONCATENATE(",",VLOOKUP(AM187,$B:$AN,39,FALSE)),""))</f>
        <v>2,2,2,1,2,1</v>
      </c>
      <c r="AV187">
        <v>1</v>
      </c>
      <c r="AX187">
        <v>30</v>
      </c>
      <c r="AY187" s="15">
        <f t="shared" si="270"/>
        <v>29</v>
      </c>
      <c r="BB187">
        <f t="shared" si="271"/>
        <v>16</v>
      </c>
      <c r="BC187">
        <f t="shared" si="272"/>
        <v>5</v>
      </c>
      <c r="BD187">
        <f t="shared" si="273"/>
        <v>3.85</v>
      </c>
      <c r="BE187" s="3">
        <f t="shared" si="274"/>
        <v>0.93866666666666665</v>
      </c>
      <c r="BF187">
        <f t="shared" si="275"/>
        <v>0</v>
      </c>
      <c r="BG187">
        <f>VLOOKUP($H187,Constants!$I:$K, 2, FALSE)</f>
        <v>1.1499999999999999</v>
      </c>
      <c r="BH187">
        <f>VLOOKUP($H187,Constants!$I:$K, 3, FALSE)*IF(AND(G187="multiple_unit",AB187&lt;110),0.75,1)</f>
        <v>1.7</v>
      </c>
      <c r="BI187">
        <f>INT(POWER(((Constants!$G$2+$BB187+$BC187+$BD187+$BF187)*$BE187)*$BH187, 1.05))+$BA187</f>
        <v>57</v>
      </c>
      <c r="BJ187">
        <f>INT(POWER((((Constants!$G$1+$BB187+$BC187+$BD187+$BF187)*($BE187))*$BG187),IF($G187="wagon",1,1.2)))+$AZ187</f>
        <v>91</v>
      </c>
      <c r="BK187" s="14">
        <f t="shared" si="276"/>
        <v>44531.25</v>
      </c>
      <c r="BL187" s="14">
        <f t="shared" si="277"/>
        <v>7393.75</v>
      </c>
      <c r="BU187">
        <v>4</v>
      </c>
      <c r="BZ187" t="str">
        <f>VLOOKUP(J187,Eras!$A$2:$C$10, 2, TRUE)</f>
        <v>big4</v>
      </c>
      <c r="CA187" t="s">
        <v>321</v>
      </c>
      <c r="CB187" t="str">
        <f t="shared" si="278"/>
        <v>big4_Cheap</v>
      </c>
      <c r="CC187" t="str">
        <f t="shared" si="261"/>
        <v>steam_RAIL</v>
      </c>
      <c r="CD187" s="17" t="str" cm="1">
        <f t="array" ref="CD187">_xlfn.CONCAT("{BLACK}Length: {GOLD}", TEXT(ROUNDUP(IF(AQ187&lt;&gt;"",SUM(VALUE(_xlfn.TEXTSPLIT(AQ187, ","))), SUM(VALUE(_xlfn.TEXTSPLIT(AN187, ",")))*IF(M187, M187, 1))/16, 1), "#,##0.0"), " tiles{}")</f>
        <v>{BLACK}Length: {GOLD}0.7 tiles{}</v>
      </c>
      <c r="CE187" t="str">
        <f>VLOOKUP($CC187, Constants!$M:$N, 2, FALSE)</f>
        <v>{BLACK}Powered by: {GOLD}Steam</v>
      </c>
      <c r="CF187" t="str">
        <f t="shared" si="281"/>
        <v/>
      </c>
      <c r="CG187" t="s">
        <v>491</v>
      </c>
      <c r="CH187" t="str">
        <f t="shared" si="259"/>
        <v/>
      </c>
      <c r="CI187" t="str">
        <f t="shared" si="262"/>
        <v/>
      </c>
      <c r="CJ187" t="str">
        <f t="shared" si="263"/>
        <v>{BLACK}Powered by: {GOLD}Steam {}{BLACK}Length: {GOLD}0.7 tiles{}{SILVER}The Ivatt Class 2 is a light, low-powered Mogul designed to replace the LMS fleet of 0-6-0 engines.</v>
      </c>
    </row>
    <row r="188" spans="1:88" x14ac:dyDescent="0.35">
      <c r="A188" t="s">
        <v>58</v>
      </c>
      <c r="B188" t="s">
        <v>161</v>
      </c>
      <c r="C188">
        <v>274</v>
      </c>
      <c r="E188">
        <v>74</v>
      </c>
      <c r="F188" t="s">
        <v>1498</v>
      </c>
      <c r="G188" t="s">
        <v>258</v>
      </c>
      <c r="H188" t="s">
        <v>268</v>
      </c>
      <c r="I188" t="s">
        <v>270</v>
      </c>
      <c r="J188">
        <v>1947</v>
      </c>
      <c r="K188">
        <v>1948</v>
      </c>
      <c r="L188">
        <v>1966</v>
      </c>
      <c r="N188">
        <v>1600</v>
      </c>
      <c r="W188">
        <v>129.69999999999999</v>
      </c>
      <c r="Z188">
        <v>184</v>
      </c>
      <c r="AA188" s="3">
        <f t="shared" si="268"/>
        <v>0.14186584425597532</v>
      </c>
      <c r="AB188">
        <v>93</v>
      </c>
      <c r="AC188">
        <f t="shared" si="284"/>
        <v>149</v>
      </c>
      <c r="AF188">
        <v>18.64</v>
      </c>
      <c r="AG188">
        <v>18.64</v>
      </c>
      <c r="AI188">
        <v>3.95</v>
      </c>
      <c r="AJ188" s="10">
        <v>0</v>
      </c>
      <c r="AK188" t="str">
        <f>CONCATENATE(VLOOKUP(AL188, 'Voxel Sizes'!$A$2:$B$18,2,FALSE),"x",INT(AH188*15), "x", INT(AI188*15))</f>
        <v>186x0x59</v>
      </c>
      <c r="AL188">
        <f t="shared" si="269"/>
        <v>11</v>
      </c>
      <c r="AN188" t="str">
        <f>CONCATENATE(VLOOKUP(AL188,Constants!$A$2:$C$16,IF(AM188&lt;&gt;"", 3, 2), FALSE),IF(AM188&lt;&gt;"",CONCATENATE(",",VLOOKUP(AM188,$B:$AN,39,FALSE)),""))</f>
        <v>4,3,4</v>
      </c>
      <c r="AX188">
        <v>26</v>
      </c>
      <c r="AY188" s="15">
        <f t="shared" si="270"/>
        <v>27</v>
      </c>
      <c r="BB188">
        <f t="shared" si="271"/>
        <v>18.600000000000001</v>
      </c>
      <c r="BC188">
        <f t="shared" si="272"/>
        <v>8</v>
      </c>
      <c r="BD188">
        <f t="shared" si="273"/>
        <v>9.2000000000000011</v>
      </c>
      <c r="BE188" s="3">
        <f t="shared" si="274"/>
        <v>0.93733333333333335</v>
      </c>
      <c r="BF188">
        <f t="shared" si="275"/>
        <v>0</v>
      </c>
      <c r="BG188">
        <f>VLOOKUP($H188,Constants!$I:$K, 2, FALSE)</f>
        <v>1</v>
      </c>
      <c r="BH188">
        <f>VLOOKUP($H188,Constants!$I:$K, 3, FALSE)*IF(AND(G188="multiple_unit",AB188&lt;110),0.75,1)</f>
        <v>2</v>
      </c>
      <c r="BI188">
        <f>INT(POWER(((Constants!$G$2+$BB188+$BC188+$BD188+$BF188)*$BE188)*$BH188, 1.05))+$BA188</f>
        <v>95</v>
      </c>
      <c r="BJ188">
        <f>INT(POWER((((Constants!$G$1+$BB188+$BC188+$BD188+$BF188)*($BE188))*$BG188),IF($G188="wagon",1,1.2)))+$AZ188</f>
        <v>103</v>
      </c>
      <c r="BK188" s="14">
        <f t="shared" si="276"/>
        <v>74218.75</v>
      </c>
      <c r="BL188" s="14">
        <f t="shared" si="277"/>
        <v>8368.75</v>
      </c>
      <c r="BU188">
        <v>5</v>
      </c>
      <c r="BZ188" t="str">
        <f>VLOOKUP(J188,Eras!$A$2:$C$10, 2, TRUE)</f>
        <v>big4</v>
      </c>
      <c r="CA188" t="s">
        <v>322</v>
      </c>
      <c r="CB188" t="str">
        <f t="shared" si="278"/>
        <v>big4_Mixed Traffic</v>
      </c>
      <c r="CC188" t="str">
        <f t="shared" si="261"/>
        <v>diesel_RAIL</v>
      </c>
      <c r="CD188" s="17" t="str" cm="1">
        <f t="array" ref="CD188">_xlfn.CONCAT("{BLACK}Length: {GOLD}", TEXT(ROUNDUP(IF(AQ188&lt;&gt;"",SUM(VALUE(_xlfn.TEXTSPLIT(AQ188, ","))), SUM(VALUE(_xlfn.TEXTSPLIT(AN188, ",")))*IF(M188, M188, 1))/16, 1), "#,##0.0"), " tiles{}")</f>
        <v>{BLACK}Length: {GOLD}0.7 tiles{}</v>
      </c>
      <c r="CE188" t="str">
        <f>VLOOKUP($CC188, Constants!$M:$N, 2, FALSE)</f>
        <v>{BLACK}Powered by: {GOLD}Diesel</v>
      </c>
      <c r="CF188" t="str">
        <f t="shared" si="281"/>
        <v/>
      </c>
      <c r="CG188" t="s">
        <v>492</v>
      </c>
      <c r="CH188" t="str">
        <f t="shared" si="259"/>
        <v/>
      </c>
      <c r="CI188" t="str">
        <f t="shared" si="262"/>
        <v/>
      </c>
      <c r="CJ188" t="str">
        <f t="shared" si="263"/>
        <v>{BLACK}Powered by: {GOLD}Diesel {}{BLACK}Length: {GOLD}0.7 tiles{}{SILVER}The EE 10000 is the first mainline diesel locomotive built in the UK. Two were built for the LMS.</v>
      </c>
    </row>
    <row r="189" spans="1:88" x14ac:dyDescent="0.35">
      <c r="A189" t="s">
        <v>15</v>
      </c>
      <c r="B189" t="s">
        <v>494</v>
      </c>
      <c r="C189">
        <v>276</v>
      </c>
      <c r="E189">
        <v>75</v>
      </c>
      <c r="F189" t="s">
        <v>1498</v>
      </c>
      <c r="G189" t="s">
        <v>258</v>
      </c>
      <c r="H189" t="s">
        <v>267</v>
      </c>
      <c r="I189" t="s">
        <v>270</v>
      </c>
      <c r="J189">
        <v>1948</v>
      </c>
      <c r="K189">
        <v>1949</v>
      </c>
      <c r="L189">
        <v>1966</v>
      </c>
      <c r="N189">
        <v>2700</v>
      </c>
      <c r="P189" s="5">
        <v>19</v>
      </c>
      <c r="Q189" s="5">
        <v>26</v>
      </c>
      <c r="R189" s="5">
        <v>3</v>
      </c>
      <c r="S189" s="5">
        <v>250</v>
      </c>
      <c r="T189" s="6">
        <f>((($AB189/2)/60)*5280)/($U189*3.2*PI())</f>
        <v>215.60398694714888</v>
      </c>
      <c r="U189" s="5">
        <v>2.0299999999999998</v>
      </c>
      <c r="V189" s="5">
        <f>((($P189*$P189/4)*PI())*($Q189/12)*$R189*$S189*$T189)/(33000*1.1)</f>
        <v>2736.5325048514705</v>
      </c>
      <c r="W189">
        <v>106.9</v>
      </c>
      <c r="X189" s="8">
        <v>61.9</v>
      </c>
      <c r="Z189">
        <v>166</v>
      </c>
      <c r="AA189" s="3">
        <f t="shared" si="268"/>
        <v>9.8341232227488154E-2</v>
      </c>
      <c r="AB189">
        <v>100</v>
      </c>
      <c r="AC189">
        <f t="shared" si="284"/>
        <v>160</v>
      </c>
      <c r="AF189">
        <v>22.24</v>
      </c>
      <c r="AG189">
        <f>AF189-7.5</f>
        <v>14.739999999999998</v>
      </c>
      <c r="AI189">
        <v>3.99</v>
      </c>
      <c r="AJ189" s="10">
        <v>0</v>
      </c>
      <c r="AK189" t="str">
        <f>CONCATENATE(VLOOKUP(AL189, 'Voxel Sizes'!$A$2:$B$18,2,FALSE),"x",INT(AH189*15), "x", INT(AI189*15))</f>
        <v>152x0x59</v>
      </c>
      <c r="AL189">
        <f t="shared" si="269"/>
        <v>9</v>
      </c>
      <c r="AM189" t="s">
        <v>430</v>
      </c>
      <c r="AN189" t="str">
        <f>CONCATENATE(VLOOKUP(AL189,Constants!$A$2:$C$16,IF(AM189&lt;&gt;"", 3, 2), FALSE),IF(AM189&lt;&gt;"",CONCATENATE(",",VLOOKUP(AM189,$B:$AN,39,FALSE)),""))</f>
        <v>2,5,2,2,1,2</v>
      </c>
      <c r="AV189">
        <v>1</v>
      </c>
      <c r="AX189">
        <v>32</v>
      </c>
      <c r="AY189" s="15">
        <f t="shared" si="270"/>
        <v>26</v>
      </c>
      <c r="BB189">
        <f t="shared" si="271"/>
        <v>20</v>
      </c>
      <c r="BC189">
        <f t="shared" si="272"/>
        <v>13.5</v>
      </c>
      <c r="BD189">
        <f t="shared" si="273"/>
        <v>8.2999999999999989</v>
      </c>
      <c r="BE189" s="3">
        <f t="shared" si="274"/>
        <v>0.93599999999999994</v>
      </c>
      <c r="BF189">
        <f t="shared" si="275"/>
        <v>0</v>
      </c>
      <c r="BG189">
        <f>VLOOKUP($H189,Constants!$I:$K, 2, FALSE)</f>
        <v>1.1499999999999999</v>
      </c>
      <c r="BH189">
        <f>VLOOKUP($H189,Constants!$I:$K, 3, FALSE)*IF(AND(G189="multiple_unit",AB189&lt;110),0.75,1)</f>
        <v>1.7</v>
      </c>
      <c r="BI189">
        <f>INT(POWER(((Constants!$G$2+$BB189+$BC189+$BD189+$BF189)*$BE189)*$BH189, 1.05))+$BA189</f>
        <v>92</v>
      </c>
      <c r="BJ189">
        <f>INT(POWER((((Constants!$G$1+$BB189+$BC189+$BD189+$BF189)*($BE189))*$BG189),IF($G189="wagon",1,1.2)))+$AZ189</f>
        <v>139</v>
      </c>
      <c r="BK189" s="14">
        <f t="shared" si="276"/>
        <v>71875</v>
      </c>
      <c r="BL189" s="14">
        <f t="shared" si="277"/>
        <v>11293.75</v>
      </c>
      <c r="BU189">
        <v>6</v>
      </c>
      <c r="BZ189" t="str">
        <f>VLOOKUP(J189,Eras!$A$2:$C$10, 2, TRUE)</f>
        <v>ebr</v>
      </c>
      <c r="CA189" t="s">
        <v>323</v>
      </c>
      <c r="CB189" t="str">
        <f t="shared" si="278"/>
        <v>ebr_Express</v>
      </c>
      <c r="CC189" t="str">
        <f t="shared" si="261"/>
        <v>steam_RAIL</v>
      </c>
      <c r="CD189" s="17" t="str" cm="1">
        <f t="array" ref="CD189">_xlfn.CONCAT("{BLACK}Length: {GOLD}", TEXT(ROUNDUP(IF(AQ189&lt;&gt;"",SUM(VALUE(_xlfn.TEXTSPLIT(AQ189, ","))), SUM(VALUE(_xlfn.TEXTSPLIT(AN189, ",")))*IF(M189, M189, 1))/16, 1), "#,##0.0"), " tiles{}")</f>
        <v>{BLACK}Length: {GOLD}0.9 tiles{}</v>
      </c>
      <c r="CE189" t="str">
        <f>VLOOKUP($CC189, Constants!$M:$N, 2, FALSE)</f>
        <v>{BLACK}Powered by: {GOLD}Steam</v>
      </c>
      <c r="CF189" t="str">
        <f t="shared" si="281"/>
        <v/>
      </c>
      <c r="CG189" t="s">
        <v>493</v>
      </c>
      <c r="CH189" t="str">
        <f t="shared" si="259"/>
        <v/>
      </c>
      <c r="CI189" t="str">
        <f t="shared" si="262"/>
        <v/>
      </c>
      <c r="CJ189" t="str">
        <f t="shared" si="263"/>
        <v>{BLACK}Powered by: {GOLD}Steam {}{BLACK}Length: {GOLD}0.9 tiles{}{SILVER}The Peppercorn A1 is designed for hauling heavy passenger trains of 12 or more carriages. A continuation of the series, 'Tornado', was built in 2008.</v>
      </c>
    </row>
    <row r="190" spans="1:88" x14ac:dyDescent="0.35">
      <c r="A190" t="s">
        <v>62</v>
      </c>
      <c r="B190" t="s">
        <v>243</v>
      </c>
      <c r="C190">
        <v>278</v>
      </c>
      <c r="E190">
        <v>76</v>
      </c>
      <c r="F190" t="s">
        <v>1498</v>
      </c>
      <c r="G190" t="s">
        <v>258</v>
      </c>
      <c r="H190" t="s">
        <v>291</v>
      </c>
      <c r="I190" t="s">
        <v>292</v>
      </c>
      <c r="J190">
        <v>1950</v>
      </c>
      <c r="K190">
        <v>1953</v>
      </c>
      <c r="L190">
        <v>1981</v>
      </c>
      <c r="N190">
        <v>1300</v>
      </c>
      <c r="W190">
        <v>89.3</v>
      </c>
      <c r="Z190">
        <v>200</v>
      </c>
      <c r="AA190" s="3">
        <f t="shared" si="268"/>
        <v>0.22396416573348266</v>
      </c>
      <c r="AB190">
        <v>65</v>
      </c>
      <c r="AC190">
        <f t="shared" si="284"/>
        <v>104</v>
      </c>
      <c r="AF190">
        <v>15.34</v>
      </c>
      <c r="AG190">
        <v>15.34</v>
      </c>
      <c r="AJ190" s="10">
        <v>0</v>
      </c>
      <c r="AK190" t="str">
        <f>CONCATENATE(VLOOKUP(AL190, 'Voxel Sizes'!$A$2:$B$18,2,FALSE),"x",INT(AH190*15), "x", INT(AI190*15))</f>
        <v>152x0x0</v>
      </c>
      <c r="AL190">
        <f t="shared" si="269"/>
        <v>9</v>
      </c>
      <c r="AN190" t="str">
        <f>CONCATENATE(VLOOKUP(AL190,Constants!$A$2:$C$16,IF(AM190&lt;&gt;"", 3, 2), FALSE),IF(AM190&lt;&gt;"",CONCATENATE(",",VLOOKUP(AM190,$B:$AN,39,FALSE)),""))</f>
        <v>2,5,2</v>
      </c>
      <c r="AX190">
        <v>30</v>
      </c>
      <c r="AY190" s="15">
        <f t="shared" si="270"/>
        <v>39</v>
      </c>
      <c r="BB190">
        <f t="shared" si="271"/>
        <v>13</v>
      </c>
      <c r="BC190">
        <f t="shared" si="272"/>
        <v>6.5</v>
      </c>
      <c r="BD190">
        <f t="shared" si="273"/>
        <v>10</v>
      </c>
      <c r="BE190" s="3">
        <f t="shared" si="274"/>
        <v>0.93333333333333335</v>
      </c>
      <c r="BF190">
        <f t="shared" si="275"/>
        <v>0</v>
      </c>
      <c r="BG190">
        <f>VLOOKUP($H190,Constants!$I:$K, 2, FALSE)</f>
        <v>0.85</v>
      </c>
      <c r="BH190">
        <f>VLOOKUP($H190,Constants!$I:$K, 3, FALSE)*IF(AND(G190="multiple_unit",AB190&lt;110),0.75,1)</f>
        <v>2.2999999999999998</v>
      </c>
      <c r="BI190">
        <f>INT(POWER(((Constants!$G$2+$BB190+$BC190+$BD190+$BF190)*$BE190)*$BH190, 1.05))+$BA190</f>
        <v>91</v>
      </c>
      <c r="BJ190">
        <f>INT(POWER((((Constants!$G$1+$BB190+$BC190+$BD190+$BF190)*($BE190))*$BG190),IF($G190="wagon",1,1.2)))+$AZ190</f>
        <v>72</v>
      </c>
      <c r="BK190" s="14">
        <f t="shared" si="276"/>
        <v>71093.75</v>
      </c>
      <c r="BL190" s="14">
        <f t="shared" si="277"/>
        <v>5850</v>
      </c>
      <c r="BU190">
        <v>7</v>
      </c>
      <c r="BZ190" t="str">
        <f>VLOOKUP(J190,Eras!$A$2:$C$10, 2, TRUE)</f>
        <v>ebr</v>
      </c>
      <c r="CA190" t="s">
        <v>334</v>
      </c>
      <c r="CB190" t="str">
        <f t="shared" si="278"/>
        <v>ebr_Freight (Electric)</v>
      </c>
      <c r="CC190" t="str">
        <f t="shared" si="261"/>
        <v>electric_ELRL</v>
      </c>
      <c r="CD190" s="17" t="str" cm="1">
        <f t="array" ref="CD190">_xlfn.CONCAT("{BLACK}Length: {GOLD}", TEXT(ROUNDUP(IF(AQ190&lt;&gt;"",SUM(VALUE(_xlfn.TEXTSPLIT(AQ190, ","))), SUM(VALUE(_xlfn.TEXTSPLIT(AN190, ",")))*IF(M190, M190, 1))/16, 1), "#,##0.0"), " tiles{}")</f>
        <v>{BLACK}Length: {GOLD}0.6 tiles{}</v>
      </c>
      <c r="CE190" t="str">
        <f>VLOOKUP($CC190, Constants!$M:$N, 2, FALSE)</f>
        <v>{BLACK}Powered by: {GOLD}25kV AC</v>
      </c>
      <c r="CF190" t="str">
        <f t="shared" si="281"/>
        <v/>
      </c>
      <c r="CG190" t="s">
        <v>350</v>
      </c>
      <c r="CH190" t="str">
        <f t="shared" si="259"/>
        <v/>
      </c>
      <c r="CI190" t="str">
        <f t="shared" si="262"/>
        <v/>
      </c>
      <c r="CJ190" t="str">
        <f t="shared" si="263"/>
        <v>{BLACK}Powered by: {GOLD}25kV AC {}{BLACK}Length: {GOLD}0.6 tiles{}{SILVER}The Class 76 is an electric freight locomotive designed for the Woodhead Line in the northern Peak District. With high tractive effort, electric traction lent itself to the steep gradients and many tunnels of the line.</v>
      </c>
    </row>
    <row r="191" spans="1:88" x14ac:dyDescent="0.35">
      <c r="A191" t="s">
        <v>503</v>
      </c>
      <c r="B191" t="s">
        <v>497</v>
      </c>
      <c r="C191">
        <v>280</v>
      </c>
      <c r="E191">
        <v>77</v>
      </c>
      <c r="F191" t="s">
        <v>1498</v>
      </c>
      <c r="G191" t="s">
        <v>258</v>
      </c>
      <c r="H191" t="s">
        <v>267</v>
      </c>
      <c r="I191" t="s">
        <v>270</v>
      </c>
      <c r="J191">
        <v>1951</v>
      </c>
      <c r="K191">
        <v>1952</v>
      </c>
      <c r="L191">
        <v>1966</v>
      </c>
      <c r="N191">
        <v>1500</v>
      </c>
      <c r="P191" s="5">
        <v>19.5</v>
      </c>
      <c r="Q191" s="5">
        <v>28</v>
      </c>
      <c r="R191" s="5">
        <v>2</v>
      </c>
      <c r="S191" s="5">
        <v>225</v>
      </c>
      <c r="T191" s="6">
        <f>((($AB191/2)/60)*5280)/($U191*3.2*PI())</f>
        <v>184.28467094851041</v>
      </c>
      <c r="U191" s="5">
        <v>1.9</v>
      </c>
      <c r="V191" s="5">
        <f>((($P191*$P191/4)*PI())*($Q191/12)*$R191*$S191*$T191)/(33000*1.1)</f>
        <v>1591.9557416267944</v>
      </c>
      <c r="W191">
        <v>89.92</v>
      </c>
      <c r="X191" s="8">
        <v>14.38</v>
      </c>
      <c r="Z191">
        <v>122</v>
      </c>
      <c r="AA191" s="3">
        <f t="shared" si="268"/>
        <v>0.11697027804410355</v>
      </c>
      <c r="AB191">
        <v>80</v>
      </c>
      <c r="AC191">
        <f t="shared" si="284"/>
        <v>128</v>
      </c>
      <c r="AF191">
        <v>20.96</v>
      </c>
      <c r="AG191">
        <f>AF191-7.5</f>
        <v>13.46</v>
      </c>
      <c r="AI191">
        <v>3.98</v>
      </c>
      <c r="AJ191" s="10">
        <v>0</v>
      </c>
      <c r="AK191" t="str">
        <f>CONCATENATE(VLOOKUP(AL191, 'Voxel Sizes'!$A$2:$B$18,2,FALSE),"x",INT(AH191*15), "x", INT(AI191*15))</f>
        <v>136x0x59</v>
      </c>
      <c r="AL191">
        <f t="shared" si="269"/>
        <v>8</v>
      </c>
      <c r="AM191" t="s">
        <v>435</v>
      </c>
      <c r="AN191" t="str">
        <f>CONCATENATE(VLOOKUP(AL191,Constants!$A$2:$C$16,IF(AM191&lt;&gt;"", 3, 2), FALSE),IF(AM191&lt;&gt;"",CONCATENATE(",",VLOOKUP(AM191,$B:$AN,39,FALSE)),""))</f>
        <v>2,4,2,2,1,2</v>
      </c>
      <c r="AV191">
        <v>1</v>
      </c>
      <c r="AX191">
        <v>30</v>
      </c>
      <c r="AY191" s="15">
        <f t="shared" si="270"/>
        <v>23</v>
      </c>
      <c r="BB191">
        <f t="shared" si="271"/>
        <v>16</v>
      </c>
      <c r="BC191">
        <f t="shared" si="272"/>
        <v>7.5</v>
      </c>
      <c r="BD191">
        <f t="shared" si="273"/>
        <v>6.1</v>
      </c>
      <c r="BE191" s="3">
        <f t="shared" si="274"/>
        <v>0.93199999999999994</v>
      </c>
      <c r="BF191">
        <f t="shared" si="275"/>
        <v>0</v>
      </c>
      <c r="BG191">
        <f>VLOOKUP($H191,Constants!$I:$K, 2, FALSE)</f>
        <v>1.1499999999999999</v>
      </c>
      <c r="BH191">
        <f>VLOOKUP($H191,Constants!$I:$K, 3, FALSE)*IF(AND(G191="multiple_unit",AB191&lt;110),0.75,1)</f>
        <v>1.7</v>
      </c>
      <c r="BI191">
        <f>INT(POWER(((Constants!$G$2+$BB191+$BC191+$BD191+$BF191)*$BE191)*$BH191, 1.05))+$BA191</f>
        <v>66</v>
      </c>
      <c r="BJ191">
        <f>INT(POWER((((Constants!$G$1+$BB191+$BC191+$BD191+$BF191)*($BE191))*$BG191),IF($G191="wagon",1,1.2)))+$AZ191</f>
        <v>103</v>
      </c>
      <c r="BK191" s="14">
        <f t="shared" si="276"/>
        <v>51562.5</v>
      </c>
      <c r="BL191" s="14">
        <f t="shared" si="277"/>
        <v>8368.75</v>
      </c>
      <c r="BU191">
        <v>8</v>
      </c>
      <c r="BZ191" t="str">
        <f>VLOOKUP(J191,Eras!$A$2:$C$10, 2, TRUE)</f>
        <v>ebr</v>
      </c>
      <c r="CA191" t="s">
        <v>322</v>
      </c>
      <c r="CB191" t="str">
        <f t="shared" si="278"/>
        <v>ebr_Mixed Traffic</v>
      </c>
      <c r="CC191" t="str">
        <f t="shared" si="261"/>
        <v>steam_RAIL</v>
      </c>
      <c r="CD191" s="17" t="str" cm="1">
        <f t="array" ref="CD191">_xlfn.CONCAT("{BLACK}Length: {GOLD}", TEXT(ROUNDUP(IF(AQ191&lt;&gt;"",SUM(VALUE(_xlfn.TEXTSPLIT(AQ191, ","))), SUM(VALUE(_xlfn.TEXTSPLIT(AN191, ",")))*IF(M191, M191, 1))/16, 1), "#,##0.0"), " tiles{}")</f>
        <v>{BLACK}Length: {GOLD}0.9 tiles{}</v>
      </c>
      <c r="CE191" t="str">
        <f>VLOOKUP($CC191, Constants!$M:$N, 2, FALSE)</f>
        <v>{BLACK}Powered by: {GOLD}Steam</v>
      </c>
      <c r="CF191" t="str">
        <f t="shared" si="281"/>
        <v/>
      </c>
      <c r="CG191" t="s">
        <v>501</v>
      </c>
      <c r="CH191" t="str">
        <f t="shared" ref="CH191:CH254" si="285">IF($BT191="!param_no_gameplay_units","{GREEN}Included for gameplay purposes","")</f>
        <v/>
      </c>
      <c r="CI191" t="str">
        <f t="shared" si="262"/>
        <v/>
      </c>
      <c r="CJ191" t="str">
        <f t="shared" si="263"/>
        <v>{BLACK}Powered by: {GOLD}Steam {}{BLACK}Length: {GOLD}0.9 tiles{}{SILVER}The Class 6 is a lighter version of the Class 7 "Britannia", with a smaller boiler. Only 10 were produced due to steel shortages.</v>
      </c>
    </row>
    <row r="192" spans="1:88" x14ac:dyDescent="0.35">
      <c r="A192" t="s">
        <v>504</v>
      </c>
      <c r="B192" t="s">
        <v>498</v>
      </c>
      <c r="C192">
        <v>282</v>
      </c>
      <c r="E192">
        <v>78</v>
      </c>
      <c r="F192" t="s">
        <v>1498</v>
      </c>
      <c r="G192" t="s">
        <v>258</v>
      </c>
      <c r="H192" t="s">
        <v>267</v>
      </c>
      <c r="I192" t="s">
        <v>270</v>
      </c>
      <c r="J192">
        <v>1951</v>
      </c>
      <c r="K192">
        <v>1954</v>
      </c>
      <c r="L192">
        <v>1968</v>
      </c>
      <c r="N192">
        <v>2000</v>
      </c>
      <c r="P192" s="5">
        <v>20</v>
      </c>
      <c r="Q192" s="5">
        <v>28</v>
      </c>
      <c r="R192" s="5">
        <v>2</v>
      </c>
      <c r="S192" s="5">
        <v>250</v>
      </c>
      <c r="T192" s="6">
        <f>((($AB192/2)/60)*5280)/($U192*3.2*PI())</f>
        <v>207.32025481707421</v>
      </c>
      <c r="U192" s="5">
        <v>1.9</v>
      </c>
      <c r="V192" s="5">
        <f>((($P192*$P192/4)*PI())*($Q192/12)*$R192*$S192*$T192)/(33000*1.1)</f>
        <v>2093.3014354066986</v>
      </c>
      <c r="W192">
        <v>95.5</v>
      </c>
      <c r="X192" s="8">
        <v>50</v>
      </c>
      <c r="Z192">
        <v>143</v>
      </c>
      <c r="AA192" s="3">
        <f t="shared" si="268"/>
        <v>9.8281786941580754E-2</v>
      </c>
      <c r="AB192">
        <v>90</v>
      </c>
      <c r="AC192">
        <f t="shared" si="284"/>
        <v>144</v>
      </c>
      <c r="AF192">
        <v>20.96</v>
      </c>
      <c r="AG192">
        <f>AF192-7.5</f>
        <v>13.46</v>
      </c>
      <c r="AI192">
        <v>3.98</v>
      </c>
      <c r="AJ192" s="10">
        <v>0</v>
      </c>
      <c r="AK192" t="str">
        <f>CONCATENATE(VLOOKUP(AL192, 'Voxel Sizes'!$A$2:$B$18,2,FALSE),"x",INT(AH192*15), "x", INT(AI192*15))</f>
        <v>136x0x59</v>
      </c>
      <c r="AL192">
        <f t="shared" si="269"/>
        <v>8</v>
      </c>
      <c r="AM192" t="s">
        <v>435</v>
      </c>
      <c r="AN192" t="str">
        <f>CONCATENATE(VLOOKUP(AL192,Constants!$A$2:$C$16,IF(AM192&lt;&gt;"", 3, 2), FALSE),IF(AM192&lt;&gt;"",CONCATENATE(",",VLOOKUP(AM192,$B:$AN,39,FALSE)),""))</f>
        <v>2,4,2,2,1,2</v>
      </c>
      <c r="AV192">
        <v>1</v>
      </c>
      <c r="AX192">
        <v>30</v>
      </c>
      <c r="AY192" s="15">
        <f t="shared" si="270"/>
        <v>25</v>
      </c>
      <c r="BB192">
        <f t="shared" si="271"/>
        <v>18</v>
      </c>
      <c r="BC192">
        <f t="shared" si="272"/>
        <v>10</v>
      </c>
      <c r="BD192">
        <f t="shared" si="273"/>
        <v>7.1499999999999995</v>
      </c>
      <c r="BE192" s="3">
        <f t="shared" si="274"/>
        <v>0.93199999999999994</v>
      </c>
      <c r="BF192">
        <f t="shared" si="275"/>
        <v>0</v>
      </c>
      <c r="BG192">
        <f>VLOOKUP($H192,Constants!$I:$K, 2, FALSE)</f>
        <v>1.1499999999999999</v>
      </c>
      <c r="BH192">
        <f>VLOOKUP($H192,Constants!$I:$K, 3, FALSE)*IF(AND(G192="multiple_unit",AB192&lt;110),0.75,1)</f>
        <v>1.7</v>
      </c>
      <c r="BI192">
        <f>INT(POWER(((Constants!$G$2+$BB192+$BC192+$BD192+$BF192)*$BE192)*$BH192, 1.05))+$BA192</f>
        <v>78</v>
      </c>
      <c r="BJ192">
        <f>INT(POWER((((Constants!$G$1+$BB192+$BC192+$BD192+$BF192)*($BE192))*$BG192),IF($G192="wagon",1,1.2)))+$AZ192</f>
        <v>119</v>
      </c>
      <c r="BK192" s="14">
        <f t="shared" si="276"/>
        <v>60937.5</v>
      </c>
      <c r="BL192" s="14">
        <f t="shared" si="277"/>
        <v>9668.75</v>
      </c>
      <c r="BU192">
        <v>9</v>
      </c>
      <c r="BZ192" t="str">
        <f>VLOOKUP(J192,Eras!$A$2:$C$10, 2, TRUE)</f>
        <v>ebr</v>
      </c>
      <c r="CA192" t="s">
        <v>322</v>
      </c>
      <c r="CB192" t="str">
        <f t="shared" si="278"/>
        <v>ebr_Mixed Traffic</v>
      </c>
      <c r="CC192" t="str">
        <f t="shared" si="261"/>
        <v>steam_RAIL</v>
      </c>
      <c r="CD192" s="17" t="str" cm="1">
        <f t="array" ref="CD192">_xlfn.CONCAT("{BLACK}Length: {GOLD}", TEXT(ROUNDUP(IF(AQ192&lt;&gt;"",SUM(VALUE(_xlfn.TEXTSPLIT(AQ192, ","))), SUM(VALUE(_xlfn.TEXTSPLIT(AN192, ",")))*IF(M192, M192, 1))/16, 1), "#,##0.0"), " tiles{}")</f>
        <v>{BLACK}Length: {GOLD}0.9 tiles{}</v>
      </c>
      <c r="CE192" t="str">
        <f>VLOOKUP($CC192, Constants!$M:$N, 2, FALSE)</f>
        <v>{BLACK}Powered by: {GOLD}Steam</v>
      </c>
      <c r="CF192" t="str">
        <f t="shared" si="281"/>
        <v/>
      </c>
      <c r="CG192" t="s">
        <v>500</v>
      </c>
      <c r="CH192" t="str">
        <f t="shared" si="285"/>
        <v/>
      </c>
      <c r="CI192" t="str">
        <f t="shared" si="262"/>
        <v/>
      </c>
      <c r="CJ192" t="str">
        <f t="shared" si="263"/>
        <v>{BLACK}Powered by: {GOLD}Steam {}{BLACK}Length: {GOLD}0.9 tiles{}{SILVER}The Class 7 combines the best features of pre-BR designs from the Big Four, with the aim of reducing maintenance costs.</v>
      </c>
    </row>
    <row r="193" spans="1:88" x14ac:dyDescent="0.35">
      <c r="A193" t="s">
        <v>66</v>
      </c>
      <c r="B193" t="s">
        <v>162</v>
      </c>
      <c r="C193">
        <v>284</v>
      </c>
      <c r="E193">
        <v>79</v>
      </c>
      <c r="F193" t="s">
        <v>1498</v>
      </c>
      <c r="G193" t="s">
        <v>258</v>
      </c>
      <c r="H193" t="s">
        <v>268</v>
      </c>
      <c r="I193" t="s">
        <v>270</v>
      </c>
      <c r="J193">
        <v>1952</v>
      </c>
      <c r="K193">
        <v>1962</v>
      </c>
      <c r="N193">
        <v>350</v>
      </c>
      <c r="W193">
        <v>49.8</v>
      </c>
      <c r="Z193">
        <v>160</v>
      </c>
      <c r="AA193" s="3">
        <f t="shared" si="268"/>
        <v>0.32128514056224899</v>
      </c>
      <c r="AB193">
        <v>20</v>
      </c>
      <c r="AC193">
        <f t="shared" si="284"/>
        <v>32</v>
      </c>
      <c r="AF193">
        <v>8.92</v>
      </c>
      <c r="AG193">
        <v>9.5</v>
      </c>
      <c r="AH193">
        <v>2.59</v>
      </c>
      <c r="AI193">
        <v>3.87</v>
      </c>
      <c r="AJ193" s="10">
        <v>0</v>
      </c>
      <c r="AK193" t="str">
        <f>CONCATENATE(VLOOKUP(AL193, 'Voxel Sizes'!$A$2:$B$18,2,FALSE),"x",INT(AH193*15), "x", INT(AI193*15))</f>
        <v>102x38x58</v>
      </c>
      <c r="AL193">
        <f t="shared" si="269"/>
        <v>6</v>
      </c>
      <c r="AN193" t="str">
        <f>CONCATENATE(VLOOKUP(AL193,Constants!$A$2:$C$16,IF(AM193&lt;&gt;"", 3, 2), FALSE),IF(AM193&lt;&gt;"",CONCATENATE(",",VLOOKUP(AM193,$B:$AN,39,FALSE)),""))</f>
        <v>2,2,2</v>
      </c>
      <c r="AV193">
        <v>1</v>
      </c>
      <c r="AX193">
        <v>42</v>
      </c>
      <c r="AY193" s="15" t="str">
        <f t="shared" si="270"/>
        <v/>
      </c>
      <c r="BA193">
        <v>-10</v>
      </c>
      <c r="BB193">
        <f t="shared" si="271"/>
        <v>4</v>
      </c>
      <c r="BC193">
        <f t="shared" si="272"/>
        <v>1.75</v>
      </c>
      <c r="BD193">
        <f t="shared" si="273"/>
        <v>8</v>
      </c>
      <c r="BE193" s="3">
        <f t="shared" si="274"/>
        <v>0.93066666666666664</v>
      </c>
      <c r="BF193">
        <f t="shared" si="275"/>
        <v>0</v>
      </c>
      <c r="BG193">
        <f>VLOOKUP($H193,Constants!$I:$K, 2, FALSE)</f>
        <v>1</v>
      </c>
      <c r="BH193">
        <f>VLOOKUP($H193,Constants!$I:$K, 3, FALSE)*IF(AND(G193="multiple_unit",AB193&lt;110),0.75,1)</f>
        <v>2</v>
      </c>
      <c r="BI193">
        <f>INT(POWER(((Constants!$G$2+$BB193+$BC193+$BD193+$BF193)*$BE193)*$BH193, 1.05))+$BA193</f>
        <v>31</v>
      </c>
      <c r="BJ193">
        <f>INT(POWER((((Constants!$G$1+$BB193+$BC193+$BD193+$BF193)*($BE193))*$BG193),IF($G193="wagon",1,1.2)))+$AZ193</f>
        <v>51</v>
      </c>
      <c r="BK193" s="14">
        <f t="shared" si="276"/>
        <v>24218.75</v>
      </c>
      <c r="BL193" s="14">
        <f t="shared" si="277"/>
        <v>4143.75</v>
      </c>
      <c r="BU193">
        <v>10</v>
      </c>
      <c r="BZ193" t="str">
        <f>VLOOKUP(J193,Eras!$A$2:$C$10, 2, TRUE)</f>
        <v>ebr</v>
      </c>
      <c r="CA193" t="s">
        <v>321</v>
      </c>
      <c r="CB193" t="str">
        <f t="shared" si="278"/>
        <v>ebr_Cheap</v>
      </c>
      <c r="CC193" t="str">
        <f t="shared" si="261"/>
        <v>diesel_RAIL</v>
      </c>
      <c r="CD193" s="17" t="str" cm="1">
        <f t="array" ref="CD193">_xlfn.CONCAT("{BLACK}Length: {GOLD}", TEXT(ROUNDUP(IF(AQ193&lt;&gt;"",SUM(VALUE(_xlfn.TEXTSPLIT(AQ193, ","))), SUM(VALUE(_xlfn.TEXTSPLIT(AN193, ",")))*IF(M193, M193, 1))/16, 1), "#,##0.0"), " tiles{}")</f>
        <v>{BLACK}Length: {GOLD}0.4 tiles{}</v>
      </c>
      <c r="CE193" t="str">
        <f>VLOOKUP($CC193, Constants!$M:$N, 2, FALSE)</f>
        <v>{BLACK}Powered by: {GOLD}Diesel</v>
      </c>
      <c r="CF193" t="str">
        <f t="shared" si="281"/>
        <v/>
      </c>
      <c r="CG193" t="s">
        <v>351</v>
      </c>
      <c r="CH193" t="str">
        <f t="shared" si="285"/>
        <v/>
      </c>
      <c r="CI193" t="str">
        <f t="shared" si="262"/>
        <v/>
      </c>
      <c r="CJ193" t="str">
        <f t="shared" si="263"/>
        <v>{BLACK}Powered by: {GOLD}Diesel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94" spans="1:88" x14ac:dyDescent="0.35">
      <c r="A194" t="s">
        <v>63</v>
      </c>
      <c r="B194" t="s">
        <v>244</v>
      </c>
      <c r="C194">
        <v>286</v>
      </c>
      <c r="E194">
        <v>80</v>
      </c>
      <c r="F194" t="s">
        <v>1498</v>
      </c>
      <c r="G194" t="s">
        <v>258</v>
      </c>
      <c r="H194" t="s">
        <v>291</v>
      </c>
      <c r="I194" t="s">
        <v>292</v>
      </c>
      <c r="J194">
        <v>1953</v>
      </c>
      <c r="K194">
        <v>1954</v>
      </c>
      <c r="L194">
        <v>1968</v>
      </c>
      <c r="N194">
        <v>2490</v>
      </c>
      <c r="W194">
        <v>104.1</v>
      </c>
      <c r="Z194">
        <v>200</v>
      </c>
      <c r="AA194" s="3">
        <f t="shared" si="268"/>
        <v>0.19212295869356388</v>
      </c>
      <c r="AB194">
        <v>90</v>
      </c>
      <c r="AC194">
        <f t="shared" si="284"/>
        <v>144</v>
      </c>
      <c r="AF194">
        <v>17.98</v>
      </c>
      <c r="AG194">
        <v>17.98</v>
      </c>
      <c r="AJ194" s="10">
        <v>0</v>
      </c>
      <c r="AK194" t="str">
        <f>CONCATENATE(VLOOKUP(AL194, 'Voxel Sizes'!$A$2:$B$18,2,FALSE),"x",INT(AH194*15), "x", INT(AI194*15))</f>
        <v>186x0x0</v>
      </c>
      <c r="AL194">
        <f t="shared" si="269"/>
        <v>11</v>
      </c>
      <c r="AN194" t="str">
        <f>CONCATENATE(VLOOKUP(AL194,Constants!$A$2:$C$16,IF(AM194&lt;&gt;"", 3, 2), FALSE),IF(AM194&lt;&gt;"",CONCATENATE(",",VLOOKUP(AM194,$B:$AN,39,FALSE)),""))</f>
        <v>4,3,4</v>
      </c>
      <c r="AX194">
        <v>25</v>
      </c>
      <c r="AY194" s="15">
        <f t="shared" si="270"/>
        <v>23</v>
      </c>
      <c r="BB194">
        <f t="shared" si="271"/>
        <v>18</v>
      </c>
      <c r="BC194">
        <f t="shared" si="272"/>
        <v>12.450000000000001</v>
      </c>
      <c r="BD194">
        <f t="shared" si="273"/>
        <v>10</v>
      </c>
      <c r="BE194" s="3">
        <f t="shared" si="274"/>
        <v>0.92933333333333334</v>
      </c>
      <c r="BF194">
        <f t="shared" si="275"/>
        <v>0</v>
      </c>
      <c r="BG194">
        <f>VLOOKUP($H194,Constants!$I:$K, 2, FALSE)</f>
        <v>0.85</v>
      </c>
      <c r="BH194">
        <f>VLOOKUP($H194,Constants!$I:$K, 3, FALSE)*IF(AND(G194="multiple_unit",AB194&lt;110),0.75,1)</f>
        <v>2.2999999999999998</v>
      </c>
      <c r="BI194">
        <f>INT(POWER(((Constants!$G$2+$BB194+$BC194+$BD194+$BF194)*$BE194)*$BH194, 1.05))+$BA194</f>
        <v>122</v>
      </c>
      <c r="BJ194">
        <f>INT(POWER((((Constants!$G$1+$BB194+$BC194+$BD194+$BF194)*($BE194))*$BG194),IF($G194="wagon",1,1.2)))+$AZ194</f>
        <v>93</v>
      </c>
      <c r="BK194" s="14">
        <f t="shared" si="276"/>
        <v>95312.5</v>
      </c>
      <c r="BL194" s="14">
        <f t="shared" si="277"/>
        <v>7556.25</v>
      </c>
      <c r="BU194">
        <v>11</v>
      </c>
      <c r="BZ194" t="str">
        <f>VLOOKUP(J194,Eras!$A$2:$C$10, 2, TRUE)</f>
        <v>ebr</v>
      </c>
      <c r="CA194" t="s">
        <v>333</v>
      </c>
      <c r="CB194" t="str">
        <f t="shared" si="278"/>
        <v>ebr_Express (Electric)</v>
      </c>
      <c r="CC194" t="str">
        <f t="shared" si="261"/>
        <v>electric_ELRL</v>
      </c>
      <c r="CD194" s="17" t="str" cm="1">
        <f t="array" ref="CD194">_xlfn.CONCAT("{BLACK}Length: {GOLD}", TEXT(ROUNDUP(IF(AQ194&lt;&gt;"",SUM(VALUE(_xlfn.TEXTSPLIT(AQ194, ","))), SUM(VALUE(_xlfn.TEXTSPLIT(AN194, ",")))*IF(M194, M194, 1))/16, 1), "#,##0.0"), " tiles{}")</f>
        <v>{BLACK}Length: {GOLD}0.7 tiles{}</v>
      </c>
      <c r="CE194" t="str">
        <f>VLOOKUP($CC194, Constants!$M:$N, 2, FALSE)</f>
        <v>{BLACK}Powered by: {GOLD}25kV AC</v>
      </c>
      <c r="CF194" t="str">
        <f t="shared" si="281"/>
        <v/>
      </c>
      <c r="CG194" t="s">
        <v>502</v>
      </c>
      <c r="CH194" t="str">
        <f t="shared" si="285"/>
        <v/>
      </c>
      <c r="CI194" t="str">
        <f t="shared" si="262"/>
        <v/>
      </c>
      <c r="CJ194" t="str">
        <f t="shared" si="263"/>
        <v>{BLACK}Powered by: {GOLD}25kV AC {}{BLACK}Length: {GOLD}0.7 tiles{}{SILVER}The Class 77  is a larger version of the earlier Class 76, designed to haul passenger services on the Woodhead Line.</v>
      </c>
    </row>
    <row r="195" spans="1:88" x14ac:dyDescent="0.35">
      <c r="A195" t="s">
        <v>496</v>
      </c>
      <c r="B195" t="s">
        <v>499</v>
      </c>
      <c r="C195">
        <v>288</v>
      </c>
      <c r="E195">
        <v>81</v>
      </c>
      <c r="F195" t="s">
        <v>1498</v>
      </c>
      <c r="G195" t="s">
        <v>258</v>
      </c>
      <c r="H195" t="s">
        <v>267</v>
      </c>
      <c r="I195" t="s">
        <v>270</v>
      </c>
      <c r="J195">
        <v>1954</v>
      </c>
      <c r="K195">
        <v>1960</v>
      </c>
      <c r="L195">
        <v>1968</v>
      </c>
      <c r="N195">
        <v>2500</v>
      </c>
      <c r="P195" s="5">
        <v>20</v>
      </c>
      <c r="Q195" s="5">
        <v>28</v>
      </c>
      <c r="R195" s="5">
        <v>2</v>
      </c>
      <c r="S195" s="5">
        <v>250</v>
      </c>
      <c r="T195" s="6">
        <f>((($AB195/2)/60)*5280)/($U195*3.2*PI())</f>
        <v>262.60565610162729</v>
      </c>
      <c r="U195" s="5">
        <v>1.5</v>
      </c>
      <c r="V195" s="5">
        <f>((($P195*$P195/4)*PI())*($Q195/12)*$R195*$S195*$T195)/(33000*1.1)</f>
        <v>2651.515151515151</v>
      </c>
      <c r="W195">
        <v>90</v>
      </c>
      <c r="X195" s="8">
        <v>51</v>
      </c>
      <c r="Z195">
        <v>176</v>
      </c>
      <c r="AA195" s="3">
        <f t="shared" si="268"/>
        <v>0.12482269503546099</v>
      </c>
      <c r="AB195">
        <v>90</v>
      </c>
      <c r="AC195">
        <f t="shared" si="284"/>
        <v>144</v>
      </c>
      <c r="AF195">
        <v>20.170000000000002</v>
      </c>
      <c r="AG195">
        <v>15</v>
      </c>
      <c r="AJ195" s="10">
        <v>0</v>
      </c>
      <c r="AK195" t="str">
        <f>CONCATENATE(VLOOKUP(AL195, 'Voxel Sizes'!$A$2:$B$18,2,FALSE),"x",INT(AH195*15), "x", INT(AI195*15))</f>
        <v>152x0x0</v>
      </c>
      <c r="AL195">
        <f t="shared" si="269"/>
        <v>9</v>
      </c>
      <c r="AM195" t="s">
        <v>435</v>
      </c>
      <c r="AN195" t="str">
        <f>CONCATENATE(VLOOKUP(AL195,Constants!$A$2:$C$16,IF(AM195&lt;&gt;"", 3, 2), FALSE),IF(AM195&lt;&gt;"",CONCATENATE(",",VLOOKUP(AM195,$B:$AN,39,FALSE)),""))</f>
        <v>2,5,2,2,1,2</v>
      </c>
      <c r="AV195">
        <v>1</v>
      </c>
      <c r="AX195">
        <v>33</v>
      </c>
      <c r="AY195" s="15">
        <f t="shared" si="270"/>
        <v>22</v>
      </c>
      <c r="BB195">
        <f t="shared" si="271"/>
        <v>18</v>
      </c>
      <c r="BC195">
        <f t="shared" si="272"/>
        <v>12.5</v>
      </c>
      <c r="BD195">
        <f t="shared" si="273"/>
        <v>8.8000000000000007</v>
      </c>
      <c r="BE195" s="3">
        <f t="shared" si="274"/>
        <v>0.92800000000000005</v>
      </c>
      <c r="BF195">
        <f t="shared" si="275"/>
        <v>0</v>
      </c>
      <c r="BG195">
        <f>VLOOKUP($H195,Constants!$I:$K, 2, FALSE)</f>
        <v>1.1499999999999999</v>
      </c>
      <c r="BH195">
        <f>VLOOKUP($H195,Constants!$I:$K, 3, FALSE)*IF(AND(G195="multiple_unit",AB195&lt;110),0.75,1)</f>
        <v>1.7</v>
      </c>
      <c r="BI195">
        <f>INT(POWER(((Constants!$G$2+$BB195+$BC195+$BD195+$BF195)*$BE195)*$BH195, 1.05))+$BA195</f>
        <v>86</v>
      </c>
      <c r="BJ195">
        <f>INT(POWER((((Constants!$G$1+$BB195+$BC195+$BD195+$BF195)*($BE195))*$BG195),IF($G195="wagon",1,1.2)))+$AZ195</f>
        <v>130</v>
      </c>
      <c r="BK195" s="14">
        <f t="shared" si="276"/>
        <v>67187.5</v>
      </c>
      <c r="BL195" s="14">
        <f t="shared" si="277"/>
        <v>10562.5</v>
      </c>
      <c r="BU195">
        <v>12</v>
      </c>
      <c r="BZ195" t="str">
        <f>VLOOKUP(J195,Eras!$A$2:$C$10, 2, TRUE)</f>
        <v>ebr</v>
      </c>
      <c r="CA195" t="s">
        <v>324</v>
      </c>
      <c r="CB195" t="str">
        <f t="shared" si="278"/>
        <v>ebr_Freight</v>
      </c>
      <c r="CC195" t="str">
        <f t="shared" si="261"/>
        <v>steam_RAIL</v>
      </c>
      <c r="CD195" s="17" t="str" cm="1">
        <f t="array" ref="CD195">_xlfn.CONCAT("{BLACK}Length: {GOLD}", TEXT(ROUNDUP(IF(AQ195&lt;&gt;"",SUM(VALUE(_xlfn.TEXTSPLIT(AQ195, ","))), SUM(VALUE(_xlfn.TEXTSPLIT(AN195, ",")))*IF(M195, M195, 1))/16, 1), "#,##0.0"), " tiles{}")</f>
        <v>{BLACK}Length: {GOLD}0.9 tiles{}</v>
      </c>
      <c r="CE195" t="str">
        <f>VLOOKUP($CC195, Constants!$M:$N, 2, FALSE)</f>
        <v>{BLACK}Powered by: {GOLD}Steam</v>
      </c>
      <c r="CF195" t="str">
        <f t="shared" si="281"/>
        <v/>
      </c>
      <c r="CG195" t="s">
        <v>505</v>
      </c>
      <c r="CH195" t="str">
        <f t="shared" si="285"/>
        <v/>
      </c>
      <c r="CI195" t="str">
        <f t="shared" si="262"/>
        <v/>
      </c>
      <c r="CJ195" t="str">
        <f t="shared" si="263"/>
        <v>{BLACK}Powered by: {GOLD}Steam {}{BLACK}Length: {GOLD}0.9 tiles{}{SILVER}The 9F class included the last steam locomotive ever to be built by British Railways, "Evening Star"</v>
      </c>
    </row>
    <row r="196" spans="1:88" x14ac:dyDescent="0.35">
      <c r="A196" t="s">
        <v>38</v>
      </c>
      <c r="B196" t="s">
        <v>263</v>
      </c>
      <c r="C196">
        <v>290</v>
      </c>
      <c r="E196">
        <v>82</v>
      </c>
      <c r="F196" t="s">
        <v>1498</v>
      </c>
      <c r="G196" t="s">
        <v>258</v>
      </c>
      <c r="H196" t="s">
        <v>268</v>
      </c>
      <c r="I196" t="s">
        <v>270</v>
      </c>
      <c r="J196">
        <v>1955</v>
      </c>
      <c r="K196">
        <v>1962</v>
      </c>
      <c r="L196">
        <v>1982</v>
      </c>
      <c r="N196">
        <v>3300</v>
      </c>
      <c r="W196">
        <v>108</v>
      </c>
      <c r="Z196">
        <v>233</v>
      </c>
      <c r="AA196" s="3">
        <f t="shared" si="268"/>
        <v>0.21574074074074073</v>
      </c>
      <c r="AB196">
        <v>106</v>
      </c>
      <c r="AC196">
        <f t="shared" si="284"/>
        <v>170</v>
      </c>
      <c r="AF196">
        <v>21.18</v>
      </c>
      <c r="AG196">
        <v>21.18</v>
      </c>
      <c r="AI196">
        <v>3.91</v>
      </c>
      <c r="AJ196" s="10">
        <v>0</v>
      </c>
      <c r="AK196" t="str">
        <f>CONCATENATE(VLOOKUP(AL196, 'Voxel Sizes'!$A$2:$B$18,2,FALSE),"x",INT(AH196*15), "x", INT(AI196*15))</f>
        <v>198x0x58</v>
      </c>
      <c r="AL196">
        <f t="shared" si="269"/>
        <v>12</v>
      </c>
      <c r="AN196" t="str">
        <f>CONCATENATE(VLOOKUP(AL196,Constants!$A$2:$C$16,IF(AM196&lt;&gt;"", 3, 2), FALSE),IF(AM196&lt;&gt;"",CONCATENATE(",",VLOOKUP(AM196,$B:$AN,39,FALSE)),""))</f>
        <v>4,4,4</v>
      </c>
      <c r="AX196">
        <v>26</v>
      </c>
      <c r="AY196" s="15">
        <f t="shared" si="270"/>
        <v>35</v>
      </c>
      <c r="BB196">
        <f t="shared" si="271"/>
        <v>21.2</v>
      </c>
      <c r="BC196">
        <f t="shared" si="272"/>
        <v>16.5</v>
      </c>
      <c r="BD196">
        <f t="shared" si="273"/>
        <v>11.65</v>
      </c>
      <c r="BE196" s="3">
        <f t="shared" si="274"/>
        <v>0.92666666666666664</v>
      </c>
      <c r="BF196">
        <f t="shared" si="275"/>
        <v>0</v>
      </c>
      <c r="BG196">
        <f>VLOOKUP($H196,Constants!$I:$K, 2, FALSE)</f>
        <v>1</v>
      </c>
      <c r="BH196">
        <f>VLOOKUP($H196,Constants!$I:$K, 3, FALSE)*IF(AND(G196="multiple_unit",AB196&lt;110),0.75,1)</f>
        <v>2</v>
      </c>
      <c r="BI196">
        <f>INT(POWER(((Constants!$G$2+$BB196+$BC196+$BD196+$BF196)*$BE196)*$BH196, 1.05))+$BA196</f>
        <v>126</v>
      </c>
      <c r="BJ196">
        <f>INT(POWER((((Constants!$G$1+$BB196+$BC196+$BD196+$BF196)*($BE196))*$BG196),IF($G196="wagon",1,1.2)))+$AZ196</f>
        <v>135</v>
      </c>
      <c r="BK196" s="14">
        <f t="shared" si="276"/>
        <v>98437.5</v>
      </c>
      <c r="BL196" s="14">
        <f t="shared" si="277"/>
        <v>10968.75</v>
      </c>
      <c r="BU196">
        <v>1</v>
      </c>
      <c r="BZ196" t="str">
        <f>VLOOKUP(J196,Eras!$A$2:$C$10, 2, TRUE)</f>
        <v>dsl</v>
      </c>
      <c r="CA196" t="s">
        <v>323</v>
      </c>
      <c r="CB196" t="str">
        <f t="shared" si="278"/>
        <v>dsl_Express</v>
      </c>
      <c r="CC196" t="str">
        <f t="shared" si="261"/>
        <v>diesel_RAIL</v>
      </c>
      <c r="CD196" s="17" t="str" cm="1">
        <f t="array" ref="CD196">_xlfn.CONCAT("{BLACK}Length: {GOLD}", TEXT(ROUNDUP(IF(AQ196&lt;&gt;"",SUM(VALUE(_xlfn.TEXTSPLIT(AQ196, ","))), SUM(VALUE(_xlfn.TEXTSPLIT(AN196, ",")))*IF(M196, M196, 1))/16, 1), "#,##0.0"), " tiles{}")</f>
        <v>{BLACK}Length: {GOLD}0.8 tiles{}</v>
      </c>
      <c r="CE196" t="str">
        <f>VLOOKUP($CC196, Constants!$M:$N, 2, FALSE)</f>
        <v>{BLACK}Powered by: {GOLD}Diesel</v>
      </c>
      <c r="CF196" t="str">
        <f t="shared" ref="CF196:CF228" si="286">IF(M196&gt;1,_xlfn.CONCAT("{BLACK}Cars: {GOLD}", M196),"")</f>
        <v/>
      </c>
      <c r="CG196" t="s">
        <v>506</v>
      </c>
      <c r="CH196" t="str">
        <f t="shared" si="285"/>
        <v/>
      </c>
      <c r="CI196" t="str">
        <f t="shared" si="262"/>
        <v/>
      </c>
      <c r="CJ196" t="str">
        <f t="shared" si="263"/>
        <v>{BLACK}Powered by: {GOLD}Diesel {}{BLACK}Length: {GOLD}0.8 tiles{}{SILVER}The Class 55 uses two Napier Deltic marine engines to create a high speed express diesel locomotive.</v>
      </c>
    </row>
    <row r="197" spans="1:88" x14ac:dyDescent="0.35">
      <c r="A197" t="s">
        <v>510</v>
      </c>
      <c r="B197" t="s">
        <v>163</v>
      </c>
      <c r="C197">
        <v>294</v>
      </c>
      <c r="E197">
        <v>83</v>
      </c>
      <c r="F197" t="s">
        <v>1498</v>
      </c>
      <c r="G197" t="s">
        <v>258</v>
      </c>
      <c r="H197" t="s">
        <v>268</v>
      </c>
      <c r="I197" t="s">
        <v>270</v>
      </c>
      <c r="J197">
        <v>1957</v>
      </c>
      <c r="K197">
        <v>1962</v>
      </c>
      <c r="L197">
        <v>2017</v>
      </c>
      <c r="N197">
        <v>1250</v>
      </c>
      <c r="W197">
        <v>108.4</v>
      </c>
      <c r="Z197">
        <v>160</v>
      </c>
      <c r="AA197" s="3">
        <f t="shared" si="268"/>
        <v>0.14760147601476015</v>
      </c>
      <c r="AB197">
        <v>80</v>
      </c>
      <c r="AC197">
        <f t="shared" si="284"/>
        <v>128</v>
      </c>
      <c r="AF197">
        <v>17.3</v>
      </c>
      <c r="AG197">
        <v>17.3</v>
      </c>
      <c r="AI197">
        <v>3.84</v>
      </c>
      <c r="AJ197" s="10">
        <v>0</v>
      </c>
      <c r="AK197" t="str">
        <f>CONCATENATE(VLOOKUP(AL197, 'Voxel Sizes'!$A$2:$B$18,2,FALSE),"x",INT(AH197*15), "x", INT(AI197*15))</f>
        <v>164x0x57</v>
      </c>
      <c r="AL197">
        <f t="shared" si="269"/>
        <v>10</v>
      </c>
      <c r="AN197" t="str">
        <f>CONCATENATE(VLOOKUP(AL197,Constants!$A$2:$C$16,IF(AM197&lt;&gt;"", 3, 2), FALSE),IF(AM197&lt;&gt;"",CONCATENATE(",",VLOOKUP(AM197,$B:$AN,39,FALSE)),""))</f>
        <v>4,2,4</v>
      </c>
      <c r="AX197">
        <v>30</v>
      </c>
      <c r="AY197" s="15">
        <f t="shared" si="270"/>
        <v>68</v>
      </c>
      <c r="BB197">
        <f t="shared" si="271"/>
        <v>16</v>
      </c>
      <c r="BC197">
        <f t="shared" si="272"/>
        <v>6.25</v>
      </c>
      <c r="BD197">
        <f t="shared" si="273"/>
        <v>8</v>
      </c>
      <c r="BE197" s="3">
        <f t="shared" si="274"/>
        <v>0.92400000000000004</v>
      </c>
      <c r="BF197">
        <f t="shared" si="275"/>
        <v>0</v>
      </c>
      <c r="BG197">
        <f>VLOOKUP($H197,Constants!$I:$K, 2, FALSE)</f>
        <v>1</v>
      </c>
      <c r="BH197">
        <f>VLOOKUP($H197,Constants!$I:$K, 3, FALSE)*IF(AND(G197="multiple_unit",AB197&lt;110),0.75,1)</f>
        <v>2</v>
      </c>
      <c r="BI197">
        <f>INT(POWER(((Constants!$G$2+$BB197+$BC197+$BD197+$BF197)*$BE197)*$BH197, 1.05))+$BA197</f>
        <v>80</v>
      </c>
      <c r="BJ197">
        <f>INT(POWER((((Constants!$G$1+$BB197+$BC197+$BD197+$BF197)*($BE197))*$BG197),IF($G197="wagon",1,1.2)))+$AZ197</f>
        <v>88</v>
      </c>
      <c r="BK197" s="14">
        <f t="shared" si="276"/>
        <v>62500</v>
      </c>
      <c r="BL197" s="14">
        <f t="shared" si="277"/>
        <v>7150</v>
      </c>
      <c r="BU197">
        <v>3</v>
      </c>
      <c r="BZ197" t="str">
        <f>VLOOKUP(J197,Eras!$A$2:$C$10, 2, TRUE)</f>
        <v>dsl</v>
      </c>
      <c r="CA197" t="s">
        <v>324</v>
      </c>
      <c r="CB197" t="str">
        <f t="shared" si="278"/>
        <v>dsl_Freight</v>
      </c>
      <c r="CC197" t="str">
        <f t="shared" si="261"/>
        <v>diesel_RAIL</v>
      </c>
      <c r="CD197" s="17" t="str" cm="1">
        <f t="array" ref="CD197">_xlfn.CONCAT("{BLACK}Length: {GOLD}", TEXT(ROUNDUP(IF(AQ197&lt;&gt;"",SUM(VALUE(_xlfn.TEXTSPLIT(AQ197, ","))), SUM(VALUE(_xlfn.TEXTSPLIT(AN197, ",")))*IF(M197, M197, 1))/16, 1), "#,##0.0"), " tiles{}")</f>
        <v>{BLACK}Length: {GOLD}0.7 tiles{}</v>
      </c>
      <c r="CE197" t="str">
        <f>VLOOKUP($CC197, Constants!$M:$N, 2, FALSE)</f>
        <v>{BLACK}Powered by: {GOLD}Diesel</v>
      </c>
      <c r="CF197" t="str">
        <f t="shared" si="286"/>
        <v/>
      </c>
      <c r="CG197" t="s">
        <v>1397</v>
      </c>
      <c r="CH197" t="str">
        <f t="shared" si="285"/>
        <v/>
      </c>
      <c r="CI197" t="str">
        <f t="shared" si="262"/>
        <v/>
      </c>
      <c r="CJ197" t="str">
        <f t="shared" si="263"/>
        <v>{BLACK}Powered by: {GOLD}Diesel {}{BLACK}Length: {GOLD}0.7 tiles{}{SILVER}The Class 31 (Brush Type 2) was part of BR's pilot scheme to test replacing steam locomotives with diesel traction. It had many nicknames including "Ped", "Gargoyle" and "Gurgler"</v>
      </c>
    </row>
    <row r="198" spans="1:88" x14ac:dyDescent="0.35">
      <c r="A198" t="s">
        <v>46</v>
      </c>
      <c r="B198" t="s">
        <v>261</v>
      </c>
      <c r="C198">
        <v>296</v>
      </c>
      <c r="E198">
        <v>84</v>
      </c>
      <c r="F198" t="s">
        <v>1498</v>
      </c>
      <c r="G198" t="s">
        <v>258</v>
      </c>
      <c r="H198" t="s">
        <v>268</v>
      </c>
      <c r="I198" t="s">
        <v>270</v>
      </c>
      <c r="J198">
        <v>1957</v>
      </c>
      <c r="K198">
        <v>1968</v>
      </c>
      <c r="N198">
        <v>1000</v>
      </c>
      <c r="W198">
        <v>73</v>
      </c>
      <c r="Z198">
        <v>186</v>
      </c>
      <c r="AA198" s="3">
        <f t="shared" si="268"/>
        <v>0.25479452054794521</v>
      </c>
      <c r="AB198">
        <v>75</v>
      </c>
      <c r="AC198">
        <f t="shared" si="284"/>
        <v>120</v>
      </c>
      <c r="AF198">
        <v>14.25</v>
      </c>
      <c r="AG198">
        <v>14.25</v>
      </c>
      <c r="AH198">
        <v>2.67</v>
      </c>
      <c r="AI198">
        <v>3.85</v>
      </c>
      <c r="AJ198" s="10">
        <v>0</v>
      </c>
      <c r="AK198" t="str">
        <f>CONCATENATE(VLOOKUP(AL198, 'Voxel Sizes'!$A$2:$B$18,2,FALSE),"x",INT(AH198*15), "x", INT(AI198*15))</f>
        <v>136x40x57</v>
      </c>
      <c r="AL198">
        <f t="shared" si="269"/>
        <v>8</v>
      </c>
      <c r="AN198" t="str">
        <f>CONCATENATE(VLOOKUP(AL198,Constants!$A$2:$C$16,IF(AM198&lt;&gt;"", 3, 2), FALSE),IF(AM198&lt;&gt;"",CONCATENATE(",",VLOOKUP(AM198,$B:$AN,39,FALSE)),""))</f>
        <v>2,4,2</v>
      </c>
      <c r="AX198">
        <v>33</v>
      </c>
      <c r="AY198" s="15" t="str">
        <f t="shared" si="270"/>
        <v/>
      </c>
      <c r="BB198">
        <f t="shared" si="271"/>
        <v>15</v>
      </c>
      <c r="BC198">
        <f t="shared" si="272"/>
        <v>5</v>
      </c>
      <c r="BD198">
        <f t="shared" si="273"/>
        <v>9.3000000000000007</v>
      </c>
      <c r="BE198" s="3">
        <f t="shared" si="274"/>
        <v>0.92400000000000004</v>
      </c>
      <c r="BF198">
        <f t="shared" si="275"/>
        <v>0</v>
      </c>
      <c r="BG198">
        <f>VLOOKUP($H198,Constants!$I:$K, 2, FALSE)</f>
        <v>1</v>
      </c>
      <c r="BH198">
        <f>VLOOKUP($H198,Constants!$I:$K, 3, FALSE)*IF(AND(G198="multiple_unit",AB198&lt;110),0.75,1)</f>
        <v>2</v>
      </c>
      <c r="BI198">
        <f>INT(POWER(((Constants!$G$2+$BB198+$BC198+$BD198+$BF198)*$BE198)*$BH198, 1.05))+$BA198</f>
        <v>78</v>
      </c>
      <c r="BJ198">
        <f>INT(POWER((((Constants!$G$1+$BB198+$BC198+$BD198+$BF198)*($BE198))*$BG198),IF($G198="wagon",1,1.2)))+$AZ198</f>
        <v>85</v>
      </c>
      <c r="BK198" s="14">
        <f t="shared" si="276"/>
        <v>60937.5</v>
      </c>
      <c r="BL198" s="14">
        <f t="shared" si="277"/>
        <v>6906.25</v>
      </c>
      <c r="BM198">
        <v>2</v>
      </c>
      <c r="BU198">
        <v>4</v>
      </c>
      <c r="BZ198" t="str">
        <f>VLOOKUP(J198,Eras!$A$2:$C$10, 2, TRUE)</f>
        <v>dsl</v>
      </c>
      <c r="CA198" t="s">
        <v>322</v>
      </c>
      <c r="CB198" t="str">
        <f t="shared" si="278"/>
        <v>dsl_Mixed Traffic</v>
      </c>
      <c r="CC198" t="str">
        <f t="shared" si="261"/>
        <v>diesel_RAIL</v>
      </c>
      <c r="CD198" s="17" t="str" cm="1">
        <f t="array" ref="CD198">_xlfn.CONCAT("{BLACK}Length: {GOLD}", TEXT(ROUNDUP(IF(AQ198&lt;&gt;"",SUM(VALUE(_xlfn.TEXTSPLIT(AQ198, ","))), SUM(VALUE(_xlfn.TEXTSPLIT(AN198, ",")))*IF(M198, M198, 1))/16, 1), "#,##0.0"), " tiles{}")</f>
        <v>{BLACK}Length: {GOLD}0.5 tiles{}</v>
      </c>
      <c r="CE198" t="str">
        <f>VLOOKUP($CC198, Constants!$M:$N, 2, FALSE)</f>
        <v>{BLACK}Powered by: {GOLD}Diesel</v>
      </c>
      <c r="CF198" t="str">
        <f t="shared" si="286"/>
        <v/>
      </c>
      <c r="CG198" t="s">
        <v>352</v>
      </c>
      <c r="CH198" t="str">
        <f t="shared" si="285"/>
        <v/>
      </c>
      <c r="CI198" t="str">
        <f t="shared" si="262"/>
        <v/>
      </c>
      <c r="CJ198" t="str">
        <f t="shared" si="263"/>
        <v>{BLACK}Powered by: {GOLD}Diesel {}{BLACK}Length: {GOLD}0.5 tiles{}{SILVER}The Class 20 (English Electric Type 1) is a diesel-electric locomotive designed for light freight duties. Due to its simple design it was more reliable than many contemporary locomotives, leading to a large number being built.</v>
      </c>
    </row>
    <row r="199" spans="1:88" x14ac:dyDescent="0.35">
      <c r="A199" t="s">
        <v>32</v>
      </c>
      <c r="B199" t="s">
        <v>164</v>
      </c>
      <c r="C199">
        <v>298</v>
      </c>
      <c r="E199">
        <v>85</v>
      </c>
      <c r="F199" t="s">
        <v>1498</v>
      </c>
      <c r="G199" t="s">
        <v>258</v>
      </c>
      <c r="H199" t="s">
        <v>1476</v>
      </c>
      <c r="I199" t="s">
        <v>270</v>
      </c>
      <c r="J199">
        <v>1958</v>
      </c>
      <c r="K199">
        <v>1961</v>
      </c>
      <c r="L199">
        <v>1966</v>
      </c>
      <c r="N199">
        <v>2750</v>
      </c>
      <c r="W199">
        <v>81</v>
      </c>
      <c r="X199" s="8">
        <v>45</v>
      </c>
      <c r="Z199">
        <v>169</v>
      </c>
      <c r="AA199" s="3">
        <f t="shared" si="268"/>
        <v>0.13412698412698412</v>
      </c>
      <c r="AB199">
        <v>90</v>
      </c>
      <c r="AC199">
        <f t="shared" si="284"/>
        <v>144</v>
      </c>
      <c r="AF199">
        <v>20.74</v>
      </c>
      <c r="AG199">
        <v>14</v>
      </c>
      <c r="AJ199" s="10">
        <v>0</v>
      </c>
      <c r="AK199" t="str">
        <f>CONCATENATE(VLOOKUP(AL199, 'Voxel Sizes'!$A$2:$B$18,2,FALSE),"x",INT(AH199*15), "x", INT(AI199*15))</f>
        <v>136x0x0</v>
      </c>
      <c r="AL199">
        <f t="shared" si="269"/>
        <v>8</v>
      </c>
      <c r="AM199" t="s">
        <v>628</v>
      </c>
      <c r="AN199" t="str">
        <f>CONCATENATE(VLOOKUP(AL199,Constants!$A$2:$C$16,IF(AM199&lt;&gt;"", 3, 2), FALSE),IF(AM199&lt;&gt;"",CONCATENATE(",",VLOOKUP(AM199,$B:$AN,39,FALSE)),""))</f>
        <v>2,4,2,2,1,2</v>
      </c>
      <c r="AV199">
        <v>1</v>
      </c>
      <c r="AX199">
        <v>9</v>
      </c>
      <c r="AY199" s="15">
        <f t="shared" si="270"/>
        <v>16</v>
      </c>
      <c r="BB199">
        <f t="shared" si="271"/>
        <v>18</v>
      </c>
      <c r="BC199">
        <f t="shared" si="272"/>
        <v>13.75</v>
      </c>
      <c r="BD199">
        <f t="shared" si="273"/>
        <v>8.4499999999999993</v>
      </c>
      <c r="BE199" s="3">
        <f t="shared" si="274"/>
        <v>0.92266666666666663</v>
      </c>
      <c r="BF199">
        <f t="shared" si="275"/>
        <v>0</v>
      </c>
      <c r="BG199">
        <f>VLOOKUP($H199,Constants!$I:$K, 2, FALSE)</f>
        <v>1</v>
      </c>
      <c r="BH199">
        <f>VLOOKUP($H199,Constants!$I:$K, 3, FALSE)*IF(AND(G199="multiple_unit",AB199&lt;110),0.75,1)</f>
        <v>2</v>
      </c>
      <c r="BI199">
        <f>INT(POWER(((Constants!$G$2+$BB199+$BC199+$BD199+$BF199)*$BE199)*$BH199, 1.05))+$BA199</f>
        <v>104</v>
      </c>
      <c r="BJ199">
        <f>INT(POWER((((Constants!$G$1+$BB199+$BC199+$BD199+$BF199)*($BE199))*$BG199),IF($G199="wagon",1,1.2)))+$AZ199</f>
        <v>111</v>
      </c>
      <c r="BK199" s="14">
        <f t="shared" si="276"/>
        <v>81250</v>
      </c>
      <c r="BL199" s="14">
        <f t="shared" si="277"/>
        <v>9018.75</v>
      </c>
      <c r="BU199">
        <v>5</v>
      </c>
      <c r="BZ199" t="str">
        <f>VLOOKUP(J199,Eras!$A$2:$C$10, 2, TRUE)</f>
        <v>dsl</v>
      </c>
      <c r="CA199" t="s">
        <v>323</v>
      </c>
      <c r="CB199" t="str">
        <f t="shared" si="278"/>
        <v>dsl_Express</v>
      </c>
      <c r="CC199" t="str">
        <f t="shared" si="261"/>
        <v>gas_turbine_RAIL</v>
      </c>
      <c r="CD199" s="17" t="str" cm="1">
        <f t="array" ref="CD199">_xlfn.CONCAT("{BLACK}Length: {GOLD}", TEXT(ROUNDUP(IF(AQ199&lt;&gt;"",SUM(VALUE(_xlfn.TEXTSPLIT(AQ199, ","))), SUM(VALUE(_xlfn.TEXTSPLIT(AN199, ",")))*IF(M199, M199, 1))/16, 1), "#,##0.0"), " tiles{}")</f>
        <v>{BLACK}Length: {GOLD}0.9 tiles{}</v>
      </c>
      <c r="CE199" t="str">
        <f>VLOOKUP($CC199, Constants!$M:$N, 2, FALSE)</f>
        <v>{BLACK}Powered by: {GOLD}Gas Turbine</v>
      </c>
      <c r="CF199" t="str">
        <f t="shared" si="286"/>
        <v/>
      </c>
      <c r="CG199" t="s">
        <v>509</v>
      </c>
      <c r="CH199" t="str">
        <f t="shared" si="285"/>
        <v/>
      </c>
      <c r="CI199" t="str">
        <f t="shared" si="262"/>
        <v/>
      </c>
      <c r="CJ199" t="str">
        <f t="shared" si="263"/>
        <v>{BLACK}Powered by: {GOLD}Gas Turbine {}{BLACK}Length: {GOLD}0.9 tiles{}{SILVER}The GT3 was part of a programme to test gas turbine locomotives. It used a conventional steam driving wheel arrangement to keep the design simple.</v>
      </c>
    </row>
    <row r="200" spans="1:88" x14ac:dyDescent="0.35">
      <c r="A200" t="s">
        <v>36</v>
      </c>
      <c r="B200" t="s">
        <v>165</v>
      </c>
      <c r="C200">
        <v>300</v>
      </c>
      <c r="E200">
        <v>86</v>
      </c>
      <c r="F200" t="s">
        <v>1498</v>
      </c>
      <c r="G200" t="s">
        <v>258</v>
      </c>
      <c r="H200" t="s">
        <v>268</v>
      </c>
      <c r="I200" t="s">
        <v>270</v>
      </c>
      <c r="J200">
        <v>1958</v>
      </c>
      <c r="K200">
        <v>1961</v>
      </c>
      <c r="L200">
        <v>1972</v>
      </c>
      <c r="N200">
        <f>1035*2</f>
        <v>2070</v>
      </c>
      <c r="W200">
        <v>79.3</v>
      </c>
      <c r="Z200">
        <v>214</v>
      </c>
      <c r="AA200" s="3">
        <f t="shared" si="268"/>
        <v>0.26986128625472888</v>
      </c>
      <c r="AB200">
        <v>90</v>
      </c>
      <c r="AC200">
        <f t="shared" si="284"/>
        <v>144</v>
      </c>
      <c r="AF200">
        <v>18.29</v>
      </c>
      <c r="AG200">
        <v>18.29</v>
      </c>
      <c r="AI200">
        <v>3.67</v>
      </c>
      <c r="AJ200" s="10">
        <v>0</v>
      </c>
      <c r="AK200" t="str">
        <f>CONCATENATE(VLOOKUP(AL200, 'Voxel Sizes'!$A$2:$B$18,2,FALSE),"x",INT(AH200*15), "x", INT(AI200*15))</f>
        <v>186x0x55</v>
      </c>
      <c r="AL200">
        <f t="shared" si="269"/>
        <v>11</v>
      </c>
      <c r="AN200" t="str">
        <f>CONCATENATE(VLOOKUP(AL200,Constants!$A$2:$C$16,IF(AM200&lt;&gt;"", 3, 2), FALSE),IF(AM200&lt;&gt;"",CONCATENATE(",",VLOOKUP(AM200,$B:$AN,39,FALSE)),""))</f>
        <v>4,3,4</v>
      </c>
      <c r="AX200">
        <v>32</v>
      </c>
      <c r="AY200" s="15">
        <f t="shared" si="270"/>
        <v>22</v>
      </c>
      <c r="BB200">
        <f t="shared" si="271"/>
        <v>18</v>
      </c>
      <c r="BC200">
        <f t="shared" si="272"/>
        <v>10.35</v>
      </c>
      <c r="BD200">
        <f t="shared" si="273"/>
        <v>10.700000000000001</v>
      </c>
      <c r="BE200" s="3">
        <f t="shared" si="274"/>
        <v>0.92266666666666663</v>
      </c>
      <c r="BF200">
        <f t="shared" si="275"/>
        <v>0</v>
      </c>
      <c r="BG200">
        <f>VLOOKUP($H200,Constants!$I:$K, 2, FALSE)</f>
        <v>1</v>
      </c>
      <c r="BH200">
        <f>VLOOKUP($H200,Constants!$I:$K, 3, FALSE)*IF(AND(G200="multiple_unit",AB200&lt;110),0.75,1)</f>
        <v>2</v>
      </c>
      <c r="BI200">
        <f>INT(POWER(((Constants!$G$2+$BB200+$BC200+$BD200+$BF200)*$BE200)*$BH200, 1.05))+$BA200</f>
        <v>101</v>
      </c>
      <c r="BJ200">
        <f>INT(POWER((((Constants!$G$1+$BB200+$BC200+$BD200+$BF200)*($BE200))*$BG200),IF($G200="wagon",1,1.2)))+$AZ200</f>
        <v>108</v>
      </c>
      <c r="BK200" s="14">
        <f t="shared" si="276"/>
        <v>78906.25</v>
      </c>
      <c r="BL200" s="14">
        <f t="shared" si="277"/>
        <v>8775</v>
      </c>
      <c r="BU200">
        <v>6</v>
      </c>
      <c r="BZ200" t="str">
        <f>VLOOKUP(J200,Eras!$A$2:$C$10, 2, TRUE)</f>
        <v>dsl</v>
      </c>
      <c r="CA200" t="s">
        <v>371</v>
      </c>
      <c r="CB200" t="str">
        <f t="shared" si="278"/>
        <v>dsl_Passenger</v>
      </c>
      <c r="CC200" t="str">
        <f t="shared" si="261"/>
        <v>diesel_RAIL</v>
      </c>
      <c r="CD200" s="17" t="str" cm="1">
        <f t="array" ref="CD200">_xlfn.CONCAT("{BLACK}Length: {GOLD}", TEXT(ROUNDUP(IF(AQ200&lt;&gt;"",SUM(VALUE(_xlfn.TEXTSPLIT(AQ200, ","))), SUM(VALUE(_xlfn.TEXTSPLIT(AN200, ",")))*IF(M200, M200, 1))/16, 1), "#,##0.0"), " tiles{}")</f>
        <v>{BLACK}Length: {GOLD}0.7 tiles{}</v>
      </c>
      <c r="CE200" t="str">
        <f>VLOOKUP($CC200, Constants!$M:$N, 2, FALSE)</f>
        <v>{BLACK}Powered by: {GOLD}Diesel</v>
      </c>
      <c r="CF200" t="str">
        <f t="shared" si="286"/>
        <v/>
      </c>
      <c r="CG200" t="s">
        <v>511</v>
      </c>
      <c r="CH200" t="str">
        <f t="shared" si="285"/>
        <v/>
      </c>
      <c r="CI200" t="str">
        <f t="shared" si="262"/>
        <v/>
      </c>
      <c r="CJ200" t="str">
        <f t="shared" si="263"/>
        <v>{BLACK}Powered by: {GOLD}Diesel {}{BLACK}Length: {GOLD}0.7 tiles{}{SILVER}The Class 42 is based on the German V200 design, scaled down to fit the smaller British loading gauge and built under licence by British manufacturers.</v>
      </c>
    </row>
    <row r="201" spans="1:88" x14ac:dyDescent="0.35">
      <c r="A201" t="s">
        <v>41</v>
      </c>
      <c r="B201" t="s">
        <v>513</v>
      </c>
      <c r="C201">
        <v>302</v>
      </c>
      <c r="E201">
        <v>87</v>
      </c>
      <c r="F201" t="s">
        <v>1498</v>
      </c>
      <c r="G201" t="s">
        <v>258</v>
      </c>
      <c r="H201" t="s">
        <v>268</v>
      </c>
      <c r="I201" t="s">
        <v>270</v>
      </c>
      <c r="J201">
        <v>1958</v>
      </c>
      <c r="K201">
        <v>1962</v>
      </c>
      <c r="L201">
        <v>1985</v>
      </c>
      <c r="N201">
        <v>2000</v>
      </c>
      <c r="W201">
        <v>135</v>
      </c>
      <c r="Z201">
        <v>231</v>
      </c>
      <c r="AA201" s="3">
        <f t="shared" si="268"/>
        <v>0.1711111111111111</v>
      </c>
      <c r="AB201">
        <v>90</v>
      </c>
      <c r="AC201">
        <f t="shared" si="284"/>
        <v>144</v>
      </c>
      <c r="AF201">
        <v>21.18</v>
      </c>
      <c r="AG201">
        <v>21.18</v>
      </c>
      <c r="AI201">
        <v>3.91</v>
      </c>
      <c r="AJ201" s="10">
        <v>0</v>
      </c>
      <c r="AK201" t="str">
        <f>CONCATENATE(VLOOKUP(AL201, 'Voxel Sizes'!$A$2:$B$18,2,FALSE),"x",INT(AH201*15), "x", INT(AI201*15))</f>
        <v>198x0x58</v>
      </c>
      <c r="AL201">
        <f t="shared" si="269"/>
        <v>12</v>
      </c>
      <c r="AN201" t="str">
        <f>CONCATENATE(VLOOKUP(AL201,Constants!$A$2:$C$16,IF(AM201&lt;&gt;"", 3, 2), FALSE),IF(AM201&lt;&gt;"",CONCATENATE(",",VLOOKUP(AM201,$B:$AN,39,FALSE)),""))</f>
        <v>4,4,4</v>
      </c>
      <c r="AX201">
        <v>29</v>
      </c>
      <c r="AY201" s="15">
        <f t="shared" si="270"/>
        <v>35</v>
      </c>
      <c r="BB201">
        <f t="shared" si="271"/>
        <v>18</v>
      </c>
      <c r="BC201">
        <f t="shared" si="272"/>
        <v>10</v>
      </c>
      <c r="BD201">
        <f t="shared" si="273"/>
        <v>11.55</v>
      </c>
      <c r="BE201" s="3">
        <f t="shared" si="274"/>
        <v>0.92266666666666663</v>
      </c>
      <c r="BF201">
        <f t="shared" si="275"/>
        <v>0</v>
      </c>
      <c r="BG201">
        <f>VLOOKUP($H201,Constants!$I:$K, 2, FALSE)</f>
        <v>1</v>
      </c>
      <c r="BH201">
        <f>VLOOKUP($H201,Constants!$I:$K, 3, FALSE)*IF(AND(G201="multiple_unit",AB201&lt;110),0.75,1)</f>
        <v>2</v>
      </c>
      <c r="BI201">
        <f>INT(POWER(((Constants!$G$2+$BB201+$BC201+$BD201+$BF201)*$BE201)*$BH201, 1.05))+$BA201</f>
        <v>102</v>
      </c>
      <c r="BJ201">
        <f>INT(POWER((((Constants!$G$1+$BB201+$BC201+$BD201+$BF201)*($BE201))*$BG201),IF($G201="wagon",1,1.2)))+$AZ201</f>
        <v>110</v>
      </c>
      <c r="BK201" s="14">
        <f t="shared" si="276"/>
        <v>79687.5</v>
      </c>
      <c r="BL201" s="14">
        <f t="shared" si="277"/>
        <v>8937.5</v>
      </c>
      <c r="BU201">
        <v>7</v>
      </c>
      <c r="BZ201" t="str">
        <f>VLOOKUP(J201,Eras!$A$2:$C$10, 2, TRUE)</f>
        <v>dsl</v>
      </c>
      <c r="CA201" t="s">
        <v>323</v>
      </c>
      <c r="CB201" t="str">
        <f t="shared" si="278"/>
        <v>dsl_Express</v>
      </c>
      <c r="CC201" t="str">
        <f t="shared" si="261"/>
        <v>diesel_RAIL</v>
      </c>
      <c r="CD201" s="17" t="str" cm="1">
        <f t="array" ref="CD201">_xlfn.CONCAT("{BLACK}Length: {GOLD}", TEXT(ROUNDUP(IF(AQ201&lt;&gt;"",SUM(VALUE(_xlfn.TEXTSPLIT(AQ201, ","))), SUM(VALUE(_xlfn.TEXTSPLIT(AN201, ",")))*IF(M201, M201, 1))/16, 1), "#,##0.0"), " tiles{}")</f>
        <v>{BLACK}Length: {GOLD}0.8 tiles{}</v>
      </c>
      <c r="CE201" t="str">
        <f>VLOOKUP($CC201, Constants!$M:$N, 2, FALSE)</f>
        <v>{BLACK}Powered by: {GOLD}Diesel</v>
      </c>
      <c r="CF201" t="str">
        <f t="shared" si="286"/>
        <v/>
      </c>
      <c r="CG201" t="s">
        <v>512</v>
      </c>
      <c r="CH201" t="str">
        <f t="shared" si="285"/>
        <v/>
      </c>
      <c r="CI201" t="str">
        <f t="shared" si="262"/>
        <v/>
      </c>
      <c r="CJ201" t="str">
        <f t="shared" si="263"/>
        <v>{BLACK}Powered by: {GOLD}Diesel {}{BLACK}Length: {GOLD}0.8 tiles{}{SILVER}Initially unwanted due to the small improvement in performance over the Class 7 Britannia, the Class 40 (English Electric Type 4) found its home on the West Coast Main Line.</v>
      </c>
    </row>
    <row r="202" spans="1:88" x14ac:dyDescent="0.35">
      <c r="A202" t="s">
        <v>42</v>
      </c>
      <c r="B202" t="s">
        <v>293</v>
      </c>
      <c r="C202">
        <v>304</v>
      </c>
      <c r="E202">
        <v>88</v>
      </c>
      <c r="F202" t="s">
        <v>1498</v>
      </c>
      <c r="G202" t="s">
        <v>258</v>
      </c>
      <c r="H202" t="s">
        <v>268</v>
      </c>
      <c r="I202" t="s">
        <v>270</v>
      </c>
      <c r="J202">
        <v>1958</v>
      </c>
      <c r="K202">
        <v>1959</v>
      </c>
      <c r="L202">
        <v>1968</v>
      </c>
      <c r="N202">
        <v>1200</v>
      </c>
      <c r="W202">
        <v>98.6</v>
      </c>
      <c r="Z202">
        <v>222</v>
      </c>
      <c r="AA202" s="3">
        <f t="shared" si="268"/>
        <v>0.22515212981744423</v>
      </c>
      <c r="AB202">
        <v>75</v>
      </c>
      <c r="AC202">
        <f t="shared" si="284"/>
        <v>120</v>
      </c>
      <c r="AF202">
        <v>17.260000000000002</v>
      </c>
      <c r="AG202">
        <v>17.260000000000002</v>
      </c>
      <c r="AI202">
        <v>3.7</v>
      </c>
      <c r="AJ202" s="10">
        <v>0</v>
      </c>
      <c r="AK202" t="str">
        <f>CONCATENATE(VLOOKUP(AL202, 'Voxel Sizes'!$A$2:$B$18,2,FALSE),"x",INT(AH202*15), "x", INT(AI202*15))</f>
        <v>164x0x55</v>
      </c>
      <c r="AL202">
        <f t="shared" si="269"/>
        <v>10</v>
      </c>
      <c r="AN202" t="str">
        <f>CONCATENATE(VLOOKUP(AL202,Constants!$A$2:$C$16,IF(AM202&lt;&gt;"", 3, 2), FALSE),IF(AM202&lt;&gt;"",CONCATENATE(",",VLOOKUP(AM202,$B:$AN,39,FALSE)),""))</f>
        <v>4,2,4</v>
      </c>
      <c r="AX202">
        <v>21</v>
      </c>
      <c r="AY202" s="15">
        <f t="shared" si="270"/>
        <v>18</v>
      </c>
      <c r="BB202">
        <f t="shared" si="271"/>
        <v>15</v>
      </c>
      <c r="BC202">
        <f t="shared" si="272"/>
        <v>6</v>
      </c>
      <c r="BD202">
        <f t="shared" si="273"/>
        <v>11.100000000000001</v>
      </c>
      <c r="BE202" s="3">
        <f t="shared" si="274"/>
        <v>0.92266666666666663</v>
      </c>
      <c r="BF202">
        <f t="shared" si="275"/>
        <v>0</v>
      </c>
      <c r="BG202">
        <f>VLOOKUP($H202,Constants!$I:$K, 2, FALSE)</f>
        <v>1</v>
      </c>
      <c r="BH202">
        <f>VLOOKUP($H202,Constants!$I:$K, 3, FALSE)*IF(AND(G202="multiple_unit",AB202&lt;110),0.75,1)</f>
        <v>2</v>
      </c>
      <c r="BI202">
        <f>INT(POWER(((Constants!$G$2+$BB202+$BC202+$BD202+$BF202)*$BE202)*$BH202, 1.05))+$BA202</f>
        <v>84</v>
      </c>
      <c r="BJ202">
        <f>INT(POWER((((Constants!$G$1+$BB202+$BC202+$BD202+$BF202)*($BE202))*$BG202),IF($G202="wagon",1,1.2)))+$AZ202</f>
        <v>92</v>
      </c>
      <c r="BK202" s="14">
        <f t="shared" si="276"/>
        <v>65625</v>
      </c>
      <c r="BL202" s="14">
        <f t="shared" si="277"/>
        <v>7475</v>
      </c>
      <c r="BU202">
        <v>8</v>
      </c>
      <c r="BZ202" t="str">
        <f>VLOOKUP(J202,Eras!$A$2:$C$10, 2, TRUE)</f>
        <v>dsl</v>
      </c>
      <c r="CA202" t="s">
        <v>322</v>
      </c>
      <c r="CB202" t="str">
        <f t="shared" si="278"/>
        <v>dsl_Mixed Traffic</v>
      </c>
      <c r="CC202" t="str">
        <f t="shared" si="261"/>
        <v>diesel_RAIL</v>
      </c>
      <c r="CD202" s="17" t="str" cm="1">
        <f t="array" ref="CD202">_xlfn.CONCAT("{BLACK}Length: {GOLD}", TEXT(ROUNDUP(IF(AQ202&lt;&gt;"",SUM(VALUE(_xlfn.TEXTSPLIT(AQ202, ","))), SUM(VALUE(_xlfn.TEXTSPLIT(AN202, ",")))*IF(M202, M202, 1))/16, 1), "#,##0.0"), " tiles{}")</f>
        <v>{BLACK}Length: {GOLD}0.7 tiles{}</v>
      </c>
      <c r="CE202" t="str">
        <f>VLOOKUP($CC202, Constants!$M:$N, 2, FALSE)</f>
        <v>{BLACK}Powered by: {GOLD}Diesel</v>
      </c>
      <c r="CF202" t="str">
        <f t="shared" si="286"/>
        <v/>
      </c>
      <c r="CG202" t="s">
        <v>353</v>
      </c>
      <c r="CH202" t="str">
        <f t="shared" si="285"/>
        <v/>
      </c>
      <c r="CI202" t="str">
        <f t="shared" si="262"/>
        <v/>
      </c>
      <c r="CJ202" t="str">
        <f t="shared" si="263"/>
        <v>{BLACK}Powered by: {GOLD}Diesel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203" spans="1:88" x14ac:dyDescent="0.35">
      <c r="A203" t="s">
        <v>64</v>
      </c>
      <c r="B203" t="s">
        <v>211</v>
      </c>
      <c r="C203">
        <v>306</v>
      </c>
      <c r="E203">
        <v>89</v>
      </c>
      <c r="F203" t="s">
        <v>1498</v>
      </c>
      <c r="G203" t="s">
        <v>258</v>
      </c>
      <c r="H203" t="s">
        <v>291</v>
      </c>
      <c r="I203" t="s">
        <v>298</v>
      </c>
      <c r="J203">
        <v>1958</v>
      </c>
      <c r="K203">
        <v>1960</v>
      </c>
      <c r="L203">
        <v>1977</v>
      </c>
      <c r="N203">
        <v>2300</v>
      </c>
      <c r="W203">
        <v>78.239999999999995</v>
      </c>
      <c r="Z203">
        <v>195</v>
      </c>
      <c r="AA203" s="3">
        <f t="shared" si="268"/>
        <v>0.24923312883435583</v>
      </c>
      <c r="AB203">
        <v>90</v>
      </c>
      <c r="AC203">
        <f t="shared" si="284"/>
        <v>144</v>
      </c>
      <c r="AF203">
        <v>16.36</v>
      </c>
      <c r="AG203">
        <v>16.36</v>
      </c>
      <c r="AJ203" s="10">
        <v>0</v>
      </c>
      <c r="AK203" t="str">
        <f>CONCATENATE(VLOOKUP(AL203, 'Voxel Sizes'!$A$2:$B$18,2,FALSE),"x",INT(AH203*15), "x", INT(AI203*15))</f>
        <v>164x0x0</v>
      </c>
      <c r="AL203">
        <f t="shared" si="269"/>
        <v>10</v>
      </c>
      <c r="AN203" t="str">
        <f>CONCATENATE(VLOOKUP(AL203,Constants!$A$2:$C$16,IF(AM203&lt;&gt;"", 3, 2), FALSE),IF(AM203&lt;&gt;"",CONCATENATE(",",VLOOKUP(AM203,$B:$AN,39,FALSE)),""))</f>
        <v>4,2,4</v>
      </c>
      <c r="AX203">
        <v>32</v>
      </c>
      <c r="AY203" s="15">
        <f t="shared" si="270"/>
        <v>27</v>
      </c>
      <c r="BB203">
        <f t="shared" si="271"/>
        <v>18</v>
      </c>
      <c r="BC203">
        <f t="shared" si="272"/>
        <v>11.5</v>
      </c>
      <c r="BD203">
        <f t="shared" si="273"/>
        <v>9.75</v>
      </c>
      <c r="BE203" s="3">
        <f t="shared" si="274"/>
        <v>0.92266666666666663</v>
      </c>
      <c r="BF203">
        <f t="shared" si="275"/>
        <v>0</v>
      </c>
      <c r="BG203">
        <f>VLOOKUP($H203,Constants!$I:$K, 2, FALSE)</f>
        <v>0.85</v>
      </c>
      <c r="BH203">
        <f>VLOOKUP($H203,Constants!$I:$K, 3, FALSE)*IF(AND(G203="multiple_unit",AB203&lt;110),0.75,1)</f>
        <v>2.2999999999999998</v>
      </c>
      <c r="BI203">
        <f>INT(POWER(((Constants!$G$2+$BB203+$BC203+$BD203+$BF203)*$BE203)*$BH203, 1.05))+$BA203</f>
        <v>117</v>
      </c>
      <c r="BJ203">
        <f>INT(POWER((((Constants!$G$1+$BB203+$BC203+$BD203+$BF203)*($BE203))*$BG203),IF($G203="wagon",1,1.2)))+$AZ203</f>
        <v>90</v>
      </c>
      <c r="BK203" s="14">
        <f t="shared" si="276"/>
        <v>91406.25</v>
      </c>
      <c r="BL203" s="14">
        <f t="shared" si="277"/>
        <v>7312.5</v>
      </c>
      <c r="BU203">
        <v>9</v>
      </c>
      <c r="BZ203" t="str">
        <f>VLOOKUP(J203,Eras!$A$2:$C$10, 2, TRUE)</f>
        <v>dsl</v>
      </c>
      <c r="CA203" t="s">
        <v>332</v>
      </c>
      <c r="CB203" t="str">
        <f t="shared" si="278"/>
        <v>dsl_MT (Electric)</v>
      </c>
      <c r="CC203" t="str">
        <f t="shared" si="261"/>
        <v>electric_THIRD_RAIL</v>
      </c>
      <c r="CD203" s="17" t="str" cm="1">
        <f t="array" ref="CD203">_xlfn.CONCAT("{BLACK}Length: {GOLD}", TEXT(ROUNDUP(IF(AQ203&lt;&gt;"",SUM(VALUE(_xlfn.TEXTSPLIT(AQ203, ","))), SUM(VALUE(_xlfn.TEXTSPLIT(AN203, ",")))*IF(M203, M203, 1))/16, 1), "#,##0.0"), " tiles{}")</f>
        <v>{BLACK}Length: {GOLD}0.7 tiles{}</v>
      </c>
      <c r="CE203" t="str">
        <f>VLOOKUP($CC203, Constants!$M:$N, 2, FALSE)</f>
        <v>{BLACK}Powered by: {GOLD}750V DC</v>
      </c>
      <c r="CF203" t="str">
        <f t="shared" si="286"/>
        <v/>
      </c>
      <c r="CG203" t="s">
        <v>354</v>
      </c>
      <c r="CH203" t="str">
        <f t="shared" si="285"/>
        <v/>
      </c>
      <c r="CI203" t="str">
        <f t="shared" si="262"/>
        <v/>
      </c>
      <c r="CJ203" t="str">
        <f t="shared" si="263"/>
        <v>{BLACK}Powered by: {GOLD}750V DC {}{BLACK}Length: {GOLD}0.7 tiles{}{SILVER}The Class 71 is a mixed-traffic electric locomotive designed to work on the third rail system. It offered a lot of power for a small locomotive, but being confined to third rail power with no auxiliary option limited its usefulness.</v>
      </c>
    </row>
    <row r="204" spans="1:88" x14ac:dyDescent="0.35">
      <c r="A204" t="s">
        <v>527</v>
      </c>
      <c r="B204" t="s">
        <v>529</v>
      </c>
      <c r="C204">
        <v>308</v>
      </c>
      <c r="E204">
        <v>90</v>
      </c>
      <c r="F204" t="s">
        <v>1498</v>
      </c>
      <c r="G204" t="s">
        <v>258</v>
      </c>
      <c r="H204" t="s">
        <v>268</v>
      </c>
      <c r="I204" t="s">
        <v>270</v>
      </c>
      <c r="J204">
        <v>1958</v>
      </c>
      <c r="K204">
        <v>1959</v>
      </c>
      <c r="L204">
        <v>1994</v>
      </c>
      <c r="N204">
        <v>1160</v>
      </c>
      <c r="W204">
        <v>78.7</v>
      </c>
      <c r="Z204">
        <v>187</v>
      </c>
      <c r="AA204" s="3">
        <f t="shared" si="268"/>
        <v>0.23761118170266837</v>
      </c>
      <c r="AB204">
        <v>80</v>
      </c>
      <c r="AC204">
        <f t="shared" si="284"/>
        <v>128</v>
      </c>
      <c r="AF204">
        <v>15.47</v>
      </c>
      <c r="AG204">
        <v>15.47</v>
      </c>
      <c r="AI204">
        <v>3.86</v>
      </c>
      <c r="AJ204" s="10">
        <v>0</v>
      </c>
      <c r="AK204" t="str">
        <f>CONCATENATE(VLOOKUP(AL204, 'Voxel Sizes'!$A$2:$B$18,2,FALSE),"x",INT(AH204*15), "x", INT(AI204*15))</f>
        <v>152x0x57</v>
      </c>
      <c r="AL204">
        <f t="shared" si="269"/>
        <v>9</v>
      </c>
      <c r="AN204" t="str">
        <f>CONCATENATE(VLOOKUP(AL204,Constants!$A$2:$C$16,IF(AM204&lt;&gt;"", 3, 2), FALSE),IF(AM204&lt;&gt;"",CONCATENATE(",",VLOOKUP(AM204,$B:$AN,39,FALSE)),""))</f>
        <v>2,5,2</v>
      </c>
      <c r="AX204">
        <v>30</v>
      </c>
      <c r="AY204" s="15">
        <f t="shared" si="270"/>
        <v>44</v>
      </c>
      <c r="BB204">
        <f t="shared" si="271"/>
        <v>16</v>
      </c>
      <c r="BC204">
        <f t="shared" si="272"/>
        <v>5.8</v>
      </c>
      <c r="BD204">
        <f t="shared" si="273"/>
        <v>9.3500000000000014</v>
      </c>
      <c r="BE204" s="3">
        <f t="shared" si="274"/>
        <v>0.92266666666666663</v>
      </c>
      <c r="BF204">
        <f t="shared" si="275"/>
        <v>0</v>
      </c>
      <c r="BG204">
        <f>VLOOKUP($H204,Constants!$I:$K, 2, FALSE)</f>
        <v>1</v>
      </c>
      <c r="BH204">
        <f>VLOOKUP($H204,Constants!$I:$K, 3, FALSE)*IF(AND(G204="multiple_unit",AB204&lt;110),0.75,1)</f>
        <v>2</v>
      </c>
      <c r="BI204">
        <f>INT(POWER(((Constants!$G$2+$BB204+$BC204+$BD204+$BF204)*$BE204)*$BH204, 1.05))+$BA204</f>
        <v>82</v>
      </c>
      <c r="BJ204">
        <f>INT(POWER((((Constants!$G$1+$BB204+$BC204+$BD204+$BF204)*($BE204))*$BG204),IF($G204="wagon",1,1.2)))+$AZ204</f>
        <v>90</v>
      </c>
      <c r="BK204" s="14">
        <f t="shared" si="276"/>
        <v>64062.5</v>
      </c>
      <c r="BL204" s="14">
        <f t="shared" si="277"/>
        <v>7312.5</v>
      </c>
      <c r="BU204">
        <v>10</v>
      </c>
      <c r="BZ204" t="str">
        <f>VLOOKUP(J204,Eras!$A$2:$C$10, 2, TRUE)</f>
        <v>dsl</v>
      </c>
      <c r="CA204" t="s">
        <v>322</v>
      </c>
      <c r="CB204" t="str">
        <f t="shared" si="278"/>
        <v>dsl_Mixed Traffic</v>
      </c>
      <c r="CC204" t="str">
        <f t="shared" ref="CC204:CC267" si="287">_xlfn.CONCAT(H204, "_",I204)</f>
        <v>diesel_RAIL</v>
      </c>
      <c r="CD204" s="17" t="str" cm="1">
        <f t="array" ref="CD204">_xlfn.CONCAT("{BLACK}Length: {GOLD}", TEXT(ROUNDUP(IF(AQ204&lt;&gt;"",SUM(VALUE(_xlfn.TEXTSPLIT(AQ204, ","))), SUM(VALUE(_xlfn.TEXTSPLIT(AN204, ",")))*IF(M204, M204, 1))/16, 1), "#,##0.0"), " tiles{}")</f>
        <v>{BLACK}Length: {GOLD}0.6 tiles{}</v>
      </c>
      <c r="CE204" t="str">
        <f>VLOOKUP($CC204, Constants!$M:$N, 2, FALSE)</f>
        <v>{BLACK}Powered by: {GOLD}Diesel</v>
      </c>
      <c r="CF204" t="str">
        <f t="shared" si="286"/>
        <v/>
      </c>
      <c r="CG204" t="s">
        <v>528</v>
      </c>
      <c r="CH204" t="str">
        <f t="shared" si="285"/>
        <v/>
      </c>
      <c r="CI204" t="str">
        <f t="shared" ref="CI204:CI267" si="288">IF(BW204="buffet","{YELLOW}25% long distance bonus for consist{}",IF(BY204="BRAKE","{YELLOW}Speed bonus for slow wagons{}",IF(BV204&gt;190,CONCATENATE("{YELLOW}",INT((BV204-185)/1.85),"% bonus for long distance travel{}"),IF(AND(BV204&lt;180,BV204&lt;&gt;0),CONCATENATE("{YELLOW}",INT((185-BV204)/1.85),"% penalty for long distance travel{}"),""))))</f>
        <v/>
      </c>
      <c r="CJ204" t="str">
        <f t="shared" ref="CJ204:CJ267" si="289">_xlfn.CONCAT(CE204,IF(CE204&lt;&gt;""," ",""),CF204,IF(OR(CF204&lt;&gt;"",CE204&lt;&gt;""),"{}",""),CD204,CI204,"{SILVER}",CG204,IF(CH204&lt;&gt;"","{}{}",""),CH204)</f>
        <v>{BLACK}Powered by: {GOLD}Diesel {}{BLACK}Length: {GOLD}0.6 tiles{}{SILVER}The Class 26 "Teacup" (so named for its idling sound) was an early Type 2 locomotive, small diesels with engine output between 800 and 1,250 hp.</v>
      </c>
    </row>
    <row r="205" spans="1:88" x14ac:dyDescent="0.35">
      <c r="A205" t="s">
        <v>39</v>
      </c>
      <c r="B205" t="s">
        <v>262</v>
      </c>
      <c r="C205">
        <v>310</v>
      </c>
      <c r="E205">
        <v>91</v>
      </c>
      <c r="F205" t="s">
        <v>1498</v>
      </c>
      <c r="G205" t="s">
        <v>258</v>
      </c>
      <c r="H205" t="s">
        <v>268</v>
      </c>
      <c r="I205" t="s">
        <v>270</v>
      </c>
      <c r="J205">
        <v>1959</v>
      </c>
      <c r="K205">
        <v>1959</v>
      </c>
      <c r="L205">
        <v>1971</v>
      </c>
      <c r="N205">
        <v>1100</v>
      </c>
      <c r="W205">
        <v>75.2</v>
      </c>
      <c r="Z205">
        <v>209</v>
      </c>
      <c r="AA205" s="3">
        <f t="shared" si="268"/>
        <v>0.27792553191489361</v>
      </c>
      <c r="AB205">
        <v>75</v>
      </c>
      <c r="AC205">
        <f t="shared" si="284"/>
        <v>120</v>
      </c>
      <c r="AF205">
        <v>16</v>
      </c>
      <c r="AG205">
        <v>16</v>
      </c>
      <c r="AI205">
        <v>3.86</v>
      </c>
      <c r="AJ205" s="10">
        <v>0</v>
      </c>
      <c r="AK205" t="str">
        <f>CONCATENATE(VLOOKUP(AL205, 'Voxel Sizes'!$A$2:$B$18,2,FALSE),"x",INT(AH205*15), "x", INT(AI205*15))</f>
        <v>152x0x57</v>
      </c>
      <c r="AL205">
        <f t="shared" si="269"/>
        <v>9</v>
      </c>
      <c r="AN205" t="str">
        <f>CONCATENATE(VLOOKUP(AL205,Constants!$A$2:$C$16,IF(AM205&lt;&gt;"", 3, 2), FALSE),IF(AM205&lt;&gt;"",CONCATENATE(",",VLOOKUP(AM205,$B:$AN,39,FALSE)),""))</f>
        <v>2,5,2</v>
      </c>
      <c r="AX205">
        <v>26</v>
      </c>
      <c r="AY205" s="15">
        <f t="shared" si="270"/>
        <v>20</v>
      </c>
      <c r="BB205">
        <f t="shared" si="271"/>
        <v>15</v>
      </c>
      <c r="BC205">
        <f t="shared" si="272"/>
        <v>5.5</v>
      </c>
      <c r="BD205">
        <f t="shared" si="273"/>
        <v>10.45</v>
      </c>
      <c r="BE205" s="3">
        <f t="shared" si="274"/>
        <v>0.92133333333333334</v>
      </c>
      <c r="BF205">
        <f t="shared" si="275"/>
        <v>0</v>
      </c>
      <c r="BG205">
        <f>VLOOKUP($H205,Constants!$I:$K, 2, FALSE)</f>
        <v>1</v>
      </c>
      <c r="BH205">
        <f>VLOOKUP($H205,Constants!$I:$K, 3, FALSE)*IF(AND(G205="multiple_unit",AB205&lt;110),0.75,1)</f>
        <v>2</v>
      </c>
      <c r="BI205">
        <f>INT(POWER(((Constants!$G$2+$BB205+$BC205+$BD205+$BF205)*$BE205)*$BH205, 1.05))+$BA205</f>
        <v>81</v>
      </c>
      <c r="BJ205">
        <f>INT(POWER((((Constants!$G$1+$BB205+$BC205+$BD205+$BF205)*($BE205))*$BG205),IF($G205="wagon",1,1.2)))+$AZ205</f>
        <v>89</v>
      </c>
      <c r="BK205" s="14">
        <f t="shared" si="276"/>
        <v>63281.25</v>
      </c>
      <c r="BL205" s="14">
        <f t="shared" si="277"/>
        <v>7231.25</v>
      </c>
      <c r="BU205">
        <v>11</v>
      </c>
      <c r="BZ205" t="str">
        <f>VLOOKUP(J205,Eras!$A$2:$C$10, 2, TRUE)</f>
        <v>dsl</v>
      </c>
      <c r="CA205" t="s">
        <v>322</v>
      </c>
      <c r="CB205" t="str">
        <f t="shared" si="278"/>
        <v>dsl_Mixed Traffic</v>
      </c>
      <c r="CC205" t="str">
        <f t="shared" si="287"/>
        <v>diesel_RAIL</v>
      </c>
      <c r="CD205" s="17" t="str" cm="1">
        <f t="array" ref="CD205">_xlfn.CONCAT("{BLACK}Length: {GOLD}", TEXT(ROUNDUP(IF(AQ205&lt;&gt;"",SUM(VALUE(_xlfn.TEXTSPLIT(AQ205, ","))), SUM(VALUE(_xlfn.TEXTSPLIT(AN205, ",")))*IF(M205, M205, 1))/16, 1), "#,##0.0"), " tiles{}")</f>
        <v>{BLACK}Length: {GOLD}0.6 tiles{}</v>
      </c>
      <c r="CE205" t="str">
        <f>VLOOKUP($CC205, Constants!$M:$N, 2, FALSE)</f>
        <v>{BLACK}Powered by: {GOLD}Diesel</v>
      </c>
      <c r="CF205" t="str">
        <f t="shared" si="286"/>
        <v/>
      </c>
      <c r="CG205" t="s">
        <v>361</v>
      </c>
      <c r="CH205" t="str">
        <f t="shared" si="285"/>
        <v/>
      </c>
      <c r="CI205" t="str">
        <f t="shared" si="288"/>
        <v/>
      </c>
      <c r="CJ205" t="str">
        <f t="shared" si="289"/>
        <v>{BLACK}Powered by: {GOLD}Diesel {}{BLACK}Length: {GOLD}0.6 tiles{}{SILVER}The Class 23 uses a smaller version of the Napier Deltic engine fitted to the Class 55, leading to its nickname of "Baby Deltic".</v>
      </c>
    </row>
    <row r="206" spans="1:88" x14ac:dyDescent="0.35">
      <c r="A206" t="s">
        <v>59</v>
      </c>
      <c r="B206" t="s">
        <v>212</v>
      </c>
      <c r="C206">
        <v>312</v>
      </c>
      <c r="E206">
        <v>92</v>
      </c>
      <c r="F206" t="s">
        <v>1498</v>
      </c>
      <c r="G206" t="s">
        <v>258</v>
      </c>
      <c r="H206" t="s">
        <v>291</v>
      </c>
      <c r="I206" t="s">
        <v>292</v>
      </c>
      <c r="J206">
        <v>1959</v>
      </c>
      <c r="K206">
        <v>1964</v>
      </c>
      <c r="L206">
        <v>1991</v>
      </c>
      <c r="N206">
        <f>4*847</f>
        <v>3388</v>
      </c>
      <c r="W206">
        <v>80.900000000000006</v>
      </c>
      <c r="Z206">
        <v>222</v>
      </c>
      <c r="AA206" s="3">
        <f t="shared" si="268"/>
        <v>0.27441285537700866</v>
      </c>
      <c r="AB206">
        <v>100</v>
      </c>
      <c r="AC206">
        <f t="shared" si="284"/>
        <v>160</v>
      </c>
      <c r="AF206">
        <v>17.22</v>
      </c>
      <c r="AG206">
        <v>17.22</v>
      </c>
      <c r="AI206">
        <v>3.77</v>
      </c>
      <c r="AJ206" s="10">
        <v>0</v>
      </c>
      <c r="AK206" t="str">
        <f>CONCATENATE(VLOOKUP(AL206, 'Voxel Sizes'!$A$2:$B$18,2,FALSE),"x",INT(AH206*15), "x", INT(AI206*15))</f>
        <v>164x0x56</v>
      </c>
      <c r="AL206">
        <f t="shared" si="269"/>
        <v>10</v>
      </c>
      <c r="AN206" t="str">
        <f>CONCATENATE(VLOOKUP(AL206,Constants!$A$2:$C$16,IF(AM206&lt;&gt;"", 3, 2), FALSE),IF(AM206&lt;&gt;"",CONCATENATE(",",VLOOKUP(AM206,$B:$AN,39,FALSE)),""))</f>
        <v>4,2,4</v>
      </c>
      <c r="AX206">
        <v>27</v>
      </c>
      <c r="AY206" s="15">
        <f t="shared" si="270"/>
        <v>40</v>
      </c>
      <c r="BB206">
        <f t="shared" si="271"/>
        <v>20</v>
      </c>
      <c r="BC206">
        <f t="shared" si="272"/>
        <v>16.939999999999998</v>
      </c>
      <c r="BD206">
        <f t="shared" si="273"/>
        <v>11.100000000000001</v>
      </c>
      <c r="BE206" s="3">
        <f t="shared" si="274"/>
        <v>0.92133333333333334</v>
      </c>
      <c r="BF206">
        <f t="shared" si="275"/>
        <v>0</v>
      </c>
      <c r="BG206">
        <f>VLOOKUP($H206,Constants!$I:$K, 2, FALSE)</f>
        <v>0.85</v>
      </c>
      <c r="BH206">
        <f>VLOOKUP($H206,Constants!$I:$K, 3, FALSE)*IF(AND(G206="multiple_unit",AB206&lt;110),0.75,1)</f>
        <v>2.2999999999999998</v>
      </c>
      <c r="BI206">
        <f>INT(POWER(((Constants!$G$2+$BB206+$BC206+$BD206+$BF206)*$BE206)*$BH206, 1.05))+$BA206</f>
        <v>142</v>
      </c>
      <c r="BJ206">
        <f>INT(POWER((((Constants!$G$1+$BB206+$BC206+$BD206+$BF206)*($BE206))*$BG206),IF($G206="wagon",1,1.2)))+$AZ206</f>
        <v>107</v>
      </c>
      <c r="BK206" s="14">
        <f t="shared" si="276"/>
        <v>110937.5</v>
      </c>
      <c r="BL206" s="14">
        <f t="shared" si="277"/>
        <v>8693.75</v>
      </c>
      <c r="BU206">
        <v>12</v>
      </c>
      <c r="BZ206" t="str">
        <f>VLOOKUP(J206,Eras!$A$2:$C$10, 2, TRUE)</f>
        <v>dsl</v>
      </c>
      <c r="CA206" t="s">
        <v>333</v>
      </c>
      <c r="CB206" t="str">
        <f t="shared" si="278"/>
        <v>dsl_Express (Electric)</v>
      </c>
      <c r="CC206" t="str">
        <f t="shared" si="287"/>
        <v>electric_ELRL</v>
      </c>
      <c r="CD206" s="17" t="str" cm="1">
        <f t="array" ref="CD206">_xlfn.CONCAT("{BLACK}Length: {GOLD}", TEXT(ROUNDUP(IF(AQ206&lt;&gt;"",SUM(VALUE(_xlfn.TEXTSPLIT(AQ206, ","))), SUM(VALUE(_xlfn.TEXTSPLIT(AN206, ",")))*IF(M206, M206, 1))/16, 1), "#,##0.0"), " tiles{}")</f>
        <v>{BLACK}Length: {GOLD}0.7 tiles{}</v>
      </c>
      <c r="CE206" t="str">
        <f>VLOOKUP($CC206, Constants!$M:$N, 2, FALSE)</f>
        <v>{BLACK}Powered by: {GOLD}25kV AC</v>
      </c>
      <c r="CF206" t="str">
        <f t="shared" si="286"/>
        <v/>
      </c>
      <c r="CG206" t="s">
        <v>514</v>
      </c>
      <c r="CH206" t="str">
        <f t="shared" si="285"/>
        <v/>
      </c>
      <c r="CI206" t="str">
        <f t="shared" si="288"/>
        <v/>
      </c>
      <c r="CJ206" t="str">
        <f t="shared" si="289"/>
        <v>{BLACK}Powered by: {GOLD}25kV AC {}{BLACK}Length: {GOLD}0.7 tiles{}{SILVER}Built by Associated Electrical Industries, the Class 81 was British Railways' first AC electric locomotive. Two types were envisioned, but all delivered were geared for 100mph passenger and express freight usage.</v>
      </c>
    </row>
    <row r="207" spans="1:88" x14ac:dyDescent="0.35">
      <c r="A207" t="s">
        <v>40</v>
      </c>
      <c r="B207" t="s">
        <v>257</v>
      </c>
      <c r="C207">
        <v>314</v>
      </c>
      <c r="E207">
        <v>93</v>
      </c>
      <c r="F207" t="s">
        <v>1498</v>
      </c>
      <c r="G207" t="s">
        <v>258</v>
      </c>
      <c r="H207" t="s">
        <v>268</v>
      </c>
      <c r="I207" t="s">
        <v>270</v>
      </c>
      <c r="J207">
        <v>1960</v>
      </c>
      <c r="K207">
        <v>1965</v>
      </c>
      <c r="N207">
        <v>1750</v>
      </c>
      <c r="W207">
        <v>102</v>
      </c>
      <c r="Z207">
        <v>247</v>
      </c>
      <c r="AA207" s="3">
        <f t="shared" si="268"/>
        <v>0.24215686274509804</v>
      </c>
      <c r="AB207">
        <v>90</v>
      </c>
      <c r="AC207">
        <f t="shared" si="284"/>
        <v>144</v>
      </c>
      <c r="AF207">
        <v>18.75</v>
      </c>
      <c r="AG207">
        <v>18.75</v>
      </c>
      <c r="AH207">
        <v>2.71</v>
      </c>
      <c r="AI207">
        <v>3.89</v>
      </c>
      <c r="AJ207" s="10">
        <v>0</v>
      </c>
      <c r="AK207" t="str">
        <f>CONCATENATE(VLOOKUP(AL207, 'Voxel Sizes'!$A$2:$B$18,2,FALSE),"x",INT(AH207*15), "x", INT(AI207*15))</f>
        <v>186x40x58</v>
      </c>
      <c r="AL207">
        <f t="shared" si="269"/>
        <v>11</v>
      </c>
      <c r="AN207" t="str">
        <f>CONCATENATE(VLOOKUP(AL207,Constants!$A$2:$C$16,IF(AM207&lt;&gt;"", 3, 2), FALSE),IF(AM207&lt;&gt;"",CONCATENATE(",",VLOOKUP(AM207,$B:$AN,39,FALSE)),""))</f>
        <v>4,3,4</v>
      </c>
      <c r="AX207">
        <v>42</v>
      </c>
      <c r="AY207" s="15" t="str">
        <f t="shared" si="270"/>
        <v/>
      </c>
      <c r="BB207">
        <f t="shared" si="271"/>
        <v>18</v>
      </c>
      <c r="BC207">
        <f t="shared" si="272"/>
        <v>8.75</v>
      </c>
      <c r="BD207">
        <f t="shared" si="273"/>
        <v>12.350000000000001</v>
      </c>
      <c r="BE207" s="3">
        <f t="shared" si="274"/>
        <v>0.92</v>
      </c>
      <c r="BF207">
        <f t="shared" si="275"/>
        <v>0</v>
      </c>
      <c r="BG207">
        <f>VLOOKUP($H207,Constants!$I:$K, 2, FALSE)</f>
        <v>1</v>
      </c>
      <c r="BH207">
        <f>VLOOKUP($H207,Constants!$I:$K, 3, FALSE)*IF(AND(G207="multiple_unit",AB207&lt;110),0.75,1)</f>
        <v>2</v>
      </c>
      <c r="BI207">
        <f>INT(POWER(((Constants!$G$2+$BB207+$BC207+$BD207+$BF207)*$BE207)*$BH207, 1.05))+$BA207</f>
        <v>101</v>
      </c>
      <c r="BJ207">
        <f>INT(POWER((((Constants!$G$1+$BB207+$BC207+$BD207+$BF207)*($BE207))*$BG207),IF($G207="wagon",1,1.2)))+$AZ207</f>
        <v>108</v>
      </c>
      <c r="BK207" s="14">
        <f t="shared" si="276"/>
        <v>78906.25</v>
      </c>
      <c r="BL207" s="14">
        <f t="shared" si="277"/>
        <v>8775</v>
      </c>
      <c r="BU207">
        <v>1</v>
      </c>
      <c r="BZ207" t="str">
        <f>VLOOKUP(J207,Eras!$A$2:$C$10, 2, TRUE)</f>
        <v>dsl</v>
      </c>
      <c r="CA207" t="s">
        <v>324</v>
      </c>
      <c r="CB207" t="str">
        <f t="shared" si="278"/>
        <v>dsl_Freight</v>
      </c>
      <c r="CC207" t="str">
        <f t="shared" si="287"/>
        <v>diesel_RAIL</v>
      </c>
      <c r="CD207" s="17" t="str" cm="1">
        <f t="array" ref="CD207">_xlfn.CONCAT("{BLACK}Length: {GOLD}", TEXT(ROUNDUP(IF(AQ207&lt;&gt;"",SUM(VALUE(_xlfn.TEXTSPLIT(AQ207, ","))), SUM(VALUE(_xlfn.TEXTSPLIT(AN207, ",")))*IF(M207, M207, 1))/16, 1), "#,##0.0"), " tiles{}")</f>
        <v>{BLACK}Length: {GOLD}0.7 tiles{}</v>
      </c>
      <c r="CE207" t="str">
        <f>VLOOKUP($CC207, Constants!$M:$N, 2, FALSE)</f>
        <v>{BLACK}Powered by: {GOLD}Diesel</v>
      </c>
      <c r="CF207" t="str">
        <f t="shared" si="286"/>
        <v/>
      </c>
      <c r="CG207" t="s">
        <v>355</v>
      </c>
      <c r="CH207" t="str">
        <f t="shared" si="285"/>
        <v/>
      </c>
      <c r="CI207" t="str">
        <f t="shared" si="288"/>
        <v/>
      </c>
      <c r="CJ207" t="str">
        <f t="shared" si="289"/>
        <v>{BLACK}Powered by: {GOLD}Diesel {}{BLACK}Length: {GOLD}0.7 tiles{}{SILVER}The Class 37 (English Electric Type 3) is widely used, especially in Scotland where the high power, low axle load and lack of need for electrification make it ideal for hauling long trains in the Highlands.</v>
      </c>
    </row>
    <row r="208" spans="1:88" x14ac:dyDescent="0.35">
      <c r="A208" t="s">
        <v>48</v>
      </c>
      <c r="B208" t="s">
        <v>517</v>
      </c>
      <c r="C208">
        <v>316</v>
      </c>
      <c r="E208">
        <v>94</v>
      </c>
      <c r="F208" t="s">
        <v>1498</v>
      </c>
      <c r="G208" t="s">
        <v>258</v>
      </c>
      <c r="H208" t="s">
        <v>268</v>
      </c>
      <c r="I208" t="s">
        <v>270</v>
      </c>
      <c r="J208">
        <v>1960</v>
      </c>
      <c r="K208">
        <v>1962</v>
      </c>
      <c r="L208">
        <v>1989</v>
      </c>
      <c r="N208">
        <v>2500</v>
      </c>
      <c r="W208">
        <v>135</v>
      </c>
      <c r="Z208">
        <v>245</v>
      </c>
      <c r="AA208" s="3">
        <f t="shared" si="268"/>
        <v>0.18148148148148149</v>
      </c>
      <c r="AB208">
        <v>90</v>
      </c>
      <c r="AC208">
        <f t="shared" si="284"/>
        <v>144</v>
      </c>
      <c r="AF208">
        <v>20.7</v>
      </c>
      <c r="AG208">
        <v>20.7</v>
      </c>
      <c r="AI208">
        <v>3.91</v>
      </c>
      <c r="AJ208" s="10">
        <v>0</v>
      </c>
      <c r="AK208" t="str">
        <f>CONCATENATE(VLOOKUP(AL208, 'Voxel Sizes'!$A$2:$B$18,2,FALSE),"x",INT(AH208*15), "x", INT(AI208*15))</f>
        <v>198x0x58</v>
      </c>
      <c r="AL208">
        <f t="shared" si="269"/>
        <v>12</v>
      </c>
      <c r="AN208" t="str">
        <f>CONCATENATE(VLOOKUP(AL208,Constants!$A$2:$C$16,IF(AM208&lt;&gt;"", 3, 2), FALSE),IF(AM208&lt;&gt;"",CONCATENATE(",",VLOOKUP(AM208,$B:$AN,39,FALSE)),""))</f>
        <v>4,4,4</v>
      </c>
      <c r="AX208">
        <v>30</v>
      </c>
      <c r="AY208" s="15">
        <f t="shared" si="270"/>
        <v>37</v>
      </c>
      <c r="BB208">
        <f t="shared" si="271"/>
        <v>18</v>
      </c>
      <c r="BC208">
        <f t="shared" si="272"/>
        <v>12.5</v>
      </c>
      <c r="BD208">
        <f t="shared" si="273"/>
        <v>12.25</v>
      </c>
      <c r="BE208" s="3">
        <f t="shared" si="274"/>
        <v>0.92</v>
      </c>
      <c r="BF208">
        <f t="shared" si="275"/>
        <v>0</v>
      </c>
      <c r="BG208">
        <f>VLOOKUP($H208,Constants!$I:$K, 2, FALSE)</f>
        <v>1</v>
      </c>
      <c r="BH208">
        <f>VLOOKUP($H208,Constants!$I:$K, 3, FALSE)*IF(AND(G208="multiple_unit",AB208&lt;110),0.75,1)</f>
        <v>2</v>
      </c>
      <c r="BI208">
        <f>INT(POWER(((Constants!$G$2+$BB208+$BC208+$BD208+$BF208)*$BE208)*$BH208, 1.05))+$BA208</f>
        <v>109</v>
      </c>
      <c r="BJ208">
        <f>INT(POWER((((Constants!$G$1+$BB208+$BC208+$BD208+$BF208)*($BE208))*$BG208),IF($G208="wagon",1,1.2)))+$AZ208</f>
        <v>117</v>
      </c>
      <c r="BK208" s="14">
        <f t="shared" si="276"/>
        <v>85156.25</v>
      </c>
      <c r="BL208" s="14">
        <f t="shared" si="277"/>
        <v>9506.25</v>
      </c>
      <c r="BU208">
        <v>2</v>
      </c>
      <c r="BZ208" t="str">
        <f>VLOOKUP(J208,Eras!$A$2:$C$10, 2, TRUE)</f>
        <v>dsl</v>
      </c>
      <c r="CA208" t="s">
        <v>323</v>
      </c>
      <c r="CB208" t="str">
        <f t="shared" si="278"/>
        <v>dsl_Express</v>
      </c>
      <c r="CC208" t="str">
        <f t="shared" si="287"/>
        <v>diesel_RAIL</v>
      </c>
      <c r="CD208" s="17" t="str" cm="1">
        <f t="array" ref="CD208">_xlfn.CONCAT("{BLACK}Length: {GOLD}", TEXT(ROUNDUP(IF(AQ208&lt;&gt;"",SUM(VALUE(_xlfn.TEXTSPLIT(AQ208, ","))), SUM(VALUE(_xlfn.TEXTSPLIT(AN208, ",")))*IF(M208, M208, 1))/16, 1), "#,##0.0"), " tiles{}")</f>
        <v>{BLACK}Length: {GOLD}0.8 tiles{}</v>
      </c>
      <c r="CE208" t="str">
        <f>VLOOKUP($CC208, Constants!$M:$N, 2, FALSE)</f>
        <v>{BLACK}Powered by: {GOLD}Diesel</v>
      </c>
      <c r="CF208" t="str">
        <f t="shared" si="286"/>
        <v/>
      </c>
      <c r="CG208" t="s">
        <v>516</v>
      </c>
      <c r="CH208" t="str">
        <f t="shared" si="285"/>
        <v/>
      </c>
      <c r="CI208" t="str">
        <f t="shared" si="288"/>
        <v/>
      </c>
      <c r="CJ208" t="str">
        <f t="shared" si="289"/>
        <v>{BLACK}Powered by: {GOLD}Diesel {}{BLACK}Length: {GOLD}0.8 tiles{}{SILVER}The Sulzer Peaks served express passenger trains on the Midland Main Line until the introduction of the HST.</v>
      </c>
    </row>
    <row r="209" spans="1:88" x14ac:dyDescent="0.35">
      <c r="A209" t="s">
        <v>49</v>
      </c>
      <c r="B209" t="s">
        <v>519</v>
      </c>
      <c r="C209">
        <v>318</v>
      </c>
      <c r="E209">
        <v>95</v>
      </c>
      <c r="F209" t="s">
        <v>1498</v>
      </c>
      <c r="G209" t="s">
        <v>258</v>
      </c>
      <c r="H209" t="s">
        <v>268</v>
      </c>
      <c r="I209" t="s">
        <v>270</v>
      </c>
      <c r="J209">
        <v>1960</v>
      </c>
      <c r="K209">
        <v>1962</v>
      </c>
      <c r="N209">
        <v>1550</v>
      </c>
      <c r="W209">
        <v>74.2</v>
      </c>
      <c r="Z209">
        <v>200</v>
      </c>
      <c r="AA209" s="3">
        <f t="shared" si="268"/>
        <v>0.26954177897574122</v>
      </c>
      <c r="AB209">
        <v>85</v>
      </c>
      <c r="AC209">
        <f t="shared" si="284"/>
        <v>136</v>
      </c>
      <c r="AF209">
        <v>15.47</v>
      </c>
      <c r="AG209">
        <v>15.47</v>
      </c>
      <c r="AI209">
        <v>3.86</v>
      </c>
      <c r="AJ209" s="10">
        <v>0</v>
      </c>
      <c r="AK209" t="str">
        <f>CONCATENATE(VLOOKUP(AL209, 'Voxel Sizes'!$A$2:$B$18,2,FALSE),"x",INT(AH209*15), "x", INT(AI209*15))</f>
        <v>152x0x57</v>
      </c>
      <c r="AL209">
        <f t="shared" si="269"/>
        <v>9</v>
      </c>
      <c r="AN209" t="str">
        <f>CONCATENATE(VLOOKUP(AL209,Constants!$A$2:$C$16,IF(AM209&lt;&gt;"", 3, 2), FALSE),IF(AM209&lt;&gt;"",CONCATENATE(",",VLOOKUP(AM209,$B:$AN,39,FALSE)),""))</f>
        <v>2,5,2</v>
      </c>
      <c r="AX209">
        <v>30</v>
      </c>
      <c r="AY209" s="15" t="str">
        <f t="shared" si="270"/>
        <v/>
      </c>
      <c r="BB209">
        <f t="shared" si="271"/>
        <v>17</v>
      </c>
      <c r="BC209">
        <f t="shared" si="272"/>
        <v>7.75</v>
      </c>
      <c r="BD209">
        <f t="shared" si="273"/>
        <v>10</v>
      </c>
      <c r="BE209" s="3">
        <f t="shared" si="274"/>
        <v>0.92</v>
      </c>
      <c r="BF209">
        <f t="shared" si="275"/>
        <v>0</v>
      </c>
      <c r="BG209">
        <f>VLOOKUP($H209,Constants!$I:$K, 2, FALSE)</f>
        <v>1</v>
      </c>
      <c r="BH209">
        <f>VLOOKUP($H209,Constants!$I:$K, 3, FALSE)*IF(AND(G209="multiple_unit",AB209&lt;110),0.75,1)</f>
        <v>2</v>
      </c>
      <c r="BI209">
        <f>INT(POWER(((Constants!$G$2+$BB209+$BC209+$BD209+$BF209)*$BE209)*$BH209, 1.05))+$BA209</f>
        <v>90</v>
      </c>
      <c r="BJ209">
        <f>INT(POWER((((Constants!$G$1+$BB209+$BC209+$BD209+$BF209)*($BE209))*$BG209),IF($G209="wagon",1,1.2)))+$AZ209</f>
        <v>98</v>
      </c>
      <c r="BK209" s="14">
        <f t="shared" si="276"/>
        <v>70312.5</v>
      </c>
      <c r="BL209" s="14">
        <f t="shared" si="277"/>
        <v>7962.5</v>
      </c>
      <c r="BU209">
        <v>3</v>
      </c>
      <c r="BZ209" t="str">
        <f>VLOOKUP(J209,Eras!$A$2:$C$10, 2, TRUE)</f>
        <v>dsl</v>
      </c>
      <c r="CA209" t="s">
        <v>322</v>
      </c>
      <c r="CB209" t="str">
        <f t="shared" si="278"/>
        <v>dsl_Mixed Traffic</v>
      </c>
      <c r="CC209" t="str">
        <f t="shared" si="287"/>
        <v>diesel_RAIL</v>
      </c>
      <c r="CD209" s="17" t="str" cm="1">
        <f t="array" ref="CD209">_xlfn.CONCAT("{BLACK}Length: {GOLD}", TEXT(ROUNDUP(IF(AQ209&lt;&gt;"",SUM(VALUE(_xlfn.TEXTSPLIT(AQ209, ","))), SUM(VALUE(_xlfn.TEXTSPLIT(AN209, ",")))*IF(M209, M209, 1))/16, 1), "#,##0.0"), " tiles{}")</f>
        <v>{BLACK}Length: {GOLD}0.6 tiles{}</v>
      </c>
      <c r="CE209" t="str">
        <f>VLOOKUP($CC209, Constants!$M:$N, 2, FALSE)</f>
        <v>{BLACK}Powered by: {GOLD}Diesel</v>
      </c>
      <c r="CF209" t="str">
        <f t="shared" si="286"/>
        <v/>
      </c>
      <c r="CG209" t="s">
        <v>518</v>
      </c>
      <c r="CH209" t="str">
        <f t="shared" si="285"/>
        <v/>
      </c>
      <c r="CI209" t="str">
        <f t="shared" si="288"/>
        <v/>
      </c>
      <c r="CJ209" t="str">
        <f t="shared" si="289"/>
        <v>{BLACK}Powered by: {GOLD}Diesel {}{BLACK}Length: {GOLD}0.6 tiles{}{SILVER}The Class 33 was built without carriage heating, using the space for an 8 cylinder engine. This meant it was used for tourist-loaded passenger trains in summer, and freight in winter.</v>
      </c>
    </row>
    <row r="210" spans="1:88" x14ac:dyDescent="0.35">
      <c r="A210" t="s">
        <v>35</v>
      </c>
      <c r="B210" t="s">
        <v>166</v>
      </c>
      <c r="C210">
        <v>320</v>
      </c>
      <c r="E210">
        <v>96</v>
      </c>
      <c r="F210" t="s">
        <v>1498</v>
      </c>
      <c r="G210" t="s">
        <v>258</v>
      </c>
      <c r="H210" t="s">
        <v>268</v>
      </c>
      <c r="I210" t="s">
        <v>270</v>
      </c>
      <c r="J210">
        <v>1961</v>
      </c>
      <c r="K210">
        <v>1964</v>
      </c>
      <c r="L210">
        <v>1975</v>
      </c>
      <c r="N210">
        <v>1700</v>
      </c>
      <c r="W210">
        <v>76.2</v>
      </c>
      <c r="Z210">
        <v>207</v>
      </c>
      <c r="AA210" s="3">
        <f t="shared" si="268"/>
        <v>0.27165354330708663</v>
      </c>
      <c r="AB210">
        <v>90</v>
      </c>
      <c r="AC210">
        <f t="shared" si="284"/>
        <v>144</v>
      </c>
      <c r="AF210">
        <v>15.76</v>
      </c>
      <c r="AG210">
        <v>15.76</v>
      </c>
      <c r="AI210">
        <v>3.91</v>
      </c>
      <c r="AJ210" s="10">
        <v>0</v>
      </c>
      <c r="AK210" t="str">
        <f>CONCATENATE(VLOOKUP(AL210, 'Voxel Sizes'!$A$2:$B$18,2,FALSE),"x",INT(AH210*15), "x", INT(AI210*15))</f>
        <v>152x0x58</v>
      </c>
      <c r="AL210">
        <f t="shared" si="269"/>
        <v>9</v>
      </c>
      <c r="AN210" t="str">
        <f>CONCATENATE(VLOOKUP(AL210,Constants!$A$2:$C$16,IF(AM210&lt;&gt;"", 3, 2), FALSE),IF(AM210&lt;&gt;"",CONCATENATE(",",VLOOKUP(AM210,$B:$AN,39,FALSE)),""))</f>
        <v>2,5,2</v>
      </c>
      <c r="AX210">
        <v>30</v>
      </c>
      <c r="AY210" s="15">
        <f t="shared" si="270"/>
        <v>22</v>
      </c>
      <c r="BB210">
        <f t="shared" si="271"/>
        <v>18</v>
      </c>
      <c r="BC210">
        <f t="shared" si="272"/>
        <v>8.5</v>
      </c>
      <c r="BD210">
        <f t="shared" si="273"/>
        <v>10.35</v>
      </c>
      <c r="BE210" s="3">
        <f t="shared" si="274"/>
        <v>0.91866666666666663</v>
      </c>
      <c r="BF210">
        <f t="shared" si="275"/>
        <v>0</v>
      </c>
      <c r="BG210">
        <f>VLOOKUP($H210,Constants!$I:$K, 2, FALSE)</f>
        <v>1</v>
      </c>
      <c r="BH210">
        <f>VLOOKUP($H210,Constants!$I:$K, 3, FALSE)*IF(AND(G210="multiple_unit",AB210&lt;110),0.75,1)</f>
        <v>2</v>
      </c>
      <c r="BI210">
        <f>INT(POWER(((Constants!$G$2+$BB210+$BC210+$BD210+$BF210)*$BE210)*$BH210, 1.05))+$BA210</f>
        <v>95</v>
      </c>
      <c r="BJ210">
        <f>INT(POWER((((Constants!$G$1+$BB210+$BC210+$BD210+$BF210)*($BE210))*$BG210),IF($G210="wagon",1,1.2)))+$AZ210</f>
        <v>103</v>
      </c>
      <c r="BK210" s="14">
        <f t="shared" si="276"/>
        <v>74218.75</v>
      </c>
      <c r="BL210" s="14">
        <f t="shared" si="277"/>
        <v>8368.75</v>
      </c>
      <c r="BU210">
        <v>4</v>
      </c>
      <c r="BZ210" t="str">
        <f>VLOOKUP(J210,Eras!$A$2:$C$10, 2, TRUE)</f>
        <v>dsl</v>
      </c>
      <c r="CA210" t="s">
        <v>322</v>
      </c>
      <c r="CB210" t="str">
        <f t="shared" si="278"/>
        <v>dsl_Mixed Traffic</v>
      </c>
      <c r="CC210" t="str">
        <f t="shared" si="287"/>
        <v>diesel_RAIL</v>
      </c>
      <c r="CD210" s="17" t="str" cm="1">
        <f t="array" ref="CD210">_xlfn.CONCAT("{BLACK}Length: {GOLD}", TEXT(ROUNDUP(IF(AQ210&lt;&gt;"",SUM(VALUE(_xlfn.TEXTSPLIT(AQ210, ","))), SUM(VALUE(_xlfn.TEXTSPLIT(AN210, ",")))*IF(M210, M210, 1))/16, 1), "#,##0.0"), " tiles{}")</f>
        <v>{BLACK}Length: {GOLD}0.6 tiles{}</v>
      </c>
      <c r="CE210" t="str">
        <f>VLOOKUP($CC210, Constants!$M:$N, 2, FALSE)</f>
        <v>{BLACK}Powered by: {GOLD}Diesel</v>
      </c>
      <c r="CF210" t="str">
        <f t="shared" si="286"/>
        <v/>
      </c>
      <c r="CG210" t="s">
        <v>524</v>
      </c>
      <c r="CH210" t="str">
        <f t="shared" si="285"/>
        <v/>
      </c>
      <c r="CI210" t="str">
        <f t="shared" si="288"/>
        <v/>
      </c>
      <c r="CJ210" t="str">
        <f t="shared" si="289"/>
        <v>{BLACK}Powered by: {GOLD}Diesel {}{BLACK}Length: {GOLD}0.6 tiles{}{SILVER}The Hymeks were named for their hydraulic transmission. Sadly this also caused their early withdrawal, with BR viewing diesel-hydraulics as non-standard.</v>
      </c>
    </row>
    <row r="211" spans="1:88" x14ac:dyDescent="0.35">
      <c r="A211" t="s">
        <v>37</v>
      </c>
      <c r="B211" t="s">
        <v>167</v>
      </c>
      <c r="C211">
        <v>322</v>
      </c>
      <c r="E211">
        <v>97</v>
      </c>
      <c r="F211" t="s">
        <v>1498</v>
      </c>
      <c r="G211" t="s">
        <v>258</v>
      </c>
      <c r="H211" t="s">
        <v>268</v>
      </c>
      <c r="I211" t="s">
        <v>270</v>
      </c>
      <c r="J211">
        <v>1961</v>
      </c>
      <c r="K211">
        <v>1964</v>
      </c>
      <c r="L211">
        <v>1977</v>
      </c>
      <c r="N211">
        <v>2000</v>
      </c>
      <c r="W211">
        <v>110</v>
      </c>
      <c r="Z211">
        <v>297</v>
      </c>
      <c r="AA211" s="3">
        <f t="shared" si="268"/>
        <v>0.27</v>
      </c>
      <c r="AB211">
        <v>90</v>
      </c>
      <c r="AC211">
        <f t="shared" si="284"/>
        <v>144</v>
      </c>
      <c r="AF211">
        <v>20.73</v>
      </c>
      <c r="AG211">
        <v>20.73</v>
      </c>
      <c r="AI211">
        <v>3.96</v>
      </c>
      <c r="AJ211" s="10">
        <v>0</v>
      </c>
      <c r="AK211" t="str">
        <f>CONCATENATE(VLOOKUP(AL211, 'Voxel Sizes'!$A$2:$B$18,2,FALSE),"x",INT(AH211*15), "x", INT(AI211*15))</f>
        <v>198x0x59</v>
      </c>
      <c r="AL211">
        <f t="shared" si="269"/>
        <v>12</v>
      </c>
      <c r="AN211" t="str">
        <f>CONCATENATE(VLOOKUP(AL211,Constants!$A$2:$C$16,IF(AM211&lt;&gt;"", 3, 2), FALSE),IF(AM211&lt;&gt;"",CONCATENATE(",",VLOOKUP(AM211,$B:$AN,39,FALSE)),""))</f>
        <v>4,4,4</v>
      </c>
      <c r="AX211">
        <v>30</v>
      </c>
      <c r="AY211" s="15">
        <f t="shared" si="270"/>
        <v>24</v>
      </c>
      <c r="BB211">
        <f t="shared" si="271"/>
        <v>18</v>
      </c>
      <c r="BC211">
        <f t="shared" si="272"/>
        <v>10</v>
      </c>
      <c r="BD211">
        <f t="shared" si="273"/>
        <v>14.850000000000001</v>
      </c>
      <c r="BE211" s="3">
        <f t="shared" si="274"/>
        <v>0.91866666666666663</v>
      </c>
      <c r="BF211">
        <f t="shared" si="275"/>
        <v>0</v>
      </c>
      <c r="BG211">
        <f>VLOOKUP($H211,Constants!$I:$K, 2, FALSE)</f>
        <v>1</v>
      </c>
      <c r="BH211">
        <f>VLOOKUP($H211,Constants!$I:$K, 3, FALSE)*IF(AND(G211="multiple_unit",AB211&lt;110),0.75,1)</f>
        <v>2</v>
      </c>
      <c r="BI211">
        <f>INT(POWER(((Constants!$G$2+$BB211+$BC211+$BD211+$BF211)*$BE211)*$BH211, 1.05))+$BA211</f>
        <v>109</v>
      </c>
      <c r="BJ211">
        <f>INT(POWER((((Constants!$G$1+$BB211+$BC211+$BD211+$BF211)*($BE211))*$BG211),IF($G211="wagon",1,1.2)))+$AZ211</f>
        <v>117</v>
      </c>
      <c r="BK211" s="14">
        <f t="shared" si="276"/>
        <v>85156.25</v>
      </c>
      <c r="BL211" s="14">
        <f t="shared" si="277"/>
        <v>9506.25</v>
      </c>
      <c r="BU211">
        <v>5</v>
      </c>
      <c r="BZ211" t="str">
        <f>VLOOKUP(J211,Eras!$A$2:$C$10, 2, TRUE)</f>
        <v>dsl</v>
      </c>
      <c r="CA211" t="s">
        <v>322</v>
      </c>
      <c r="CB211" t="str">
        <f t="shared" si="278"/>
        <v>dsl_Mixed Traffic</v>
      </c>
      <c r="CC211" t="str">
        <f t="shared" si="287"/>
        <v>diesel_RAIL</v>
      </c>
      <c r="CD211" s="17" t="str" cm="1">
        <f t="array" ref="CD211">_xlfn.CONCAT("{BLACK}Length: {GOLD}", TEXT(ROUNDUP(IF(AQ211&lt;&gt;"",SUM(VALUE(_xlfn.TEXTSPLIT(AQ211, ","))), SUM(VALUE(_xlfn.TEXTSPLIT(AN211, ",")))*IF(M211, M211, 1))/16, 1), "#,##0.0"), " tiles{}")</f>
        <v>{BLACK}Length: {GOLD}0.8 tiles{}</v>
      </c>
      <c r="CE211" t="str">
        <f>VLOOKUP($CC211, Constants!$M:$N, 2, FALSE)</f>
        <v>{BLACK}Powered by: {GOLD}Diesel</v>
      </c>
      <c r="CF211" t="str">
        <f t="shared" si="286"/>
        <v/>
      </c>
      <c r="CG211" t="s">
        <v>525</v>
      </c>
      <c r="CH211" t="str">
        <f t="shared" si="285"/>
        <v/>
      </c>
      <c r="CI211" t="str">
        <f t="shared" si="288"/>
        <v/>
      </c>
      <c r="CJ211" t="str">
        <f t="shared" si="289"/>
        <v>{BLACK}Powered by: {GOLD}Diesel {}{BLACK}Length: {GOLD}0.8 tiles{}{SILVER}The Class 52 was the most powerful of the Western Region's diesel-hydraulic locomotives, pushing the limits of what 1960s transmission technology could achieve.</v>
      </c>
    </row>
    <row r="212" spans="1:88" x14ac:dyDescent="0.35">
      <c r="A212" t="s">
        <v>47</v>
      </c>
      <c r="B212" t="s">
        <v>300</v>
      </c>
      <c r="C212">
        <v>324</v>
      </c>
      <c r="E212">
        <v>98</v>
      </c>
      <c r="F212" t="s">
        <v>1498</v>
      </c>
      <c r="G212" t="s">
        <v>258</v>
      </c>
      <c r="H212" t="s">
        <v>268</v>
      </c>
      <c r="I212" t="s">
        <v>270</v>
      </c>
      <c r="J212">
        <v>1961</v>
      </c>
      <c r="K212">
        <v>1967</v>
      </c>
      <c r="L212">
        <v>1987</v>
      </c>
      <c r="N212">
        <v>1250</v>
      </c>
      <c r="W212">
        <v>74.2</v>
      </c>
      <c r="Z212">
        <v>170</v>
      </c>
      <c r="AA212" s="3">
        <f t="shared" si="268"/>
        <v>0.22911051212938005</v>
      </c>
      <c r="AB212">
        <v>90</v>
      </c>
      <c r="AC212">
        <f t="shared" si="284"/>
        <v>144</v>
      </c>
      <c r="AF212">
        <v>15.39</v>
      </c>
      <c r="AG212">
        <v>15.39</v>
      </c>
      <c r="AI212">
        <v>3.86</v>
      </c>
      <c r="AJ212" s="10">
        <v>0</v>
      </c>
      <c r="AK212" t="str">
        <f>CONCATENATE(VLOOKUP(AL212, 'Voxel Sizes'!$A$2:$B$18,2,FALSE),"x",INT(AH212*15), "x", INT(AI212*15))</f>
        <v>152x0x57</v>
      </c>
      <c r="AL212">
        <f t="shared" si="269"/>
        <v>9</v>
      </c>
      <c r="AN212" t="str">
        <f>CONCATENATE(VLOOKUP(AL212,Constants!$A$2:$C$16,IF(AM212&lt;&gt;"", 3, 2), FALSE),IF(AM212&lt;&gt;"",CONCATENATE(",",VLOOKUP(AM212,$B:$AN,39,FALSE)),""))</f>
        <v>2,5,2</v>
      </c>
      <c r="AX212">
        <v>40</v>
      </c>
      <c r="AY212" s="15">
        <f t="shared" si="270"/>
        <v>34</v>
      </c>
      <c r="BB212">
        <f t="shared" si="271"/>
        <v>18</v>
      </c>
      <c r="BC212">
        <f t="shared" si="272"/>
        <v>6.25</v>
      </c>
      <c r="BD212">
        <f t="shared" si="273"/>
        <v>8.5</v>
      </c>
      <c r="BE212" s="3">
        <f t="shared" si="274"/>
        <v>0.91866666666666663</v>
      </c>
      <c r="BF212">
        <f t="shared" si="275"/>
        <v>0</v>
      </c>
      <c r="BG212">
        <f>VLOOKUP($H212,Constants!$I:$K, 2, FALSE)</f>
        <v>1</v>
      </c>
      <c r="BH212">
        <f>VLOOKUP($H212,Constants!$I:$K, 3, FALSE)*IF(AND(G212="multiple_unit",AB212&lt;110),0.75,1)</f>
        <v>2</v>
      </c>
      <c r="BI212">
        <f>INT(POWER(((Constants!$G$2+$BB212+$BC212+$BD212+$BF212)*$BE212)*$BH212, 1.05))+$BA212</f>
        <v>85</v>
      </c>
      <c r="BJ212">
        <f>INT(POWER((((Constants!$G$1+$BB212+$BC212+$BD212+$BF212)*($BE212))*$BG212),IF($G212="wagon",1,1.2)))+$AZ212</f>
        <v>93</v>
      </c>
      <c r="BK212" s="14">
        <f t="shared" si="276"/>
        <v>66406.25</v>
      </c>
      <c r="BL212" s="14">
        <f t="shared" si="277"/>
        <v>7556.25</v>
      </c>
      <c r="BU212">
        <v>6</v>
      </c>
      <c r="BZ212" t="str">
        <f>VLOOKUP(J212,Eras!$A$2:$C$10, 2, TRUE)</f>
        <v>dsl</v>
      </c>
      <c r="CA212" t="s">
        <v>324</v>
      </c>
      <c r="CB212" t="str">
        <f t="shared" si="278"/>
        <v>dsl_Freight</v>
      </c>
      <c r="CC212" t="str">
        <f t="shared" si="287"/>
        <v>diesel_RAIL</v>
      </c>
      <c r="CD212" s="17" t="str" cm="1">
        <f t="array" ref="CD212">_xlfn.CONCAT("{BLACK}Length: {GOLD}", TEXT(ROUNDUP(IF(AQ212&lt;&gt;"",SUM(VALUE(_xlfn.TEXTSPLIT(AQ212, ","))), SUM(VALUE(_xlfn.TEXTSPLIT(AN212, ",")))*IF(M212, M212, 1))/16, 1), "#,##0.0"), " tiles{}")</f>
        <v>{BLACK}Length: {GOLD}0.6 tiles{}</v>
      </c>
      <c r="CE212" t="str">
        <f>VLOOKUP($CC212, Constants!$M:$N, 2, FALSE)</f>
        <v>{BLACK}Powered by: {GOLD}Diesel</v>
      </c>
      <c r="CF212" t="str">
        <f t="shared" si="286"/>
        <v/>
      </c>
      <c r="CG212" t="s">
        <v>526</v>
      </c>
      <c r="CH212" t="str">
        <f t="shared" si="285"/>
        <v/>
      </c>
      <c r="CI212" t="str">
        <f t="shared" si="288"/>
        <v/>
      </c>
      <c r="CJ212" t="str">
        <f t="shared" si="289"/>
        <v>{BLACK}Powered by: {GOLD}Diesel {}{BLACK}Length: {GOLD}0.6 tiles{}{SILVER}The Class 25 locomotives became known as "Rats" because they were found all over the British Rail network.</v>
      </c>
    </row>
    <row r="213" spans="1:88" x14ac:dyDescent="0.35">
      <c r="A213" t="s">
        <v>531</v>
      </c>
      <c r="B213" t="s">
        <v>168</v>
      </c>
      <c r="C213">
        <v>326</v>
      </c>
      <c r="E213">
        <v>99</v>
      </c>
      <c r="F213" t="s">
        <v>1498</v>
      </c>
      <c r="G213" t="s">
        <v>258</v>
      </c>
      <c r="H213" t="s">
        <v>268</v>
      </c>
      <c r="I213" t="s">
        <v>270</v>
      </c>
      <c r="J213">
        <v>1962</v>
      </c>
      <c r="K213">
        <v>1968</v>
      </c>
      <c r="N213">
        <v>2750</v>
      </c>
      <c r="W213">
        <v>114</v>
      </c>
      <c r="Z213">
        <v>245</v>
      </c>
      <c r="AA213" s="3">
        <f t="shared" si="268"/>
        <v>0.21491228070175439</v>
      </c>
      <c r="AB213">
        <v>95</v>
      </c>
      <c r="AC213">
        <f t="shared" si="284"/>
        <v>152</v>
      </c>
      <c r="AF213">
        <v>19.38</v>
      </c>
      <c r="AG213">
        <v>19.38</v>
      </c>
      <c r="AI213">
        <v>3.9</v>
      </c>
      <c r="AJ213" s="10">
        <v>0</v>
      </c>
      <c r="AK213" t="str">
        <f>CONCATENATE(VLOOKUP(AL213, 'Voxel Sizes'!$A$2:$B$18,2,FALSE),"x",INT(AH213*15), "x", INT(AI213*15))</f>
        <v>186x0x58</v>
      </c>
      <c r="AL213">
        <f t="shared" si="269"/>
        <v>11</v>
      </c>
      <c r="AN213" t="str">
        <f>CONCATENATE(VLOOKUP(AL213,Constants!$A$2:$C$16,IF(AM213&lt;&gt;"", 3, 2), FALSE),IF(AM213&lt;&gt;"",CONCATENATE(",",VLOOKUP(AM213,$B:$AN,39,FALSE)),""))</f>
        <v>4,3,4</v>
      </c>
      <c r="AX213">
        <v>33</v>
      </c>
      <c r="AY213" s="15" t="str">
        <f t="shared" si="270"/>
        <v/>
      </c>
      <c r="BB213">
        <f t="shared" si="271"/>
        <v>19</v>
      </c>
      <c r="BC213">
        <f t="shared" si="272"/>
        <v>13.75</v>
      </c>
      <c r="BD213">
        <f t="shared" si="273"/>
        <v>12.25</v>
      </c>
      <c r="BE213" s="3">
        <f t="shared" si="274"/>
        <v>0.91733333333333333</v>
      </c>
      <c r="BF213">
        <f t="shared" si="275"/>
        <v>0</v>
      </c>
      <c r="BG213">
        <f>VLOOKUP($H213,Constants!$I:$K, 2, FALSE)</f>
        <v>1</v>
      </c>
      <c r="BH213">
        <f>VLOOKUP($H213,Constants!$I:$K, 3, FALSE)*IF(AND(G213="multiple_unit",AB213&lt;110),0.75,1)</f>
        <v>2</v>
      </c>
      <c r="BI213">
        <f>INT(POWER(((Constants!$G$2+$BB213+$BC213+$BD213+$BF213)*$BE213)*$BH213, 1.05))+$BA213</f>
        <v>114</v>
      </c>
      <c r="BJ213">
        <f>INT(POWER((((Constants!$G$1+$BB213+$BC213+$BD213+$BF213)*($BE213))*$BG213),IF($G213="wagon",1,1.2)))+$AZ213</f>
        <v>122</v>
      </c>
      <c r="BK213" s="14">
        <f t="shared" si="276"/>
        <v>89062.5</v>
      </c>
      <c r="BL213" s="14">
        <f t="shared" si="277"/>
        <v>9912.5</v>
      </c>
      <c r="BU213">
        <v>7</v>
      </c>
      <c r="BZ213" t="str">
        <f>VLOOKUP(J213,Eras!$A$2:$C$10, 2, TRUE)</f>
        <v>dsl</v>
      </c>
      <c r="CA213" t="s">
        <v>324</v>
      </c>
      <c r="CB213" t="str">
        <f t="shared" si="278"/>
        <v>dsl_Freight</v>
      </c>
      <c r="CC213" t="str">
        <f t="shared" si="287"/>
        <v>diesel_RAIL</v>
      </c>
      <c r="CD213" s="17" t="str" cm="1">
        <f t="array" ref="CD213">_xlfn.CONCAT("{BLACK}Length: {GOLD}", TEXT(ROUNDUP(IF(AQ213&lt;&gt;"",SUM(VALUE(_xlfn.TEXTSPLIT(AQ213, ","))), SUM(VALUE(_xlfn.TEXTSPLIT(AN213, ",")))*IF(M213, M213, 1))/16, 1), "#,##0.0"), " tiles{}")</f>
        <v>{BLACK}Length: {GOLD}0.7 tiles{}</v>
      </c>
      <c r="CE213" t="str">
        <f>VLOOKUP($CC213, Constants!$M:$N, 2, FALSE)</f>
        <v>{BLACK}Powered by: {GOLD}Diesel</v>
      </c>
      <c r="CF213" t="str">
        <f t="shared" si="286"/>
        <v/>
      </c>
      <c r="CG213" t="s">
        <v>530</v>
      </c>
      <c r="CH213" t="str">
        <f t="shared" si="285"/>
        <v/>
      </c>
      <c r="CI213" t="str">
        <f t="shared" si="288"/>
        <v/>
      </c>
      <c r="CJ213" t="str">
        <f t="shared" si="289"/>
        <v>{BLACK}Powered by: {GOLD}Diesel {}{BLACK}Length: {GOLD}0.7 tiles{}{SILVER}The Class 47 diesel-electric arose from BR's desire for a lighter Type 4 (over 2000hp) locomotive, without using the diesel-hydraulic technology favoured by the Western Region.</v>
      </c>
    </row>
    <row r="214" spans="1:88" x14ac:dyDescent="0.35">
      <c r="A214" t="s">
        <v>52</v>
      </c>
      <c r="B214" t="s">
        <v>169</v>
      </c>
      <c r="C214">
        <v>328</v>
      </c>
      <c r="E214">
        <v>100</v>
      </c>
      <c r="F214" t="s">
        <v>1498</v>
      </c>
      <c r="G214" t="s">
        <v>258</v>
      </c>
      <c r="H214" t="s">
        <v>268</v>
      </c>
      <c r="I214" t="s">
        <v>270</v>
      </c>
      <c r="J214">
        <v>1962</v>
      </c>
      <c r="K214">
        <v>1965</v>
      </c>
      <c r="L214">
        <v>1971</v>
      </c>
      <c r="N214">
        <v>900</v>
      </c>
      <c r="W214">
        <v>69</v>
      </c>
      <c r="Z214">
        <v>178</v>
      </c>
      <c r="AA214" s="3">
        <f t="shared" si="268"/>
        <v>0.25797101449275361</v>
      </c>
      <c r="AB214">
        <v>60</v>
      </c>
      <c r="AC214">
        <f t="shared" si="284"/>
        <v>96</v>
      </c>
      <c r="AF214">
        <v>15.4</v>
      </c>
      <c r="AG214">
        <v>15.4</v>
      </c>
      <c r="AI214">
        <v>3.86</v>
      </c>
      <c r="AJ214" s="10">
        <v>0</v>
      </c>
      <c r="AK214" t="str">
        <f>CONCATENATE(VLOOKUP(AL214, 'Voxel Sizes'!$A$2:$B$18,2,FALSE),"x",INT(AH214*15), "x", INT(AI214*15))</f>
        <v>152x0x57</v>
      </c>
      <c r="AL214">
        <f t="shared" si="269"/>
        <v>9</v>
      </c>
      <c r="AN214" t="str">
        <f>CONCATENATE(VLOOKUP(AL214,Constants!$A$2:$C$16,IF(AM214&lt;&gt;"", 3, 2), FALSE),IF(AM214&lt;&gt;"",CONCATENATE(",",VLOOKUP(AM214,$B:$AN,39,FALSE)),""))</f>
        <v>2,5,2</v>
      </c>
      <c r="AX214">
        <v>14</v>
      </c>
      <c r="AY214" s="15">
        <f t="shared" si="270"/>
        <v>17</v>
      </c>
      <c r="BB214">
        <f t="shared" si="271"/>
        <v>12</v>
      </c>
      <c r="BC214">
        <f t="shared" si="272"/>
        <v>4.5</v>
      </c>
      <c r="BD214">
        <f t="shared" si="273"/>
        <v>8.9</v>
      </c>
      <c r="BE214" s="3">
        <f t="shared" si="274"/>
        <v>0.91733333333333333</v>
      </c>
      <c r="BF214">
        <f t="shared" si="275"/>
        <v>0</v>
      </c>
      <c r="BG214">
        <f>VLOOKUP($H214,Constants!$I:$K, 2, FALSE)</f>
        <v>1</v>
      </c>
      <c r="BH214">
        <f>VLOOKUP($H214,Constants!$I:$K, 3, FALSE)*IF(AND(G214="multiple_unit",AB214&lt;110),0.75,1)</f>
        <v>2</v>
      </c>
      <c r="BI214">
        <f>INT(POWER(((Constants!$G$2+$BB214+$BC214+$BD214+$BF214)*$BE214)*$BH214, 1.05))+$BA214</f>
        <v>68</v>
      </c>
      <c r="BJ214">
        <f>INT(POWER((((Constants!$G$1+$BB214+$BC214+$BD214+$BF214)*($BE214))*$BG214),IF($G214="wagon",1,1.2)))+$AZ214</f>
        <v>76</v>
      </c>
      <c r="BK214" s="14">
        <f t="shared" si="276"/>
        <v>53125</v>
      </c>
      <c r="BL214" s="14">
        <f t="shared" si="277"/>
        <v>6175</v>
      </c>
      <c r="BU214">
        <v>8</v>
      </c>
      <c r="BZ214" t="str">
        <f>VLOOKUP(J214,Eras!$A$2:$C$10, 2, TRUE)</f>
        <v>dsl</v>
      </c>
      <c r="CA214" t="s">
        <v>321</v>
      </c>
      <c r="CB214" t="str">
        <f t="shared" si="278"/>
        <v>dsl_Cheap</v>
      </c>
      <c r="CC214" t="str">
        <f t="shared" si="287"/>
        <v>diesel_RAIL</v>
      </c>
      <c r="CD214" s="17" t="str" cm="1">
        <f t="array" ref="CD214">_xlfn.CONCAT("{BLACK}Length: {GOLD}", TEXT(ROUNDUP(IF(AQ214&lt;&gt;"",SUM(VALUE(_xlfn.TEXTSPLIT(AQ214, ","))), SUM(VALUE(_xlfn.TEXTSPLIT(AN214, ",")))*IF(M214, M214, 1))/16, 1), "#,##0.0"), " tiles{}")</f>
        <v>{BLACK}Length: {GOLD}0.6 tiles{}</v>
      </c>
      <c r="CE214" t="str">
        <f>VLOOKUP($CC214, Constants!$M:$N, 2, FALSE)</f>
        <v>{BLACK}Powered by: {GOLD}Diesel</v>
      </c>
      <c r="CF214" t="str">
        <f t="shared" si="286"/>
        <v/>
      </c>
      <c r="CG214" t="s">
        <v>532</v>
      </c>
      <c r="CH214" t="str">
        <f t="shared" si="285"/>
        <v/>
      </c>
      <c r="CI214" t="str">
        <f t="shared" si="288"/>
        <v/>
      </c>
      <c r="CJ214" t="str">
        <f t="shared" si="289"/>
        <v>{BLACK}Powered by: {GOLD}Diesel {}{BLACK}Length: {GOLD}0.6 tiles{}{SILVER}The Class 17 attempted to solve the problems of visibility from a single cab. It had an unsuccessful life beset by engine reliability problems, and all examples were withdrawn early.</v>
      </c>
    </row>
    <row r="215" spans="1:88" x14ac:dyDescent="0.35">
      <c r="A215" t="s">
        <v>51</v>
      </c>
      <c r="B215" t="s">
        <v>533</v>
      </c>
      <c r="C215">
        <v>330</v>
      </c>
      <c r="E215">
        <v>101</v>
      </c>
      <c r="F215" t="s">
        <v>1498</v>
      </c>
      <c r="G215" t="s">
        <v>258</v>
      </c>
      <c r="H215" t="s">
        <v>268</v>
      </c>
      <c r="I215" t="s">
        <v>270</v>
      </c>
      <c r="J215">
        <v>1964</v>
      </c>
      <c r="K215">
        <v>1965</v>
      </c>
      <c r="L215">
        <v>1984</v>
      </c>
      <c r="N215">
        <v>650</v>
      </c>
      <c r="W215">
        <v>48.5</v>
      </c>
      <c r="Z215">
        <v>137</v>
      </c>
      <c r="AA215" s="3">
        <f t="shared" si="268"/>
        <v>0.28247422680412371</v>
      </c>
      <c r="AB215">
        <v>40</v>
      </c>
      <c r="AC215">
        <f t="shared" si="284"/>
        <v>64</v>
      </c>
      <c r="AF215">
        <v>10.3</v>
      </c>
      <c r="AG215">
        <v>10.3</v>
      </c>
      <c r="AJ215" s="10">
        <v>0</v>
      </c>
      <c r="AK215" t="str">
        <f>CONCATENATE(VLOOKUP(AL215, 'Voxel Sizes'!$A$2:$B$18,2,FALSE),"x",INT(AH215*15), "x", INT(AI215*15))</f>
        <v>102x0x0</v>
      </c>
      <c r="AL215">
        <f t="shared" si="269"/>
        <v>6</v>
      </c>
      <c r="AN215" t="str">
        <f>CONCATENATE(VLOOKUP(AL215,Constants!$A$2:$C$16,IF(AM215&lt;&gt;"", 3, 2), FALSE),IF(AM215&lt;&gt;"",CONCATENATE(",",VLOOKUP(AM215,$B:$AN,39,FALSE)),""))</f>
        <v>2,2,2</v>
      </c>
      <c r="AV215">
        <v>1</v>
      </c>
      <c r="AX215">
        <v>18</v>
      </c>
      <c r="AY215" s="15">
        <f t="shared" si="270"/>
        <v>28</v>
      </c>
      <c r="BB215">
        <f t="shared" si="271"/>
        <v>8</v>
      </c>
      <c r="BC215">
        <f t="shared" si="272"/>
        <v>3.25</v>
      </c>
      <c r="BD215">
        <f t="shared" si="273"/>
        <v>6.8500000000000005</v>
      </c>
      <c r="BE215" s="3">
        <f t="shared" si="274"/>
        <v>0.91466666666666663</v>
      </c>
      <c r="BF215">
        <f t="shared" si="275"/>
        <v>0</v>
      </c>
      <c r="BG215">
        <f>VLOOKUP($H215,Constants!$I:$K, 2, FALSE)</f>
        <v>1</v>
      </c>
      <c r="BH215">
        <f>VLOOKUP($H215,Constants!$I:$K, 3, FALSE)*IF(AND(G215="multiple_unit",AB215&lt;110),0.75,1)</f>
        <v>2</v>
      </c>
      <c r="BI215">
        <f>INT(POWER(((Constants!$G$2+$BB215+$BC215+$BD215+$BF215)*$BE215)*$BH215, 1.05))+$BA215</f>
        <v>50</v>
      </c>
      <c r="BJ215">
        <f>INT(POWER((((Constants!$G$1+$BB215+$BC215+$BD215+$BF215)*($BE215))*$BG215),IF($G215="wagon",1,1.2)))+$AZ215</f>
        <v>59</v>
      </c>
      <c r="BK215" s="14">
        <f t="shared" si="276"/>
        <v>39062.5</v>
      </c>
      <c r="BL215" s="14">
        <f t="shared" si="277"/>
        <v>4793.75</v>
      </c>
      <c r="BU215">
        <v>9</v>
      </c>
      <c r="BZ215" t="str">
        <f>VLOOKUP(J215,Eras!$A$2:$C$10, 2, TRUE)</f>
        <v>dsl</v>
      </c>
      <c r="CA215" t="s">
        <v>321</v>
      </c>
      <c r="CB215" t="str">
        <f t="shared" si="278"/>
        <v>dsl_Cheap</v>
      </c>
      <c r="CC215" t="str">
        <f t="shared" si="287"/>
        <v>diesel_RAIL</v>
      </c>
      <c r="CD215" s="17" t="str" cm="1">
        <f t="array" ref="CD215">_xlfn.CONCAT("{BLACK}Length: {GOLD}", TEXT(ROUNDUP(IF(AQ215&lt;&gt;"",SUM(VALUE(_xlfn.TEXTSPLIT(AQ215, ","))), SUM(VALUE(_xlfn.TEXTSPLIT(AN215, ",")))*IF(M215, M215, 1))/16, 1), "#,##0.0"), " tiles{}")</f>
        <v>{BLACK}Length: {GOLD}0.4 tiles{}</v>
      </c>
      <c r="CE215" t="str">
        <f>VLOOKUP($CC215, Constants!$M:$N, 2, FALSE)</f>
        <v>{BLACK}Powered by: {GOLD}Diesel</v>
      </c>
      <c r="CF215" t="str">
        <f t="shared" si="286"/>
        <v/>
      </c>
      <c r="CG215" t="s">
        <v>534</v>
      </c>
      <c r="CH215" t="str">
        <f t="shared" si="285"/>
        <v/>
      </c>
      <c r="CI215" t="str">
        <f t="shared" si="288"/>
        <v/>
      </c>
      <c r="CJ215" t="str">
        <f t="shared" si="289"/>
        <v>{BLACK}Powered by: {GOLD}Diesel {}{BLACK}Length: {GOLD}0.4 tiles{}{SILVER}BR envisaged a need  for small diesel locomotives to run short-distance freight trains, but by the end of the 1960s this need had evaporated. The Class 14s were sold to industry, and saw continued use on private railways.</v>
      </c>
    </row>
    <row r="216" spans="1:88" x14ac:dyDescent="0.35">
      <c r="A216" t="s">
        <v>53</v>
      </c>
      <c r="B216" t="s">
        <v>245</v>
      </c>
      <c r="C216">
        <v>332</v>
      </c>
      <c r="E216">
        <v>102</v>
      </c>
      <c r="F216" t="s">
        <v>1498</v>
      </c>
      <c r="G216" t="s">
        <v>258</v>
      </c>
      <c r="H216" t="s">
        <v>535</v>
      </c>
      <c r="I216" t="s">
        <v>270</v>
      </c>
      <c r="J216">
        <v>1965</v>
      </c>
      <c r="K216">
        <v>1967</v>
      </c>
      <c r="N216">
        <v>1420</v>
      </c>
      <c r="O216" s="8">
        <v>600</v>
      </c>
      <c r="W216">
        <v>76.3</v>
      </c>
      <c r="Z216">
        <v>186</v>
      </c>
      <c r="AA216" s="3">
        <f t="shared" si="268"/>
        <v>0.24377457404980341</v>
      </c>
      <c r="AB216">
        <v>80</v>
      </c>
      <c r="AC216">
        <f t="shared" si="284"/>
        <v>128</v>
      </c>
      <c r="AF216">
        <v>16.36</v>
      </c>
      <c r="AG216">
        <v>16.36</v>
      </c>
      <c r="AJ216" s="10">
        <v>0</v>
      </c>
      <c r="AK216" t="str">
        <f>CONCATENATE(VLOOKUP(AL216, 'Voxel Sizes'!$A$2:$B$18,2,FALSE),"x",INT(AH216*15), "x", INT(AI216*15))</f>
        <v>164x0x0</v>
      </c>
      <c r="AL216">
        <f t="shared" si="269"/>
        <v>10</v>
      </c>
      <c r="AN216" t="str">
        <f>CONCATENATE(VLOOKUP(AL216,Constants!$A$2:$C$16,IF(AM216&lt;&gt;"", 3, 2), FALSE),IF(AM216&lt;&gt;"",CONCATENATE(",",VLOOKUP(AM216,$B:$AN,39,FALSE)),""))</f>
        <v>4,2,4</v>
      </c>
      <c r="AX216">
        <v>33</v>
      </c>
      <c r="AY216" s="15" t="str">
        <f t="shared" si="270"/>
        <v/>
      </c>
      <c r="BB216">
        <f t="shared" si="271"/>
        <v>16</v>
      </c>
      <c r="BC216">
        <f t="shared" si="272"/>
        <v>7.1</v>
      </c>
      <c r="BD216">
        <f t="shared" si="273"/>
        <v>9.3000000000000007</v>
      </c>
      <c r="BE216" s="3">
        <f t="shared" si="274"/>
        <v>0.91333333333333333</v>
      </c>
      <c r="BF216">
        <f t="shared" si="275"/>
        <v>0</v>
      </c>
      <c r="BG216">
        <f>VLOOKUP($H216,Constants!$I:$K, 2, FALSE)</f>
        <v>0.9</v>
      </c>
      <c r="BH216">
        <f>VLOOKUP($H216,Constants!$I:$K, 3, FALSE)*IF(AND(G216="multiple_unit",AB216&lt;110),0.75,1)</f>
        <v>2.5</v>
      </c>
      <c r="BI216">
        <f>INT(POWER(((Constants!$G$2+$BB216+$BC216+$BD216+$BF216)*$BE216)*$BH216, 1.05))+$BA216</f>
        <v>106</v>
      </c>
      <c r="BJ216">
        <f>INT(POWER((((Constants!$G$1+$BB216+$BC216+$BD216+$BF216)*($BE216))*$BG216),IF($G216="wagon",1,1.2)))+$AZ216</f>
        <v>81</v>
      </c>
      <c r="BK216" s="14">
        <f t="shared" si="276"/>
        <v>82812.5</v>
      </c>
      <c r="BL216" s="14">
        <f t="shared" si="277"/>
        <v>6581.25</v>
      </c>
      <c r="BU216">
        <v>10</v>
      </c>
      <c r="BZ216" t="str">
        <f>VLOOKUP(J216,Eras!$A$2:$C$10, 2, TRUE)</f>
        <v>dsl</v>
      </c>
      <c r="CB216" t="str">
        <f t="shared" si="278"/>
        <v>dsl_</v>
      </c>
      <c r="CC216" t="str">
        <f t="shared" si="287"/>
        <v>dual_power_RAIL</v>
      </c>
      <c r="CD216" s="17" t="str" cm="1">
        <f t="array" ref="CD216">_xlfn.CONCAT("{BLACK}Length: {GOLD}", TEXT(ROUNDUP(IF(AQ216&lt;&gt;"",SUM(VALUE(_xlfn.TEXTSPLIT(AQ216, ","))), SUM(VALUE(_xlfn.TEXTSPLIT(AN216, ",")))*IF(M216, M216, 1))/16, 1), "#,##0.0"), " tiles{}")</f>
        <v>{BLACK}Length: {GOLD}0.7 tiles{}</v>
      </c>
      <c r="CE216" t="str">
        <f>VLOOKUP($CC216, Constants!$M:$N, 2, FALSE)</f>
        <v>{BLACK}Powered by: {GOLD}750V DC / Diesel</v>
      </c>
      <c r="CF216" t="str">
        <f t="shared" si="286"/>
        <v/>
      </c>
      <c r="CG216" t="s">
        <v>537</v>
      </c>
      <c r="CH216" t="str">
        <f t="shared" si="285"/>
        <v/>
      </c>
      <c r="CI216" t="str">
        <f t="shared" si="288"/>
        <v/>
      </c>
      <c r="CJ216" t="str">
        <f t="shared" si="289"/>
        <v>{BLACK}Powered by: {GOLD}750V DC / Diesel {}{BLACK}Length: {GOLD}0.7 tiles{}{SILVER}The Class 73 is a dual-power locomotive, running at full power when connected to a third rail supply but carrying a small diesel engine for running on non-electrified track.</v>
      </c>
    </row>
    <row r="217" spans="1:88" x14ac:dyDescent="0.35">
      <c r="A217" t="s">
        <v>60</v>
      </c>
      <c r="B217" t="s">
        <v>246</v>
      </c>
      <c r="C217">
        <v>334</v>
      </c>
      <c r="E217">
        <v>103</v>
      </c>
      <c r="F217" t="s">
        <v>1498</v>
      </c>
      <c r="G217" t="s">
        <v>258</v>
      </c>
      <c r="H217" t="s">
        <v>291</v>
      </c>
      <c r="I217" t="s">
        <v>292</v>
      </c>
      <c r="J217">
        <v>1965</v>
      </c>
      <c r="K217">
        <v>1966</v>
      </c>
      <c r="N217">
        <v>3600</v>
      </c>
      <c r="W217">
        <v>82</v>
      </c>
      <c r="Z217">
        <v>267</v>
      </c>
      <c r="AA217" s="3">
        <f t="shared" si="268"/>
        <v>0.32560975609756099</v>
      </c>
      <c r="AB217">
        <v>100</v>
      </c>
      <c r="AC217">
        <f t="shared" si="284"/>
        <v>160</v>
      </c>
      <c r="AF217">
        <v>17.829999999999998</v>
      </c>
      <c r="AG217">
        <v>17.829999999999998</v>
      </c>
      <c r="AI217">
        <v>3.77</v>
      </c>
      <c r="AJ217" s="10">
        <v>0</v>
      </c>
      <c r="AK217" t="str">
        <f>CONCATENATE(VLOOKUP(AL217, 'Voxel Sizes'!$A$2:$B$18,2,FALSE),"x",INT(AH217*15), "x", INT(AI217*15))</f>
        <v>164x0x56</v>
      </c>
      <c r="AL217">
        <f t="shared" si="269"/>
        <v>10</v>
      </c>
      <c r="AN217" t="str">
        <f>CONCATENATE(VLOOKUP(AL217,Constants!$A$2:$C$16,IF(AM217&lt;&gt;"", 3, 2), FALSE),IF(AM217&lt;&gt;"",CONCATENATE(",",VLOOKUP(AM217,$B:$AN,39,FALSE)),""))</f>
        <v>4,2,4</v>
      </c>
      <c r="AX217">
        <v>37</v>
      </c>
      <c r="AY217" s="15" t="str">
        <f t="shared" si="270"/>
        <v/>
      </c>
      <c r="BB217">
        <f t="shared" si="271"/>
        <v>20</v>
      </c>
      <c r="BC217">
        <f t="shared" si="272"/>
        <v>18</v>
      </c>
      <c r="BD217">
        <f t="shared" si="273"/>
        <v>13.35</v>
      </c>
      <c r="BE217" s="3">
        <f t="shared" si="274"/>
        <v>0.91333333333333333</v>
      </c>
      <c r="BF217">
        <f t="shared" si="275"/>
        <v>0</v>
      </c>
      <c r="BG217">
        <f>VLOOKUP($H217,Constants!$I:$K, 2, FALSE)</f>
        <v>0.85</v>
      </c>
      <c r="BH217">
        <f>VLOOKUP($H217,Constants!$I:$K, 3, FALSE)*IF(AND(G217="multiple_unit",AB217&lt;110),0.75,1)</f>
        <v>2.2999999999999998</v>
      </c>
      <c r="BI217">
        <f>INT(POWER(((Constants!$G$2+$BB217+$BC217+$BD217+$BF217)*$BE217)*$BH217, 1.05))+$BA217</f>
        <v>150</v>
      </c>
      <c r="BJ217">
        <f>INT(POWER((((Constants!$G$1+$BB217+$BC217+$BD217+$BF217)*($BE217))*$BG217),IF($G217="wagon",1,1.2)))+$AZ217</f>
        <v>113</v>
      </c>
      <c r="BK217" s="14">
        <f t="shared" si="276"/>
        <v>117187.5</v>
      </c>
      <c r="BL217" s="14">
        <f t="shared" si="277"/>
        <v>9181.25</v>
      </c>
      <c r="BU217">
        <v>11</v>
      </c>
      <c r="BZ217" t="str">
        <f>VLOOKUP(J217,Eras!$A$2:$C$10, 2, TRUE)</f>
        <v>dsl</v>
      </c>
      <c r="CA217" t="s">
        <v>333</v>
      </c>
      <c r="CB217" t="str">
        <f t="shared" si="278"/>
        <v>dsl_Express (Electric)</v>
      </c>
      <c r="CC217" t="str">
        <f t="shared" si="287"/>
        <v>electric_ELRL</v>
      </c>
      <c r="CD217" s="17" t="str" cm="1">
        <f t="array" ref="CD217">_xlfn.CONCAT("{BLACK}Length: {GOLD}", TEXT(ROUNDUP(IF(AQ217&lt;&gt;"",SUM(VALUE(_xlfn.TEXTSPLIT(AQ217, ","))), SUM(VALUE(_xlfn.TEXTSPLIT(AN217, ",")))*IF(M217, M217, 1))/16, 1), "#,##0.0"), " tiles{}")</f>
        <v>{BLACK}Length: {GOLD}0.7 tiles{}</v>
      </c>
      <c r="CE217" t="str">
        <f>VLOOKUP($CC217, Constants!$M:$N, 2, FALSE)</f>
        <v>{BLACK}Powered by: {GOLD}25kV AC</v>
      </c>
      <c r="CF217" t="str">
        <f t="shared" si="286"/>
        <v/>
      </c>
      <c r="CG217" t="s">
        <v>515</v>
      </c>
      <c r="CH217" t="str">
        <f t="shared" si="285"/>
        <v/>
      </c>
      <c r="CI217" t="str">
        <f t="shared" si="288"/>
        <v/>
      </c>
      <c r="CJ217" t="str">
        <f t="shared" si="289"/>
        <v>{BLACK}Powered by: {GOLD}25kV AC {}{BLACK}Length: {GOLD}0.7 tiles{}{SILVER}The Class 86 (originally AL6) was BR's first standard electric locomotive, incorporating experience from prototypes such as the Class 81.</v>
      </c>
    </row>
    <row r="218" spans="1:88" x14ac:dyDescent="0.35">
      <c r="A218" t="s">
        <v>43</v>
      </c>
      <c r="B218" t="s">
        <v>170</v>
      </c>
      <c r="C218">
        <v>336</v>
      </c>
      <c r="E218">
        <v>104</v>
      </c>
      <c r="F218" t="s">
        <v>1498</v>
      </c>
      <c r="G218" t="s">
        <v>258</v>
      </c>
      <c r="H218" t="s">
        <v>268</v>
      </c>
      <c r="I218" t="s">
        <v>270</v>
      </c>
      <c r="J218">
        <v>1967</v>
      </c>
      <c r="K218">
        <v>1968</v>
      </c>
      <c r="L218">
        <v>1994</v>
      </c>
      <c r="N218">
        <v>2700</v>
      </c>
      <c r="W218">
        <v>117</v>
      </c>
      <c r="Z218">
        <v>216</v>
      </c>
      <c r="AA218" s="3">
        <f t="shared" ref="AA218:AA283" si="290">IF(AND(W218&gt;0,Z218&gt;0),(Z218/((W218+X218)*10)),"")</f>
        <v>0.18461538461538463</v>
      </c>
      <c r="AB218">
        <v>100</v>
      </c>
      <c r="AC218">
        <f t="shared" si="284"/>
        <v>160</v>
      </c>
      <c r="AF218">
        <v>20.88</v>
      </c>
      <c r="AG218">
        <v>20.88</v>
      </c>
      <c r="AI218">
        <v>3.89</v>
      </c>
      <c r="AJ218" s="10">
        <v>0</v>
      </c>
      <c r="AK218" t="str">
        <f>CONCATENATE(VLOOKUP(AL218, 'Voxel Sizes'!$A$2:$B$18,2,FALSE),"x",INT(AH218*15), "x", INT(AI218*15))</f>
        <v>198x0x58</v>
      </c>
      <c r="AL218">
        <f t="shared" si="269"/>
        <v>12</v>
      </c>
      <c r="AN218" t="str">
        <f>CONCATENATE(VLOOKUP(AL218,Constants!$A$2:$C$16,IF(AM218&lt;&gt;"", 3, 2), FALSE),IF(AM218&lt;&gt;"",CONCATENATE(",",VLOOKUP(AM218,$B:$AN,39,FALSE)),""))</f>
        <v>4,4,4</v>
      </c>
      <c r="AX218">
        <v>30</v>
      </c>
      <c r="AY218" s="15">
        <f t="shared" si="270"/>
        <v>35</v>
      </c>
      <c r="BB218">
        <f t="shared" si="271"/>
        <v>20</v>
      </c>
      <c r="BC218">
        <f t="shared" si="272"/>
        <v>13.5</v>
      </c>
      <c r="BD218">
        <f t="shared" si="273"/>
        <v>10.8</v>
      </c>
      <c r="BE218" s="3">
        <f t="shared" si="274"/>
        <v>0.91066666666666662</v>
      </c>
      <c r="BF218">
        <f t="shared" si="275"/>
        <v>0</v>
      </c>
      <c r="BG218">
        <f>VLOOKUP($H218,Constants!$I:$K, 2, FALSE)</f>
        <v>1</v>
      </c>
      <c r="BH218">
        <f>VLOOKUP($H218,Constants!$I:$K, 3, FALSE)*IF(AND(G218="multiple_unit",AB218&lt;110),0.75,1)</f>
        <v>2</v>
      </c>
      <c r="BI218">
        <f>INT(POWER(((Constants!$G$2+$BB218+$BC218+$BD218+$BF218)*$BE218)*$BH218, 1.05))+$BA218</f>
        <v>112</v>
      </c>
      <c r="BJ218">
        <f>INT(POWER((((Constants!$G$1+$BB218+$BC218+$BD218+$BF218)*($BE218))*$BG218),IF($G218="wagon",1,1.2)))+$AZ218</f>
        <v>119</v>
      </c>
      <c r="BK218" s="14">
        <f t="shared" si="276"/>
        <v>87500</v>
      </c>
      <c r="BL218" s="14">
        <f t="shared" si="277"/>
        <v>9668.75</v>
      </c>
      <c r="BU218">
        <v>12</v>
      </c>
      <c r="BZ218" t="str">
        <f>VLOOKUP(J218,Eras!$A$2:$C$10, 2, TRUE)</f>
        <v>dsl</v>
      </c>
      <c r="CA218" t="s">
        <v>323</v>
      </c>
      <c r="CB218" t="str">
        <f t="shared" si="278"/>
        <v>dsl_Express</v>
      </c>
      <c r="CC218" t="str">
        <f t="shared" si="287"/>
        <v>diesel_RAIL</v>
      </c>
      <c r="CD218" s="17" t="str" cm="1">
        <f t="array" ref="CD218">_xlfn.CONCAT("{BLACK}Length: {GOLD}", TEXT(ROUNDUP(IF(AQ218&lt;&gt;"",SUM(VALUE(_xlfn.TEXTSPLIT(AQ218, ","))), SUM(VALUE(_xlfn.TEXTSPLIT(AN218, ",")))*IF(M218, M218, 1))/16, 1), "#,##0.0"), " tiles{}")</f>
        <v>{BLACK}Length: {GOLD}0.8 tiles{}</v>
      </c>
      <c r="CE218" t="str">
        <f>VLOOKUP($CC218, Constants!$M:$N, 2, FALSE)</f>
        <v>{BLACK}Powered by: {GOLD}Diesel</v>
      </c>
      <c r="CF218" t="str">
        <f t="shared" si="286"/>
        <v/>
      </c>
      <c r="CG218" t="s">
        <v>538</v>
      </c>
      <c r="CH218" t="str">
        <f t="shared" si="285"/>
        <v/>
      </c>
      <c r="CI218" t="str">
        <f t="shared" si="288"/>
        <v/>
      </c>
      <c r="CJ218" t="str">
        <f t="shared" si="289"/>
        <v>{BLACK}Powered by: {GOLD}Diesel {}{BLACK}Length: {GOLD}0.8 tiles{}{SILVER}The Class 50 hauled express services on the West Coast Main Line until electrification, at which point they were used to replace diesel-hydraulic engines in the Western Region.</v>
      </c>
    </row>
    <row r="219" spans="1:88" x14ac:dyDescent="0.35">
      <c r="A219" t="s">
        <v>61</v>
      </c>
      <c r="B219" t="s">
        <v>171</v>
      </c>
      <c r="C219">
        <v>338</v>
      </c>
      <c r="E219">
        <v>105</v>
      </c>
      <c r="F219" t="s">
        <v>1498</v>
      </c>
      <c r="G219" t="s">
        <v>258</v>
      </c>
      <c r="H219" t="s">
        <v>291</v>
      </c>
      <c r="I219" t="s">
        <v>292</v>
      </c>
      <c r="J219">
        <v>1973</v>
      </c>
      <c r="K219">
        <v>1975</v>
      </c>
      <c r="L219">
        <v>2006</v>
      </c>
      <c r="N219">
        <v>5000</v>
      </c>
      <c r="W219">
        <v>81</v>
      </c>
      <c r="Z219">
        <v>258</v>
      </c>
      <c r="AA219" s="3">
        <f t="shared" si="290"/>
        <v>0.31851851851851853</v>
      </c>
      <c r="AB219">
        <v>110</v>
      </c>
      <c r="AC219">
        <f t="shared" si="284"/>
        <v>176</v>
      </c>
      <c r="AF219">
        <v>17.829999999999998</v>
      </c>
      <c r="AG219">
        <v>17.829999999999998</v>
      </c>
      <c r="AI219">
        <v>3.77</v>
      </c>
      <c r="AJ219" s="10">
        <v>0</v>
      </c>
      <c r="AK219" t="str">
        <f>CONCATENATE(VLOOKUP(AL219, 'Voxel Sizes'!$A$2:$B$18,2,FALSE),"x",INT(AH219*15), "x", INT(AI219*15))</f>
        <v>164x0x56</v>
      </c>
      <c r="AL219">
        <f t="shared" ref="AL219:AL284" si="291">ROUND(15*((AG219*10)/256),0)</f>
        <v>10</v>
      </c>
      <c r="AN219" t="str">
        <f>CONCATENATE(VLOOKUP(AL219,Constants!$A$2:$C$16,IF(AM219&lt;&gt;"", 3, 2), FALSE),IF(AM219&lt;&gt;"",CONCATENATE(",",VLOOKUP(AM219,$B:$AN,39,FALSE)),""))</f>
        <v>4,2,4</v>
      </c>
      <c r="AX219">
        <v>30</v>
      </c>
      <c r="AY219" s="15">
        <f t="shared" ref="AY219:AY284" si="292">IF(L219&lt;&gt;"",MAX(16,(L219-J219)+8),"")</f>
        <v>41</v>
      </c>
      <c r="BB219">
        <f t="shared" ref="BB219:BB284" si="293">MIN(AB219/150, 1)*30</f>
        <v>22</v>
      </c>
      <c r="BC219">
        <f t="shared" ref="BC219:BC284" si="294">MIN(N219/4000, 1)*20</f>
        <v>20</v>
      </c>
      <c r="BD219">
        <f t="shared" ref="BD219:BD284" si="295">MIN(Z219/400,1)*20</f>
        <v>12.9</v>
      </c>
      <c r="BE219" s="3">
        <f t="shared" ref="BE219:BE284" si="296">1-(MAX(J219-1900, 0)/750)</f>
        <v>0.90266666666666673</v>
      </c>
      <c r="BF219">
        <f t="shared" ref="BF219:BF284" si="297">((MAX($M219,1)*MIN($AJ219/300,1)))*IF(G219="Wagon",50,10)</f>
        <v>0</v>
      </c>
      <c r="BG219">
        <f>VLOOKUP($H219,Constants!$I:$K, 2, FALSE)</f>
        <v>0.85</v>
      </c>
      <c r="BH219">
        <f>VLOOKUP($H219,Constants!$I:$K, 3, FALSE)*IF(AND(G219="multiple_unit",AB219&lt;110),0.75,1)</f>
        <v>2.2999999999999998</v>
      </c>
      <c r="BI219">
        <f>INT(POWER(((Constants!$G$2+$BB219+$BC219+$BD219+$BF219)*$BE219)*$BH219, 1.05))+$BA219</f>
        <v>158</v>
      </c>
      <c r="BJ219">
        <f>INT(POWER((((Constants!$G$1+$BB219+$BC219+$BD219+$BF219)*($BE219))*$BG219),IF($G219="wagon",1,1.2)))+$AZ219</f>
        <v>118</v>
      </c>
      <c r="BK219" s="14">
        <f t="shared" ref="BK219:BK284" si="298">BI219*IF($G219="wagon",62.5,781.25)</f>
        <v>123437.5</v>
      </c>
      <c r="BL219" s="14">
        <f t="shared" ref="BL219:BL284" si="299">BJ219*IF($G219="wagon",2.73,81.25)</f>
        <v>9587.5</v>
      </c>
      <c r="BU219">
        <v>1</v>
      </c>
      <c r="BZ219" t="str">
        <f>VLOOKUP(J219,Eras!$A$2:$C$10, 2, TRUE)</f>
        <v>lbr</v>
      </c>
      <c r="CA219" t="s">
        <v>333</v>
      </c>
      <c r="CB219" t="str">
        <f t="shared" ref="CB219:CB284" si="300">CONCATENATE(BZ219,"_",CA219)</f>
        <v>lbr_Express (Electric)</v>
      </c>
      <c r="CC219" t="str">
        <f t="shared" si="287"/>
        <v>electric_ELRL</v>
      </c>
      <c r="CD219" s="17" t="str" cm="1">
        <f t="array" ref="CD219">_xlfn.CONCAT("{BLACK}Length: {GOLD}", TEXT(ROUNDUP(IF(AQ219&lt;&gt;"",SUM(VALUE(_xlfn.TEXTSPLIT(AQ219, ","))), SUM(VALUE(_xlfn.TEXTSPLIT(AN219, ",")))*IF(M219, M219, 1))/16, 1), "#,##0.0"), " tiles{}")</f>
        <v>{BLACK}Length: {GOLD}0.7 tiles{}</v>
      </c>
      <c r="CE219" t="str">
        <f>VLOOKUP($CC219, Constants!$M:$N, 2, FALSE)</f>
        <v>{BLACK}Powered by: {GOLD}25kV AC</v>
      </c>
      <c r="CF219" t="str">
        <f t="shared" si="286"/>
        <v/>
      </c>
      <c r="CG219" t="s">
        <v>539</v>
      </c>
      <c r="CH219" t="str">
        <f t="shared" si="285"/>
        <v/>
      </c>
      <c r="CI219" t="str">
        <f t="shared" si="288"/>
        <v/>
      </c>
      <c r="CJ219" t="str">
        <f t="shared" si="289"/>
        <v>{BLACK}Powered by: {GOLD}25kV AC {}{BLACK}Length: {GOLD}0.7 tiles{}{SILVER}The Class 87 was a further development of the Class 86 with even more power and performance, serving as the flagship of the British Rail electric fleet.</v>
      </c>
    </row>
    <row r="220" spans="1:88" x14ac:dyDescent="0.35">
      <c r="A220" t="s">
        <v>34</v>
      </c>
      <c r="B220" t="s">
        <v>301</v>
      </c>
      <c r="C220">
        <v>340</v>
      </c>
      <c r="E220">
        <v>106</v>
      </c>
      <c r="F220" t="s">
        <v>1498</v>
      </c>
      <c r="G220" t="s">
        <v>258</v>
      </c>
      <c r="H220" t="s">
        <v>268</v>
      </c>
      <c r="I220" t="s">
        <v>270</v>
      </c>
      <c r="J220">
        <v>1975</v>
      </c>
      <c r="K220">
        <v>1982</v>
      </c>
      <c r="L220">
        <v>2021</v>
      </c>
      <c r="N220">
        <v>1770</v>
      </c>
      <c r="W220">
        <v>70.25</v>
      </c>
      <c r="Z220">
        <v>160</v>
      </c>
      <c r="AA220" s="3">
        <f t="shared" si="290"/>
        <v>0.22775800711743771</v>
      </c>
      <c r="AB220">
        <v>125</v>
      </c>
      <c r="AC220">
        <f t="shared" si="284"/>
        <v>200</v>
      </c>
      <c r="AF220">
        <v>17.79</v>
      </c>
      <c r="AG220">
        <v>17.79</v>
      </c>
      <c r="AJ220" s="10">
        <v>0</v>
      </c>
      <c r="AK220" t="str">
        <f>CONCATENATE(VLOOKUP(AL220, 'Voxel Sizes'!$A$2:$B$18,2,FALSE),"x",INT(AH220*15), "x", INT(AI220*15))</f>
        <v>164x0x0</v>
      </c>
      <c r="AL220">
        <f t="shared" si="291"/>
        <v>10</v>
      </c>
      <c r="AN220" t="str">
        <f>CONCATENATE(VLOOKUP(AL220,Constants!$A$2:$C$16,IF(AM220&lt;&gt;"", 3, 2), FALSE),IF(AM220&lt;&gt;"",CONCATENATE(",",VLOOKUP(AM220,$B:$AN,39,FALSE)),""))</f>
        <v>4,2,4</v>
      </c>
      <c r="AX220">
        <v>35</v>
      </c>
      <c r="AY220" s="15">
        <f t="shared" si="292"/>
        <v>54</v>
      </c>
      <c r="BB220">
        <f t="shared" si="293"/>
        <v>25</v>
      </c>
      <c r="BC220">
        <f t="shared" si="294"/>
        <v>8.85</v>
      </c>
      <c r="BD220">
        <f t="shared" si="295"/>
        <v>8</v>
      </c>
      <c r="BE220" s="3">
        <f t="shared" si="296"/>
        <v>0.9</v>
      </c>
      <c r="BF220">
        <f t="shared" si="297"/>
        <v>0</v>
      </c>
      <c r="BG220">
        <f>VLOOKUP($H220,Constants!$I:$K, 2, FALSE)</f>
        <v>1</v>
      </c>
      <c r="BH220">
        <f>VLOOKUP($H220,Constants!$I:$K, 3, FALSE)*IF(AND(G220="multiple_unit",AB220&lt;110),0.75,1)</f>
        <v>2</v>
      </c>
      <c r="BI220">
        <f>INT(POWER(((Constants!$G$2+$BB220+$BC220+$BD220+$BF220)*$BE220)*$BH220, 1.05))+$BA220</f>
        <v>105</v>
      </c>
      <c r="BJ220">
        <f>INT(POWER((((Constants!$G$1+$BB220+$BC220+$BD220+$BF220)*($BE220))*$BG220),IF($G220="wagon",1,1.2)))+$AZ220</f>
        <v>112</v>
      </c>
      <c r="BK220" s="14">
        <f t="shared" si="298"/>
        <v>82031.25</v>
      </c>
      <c r="BL220" s="14">
        <f t="shared" si="299"/>
        <v>9100</v>
      </c>
      <c r="BM220">
        <v>1</v>
      </c>
      <c r="BR220">
        <v>1</v>
      </c>
      <c r="BU220">
        <v>2</v>
      </c>
      <c r="BZ220" t="str">
        <f>VLOOKUP(J220,Eras!$A$2:$C$10, 2, TRUE)</f>
        <v>lbr</v>
      </c>
      <c r="CA220" t="s">
        <v>323</v>
      </c>
      <c r="CB220" t="str">
        <f t="shared" si="300"/>
        <v>lbr_Express</v>
      </c>
      <c r="CC220" t="str">
        <f t="shared" si="287"/>
        <v>diesel_RAIL</v>
      </c>
      <c r="CD220" s="17" t="str" cm="1">
        <f t="array" ref="CD220">_xlfn.CONCAT("{BLACK}Length: {GOLD}", TEXT(ROUNDUP(IF(AQ220&lt;&gt;"",SUM(VALUE(_xlfn.TEXTSPLIT(AQ220, ","))), SUM(VALUE(_xlfn.TEXTSPLIT(AN220, ",")))*IF(M220, M220, 1))/16, 1), "#,##0.0"), " tiles{}")</f>
        <v>{BLACK}Length: {GOLD}0.7 tiles{}</v>
      </c>
      <c r="CE220" t="str">
        <f>VLOOKUP($CC220, Constants!$M:$N, 2, FALSE)</f>
        <v>{BLACK}Powered by: {GOLD}Diesel</v>
      </c>
      <c r="CF220" t="str">
        <f t="shared" si="286"/>
        <v/>
      </c>
      <c r="CG220" t="s">
        <v>360</v>
      </c>
      <c r="CH220" t="str">
        <f t="shared" si="285"/>
        <v/>
      </c>
      <c r="CI220" t="str">
        <f t="shared" si="288"/>
        <v/>
      </c>
      <c r="CJ220" t="str">
        <f t="shared" si="289"/>
        <v>{BLACK}Powered by: {GOLD}Diesel {}{BLACK}Length: {GOLD}0.7 tiles{}{SILVER}The Class 43 HST is a high-speed diesel-electric locomotive, also known as the Intercity 125 for its 125mph service speed and intended use on long routes between cities.</v>
      </c>
    </row>
    <row r="221" spans="1:88" x14ac:dyDescent="0.35">
      <c r="A221" t="s">
        <v>540</v>
      </c>
      <c r="B221" t="s">
        <v>542</v>
      </c>
      <c r="C221">
        <v>342</v>
      </c>
      <c r="E221">
        <v>107</v>
      </c>
      <c r="F221" t="s">
        <v>1498</v>
      </c>
      <c r="G221" t="s">
        <v>258</v>
      </c>
      <c r="H221" t="s">
        <v>268</v>
      </c>
      <c r="I221" t="s">
        <v>270</v>
      </c>
      <c r="J221">
        <v>1976</v>
      </c>
      <c r="K221">
        <v>1984</v>
      </c>
      <c r="N221">
        <v>3250</v>
      </c>
      <c r="W221">
        <v>125</v>
      </c>
      <c r="Z221">
        <v>275</v>
      </c>
      <c r="AA221" s="3">
        <f t="shared" si="290"/>
        <v>0.22</v>
      </c>
      <c r="AB221">
        <v>80</v>
      </c>
      <c r="AC221">
        <f t="shared" si="284"/>
        <v>128</v>
      </c>
      <c r="AF221">
        <v>19.350000000000001</v>
      </c>
      <c r="AG221">
        <v>19.350000000000001</v>
      </c>
      <c r="AI221">
        <v>3.89</v>
      </c>
      <c r="AJ221" s="10">
        <v>0</v>
      </c>
      <c r="AK221" t="str">
        <f>CONCATENATE(VLOOKUP(AL221, 'Voxel Sizes'!$A$2:$B$18,2,FALSE),"x",INT(AH221*15), "x", INT(AI221*15))</f>
        <v>186x0x58</v>
      </c>
      <c r="AL221">
        <f t="shared" si="291"/>
        <v>11</v>
      </c>
      <c r="AN221" t="str">
        <f>CONCATENATE(VLOOKUP(AL221,Constants!$A$2:$C$16,IF(AM221&lt;&gt;"", 3, 2), FALSE),IF(AM221&lt;&gt;"",CONCATENATE(",",VLOOKUP(AM221,$B:$AN,39,FALSE)),""))</f>
        <v>4,3,4</v>
      </c>
      <c r="AX221">
        <v>30</v>
      </c>
      <c r="AY221" s="15" t="str">
        <f t="shared" si="292"/>
        <v/>
      </c>
      <c r="BB221">
        <f t="shared" si="293"/>
        <v>16</v>
      </c>
      <c r="BC221">
        <f t="shared" si="294"/>
        <v>16.25</v>
      </c>
      <c r="BD221">
        <f t="shared" si="295"/>
        <v>13.75</v>
      </c>
      <c r="BE221" s="3">
        <f t="shared" si="296"/>
        <v>0.89866666666666672</v>
      </c>
      <c r="BF221">
        <f t="shared" si="297"/>
        <v>0</v>
      </c>
      <c r="BG221">
        <f>VLOOKUP($H221,Constants!$I:$K, 2, FALSE)</f>
        <v>1</v>
      </c>
      <c r="BH221">
        <f>VLOOKUP($H221,Constants!$I:$K, 3, FALSE)*IF(AND(G221="multiple_unit",AB221&lt;110),0.75,1)</f>
        <v>2</v>
      </c>
      <c r="BI221">
        <f>INT(POWER(((Constants!$G$2+$BB221+$BC221+$BD221+$BF221)*$BE221)*$BH221, 1.05))+$BA221</f>
        <v>114</v>
      </c>
      <c r="BJ221">
        <f>INT(POWER((((Constants!$G$1+$BB221+$BC221+$BD221+$BF221)*($BE221))*$BG221),IF($G221="wagon",1,1.2)))+$AZ221</f>
        <v>122</v>
      </c>
      <c r="BK221" s="14">
        <f t="shared" si="298"/>
        <v>89062.5</v>
      </c>
      <c r="BL221" s="14">
        <f t="shared" si="299"/>
        <v>9912.5</v>
      </c>
      <c r="BU221">
        <v>3</v>
      </c>
      <c r="BZ221" t="str">
        <f>VLOOKUP(J221,Eras!$A$2:$C$10, 2, TRUE)</f>
        <v>lbr</v>
      </c>
      <c r="CA221" t="s">
        <v>324</v>
      </c>
      <c r="CB221" t="str">
        <f t="shared" si="300"/>
        <v>lbr_Freight</v>
      </c>
      <c r="CC221" t="str">
        <f t="shared" si="287"/>
        <v>diesel_RAIL</v>
      </c>
      <c r="CD221" s="17" t="str" cm="1">
        <f t="array" ref="CD221">_xlfn.CONCAT("{BLACK}Length: {GOLD}", TEXT(ROUNDUP(IF(AQ221&lt;&gt;"",SUM(VALUE(_xlfn.TEXTSPLIT(AQ221, ","))), SUM(VALUE(_xlfn.TEXTSPLIT(AN221, ",")))*IF(M221, M221, 1))/16, 1), "#,##0.0"), " tiles{}")</f>
        <v>{BLACK}Length: {GOLD}0.7 tiles{}</v>
      </c>
      <c r="CE221" t="str">
        <f>VLOOKUP($CC221, Constants!$M:$N, 2, FALSE)</f>
        <v>{BLACK}Powered by: {GOLD}Diesel</v>
      </c>
      <c r="CF221" t="str">
        <f t="shared" si="286"/>
        <v/>
      </c>
      <c r="CG221" t="s">
        <v>541</v>
      </c>
      <c r="CH221" t="str">
        <f t="shared" si="285"/>
        <v/>
      </c>
      <c r="CI221" t="str">
        <f t="shared" si="288"/>
        <v/>
      </c>
      <c r="CJ221" t="str">
        <f t="shared" si="289"/>
        <v>{BLACK}Powered by: {GOLD}Diesel {}{BLACK}Length: {GOLD}0.7 tiles{}{SILVER}The Class 56 is designed for heavy freight work. It contains many improvements to the electric drivetrain compared to earlier diesel-electric locomotives, making it more reliable and easier to operate.</v>
      </c>
    </row>
    <row r="222" spans="1:88" x14ac:dyDescent="0.35">
      <c r="A222" t="s">
        <v>44</v>
      </c>
      <c r="B222" t="s">
        <v>553</v>
      </c>
      <c r="C222">
        <v>344</v>
      </c>
      <c r="E222">
        <v>108</v>
      </c>
      <c r="F222" t="s">
        <v>1498</v>
      </c>
      <c r="G222" t="s">
        <v>258</v>
      </c>
      <c r="H222" t="s">
        <v>268</v>
      </c>
      <c r="I222" t="s">
        <v>270</v>
      </c>
      <c r="J222">
        <v>1983</v>
      </c>
      <c r="K222">
        <v>1987</v>
      </c>
      <c r="N222">
        <v>3300</v>
      </c>
      <c r="W222">
        <v>130</v>
      </c>
      <c r="Z222">
        <v>267</v>
      </c>
      <c r="AA222" s="3">
        <f t="shared" si="290"/>
        <v>0.20538461538461539</v>
      </c>
      <c r="AB222">
        <v>80</v>
      </c>
      <c r="AC222">
        <f t="shared" si="284"/>
        <v>128</v>
      </c>
      <c r="AF222">
        <v>19.13</v>
      </c>
      <c r="AG222">
        <v>19.13</v>
      </c>
      <c r="AI222">
        <v>3.91</v>
      </c>
      <c r="AJ222" s="10">
        <v>0</v>
      </c>
      <c r="AK222" t="str">
        <f>CONCATENATE(VLOOKUP(AL222, 'Voxel Sizes'!$A$2:$B$18,2,FALSE),"x",INT(AH222*15), "x", INT(AI222*15))</f>
        <v>186x0x58</v>
      </c>
      <c r="AL222">
        <f t="shared" si="291"/>
        <v>11</v>
      </c>
      <c r="AN222" t="str">
        <f>CONCATENATE(VLOOKUP(AL222,Constants!$A$2:$C$16,IF(AM222&lt;&gt;"", 3, 2), FALSE),IF(AM222&lt;&gt;"",CONCATENATE(",",VLOOKUP(AM222,$B:$AN,39,FALSE)),""))</f>
        <v>4,3,4</v>
      </c>
      <c r="AX222">
        <v>30</v>
      </c>
      <c r="AY222" s="15" t="str">
        <f t="shared" si="292"/>
        <v/>
      </c>
      <c r="BB222">
        <f t="shared" si="293"/>
        <v>16</v>
      </c>
      <c r="BC222">
        <f t="shared" si="294"/>
        <v>16.5</v>
      </c>
      <c r="BD222">
        <f t="shared" si="295"/>
        <v>13.35</v>
      </c>
      <c r="BE222" s="3">
        <f t="shared" si="296"/>
        <v>0.88933333333333331</v>
      </c>
      <c r="BF222">
        <f t="shared" si="297"/>
        <v>0</v>
      </c>
      <c r="BG222">
        <f>VLOOKUP($H222,Constants!$I:$K, 2, FALSE)</f>
        <v>1</v>
      </c>
      <c r="BH222">
        <f>VLOOKUP($H222,Constants!$I:$K, 3, FALSE)*IF(AND(G222="multiple_unit",AB222&lt;110),0.75,1)</f>
        <v>2</v>
      </c>
      <c r="BI222">
        <f>INT(POWER(((Constants!$G$2+$BB222+$BC222+$BD222+$BF222)*$BE222)*$BH222, 1.05))+$BA222</f>
        <v>113</v>
      </c>
      <c r="BJ222">
        <f>INT(POWER((((Constants!$G$1+$BB222+$BC222+$BD222+$BF222)*($BE222))*$BG222),IF($G222="wagon",1,1.2)))+$AZ222</f>
        <v>120</v>
      </c>
      <c r="BK222" s="14">
        <f t="shared" si="298"/>
        <v>88281.25</v>
      </c>
      <c r="BL222" s="14">
        <f t="shared" si="299"/>
        <v>9750</v>
      </c>
      <c r="BU222">
        <v>4</v>
      </c>
      <c r="BZ222" t="str">
        <f>VLOOKUP(J222,Eras!$A$2:$C$10, 2, TRUE)</f>
        <v>lbr</v>
      </c>
      <c r="CA222" t="s">
        <v>324</v>
      </c>
      <c r="CB222" t="str">
        <f t="shared" si="300"/>
        <v>lbr_Freight</v>
      </c>
      <c r="CC222" t="str">
        <f t="shared" si="287"/>
        <v>diesel_RAIL</v>
      </c>
      <c r="CD222" s="17" t="str" cm="1">
        <f t="array" ref="CD222">_xlfn.CONCAT("{BLACK}Length: {GOLD}", TEXT(ROUNDUP(IF(AQ222&lt;&gt;"",SUM(VALUE(_xlfn.TEXTSPLIT(AQ222, ","))), SUM(VALUE(_xlfn.TEXTSPLIT(AN222, ",")))*IF(M222, M222, 1))/16, 1), "#,##0.0"), " tiles{}")</f>
        <v>{BLACK}Length: {GOLD}0.7 tiles{}</v>
      </c>
      <c r="CE222" t="str">
        <f>VLOOKUP($CC222, Constants!$M:$N, 2, FALSE)</f>
        <v>{BLACK}Powered by: {GOLD}Diesel</v>
      </c>
      <c r="CF222" t="str">
        <f t="shared" si="286"/>
        <v/>
      </c>
      <c r="CG222" t="s">
        <v>552</v>
      </c>
      <c r="CH222" t="str">
        <f t="shared" si="285"/>
        <v/>
      </c>
      <c r="CI222" t="str">
        <f t="shared" si="288"/>
        <v/>
      </c>
      <c r="CJ222" t="str">
        <f t="shared" si="289"/>
        <v>{BLACK}Powered by: {GOLD}Diesel {}{BLACK}Length: {GOLD}0.7 tiles{}{SILVER}The Class 58 used a modular design with replaceable modules mounted to an underframe. It was nicknamed "Bone" after the narrow central section.</v>
      </c>
    </row>
    <row r="223" spans="1:88" x14ac:dyDescent="0.35">
      <c r="A223" t="s">
        <v>33</v>
      </c>
      <c r="B223" t="s">
        <v>172</v>
      </c>
      <c r="C223">
        <v>346</v>
      </c>
      <c r="E223">
        <v>109</v>
      </c>
      <c r="F223" t="s">
        <v>1498</v>
      </c>
      <c r="G223" t="s">
        <v>258</v>
      </c>
      <c r="H223" t="s">
        <v>268</v>
      </c>
      <c r="I223" t="s">
        <v>270</v>
      </c>
      <c r="J223">
        <v>1985</v>
      </c>
      <c r="K223">
        <v>1995</v>
      </c>
      <c r="N223">
        <v>3300</v>
      </c>
      <c r="W223">
        <v>126</v>
      </c>
      <c r="Z223">
        <v>290</v>
      </c>
      <c r="AA223" s="3">
        <f t="shared" si="290"/>
        <v>0.23015873015873015</v>
      </c>
      <c r="AB223">
        <v>75</v>
      </c>
      <c r="AC223">
        <f t="shared" si="284"/>
        <v>120</v>
      </c>
      <c r="AF223">
        <v>21.4</v>
      </c>
      <c r="AG223">
        <v>21.4</v>
      </c>
      <c r="AI223">
        <v>3.91</v>
      </c>
      <c r="AJ223" s="10">
        <v>0</v>
      </c>
      <c r="AK223" t="str">
        <f>CONCATENATE(VLOOKUP(AL223, 'Voxel Sizes'!$A$2:$B$18,2,FALSE),"x",INT(AH223*15), "x", INT(AI223*15))</f>
        <v>214x0x58</v>
      </c>
      <c r="AL223">
        <f t="shared" si="291"/>
        <v>13</v>
      </c>
      <c r="AN223" t="str">
        <f>CONCATENATE(VLOOKUP(AL223,Constants!$A$2:$C$16,IF(AM223&lt;&gt;"", 3, 2), FALSE),IF(AM223&lt;&gt;"",CONCATENATE(",",VLOOKUP(AM223,$B:$AN,39,FALSE)),""))</f>
        <v>4,5,4</v>
      </c>
      <c r="AX223">
        <v>30</v>
      </c>
      <c r="AY223" s="15" t="str">
        <f t="shared" si="292"/>
        <v/>
      </c>
      <c r="BB223">
        <f t="shared" si="293"/>
        <v>15</v>
      </c>
      <c r="BC223">
        <f t="shared" si="294"/>
        <v>16.5</v>
      </c>
      <c r="BD223">
        <f t="shared" si="295"/>
        <v>14.5</v>
      </c>
      <c r="BE223" s="3">
        <f t="shared" si="296"/>
        <v>0.88666666666666671</v>
      </c>
      <c r="BF223">
        <f t="shared" si="297"/>
        <v>0</v>
      </c>
      <c r="BG223">
        <f>VLOOKUP($H223,Constants!$I:$K, 2, FALSE)</f>
        <v>1</v>
      </c>
      <c r="BH223">
        <f>VLOOKUP($H223,Constants!$I:$K, 3, FALSE)*IF(AND(G223="multiple_unit",AB223&lt;110),0.75,1)</f>
        <v>2</v>
      </c>
      <c r="BI223">
        <f>INT(POWER(((Constants!$G$2+$BB223+$BC223+$BD223+$BF223)*$BE223)*$BH223, 1.05))+$BA223</f>
        <v>113</v>
      </c>
      <c r="BJ223">
        <f>INT(POWER((((Constants!$G$1+$BB223+$BC223+$BD223+$BF223)*($BE223))*$BG223),IF($G223="wagon",1,1.2)))+$AZ223</f>
        <v>120</v>
      </c>
      <c r="BK223" s="14">
        <f t="shared" si="298"/>
        <v>88281.25</v>
      </c>
      <c r="BL223" s="14">
        <f t="shared" si="299"/>
        <v>9750</v>
      </c>
      <c r="BU223">
        <v>5</v>
      </c>
      <c r="BZ223" t="str">
        <f>VLOOKUP(J223,Eras!$A$2:$C$10, 2, TRUE)</f>
        <v>lbr</v>
      </c>
      <c r="CA223" t="s">
        <v>324</v>
      </c>
      <c r="CB223" t="str">
        <f t="shared" si="300"/>
        <v>lbr_Freight</v>
      </c>
      <c r="CC223" t="str">
        <f t="shared" si="287"/>
        <v>diesel_RAIL</v>
      </c>
      <c r="CD223" s="17" t="str" cm="1">
        <f t="array" ref="CD223">_xlfn.CONCAT("{BLACK}Length: {GOLD}", TEXT(ROUNDUP(IF(AQ223&lt;&gt;"",SUM(VALUE(_xlfn.TEXTSPLIT(AQ223, ","))), SUM(VALUE(_xlfn.TEXTSPLIT(AN223, ",")))*IF(M223, M223, 1))/16, 1), "#,##0.0"), " tiles{}")</f>
        <v>{BLACK}Length: {GOLD}0.9 tiles{}</v>
      </c>
      <c r="CE223" t="str">
        <f>VLOOKUP($CC223, Constants!$M:$N, 2, FALSE)</f>
        <v>{BLACK}Powered by: {GOLD}Diesel</v>
      </c>
      <c r="CF223" t="str">
        <f t="shared" si="286"/>
        <v/>
      </c>
      <c r="CG223" t="s">
        <v>554</v>
      </c>
      <c r="CH223" t="str">
        <f t="shared" si="285"/>
        <v/>
      </c>
      <c r="CI223" t="str">
        <f t="shared" si="288"/>
        <v/>
      </c>
      <c r="CJ223" t="str">
        <f t="shared" si="289"/>
        <v>{BLACK}Powered by: {GOLD}Diesel {}{BLACK}Length: {GOLD}0.9 tiles{}{SILVER}The Class 59 is the first US-built locomotive to operate in mainland Great Britain. It is derived from the SD40, with a British cab layout.</v>
      </c>
    </row>
    <row r="224" spans="1:88" x14ac:dyDescent="0.35">
      <c r="A224" t="s">
        <v>1182</v>
      </c>
      <c r="B224" t="s">
        <v>1183</v>
      </c>
      <c r="C224">
        <v>347</v>
      </c>
      <c r="E224">
        <v>110</v>
      </c>
      <c r="F224" t="s">
        <v>1498</v>
      </c>
      <c r="G224" t="s">
        <v>258</v>
      </c>
      <c r="H224" t="s">
        <v>291</v>
      </c>
      <c r="I224" t="s">
        <v>292</v>
      </c>
      <c r="J224">
        <v>1986</v>
      </c>
      <c r="L224">
        <v>2001</v>
      </c>
      <c r="N224">
        <v>5850</v>
      </c>
      <c r="W224">
        <v>105</v>
      </c>
      <c r="Z224">
        <v>209</v>
      </c>
      <c r="AA224" s="3">
        <f t="shared" si="290"/>
        <v>0.19904761904761906</v>
      </c>
      <c r="AB224">
        <v>125</v>
      </c>
      <c r="AC224">
        <f t="shared" si="284"/>
        <v>200</v>
      </c>
      <c r="AF224">
        <v>19.79</v>
      </c>
      <c r="AG224">
        <v>19.79</v>
      </c>
      <c r="AH224">
        <v>2.73</v>
      </c>
      <c r="AI224">
        <v>3.8</v>
      </c>
      <c r="AK224" t="str">
        <f>CONCATENATE(VLOOKUP(AL224, 'Voxel Sizes'!$A$2:$B$18,2,FALSE),"x",INT(AH224*15), "x", INT(AI224*15))</f>
        <v>198x40x57</v>
      </c>
      <c r="AL224">
        <f t="shared" si="291"/>
        <v>12</v>
      </c>
      <c r="AN224" t="str">
        <f>CONCATENATE(VLOOKUP(AL224,Constants!$A$2:$C$16,IF(AM224&lt;&gt;"", 3, 2), FALSE),IF(AM224&lt;&gt;"",CONCATENATE(",",VLOOKUP(AM224,$B:$AN,39,FALSE)),""))</f>
        <v>4,4,4</v>
      </c>
      <c r="AX224">
        <v>24</v>
      </c>
      <c r="AY224" s="15">
        <f t="shared" si="292"/>
        <v>23</v>
      </c>
      <c r="AZ224">
        <v>15</v>
      </c>
      <c r="BA224">
        <v>-30</v>
      </c>
      <c r="BB224">
        <f t="shared" si="293"/>
        <v>25</v>
      </c>
      <c r="BC224">
        <f t="shared" si="294"/>
        <v>20</v>
      </c>
      <c r="BD224">
        <f t="shared" si="295"/>
        <v>10.45</v>
      </c>
      <c r="BE224" s="3">
        <f t="shared" si="296"/>
        <v>0.88533333333333331</v>
      </c>
      <c r="BF224">
        <f t="shared" si="297"/>
        <v>0</v>
      </c>
      <c r="BG224">
        <f>VLOOKUP($H224,Constants!$I:$K, 2, FALSE)</f>
        <v>0.85</v>
      </c>
      <c r="BH224">
        <f>VLOOKUP($H224,Constants!$I:$K, 3, FALSE)*IF(AND(G224="multiple_unit",AB224&lt;110),0.75,1)</f>
        <v>2.2999999999999998</v>
      </c>
      <c r="BI224">
        <f>INT(POWER(((Constants!$G$2+$BB224+$BC224+$BD224+$BF224)*$BE224)*$BH224, 1.05))+$BA224</f>
        <v>126</v>
      </c>
      <c r="BJ224">
        <f>INT(POWER((((Constants!$G$1+$BB224+$BC224+$BD224+$BF224)*($BE224))*$BG224),IF($G224="wagon",1,1.2)))+$AZ224</f>
        <v>132</v>
      </c>
      <c r="BK224" s="14">
        <f t="shared" si="298"/>
        <v>98437.5</v>
      </c>
      <c r="BL224" s="14">
        <f t="shared" si="299"/>
        <v>10725</v>
      </c>
      <c r="BU224">
        <v>5</v>
      </c>
      <c r="BZ224" t="str">
        <f>VLOOKUP(J224,Eras!$A$2:$C$10, 2, TRUE)</f>
        <v>lbr</v>
      </c>
      <c r="CA224" t="s">
        <v>323</v>
      </c>
      <c r="CB224" t="str">
        <f t="shared" si="300"/>
        <v>lbr_Express</v>
      </c>
      <c r="CC224" t="str">
        <f t="shared" si="287"/>
        <v>electric_ELRL</v>
      </c>
      <c r="CD224" s="17" t="str" cm="1">
        <f t="array" ref="CD224">_xlfn.CONCAT("{BLACK}Length: {GOLD}", TEXT(ROUNDUP(IF(AQ224&lt;&gt;"",SUM(VALUE(_xlfn.TEXTSPLIT(AQ224, ","))), SUM(VALUE(_xlfn.TEXTSPLIT(AN224, ",")))*IF(M224, M224, 1))/16, 1), "#,##0.0"), " tiles{}")</f>
        <v>{BLACK}Length: {GOLD}0.8 tiles{}</v>
      </c>
      <c r="CE224" t="str">
        <f>VLOOKUP($CC224, Constants!$M:$N, 2, FALSE)</f>
        <v>{BLACK}Powered by: {GOLD}25kV AC</v>
      </c>
      <c r="CF224" t="str">
        <f t="shared" si="286"/>
        <v/>
      </c>
      <c r="CG224" t="s">
        <v>1217</v>
      </c>
      <c r="CH224" t="str">
        <f t="shared" si="285"/>
        <v/>
      </c>
      <c r="CI224" t="str">
        <f t="shared" si="288"/>
        <v/>
      </c>
      <c r="CJ224" t="str">
        <f t="shared" si="289"/>
        <v>{BLACK}Powered by: {GOLD}25kV AC {}{BLACK}Length: {GOLD}0.8 tiles{}{SILVER}The Class 89 was a prototype express locomotive; unfortunately the specification changed after the prototype was built, and only a single example was completed. It was withdrawn from service twice after major breakdowns.</v>
      </c>
    </row>
    <row r="225" spans="1:88" x14ac:dyDescent="0.35">
      <c r="A225" t="s">
        <v>65</v>
      </c>
      <c r="B225" t="s">
        <v>173</v>
      </c>
      <c r="C225">
        <v>348</v>
      </c>
      <c r="E225">
        <v>111</v>
      </c>
      <c r="F225" t="s">
        <v>1498</v>
      </c>
      <c r="G225" t="s">
        <v>258</v>
      </c>
      <c r="H225" t="s">
        <v>291</v>
      </c>
      <c r="I225" t="s">
        <v>292</v>
      </c>
      <c r="J225">
        <v>1987</v>
      </c>
      <c r="K225">
        <v>1990</v>
      </c>
      <c r="N225">
        <v>5000</v>
      </c>
      <c r="W225">
        <v>84.5</v>
      </c>
      <c r="Z225">
        <v>258</v>
      </c>
      <c r="AA225" s="3">
        <f t="shared" si="290"/>
        <v>0.30532544378698223</v>
      </c>
      <c r="AB225">
        <v>110</v>
      </c>
      <c r="AC225">
        <f t="shared" si="284"/>
        <v>176</v>
      </c>
      <c r="AF225">
        <v>18.75</v>
      </c>
      <c r="AG225">
        <v>18.75</v>
      </c>
      <c r="AI225">
        <v>3.96</v>
      </c>
      <c r="AJ225" s="10">
        <v>0</v>
      </c>
      <c r="AK225" t="str">
        <f>CONCATENATE(VLOOKUP(AL225, 'Voxel Sizes'!$A$2:$B$18,2,FALSE),"x",INT(AH225*15), "x", INT(AI225*15))</f>
        <v>186x0x59</v>
      </c>
      <c r="AL225">
        <f t="shared" si="291"/>
        <v>11</v>
      </c>
      <c r="AN225" t="str">
        <f>CONCATENATE(VLOOKUP(AL225,Constants!$A$2:$C$16,IF(AM225&lt;&gt;"", 3, 2), FALSE),IF(AM225&lt;&gt;"",CONCATENATE(",",VLOOKUP(AM225,$B:$AN,39,FALSE)),""))</f>
        <v>4,3,4</v>
      </c>
      <c r="AX225">
        <v>30</v>
      </c>
      <c r="AY225" s="15" t="str">
        <f t="shared" si="292"/>
        <v/>
      </c>
      <c r="BB225">
        <f t="shared" si="293"/>
        <v>22</v>
      </c>
      <c r="BC225">
        <f t="shared" si="294"/>
        <v>20</v>
      </c>
      <c r="BD225">
        <f t="shared" si="295"/>
        <v>12.9</v>
      </c>
      <c r="BE225" s="3">
        <f t="shared" si="296"/>
        <v>0.88400000000000001</v>
      </c>
      <c r="BF225">
        <f t="shared" si="297"/>
        <v>0</v>
      </c>
      <c r="BG225">
        <f>VLOOKUP($H225,Constants!$I:$K, 2, FALSE)</f>
        <v>0.85</v>
      </c>
      <c r="BH225">
        <f>VLOOKUP($H225,Constants!$I:$K, 3, FALSE)*IF(AND(G225="multiple_unit",AB225&lt;110),0.75,1)</f>
        <v>2.2999999999999998</v>
      </c>
      <c r="BI225">
        <f>INT(POWER(((Constants!$G$2+$BB225+$BC225+$BD225+$BF225)*$BE225)*$BH225, 1.05))+$BA225</f>
        <v>154</v>
      </c>
      <c r="BJ225">
        <f>INT(POWER((((Constants!$G$1+$BB225+$BC225+$BD225+$BF225)*($BE225))*$BG225),IF($G225="wagon",1,1.2)))+$AZ225</f>
        <v>115</v>
      </c>
      <c r="BK225" s="14">
        <f t="shared" si="298"/>
        <v>120312.5</v>
      </c>
      <c r="BL225" s="14">
        <f t="shared" si="299"/>
        <v>9343.75</v>
      </c>
      <c r="BU225">
        <v>6</v>
      </c>
      <c r="BZ225" t="str">
        <f>VLOOKUP(J225,Eras!$A$2:$C$10, 2, TRUE)</f>
        <v>lbr</v>
      </c>
      <c r="CA225" t="s">
        <v>323</v>
      </c>
      <c r="CB225" t="str">
        <f t="shared" si="300"/>
        <v>lbr_Express</v>
      </c>
      <c r="CC225" t="str">
        <f t="shared" si="287"/>
        <v>electric_ELRL</v>
      </c>
      <c r="CD225" s="17" t="str" cm="1">
        <f t="array" ref="CD225">_xlfn.CONCAT("{BLACK}Length: {GOLD}", TEXT(ROUNDUP(IF(AQ225&lt;&gt;"",SUM(VALUE(_xlfn.TEXTSPLIT(AQ225, ","))), SUM(VALUE(_xlfn.TEXTSPLIT(AN225, ",")))*IF(M225, M225, 1))/16, 1), "#,##0.0"), " tiles{}")</f>
        <v>{BLACK}Length: {GOLD}0.7 tiles{}</v>
      </c>
      <c r="CE225" t="str">
        <f>VLOOKUP($CC225, Constants!$M:$N, 2, FALSE)</f>
        <v>{BLACK}Powered by: {GOLD}25kV AC</v>
      </c>
      <c r="CF225" t="str">
        <f t="shared" si="286"/>
        <v/>
      </c>
      <c r="CG225" t="s">
        <v>557</v>
      </c>
      <c r="CH225" t="str">
        <f t="shared" si="285"/>
        <v/>
      </c>
      <c r="CI225" t="str">
        <f t="shared" si="288"/>
        <v/>
      </c>
      <c r="CJ225" t="str">
        <f t="shared" si="289"/>
        <v>{BLACK}Powered by: {GOLD}25kV AC {}{BLACK}Length: {GOLD}0.7 tiles{}{SILVER}The Class 90 is a powerful electric locomotive. Initially used for Intercity express services, several were also used for freight.</v>
      </c>
    </row>
    <row r="226" spans="1:88" x14ac:dyDescent="0.35">
      <c r="A226" t="s">
        <v>563</v>
      </c>
      <c r="B226" t="s">
        <v>231</v>
      </c>
      <c r="C226">
        <v>350</v>
      </c>
      <c r="E226">
        <v>112</v>
      </c>
      <c r="F226" t="s">
        <v>1498</v>
      </c>
      <c r="G226" t="s">
        <v>258</v>
      </c>
      <c r="H226" t="s">
        <v>291</v>
      </c>
      <c r="I226" t="s">
        <v>292</v>
      </c>
      <c r="J226">
        <v>1988</v>
      </c>
      <c r="K226">
        <v>1991</v>
      </c>
      <c r="N226">
        <v>6480</v>
      </c>
      <c r="W226">
        <v>81.5</v>
      </c>
      <c r="Z226">
        <v>190</v>
      </c>
      <c r="AA226" s="3">
        <f t="shared" si="290"/>
        <v>0.23312883435582821</v>
      </c>
      <c r="AB226">
        <v>140</v>
      </c>
      <c r="AC226">
        <f t="shared" si="284"/>
        <v>224</v>
      </c>
      <c r="AF226">
        <v>19.399999999999999</v>
      </c>
      <c r="AG226">
        <v>19.399999999999999</v>
      </c>
      <c r="AJ226" s="10">
        <v>0</v>
      </c>
      <c r="AK226" t="str">
        <f>CONCATENATE(VLOOKUP(AL226, 'Voxel Sizes'!$A$2:$B$18,2,FALSE),"x",INT(AH226*15), "x", INT(AI226*15))</f>
        <v>186x0x0</v>
      </c>
      <c r="AL226">
        <f t="shared" si="291"/>
        <v>11</v>
      </c>
      <c r="AN226" t="str">
        <f>CONCATENATE(VLOOKUP(AL226,Constants!$A$2:$C$16,IF(AM226&lt;&gt;"", 3, 2), FALSE),IF(AM226&lt;&gt;"",CONCATENATE(",",VLOOKUP(AM226,$B:$AN,39,FALSE)),""))</f>
        <v>4,3,4</v>
      </c>
      <c r="AX226">
        <v>27</v>
      </c>
      <c r="AY226" s="15" t="str">
        <f t="shared" si="292"/>
        <v/>
      </c>
      <c r="BB226">
        <f t="shared" si="293"/>
        <v>28</v>
      </c>
      <c r="BC226">
        <f t="shared" si="294"/>
        <v>20</v>
      </c>
      <c r="BD226">
        <f t="shared" si="295"/>
        <v>9.5</v>
      </c>
      <c r="BE226" s="3">
        <f t="shared" si="296"/>
        <v>0.88266666666666671</v>
      </c>
      <c r="BF226">
        <f t="shared" si="297"/>
        <v>0</v>
      </c>
      <c r="BG226">
        <f>VLOOKUP($H226,Constants!$I:$K, 2, FALSE)</f>
        <v>0.85</v>
      </c>
      <c r="BH226">
        <f>VLOOKUP($H226,Constants!$I:$K, 3, FALSE)*IF(AND(G226="multiple_unit",AB226&lt;110),0.75,1)</f>
        <v>2.2999999999999998</v>
      </c>
      <c r="BI226">
        <f>INT(POWER(((Constants!$G$2+$BB226+$BC226+$BD226+$BF226)*$BE226)*$BH226, 1.05))+$BA226</f>
        <v>161</v>
      </c>
      <c r="BJ226">
        <f>INT(POWER((((Constants!$G$1+$BB226+$BC226+$BD226+$BF226)*($BE226))*$BG226),IF($G226="wagon",1,1.2)))+$AZ226</f>
        <v>120</v>
      </c>
      <c r="BK226" s="14">
        <f t="shared" si="298"/>
        <v>125781.25</v>
      </c>
      <c r="BL226" s="14">
        <f t="shared" si="299"/>
        <v>9750</v>
      </c>
      <c r="BU226">
        <v>7</v>
      </c>
      <c r="BZ226" t="str">
        <f>VLOOKUP(J226,Eras!$A$2:$C$10, 2, TRUE)</f>
        <v>lbr</v>
      </c>
      <c r="CA226" t="s">
        <v>333</v>
      </c>
      <c r="CB226" t="str">
        <f t="shared" si="300"/>
        <v>lbr_Express (Electric)</v>
      </c>
      <c r="CC226" t="str">
        <f t="shared" si="287"/>
        <v>electric_ELRL</v>
      </c>
      <c r="CD226" s="17" t="str" cm="1">
        <f t="array" ref="CD226">_xlfn.CONCAT("{BLACK}Length: {GOLD}", TEXT(ROUNDUP(IF(AQ226&lt;&gt;"",SUM(VALUE(_xlfn.TEXTSPLIT(AQ226, ","))), SUM(VALUE(_xlfn.TEXTSPLIT(AN226, ",")))*IF(M226, M226, 1))/16, 1), "#,##0.0"), " tiles{}")</f>
        <v>{BLACK}Length: {GOLD}0.7 tiles{}</v>
      </c>
      <c r="CE226" t="str">
        <f>VLOOKUP($CC226, Constants!$M:$N, 2, FALSE)</f>
        <v>{BLACK}Powered by: {GOLD}25kV AC</v>
      </c>
      <c r="CF226" t="str">
        <f t="shared" si="286"/>
        <v/>
      </c>
      <c r="CG226" t="s">
        <v>562</v>
      </c>
      <c r="CH226" t="str">
        <f t="shared" si="285"/>
        <v/>
      </c>
      <c r="CI226" t="str">
        <f t="shared" si="288"/>
        <v/>
      </c>
      <c r="CJ226" t="str">
        <f t="shared" si="289"/>
        <v>{BLACK}Powered by: {GOLD}25kV AC {}{BLACK}Length: {GOLD}0.7 tiles{}{SILVER}The Class 91 is a high speed electric locomotive, designed for Intercity 225 services.</v>
      </c>
    </row>
    <row r="227" spans="1:88" x14ac:dyDescent="0.35">
      <c r="A227" t="s">
        <v>564</v>
      </c>
      <c r="B227" t="s">
        <v>565</v>
      </c>
      <c r="C227">
        <v>352</v>
      </c>
      <c r="E227">
        <v>113</v>
      </c>
      <c r="F227" t="s">
        <v>1498</v>
      </c>
      <c r="G227" t="s">
        <v>258</v>
      </c>
      <c r="H227" t="s">
        <v>1473</v>
      </c>
      <c r="I227" t="s">
        <v>270</v>
      </c>
      <c r="J227">
        <v>1988</v>
      </c>
      <c r="K227">
        <v>1991</v>
      </c>
      <c r="N227">
        <v>100</v>
      </c>
      <c r="W227">
        <v>40</v>
      </c>
      <c r="Z227">
        <v>5</v>
      </c>
      <c r="AA227" s="3">
        <f t="shared" si="290"/>
        <v>1.2500000000000001E-2</v>
      </c>
      <c r="AB227">
        <v>140</v>
      </c>
      <c r="AC227">
        <f t="shared" si="284"/>
        <v>224</v>
      </c>
      <c r="AF227">
        <v>19.399999999999999</v>
      </c>
      <c r="AG227">
        <v>19.399999999999999</v>
      </c>
      <c r="AJ227" s="10">
        <v>36</v>
      </c>
      <c r="AK227" t="str">
        <f>CONCATENATE(VLOOKUP(AL227, 'Voxel Sizes'!$A$2:$B$18,2,FALSE),"x",INT(AH227*15), "x", INT(AI227*15))</f>
        <v>186x0x0</v>
      </c>
      <c r="AL227">
        <f t="shared" si="291"/>
        <v>11</v>
      </c>
      <c r="AN227" t="str">
        <f>CONCATENATE(VLOOKUP(AL227,Constants!$A$2:$C$16,IF(AM227&lt;&gt;"", 3, 2), FALSE),IF(AM227&lt;&gt;"",CONCATENATE(",",VLOOKUP(AM227,$B:$AN,39,FALSE)),""))</f>
        <v>4,3,4</v>
      </c>
      <c r="AX227">
        <v>27</v>
      </c>
      <c r="AY227" s="15" t="str">
        <f t="shared" si="292"/>
        <v/>
      </c>
      <c r="AZ227">
        <v>-35</v>
      </c>
      <c r="BA227">
        <v>-60</v>
      </c>
      <c r="BB227">
        <f t="shared" si="293"/>
        <v>28</v>
      </c>
      <c r="BC227">
        <f t="shared" si="294"/>
        <v>0.5</v>
      </c>
      <c r="BD227">
        <f t="shared" si="295"/>
        <v>0.25</v>
      </c>
      <c r="BE227" s="3">
        <f t="shared" si="296"/>
        <v>0.88266666666666671</v>
      </c>
      <c r="BF227">
        <f t="shared" si="297"/>
        <v>1.2</v>
      </c>
      <c r="BG227">
        <f>VLOOKUP($H227,Constants!$I:$K, 2, FALSE)</f>
        <v>0.85</v>
      </c>
      <c r="BH227">
        <f>VLOOKUP($H227,Constants!$I:$K, 3, FALSE)*IF(AND(G227="multiple_unit",AB227&lt;110),0.75,1)</f>
        <v>2.2999999999999998</v>
      </c>
      <c r="BI227">
        <f>INT(POWER(((Constants!$G$2+$BB227+$BC227+$BD227+$BF227)*$BE227)*$BH227, 1.05))+$BA227</f>
        <v>27</v>
      </c>
      <c r="BJ227">
        <f>INT(POWER((((Constants!$G$1+$BB227+$BC227+$BD227+$BF227)*($BE227))*$BG227),IF($G227="wagon",1,1.2)))+$AZ227</f>
        <v>33</v>
      </c>
      <c r="BK227" s="14">
        <f t="shared" si="298"/>
        <v>21093.75</v>
      </c>
      <c r="BL227" s="14">
        <f t="shared" si="299"/>
        <v>2681.25</v>
      </c>
      <c r="BM227">
        <v>1</v>
      </c>
      <c r="BN227">
        <v>1</v>
      </c>
      <c r="BU227">
        <v>7</v>
      </c>
      <c r="BY227" t="s">
        <v>644</v>
      </c>
      <c r="BZ227" t="str">
        <f>VLOOKUP(J227,Eras!$A$2:$C$10, 2, TRUE)</f>
        <v>lbr</v>
      </c>
      <c r="CA227" t="s">
        <v>333</v>
      </c>
      <c r="CB227" t="str">
        <f t="shared" si="300"/>
        <v>lbr_Express (Electric)</v>
      </c>
      <c r="CC227" t="str">
        <f t="shared" si="287"/>
        <v>none_RAIL</v>
      </c>
      <c r="CD227" s="17" t="str" cm="1">
        <f t="array" ref="CD227">_xlfn.CONCAT("{BLACK}Length: {GOLD}", TEXT(ROUNDUP(IF(AQ227&lt;&gt;"",SUM(VALUE(_xlfn.TEXTSPLIT(AQ227, ","))), SUM(VALUE(_xlfn.TEXTSPLIT(AN227, ",")))*IF(M227, M227, 1))/16, 1), "#,##0.0"), " tiles{}")</f>
        <v>{BLACK}Length: {GOLD}0.7 tiles{}</v>
      </c>
      <c r="CE227" t="str">
        <f>VLOOKUP($CC227, Constants!$M:$N, 2, FALSE)</f>
        <v/>
      </c>
      <c r="CF227" t="str">
        <f t="shared" si="286"/>
        <v/>
      </c>
      <c r="CG227" t="s">
        <v>1475</v>
      </c>
      <c r="CH227" t="str">
        <f t="shared" si="285"/>
        <v/>
      </c>
      <c r="CI227" t="str">
        <f t="shared" si="288"/>
        <v/>
      </c>
      <c r="CJ227" t="str">
        <f t="shared" si="289"/>
        <v>{BLACK}Length: {GOLD}0.7 tiles{}{SILVER}This driving van trailer can be used with diesel and electric locomotives, either as a leading or trailing vehicle. It is recommended for use with the Class 91.</v>
      </c>
    </row>
    <row r="228" spans="1:88" x14ac:dyDescent="0.35">
      <c r="A228" t="s">
        <v>604</v>
      </c>
      <c r="B228" t="s">
        <v>568</v>
      </c>
      <c r="C228">
        <v>354</v>
      </c>
      <c r="E228">
        <v>114</v>
      </c>
      <c r="F228" t="s">
        <v>1498</v>
      </c>
      <c r="G228" t="s">
        <v>258</v>
      </c>
      <c r="H228" t="s">
        <v>268</v>
      </c>
      <c r="I228" t="s">
        <v>270</v>
      </c>
      <c r="J228">
        <v>1989</v>
      </c>
      <c r="N228">
        <v>3100</v>
      </c>
      <c r="W228">
        <v>129</v>
      </c>
      <c r="Z228">
        <v>474</v>
      </c>
      <c r="AA228" s="3">
        <f t="shared" si="290"/>
        <v>0.36744186046511629</v>
      </c>
      <c r="AB228">
        <v>60</v>
      </c>
      <c r="AC228">
        <f t="shared" si="284"/>
        <v>96</v>
      </c>
      <c r="AF228">
        <v>21.34</v>
      </c>
      <c r="AG228">
        <v>21.34</v>
      </c>
      <c r="AH228">
        <v>2.64</v>
      </c>
      <c r="AI228">
        <v>3.95</v>
      </c>
      <c r="AJ228" s="10">
        <v>0</v>
      </c>
      <c r="AK228" t="str">
        <f>CONCATENATE(VLOOKUP(AL228, 'Voxel Sizes'!$A$2:$B$18,2,FALSE),"x",INT(AH228*15), "x", INT(AI228*15))</f>
        <v>214x39x59</v>
      </c>
      <c r="AL228">
        <f t="shared" si="291"/>
        <v>13</v>
      </c>
      <c r="AN228" t="str">
        <f>CONCATENATE(VLOOKUP(AL228,Constants!$A$2:$C$16,IF(AM228&lt;&gt;"", 3, 2), FALSE),IF(AM228&lt;&gt;"",CONCATENATE(",",VLOOKUP(AM228,$B:$AN,39,FALSE)),""))</f>
        <v>4,5,4</v>
      </c>
      <c r="AX228">
        <v>30</v>
      </c>
      <c r="AY228" s="15" t="str">
        <f t="shared" si="292"/>
        <v/>
      </c>
      <c r="BB228">
        <f t="shared" si="293"/>
        <v>12</v>
      </c>
      <c r="BC228">
        <f t="shared" si="294"/>
        <v>15.5</v>
      </c>
      <c r="BD228">
        <f t="shared" si="295"/>
        <v>20</v>
      </c>
      <c r="BE228" s="3">
        <f t="shared" si="296"/>
        <v>0.8813333333333333</v>
      </c>
      <c r="BF228">
        <f t="shared" si="297"/>
        <v>0</v>
      </c>
      <c r="BG228">
        <f>VLOOKUP($H228,Constants!$I:$K, 2, FALSE)</f>
        <v>1</v>
      </c>
      <c r="BH228">
        <f>VLOOKUP($H228,Constants!$I:$K, 3, FALSE)*IF(AND(G228="multiple_unit",AB228&lt;110),0.75,1)</f>
        <v>2</v>
      </c>
      <c r="BI228">
        <f>INT(POWER(((Constants!$G$2+$BB228+$BC228+$BD228+$BF228)*$BE228)*$BH228, 1.05))+$BA228</f>
        <v>116</v>
      </c>
      <c r="BJ228">
        <f>INT(POWER((((Constants!$G$1+$BB228+$BC228+$BD228+$BF228)*($BE228))*$BG228),IF($G228="wagon",1,1.2)))+$AZ228</f>
        <v>122</v>
      </c>
      <c r="BK228" s="14">
        <f t="shared" si="298"/>
        <v>90625</v>
      </c>
      <c r="BL228" s="14">
        <f t="shared" si="299"/>
        <v>9912.5</v>
      </c>
      <c r="BU228">
        <v>9</v>
      </c>
      <c r="BZ228" t="str">
        <f>VLOOKUP(J228,Eras!$A$2:$C$10, 2, TRUE)</f>
        <v>lbr</v>
      </c>
      <c r="CA228" t="s">
        <v>324</v>
      </c>
      <c r="CB228" t="str">
        <f t="shared" si="300"/>
        <v>lbr_Freight</v>
      </c>
      <c r="CC228" t="str">
        <f t="shared" si="287"/>
        <v>diesel_RAIL</v>
      </c>
      <c r="CD228" s="17" t="str" cm="1">
        <f t="array" ref="CD228">_xlfn.CONCAT("{BLACK}Length: {GOLD}", TEXT(ROUNDUP(IF(AQ228&lt;&gt;"",SUM(VALUE(_xlfn.TEXTSPLIT(AQ228, ","))), SUM(VALUE(_xlfn.TEXTSPLIT(AN228, ",")))*IF(M228, M228, 1))/16, 1), "#,##0.0"), " tiles{}")</f>
        <v>{BLACK}Length: {GOLD}0.9 tiles{}</v>
      </c>
      <c r="CE228" t="str">
        <f>VLOOKUP($CC228, Constants!$M:$N, 2, FALSE)</f>
        <v>{BLACK}Powered by: {GOLD}Diesel</v>
      </c>
      <c r="CF228" t="str">
        <f t="shared" si="286"/>
        <v/>
      </c>
      <c r="CG228" t="s">
        <v>605</v>
      </c>
      <c r="CH228" t="str">
        <f t="shared" si="285"/>
        <v/>
      </c>
      <c r="CI228" t="str">
        <f t="shared" si="288"/>
        <v/>
      </c>
      <c r="CJ228" t="str">
        <f t="shared" si="289"/>
        <v>{BLACK}Powered by: {GOLD}Diesel {}{BLACK}Length: {GOLD}0.9 tiles{}{SILVER}The Brush Class 60 is a Type 5 diesel, designed for high power and tractive effort to haul heavy freight trains.</v>
      </c>
    </row>
    <row r="229" spans="1:88" x14ac:dyDescent="0.35">
      <c r="A229" t="s">
        <v>1298</v>
      </c>
      <c r="B229" t="s">
        <v>1184</v>
      </c>
      <c r="C229">
        <v>355</v>
      </c>
      <c r="E229">
        <v>115</v>
      </c>
      <c r="F229" t="s">
        <v>1498</v>
      </c>
      <c r="G229" t="s">
        <v>258</v>
      </c>
      <c r="H229" t="s">
        <v>268</v>
      </c>
      <c r="I229" t="s">
        <v>270</v>
      </c>
      <c r="J229">
        <v>1990</v>
      </c>
      <c r="N229">
        <v>1270</v>
      </c>
      <c r="W229">
        <v>90</v>
      </c>
      <c r="Z229">
        <v>170</v>
      </c>
      <c r="AA229" s="3">
        <f t="shared" si="290"/>
        <v>0.18888888888888888</v>
      </c>
      <c r="AB229">
        <v>62</v>
      </c>
      <c r="AC229">
        <f t="shared" si="284"/>
        <v>99</v>
      </c>
      <c r="AF229">
        <v>14.4</v>
      </c>
      <c r="AG229">
        <v>14.4</v>
      </c>
      <c r="AK229" t="str">
        <f>CONCATENATE(VLOOKUP(AL229, 'Voxel Sizes'!$A$2:$B$18,2,FALSE),"x",INT(AH229*15), "x", INT(AI229*15))</f>
        <v>136x0x0</v>
      </c>
      <c r="AL229">
        <f t="shared" si="291"/>
        <v>8</v>
      </c>
      <c r="AN229" t="str">
        <f>CONCATENATE(VLOOKUP(AL229,Constants!$A$2:$C$16,IF(AM229&lt;&gt;"", 3, 2), FALSE),IF(AM229&lt;&gt;"",CONCATENATE(",",VLOOKUP(AM229,$B:$AN,39,FALSE)),""))</f>
        <v>2,4,2</v>
      </c>
      <c r="AX229">
        <v>34</v>
      </c>
      <c r="AY229" s="15" t="str">
        <f t="shared" si="292"/>
        <v/>
      </c>
      <c r="BA229">
        <v>-16</v>
      </c>
      <c r="BB229">
        <f t="shared" si="293"/>
        <v>12.4</v>
      </c>
      <c r="BC229">
        <f t="shared" si="294"/>
        <v>6.35</v>
      </c>
      <c r="BD229">
        <f t="shared" si="295"/>
        <v>8.5</v>
      </c>
      <c r="BE229" s="3">
        <f t="shared" si="296"/>
        <v>0.88</v>
      </c>
      <c r="BF229">
        <f t="shared" si="297"/>
        <v>0</v>
      </c>
      <c r="BG229">
        <f>VLOOKUP($H229,Constants!$I:$K, 2, FALSE)</f>
        <v>1</v>
      </c>
      <c r="BH229">
        <f>VLOOKUP($H229,Constants!$I:$K, 3, FALSE)*IF(AND(G229="multiple_unit",AB229&lt;110),0.75,1)</f>
        <v>2</v>
      </c>
      <c r="BI229">
        <f>INT(POWER(((Constants!$G$2+$BB229+$BC229+$BD229+$BF229)*$BE229)*$BH229, 1.05))+$BA229</f>
        <v>53</v>
      </c>
      <c r="BJ229">
        <f>INT(POWER((((Constants!$G$1+$BB229+$BC229+$BD229+$BF229)*($BE229))*$BG229),IF($G229="wagon",1,1.2)))+$AZ229</f>
        <v>76</v>
      </c>
      <c r="BK229" s="14">
        <f t="shared" si="298"/>
        <v>41406.25</v>
      </c>
      <c r="BL229" s="14">
        <f t="shared" si="299"/>
        <v>6175</v>
      </c>
      <c r="BU229">
        <v>6</v>
      </c>
      <c r="BZ229" t="str">
        <f>VLOOKUP(J229,Eras!$A$2:$C$10, 2, TRUE)</f>
        <v>lbr</v>
      </c>
      <c r="CA229" t="s">
        <v>321</v>
      </c>
      <c r="CB229" t="str">
        <f t="shared" si="300"/>
        <v>lbr_Cheap</v>
      </c>
      <c r="CC229" t="str">
        <f t="shared" si="287"/>
        <v>diesel_RAIL</v>
      </c>
      <c r="CD229" s="17" t="str" cm="1">
        <f t="array" ref="CD229">_xlfn.CONCAT("{BLACK}Length: {GOLD}", TEXT(ROUNDUP(IF(AQ229&lt;&gt;"",SUM(VALUE(_xlfn.TEXTSPLIT(AQ229, ","))), SUM(VALUE(_xlfn.TEXTSPLIT(AN229, ",")))*IF(M229, M229, 1))/16, 1), "#,##0.0"), " tiles{}")</f>
        <v>{BLACK}Length: {GOLD}0.5 tiles{}</v>
      </c>
      <c r="CE229" t="str">
        <f>VLOOKUP($CC229, Constants!$M:$N, 2, FALSE)</f>
        <v>{BLACK}Powered by: {GOLD}Diesel</v>
      </c>
      <c r="CG229" t="s">
        <v>1398</v>
      </c>
      <c r="CH229" t="str">
        <f t="shared" si="285"/>
        <v/>
      </c>
      <c r="CI229" t="str">
        <f t="shared" si="288"/>
        <v/>
      </c>
      <c r="CJ229" t="str">
        <f t="shared" si="289"/>
        <v>{BLACK}Powered by: {GOLD}Diesel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30" spans="1:88" x14ac:dyDescent="0.35">
      <c r="A230" t="s">
        <v>589</v>
      </c>
      <c r="B230" t="s">
        <v>174</v>
      </c>
      <c r="C230">
        <v>356</v>
      </c>
      <c r="E230">
        <v>116</v>
      </c>
      <c r="F230" t="s">
        <v>1498</v>
      </c>
      <c r="G230" t="s">
        <v>258</v>
      </c>
      <c r="H230" t="s">
        <v>546</v>
      </c>
      <c r="I230" t="s">
        <v>545</v>
      </c>
      <c r="J230">
        <v>1993</v>
      </c>
      <c r="K230">
        <v>1996</v>
      </c>
      <c r="N230">
        <v>6760</v>
      </c>
      <c r="O230" s="8">
        <v>5360</v>
      </c>
      <c r="W230">
        <v>126</v>
      </c>
      <c r="Z230">
        <v>360</v>
      </c>
      <c r="AA230" s="3">
        <f t="shared" si="290"/>
        <v>0.2857142857142857</v>
      </c>
      <c r="AB230">
        <v>87</v>
      </c>
      <c r="AC230">
        <f t="shared" si="284"/>
        <v>139</v>
      </c>
      <c r="AF230">
        <v>21.36</v>
      </c>
      <c r="AG230">
        <v>21.36</v>
      </c>
      <c r="AJ230" s="10">
        <v>0</v>
      </c>
      <c r="AK230" t="str">
        <f>CONCATENATE(VLOOKUP(AL230, 'Voxel Sizes'!$A$2:$B$18,2,FALSE),"x",INT(AH230*15), "x", INT(AI230*15))</f>
        <v>214x0x0</v>
      </c>
      <c r="AL230">
        <f t="shared" si="291"/>
        <v>13</v>
      </c>
      <c r="AN230" t="str">
        <f>CONCATENATE(VLOOKUP(AL230,Constants!$A$2:$C$16,IF(AM230&lt;&gt;"", 3, 2), FALSE),IF(AM230&lt;&gt;"",CONCATENATE(",",VLOOKUP(AM230,$B:$AN,39,FALSE)),""))</f>
        <v>4,5,4</v>
      </c>
      <c r="AS230" t="s">
        <v>174</v>
      </c>
      <c r="AX230">
        <v>24</v>
      </c>
      <c r="AY230" s="15" t="str">
        <f t="shared" si="292"/>
        <v/>
      </c>
      <c r="BB230">
        <f t="shared" si="293"/>
        <v>17.399999999999999</v>
      </c>
      <c r="BC230">
        <f t="shared" si="294"/>
        <v>20</v>
      </c>
      <c r="BD230">
        <f t="shared" si="295"/>
        <v>18</v>
      </c>
      <c r="BE230" s="3">
        <f t="shared" si="296"/>
        <v>0.876</v>
      </c>
      <c r="BF230">
        <f t="shared" si="297"/>
        <v>0</v>
      </c>
      <c r="BG230">
        <f>VLOOKUP($H230,Constants!$I:$K, 2, FALSE)</f>
        <v>0.85</v>
      </c>
      <c r="BH230">
        <f>VLOOKUP($H230,Constants!$I:$K, 3, FALSE)*IF(AND(G230="multiple_unit",AB230&lt;110),0.75,1)</f>
        <v>2.4</v>
      </c>
      <c r="BI230">
        <f>INT(POWER(((Constants!$G$2+$BB230+$BC230+$BD230+$BF230)*$BE230)*$BH230, 1.05))+$BA230</f>
        <v>161</v>
      </c>
      <c r="BJ230">
        <f>INT(POWER((((Constants!$G$1+$BB230+$BC230+$BD230+$BF230)*($BE230))*$BG230),IF($G230="wagon",1,1.2)))+$AZ230</f>
        <v>115</v>
      </c>
      <c r="BK230" s="14">
        <f t="shared" si="298"/>
        <v>125781.25</v>
      </c>
      <c r="BL230" s="14">
        <f t="shared" si="299"/>
        <v>9343.75</v>
      </c>
      <c r="BU230">
        <v>10</v>
      </c>
      <c r="BZ230" t="str">
        <f>VLOOKUP(J230,Eras!$A$2:$C$10, 2, TRUE)</f>
        <v>lbr</v>
      </c>
      <c r="CA230" t="s">
        <v>324</v>
      </c>
      <c r="CB230" t="str">
        <f t="shared" si="300"/>
        <v>lbr_Freight</v>
      </c>
      <c r="CC230" t="str">
        <f t="shared" si="287"/>
        <v>dual_electric_DUAL_POWER</v>
      </c>
      <c r="CD230" s="17" t="str" cm="1">
        <f t="array" ref="CD230">_xlfn.CONCAT("{BLACK}Length: {GOLD}", TEXT(ROUNDUP(IF(AQ230&lt;&gt;"",SUM(VALUE(_xlfn.TEXTSPLIT(AQ230, ","))), SUM(VALUE(_xlfn.TEXTSPLIT(AN230, ",")))*IF(M230, M230, 1))/16, 1), "#,##0.0"), " tiles{}")</f>
        <v>{BLACK}Length: {GOLD}0.9 tiles{}</v>
      </c>
      <c r="CE230" t="str">
        <f>VLOOKUP($CC230, Constants!$M:$N, 2, FALSE)</f>
        <v>{BLACK}Powered by: {GOLD}25kV AC / 750V DC</v>
      </c>
      <c r="CF230" t="str">
        <f t="shared" ref="CF230:CF272" si="301">IF(M230&gt;1,_xlfn.CONCAT("{BLACK}Cars: {GOLD}", M230),"")</f>
        <v/>
      </c>
      <c r="CG230" t="s">
        <v>573</v>
      </c>
      <c r="CH230" t="str">
        <f t="shared" si="285"/>
        <v/>
      </c>
      <c r="CI230" t="str">
        <f t="shared" si="288"/>
        <v/>
      </c>
      <c r="CJ230" t="str">
        <f t="shared" si="289"/>
        <v>{BLACK}Powered by: {GOLD}25kV AC / 750V DC {}{BLACK}Length: {GOLD}0.9 tiles{}{SILVER}The Class 92 was designed to operate services through the Channel Tunnel. It can run on both the Southern Region third rail system and overhead wires.</v>
      </c>
    </row>
    <row r="231" spans="1:88" x14ac:dyDescent="0.35">
      <c r="A231" t="s">
        <v>45</v>
      </c>
      <c r="B231" t="s">
        <v>175</v>
      </c>
      <c r="C231">
        <v>358</v>
      </c>
      <c r="E231">
        <v>117</v>
      </c>
      <c r="F231" t="s">
        <v>1498</v>
      </c>
      <c r="G231" t="s">
        <v>258</v>
      </c>
      <c r="H231" t="s">
        <v>268</v>
      </c>
      <c r="I231" t="s">
        <v>270</v>
      </c>
      <c r="J231">
        <v>1998</v>
      </c>
      <c r="K231">
        <v>2015</v>
      </c>
      <c r="N231">
        <v>3300</v>
      </c>
      <c r="W231">
        <v>129.6</v>
      </c>
      <c r="Z231">
        <v>260</v>
      </c>
      <c r="AA231" s="3">
        <f t="shared" si="290"/>
        <v>0.20061728395061729</v>
      </c>
      <c r="AB231">
        <v>75</v>
      </c>
      <c r="AC231">
        <f t="shared" si="284"/>
        <v>120</v>
      </c>
      <c r="AF231">
        <v>21.4</v>
      </c>
      <c r="AG231">
        <v>21.4</v>
      </c>
      <c r="AI231">
        <v>3.9</v>
      </c>
      <c r="AJ231" s="10">
        <v>0</v>
      </c>
      <c r="AK231" t="str">
        <f>CONCATENATE(VLOOKUP(AL231, 'Voxel Sizes'!$A$2:$B$18,2,FALSE),"x",INT(AH231*15), "x", INT(AI231*15))</f>
        <v>214x0x58</v>
      </c>
      <c r="AL231">
        <f t="shared" si="291"/>
        <v>13</v>
      </c>
      <c r="AN231" t="str">
        <f>CONCATENATE(VLOOKUP(AL231,Constants!$A$2:$C$16,IF(AM231&lt;&gt;"", 3, 2), FALSE),IF(AM231&lt;&gt;"",CONCATENATE(",",VLOOKUP(AM231,$B:$AN,39,FALSE)),""))</f>
        <v>4,5,4</v>
      </c>
      <c r="AX231">
        <v>30</v>
      </c>
      <c r="AY231" s="15" t="str">
        <f t="shared" si="292"/>
        <v/>
      </c>
      <c r="BB231">
        <f t="shared" si="293"/>
        <v>15</v>
      </c>
      <c r="BC231">
        <f t="shared" si="294"/>
        <v>16.5</v>
      </c>
      <c r="BD231">
        <f t="shared" si="295"/>
        <v>13</v>
      </c>
      <c r="BE231" s="3">
        <f t="shared" si="296"/>
        <v>0.86933333333333329</v>
      </c>
      <c r="BF231">
        <f t="shared" si="297"/>
        <v>0</v>
      </c>
      <c r="BG231">
        <f>VLOOKUP($H231,Constants!$I:$K, 2, FALSE)</f>
        <v>1</v>
      </c>
      <c r="BH231">
        <f>VLOOKUP($H231,Constants!$I:$K, 3, FALSE)*IF(AND(G231="multiple_unit",AB231&lt;110),0.75,1)</f>
        <v>2</v>
      </c>
      <c r="BI231">
        <f>INT(POWER(((Constants!$G$2+$BB231+$BC231+$BD231+$BF231)*$BE231)*$BH231, 1.05))+$BA231</f>
        <v>107</v>
      </c>
      <c r="BJ231">
        <f>INT(POWER((((Constants!$G$1+$BB231+$BC231+$BD231+$BF231)*($BE231))*$BG231),IF($G231="wagon",1,1.2)))+$AZ231</f>
        <v>113</v>
      </c>
      <c r="BK231" s="14">
        <f t="shared" si="298"/>
        <v>83593.75</v>
      </c>
      <c r="BL231" s="14">
        <f t="shared" si="299"/>
        <v>9181.25</v>
      </c>
      <c r="BU231">
        <v>11</v>
      </c>
      <c r="BZ231" t="str">
        <f>VLOOKUP(J231,Eras!$A$2:$C$10, 2, TRUE)</f>
        <v>prv</v>
      </c>
      <c r="CA231" t="s">
        <v>324</v>
      </c>
      <c r="CB231" t="str">
        <f t="shared" si="300"/>
        <v>prv_Freight</v>
      </c>
      <c r="CC231" t="str">
        <f t="shared" si="287"/>
        <v>diesel_RAIL</v>
      </c>
      <c r="CD231" s="17" t="str" cm="1">
        <f t="array" ref="CD231">_xlfn.CONCAT("{BLACK}Length: {GOLD}", TEXT(ROUNDUP(IF(AQ231&lt;&gt;"",SUM(VALUE(_xlfn.TEXTSPLIT(AQ231, ","))), SUM(VALUE(_xlfn.TEXTSPLIT(AN231, ",")))*IF(M231, M231, 1))/16, 1), "#,##0.0"), " tiles{}")</f>
        <v>{BLACK}Length: {GOLD}0.9 tiles{}</v>
      </c>
      <c r="CE231" t="str">
        <f>VLOOKUP($CC231, Constants!$M:$N, 2, FALSE)</f>
        <v>{BLACK}Powered by: {GOLD}Diesel</v>
      </c>
      <c r="CF231" t="str">
        <f t="shared" si="301"/>
        <v/>
      </c>
      <c r="CG231" t="s">
        <v>555</v>
      </c>
      <c r="CH231" t="str">
        <f t="shared" si="285"/>
        <v/>
      </c>
      <c r="CI231" t="str">
        <f t="shared" si="288"/>
        <v/>
      </c>
      <c r="CJ231" t="str">
        <f t="shared" si="289"/>
        <v>{BLACK}Powered by: {GOLD}Diesel {}{BLACK}Length: {GOLD}0.9 tiles{}{SILVER}After the successful introduction of the Class 59, EWS approached GM's Electro-Motive diesel with a huge order of 250 locomotives which would become Class 66.</v>
      </c>
    </row>
    <row r="232" spans="1:88" x14ac:dyDescent="0.35">
      <c r="A232" t="s">
        <v>124</v>
      </c>
      <c r="B232" t="s">
        <v>230</v>
      </c>
      <c r="C232">
        <v>360</v>
      </c>
      <c r="E232">
        <v>118</v>
      </c>
      <c r="F232" t="s">
        <v>1498</v>
      </c>
      <c r="G232" t="s">
        <v>258</v>
      </c>
      <c r="H232" t="s">
        <v>268</v>
      </c>
      <c r="I232" t="s">
        <v>270</v>
      </c>
      <c r="J232">
        <v>1998</v>
      </c>
      <c r="K232">
        <v>2004</v>
      </c>
      <c r="N232">
        <v>3000</v>
      </c>
      <c r="W232">
        <v>120.6</v>
      </c>
      <c r="Z232">
        <v>250</v>
      </c>
      <c r="AA232" s="3">
        <f t="shared" si="290"/>
        <v>0.20729684908789386</v>
      </c>
      <c r="AB232">
        <v>95</v>
      </c>
      <c r="AC232">
        <f t="shared" si="284"/>
        <v>152</v>
      </c>
      <c r="AF232">
        <v>19.38</v>
      </c>
      <c r="AG232">
        <v>19.38</v>
      </c>
      <c r="AI232">
        <v>3.9</v>
      </c>
      <c r="AJ232" s="10">
        <v>0</v>
      </c>
      <c r="AK232" t="str">
        <f>CONCATENATE(VLOOKUP(AL232, 'Voxel Sizes'!$A$2:$B$18,2,FALSE),"x",INT(AH232*15), "x", INT(AI232*15))</f>
        <v>186x0x58</v>
      </c>
      <c r="AL232">
        <f t="shared" si="291"/>
        <v>11</v>
      </c>
      <c r="AN232" t="str">
        <f>CONCATENATE(VLOOKUP(AL232,Constants!$A$2:$C$16,IF(AM232&lt;&gt;"", 3, 2), FALSE),IF(AM232&lt;&gt;"",CONCATENATE(",",VLOOKUP(AM232,$B:$AN,39,FALSE)),""))</f>
        <v>4,3,4</v>
      </c>
      <c r="AX232">
        <v>30</v>
      </c>
      <c r="AY232" s="15" t="str">
        <f t="shared" si="292"/>
        <v/>
      </c>
      <c r="BB232">
        <f t="shared" si="293"/>
        <v>19</v>
      </c>
      <c r="BC232">
        <f t="shared" si="294"/>
        <v>15</v>
      </c>
      <c r="BD232">
        <f t="shared" si="295"/>
        <v>12.5</v>
      </c>
      <c r="BE232" s="3">
        <f t="shared" si="296"/>
        <v>0.86933333333333329</v>
      </c>
      <c r="BF232">
        <f t="shared" si="297"/>
        <v>0</v>
      </c>
      <c r="BG232">
        <f>VLOOKUP($H232,Constants!$I:$K, 2, FALSE)</f>
        <v>1</v>
      </c>
      <c r="BH232">
        <f>VLOOKUP($H232,Constants!$I:$K, 3, FALSE)*IF(AND(G232="multiple_unit",AB232&lt;110),0.75,1)</f>
        <v>2</v>
      </c>
      <c r="BI232">
        <f>INT(POWER(((Constants!$G$2+$BB232+$BC232+$BD232+$BF232)*$BE232)*$BH232, 1.05))+$BA232</f>
        <v>112</v>
      </c>
      <c r="BJ232">
        <f>INT(POWER((((Constants!$G$1+$BB232+$BC232+$BD232+$BF232)*($BE232))*$BG232),IF($G232="wagon",1,1.2)))+$AZ232</f>
        <v>118</v>
      </c>
      <c r="BK232" s="14">
        <f t="shared" si="298"/>
        <v>87500</v>
      </c>
      <c r="BL232" s="14">
        <f t="shared" si="299"/>
        <v>9587.5</v>
      </c>
      <c r="BU232">
        <v>12</v>
      </c>
      <c r="BZ232" t="str">
        <f>VLOOKUP(J232,Eras!$A$2:$C$10, 2, TRUE)</f>
        <v>prv</v>
      </c>
      <c r="CA232" t="s">
        <v>324</v>
      </c>
      <c r="CB232" t="str">
        <f t="shared" si="300"/>
        <v>prv_Freight</v>
      </c>
      <c r="CC232" t="str">
        <f t="shared" si="287"/>
        <v>diesel_RAIL</v>
      </c>
      <c r="CD232" s="17" t="str" cm="1">
        <f t="array" ref="CD232">_xlfn.CONCAT("{BLACK}Length: {GOLD}", TEXT(ROUNDUP(IF(AQ232&lt;&gt;"",SUM(VALUE(_xlfn.TEXTSPLIT(AQ232, ","))), SUM(VALUE(_xlfn.TEXTSPLIT(AN232, ",")))*IF(M232, M232, 1))/16, 1), "#,##0.0"), " tiles{}")</f>
        <v>{BLACK}Length: {GOLD}0.7 tiles{}</v>
      </c>
      <c r="CE232" t="str">
        <f>VLOOKUP($CC232, Constants!$M:$N, 2, FALSE)</f>
        <v>{BLACK}Powered by: {GOLD}Diesel</v>
      </c>
      <c r="CF232" t="str">
        <f t="shared" si="301"/>
        <v/>
      </c>
      <c r="CG232" t="s">
        <v>556</v>
      </c>
      <c r="CH232" t="str">
        <f t="shared" si="285"/>
        <v/>
      </c>
      <c r="CI232" t="str">
        <f t="shared" si="288"/>
        <v/>
      </c>
      <c r="CJ232" t="str">
        <f t="shared" si="289"/>
        <v>{BLACK}Powered by: {GOLD}Diesel {}{BLACK}Length: {GOLD}0.7 tiles{}{SILVER}The Class 57 is a re-engineered locomotive using Class 47 bodyshells and parts, giving rise to its "Bodysnatcher" nickname.</v>
      </c>
    </row>
    <row r="233" spans="1:88" x14ac:dyDescent="0.35">
      <c r="A233" t="s">
        <v>588</v>
      </c>
      <c r="B233" t="s">
        <v>572</v>
      </c>
      <c r="C233">
        <v>362</v>
      </c>
      <c r="E233">
        <v>119</v>
      </c>
      <c r="F233" t="s">
        <v>1498</v>
      </c>
      <c r="G233" t="s">
        <v>258</v>
      </c>
      <c r="H233" t="s">
        <v>268</v>
      </c>
      <c r="I233" t="s">
        <v>270</v>
      </c>
      <c r="J233">
        <v>1999</v>
      </c>
      <c r="K233">
        <v>2000</v>
      </c>
      <c r="N233">
        <v>3200</v>
      </c>
      <c r="W233">
        <v>88</v>
      </c>
      <c r="Z233">
        <v>144</v>
      </c>
      <c r="AA233" s="3">
        <f t="shared" si="290"/>
        <v>0.16363636363636364</v>
      </c>
      <c r="AB233">
        <v>125</v>
      </c>
      <c r="AC233">
        <f t="shared" si="284"/>
        <v>200</v>
      </c>
      <c r="AF233">
        <v>19.71</v>
      </c>
      <c r="AG233">
        <v>19.71</v>
      </c>
      <c r="AI233">
        <v>3.93</v>
      </c>
      <c r="AJ233" s="10">
        <v>0</v>
      </c>
      <c r="AK233" t="str">
        <f>CONCATENATE(VLOOKUP(AL233, 'Voxel Sizes'!$A$2:$B$18,2,FALSE),"x",INT(AH233*15), "x", INT(AI233*15))</f>
        <v>198x0x58</v>
      </c>
      <c r="AL233">
        <f t="shared" si="291"/>
        <v>12</v>
      </c>
      <c r="AN233" t="str">
        <f>CONCATENATE(VLOOKUP(AL233,Constants!$A$2:$C$16,IF(AM233&lt;&gt;"", 3, 2), FALSE),IF(AM233&lt;&gt;"",CONCATENATE(",",VLOOKUP(AM233,$B:$AN,39,FALSE)),""))</f>
        <v>4,4,4</v>
      </c>
      <c r="AX233">
        <v>30</v>
      </c>
      <c r="AY233" s="15" t="str">
        <f t="shared" si="292"/>
        <v/>
      </c>
      <c r="BB233">
        <f t="shared" si="293"/>
        <v>25</v>
      </c>
      <c r="BC233">
        <f t="shared" si="294"/>
        <v>16</v>
      </c>
      <c r="BD233">
        <f t="shared" si="295"/>
        <v>7.1999999999999993</v>
      </c>
      <c r="BE233" s="3">
        <f t="shared" si="296"/>
        <v>0.86799999999999999</v>
      </c>
      <c r="BF233">
        <f t="shared" si="297"/>
        <v>0</v>
      </c>
      <c r="BG233">
        <f>VLOOKUP($H233,Constants!$I:$K, 2, FALSE)</f>
        <v>1</v>
      </c>
      <c r="BH233">
        <f>VLOOKUP($H233,Constants!$I:$K, 3, FALSE)*IF(AND(G233="multiple_unit",AB233&lt;110),0.75,1)</f>
        <v>2</v>
      </c>
      <c r="BI233">
        <f>INT(POWER(((Constants!$G$2+$BB233+$BC233+$BD233+$BF233)*$BE233)*$BH233, 1.05))+$BA233</f>
        <v>115</v>
      </c>
      <c r="BJ233">
        <f>INT(POWER((((Constants!$G$1+$BB233+$BC233+$BD233+$BF233)*($BE233))*$BG233),IF($G233="wagon",1,1.2)))+$AZ233</f>
        <v>122</v>
      </c>
      <c r="BK233" s="14">
        <f t="shared" si="298"/>
        <v>89843.75</v>
      </c>
      <c r="BL233" s="14">
        <f t="shared" si="299"/>
        <v>9912.5</v>
      </c>
      <c r="BU233">
        <v>1</v>
      </c>
      <c r="BZ233" t="str">
        <f>VLOOKUP(J233,Eras!$A$2:$C$10, 2, TRUE)</f>
        <v>prv</v>
      </c>
      <c r="CA233" t="s">
        <v>324</v>
      </c>
      <c r="CB233" t="str">
        <f t="shared" si="300"/>
        <v>prv_Freight</v>
      </c>
      <c r="CC233" t="str">
        <f t="shared" si="287"/>
        <v>diesel_RAIL</v>
      </c>
      <c r="CD233" s="17" t="str" cm="1">
        <f t="array" ref="CD233">_xlfn.CONCAT("{BLACK}Length: {GOLD}", TEXT(ROUNDUP(IF(AQ233&lt;&gt;"",SUM(VALUE(_xlfn.TEXTSPLIT(AQ233, ","))), SUM(VALUE(_xlfn.TEXTSPLIT(AN233, ",")))*IF(M233, M233, 1))/16, 1), "#,##0.0"), " tiles{}")</f>
        <v>{BLACK}Length: {GOLD}0.8 tiles{}</v>
      </c>
      <c r="CE233" t="str">
        <f>VLOOKUP($CC233, Constants!$M:$N, 2, FALSE)</f>
        <v>{BLACK}Powered by: {GOLD}Diesel</v>
      </c>
      <c r="CF233" t="str">
        <f t="shared" si="301"/>
        <v/>
      </c>
      <c r="CG233" t="s">
        <v>571</v>
      </c>
      <c r="CH233" t="str">
        <f t="shared" si="285"/>
        <v/>
      </c>
      <c r="CI233" t="str">
        <f t="shared" si="288"/>
        <v/>
      </c>
      <c r="CJ233" t="str">
        <f t="shared" si="289"/>
        <v>{BLACK}Powered by: {GOLD}Diesel {}{BLACK}Length: {GOLD}0.8 tiles{}{SILVER}The Class 67 is a high speed freight locomotive designed for mail service. It uses EMD engines, generators and traction motors.</v>
      </c>
    </row>
    <row r="234" spans="1:88" x14ac:dyDescent="0.35">
      <c r="A234" t="s">
        <v>50</v>
      </c>
      <c r="B234" t="s">
        <v>176</v>
      </c>
      <c r="C234">
        <v>364</v>
      </c>
      <c r="E234">
        <v>120</v>
      </c>
      <c r="F234" t="s">
        <v>1498</v>
      </c>
      <c r="G234" t="s">
        <v>258</v>
      </c>
      <c r="H234" t="s">
        <v>268</v>
      </c>
      <c r="I234" t="s">
        <v>270</v>
      </c>
      <c r="J234">
        <v>2008</v>
      </c>
      <c r="K234">
        <v>2017</v>
      </c>
      <c r="N234">
        <v>3690</v>
      </c>
      <c r="W234">
        <v>129</v>
      </c>
      <c r="Z234">
        <v>330</v>
      </c>
      <c r="AA234" s="3">
        <f t="shared" si="290"/>
        <v>0.2558139534883721</v>
      </c>
      <c r="AB234">
        <v>75</v>
      </c>
      <c r="AC234">
        <f t="shared" si="284"/>
        <v>120</v>
      </c>
      <c r="AF234">
        <v>21.27</v>
      </c>
      <c r="AG234">
        <v>21.27</v>
      </c>
      <c r="AI234">
        <v>3.91</v>
      </c>
      <c r="AJ234" s="10">
        <v>0</v>
      </c>
      <c r="AK234" t="str">
        <f>CONCATENATE(VLOOKUP(AL234, 'Voxel Sizes'!$A$2:$B$18,2,FALSE),"x",INT(AH234*15), "x", INT(AI234*15))</f>
        <v>198x0x58</v>
      </c>
      <c r="AL234">
        <f t="shared" si="291"/>
        <v>12</v>
      </c>
      <c r="AN234" t="str">
        <f>CONCATENATE(VLOOKUP(AL234,Constants!$A$2:$C$16,IF(AM234&lt;&gt;"", 3, 2), FALSE),IF(AM234&lt;&gt;"",CONCATENATE(",",VLOOKUP(AM234,$B:$AN,39,FALSE)),""))</f>
        <v>4,4,4</v>
      </c>
      <c r="AX234">
        <v>30</v>
      </c>
      <c r="AY234" s="15" t="str">
        <f t="shared" si="292"/>
        <v/>
      </c>
      <c r="BB234">
        <f t="shared" si="293"/>
        <v>15</v>
      </c>
      <c r="BC234">
        <f t="shared" si="294"/>
        <v>18.45</v>
      </c>
      <c r="BD234">
        <f t="shared" si="295"/>
        <v>16.5</v>
      </c>
      <c r="BE234" s="3">
        <f t="shared" si="296"/>
        <v>0.85599999999999998</v>
      </c>
      <c r="BF234">
        <f t="shared" si="297"/>
        <v>0</v>
      </c>
      <c r="BG234">
        <f>VLOOKUP($H234,Constants!$I:$K, 2, FALSE)</f>
        <v>1</v>
      </c>
      <c r="BH234">
        <f>VLOOKUP($H234,Constants!$I:$K, 3, FALSE)*IF(AND(G234="multiple_unit",AB234&lt;110),0.75,1)</f>
        <v>2</v>
      </c>
      <c r="BI234">
        <f>INT(POWER(((Constants!$G$2+$BB234+$BC234+$BD234+$BF234)*$BE234)*$BH234, 1.05))+$BA234</f>
        <v>118</v>
      </c>
      <c r="BJ234">
        <f>INT(POWER((((Constants!$G$1+$BB234+$BC234+$BD234+$BF234)*($BE234))*$BG234),IF($G234="wagon",1,1.2)))+$AZ234</f>
        <v>124</v>
      </c>
      <c r="BK234" s="14">
        <f t="shared" si="298"/>
        <v>92187.5</v>
      </c>
      <c r="BL234" s="14">
        <f t="shared" si="299"/>
        <v>10075</v>
      </c>
      <c r="BU234">
        <v>2</v>
      </c>
      <c r="BZ234" t="str">
        <f>VLOOKUP(J234,Eras!$A$2:$C$10, 2, TRUE)</f>
        <v>mod</v>
      </c>
      <c r="CA234" t="s">
        <v>324</v>
      </c>
      <c r="CB234" t="str">
        <f t="shared" si="300"/>
        <v>mod_Freight</v>
      </c>
      <c r="CC234" t="str">
        <f t="shared" si="287"/>
        <v>diesel_RAIL</v>
      </c>
      <c r="CD234" s="17" t="str" cm="1">
        <f t="array" ref="CD234">_xlfn.CONCAT("{BLACK}Length: {GOLD}", TEXT(ROUNDUP(IF(AQ234&lt;&gt;"",SUM(VALUE(_xlfn.TEXTSPLIT(AQ234, ","))), SUM(VALUE(_xlfn.TEXTSPLIT(AN234, ",")))*IF(M234, M234, 1))/16, 1), "#,##0.0"), " tiles{}")</f>
        <v>{BLACK}Length: {GOLD}0.8 tiles{}</v>
      </c>
      <c r="CE234" t="str">
        <f>VLOOKUP($CC234, Constants!$M:$N, 2, FALSE)</f>
        <v>{BLACK}Powered by: {GOLD}Diesel</v>
      </c>
      <c r="CF234" t="str">
        <f t="shared" si="301"/>
        <v/>
      </c>
      <c r="CG234" t="s">
        <v>585</v>
      </c>
      <c r="CH234" t="str">
        <f t="shared" si="285"/>
        <v/>
      </c>
      <c r="CI234" t="str">
        <f t="shared" si="288"/>
        <v/>
      </c>
      <c r="CJ234" t="str">
        <f t="shared" si="289"/>
        <v>{BLACK}Powered by: {GOLD}Diesel {}{BLACK}Length: {GOLD}0.8 tiles{}{SILVER}The General Electric Class 70 is designed with crash safety in mind, hence the bonnet-like structure at each end.</v>
      </c>
    </row>
    <row r="235" spans="1:88" x14ac:dyDescent="0.35">
      <c r="A235" t="s">
        <v>587</v>
      </c>
      <c r="B235" t="s">
        <v>586</v>
      </c>
      <c r="C235">
        <v>366</v>
      </c>
      <c r="E235">
        <v>121</v>
      </c>
      <c r="F235" t="s">
        <v>1498</v>
      </c>
      <c r="G235" t="s">
        <v>258</v>
      </c>
      <c r="H235" t="s">
        <v>268</v>
      </c>
      <c r="I235" t="s">
        <v>270</v>
      </c>
      <c r="J235">
        <v>2013</v>
      </c>
      <c r="K235">
        <v>2016</v>
      </c>
      <c r="N235">
        <v>3800</v>
      </c>
      <c r="W235">
        <v>85</v>
      </c>
      <c r="Z235">
        <v>317</v>
      </c>
      <c r="AA235" s="3">
        <f t="shared" si="290"/>
        <v>0.37294117647058822</v>
      </c>
      <c r="AB235">
        <v>100</v>
      </c>
      <c r="AC235">
        <f t="shared" si="284"/>
        <v>160</v>
      </c>
      <c r="AF235">
        <v>20.5</v>
      </c>
      <c r="AG235">
        <v>20.5</v>
      </c>
      <c r="AJ235" s="10">
        <v>0</v>
      </c>
      <c r="AK235" t="str">
        <f>CONCATENATE(VLOOKUP(AL235, 'Voxel Sizes'!$A$2:$B$18,2,FALSE),"x",INT(AH235*15), "x", INT(AI235*15))</f>
        <v>198x0x0</v>
      </c>
      <c r="AL235">
        <f t="shared" si="291"/>
        <v>12</v>
      </c>
      <c r="AN235" t="str">
        <f>CONCATENATE(VLOOKUP(AL235,Constants!$A$2:$C$16,IF(AM235&lt;&gt;"", 3, 2), FALSE),IF(AM235&lt;&gt;"",CONCATENATE(",",VLOOKUP(AM235,$B:$AN,39,FALSE)),""))</f>
        <v>4,4,4</v>
      </c>
      <c r="AX235">
        <v>30</v>
      </c>
      <c r="AY235" s="15" t="str">
        <f t="shared" si="292"/>
        <v/>
      </c>
      <c r="BB235">
        <f t="shared" si="293"/>
        <v>20</v>
      </c>
      <c r="BC235">
        <f t="shared" si="294"/>
        <v>19</v>
      </c>
      <c r="BD235">
        <f t="shared" si="295"/>
        <v>15.85</v>
      </c>
      <c r="BE235" s="3">
        <f t="shared" si="296"/>
        <v>0.84933333333333327</v>
      </c>
      <c r="BF235">
        <f t="shared" si="297"/>
        <v>0</v>
      </c>
      <c r="BG235">
        <f>VLOOKUP($H235,Constants!$I:$K, 2, FALSE)</f>
        <v>1</v>
      </c>
      <c r="BH235">
        <f>VLOOKUP($H235,Constants!$I:$K, 3, FALSE)*IF(AND(G235="multiple_unit",AB235&lt;110),0.75,1)</f>
        <v>2</v>
      </c>
      <c r="BI235">
        <f>INT(POWER(((Constants!$G$2+$BB235+$BC235+$BD235+$BF235)*$BE235)*$BH235, 1.05))+$BA235</f>
        <v>128</v>
      </c>
      <c r="BJ235">
        <f>INT(POWER((((Constants!$G$1+$BB235+$BC235+$BD235+$BF235)*($BE235))*$BG235),IF($G235="wagon",1,1.2)))+$AZ235</f>
        <v>134</v>
      </c>
      <c r="BK235" s="14">
        <f t="shared" si="298"/>
        <v>100000</v>
      </c>
      <c r="BL235" s="14">
        <f t="shared" si="299"/>
        <v>10887.5</v>
      </c>
      <c r="BU235">
        <v>3</v>
      </c>
      <c r="BZ235" t="str">
        <f>VLOOKUP(J235,Eras!$A$2:$C$10, 2, TRUE)</f>
        <v>mod</v>
      </c>
      <c r="CA235" t="s">
        <v>322</v>
      </c>
      <c r="CB235" t="str">
        <f t="shared" si="300"/>
        <v>mod_Mixed Traffic</v>
      </c>
      <c r="CC235" t="str">
        <f t="shared" si="287"/>
        <v>diesel_RAIL</v>
      </c>
      <c r="CD235" s="17" t="str" cm="1">
        <f t="array" ref="CD235">_xlfn.CONCAT("{BLACK}Length: {GOLD}", TEXT(ROUNDUP(IF(AQ235&lt;&gt;"",SUM(VALUE(_xlfn.TEXTSPLIT(AQ235, ","))), SUM(VALUE(_xlfn.TEXTSPLIT(AN235, ",")))*IF(M235, M235, 1))/16, 1), "#,##0.0"), " tiles{}")</f>
        <v>{BLACK}Length: {GOLD}0.8 tiles{}</v>
      </c>
      <c r="CE235" t="str">
        <f>VLOOKUP($CC235, Constants!$M:$N, 2, FALSE)</f>
        <v>{BLACK}Powered by: {GOLD}Diesel</v>
      </c>
      <c r="CF235" t="str">
        <f t="shared" si="301"/>
        <v/>
      </c>
      <c r="CG235" t="s">
        <v>590</v>
      </c>
      <c r="CH235" t="str">
        <f t="shared" si="285"/>
        <v/>
      </c>
      <c r="CI235" t="str">
        <f t="shared" si="288"/>
        <v/>
      </c>
      <c r="CJ235" t="str">
        <f t="shared" si="289"/>
        <v>{BLACK}Powered by: {GOLD}Diesel {}{BLACK}Length: {GOLD}0.8 tiles{}{SILVER}The Class 68 is a modern mixed traffic disel locomotive with a powerful 16-cylinder Caterpillar engine.</v>
      </c>
    </row>
    <row r="236" spans="1:88" x14ac:dyDescent="0.35">
      <c r="A236" t="s">
        <v>54</v>
      </c>
      <c r="B236" t="s">
        <v>177</v>
      </c>
      <c r="C236">
        <v>368</v>
      </c>
      <c r="E236">
        <v>122</v>
      </c>
      <c r="F236" t="s">
        <v>1498</v>
      </c>
      <c r="G236" t="s">
        <v>258</v>
      </c>
      <c r="H236" t="s">
        <v>535</v>
      </c>
      <c r="I236" t="s">
        <v>292</v>
      </c>
      <c r="J236">
        <v>2015</v>
      </c>
      <c r="K236">
        <v>2016</v>
      </c>
      <c r="N236">
        <v>5400</v>
      </c>
      <c r="O236" s="8">
        <v>940</v>
      </c>
      <c r="W236">
        <v>86</v>
      </c>
      <c r="Z236">
        <v>317</v>
      </c>
      <c r="AA236" s="3">
        <f t="shared" si="290"/>
        <v>0.36860465116279068</v>
      </c>
      <c r="AB236">
        <v>100</v>
      </c>
      <c r="AC236">
        <f t="shared" si="284"/>
        <v>160</v>
      </c>
      <c r="AF236">
        <v>20.5</v>
      </c>
      <c r="AG236">
        <v>20.5</v>
      </c>
      <c r="AJ236" s="10">
        <v>0</v>
      </c>
      <c r="AK236" t="str">
        <f>CONCATENATE(VLOOKUP(AL236, 'Voxel Sizes'!$A$2:$B$18,2,FALSE),"x",INT(AH236*15), "x", INT(AI236*15))</f>
        <v>198x0x0</v>
      </c>
      <c r="AL236">
        <f t="shared" si="291"/>
        <v>12</v>
      </c>
      <c r="AN236" t="str">
        <f>CONCATENATE(VLOOKUP(AL236,Constants!$A$2:$C$16,IF(AM236&lt;&gt;"", 3, 2), FALSE),IF(AM236&lt;&gt;"",CONCATENATE(",",VLOOKUP(AM236,$B:$AN,39,FALSE)),""))</f>
        <v>4,4,4</v>
      </c>
      <c r="AS236" t="s">
        <v>177</v>
      </c>
      <c r="AX236">
        <v>30</v>
      </c>
      <c r="AY236" s="15" t="str">
        <f t="shared" si="292"/>
        <v/>
      </c>
      <c r="BB236">
        <f t="shared" si="293"/>
        <v>20</v>
      </c>
      <c r="BC236">
        <f t="shared" si="294"/>
        <v>20</v>
      </c>
      <c r="BD236">
        <f t="shared" si="295"/>
        <v>15.85</v>
      </c>
      <c r="BE236" s="3">
        <f t="shared" si="296"/>
        <v>0.84666666666666668</v>
      </c>
      <c r="BF236">
        <f t="shared" si="297"/>
        <v>0</v>
      </c>
      <c r="BG236">
        <f>VLOOKUP($H236,Constants!$I:$K, 2, FALSE)</f>
        <v>0.9</v>
      </c>
      <c r="BH236">
        <f>VLOOKUP($H236,Constants!$I:$K, 3, FALSE)*IF(AND(G236="multiple_unit",AB236&lt;110),0.75,1)</f>
        <v>2.5</v>
      </c>
      <c r="BI236">
        <f>INT(POWER(((Constants!$G$2+$BB236+$BC236+$BD236+$BF236)*$BE236)*$BH236, 1.05))+$BA236</f>
        <v>164</v>
      </c>
      <c r="BJ236">
        <f>INT(POWER((((Constants!$G$1+$BB236+$BC236+$BD236+$BF236)*($BE236))*$BG236),IF($G236="wagon",1,1.2)))+$AZ236</f>
        <v>119</v>
      </c>
      <c r="BK236" s="14">
        <f t="shared" si="298"/>
        <v>128125</v>
      </c>
      <c r="BL236" s="14">
        <f t="shared" si="299"/>
        <v>9668.75</v>
      </c>
      <c r="BU236">
        <v>4</v>
      </c>
      <c r="BZ236" t="str">
        <f>VLOOKUP(J236,Eras!$A$2:$C$10, 2, TRUE)</f>
        <v>mod</v>
      </c>
      <c r="CA236" t="s">
        <v>334</v>
      </c>
      <c r="CB236" t="str">
        <f t="shared" si="300"/>
        <v>mod_Freight (Electric)</v>
      </c>
      <c r="CC236" t="str">
        <f t="shared" si="287"/>
        <v>dual_power_ELRL</v>
      </c>
      <c r="CD236" s="17" t="str" cm="1">
        <f t="array" ref="CD236">_xlfn.CONCAT("{BLACK}Length: {GOLD}", TEXT(ROUNDUP(IF(AQ236&lt;&gt;"",SUM(VALUE(_xlfn.TEXTSPLIT(AQ236, ","))), SUM(VALUE(_xlfn.TEXTSPLIT(AN236, ",")))*IF(M236, M236, 1))/16, 1), "#,##0.0"), " tiles{}")</f>
        <v>{BLACK}Length: {GOLD}0.8 tiles{}</v>
      </c>
      <c r="CE236" t="str">
        <f>VLOOKUP($CC236, Constants!$M:$N, 2, FALSE)</f>
        <v>{BLACK}Powered by: {GOLD}25kV AC / Diesel</v>
      </c>
      <c r="CF236" t="str">
        <f t="shared" si="301"/>
        <v/>
      </c>
      <c r="CG236" t="s">
        <v>1481</v>
      </c>
      <c r="CH236" t="str">
        <f t="shared" si="285"/>
        <v/>
      </c>
      <c r="CI236" t="str">
        <f t="shared" si="288"/>
        <v/>
      </c>
      <c r="CJ236" t="str">
        <f t="shared" si="289"/>
        <v>{BLACK}Powered by: {GOLD}25kV AC / Diesel {}{BLACK}Length: {GOLD}0.8 tiles{}{SILVER}The Class 88 is a dual mode version of Stadler's Euro Dual family, sharing many components with the class 68.</v>
      </c>
    </row>
    <row r="237" spans="1:88" x14ac:dyDescent="0.35">
      <c r="A237" t="s">
        <v>67</v>
      </c>
      <c r="B237" t="s">
        <v>178</v>
      </c>
      <c r="C237">
        <v>236</v>
      </c>
      <c r="E237">
        <v>123</v>
      </c>
      <c r="F237" t="s">
        <v>1498</v>
      </c>
      <c r="G237" t="s">
        <v>398</v>
      </c>
      <c r="H237" t="s">
        <v>268</v>
      </c>
      <c r="I237" t="s">
        <v>270</v>
      </c>
      <c r="J237">
        <v>1933</v>
      </c>
      <c r="K237">
        <v>1942</v>
      </c>
      <c r="L237">
        <v>1962</v>
      </c>
      <c r="M237">
        <v>1</v>
      </c>
      <c r="N237">
        <v>260</v>
      </c>
      <c r="W237">
        <v>35</v>
      </c>
      <c r="Y237">
        <v>5</v>
      </c>
      <c r="Z237">
        <v>55</v>
      </c>
      <c r="AA237" s="3">
        <f>IF(AND(W237&gt;0,Z237&gt;0),(Z237/((W237+X237)*10)),"")</f>
        <v>0.15714285714285714</v>
      </c>
      <c r="AB237">
        <v>63</v>
      </c>
      <c r="AC237">
        <f>ROUND(AB237*1.6, 0)</f>
        <v>101</v>
      </c>
      <c r="AF237">
        <v>18.399999999999999</v>
      </c>
      <c r="AG237">
        <v>17</v>
      </c>
      <c r="AJ237" s="10">
        <v>69</v>
      </c>
      <c r="AK237" t="str">
        <f>CONCATENATE(VLOOKUP(AL237, 'Voxel Sizes'!$A$2:$B$18,2,FALSE),"x",INT(AH237*15), "x", INT(AI237*15))</f>
        <v>164x0x0</v>
      </c>
      <c r="AL237">
        <f>ROUND(15*((AG237*10)/256),0)</f>
        <v>10</v>
      </c>
      <c r="AN237" t="str">
        <f>CONCATENATE(VLOOKUP(AL237,Constants!$A$2:$C$16,IF(AM237&lt;&gt;"", 3, 2), FALSE),IF(AM237&lt;&gt;"",CONCATENATE(",",VLOOKUP(AM237,$B:$AN,39,FALSE)),""))</f>
        <v>4,2,4</v>
      </c>
      <c r="AR237" t="s">
        <v>178</v>
      </c>
      <c r="AT237">
        <v>1</v>
      </c>
      <c r="AX237">
        <v>16</v>
      </c>
      <c r="AY237" s="15">
        <f>IF(L237&lt;&gt;"",MAX(16,(L237-J237)+8),"")</f>
        <v>37</v>
      </c>
      <c r="BB237">
        <f>MIN(AB237/150, 1)*30</f>
        <v>12.6</v>
      </c>
      <c r="BC237">
        <f>MIN(N237/4000, 1)*20</f>
        <v>1.3</v>
      </c>
      <c r="BD237">
        <f>MIN(Z237/400,1)*20</f>
        <v>2.75</v>
      </c>
      <c r="BE237" s="3">
        <f>1-(MAX(J237-1900, 0)/750)</f>
        <v>0.95599999999999996</v>
      </c>
      <c r="BF237">
        <f>((MAX($M237,1)*MIN($AJ237/300,1)))*IF(G237="Wagon",50,10)</f>
        <v>2.3000000000000003</v>
      </c>
      <c r="BG237">
        <f>VLOOKUP($H237,Constants!$I:$K, 2, FALSE)</f>
        <v>1</v>
      </c>
      <c r="BH237">
        <f>VLOOKUP($H237,Constants!$I:$K, 3, FALSE)*IF(AND(G237="multiple_unit",AB237&lt;110),0.75,1)</f>
        <v>1.5</v>
      </c>
      <c r="BI237">
        <f>INT(POWER(((Constants!$G$2+$BB237+$BC237+$BD237+$BF237)*$BE237)*$BH237, 1.05))+$BA237</f>
        <v>40</v>
      </c>
      <c r="BJ237">
        <f>INT(POWER((((Constants!$G$1+$BB237+$BC237+$BD237+$BF237)*($BE237))*$BG237),IF($G237="wagon",1,1.2)))+$AZ237</f>
        <v>65</v>
      </c>
      <c r="BK237" s="14">
        <f>BI237*IF($G237="wagon",62.5,781.25)</f>
        <v>31250</v>
      </c>
      <c r="BL237" s="14">
        <f>BJ237*IF($G237="wagon",2.73,81.25)</f>
        <v>5281.25</v>
      </c>
      <c r="BU237">
        <v>9</v>
      </c>
      <c r="BY237" t="s">
        <v>278</v>
      </c>
      <c r="BZ237" t="str">
        <f>VLOOKUP(J237,Eras!$A$2:$C$10, 2, TRUE)</f>
        <v>big4</v>
      </c>
      <c r="CA237" t="s">
        <v>325</v>
      </c>
      <c r="CB237" t="str">
        <f>CONCATENATE(BZ237,"_",CA237)</f>
        <v>big4_DMU (Cheap)</v>
      </c>
      <c r="CC237" t="str">
        <f t="shared" si="287"/>
        <v>diesel_RAIL</v>
      </c>
      <c r="CD237" s="17" t="str" cm="1">
        <f t="array" ref="CD237">_xlfn.CONCAT("{BLACK}Length: {GOLD}", TEXT(ROUNDUP(IF(AQ237&lt;&gt;"",SUM(VALUE(_xlfn.TEXTSPLIT(AQ237, ","))), SUM(VALUE(_xlfn.TEXTSPLIT(AN237, ",")))*IF(M237, M237, 1))/16, 1), "#,##0.0"), " tiles{}")</f>
        <v>{BLACK}Length: {GOLD}0.7 tiles{}</v>
      </c>
      <c r="CE237" t="str">
        <f>VLOOKUP($CC237, Constants!$M:$N, 2, FALSE)</f>
        <v>{BLACK}Powered by: {GOLD}Diesel</v>
      </c>
      <c r="CF237" t="str">
        <f t="shared" si="301"/>
        <v/>
      </c>
      <c r="CG237" t="s">
        <v>443</v>
      </c>
      <c r="CH237" t="str">
        <f t="shared" si="285"/>
        <v/>
      </c>
      <c r="CI237" t="str">
        <f t="shared" si="288"/>
        <v/>
      </c>
      <c r="CJ237" t="str">
        <f t="shared" si="289"/>
        <v>{BLACK}Powered by: {GOLD}Diesel {}{BLACK}Length: {GOLD}0.7 tiles{}{SILVER}The GWR Railcars used AEC bus hardware in a lightweight streamlined body.</v>
      </c>
    </row>
    <row r="238" spans="1:88" x14ac:dyDescent="0.35">
      <c r="A238" t="s">
        <v>71</v>
      </c>
      <c r="B238" t="s">
        <v>229</v>
      </c>
      <c r="C238">
        <v>292</v>
      </c>
      <c r="E238">
        <v>124</v>
      </c>
      <c r="F238" t="s">
        <v>1498</v>
      </c>
      <c r="G238" t="s">
        <v>398</v>
      </c>
      <c r="H238" t="s">
        <v>268</v>
      </c>
      <c r="I238" t="s">
        <v>270</v>
      </c>
      <c r="J238">
        <v>1956</v>
      </c>
      <c r="K238">
        <v>1960</v>
      </c>
      <c r="L238">
        <v>2003</v>
      </c>
      <c r="M238">
        <v>2</v>
      </c>
      <c r="N238">
        <v>600</v>
      </c>
      <c r="W238">
        <f>32.5+25</f>
        <v>57.5</v>
      </c>
      <c r="Y238">
        <v>5</v>
      </c>
      <c r="Z238">
        <v>85</v>
      </c>
      <c r="AA238" s="3">
        <f>IF(AND(W238&gt;0,Z238&gt;0),(Z238/((W238+X238)*10)),"")</f>
        <v>0.14782608695652175</v>
      </c>
      <c r="AB238">
        <v>70</v>
      </c>
      <c r="AC238">
        <f>ROUND(AB238*1.6, 0)</f>
        <v>112</v>
      </c>
      <c r="AF238">
        <v>17.37</v>
      </c>
      <c r="AG238">
        <v>17.37</v>
      </c>
      <c r="AI238">
        <v>3.77</v>
      </c>
      <c r="AJ238" s="10">
        <v>51</v>
      </c>
      <c r="AK238" t="str">
        <f>CONCATENATE(VLOOKUP(AL238, 'Voxel Sizes'!$A$2:$B$18,2,FALSE),"x",INT(AH238*15), "x", INT(AI238*15))</f>
        <v>164x0x56</v>
      </c>
      <c r="AL238">
        <f>ROUND(15*((AG238*10)/256),0)</f>
        <v>10</v>
      </c>
      <c r="AN238" t="str">
        <f>CONCATENATE(VLOOKUP(AL238,Constants!$A$2:$C$16,IF(AM238&lt;&gt;"", 3, 2), FALSE),IF(AM238&lt;&gt;"",CONCATENATE(",",VLOOKUP(AM238,$B:$AN,39,FALSE)),""))</f>
        <v>4,2,4</v>
      </c>
      <c r="AR238" t="s">
        <v>508</v>
      </c>
      <c r="AT238" t="s">
        <v>461</v>
      </c>
      <c r="AX238">
        <v>45</v>
      </c>
      <c r="AY238" s="15">
        <f>IF(L238&lt;&gt;"",MAX(16,(L238-J238)+8),"")</f>
        <v>55</v>
      </c>
      <c r="AZ238">
        <v>-10</v>
      </c>
      <c r="BA238">
        <v>-15</v>
      </c>
      <c r="BB238">
        <f>MIN(AB238/150, 1)*30</f>
        <v>14</v>
      </c>
      <c r="BC238">
        <f>MIN(N238/4000, 1)*20</f>
        <v>3</v>
      </c>
      <c r="BD238">
        <f>MIN(Z238/400,1)*20</f>
        <v>4.25</v>
      </c>
      <c r="BE238" s="3">
        <f>1-(MAX(J238-1900, 0)/750)</f>
        <v>0.92533333333333334</v>
      </c>
      <c r="BF238">
        <f>((MAX($M238,1)*MIN($AJ238/300,1)))*IF(G238="Wagon",50,10)</f>
        <v>3.4000000000000004</v>
      </c>
      <c r="BG238">
        <f>VLOOKUP($H238,Constants!$I:$K, 2, FALSE)</f>
        <v>1</v>
      </c>
      <c r="BH238">
        <f>VLOOKUP($H238,Constants!$I:$K, 3, FALSE)*IF(AND(G238="multiple_unit",AB238&lt;110),0.75,1)</f>
        <v>1.5</v>
      </c>
      <c r="BI238">
        <f>INT(POWER(((Constants!$G$2+$BB238+$BC238+$BD238+$BF238)*$BE238)*$BH238, 1.05))+$BA238</f>
        <v>34</v>
      </c>
      <c r="BJ238">
        <f>INT(POWER((((Constants!$G$1+$BB238+$BC238+$BD238+$BF238)*($BE238))*$BG238),IF($G238="wagon",1,1.2)))+$AZ238</f>
        <v>65</v>
      </c>
      <c r="BK238" s="14">
        <f>BI238*IF($G238="wagon",62.5,781.25)</f>
        <v>26562.5</v>
      </c>
      <c r="BL238" s="14">
        <f>BJ238*IF($G238="wagon",2.73,81.25)</f>
        <v>5281.25</v>
      </c>
      <c r="BU238">
        <v>2</v>
      </c>
      <c r="BY238" t="s">
        <v>278</v>
      </c>
      <c r="BZ238" t="str">
        <f>VLOOKUP(J238,Eras!$A$2:$C$10, 2, TRUE)</f>
        <v>dsl</v>
      </c>
      <c r="CA238" t="s">
        <v>326</v>
      </c>
      <c r="CB238" t="str">
        <f>CONCATENATE(BZ238,"_",CA238)</f>
        <v>dsl_DMU</v>
      </c>
      <c r="CC238" t="str">
        <f t="shared" si="287"/>
        <v>diesel_RAIL</v>
      </c>
      <c r="CD238" s="17" t="str" cm="1">
        <f t="array" ref="CD238">_xlfn.CONCAT("{BLACK}Length: {GOLD}", TEXT(ROUNDUP(IF(AQ238&lt;&gt;"",SUM(VALUE(_xlfn.TEXTSPLIT(AQ238, ","))), SUM(VALUE(_xlfn.TEXTSPLIT(AN238, ",")))*IF(M238, M238, 1))/16, 1), "#,##0.0"), " tiles{}")</f>
        <v>{BLACK}Length: {GOLD}1.3 tiles{}</v>
      </c>
      <c r="CE238" t="str">
        <f>VLOOKUP($CC238, Constants!$M:$N, 2, FALSE)</f>
        <v>{BLACK}Powered by: {GOLD}Diesel</v>
      </c>
      <c r="CF238" t="str">
        <f t="shared" si="301"/>
        <v>{BLACK}Cars: {GOLD}2</v>
      </c>
      <c r="CG238" t="s">
        <v>507</v>
      </c>
      <c r="CH238" t="str">
        <f t="shared" si="285"/>
        <v/>
      </c>
      <c r="CI238" t="str">
        <f t="shared" si="288"/>
        <v/>
      </c>
      <c r="CJ238" t="str">
        <f t="shared" si="289"/>
        <v>{BLACK}Powered by: {GOLD}Diesel {BLACK}Cars: {GOLD}2{}{BLACK}Length: {GOLD}1.3 tiles{}{SILVER}The Class 101 has a four speed gearbox with a manual shift. It was exceptionally long-lived, the final examples being retired in December 2003.</v>
      </c>
    </row>
    <row r="239" spans="1:88" x14ac:dyDescent="0.35">
      <c r="A239" t="s">
        <v>126</v>
      </c>
      <c r="B239" t="s">
        <v>151</v>
      </c>
      <c r="C239">
        <v>420</v>
      </c>
      <c r="E239">
        <v>125</v>
      </c>
      <c r="F239" t="s">
        <v>1498</v>
      </c>
      <c r="G239" t="s">
        <v>398</v>
      </c>
      <c r="H239" t="s">
        <v>1215</v>
      </c>
      <c r="I239" t="s">
        <v>270</v>
      </c>
      <c r="J239">
        <v>1903</v>
      </c>
      <c r="L239">
        <v>1940</v>
      </c>
      <c r="M239">
        <v>1</v>
      </c>
      <c r="N239">
        <v>85</v>
      </c>
      <c r="W239">
        <v>35</v>
      </c>
      <c r="Y239">
        <v>5</v>
      </c>
      <c r="Z239">
        <v>45</v>
      </c>
      <c r="AA239" s="3">
        <f t="shared" si="290"/>
        <v>0.12857142857142856</v>
      </c>
      <c r="AB239">
        <v>40</v>
      </c>
      <c r="AC239">
        <f t="shared" si="284"/>
        <v>64</v>
      </c>
      <c r="AF239">
        <v>16.7</v>
      </c>
      <c r="AG239">
        <v>16.7</v>
      </c>
      <c r="AH239">
        <v>2.59</v>
      </c>
      <c r="AI239">
        <v>3.98</v>
      </c>
      <c r="AJ239" s="10">
        <v>48</v>
      </c>
      <c r="AK239" t="str">
        <f>CONCATENATE(VLOOKUP(AL239, 'Voxel Sizes'!$A$2:$B$18,2,FALSE),"x",INT(AH239*15), "x", INT(AI239*15))</f>
        <v>164x38x59</v>
      </c>
      <c r="AL239">
        <f t="shared" si="291"/>
        <v>10</v>
      </c>
      <c r="AN239" t="str">
        <f>CONCATENATE(VLOOKUP(AL239,Constants!$A$2:$C$16,IF(AM239&lt;&gt;"", 3, 2), FALSE),IF(AM239&lt;&gt;"",CONCATENATE(",",VLOOKUP(AM239,$B:$AN,39,FALSE)),""))</f>
        <v>4,2,4</v>
      </c>
      <c r="AR239" t="s">
        <v>151</v>
      </c>
      <c r="AT239">
        <v>1</v>
      </c>
      <c r="AX239">
        <v>17</v>
      </c>
      <c r="AY239" s="15">
        <f t="shared" si="292"/>
        <v>45</v>
      </c>
      <c r="AZ239">
        <v>-15</v>
      </c>
      <c r="BA239">
        <v>-10</v>
      </c>
      <c r="BB239">
        <f t="shared" si="293"/>
        <v>8</v>
      </c>
      <c r="BC239">
        <f t="shared" si="294"/>
        <v>0.42500000000000004</v>
      </c>
      <c r="BD239">
        <f t="shared" si="295"/>
        <v>2.25</v>
      </c>
      <c r="BE239" s="3">
        <f t="shared" si="296"/>
        <v>0.996</v>
      </c>
      <c r="BF239">
        <f t="shared" si="297"/>
        <v>1.6</v>
      </c>
      <c r="BG239">
        <f>VLOOKUP($H239,Constants!$I:$K, 2, FALSE)</f>
        <v>1.05</v>
      </c>
      <c r="BH239">
        <f>VLOOKUP($H239,Constants!$I:$K, 3, FALSE)*IF(AND(G239="multiple_unit",AB239&lt;110),0.75,1)</f>
        <v>1.4249999999999998</v>
      </c>
      <c r="BI239">
        <f>INT(POWER(((Constants!$G$2+$BB239+$BC239+$BD239+$BF239)*$BE239)*$BH239, 1.05))+$BA239</f>
        <v>18</v>
      </c>
      <c r="BJ239">
        <f>INT(POWER((((Constants!$G$1+$BB239+$BC239+$BD239+$BF239)*($BE239))*$BG239),IF($G239="wagon",1,1.2)))+$AZ239</f>
        <v>40</v>
      </c>
      <c r="BK239" s="14">
        <f t="shared" si="298"/>
        <v>14062.5</v>
      </c>
      <c r="BL239" s="14">
        <f t="shared" si="299"/>
        <v>3250</v>
      </c>
      <c r="BQ239" t="s">
        <v>199</v>
      </c>
      <c r="BU239">
        <v>5</v>
      </c>
      <c r="BV239">
        <v>185</v>
      </c>
      <c r="BY239" t="s">
        <v>278</v>
      </c>
      <c r="BZ239" t="str">
        <f>VLOOKUP(J239,Eras!$A$2:$C$10, 2, TRUE)</f>
        <v>edw</v>
      </c>
      <c r="CA239" t="s">
        <v>325</v>
      </c>
      <c r="CB239" t="str">
        <f t="shared" si="300"/>
        <v>edw_DMU (Cheap)</v>
      </c>
      <c r="CC239" t="str">
        <f t="shared" si="287"/>
        <v>petrol_RAIL</v>
      </c>
      <c r="CD239" s="17" t="str" cm="1">
        <f t="array" ref="CD239">_xlfn.CONCAT("{BLACK}Length: {GOLD}", TEXT(ROUNDUP(IF(AQ239&lt;&gt;"",SUM(VALUE(_xlfn.TEXTSPLIT(AQ239, ","))), SUM(VALUE(_xlfn.TEXTSPLIT(AN239, ",")))*IF(M239, M239, 1))/16, 1), "#,##0.0"), " tiles{}")</f>
        <v>{BLACK}Length: {GOLD}0.7 tiles{}</v>
      </c>
      <c r="CE239" t="str">
        <f>VLOOKUP($CC239, Constants!$M:$N, 2, FALSE)</f>
        <v>{BLACK}Powered by: {GOLD}Petrol</v>
      </c>
      <c r="CF239" t="str">
        <f t="shared" si="301"/>
        <v/>
      </c>
      <c r="CG239" t="s">
        <v>344</v>
      </c>
      <c r="CH239" t="str">
        <f t="shared" si="285"/>
        <v/>
      </c>
      <c r="CI239" t="str">
        <f t="shared" si="288"/>
        <v/>
      </c>
      <c r="CJ239" t="str">
        <f t="shared" si="289"/>
        <v>{BLACK}Powered by: {GOLD}Petrol {}{BLACK}Length: {GOLD}0.7 tiles{}{SILVER}The NER Autocar is a petrol-electric railcar with a petrol engine driving two electric motors. It was the first use of an internal combustion engine in a railway vehicle.</v>
      </c>
    </row>
    <row r="240" spans="1:88" x14ac:dyDescent="0.35">
      <c r="A240" t="s">
        <v>386</v>
      </c>
      <c r="B240" t="s">
        <v>388</v>
      </c>
      <c r="C240">
        <v>422</v>
      </c>
      <c r="E240">
        <v>126</v>
      </c>
      <c r="F240" t="s">
        <v>1498</v>
      </c>
      <c r="G240" t="s">
        <v>398</v>
      </c>
      <c r="H240" t="s">
        <v>291</v>
      </c>
      <c r="I240" t="s">
        <v>298</v>
      </c>
      <c r="J240">
        <v>1914</v>
      </c>
      <c r="L240">
        <v>1960</v>
      </c>
      <c r="M240">
        <v>3</v>
      </c>
      <c r="N240">
        <v>1000</v>
      </c>
      <c r="W240">
        <v>117</v>
      </c>
      <c r="Y240">
        <v>5</v>
      </c>
      <c r="Z240">
        <v>112</v>
      </c>
      <c r="AA240" s="3">
        <f t="shared" si="290"/>
        <v>9.5726495726495733E-2</v>
      </c>
      <c r="AB240">
        <v>60</v>
      </c>
      <c r="AC240">
        <f t="shared" si="284"/>
        <v>96</v>
      </c>
      <c r="AG240">
        <v>17.7</v>
      </c>
      <c r="AJ240" s="10">
        <v>45</v>
      </c>
      <c r="AK240" t="str">
        <f>CONCATENATE(VLOOKUP(AL240, 'Voxel Sizes'!$A$2:$B$18,2,FALSE),"x",INT(AH240*15), "x", INT(AI240*15))</f>
        <v>164x0x0</v>
      </c>
      <c r="AL240">
        <f t="shared" si="291"/>
        <v>10</v>
      </c>
      <c r="AN240" t="str">
        <f>CONCATENATE(VLOOKUP(AL240,Constants!$A$2:$C$16,IF(AM240&lt;&gt;"", 3, 2), FALSE),IF(AM240&lt;&gt;"",CONCATENATE(",",VLOOKUP(AM240,$B:$AN,39,FALSE)),""))</f>
        <v>4,2,4</v>
      </c>
      <c r="AR240" t="s">
        <v>399</v>
      </c>
      <c r="AT240" t="s">
        <v>397</v>
      </c>
      <c r="AX240">
        <v>25</v>
      </c>
      <c r="AY240" s="15">
        <f t="shared" si="292"/>
        <v>54</v>
      </c>
      <c r="AZ240">
        <v>-10</v>
      </c>
      <c r="BA240">
        <v>-15</v>
      </c>
      <c r="BB240">
        <f t="shared" si="293"/>
        <v>12</v>
      </c>
      <c r="BC240">
        <f t="shared" si="294"/>
        <v>5</v>
      </c>
      <c r="BD240">
        <f t="shared" si="295"/>
        <v>5.6000000000000005</v>
      </c>
      <c r="BE240" s="3">
        <f t="shared" si="296"/>
        <v>0.98133333333333328</v>
      </c>
      <c r="BF240">
        <f t="shared" si="297"/>
        <v>4.5</v>
      </c>
      <c r="BG240">
        <f>VLOOKUP($H240,Constants!$I:$K, 2, FALSE)</f>
        <v>0.85</v>
      </c>
      <c r="BH240">
        <f>VLOOKUP($H240,Constants!$I:$K, 3, FALSE)*IF(AND(G240="multiple_unit",AB240&lt;110),0.75,1)</f>
        <v>1.7249999999999999</v>
      </c>
      <c r="BI240">
        <f>INT(POWER(((Constants!$G$2+$BB240+$BC240+$BD240+$BF240)*$BE240)*$BH240, 1.05))+$BA240</f>
        <v>51</v>
      </c>
      <c r="BJ240">
        <f>INT(POWER((((Constants!$G$1+$BB240+$BC240+$BD240+$BF240)*($BE240))*$BG240),IF($G240="wagon",1,1.2)))+$AZ240</f>
        <v>61</v>
      </c>
      <c r="BK240" s="14">
        <f t="shared" si="298"/>
        <v>39843.75</v>
      </c>
      <c r="BL240" s="14">
        <f t="shared" si="299"/>
        <v>4956.25</v>
      </c>
      <c r="BU240">
        <v>6</v>
      </c>
      <c r="BV240">
        <v>185</v>
      </c>
      <c r="BY240" t="s">
        <v>278</v>
      </c>
      <c r="BZ240" t="str">
        <f>VLOOKUP(J240,Eras!$A$2:$C$10, 2, TRUE)</f>
        <v>edw</v>
      </c>
      <c r="CA240" t="s">
        <v>328</v>
      </c>
      <c r="CB240" t="str">
        <f t="shared" si="300"/>
        <v>edw_EMU</v>
      </c>
      <c r="CC240" t="str">
        <f t="shared" si="287"/>
        <v>electric_THIRD_RAIL</v>
      </c>
      <c r="CD240" s="17" t="str" cm="1">
        <f t="array" ref="CD240">_xlfn.CONCAT("{BLACK}Length: {GOLD}", TEXT(ROUNDUP(IF(AQ240&lt;&gt;"",SUM(VALUE(_xlfn.TEXTSPLIT(AQ240, ","))), SUM(VALUE(_xlfn.TEXTSPLIT(AN240, ",")))*IF(M240, M240, 1))/16, 1), "#,##0.0"), " tiles{}")</f>
        <v>{BLACK}Length: {GOLD}1.9 tiles{}</v>
      </c>
      <c r="CE240" t="str">
        <f>VLOOKUP($CC240, Constants!$M:$N, 2, FALSE)</f>
        <v>{BLACK}Powered by: {GOLD}750V DC</v>
      </c>
      <c r="CF240" t="str">
        <f t="shared" si="301"/>
        <v>{BLACK}Cars: {GOLD}3</v>
      </c>
      <c r="CG240" t="s">
        <v>387</v>
      </c>
      <c r="CH240" t="str">
        <f t="shared" si="285"/>
        <v/>
      </c>
      <c r="CI240" t="str">
        <f t="shared" si="288"/>
        <v/>
      </c>
      <c r="CJ240" t="str">
        <f t="shared" si="289"/>
        <v>{BLACK}Powered by: {GOLD}750V DC {BLACK}Cars: {GOLD}3{}{BLACK}Length: {GOLD}1.9 tiles{}{SILVER}The LNWR built electric multiple units for its inner suburban London routes, sharing track with the Bakerloo and District lines.</v>
      </c>
    </row>
    <row r="241" spans="1:88" x14ac:dyDescent="0.35">
      <c r="A241" t="s">
        <v>68</v>
      </c>
      <c r="B241" t="s">
        <v>226</v>
      </c>
      <c r="C241">
        <v>424</v>
      </c>
      <c r="E241">
        <v>127</v>
      </c>
      <c r="F241" t="s">
        <v>1498</v>
      </c>
      <c r="G241" t="s">
        <v>398</v>
      </c>
      <c r="H241" t="s">
        <v>291</v>
      </c>
      <c r="I241" t="s">
        <v>298</v>
      </c>
      <c r="J241">
        <v>1932</v>
      </c>
      <c r="L241">
        <v>1972</v>
      </c>
      <c r="M241">
        <v>5</v>
      </c>
      <c r="N241">
        <v>1800</v>
      </c>
      <c r="W241">
        <v>253</v>
      </c>
      <c r="Y241">
        <v>5</v>
      </c>
      <c r="Z241">
        <v>145</v>
      </c>
      <c r="AA241" s="3">
        <f t="shared" si="290"/>
        <v>5.731225296442688E-2</v>
      </c>
      <c r="AB241">
        <v>75</v>
      </c>
      <c r="AC241">
        <f t="shared" si="284"/>
        <v>120</v>
      </c>
      <c r="AF241">
        <v>20.11</v>
      </c>
      <c r="AG241">
        <v>20.11</v>
      </c>
      <c r="AJ241" s="10">
        <v>33</v>
      </c>
      <c r="AK241" t="str">
        <f>CONCATENATE(VLOOKUP(AL241, 'Voxel Sizes'!$A$2:$B$18,2,FALSE),"x",INT(AH241*15), "x", INT(AI241*15))</f>
        <v>198x0x0</v>
      </c>
      <c r="AL241">
        <f t="shared" si="291"/>
        <v>12</v>
      </c>
      <c r="AN241" t="str">
        <f>CONCATENATE(VLOOKUP(AL241,Constants!$A$2:$C$16,IF(AM241&lt;&gt;"", 3, 2), FALSE),IF(AM241&lt;&gt;"",CONCATENATE(",",VLOOKUP(AM241,$B:$AN,39,FALSE)),""))</f>
        <v>4,4,4</v>
      </c>
      <c r="AR241" t="s">
        <v>440</v>
      </c>
      <c r="AT241" t="s">
        <v>442</v>
      </c>
      <c r="AX241">
        <v>28</v>
      </c>
      <c r="AY241" s="15">
        <f t="shared" si="292"/>
        <v>48</v>
      </c>
      <c r="AZ241">
        <v>-10</v>
      </c>
      <c r="BA241">
        <v>-10</v>
      </c>
      <c r="BB241">
        <f t="shared" si="293"/>
        <v>15</v>
      </c>
      <c r="BC241">
        <f t="shared" si="294"/>
        <v>9</v>
      </c>
      <c r="BD241">
        <f t="shared" si="295"/>
        <v>7.25</v>
      </c>
      <c r="BE241" s="3">
        <f t="shared" si="296"/>
        <v>0.95733333333333337</v>
      </c>
      <c r="BF241">
        <f t="shared" si="297"/>
        <v>5.5</v>
      </c>
      <c r="BG241">
        <f>VLOOKUP($H241,Constants!$I:$K, 2, FALSE)</f>
        <v>0.85</v>
      </c>
      <c r="BH241">
        <f>VLOOKUP($H241,Constants!$I:$K, 3, FALSE)*IF(AND(G241="multiple_unit",AB241&lt;110),0.75,1)</f>
        <v>1.7249999999999999</v>
      </c>
      <c r="BI241">
        <f>INT(POWER(((Constants!$G$2+$BB241+$BC241+$BD241+$BF241)*$BE241)*$BH241, 1.05))+$BA241</f>
        <v>75</v>
      </c>
      <c r="BJ241">
        <f>INT(POWER((((Constants!$G$1+$BB241+$BC241+$BD241+$BF241)*($BE241))*$BG241),IF($G241="wagon",1,1.2)))+$AZ241</f>
        <v>78</v>
      </c>
      <c r="BK241" s="14">
        <f t="shared" si="298"/>
        <v>58593.75</v>
      </c>
      <c r="BL241" s="14">
        <f t="shared" si="299"/>
        <v>6337.5</v>
      </c>
      <c r="BU241">
        <v>7</v>
      </c>
      <c r="BV241">
        <v>260</v>
      </c>
      <c r="BY241" t="s">
        <v>278</v>
      </c>
      <c r="BZ241" t="str">
        <f>VLOOKUP(J241,Eras!$A$2:$C$10, 2, TRUE)</f>
        <v>big4</v>
      </c>
      <c r="CA241" t="s">
        <v>329</v>
      </c>
      <c r="CB241" t="str">
        <f t="shared" si="300"/>
        <v>big4_EMU (Express)</v>
      </c>
      <c r="CC241" t="str">
        <f t="shared" si="287"/>
        <v>electric_THIRD_RAIL</v>
      </c>
      <c r="CD241" s="17" t="str" cm="1">
        <f t="array" ref="CD241">_xlfn.CONCAT("{BLACK}Length: {GOLD}", TEXT(ROUNDUP(IF(AQ241&lt;&gt;"",SUM(VALUE(_xlfn.TEXTSPLIT(AQ241, ","))), SUM(VALUE(_xlfn.TEXTSPLIT(AN241, ",")))*IF(M241, M241, 1))/16, 1), "#,##0.0"), " tiles{}")</f>
        <v>{BLACK}Length: {GOLD}3.8 tiles{}</v>
      </c>
      <c r="CE241" t="str">
        <f>VLOOKUP($CC241, Constants!$M:$N, 2, FALSE)</f>
        <v>{BLACK}Powered by: {GOLD}750V DC</v>
      </c>
      <c r="CF241" t="str">
        <f t="shared" si="301"/>
        <v>{BLACK}Cars: {GOLD}5</v>
      </c>
      <c r="CG241" t="s">
        <v>439</v>
      </c>
      <c r="CH241" t="str">
        <f t="shared" si="285"/>
        <v/>
      </c>
      <c r="CI241" t="str">
        <f t="shared" si="288"/>
        <v>{YELLOW}40% bonus for long distance travel{}</v>
      </c>
      <c r="CJ241" t="str">
        <f t="shared" si="289"/>
        <v>{BLACK}Powered by: {GOLD}750V DC {BLACK}Cars: {GOLD}5{}{BLACK}Length: {GOLD}3.8 tiles{}{YELLOW}40% bonus for long distance travel{}{SILVER}The Southern Railway's "Brighton Belle" used Pullman coaches and remained in use well into the BR era.</v>
      </c>
    </row>
    <row r="242" spans="1:88" x14ac:dyDescent="0.35">
      <c r="A242" t="s">
        <v>69</v>
      </c>
      <c r="B242" t="s">
        <v>227</v>
      </c>
      <c r="C242">
        <v>426</v>
      </c>
      <c r="E242">
        <v>128</v>
      </c>
      <c r="F242" t="s">
        <v>1498</v>
      </c>
      <c r="G242" t="s">
        <v>398</v>
      </c>
      <c r="H242" t="s">
        <v>291</v>
      </c>
      <c r="I242" t="s">
        <v>298</v>
      </c>
      <c r="J242">
        <v>1937</v>
      </c>
      <c r="K242">
        <v>1938</v>
      </c>
      <c r="L242">
        <v>1972</v>
      </c>
      <c r="M242">
        <v>4</v>
      </c>
      <c r="N242">
        <v>900</v>
      </c>
      <c r="W242">
        <v>160.80000000000001</v>
      </c>
      <c r="Y242">
        <v>5</v>
      </c>
      <c r="Z242">
        <v>120</v>
      </c>
      <c r="AA242" s="3">
        <f t="shared" si="290"/>
        <v>7.4626865671641784E-2</v>
      </c>
      <c r="AB242">
        <v>75</v>
      </c>
      <c r="AC242">
        <f t="shared" si="284"/>
        <v>120</v>
      </c>
      <c r="AF242">
        <v>20</v>
      </c>
      <c r="AG242">
        <v>20</v>
      </c>
      <c r="AJ242" s="10">
        <v>57</v>
      </c>
      <c r="AK242" t="str">
        <f>CONCATENATE(VLOOKUP(AL242, 'Voxel Sizes'!$A$2:$B$18,2,FALSE),"x",INT(AH242*15), "x", INT(AI242*15))</f>
        <v>198x0x0</v>
      </c>
      <c r="AL242">
        <f t="shared" si="291"/>
        <v>12</v>
      </c>
      <c r="AN242" t="str">
        <f>CONCATENATE(VLOOKUP(AL242,Constants!$A$2:$C$16,IF(AM242&lt;&gt;"", 3, 2), FALSE),IF(AM242&lt;&gt;"",CONCATENATE(",",VLOOKUP(AM242,$B:$AN,39,FALSE)),""))</f>
        <v>4,4,4</v>
      </c>
      <c r="AR242" t="s">
        <v>458</v>
      </c>
      <c r="AT242" t="s">
        <v>459</v>
      </c>
      <c r="AX242">
        <v>36</v>
      </c>
      <c r="AY242" s="15">
        <f t="shared" si="292"/>
        <v>43</v>
      </c>
      <c r="AZ242">
        <v>-10</v>
      </c>
      <c r="BA242">
        <v>-15</v>
      </c>
      <c r="BB242">
        <f t="shared" si="293"/>
        <v>15</v>
      </c>
      <c r="BC242">
        <f t="shared" si="294"/>
        <v>4.5</v>
      </c>
      <c r="BD242">
        <f t="shared" si="295"/>
        <v>6</v>
      </c>
      <c r="BE242" s="3">
        <f t="shared" si="296"/>
        <v>0.95066666666666666</v>
      </c>
      <c r="BF242">
        <f t="shared" si="297"/>
        <v>7.6</v>
      </c>
      <c r="BG242">
        <f>VLOOKUP($H242,Constants!$I:$K, 2, FALSE)</f>
        <v>0.85</v>
      </c>
      <c r="BH242">
        <f>VLOOKUP($H242,Constants!$I:$K, 3, FALSE)*IF(AND(G242="multiple_unit",AB242&lt;110),0.75,1)</f>
        <v>1.7249999999999999</v>
      </c>
      <c r="BI242">
        <f>INT(POWER(((Constants!$G$2+$BB242+$BC242+$BD242+$BF242)*$BE242)*$BH242, 1.05))+$BA242</f>
        <v>61</v>
      </c>
      <c r="BJ242">
        <f>INT(POWER((((Constants!$G$1+$BB242+$BC242+$BD242+$BF242)*($BE242))*$BG242),IF($G242="wagon",1,1.2)))+$AZ242</f>
        <v>70</v>
      </c>
      <c r="BK242" s="14">
        <f t="shared" si="298"/>
        <v>47656.25</v>
      </c>
      <c r="BL242" s="14">
        <f t="shared" si="299"/>
        <v>5687.5</v>
      </c>
      <c r="BU242">
        <v>8</v>
      </c>
      <c r="BV242">
        <v>185</v>
      </c>
      <c r="BY242" t="s">
        <v>278</v>
      </c>
      <c r="BZ242" t="str">
        <f>VLOOKUP(J242,Eras!$A$2:$C$10, 2, TRUE)</f>
        <v>big4</v>
      </c>
      <c r="CA242" t="s">
        <v>328</v>
      </c>
      <c r="CB242" t="str">
        <f t="shared" si="300"/>
        <v>big4_EMU</v>
      </c>
      <c r="CC242" t="str">
        <f t="shared" si="287"/>
        <v>electric_THIRD_RAIL</v>
      </c>
      <c r="CD242" s="17" t="str" cm="1">
        <f t="array" ref="CD242">_xlfn.CONCAT("{BLACK}Length: {GOLD}", TEXT(ROUNDUP(IF(AQ242&lt;&gt;"",SUM(VALUE(_xlfn.TEXTSPLIT(AQ242, ","))), SUM(VALUE(_xlfn.TEXTSPLIT(AN242, ",")))*IF(M242, M242, 1))/16, 1), "#,##0.0"), " tiles{}")</f>
        <v>{BLACK}Length: {GOLD}3.0 tiles{}</v>
      </c>
      <c r="CE242" t="str">
        <f>VLOOKUP($CC242, Constants!$M:$N, 2, FALSE)</f>
        <v>{BLACK}Powered by: {GOLD}750V DC</v>
      </c>
      <c r="CF242" t="str">
        <f t="shared" si="301"/>
        <v>{BLACK}Cars: {GOLD}4</v>
      </c>
      <c r="CG242" t="s">
        <v>456</v>
      </c>
      <c r="CH242" t="str">
        <f t="shared" si="285"/>
        <v/>
      </c>
      <c r="CI242" t="str">
        <f t="shared" si="288"/>
        <v/>
      </c>
      <c r="CJ242" t="str">
        <f t="shared" si="289"/>
        <v>{BLACK}Powered by: {GOLD}750V DC {BLACK}Cars: {GOLD}4{}{BLACK}Length: {GOLD}3.0 tiles{}{SILVER}The Southern Railway was an early pioneer of electrification, with 4-COR units used between London Waterloo and Portsmouth.</v>
      </c>
    </row>
    <row r="243" spans="1:88" x14ac:dyDescent="0.35">
      <c r="A243" t="s">
        <v>70</v>
      </c>
      <c r="B243" t="s">
        <v>228</v>
      </c>
      <c r="C243">
        <v>428</v>
      </c>
      <c r="E243">
        <v>129</v>
      </c>
      <c r="F243" t="s">
        <v>1498</v>
      </c>
      <c r="G243" t="s">
        <v>398</v>
      </c>
      <c r="H243" t="s">
        <v>291</v>
      </c>
      <c r="I243" t="s">
        <v>298</v>
      </c>
      <c r="J243">
        <v>1938</v>
      </c>
      <c r="K243">
        <v>1939</v>
      </c>
      <c r="L243">
        <v>1971</v>
      </c>
      <c r="M243">
        <v>2</v>
      </c>
      <c r="N243">
        <v>550</v>
      </c>
      <c r="W243">
        <v>77</v>
      </c>
      <c r="Y243">
        <v>5</v>
      </c>
      <c r="Z243">
        <v>120</v>
      </c>
      <c r="AA243" s="3">
        <f t="shared" si="290"/>
        <v>0.15584415584415584</v>
      </c>
      <c r="AB243">
        <v>75</v>
      </c>
      <c r="AC243">
        <f t="shared" si="284"/>
        <v>120</v>
      </c>
      <c r="AF243">
        <v>20</v>
      </c>
      <c r="AG243">
        <v>20</v>
      </c>
      <c r="AJ243" s="10">
        <f>(24+102)/2</f>
        <v>63</v>
      </c>
      <c r="AK243" t="str">
        <f>CONCATENATE(VLOOKUP(AL243, 'Voxel Sizes'!$A$2:$B$18,2,FALSE),"x",INT(AH243*15), "x", INT(AI243*15))</f>
        <v>198x0x0</v>
      </c>
      <c r="AL243">
        <f t="shared" si="291"/>
        <v>12</v>
      </c>
      <c r="AN243" t="str">
        <f>CONCATENATE(VLOOKUP(AL243,Constants!$A$2:$C$16,IF(AM243&lt;&gt;"", 3, 2), FALSE),IF(AM243&lt;&gt;"",CONCATENATE(",",VLOOKUP(AM243,$B:$AN,39,FALSE)),""))</f>
        <v>4,4,4</v>
      </c>
      <c r="AR243" t="s">
        <v>460</v>
      </c>
      <c r="AT243" t="s">
        <v>461</v>
      </c>
      <c r="AX243">
        <v>36</v>
      </c>
      <c r="AY243" s="15">
        <f t="shared" si="292"/>
        <v>41</v>
      </c>
      <c r="AZ243">
        <v>-10</v>
      </c>
      <c r="BA243">
        <v>-15</v>
      </c>
      <c r="BB243">
        <f t="shared" si="293"/>
        <v>15</v>
      </c>
      <c r="BC243">
        <f t="shared" si="294"/>
        <v>2.75</v>
      </c>
      <c r="BD243">
        <f t="shared" si="295"/>
        <v>6</v>
      </c>
      <c r="BE243" s="3">
        <f t="shared" si="296"/>
        <v>0.94933333333333336</v>
      </c>
      <c r="BF243">
        <f t="shared" si="297"/>
        <v>4.2</v>
      </c>
      <c r="BG243">
        <f>VLOOKUP($H243,Constants!$I:$K, 2, FALSE)</f>
        <v>0.85</v>
      </c>
      <c r="BH243">
        <f>VLOOKUP($H243,Constants!$I:$K, 3, FALSE)*IF(AND(G243="multiple_unit",AB243&lt;110),0.75,1)</f>
        <v>1.7249999999999999</v>
      </c>
      <c r="BI243">
        <f>INT(POWER(((Constants!$G$2+$BB243+$BC243+$BD243+$BF243)*$BE243)*$BH243, 1.05))+$BA243</f>
        <v>50</v>
      </c>
      <c r="BJ243">
        <f>INT(POWER((((Constants!$G$1+$BB243+$BC243+$BD243+$BF243)*($BE243))*$BG243),IF($G243="wagon",1,1.2)))+$AZ243</f>
        <v>60</v>
      </c>
      <c r="BK243" s="14">
        <f t="shared" si="298"/>
        <v>39062.5</v>
      </c>
      <c r="BL243" s="14">
        <f t="shared" si="299"/>
        <v>4875</v>
      </c>
      <c r="BU243">
        <v>9</v>
      </c>
      <c r="BV243">
        <v>185</v>
      </c>
      <c r="BY243" t="s">
        <v>278</v>
      </c>
      <c r="BZ243" t="str">
        <f>VLOOKUP(J243,Eras!$A$2:$C$10, 2, TRUE)</f>
        <v>big4</v>
      </c>
      <c r="CA243" t="s">
        <v>328</v>
      </c>
      <c r="CB243" t="str">
        <f t="shared" si="300"/>
        <v>big4_EMU</v>
      </c>
      <c r="CC243" t="str">
        <f t="shared" si="287"/>
        <v>electric_THIRD_RAIL</v>
      </c>
      <c r="CD243" s="17" t="str" cm="1">
        <f t="array" ref="CD243">_xlfn.CONCAT("{BLACK}Length: {GOLD}", TEXT(ROUNDUP(IF(AQ243&lt;&gt;"",SUM(VALUE(_xlfn.TEXTSPLIT(AQ243, ","))), SUM(VALUE(_xlfn.TEXTSPLIT(AN243, ",")))*IF(M243, M243, 1))/16, 1), "#,##0.0"), " tiles{}")</f>
        <v>{BLACK}Length: {GOLD}1.5 tiles{}</v>
      </c>
      <c r="CE243" t="str">
        <f>VLOOKUP($CC243, Constants!$M:$N, 2, FALSE)</f>
        <v>{BLACK}Powered by: {GOLD}750V DC</v>
      </c>
      <c r="CF243" t="str">
        <f t="shared" si="301"/>
        <v>{BLACK}Cars: {GOLD}2</v>
      </c>
      <c r="CG243" t="s">
        <v>457</v>
      </c>
      <c r="CH243" t="str">
        <f t="shared" si="285"/>
        <v/>
      </c>
      <c r="CI243" t="str">
        <f t="shared" si="288"/>
        <v/>
      </c>
      <c r="CJ243" t="str">
        <f t="shared" si="289"/>
        <v>{BLACK}Powered by: {GOLD}750V DC {BLACK}Cars: {GOLD}2{}{BLACK}Length: {GOLD}1.5 tiles{}{SILVER}The 2-HAL (named for 2 units, Half Lavatory) is designed for suburban commuter services.</v>
      </c>
    </row>
    <row r="244" spans="1:88" x14ac:dyDescent="0.35">
      <c r="A244" t="s">
        <v>85</v>
      </c>
      <c r="B244" t="s">
        <v>184</v>
      </c>
      <c r="C244">
        <v>430</v>
      </c>
      <c r="E244">
        <v>130</v>
      </c>
      <c r="F244" t="s">
        <v>1498</v>
      </c>
      <c r="G244" t="s">
        <v>398</v>
      </c>
      <c r="H244" t="s">
        <v>291</v>
      </c>
      <c r="I244" t="s">
        <v>292</v>
      </c>
      <c r="J244">
        <v>1954</v>
      </c>
      <c r="L244">
        <v>1984</v>
      </c>
      <c r="M244">
        <v>3</v>
      </c>
      <c r="N244">
        <v>740</v>
      </c>
      <c r="W244">
        <f>51.4+26.8+27.9</f>
        <v>106.1</v>
      </c>
      <c r="Y244">
        <v>5</v>
      </c>
      <c r="Z244">
        <v>110</v>
      </c>
      <c r="AA244" s="3">
        <f t="shared" si="290"/>
        <v>0.10367577756833177</v>
      </c>
      <c r="AB244">
        <v>75</v>
      </c>
      <c r="AC244">
        <f t="shared" si="284"/>
        <v>120</v>
      </c>
      <c r="AF244">
        <v>18.100000000000001</v>
      </c>
      <c r="AG244">
        <v>18.100000000000001</v>
      </c>
      <c r="AH244">
        <v>2.82</v>
      </c>
      <c r="AI244">
        <v>3.87</v>
      </c>
      <c r="AJ244" s="10">
        <v>57</v>
      </c>
      <c r="AK244" t="str">
        <f>CONCATENATE(VLOOKUP(AL244, 'Voxel Sizes'!$A$2:$B$18,2,FALSE),"x",INT(AH244*15), "x", INT(AI244*15))</f>
        <v>186x42x58</v>
      </c>
      <c r="AL244">
        <f t="shared" si="291"/>
        <v>11</v>
      </c>
      <c r="AN244" t="str">
        <f>CONCATENATE(VLOOKUP(AL244,Constants!$A$2:$C$16,IF(AM244&lt;&gt;"", 3, 2), FALSE),IF(AM244&lt;&gt;"",CONCATENATE(",",VLOOKUP(AM244,$B:$AN,39,FALSE)),""))</f>
        <v>4,3,4</v>
      </c>
      <c r="AR244" t="s">
        <v>606</v>
      </c>
      <c r="AT244" t="s">
        <v>287</v>
      </c>
      <c r="AX244">
        <v>35</v>
      </c>
      <c r="AY244" s="15">
        <f t="shared" si="292"/>
        <v>38</v>
      </c>
      <c r="AZ244">
        <v>-10</v>
      </c>
      <c r="BA244">
        <v>-15</v>
      </c>
      <c r="BB244">
        <f t="shared" si="293"/>
        <v>15</v>
      </c>
      <c r="BC244">
        <f t="shared" si="294"/>
        <v>3.7</v>
      </c>
      <c r="BD244">
        <f t="shared" si="295"/>
        <v>5.5</v>
      </c>
      <c r="BE244" s="3">
        <f t="shared" si="296"/>
        <v>0.92800000000000005</v>
      </c>
      <c r="BF244">
        <f t="shared" si="297"/>
        <v>5.7000000000000011</v>
      </c>
      <c r="BG244">
        <f>VLOOKUP($H244,Constants!$I:$K, 2, FALSE)</f>
        <v>0.85</v>
      </c>
      <c r="BH244">
        <f>VLOOKUP($H244,Constants!$I:$K, 3, FALSE)*IF(AND(G244="multiple_unit",AB244&lt;110),0.75,1)</f>
        <v>1.7249999999999999</v>
      </c>
      <c r="BI244">
        <f>INT(POWER(((Constants!$G$2+$BB244+$BC244+$BD244+$BF244)*$BE244)*$BH244, 1.05))+$BA244</f>
        <v>53</v>
      </c>
      <c r="BJ244">
        <f>INT(POWER((((Constants!$G$1+$BB244+$BC244+$BD244+$BF244)*($BE244))*$BG244),IF($G244="wagon",1,1.2)))+$AZ244</f>
        <v>62</v>
      </c>
      <c r="BK244" s="14">
        <f t="shared" si="298"/>
        <v>41406.25</v>
      </c>
      <c r="BL244" s="14">
        <f t="shared" si="299"/>
        <v>5037.5</v>
      </c>
      <c r="BU244">
        <v>10</v>
      </c>
      <c r="BV244">
        <v>185</v>
      </c>
      <c r="BY244" t="s">
        <v>278</v>
      </c>
      <c r="BZ244" t="str">
        <f>VLOOKUP(J244,Eras!$A$2:$C$10, 2, TRUE)</f>
        <v>ebr</v>
      </c>
      <c r="CA244" t="s">
        <v>328</v>
      </c>
      <c r="CB244" t="str">
        <f t="shared" si="300"/>
        <v>ebr_EMU</v>
      </c>
      <c r="CC244" t="str">
        <f t="shared" si="287"/>
        <v>electric_ELRL</v>
      </c>
      <c r="CD244" s="17" t="str" cm="1">
        <f t="array" ref="CD244">_xlfn.CONCAT("{BLACK}Length: {GOLD}", TEXT(ROUNDUP(IF(AQ244&lt;&gt;"",SUM(VALUE(_xlfn.TEXTSPLIT(AQ244, ","))), SUM(VALUE(_xlfn.TEXTSPLIT(AN244, ",")))*IF(M244, M244, 1))/16, 1), "#,##0.0"), " tiles{}")</f>
        <v>{BLACK}Length: {GOLD}2.1 tiles{}</v>
      </c>
      <c r="CE244" t="str">
        <f>VLOOKUP($CC244, Constants!$M:$N, 2, FALSE)</f>
        <v>{BLACK}Powered by: {GOLD}25kV AC</v>
      </c>
      <c r="CF244" t="str">
        <f t="shared" si="301"/>
        <v>{BLACK}Cars: {GOLD}3</v>
      </c>
      <c r="CG244" t="s">
        <v>607</v>
      </c>
      <c r="CH244" t="str">
        <f t="shared" si="285"/>
        <v/>
      </c>
      <c r="CI244" t="str">
        <f t="shared" si="288"/>
        <v/>
      </c>
      <c r="CJ244" t="str">
        <f t="shared" si="289"/>
        <v>{BLACK}Powered by: {GOLD}25kV AC {BLACK}Cars: {GOLD}3{}{BLACK}Length: {GOLD}2.1 tiles{}{SILVER}The Class 506 was built by Metro Cammell and BRCW for the Woodhead Line.</v>
      </c>
    </row>
    <row r="245" spans="1:88" x14ac:dyDescent="0.35">
      <c r="A245" t="s">
        <v>608</v>
      </c>
      <c r="B245" t="s">
        <v>610</v>
      </c>
      <c r="C245">
        <v>434</v>
      </c>
      <c r="E245">
        <v>131</v>
      </c>
      <c r="F245" t="s">
        <v>1498</v>
      </c>
      <c r="G245" t="s">
        <v>398</v>
      </c>
      <c r="H245" t="s">
        <v>291</v>
      </c>
      <c r="I245" t="s">
        <v>298</v>
      </c>
      <c r="J245">
        <v>1956</v>
      </c>
      <c r="L245">
        <v>1995</v>
      </c>
      <c r="M245">
        <v>2</v>
      </c>
      <c r="N245">
        <v>500</v>
      </c>
      <c r="W245">
        <f>40+32</f>
        <v>72</v>
      </c>
      <c r="Y245">
        <v>5</v>
      </c>
      <c r="Z245">
        <v>95</v>
      </c>
      <c r="AA245" s="3">
        <f t="shared" si="290"/>
        <v>0.13194444444444445</v>
      </c>
      <c r="AB245">
        <v>90</v>
      </c>
      <c r="AC245">
        <f t="shared" si="284"/>
        <v>144</v>
      </c>
      <c r="AF245">
        <v>19.05</v>
      </c>
      <c r="AG245">
        <v>19.05</v>
      </c>
      <c r="AH245">
        <v>2.82</v>
      </c>
      <c r="AI245">
        <v>3.89</v>
      </c>
      <c r="AJ245" s="10">
        <v>54</v>
      </c>
      <c r="AK245" t="str">
        <f>CONCATENATE(VLOOKUP(AL245, 'Voxel Sizes'!$A$2:$B$18,2,FALSE),"x",INT(AH245*15), "x", INT(AI245*15))</f>
        <v>186x42x58</v>
      </c>
      <c r="AL245">
        <f t="shared" si="291"/>
        <v>11</v>
      </c>
      <c r="AN245" t="str">
        <f>CONCATENATE(VLOOKUP(AL245,Constants!$A$2:$C$16,IF(AM245&lt;&gt;"", 3, 2), FALSE),IF(AM245&lt;&gt;"",CONCATENATE(",",VLOOKUP(AM245,$B:$AN,39,FALSE)),""))</f>
        <v>4,3,4</v>
      </c>
      <c r="AR245" t="s">
        <v>611</v>
      </c>
      <c r="AT245" t="s">
        <v>461</v>
      </c>
      <c r="AX245">
        <v>33</v>
      </c>
      <c r="AY245" s="15">
        <f t="shared" si="292"/>
        <v>47</v>
      </c>
      <c r="AZ245">
        <v>-10</v>
      </c>
      <c r="BA245">
        <v>-15</v>
      </c>
      <c r="BB245">
        <f t="shared" si="293"/>
        <v>18</v>
      </c>
      <c r="BC245">
        <f t="shared" si="294"/>
        <v>2.5</v>
      </c>
      <c r="BD245">
        <f t="shared" si="295"/>
        <v>4.75</v>
      </c>
      <c r="BE245" s="3">
        <f t="shared" si="296"/>
        <v>0.92533333333333334</v>
      </c>
      <c r="BF245">
        <f t="shared" si="297"/>
        <v>3.5999999999999996</v>
      </c>
      <c r="BG245">
        <f>VLOOKUP($H245,Constants!$I:$K, 2, FALSE)</f>
        <v>0.85</v>
      </c>
      <c r="BH245">
        <f>VLOOKUP($H245,Constants!$I:$K, 3, FALSE)*IF(AND(G245="multiple_unit",AB245&lt;110),0.75,1)</f>
        <v>1.7249999999999999</v>
      </c>
      <c r="BI245">
        <f>INT(POWER(((Constants!$G$2+$BB245+$BC245+$BD245+$BF245)*$BE245)*$BH245, 1.05))+$BA245</f>
        <v>50</v>
      </c>
      <c r="BJ245">
        <f>INT(POWER((((Constants!$G$1+$BB245+$BC245+$BD245+$BF245)*($BE245))*$BG245),IF($G245="wagon",1,1.2)))+$AZ245</f>
        <v>60</v>
      </c>
      <c r="BK245" s="14">
        <f t="shared" si="298"/>
        <v>39062.5</v>
      </c>
      <c r="BL245" s="14">
        <f t="shared" si="299"/>
        <v>4875</v>
      </c>
      <c r="BQ245" t="s">
        <v>248</v>
      </c>
      <c r="BU245">
        <v>12</v>
      </c>
      <c r="BV245">
        <v>185</v>
      </c>
      <c r="BY245" t="s">
        <v>278</v>
      </c>
      <c r="BZ245" t="str">
        <f>VLOOKUP(J245,Eras!$A$2:$C$10, 2, TRUE)</f>
        <v>dsl</v>
      </c>
      <c r="CA245" t="s">
        <v>329</v>
      </c>
      <c r="CB245" t="str">
        <f t="shared" si="300"/>
        <v>dsl_EMU (Express)</v>
      </c>
      <c r="CC245" t="str">
        <f t="shared" si="287"/>
        <v>electric_THIRD_RAIL</v>
      </c>
      <c r="CD245" s="17" t="str" cm="1">
        <f t="array" ref="CD245">_xlfn.CONCAT("{BLACK}Length: {GOLD}", TEXT(ROUNDUP(IF(AQ245&lt;&gt;"",SUM(VALUE(_xlfn.TEXTSPLIT(AQ245, ","))), SUM(VALUE(_xlfn.TEXTSPLIT(AN245, ",")))*IF(M245, M245, 1))/16, 1), "#,##0.0"), " tiles{}")</f>
        <v>{BLACK}Length: {GOLD}1.4 tiles{}</v>
      </c>
      <c r="CE245" t="str">
        <f>VLOOKUP($CC245, Constants!$M:$N, 2, FALSE)</f>
        <v>{BLACK}Powered by: {GOLD}750V DC</v>
      </c>
      <c r="CF245" t="str">
        <f t="shared" si="301"/>
        <v>{BLACK}Cars: {GOLD}2</v>
      </c>
      <c r="CG245" t="s">
        <v>612</v>
      </c>
      <c r="CH245" t="str">
        <f t="shared" si="285"/>
        <v/>
      </c>
      <c r="CI245" t="str">
        <f t="shared" si="288"/>
        <v/>
      </c>
      <c r="CJ245" t="str">
        <f t="shared" si="289"/>
        <v>{BLACK}Powered by: {GOLD}750V DC {BLACK}Cars: {GOLD}2{}{BLACK}Length: {GOLD}1.4 tiles{}{SILVER}The Class 414 2 HAP (Half Lavatory, electro-Pneumatic brake) is a Southern Region electric multiple unit, geared for express duties.</v>
      </c>
    </row>
    <row r="246" spans="1:88" x14ac:dyDescent="0.35">
      <c r="A246" t="s">
        <v>122</v>
      </c>
      <c r="B246" t="s">
        <v>232</v>
      </c>
      <c r="C246">
        <v>438</v>
      </c>
      <c r="E246">
        <v>132</v>
      </c>
      <c r="F246" t="s">
        <v>1498</v>
      </c>
      <c r="G246" t="s">
        <v>398</v>
      </c>
      <c r="H246" t="s">
        <v>268</v>
      </c>
      <c r="I246" t="s">
        <v>270</v>
      </c>
      <c r="J246">
        <v>1960</v>
      </c>
      <c r="L246">
        <v>1973</v>
      </c>
      <c r="M246">
        <v>6</v>
      </c>
      <c r="N246">
        <v>1000</v>
      </c>
      <c r="W246">
        <v>304</v>
      </c>
      <c r="Y246">
        <v>3</v>
      </c>
      <c r="Z246">
        <v>155</v>
      </c>
      <c r="AA246" s="3">
        <f t="shared" si="290"/>
        <v>5.0986842105263157E-2</v>
      </c>
      <c r="AB246">
        <v>90</v>
      </c>
      <c r="AC246">
        <f t="shared" ref="AC246:AC305" si="302">ROUND(AB246*1.6, 0)</f>
        <v>144</v>
      </c>
      <c r="AF246">
        <v>20.260000000000002</v>
      </c>
      <c r="AG246">
        <v>20</v>
      </c>
      <c r="AH246">
        <v>2.9</v>
      </c>
      <c r="AI246">
        <v>3.77</v>
      </c>
      <c r="AJ246" s="10">
        <v>36</v>
      </c>
      <c r="AK246" t="str">
        <f>CONCATENATE(VLOOKUP(AL246, 'Voxel Sizes'!$A$2:$B$18,2,FALSE),"x",INT(AH246*15), "x", INT(AI246*15))</f>
        <v>198x43x56</v>
      </c>
      <c r="AL246">
        <f t="shared" si="291"/>
        <v>12</v>
      </c>
      <c r="AN246" t="str">
        <f>CONCATENATE(VLOOKUP(AL246,Constants!$A$2:$C$16,IF(AM246&lt;&gt;"", 3, 2), FALSE),IF(AM246&lt;&gt;"",CONCATENATE(",",VLOOKUP(AM246,$B:$AN,39,FALSE)),""))</f>
        <v>4,4,4</v>
      </c>
      <c r="AR246" t="s">
        <v>520</v>
      </c>
      <c r="AT246" t="s">
        <v>521</v>
      </c>
      <c r="AX246">
        <v>22</v>
      </c>
      <c r="AY246" s="15">
        <f t="shared" si="292"/>
        <v>21</v>
      </c>
      <c r="AZ246">
        <v>-10</v>
      </c>
      <c r="BA246">
        <v>-15</v>
      </c>
      <c r="BB246">
        <f t="shared" si="293"/>
        <v>18</v>
      </c>
      <c r="BC246">
        <f t="shared" si="294"/>
        <v>5</v>
      </c>
      <c r="BD246">
        <f t="shared" si="295"/>
        <v>7.75</v>
      </c>
      <c r="BE246" s="3">
        <f t="shared" si="296"/>
        <v>0.92</v>
      </c>
      <c r="BF246">
        <f t="shared" si="297"/>
        <v>7.1999999999999993</v>
      </c>
      <c r="BG246">
        <f>VLOOKUP($H246,Constants!$I:$K, 2, FALSE)</f>
        <v>1</v>
      </c>
      <c r="BH246">
        <f>VLOOKUP($H246,Constants!$I:$K, 3, FALSE)*IF(AND(G246="multiple_unit",AB246&lt;110),0.75,1)</f>
        <v>1.5</v>
      </c>
      <c r="BI246">
        <f>INT(POWER(((Constants!$G$2+$BB246+$BC246+$BD246+$BF246)*$BE246)*$BH246, 1.05))+$BA246</f>
        <v>57</v>
      </c>
      <c r="BJ246">
        <f>INT(POWER((((Constants!$G$1+$BB246+$BC246+$BD246+$BF246)*($BE246))*$BG246),IF($G246="wagon",1,1.2)))+$AZ246</f>
        <v>95</v>
      </c>
      <c r="BK246" s="14">
        <f t="shared" si="298"/>
        <v>44531.25</v>
      </c>
      <c r="BL246" s="14">
        <f t="shared" si="299"/>
        <v>7718.75</v>
      </c>
      <c r="BT246" t="s">
        <v>1138</v>
      </c>
      <c r="BU246">
        <v>2</v>
      </c>
      <c r="BV246">
        <v>222</v>
      </c>
      <c r="BY246" t="s">
        <v>278</v>
      </c>
      <c r="BZ246" t="str">
        <f>VLOOKUP(J246,Eras!$A$2:$C$10, 2, TRUE)</f>
        <v>dsl</v>
      </c>
      <c r="CA246" t="s">
        <v>327</v>
      </c>
      <c r="CB246" t="str">
        <f t="shared" si="300"/>
        <v>dsl_DMU (Express)</v>
      </c>
      <c r="CC246" t="str">
        <f t="shared" si="287"/>
        <v>diesel_RAIL</v>
      </c>
      <c r="CD246" s="17" t="str" cm="1">
        <f t="array" ref="CD246">_xlfn.CONCAT("{BLACK}Length: {GOLD}", TEXT(ROUNDUP(IF(AQ246&lt;&gt;"",SUM(VALUE(_xlfn.TEXTSPLIT(AQ246, ","))), SUM(VALUE(_xlfn.TEXTSPLIT(AN246, ",")))*IF(M246, M246, 1))/16, 1), "#,##0.0"), " tiles{}")</f>
        <v>{BLACK}Length: {GOLD}4.5 tiles{}</v>
      </c>
      <c r="CE246" t="str">
        <f>VLOOKUP($CC246, Constants!$M:$N, 2, FALSE)</f>
        <v>{BLACK}Powered by: {GOLD}Diesel</v>
      </c>
      <c r="CF246" t="str">
        <f t="shared" si="301"/>
        <v>{BLACK}Cars: {GOLD}6</v>
      </c>
      <c r="CG246" t="s">
        <v>522</v>
      </c>
      <c r="CH246" t="str">
        <f t="shared" si="285"/>
        <v/>
      </c>
      <c r="CI246" t="str">
        <f t="shared" si="288"/>
        <v>{YELLOW}20% bonus for long distance travel{}</v>
      </c>
      <c r="CJ246" t="str">
        <f t="shared" si="289"/>
        <v>{BLACK}Powered by: {GOLD}Diesel {BLACK}Cars: {GOLD}6{}{BLACK}Length: {GOLD}4.5 tiles{}{YELLOW}20% bonus for long distance travel{}{SILVER}The Blue Pullman is an express diesel multiple unit, designed to tempt motorists from their cars with a luxurious inter-city service.</v>
      </c>
    </row>
    <row r="247" spans="1:88" x14ac:dyDescent="0.35">
      <c r="A247" t="s">
        <v>122</v>
      </c>
      <c r="B247" t="s">
        <v>1124</v>
      </c>
      <c r="C247">
        <v>439</v>
      </c>
      <c r="E247">
        <v>133</v>
      </c>
      <c r="F247" t="s">
        <v>1498</v>
      </c>
      <c r="G247" t="s">
        <v>398</v>
      </c>
      <c r="H247" t="s">
        <v>268</v>
      </c>
      <c r="I247" t="s">
        <v>270</v>
      </c>
      <c r="J247">
        <v>1960</v>
      </c>
      <c r="L247">
        <v>1973</v>
      </c>
      <c r="M247">
        <v>5</v>
      </c>
      <c r="N247">
        <v>1000</v>
      </c>
      <c r="W247">
        <f>304/6*5</f>
        <v>253.33333333333331</v>
      </c>
      <c r="Y247">
        <v>3</v>
      </c>
      <c r="Z247">
        <v>155</v>
      </c>
      <c r="AA247" s="3">
        <f t="shared" si="290"/>
        <v>6.1184210526315799E-2</v>
      </c>
      <c r="AB247">
        <v>90</v>
      </c>
      <c r="AC247">
        <f t="shared" si="302"/>
        <v>144</v>
      </c>
      <c r="AF247">
        <v>20.260000000000002</v>
      </c>
      <c r="AG247">
        <v>20</v>
      </c>
      <c r="AH247">
        <v>2.9</v>
      </c>
      <c r="AI247">
        <v>3.77</v>
      </c>
      <c r="AJ247" s="10">
        <v>36</v>
      </c>
      <c r="AK247" t="str">
        <f>CONCATENATE(VLOOKUP(AL247, 'Voxel Sizes'!$A$2:$B$18,2,FALSE),"x",INT(AH247*15), "x", INT(AI247*15))</f>
        <v>198x43x56</v>
      </c>
      <c r="AL247">
        <f t="shared" si="291"/>
        <v>12</v>
      </c>
      <c r="AN247" t="str">
        <f>CONCATENATE(VLOOKUP(AL247,Constants!$A$2:$C$16,IF(AM247&lt;&gt;"", 3, 2), FALSE),IF(AM247&lt;&gt;"",CONCATENATE(",",VLOOKUP(AM247,$B:$AN,39,FALSE)),""))</f>
        <v>4,4,4</v>
      </c>
      <c r="AR247" t="s">
        <v>1125</v>
      </c>
      <c r="AT247" t="s">
        <v>656</v>
      </c>
      <c r="AU247" t="s">
        <v>232</v>
      </c>
      <c r="AX247">
        <v>22</v>
      </c>
      <c r="AY247" s="15">
        <f t="shared" si="292"/>
        <v>21</v>
      </c>
      <c r="AZ247">
        <v>-10</v>
      </c>
      <c r="BA247">
        <v>-15</v>
      </c>
      <c r="BB247">
        <f t="shared" si="293"/>
        <v>18</v>
      </c>
      <c r="BC247">
        <f t="shared" si="294"/>
        <v>5</v>
      </c>
      <c r="BD247">
        <f t="shared" si="295"/>
        <v>7.75</v>
      </c>
      <c r="BE247" s="3">
        <f t="shared" si="296"/>
        <v>0.92</v>
      </c>
      <c r="BF247">
        <f t="shared" si="297"/>
        <v>6</v>
      </c>
      <c r="BG247">
        <f>VLOOKUP($H247,Constants!$I:$K, 2, FALSE)</f>
        <v>1</v>
      </c>
      <c r="BH247">
        <f>VLOOKUP($H247,Constants!$I:$K, 3, FALSE)*IF(AND(G247="multiple_unit",AB247&lt;110),0.75,1)</f>
        <v>1.5</v>
      </c>
      <c r="BI247">
        <f>INT(POWER(((Constants!$G$2+$BB247+$BC247+$BD247+$BF247)*$BE247)*$BH247, 1.05))+$BA247</f>
        <v>55</v>
      </c>
      <c r="BJ247">
        <f>INT(POWER((((Constants!$G$1+$BB247+$BC247+$BD247+$BF247)*($BE247))*$BG247),IF($G247="wagon",1,1.2)))+$AZ247</f>
        <v>93</v>
      </c>
      <c r="BK247" s="14">
        <f t="shared" si="298"/>
        <v>42968.75</v>
      </c>
      <c r="BL247" s="14">
        <f t="shared" si="299"/>
        <v>7556.25</v>
      </c>
      <c r="BT247" t="s">
        <v>1140</v>
      </c>
      <c r="BU247">
        <v>2</v>
      </c>
      <c r="BV247">
        <v>222</v>
      </c>
      <c r="BY247" t="s">
        <v>278</v>
      </c>
      <c r="BZ247" t="str">
        <f>VLOOKUP(J247,Eras!$A$2:$C$10, 2, TRUE)</f>
        <v>dsl</v>
      </c>
      <c r="CA247" t="s">
        <v>327</v>
      </c>
      <c r="CB247" t="str">
        <f t="shared" si="300"/>
        <v>dsl_DMU (Express)</v>
      </c>
      <c r="CC247" t="str">
        <f t="shared" si="287"/>
        <v>diesel_RAIL</v>
      </c>
      <c r="CD247" s="17" t="str" cm="1">
        <f t="array" ref="CD247">_xlfn.CONCAT("{BLACK}Length: {GOLD}", TEXT(ROUNDUP(IF(AQ247&lt;&gt;"",SUM(VALUE(_xlfn.TEXTSPLIT(AQ247, ","))), SUM(VALUE(_xlfn.TEXTSPLIT(AN247, ",")))*IF(M247, M247, 1))/16, 1), "#,##0.0"), " tiles{}")</f>
        <v>{BLACK}Length: {GOLD}3.8 tiles{}</v>
      </c>
      <c r="CE247" t="str">
        <f>VLOOKUP($CC247, Constants!$M:$N, 2, FALSE)</f>
        <v>{BLACK}Powered by: {GOLD}Diesel</v>
      </c>
      <c r="CF247" t="str">
        <f t="shared" si="301"/>
        <v>{BLACK}Cars: {GOLD}5</v>
      </c>
      <c r="CG247" t="s">
        <v>522</v>
      </c>
      <c r="CH247" t="str">
        <f t="shared" si="285"/>
        <v/>
      </c>
      <c r="CI247" t="str">
        <f t="shared" si="288"/>
        <v>{YELLOW}20% bonus for long distance travel{}</v>
      </c>
      <c r="CJ247" t="str">
        <f t="shared" si="289"/>
        <v>{BLACK}Powered by: {GOLD}Diesel {BLACK}Cars: {GOLD}5{}{BLACK}Length: {GOLD}3.8 tiles{}{YELLOW}20% bonus for long distance travel{}{SILVER}The Blue Pullman is an express diesel multiple unit, designed to tempt motorists from their cars with a luxurious inter-city service.</v>
      </c>
    </row>
    <row r="248" spans="1:88" x14ac:dyDescent="0.35">
      <c r="A248" t="s">
        <v>72</v>
      </c>
      <c r="B248" t="s">
        <v>213</v>
      </c>
      <c r="C248">
        <v>440</v>
      </c>
      <c r="E248">
        <v>134</v>
      </c>
      <c r="F248" t="s">
        <v>1498</v>
      </c>
      <c r="G248" t="s">
        <v>398</v>
      </c>
      <c r="H248" t="s">
        <v>268</v>
      </c>
      <c r="I248" t="s">
        <v>270</v>
      </c>
      <c r="J248">
        <v>1960</v>
      </c>
      <c r="L248">
        <v>2017</v>
      </c>
      <c r="M248">
        <v>1</v>
      </c>
      <c r="N248">
        <v>300</v>
      </c>
      <c r="W248">
        <v>38</v>
      </c>
      <c r="Y248">
        <v>5</v>
      </c>
      <c r="Z248">
        <v>65</v>
      </c>
      <c r="AA248" s="3">
        <f t="shared" si="290"/>
        <v>0.17105263157894737</v>
      </c>
      <c r="AB248">
        <v>70</v>
      </c>
      <c r="AC248">
        <f t="shared" si="302"/>
        <v>112</v>
      </c>
      <c r="AE248">
        <v>1</v>
      </c>
      <c r="AF248">
        <v>19.66</v>
      </c>
      <c r="AG248">
        <v>19.66</v>
      </c>
      <c r="AI248">
        <v>3.77</v>
      </c>
      <c r="AJ248" s="10">
        <v>66</v>
      </c>
      <c r="AK248" t="str">
        <f>CONCATENATE(VLOOKUP(AL248, 'Voxel Sizes'!$A$2:$B$18,2,FALSE),"x",INT(AH248*15), "x", INT(AI248*15))</f>
        <v>198x0x56</v>
      </c>
      <c r="AL248">
        <f t="shared" si="291"/>
        <v>12</v>
      </c>
      <c r="AN248" t="str">
        <f>CONCATENATE(VLOOKUP(AL248,Constants!$A$2:$C$16,IF(AM248&lt;&gt;"", 3, 2), FALSE),IF(AM248&lt;&gt;"",CONCATENATE(",",VLOOKUP(AM248,$B:$AN,39,FALSE)),""))</f>
        <v>4,4,4</v>
      </c>
      <c r="AR248" t="s">
        <v>213</v>
      </c>
      <c r="AT248">
        <v>1</v>
      </c>
      <c r="AX248">
        <v>50</v>
      </c>
      <c r="AY248" s="15">
        <f t="shared" si="292"/>
        <v>65</v>
      </c>
      <c r="AZ248">
        <v>-10</v>
      </c>
      <c r="BA248">
        <v>-15</v>
      </c>
      <c r="BB248">
        <f t="shared" si="293"/>
        <v>14</v>
      </c>
      <c r="BC248">
        <f t="shared" si="294"/>
        <v>1.5</v>
      </c>
      <c r="BD248">
        <f t="shared" si="295"/>
        <v>3.25</v>
      </c>
      <c r="BE248" s="3">
        <f t="shared" si="296"/>
        <v>0.92</v>
      </c>
      <c r="BF248">
        <f t="shared" si="297"/>
        <v>2.2000000000000002</v>
      </c>
      <c r="BG248">
        <f>VLOOKUP($H248,Constants!$I:$K, 2, FALSE)</f>
        <v>1</v>
      </c>
      <c r="BH248">
        <f>VLOOKUP($H248,Constants!$I:$K, 3, FALSE)*IF(AND(G248="multiple_unit",AB248&lt;110),0.75,1)</f>
        <v>1.5</v>
      </c>
      <c r="BI248">
        <f>INT(POWER(((Constants!$G$2+$BB248+$BC248+$BD248+$BF248)*$BE248)*$BH248, 1.05))+$BA248</f>
        <v>27</v>
      </c>
      <c r="BJ248">
        <f>INT(POWER((((Constants!$G$1+$BB248+$BC248+$BD248+$BF248)*($BE248))*$BG248),IF($G248="wagon",1,1.2)))+$AZ248</f>
        <v>56</v>
      </c>
      <c r="BK248" s="14">
        <f t="shared" si="298"/>
        <v>21093.75</v>
      </c>
      <c r="BL248" s="14">
        <f t="shared" si="299"/>
        <v>4550</v>
      </c>
      <c r="BU248">
        <v>4</v>
      </c>
      <c r="BV248">
        <v>185</v>
      </c>
      <c r="BY248" t="s">
        <v>278</v>
      </c>
      <c r="BZ248" t="str">
        <f>VLOOKUP(J248,Eras!$A$2:$C$10, 2, TRUE)</f>
        <v>dsl</v>
      </c>
      <c r="CA248" t="s">
        <v>326</v>
      </c>
      <c r="CB248" t="str">
        <f t="shared" si="300"/>
        <v>dsl_DMU</v>
      </c>
      <c r="CC248" t="str">
        <f t="shared" si="287"/>
        <v>diesel_RAIL</v>
      </c>
      <c r="CD248" s="17" t="str" cm="1">
        <f t="array" ref="CD248">_xlfn.CONCAT("{BLACK}Length: {GOLD}", TEXT(ROUNDUP(IF(AQ248&lt;&gt;"",SUM(VALUE(_xlfn.TEXTSPLIT(AQ248, ","))), SUM(VALUE(_xlfn.TEXTSPLIT(AN248, ",")))*IF(M248, M248, 1))/16, 1), "#,##0.0"), " tiles{}")</f>
        <v>{BLACK}Length: {GOLD}0.8 tiles{}</v>
      </c>
      <c r="CE248" t="str">
        <f>VLOOKUP($CC248, Constants!$M:$N, 2, FALSE)</f>
        <v>{BLACK}Powered by: {GOLD}Diesel</v>
      </c>
      <c r="CF248" t="str">
        <f t="shared" si="301"/>
        <v/>
      </c>
      <c r="CG248" t="s">
        <v>523</v>
      </c>
      <c r="CH248" t="str">
        <f t="shared" si="285"/>
        <v/>
      </c>
      <c r="CI248" t="str">
        <f t="shared" si="288"/>
        <v/>
      </c>
      <c r="CJ248" t="str">
        <f t="shared" si="289"/>
        <v>{BLACK}Powered by: {GOLD}Diesel {}{BLACK}Length: {GOLD}0.8 tiles{}{SILVER}The "Bubble Car" units saw a long life on branch lines and rural railways. Two six-cylinder AEC or Leyland engines of 150hp each drive the wheels through a mechanical transmission.</v>
      </c>
    </row>
    <row r="249" spans="1:88" x14ac:dyDescent="0.35">
      <c r="A249" t="s">
        <v>609</v>
      </c>
      <c r="B249" t="s">
        <v>248</v>
      </c>
      <c r="C249">
        <v>442</v>
      </c>
      <c r="E249">
        <v>135</v>
      </c>
      <c r="F249" t="s">
        <v>1498</v>
      </c>
      <c r="G249" t="s">
        <v>398</v>
      </c>
      <c r="H249" t="s">
        <v>291</v>
      </c>
      <c r="I249" t="s">
        <v>298</v>
      </c>
      <c r="J249">
        <v>1964</v>
      </c>
      <c r="K249">
        <v>1972</v>
      </c>
      <c r="L249">
        <v>2005</v>
      </c>
      <c r="M249">
        <v>4</v>
      </c>
      <c r="N249">
        <v>1000</v>
      </c>
      <c r="W249">
        <v>152</v>
      </c>
      <c r="Y249">
        <v>5</v>
      </c>
      <c r="Z249">
        <v>125</v>
      </c>
      <c r="AA249" s="3">
        <f t="shared" si="290"/>
        <v>8.2236842105263164E-2</v>
      </c>
      <c r="AB249">
        <v>90</v>
      </c>
      <c r="AC249">
        <f t="shared" si="302"/>
        <v>144</v>
      </c>
      <c r="AF249">
        <f>80.98/4</f>
        <v>20.245000000000001</v>
      </c>
      <c r="AG249">
        <v>20.239999999999998</v>
      </c>
      <c r="AH249">
        <v>2.82</v>
      </c>
      <c r="AI249">
        <v>3.89</v>
      </c>
      <c r="AJ249" s="10">
        <v>54</v>
      </c>
      <c r="AK249" t="str">
        <f>CONCATENATE(VLOOKUP(AL249, 'Voxel Sizes'!$A$2:$B$18,2,FALSE),"x",INT(AH249*15), "x", INT(AI249*15))</f>
        <v>198x42x58</v>
      </c>
      <c r="AL249">
        <f t="shared" si="291"/>
        <v>12</v>
      </c>
      <c r="AN249" t="str">
        <f>CONCATENATE(VLOOKUP(AL249,Constants!$A$2:$C$16,IF(AM249&lt;&gt;"", 3, 2), FALSE),IF(AM249&lt;&gt;"",CONCATENATE(",",VLOOKUP(AM249,$B:$AN,39,FALSE)),""))</f>
        <v>4,4,4</v>
      </c>
      <c r="AR249" t="s">
        <v>618</v>
      </c>
      <c r="AT249" t="s">
        <v>617</v>
      </c>
      <c r="AX249">
        <v>40</v>
      </c>
      <c r="AY249" s="15">
        <f t="shared" si="292"/>
        <v>49</v>
      </c>
      <c r="AZ249">
        <v>-10</v>
      </c>
      <c r="BA249">
        <v>-20</v>
      </c>
      <c r="BB249">
        <f t="shared" si="293"/>
        <v>18</v>
      </c>
      <c r="BC249">
        <f t="shared" si="294"/>
        <v>5</v>
      </c>
      <c r="BD249">
        <f t="shared" si="295"/>
        <v>6.25</v>
      </c>
      <c r="BE249" s="3">
        <f t="shared" si="296"/>
        <v>0.91466666666666663</v>
      </c>
      <c r="BF249">
        <f t="shared" si="297"/>
        <v>7.1999999999999993</v>
      </c>
      <c r="BG249">
        <f>VLOOKUP($H249,Constants!$I:$K, 2, FALSE)</f>
        <v>0.85</v>
      </c>
      <c r="BH249">
        <f>VLOOKUP($H249,Constants!$I:$K, 3, FALSE)*IF(AND(G249="multiple_unit",AB249&lt;110),0.75,1)</f>
        <v>1.7249999999999999</v>
      </c>
      <c r="BI249">
        <f>INT(POWER(((Constants!$G$2+$BB249+$BC249+$BD249+$BF249)*$BE249)*$BH249, 1.05))+$BA249</f>
        <v>60</v>
      </c>
      <c r="BJ249">
        <f>INT(POWER((((Constants!$G$1+$BB249+$BC249+$BD249+$BF249)*($BE249))*$BG249),IF($G249="wagon",1,1.2)))+$AZ249</f>
        <v>73</v>
      </c>
      <c r="BK249" s="14">
        <f t="shared" si="298"/>
        <v>46875</v>
      </c>
      <c r="BL249" s="14">
        <f t="shared" si="299"/>
        <v>5931.25</v>
      </c>
      <c r="BQ249" t="s">
        <v>610</v>
      </c>
      <c r="BU249">
        <v>5</v>
      </c>
      <c r="BV249">
        <v>185</v>
      </c>
      <c r="BY249" t="s">
        <v>278</v>
      </c>
      <c r="BZ249" t="str">
        <f>VLOOKUP(J249,Eras!$A$2:$C$10, 2, TRUE)</f>
        <v>dsl</v>
      </c>
      <c r="CA249" t="s">
        <v>329</v>
      </c>
      <c r="CB249" t="str">
        <f t="shared" si="300"/>
        <v>dsl_EMU (Express)</v>
      </c>
      <c r="CC249" t="str">
        <f t="shared" si="287"/>
        <v>electric_THIRD_RAIL</v>
      </c>
      <c r="CD249" s="17" t="str" cm="1">
        <f t="array" ref="CD249">_xlfn.CONCAT("{BLACK}Length: {GOLD}", TEXT(ROUNDUP(IF(AQ249&lt;&gt;"",SUM(VALUE(_xlfn.TEXTSPLIT(AQ249, ","))), SUM(VALUE(_xlfn.TEXTSPLIT(AN249, ",")))*IF(M249, M249, 1))/16, 1), "#,##0.0"), " tiles{}")</f>
        <v>{BLACK}Length: {GOLD}3.0 tiles{}</v>
      </c>
      <c r="CE249" t="str">
        <f>VLOOKUP($CC249, Constants!$M:$N, 2, FALSE)</f>
        <v>{BLACK}Powered by: {GOLD}750V DC</v>
      </c>
      <c r="CF249" t="str">
        <f t="shared" si="301"/>
        <v>{BLACK}Cars: {GOLD}4</v>
      </c>
      <c r="CG249" t="s">
        <v>616</v>
      </c>
      <c r="CH249" t="str">
        <f t="shared" si="285"/>
        <v/>
      </c>
      <c r="CI249" t="str">
        <f t="shared" si="288"/>
        <v/>
      </c>
      <c r="CJ249" t="str">
        <f t="shared" si="289"/>
        <v>{BLACK}Powered by: {GOLD}750V DC {BLACK}Cars: {GOLD}4{}{BLACK}Length: {GOLD}3.0 tiles{}{SILVER}The Class 421 4 CIG (Corridor, brIGhton) was a third rail EMU with express gearing, used in the Southern Region. It was based on the Mk1 carriage design.</v>
      </c>
    </row>
    <row r="250" spans="1:88" x14ac:dyDescent="0.35">
      <c r="A250" t="s">
        <v>86</v>
      </c>
      <c r="B250" t="s">
        <v>613</v>
      </c>
      <c r="C250">
        <v>444</v>
      </c>
      <c r="E250">
        <v>136</v>
      </c>
      <c r="F250" t="s">
        <v>1498</v>
      </c>
      <c r="G250" t="s">
        <v>398</v>
      </c>
      <c r="H250" t="s">
        <v>291</v>
      </c>
      <c r="I250" t="s">
        <v>292</v>
      </c>
      <c r="J250">
        <v>1965</v>
      </c>
      <c r="L250">
        <v>2002</v>
      </c>
      <c r="M250">
        <v>4</v>
      </c>
      <c r="N250">
        <v>1080</v>
      </c>
      <c r="W250">
        <v>158</v>
      </c>
      <c r="Y250">
        <v>5</v>
      </c>
      <c r="Z250">
        <v>130</v>
      </c>
      <c r="AA250" s="3">
        <f t="shared" si="290"/>
        <v>8.2278481012658222E-2</v>
      </c>
      <c r="AB250">
        <v>75</v>
      </c>
      <c r="AC250">
        <f t="shared" si="302"/>
        <v>120</v>
      </c>
      <c r="AF250">
        <v>19.850000000000001</v>
      </c>
      <c r="AG250">
        <v>19.850000000000001</v>
      </c>
      <c r="AH250">
        <v>2.82</v>
      </c>
      <c r="AI250">
        <v>3.97</v>
      </c>
      <c r="AJ250" s="10">
        <v>57</v>
      </c>
      <c r="AK250" t="str">
        <f>CONCATENATE(VLOOKUP(AL250, 'Voxel Sizes'!$A$2:$B$18,2,FALSE),"x",INT(AH250*15), "x", INT(AI250*15))</f>
        <v>198x42x59</v>
      </c>
      <c r="AL250">
        <f t="shared" si="291"/>
        <v>12</v>
      </c>
      <c r="AN250" t="str">
        <f>CONCATENATE(VLOOKUP(AL250,Constants!$A$2:$C$16,IF(AM250&lt;&gt;"", 3, 2), FALSE),IF(AM250&lt;&gt;"",CONCATENATE(",",VLOOKUP(AM250,$B:$AN,39,FALSE)),""))</f>
        <v>4,4,4</v>
      </c>
      <c r="AR250" t="s">
        <v>614</v>
      </c>
      <c r="AT250" t="s">
        <v>549</v>
      </c>
      <c r="AX250">
        <v>32</v>
      </c>
      <c r="AY250" s="15">
        <f t="shared" si="292"/>
        <v>45</v>
      </c>
      <c r="AZ250">
        <v>-10</v>
      </c>
      <c r="BA250">
        <v>-20</v>
      </c>
      <c r="BB250">
        <f t="shared" si="293"/>
        <v>15</v>
      </c>
      <c r="BC250">
        <f t="shared" si="294"/>
        <v>5.4</v>
      </c>
      <c r="BD250">
        <f t="shared" si="295"/>
        <v>6.5</v>
      </c>
      <c r="BE250" s="3">
        <f t="shared" si="296"/>
        <v>0.91333333333333333</v>
      </c>
      <c r="BF250">
        <f t="shared" si="297"/>
        <v>7.6</v>
      </c>
      <c r="BG250">
        <f>VLOOKUP($H250,Constants!$I:$K, 2, FALSE)</f>
        <v>0.85</v>
      </c>
      <c r="BH250">
        <f>VLOOKUP($H250,Constants!$I:$K, 3, FALSE)*IF(AND(G250="multiple_unit",AB250&lt;110),0.75,1)</f>
        <v>1.7249999999999999</v>
      </c>
      <c r="BI250">
        <f>INT(POWER(((Constants!$G$2+$BB250+$BC250+$BD250+$BF250)*$BE250)*$BH250, 1.05))+$BA250</f>
        <v>56</v>
      </c>
      <c r="BJ250">
        <f>INT(POWER((((Constants!$G$1+$BB250+$BC250+$BD250+$BF250)*($BE250))*$BG250),IF($G250="wagon",1,1.2)))+$AZ250</f>
        <v>69</v>
      </c>
      <c r="BK250" s="14">
        <f t="shared" si="298"/>
        <v>43750</v>
      </c>
      <c r="BL250" s="14">
        <f t="shared" si="299"/>
        <v>5606.25</v>
      </c>
      <c r="BU250">
        <v>6</v>
      </c>
      <c r="BV250">
        <v>185</v>
      </c>
      <c r="BY250" t="s">
        <v>278</v>
      </c>
      <c r="BZ250" t="str">
        <f>VLOOKUP(J250,Eras!$A$2:$C$10, 2, TRUE)</f>
        <v>dsl</v>
      </c>
      <c r="CA250" t="s">
        <v>327</v>
      </c>
      <c r="CB250" t="str">
        <f t="shared" si="300"/>
        <v>dsl_DMU (Express)</v>
      </c>
      <c r="CC250" t="str">
        <f t="shared" si="287"/>
        <v>electric_ELRL</v>
      </c>
      <c r="CD250" s="17" t="str" cm="1">
        <f t="array" ref="CD250">_xlfn.CONCAT("{BLACK}Length: {GOLD}", TEXT(ROUNDUP(IF(AQ250&lt;&gt;"",SUM(VALUE(_xlfn.TEXTSPLIT(AQ250, ","))), SUM(VALUE(_xlfn.TEXTSPLIT(AN250, ",")))*IF(M250, M250, 1))/16, 1), "#,##0.0"), " tiles{}")</f>
        <v>{BLACK}Length: {GOLD}3.0 tiles{}</v>
      </c>
      <c r="CE250" t="str">
        <f>VLOOKUP($CC250, Constants!$M:$N, 2, FALSE)</f>
        <v>{BLACK}Powered by: {GOLD}25kV AC</v>
      </c>
      <c r="CF250" t="str">
        <f t="shared" si="301"/>
        <v>{BLACK}Cars: {GOLD}4</v>
      </c>
      <c r="CG250" t="s">
        <v>615</v>
      </c>
      <c r="CH250" t="str">
        <f t="shared" si="285"/>
        <v/>
      </c>
      <c r="CI250" t="str">
        <f t="shared" si="288"/>
        <v/>
      </c>
      <c r="CJ250" t="str">
        <f t="shared" si="289"/>
        <v>{BLACK}Powered by: {GOLD}25kV AC {BLACK}Cars: {GOLD}4{}{BLACK}Length: {GOLD}3.0 tiles{}{SILVER}The AM10 was the first EMU to be based on the Mk2 carriage bodyshell. They were introduced as part of the West Coast Main Line electrification.</v>
      </c>
    </row>
    <row r="251" spans="1:88" x14ac:dyDescent="0.35">
      <c r="A251" t="s">
        <v>78</v>
      </c>
      <c r="B251" t="s">
        <v>181</v>
      </c>
      <c r="C251">
        <v>446</v>
      </c>
      <c r="E251">
        <v>137</v>
      </c>
      <c r="F251" t="s">
        <v>1498</v>
      </c>
      <c r="G251" t="s">
        <v>398</v>
      </c>
      <c r="H251" t="s">
        <v>546</v>
      </c>
      <c r="I251" t="s">
        <v>545</v>
      </c>
      <c r="J251">
        <v>1976</v>
      </c>
      <c r="K251">
        <v>1977</v>
      </c>
      <c r="M251">
        <v>3</v>
      </c>
      <c r="N251">
        <v>880</v>
      </c>
      <c r="W251">
        <v>104.5</v>
      </c>
      <c r="Y251">
        <v>5</v>
      </c>
      <c r="Z251">
        <v>140</v>
      </c>
      <c r="AA251" s="3">
        <f t="shared" si="290"/>
        <v>0.13397129186602871</v>
      </c>
      <c r="AB251">
        <v>75</v>
      </c>
      <c r="AC251">
        <f t="shared" si="302"/>
        <v>120</v>
      </c>
      <c r="AF251">
        <v>20.329999999999998</v>
      </c>
      <c r="AG251">
        <v>20.329999999999998</v>
      </c>
      <c r="AI251">
        <v>3.58</v>
      </c>
      <c r="AJ251" s="10">
        <v>75</v>
      </c>
      <c r="AK251" t="str">
        <f>CONCATENATE(VLOOKUP(AL251, 'Voxel Sizes'!$A$2:$B$18,2,FALSE),"x",INT(AH251*15), "x", INT(AI251*15))</f>
        <v>198x0x53</v>
      </c>
      <c r="AL251">
        <f t="shared" si="291"/>
        <v>12</v>
      </c>
      <c r="AN251" t="str">
        <f>CONCATENATE(VLOOKUP(AL251,Constants!$A$2:$C$16,IF(AM251&lt;&gt;"", 3, 2), FALSE),IF(AM251&lt;&gt;"",CONCATENATE(",",VLOOKUP(AM251,$B:$AN,39,FALSE)),""))</f>
        <v>4,4,4</v>
      </c>
      <c r="AR251" t="s">
        <v>543</v>
      </c>
      <c r="AS251" t="s">
        <v>548</v>
      </c>
      <c r="AT251" t="s">
        <v>287</v>
      </c>
      <c r="AX251">
        <v>35</v>
      </c>
      <c r="AY251" s="15" t="str">
        <f t="shared" si="292"/>
        <v/>
      </c>
      <c r="AZ251">
        <v>-10</v>
      </c>
      <c r="BA251">
        <v>-20</v>
      </c>
      <c r="BB251">
        <f t="shared" si="293"/>
        <v>15</v>
      </c>
      <c r="BC251">
        <f t="shared" si="294"/>
        <v>4.4000000000000004</v>
      </c>
      <c r="BD251">
        <f t="shared" si="295"/>
        <v>7</v>
      </c>
      <c r="BE251" s="3">
        <f t="shared" si="296"/>
        <v>0.89866666666666672</v>
      </c>
      <c r="BF251">
        <f t="shared" si="297"/>
        <v>7.5</v>
      </c>
      <c r="BG251">
        <f>VLOOKUP($H251,Constants!$I:$K, 2, FALSE)</f>
        <v>0.85</v>
      </c>
      <c r="BH251">
        <f>VLOOKUP($H251,Constants!$I:$K, 3, FALSE)*IF(AND(G251="multiple_unit",AB251&lt;110),0.75,1)</f>
        <v>1.7999999999999998</v>
      </c>
      <c r="BI251">
        <f>INT(POWER(((Constants!$G$2+$BB251+$BC251+$BD251+$BF251)*$BE251)*$BH251, 1.05))+$BA251</f>
        <v>57</v>
      </c>
      <c r="BJ251">
        <f>INT(POWER((((Constants!$G$1+$BB251+$BC251+$BD251+$BF251)*($BE251))*$BG251),IF($G251="wagon",1,1.2)))+$AZ251</f>
        <v>67</v>
      </c>
      <c r="BK251" s="14">
        <f t="shared" si="298"/>
        <v>44531.25</v>
      </c>
      <c r="BL251" s="14">
        <f t="shared" si="299"/>
        <v>5443.75</v>
      </c>
      <c r="BU251">
        <v>7</v>
      </c>
      <c r="BV251">
        <v>185</v>
      </c>
      <c r="BY251" t="s">
        <v>278</v>
      </c>
      <c r="BZ251" t="str">
        <f>VLOOKUP(J251,Eras!$A$2:$C$10, 2, TRUE)</f>
        <v>lbr</v>
      </c>
      <c r="CA251" t="s">
        <v>328</v>
      </c>
      <c r="CB251" t="str">
        <f t="shared" si="300"/>
        <v>lbr_EMU</v>
      </c>
      <c r="CC251" t="str">
        <f t="shared" si="287"/>
        <v>dual_electric_DUAL_POWER</v>
      </c>
      <c r="CD251" s="17" t="str" cm="1">
        <f t="array" ref="CD251">_xlfn.CONCAT("{BLACK}Length: {GOLD}", TEXT(ROUNDUP(IF(AQ251&lt;&gt;"",SUM(VALUE(_xlfn.TEXTSPLIT(AQ251, ","))), SUM(VALUE(_xlfn.TEXTSPLIT(AN251, ",")))*IF(M251, M251, 1))/16, 1), "#,##0.0"), " tiles{}")</f>
        <v>{BLACK}Length: {GOLD}2.3 tiles{}</v>
      </c>
      <c r="CE251" t="str">
        <f>VLOOKUP($CC251, Constants!$M:$N, 2, FALSE)</f>
        <v>{BLACK}Powered by: {GOLD}25kV AC / 750V DC</v>
      </c>
      <c r="CF251" t="str">
        <f t="shared" si="301"/>
        <v>{BLACK}Cars: {GOLD}3</v>
      </c>
      <c r="CG251" t="s">
        <v>544</v>
      </c>
      <c r="CH251" t="str">
        <f t="shared" si="285"/>
        <v/>
      </c>
      <c r="CI251" t="str">
        <f t="shared" si="288"/>
        <v/>
      </c>
      <c r="CJ251" t="str">
        <f t="shared" si="289"/>
        <v>{BLACK}Powered by: {GOLD}25kV AC / 750V DC {BLACK}Cars: {GOLD}3{}{BLACK}Length: {GOLD}2.3 tiles{}{SILVER}The Class 313 is a dual voltage EMU capable of running both on overhead electrified lines and third rail systems.</v>
      </c>
    </row>
    <row r="252" spans="1:88" x14ac:dyDescent="0.35">
      <c r="A252" t="s">
        <v>659</v>
      </c>
      <c r="B252" t="s">
        <v>660</v>
      </c>
      <c r="C252">
        <v>448</v>
      </c>
      <c r="E252">
        <v>138</v>
      </c>
      <c r="F252" t="s">
        <v>1498</v>
      </c>
      <c r="G252" t="s">
        <v>398</v>
      </c>
      <c r="H252" t="s">
        <v>291</v>
      </c>
      <c r="I252" t="s">
        <v>292</v>
      </c>
      <c r="J252">
        <v>1979</v>
      </c>
      <c r="K252">
        <v>1986</v>
      </c>
      <c r="L252">
        <v>1988</v>
      </c>
      <c r="M252">
        <v>14</v>
      </c>
      <c r="N252">
        <v>8000</v>
      </c>
      <c r="W252">
        <v>434</v>
      </c>
      <c r="Y252">
        <v>4</v>
      </c>
      <c r="Z252">
        <v>210</v>
      </c>
      <c r="AA252" s="3">
        <f t="shared" si="290"/>
        <v>4.8387096774193547E-2</v>
      </c>
      <c r="AB252">
        <v>155</v>
      </c>
      <c r="AC252">
        <f t="shared" si="302"/>
        <v>248</v>
      </c>
      <c r="AF252">
        <v>20.9</v>
      </c>
      <c r="AG252">
        <v>20.9</v>
      </c>
      <c r="AH252">
        <v>2.7</v>
      </c>
      <c r="AI252">
        <v>3.5</v>
      </c>
      <c r="AJ252" s="10">
        <v>39</v>
      </c>
      <c r="AK252" t="str">
        <f>CONCATENATE(VLOOKUP(AL252, 'Voxel Sizes'!$A$2:$B$18,2,FALSE),"x",INT(AH252*15), "x", INT(AI252*15))</f>
        <v>198x40x52</v>
      </c>
      <c r="AL252">
        <f t="shared" si="291"/>
        <v>12</v>
      </c>
      <c r="AN252" t="str">
        <f>CONCATENATE(VLOOKUP(AL252,Constants!$A$2:$C$16,IF(AM252&lt;&gt;"", 3, 2), FALSE),IF(AM252&lt;&gt;"",CONCATENATE(",",VLOOKUP(AM252,$B:$AN,39,FALSE)),""))</f>
        <v>4,4,4</v>
      </c>
      <c r="AR252" t="s">
        <v>662</v>
      </c>
      <c r="AT252" t="s">
        <v>669</v>
      </c>
      <c r="AX252">
        <v>12</v>
      </c>
      <c r="AY252" s="15">
        <f t="shared" si="292"/>
        <v>17</v>
      </c>
      <c r="BB252">
        <f t="shared" si="293"/>
        <v>30</v>
      </c>
      <c r="BC252">
        <f t="shared" si="294"/>
        <v>20</v>
      </c>
      <c r="BD252">
        <f t="shared" si="295"/>
        <v>10.5</v>
      </c>
      <c r="BE252" s="3">
        <f t="shared" si="296"/>
        <v>0.89466666666666672</v>
      </c>
      <c r="BF252">
        <f t="shared" si="297"/>
        <v>18.2</v>
      </c>
      <c r="BG252">
        <f>VLOOKUP($H252,Constants!$I:$K, 2, FALSE)</f>
        <v>0.85</v>
      </c>
      <c r="BH252">
        <f>VLOOKUP($H252,Constants!$I:$K, 3, FALSE)*IF(AND(G252="multiple_unit",AB252&lt;110),0.75,1)</f>
        <v>2.2999999999999998</v>
      </c>
      <c r="BI252">
        <f>INT(POWER(((Constants!$G$2+$BB252+$BC252+$BD252+$BF252)*$BE252)*$BH252, 1.05))+$BA252</f>
        <v>222</v>
      </c>
      <c r="BJ252">
        <f>INT(POWER((((Constants!$G$1+$BB252+$BC252+$BD252+$BF252)*($BE252))*$BG252),IF($G252="wagon",1,1.2)))+$AZ252</f>
        <v>167</v>
      </c>
      <c r="BK252" s="14">
        <f t="shared" si="298"/>
        <v>173437.5</v>
      </c>
      <c r="BL252" s="14">
        <f t="shared" si="299"/>
        <v>13568.75</v>
      </c>
      <c r="BP252">
        <v>1</v>
      </c>
      <c r="BT252" t="s">
        <v>1142</v>
      </c>
      <c r="BU252">
        <v>8</v>
      </c>
      <c r="BV252">
        <v>222</v>
      </c>
      <c r="BY252" t="s">
        <v>278</v>
      </c>
      <c r="BZ252" t="str">
        <f>VLOOKUP(J252,Eras!$A$2:$C$10, 2, TRUE)</f>
        <v>lbr</v>
      </c>
      <c r="CA252" t="s">
        <v>329</v>
      </c>
      <c r="CB252" t="str">
        <f t="shared" si="300"/>
        <v>lbr_EMU (Express)</v>
      </c>
      <c r="CC252" t="str">
        <f t="shared" si="287"/>
        <v>electric_ELRL</v>
      </c>
      <c r="CD252" s="17" t="str" cm="1">
        <f t="array" ref="CD252">_xlfn.CONCAT("{BLACK}Length: {GOLD}", TEXT(ROUNDUP(IF(AQ252&lt;&gt;"",SUM(VALUE(_xlfn.TEXTSPLIT(AQ252, ","))), SUM(VALUE(_xlfn.TEXTSPLIT(AN252, ",")))*IF(M252, M252, 1))/16, 1), "#,##0.0"), " tiles{}")</f>
        <v>{BLACK}Length: {GOLD}10.5 tiles{}</v>
      </c>
      <c r="CE252" t="str">
        <f>VLOOKUP($CC252, Constants!$M:$N, 2, FALSE)</f>
        <v>{BLACK}Powered by: {GOLD}25kV AC</v>
      </c>
      <c r="CF252" t="str">
        <f t="shared" si="301"/>
        <v>{BLACK}Cars: {GOLD}14</v>
      </c>
      <c r="CG252" t="s">
        <v>661</v>
      </c>
      <c r="CH252" t="str">
        <f t="shared" si="285"/>
        <v/>
      </c>
      <c r="CI252" t="str">
        <f t="shared" si="288"/>
        <v>{YELLOW}20% bonus for long distance travel{}</v>
      </c>
      <c r="CJ252" t="str">
        <f t="shared" si="289"/>
        <v>{BLACK}Powered by: {GOLD}25kV AC {BLACK}Cars: {GOLD}14{}{BLACK}Length: {GOLD}10.5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53" spans="1:88" x14ac:dyDescent="0.35">
      <c r="A253" t="s">
        <v>659</v>
      </c>
      <c r="B253" t="s">
        <v>1119</v>
      </c>
      <c r="C253">
        <v>449</v>
      </c>
      <c r="E253">
        <v>139</v>
      </c>
      <c r="F253" t="s">
        <v>1498</v>
      </c>
      <c r="G253" t="s">
        <v>398</v>
      </c>
      <c r="H253" t="s">
        <v>291</v>
      </c>
      <c r="I253" t="s">
        <v>292</v>
      </c>
      <c r="J253">
        <v>1979</v>
      </c>
      <c r="K253">
        <v>1986</v>
      </c>
      <c r="L253">
        <v>1988</v>
      </c>
      <c r="M253">
        <v>8</v>
      </c>
      <c r="N253">
        <v>8000</v>
      </c>
      <c r="W253">
        <f>(434/14)*8</f>
        <v>248</v>
      </c>
      <c r="Y253">
        <v>4</v>
      </c>
      <c r="Z253">
        <v>210</v>
      </c>
      <c r="AA253" s="3">
        <f t="shared" si="290"/>
        <v>8.4677419354838704E-2</v>
      </c>
      <c r="AB253">
        <v>155</v>
      </c>
      <c r="AC253">
        <f t="shared" si="302"/>
        <v>248</v>
      </c>
      <c r="AF253">
        <v>20.9</v>
      </c>
      <c r="AG253">
        <v>20.9</v>
      </c>
      <c r="AH253">
        <v>2.7</v>
      </c>
      <c r="AI253">
        <v>3.5</v>
      </c>
      <c r="AJ253" s="10">
        <v>39</v>
      </c>
      <c r="AK253" t="str">
        <f>CONCATENATE(VLOOKUP(AL253, 'Voxel Sizes'!$A$2:$B$18,2,FALSE),"x",INT(AH253*15), "x", INT(AI253*15))</f>
        <v>198x40x52</v>
      </c>
      <c r="AL253">
        <f t="shared" si="291"/>
        <v>12</v>
      </c>
      <c r="AN253" t="str">
        <f>CONCATENATE(VLOOKUP(AL253,Constants!$A$2:$C$16,IF(AM253&lt;&gt;"", 3, 2), FALSE),IF(AM253&lt;&gt;"",CONCATENATE(",",VLOOKUP(AM253,$B:$AN,39,FALSE)),""))</f>
        <v>4,4,4</v>
      </c>
      <c r="AR253" t="s">
        <v>1133</v>
      </c>
      <c r="AT253" t="s">
        <v>686</v>
      </c>
      <c r="AU253" t="s">
        <v>660</v>
      </c>
      <c r="AX253">
        <v>12</v>
      </c>
      <c r="AY253" s="15">
        <f t="shared" si="292"/>
        <v>17</v>
      </c>
      <c r="BB253">
        <f t="shared" si="293"/>
        <v>30</v>
      </c>
      <c r="BC253">
        <f t="shared" si="294"/>
        <v>20</v>
      </c>
      <c r="BD253">
        <f t="shared" si="295"/>
        <v>10.5</v>
      </c>
      <c r="BE253" s="3">
        <f t="shared" si="296"/>
        <v>0.89466666666666672</v>
      </c>
      <c r="BF253">
        <f t="shared" si="297"/>
        <v>10.4</v>
      </c>
      <c r="BG253">
        <f>VLOOKUP($H253,Constants!$I:$K, 2, FALSE)</f>
        <v>0.85</v>
      </c>
      <c r="BH253">
        <f>VLOOKUP($H253,Constants!$I:$K, 3, FALSE)*IF(AND(G253="multiple_unit",AB253&lt;110),0.75,1)</f>
        <v>2.2999999999999998</v>
      </c>
      <c r="BI253">
        <f>INT(POWER(((Constants!$G$2+$BB253+$BC253+$BD253+$BF253)*$BE253)*$BH253, 1.05))+$BA253</f>
        <v>201</v>
      </c>
      <c r="BJ253">
        <f>INT(POWER((((Constants!$G$1+$BB253+$BC253+$BD253+$BF253)*($BE253))*$BG253),IF($G253="wagon",1,1.2)))+$AZ253</f>
        <v>150</v>
      </c>
      <c r="BK253" s="14">
        <f t="shared" si="298"/>
        <v>157031.25</v>
      </c>
      <c r="BL253" s="14">
        <f t="shared" si="299"/>
        <v>12187.5</v>
      </c>
      <c r="BP253">
        <v>1</v>
      </c>
      <c r="BT253" t="s">
        <v>1141</v>
      </c>
      <c r="BU253">
        <v>8</v>
      </c>
      <c r="BV253">
        <v>222</v>
      </c>
      <c r="BY253" t="s">
        <v>278</v>
      </c>
      <c r="BZ253" t="str">
        <f>VLOOKUP(J253,Eras!$A$2:$C$10, 2, TRUE)</f>
        <v>lbr</v>
      </c>
      <c r="CA253" t="s">
        <v>329</v>
      </c>
      <c r="CB253" t="str">
        <f t="shared" si="300"/>
        <v>lbr_EMU (Express)</v>
      </c>
      <c r="CC253" t="str">
        <f t="shared" si="287"/>
        <v>electric_ELRL</v>
      </c>
      <c r="CD253" s="17" t="str" cm="1">
        <f t="array" ref="CD253">_xlfn.CONCAT("{BLACK}Length: {GOLD}", TEXT(ROUNDUP(IF(AQ253&lt;&gt;"",SUM(VALUE(_xlfn.TEXTSPLIT(AQ253, ","))), SUM(VALUE(_xlfn.TEXTSPLIT(AN253, ",")))*IF(M253, M253, 1))/16, 1), "#,##0.0"), " tiles{}")</f>
        <v>{BLACK}Length: {GOLD}6.0 tiles{}</v>
      </c>
      <c r="CE253" t="str">
        <f>VLOOKUP($CC253, Constants!$M:$N, 2, FALSE)</f>
        <v>{BLACK}Powered by: {GOLD}25kV AC</v>
      </c>
      <c r="CF253" t="str">
        <f t="shared" si="301"/>
        <v>{BLACK}Cars: {GOLD}8</v>
      </c>
      <c r="CG253" t="s">
        <v>661</v>
      </c>
      <c r="CH253" t="str">
        <f t="shared" si="285"/>
        <v/>
      </c>
      <c r="CI253" t="str">
        <f t="shared" si="288"/>
        <v>{YELLOW}20% bonus for long distance travel{}</v>
      </c>
      <c r="CJ253" t="str">
        <f t="shared" si="289"/>
        <v>{BLACK}Powered by: {GOLD}25kV AC {BLACK}Cars: {GOLD}8{}{BLACK}Length: {GOLD}6.0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54" spans="1:88" x14ac:dyDescent="0.35">
      <c r="A254" t="s">
        <v>659</v>
      </c>
      <c r="B254" t="s">
        <v>1134</v>
      </c>
      <c r="C254">
        <v>450</v>
      </c>
      <c r="E254">
        <v>140</v>
      </c>
      <c r="F254" t="s">
        <v>1498</v>
      </c>
      <c r="G254" t="s">
        <v>398</v>
      </c>
      <c r="H254" t="s">
        <v>291</v>
      </c>
      <c r="I254" t="s">
        <v>292</v>
      </c>
      <c r="J254">
        <v>1979</v>
      </c>
      <c r="K254">
        <v>1986</v>
      </c>
      <c r="L254">
        <v>1988</v>
      </c>
      <c r="M254">
        <v>5</v>
      </c>
      <c r="N254">
        <v>8000</v>
      </c>
      <c r="W254">
        <f>(434/14)*5</f>
        <v>155</v>
      </c>
      <c r="Y254">
        <v>4</v>
      </c>
      <c r="Z254">
        <v>210</v>
      </c>
      <c r="AA254" s="3">
        <f t="shared" si="290"/>
        <v>0.13548387096774195</v>
      </c>
      <c r="AB254">
        <v>155</v>
      </c>
      <c r="AC254">
        <f t="shared" si="302"/>
        <v>248</v>
      </c>
      <c r="AF254">
        <v>20.9</v>
      </c>
      <c r="AG254">
        <v>20.9</v>
      </c>
      <c r="AH254">
        <v>2.7</v>
      </c>
      <c r="AI254">
        <v>3.5</v>
      </c>
      <c r="AJ254" s="10">
        <v>39</v>
      </c>
      <c r="AK254" t="str">
        <f>CONCATENATE(VLOOKUP(AL254, 'Voxel Sizes'!$A$2:$B$18,2,FALSE),"x",INT(AH254*15), "x", INT(AI254*15))</f>
        <v>198x40x52</v>
      </c>
      <c r="AL254">
        <f t="shared" si="291"/>
        <v>12</v>
      </c>
      <c r="AN254" t="str">
        <f>CONCATENATE(VLOOKUP(AL254,Constants!$A$2:$C$16,IF(AM254&lt;&gt;"", 3, 2), FALSE),IF(AM254&lt;&gt;"",CONCATENATE(",",VLOOKUP(AM254,$B:$AN,39,FALSE)),""))</f>
        <v>4,4,4</v>
      </c>
      <c r="AR254" t="s">
        <v>1139</v>
      </c>
      <c r="AT254" t="s">
        <v>656</v>
      </c>
      <c r="AU254" t="s">
        <v>660</v>
      </c>
      <c r="AX254">
        <v>12</v>
      </c>
      <c r="AY254" s="15">
        <f t="shared" si="292"/>
        <v>17</v>
      </c>
      <c r="BB254">
        <f t="shared" si="293"/>
        <v>30</v>
      </c>
      <c r="BC254">
        <f t="shared" si="294"/>
        <v>20</v>
      </c>
      <c r="BD254">
        <f t="shared" si="295"/>
        <v>10.5</v>
      </c>
      <c r="BE254" s="3">
        <f t="shared" si="296"/>
        <v>0.89466666666666672</v>
      </c>
      <c r="BF254">
        <f t="shared" si="297"/>
        <v>6.5</v>
      </c>
      <c r="BG254">
        <f>VLOOKUP($H254,Constants!$I:$K, 2, FALSE)</f>
        <v>0.85</v>
      </c>
      <c r="BH254">
        <f>VLOOKUP($H254,Constants!$I:$K, 3, FALSE)*IF(AND(G254="multiple_unit",AB254&lt;110),0.75,1)</f>
        <v>2.2999999999999998</v>
      </c>
      <c r="BI254">
        <f>INT(POWER(((Constants!$G$2+$BB254+$BC254+$BD254+$BF254)*$BE254)*$BH254, 1.05))+$BA254</f>
        <v>190</v>
      </c>
      <c r="BJ254">
        <f>INT(POWER((((Constants!$G$1+$BB254+$BC254+$BD254+$BF254)*($BE254))*$BG254),IF($G254="wagon",1,1.2)))+$AZ254</f>
        <v>142</v>
      </c>
      <c r="BK254" s="14">
        <f t="shared" si="298"/>
        <v>148437.5</v>
      </c>
      <c r="BL254" s="14">
        <f t="shared" si="299"/>
        <v>11537.5</v>
      </c>
      <c r="BP254">
        <v>1</v>
      </c>
      <c r="BT254" t="s">
        <v>1140</v>
      </c>
      <c r="BU254">
        <v>8</v>
      </c>
      <c r="BV254">
        <v>222</v>
      </c>
      <c r="BY254" t="s">
        <v>278</v>
      </c>
      <c r="BZ254" t="str">
        <f>VLOOKUP(J254,Eras!$A$2:$C$10, 2, TRUE)</f>
        <v>lbr</v>
      </c>
      <c r="CA254" t="s">
        <v>329</v>
      </c>
      <c r="CB254" t="str">
        <f t="shared" si="300"/>
        <v>lbr_EMU (Express)</v>
      </c>
      <c r="CC254" t="str">
        <f t="shared" si="287"/>
        <v>electric_ELRL</v>
      </c>
      <c r="CD254" s="17" t="str" cm="1">
        <f t="array" ref="CD254">_xlfn.CONCAT("{BLACK}Length: {GOLD}", TEXT(ROUNDUP(IF(AQ254&lt;&gt;"",SUM(VALUE(_xlfn.TEXTSPLIT(AQ254, ","))), SUM(VALUE(_xlfn.TEXTSPLIT(AN254, ",")))*IF(M254, M254, 1))/16, 1), "#,##0.0"), " tiles{}")</f>
        <v>{BLACK}Length: {GOLD}3.8 tiles{}</v>
      </c>
      <c r="CE254" t="str">
        <f>VLOOKUP($CC254, Constants!$M:$N, 2, FALSE)</f>
        <v>{BLACK}Powered by: {GOLD}25kV AC</v>
      </c>
      <c r="CF254" t="str">
        <f t="shared" si="301"/>
        <v>{BLACK}Cars: {GOLD}5</v>
      </c>
      <c r="CG254" t="s">
        <v>661</v>
      </c>
      <c r="CH254" t="str">
        <f t="shared" si="285"/>
        <v/>
      </c>
      <c r="CI254" t="str">
        <f t="shared" si="288"/>
        <v>{YELLOW}20% bonus for long distance travel{}</v>
      </c>
      <c r="CJ254" t="str">
        <f t="shared" si="289"/>
        <v>{BLACK}Powered by: {GOLD}25kV AC {BLACK}Cars: {GOLD}5{}{BLACK}Length: {GOLD}3.8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55" spans="1:88" x14ac:dyDescent="0.35">
      <c r="A255" t="s">
        <v>77</v>
      </c>
      <c r="B255" t="s">
        <v>180</v>
      </c>
      <c r="C255">
        <v>452</v>
      </c>
      <c r="E255">
        <v>141</v>
      </c>
      <c r="F255" t="s">
        <v>1498</v>
      </c>
      <c r="G255" t="s">
        <v>398</v>
      </c>
      <c r="H255" t="s">
        <v>291</v>
      </c>
      <c r="I255" t="s">
        <v>292</v>
      </c>
      <c r="J255">
        <v>1980</v>
      </c>
      <c r="K255">
        <v>1981</v>
      </c>
      <c r="M255">
        <v>4</v>
      </c>
      <c r="N255">
        <v>880</v>
      </c>
      <c r="W255">
        <v>127.5</v>
      </c>
      <c r="Y255">
        <v>5</v>
      </c>
      <c r="Z255">
        <v>140</v>
      </c>
      <c r="AA255" s="3">
        <f t="shared" si="290"/>
        <v>0.10980392156862745</v>
      </c>
      <c r="AB255">
        <v>75</v>
      </c>
      <c r="AC255">
        <f t="shared" si="302"/>
        <v>120</v>
      </c>
      <c r="AF255">
        <v>19.8</v>
      </c>
      <c r="AG255">
        <v>19.8</v>
      </c>
      <c r="AI255">
        <v>3.58</v>
      </c>
      <c r="AJ255" s="10">
        <v>78</v>
      </c>
      <c r="AK255" t="str">
        <f>CONCATENATE(VLOOKUP(AL255, 'Voxel Sizes'!$A$2:$B$18,2,FALSE),"x",INT(AH255*15), "x", INT(AI255*15))</f>
        <v>198x0x53</v>
      </c>
      <c r="AL255">
        <f t="shared" si="291"/>
        <v>12</v>
      </c>
      <c r="AN255" t="str">
        <f>CONCATENATE(VLOOKUP(AL255,Constants!$A$2:$C$16,IF(AM255&lt;&gt;"", 3, 2), FALSE),IF(AM255&lt;&gt;"",CONCATENATE(",",VLOOKUP(AM255,$B:$AN,39,FALSE)),""))</f>
        <v>4,4,4</v>
      </c>
      <c r="AR255" t="s">
        <v>551</v>
      </c>
      <c r="AT255" t="s">
        <v>549</v>
      </c>
      <c r="AX255">
        <v>35</v>
      </c>
      <c r="AY255" s="15" t="str">
        <f t="shared" si="292"/>
        <v/>
      </c>
      <c r="AZ255">
        <v>-10</v>
      </c>
      <c r="BA255">
        <v>-20</v>
      </c>
      <c r="BB255">
        <f t="shared" si="293"/>
        <v>15</v>
      </c>
      <c r="BC255">
        <f t="shared" si="294"/>
        <v>4.4000000000000004</v>
      </c>
      <c r="BD255">
        <f t="shared" si="295"/>
        <v>7</v>
      </c>
      <c r="BE255" s="3">
        <f t="shared" si="296"/>
        <v>0.89333333333333331</v>
      </c>
      <c r="BF255">
        <f t="shared" si="297"/>
        <v>10.4</v>
      </c>
      <c r="BG255">
        <f>VLOOKUP($H255,Constants!$I:$K, 2, FALSE)</f>
        <v>0.85</v>
      </c>
      <c r="BH255">
        <f>VLOOKUP($H255,Constants!$I:$K, 3, FALSE)*IF(AND(G255="multiple_unit",AB255&lt;110),0.75,1)</f>
        <v>1.7249999999999999</v>
      </c>
      <c r="BI255">
        <f>INT(POWER(((Constants!$G$2+$BB255+$BC255+$BD255+$BF255)*$BE255)*$BH255, 1.05))+$BA255</f>
        <v>59</v>
      </c>
      <c r="BJ255">
        <f>INT(POWER((((Constants!$G$1+$BB255+$BC255+$BD255+$BF255)*($BE255))*$BG255),IF($G255="wagon",1,1.2)))+$AZ255</f>
        <v>71</v>
      </c>
      <c r="BK255" s="14">
        <f t="shared" si="298"/>
        <v>46093.75</v>
      </c>
      <c r="BL255" s="14">
        <f t="shared" si="299"/>
        <v>5768.75</v>
      </c>
      <c r="BU255">
        <v>11</v>
      </c>
      <c r="BV255">
        <v>185</v>
      </c>
      <c r="BY255" t="s">
        <v>278</v>
      </c>
      <c r="BZ255" t="str">
        <f>VLOOKUP(J255,Eras!$A$2:$C$10, 2, TRUE)</f>
        <v>lbr</v>
      </c>
      <c r="CA255" t="s">
        <v>328</v>
      </c>
      <c r="CB255" t="str">
        <f t="shared" si="300"/>
        <v>lbr_EMU</v>
      </c>
      <c r="CC255" t="str">
        <f t="shared" si="287"/>
        <v>electric_ELRL</v>
      </c>
      <c r="CD255" s="17" t="str" cm="1">
        <f t="array" ref="CD255">_xlfn.CONCAT("{BLACK}Length: {GOLD}", TEXT(ROUNDUP(IF(AQ255&lt;&gt;"",SUM(VALUE(_xlfn.TEXTSPLIT(AQ255, ","))), SUM(VALUE(_xlfn.TEXTSPLIT(AN255, ",")))*IF(M255, M255, 1))/16, 1), "#,##0.0"), " tiles{}")</f>
        <v>{BLACK}Length: {GOLD}3.0 tiles{}</v>
      </c>
      <c r="CE255" t="str">
        <f>VLOOKUP($CC255, Constants!$M:$N, 2, FALSE)</f>
        <v>{BLACK}Powered by: {GOLD}25kV AC</v>
      </c>
      <c r="CF255" t="str">
        <f t="shared" si="301"/>
        <v>{BLACK}Cars: {GOLD}4</v>
      </c>
      <c r="CG255" t="s">
        <v>550</v>
      </c>
      <c r="CH255" t="str">
        <f t="shared" ref="CH255:CH318" si="303">IF($BT255="!param_no_gameplay_units","{GREEN}Included for gameplay purposes","")</f>
        <v/>
      </c>
      <c r="CI255" t="str">
        <f t="shared" si="288"/>
        <v/>
      </c>
      <c r="CJ255" t="str">
        <f t="shared" si="289"/>
        <v>{BLACK}Powered by: {GOLD}25kV AC {BLACK}Cars: {GOLD}4{}{BLACK}Length: {GOLD}3.0 tiles{}{SILVER}The Class 315 is the last class of the 1972 standard EMU design, running on 25kV overhead AC power and used for inner suburban services.</v>
      </c>
    </row>
    <row r="256" spans="1:88" x14ac:dyDescent="0.35">
      <c r="A256" t="s">
        <v>83</v>
      </c>
      <c r="B256" t="s">
        <v>182</v>
      </c>
      <c r="C256">
        <v>454</v>
      </c>
      <c r="E256">
        <v>142</v>
      </c>
      <c r="F256" t="s">
        <v>1498</v>
      </c>
      <c r="G256" t="s">
        <v>398</v>
      </c>
      <c r="H256" t="s">
        <v>291</v>
      </c>
      <c r="I256" t="s">
        <v>298</v>
      </c>
      <c r="J256">
        <v>1982</v>
      </c>
      <c r="M256">
        <v>4</v>
      </c>
      <c r="N256">
        <v>992</v>
      </c>
      <c r="W256">
        <v>136</v>
      </c>
      <c r="Y256">
        <v>5</v>
      </c>
      <c r="Z256">
        <v>150</v>
      </c>
      <c r="AA256" s="3">
        <f t="shared" si="290"/>
        <v>0.11029411764705882</v>
      </c>
      <c r="AB256">
        <v>75</v>
      </c>
      <c r="AC256">
        <f t="shared" si="302"/>
        <v>120</v>
      </c>
      <c r="AF256">
        <v>19.8</v>
      </c>
      <c r="AG256">
        <v>19.8</v>
      </c>
      <c r="AJ256" s="10">
        <v>78</v>
      </c>
      <c r="AK256" t="str">
        <f>CONCATENATE(VLOOKUP(AL256, 'Voxel Sizes'!$A$2:$B$18,2,FALSE),"x",INT(AH256*15), "x", INT(AI256*15))</f>
        <v>198x0x0</v>
      </c>
      <c r="AL256">
        <f t="shared" si="291"/>
        <v>12</v>
      </c>
      <c r="AN256" t="str">
        <f>CONCATENATE(VLOOKUP(AL256,Constants!$A$2:$C$16,IF(AM256&lt;&gt;"", 3, 2), FALSE),IF(AM256&lt;&gt;"",CONCATENATE(",",VLOOKUP(AM256,$B:$AN,39,FALSE)),""))</f>
        <v>4,4,4</v>
      </c>
      <c r="AR256" t="s">
        <v>600</v>
      </c>
      <c r="AT256" t="s">
        <v>459</v>
      </c>
      <c r="AX256">
        <v>35</v>
      </c>
      <c r="AY256" s="15" t="str">
        <f t="shared" si="292"/>
        <v/>
      </c>
      <c r="AZ256">
        <v>-10</v>
      </c>
      <c r="BA256">
        <v>-20</v>
      </c>
      <c r="BB256">
        <f t="shared" si="293"/>
        <v>15</v>
      </c>
      <c r="BC256">
        <f t="shared" si="294"/>
        <v>4.96</v>
      </c>
      <c r="BD256">
        <f t="shared" si="295"/>
        <v>7.5</v>
      </c>
      <c r="BE256" s="3">
        <f t="shared" si="296"/>
        <v>0.89066666666666672</v>
      </c>
      <c r="BF256">
        <f t="shared" si="297"/>
        <v>10.4</v>
      </c>
      <c r="BG256">
        <f>VLOOKUP($H256,Constants!$I:$K, 2, FALSE)</f>
        <v>0.85</v>
      </c>
      <c r="BH256">
        <f>VLOOKUP($H256,Constants!$I:$K, 3, FALSE)*IF(AND(G256="multiple_unit",AB256&lt;110),0.75,1)</f>
        <v>1.7249999999999999</v>
      </c>
      <c r="BI256">
        <f>INT(POWER(((Constants!$G$2+$BB256+$BC256+$BD256+$BF256)*$BE256)*$BH256, 1.05))+$BA256</f>
        <v>61</v>
      </c>
      <c r="BJ256">
        <f>INT(POWER((((Constants!$G$1+$BB256+$BC256+$BD256+$BF256)*($BE256))*$BG256),IF($G256="wagon",1,1.2)))+$AZ256</f>
        <v>73</v>
      </c>
      <c r="BK256" s="14">
        <f t="shared" si="298"/>
        <v>47656.25</v>
      </c>
      <c r="BL256" s="14">
        <f t="shared" si="299"/>
        <v>5931.25</v>
      </c>
      <c r="BQ256" t="s">
        <v>183</v>
      </c>
      <c r="BU256">
        <v>12</v>
      </c>
      <c r="BV256">
        <v>185</v>
      </c>
      <c r="BY256" t="s">
        <v>278</v>
      </c>
      <c r="BZ256" t="str">
        <f>VLOOKUP(J256,Eras!$A$2:$C$10, 2, TRUE)</f>
        <v>lbr</v>
      </c>
      <c r="CA256" t="s">
        <v>328</v>
      </c>
      <c r="CB256" t="str">
        <f t="shared" si="300"/>
        <v>lbr_EMU</v>
      </c>
      <c r="CC256" t="str">
        <f t="shared" si="287"/>
        <v>electric_THIRD_RAIL</v>
      </c>
      <c r="CD256" s="17" t="str" cm="1">
        <f t="array" ref="CD256">_xlfn.CONCAT("{BLACK}Length: {GOLD}", TEXT(ROUNDUP(IF(AQ256&lt;&gt;"",SUM(VALUE(_xlfn.TEXTSPLIT(AQ256, ","))), SUM(VALUE(_xlfn.TEXTSPLIT(AN256, ",")))*IF(M256, M256, 1))/16, 1), "#,##0.0"), " tiles{}")</f>
        <v>{BLACK}Length: {GOLD}3.0 tiles{}</v>
      </c>
      <c r="CE256" t="str">
        <f>VLOOKUP($CC256, Constants!$M:$N, 2, FALSE)</f>
        <v>{BLACK}Powered by: {GOLD}750V DC</v>
      </c>
      <c r="CF256" t="str">
        <f t="shared" si="301"/>
        <v>{BLACK}Cars: {GOLD}4</v>
      </c>
      <c r="CG256" t="s">
        <v>601</v>
      </c>
      <c r="CH256" t="str">
        <f t="shared" si="303"/>
        <v/>
      </c>
      <c r="CI256" t="str">
        <f t="shared" si="288"/>
        <v/>
      </c>
      <c r="CJ256" t="str">
        <f t="shared" si="289"/>
        <v>{BLACK}Powered by: {GOLD}750V DC {BLACK}Cars: {GOLD}4{}{BLACK}Length: {GOLD}3.0 tiles{}{SILVER}The Class 455 is a DC third rail version of British Rail's second generation EMU design. Some units re-used existing carriages from the Class 508, recognisable by the different side profile.</v>
      </c>
    </row>
    <row r="257" spans="1:88" x14ac:dyDescent="0.35">
      <c r="A257" t="s">
        <v>87</v>
      </c>
      <c r="B257" t="s">
        <v>621</v>
      </c>
      <c r="C257">
        <v>456</v>
      </c>
      <c r="E257">
        <v>143</v>
      </c>
      <c r="F257" t="s">
        <v>1498</v>
      </c>
      <c r="G257" t="s">
        <v>398</v>
      </c>
      <c r="H257" t="s">
        <v>268</v>
      </c>
      <c r="I257" t="s">
        <v>270</v>
      </c>
      <c r="J257">
        <v>1984</v>
      </c>
      <c r="K257">
        <v>1987</v>
      </c>
      <c r="M257">
        <v>2</v>
      </c>
      <c r="N257">
        <f>286*2</f>
        <v>572</v>
      </c>
      <c r="W257">
        <f>35.8*2</f>
        <v>71.599999999999994</v>
      </c>
      <c r="Y257">
        <v>5</v>
      </c>
      <c r="Z257">
        <v>110</v>
      </c>
      <c r="AA257" s="3">
        <f t="shared" si="290"/>
        <v>0.15363128491620112</v>
      </c>
      <c r="AB257">
        <v>75</v>
      </c>
      <c r="AC257">
        <f t="shared" si="302"/>
        <v>120</v>
      </c>
      <c r="AF257">
        <v>20</v>
      </c>
      <c r="AG257">
        <v>20</v>
      </c>
      <c r="AH257">
        <v>2.81</v>
      </c>
      <c r="AI257">
        <v>3.7</v>
      </c>
      <c r="AJ257" s="10">
        <v>63</v>
      </c>
      <c r="AK257" t="str">
        <f>CONCATENATE(VLOOKUP(AL257, 'Voxel Sizes'!$A$2:$B$18,2,FALSE),"x",INT(AH257*15), "x", INT(AI257*15))</f>
        <v>198x42x55</v>
      </c>
      <c r="AL257">
        <f t="shared" si="291"/>
        <v>12</v>
      </c>
      <c r="AN257" t="str">
        <f>CONCATENATE(VLOOKUP(AL257,Constants!$A$2:$C$16,IF(AM257&lt;&gt;"", 3, 2), FALSE),IF(AM257&lt;&gt;"",CONCATENATE(",",VLOOKUP(AM257,$B:$AN,39,FALSE)),""))</f>
        <v>4,4,4</v>
      </c>
      <c r="AR257" t="s">
        <v>620</v>
      </c>
      <c r="AT257" t="s">
        <v>461</v>
      </c>
      <c r="AX257">
        <v>28</v>
      </c>
      <c r="AY257" s="15" t="str">
        <f t="shared" si="292"/>
        <v/>
      </c>
      <c r="AZ257">
        <v>-10</v>
      </c>
      <c r="BA257">
        <v>-15</v>
      </c>
      <c r="BB257">
        <f t="shared" si="293"/>
        <v>15</v>
      </c>
      <c r="BC257">
        <f t="shared" si="294"/>
        <v>2.86</v>
      </c>
      <c r="BD257">
        <f t="shared" si="295"/>
        <v>5.5</v>
      </c>
      <c r="BE257" s="3">
        <f t="shared" si="296"/>
        <v>0.88800000000000001</v>
      </c>
      <c r="BF257">
        <f t="shared" si="297"/>
        <v>4.2</v>
      </c>
      <c r="BG257">
        <f>VLOOKUP($H257,Constants!$I:$K, 2, FALSE)</f>
        <v>1</v>
      </c>
      <c r="BH257">
        <f>VLOOKUP($H257,Constants!$I:$K, 3, FALSE)*IF(AND(G257="multiple_unit",AB257&lt;110),0.75,1)</f>
        <v>1.5</v>
      </c>
      <c r="BI257">
        <f>INT(POWER(((Constants!$G$2+$BB257+$BC257+$BD257+$BF257)*$BE257)*$BH257, 1.05))+$BA257</f>
        <v>37</v>
      </c>
      <c r="BJ257">
        <f>INT(POWER((((Constants!$G$1+$BB257+$BC257+$BD257+$BF257)*($BE257))*$BG257),IF($G257="wagon",1,1.2)))+$AZ257</f>
        <v>68</v>
      </c>
      <c r="BK257" s="14">
        <f t="shared" si="298"/>
        <v>28906.25</v>
      </c>
      <c r="BL257" s="14">
        <f t="shared" si="299"/>
        <v>5525</v>
      </c>
      <c r="BQ257" t="s">
        <v>1104</v>
      </c>
      <c r="BU257">
        <v>1</v>
      </c>
      <c r="BV257">
        <v>185</v>
      </c>
      <c r="BY257" t="s">
        <v>278</v>
      </c>
      <c r="BZ257" t="str">
        <f>VLOOKUP(J257,Eras!$A$2:$C$10, 2, TRUE)</f>
        <v>lbr</v>
      </c>
      <c r="CA257" t="s">
        <v>326</v>
      </c>
      <c r="CB257" t="str">
        <f t="shared" si="300"/>
        <v>lbr_DMU</v>
      </c>
      <c r="CC257" t="str">
        <f t="shared" si="287"/>
        <v>diesel_RAIL</v>
      </c>
      <c r="CD257" s="17" t="str" cm="1">
        <f t="array" ref="CD257">_xlfn.CONCAT("{BLACK}Length: {GOLD}", TEXT(ROUNDUP(IF(AQ257&lt;&gt;"",SUM(VALUE(_xlfn.TEXTSPLIT(AQ257, ","))), SUM(VALUE(_xlfn.TEXTSPLIT(AN257, ",")))*IF(M257, M257, 1))/16, 1), "#,##0.0"), " tiles{}")</f>
        <v>{BLACK}Length: {GOLD}1.5 tiles{}</v>
      </c>
      <c r="CE257" t="str">
        <f>VLOOKUP($CC257, Constants!$M:$N, 2, FALSE)</f>
        <v>{BLACK}Powered by: {GOLD}Diesel</v>
      </c>
      <c r="CF257" t="str">
        <f t="shared" si="301"/>
        <v>{BLACK}Cars: {GOLD}2</v>
      </c>
      <c r="CG257" t="s">
        <v>619</v>
      </c>
      <c r="CH257" t="str">
        <f t="shared" si="303"/>
        <v/>
      </c>
      <c r="CI257" t="str">
        <f t="shared" si="288"/>
        <v/>
      </c>
      <c r="CJ257" t="str">
        <f t="shared" si="289"/>
        <v>{BLACK}Powered by: {GOLD}Diesel {BLACK}Cars: {GOLD}2{}{BLACK}Length: {GOLD}1.5 tiles{}{SILVER}The Sprinter replaced first-generation DMUs. Like other second-generation units it was based on the Mark 3 bodyshell. The name refers to its faster acceleration compared to the units it replaced.</v>
      </c>
    </row>
    <row r="258" spans="1:88" x14ac:dyDescent="0.35">
      <c r="A258" t="s">
        <v>636</v>
      </c>
      <c r="B258" t="s">
        <v>222</v>
      </c>
      <c r="C258">
        <v>458</v>
      </c>
      <c r="E258">
        <v>144</v>
      </c>
      <c r="F258" t="s">
        <v>1498</v>
      </c>
      <c r="G258" t="s">
        <v>398</v>
      </c>
      <c r="H258" t="s">
        <v>268</v>
      </c>
      <c r="I258" t="s">
        <v>270</v>
      </c>
      <c r="J258">
        <v>1984</v>
      </c>
      <c r="K258">
        <v>1988</v>
      </c>
      <c r="L258">
        <v>2005</v>
      </c>
      <c r="M258">
        <v>2</v>
      </c>
      <c r="N258">
        <v>205</v>
      </c>
      <c r="W258">
        <f>26+26.5</f>
        <v>52.5</v>
      </c>
      <c r="Y258">
        <v>5</v>
      </c>
      <c r="Z258">
        <v>70</v>
      </c>
      <c r="AA258" s="3">
        <f t="shared" si="290"/>
        <v>0.13333333333333333</v>
      </c>
      <c r="AB258">
        <v>75</v>
      </c>
      <c r="AC258">
        <f t="shared" si="302"/>
        <v>120</v>
      </c>
      <c r="AF258">
        <v>15.45</v>
      </c>
      <c r="AG258">
        <v>15.45</v>
      </c>
      <c r="AH258">
        <v>2.5</v>
      </c>
      <c r="AI258">
        <v>3.9</v>
      </c>
      <c r="AJ258" s="10">
        <v>46</v>
      </c>
      <c r="AK258" t="str">
        <f>CONCATENATE(VLOOKUP(AL258, 'Voxel Sizes'!$A$2:$B$18,2,FALSE),"x",INT(AH258*15), "x", INT(AI258*15))</f>
        <v>152x37x58</v>
      </c>
      <c r="AL258">
        <f t="shared" si="291"/>
        <v>9</v>
      </c>
      <c r="AN258" t="str">
        <f>CONCATENATE(VLOOKUP(AL258,Constants!$A$2:$C$16,IF(AM258&lt;&gt;"", 3, 2), FALSE),IF(AM258&lt;&gt;"",CONCATENATE(",",VLOOKUP(AM258,$B:$AN,39,FALSE)),""))</f>
        <v>2,5,2</v>
      </c>
      <c r="AR258" t="s">
        <v>631</v>
      </c>
      <c r="AT258" t="s">
        <v>461</v>
      </c>
      <c r="AX258">
        <v>18</v>
      </c>
      <c r="AY258" s="15">
        <f t="shared" si="292"/>
        <v>29</v>
      </c>
      <c r="AZ258">
        <v>-35</v>
      </c>
      <c r="BA258">
        <v>-20</v>
      </c>
      <c r="BB258">
        <f t="shared" si="293"/>
        <v>15</v>
      </c>
      <c r="BC258">
        <f t="shared" si="294"/>
        <v>1.0249999999999999</v>
      </c>
      <c r="BD258">
        <f t="shared" si="295"/>
        <v>3.5</v>
      </c>
      <c r="BE258" s="3">
        <f t="shared" si="296"/>
        <v>0.88800000000000001</v>
      </c>
      <c r="BF258">
        <f t="shared" si="297"/>
        <v>3.0666666666666664</v>
      </c>
      <c r="BG258">
        <f>VLOOKUP($H258,Constants!$I:$K, 2, FALSE)</f>
        <v>1</v>
      </c>
      <c r="BH258">
        <f>VLOOKUP($H258,Constants!$I:$K, 3, FALSE)*IF(AND(G258="multiple_unit",AB258&lt;110),0.75,1)</f>
        <v>1.5</v>
      </c>
      <c r="BI258">
        <f>INT(POWER(((Constants!$G$2+$BB258+$BC258+$BD258+$BF258)*$BE258)*$BH258, 1.05))+$BA258</f>
        <v>24</v>
      </c>
      <c r="BJ258">
        <f>INT(POWER((((Constants!$G$1+$BB258+$BC258+$BD258+$BF258)*($BE258))*$BG258),IF($G258="wagon",1,1.2)))+$AZ258</f>
        <v>32</v>
      </c>
      <c r="BK258" s="14">
        <f t="shared" si="298"/>
        <v>18750</v>
      </c>
      <c r="BL258" s="14">
        <f t="shared" si="299"/>
        <v>2600</v>
      </c>
      <c r="BQ258" t="s">
        <v>1105</v>
      </c>
      <c r="BU258">
        <v>2</v>
      </c>
      <c r="BV258">
        <v>148</v>
      </c>
      <c r="BY258" t="s">
        <v>278</v>
      </c>
      <c r="BZ258" t="str">
        <f>VLOOKUP(J258,Eras!$A$2:$C$10, 2, TRUE)</f>
        <v>lbr</v>
      </c>
      <c r="CA258" t="s">
        <v>325</v>
      </c>
      <c r="CB258" t="str">
        <f t="shared" si="300"/>
        <v>lbr_DMU (Cheap)</v>
      </c>
      <c r="CC258" t="str">
        <f t="shared" si="287"/>
        <v>diesel_RAIL</v>
      </c>
      <c r="CD258" s="17" t="str" cm="1">
        <f t="array" ref="CD258">_xlfn.CONCAT("{BLACK}Length: {GOLD}", TEXT(ROUNDUP(IF(AQ258&lt;&gt;"",SUM(VALUE(_xlfn.TEXTSPLIT(AQ258, ","))), SUM(VALUE(_xlfn.TEXTSPLIT(AN258, ",")))*IF(M258, M258, 1))/16, 1), "#,##0.0"), " tiles{}")</f>
        <v>{BLACK}Length: {GOLD}1.2 tiles{}</v>
      </c>
      <c r="CE258" t="str">
        <f>VLOOKUP($CC258, Constants!$M:$N, 2, FALSE)</f>
        <v>{BLACK}Powered by: {GOLD}Diesel</v>
      </c>
      <c r="CF258" t="str">
        <f t="shared" si="301"/>
        <v>{BLACK}Cars: {GOLD}2</v>
      </c>
      <c r="CG258" t="s">
        <v>637</v>
      </c>
      <c r="CH258" t="str">
        <f t="shared" si="303"/>
        <v/>
      </c>
      <c r="CI258" t="str">
        <f t="shared" si="288"/>
        <v>{YELLOW}20% penalty for long distance travel{}</v>
      </c>
      <c r="CJ258" t="str">
        <f t="shared" si="289"/>
        <v>{BLACK}Powered by: {GOLD}Diesel {BLACK}Cars: {GOLD}2{}{BLACK}Length: {GOLD}1.2 tiles{}{YELLOW}20% penalty for long distance travel{}{SILVER}The Class 141 is a multiple unit built from Leyland National bus parts. While cheap and light, it is criticised for its poor ride quality.</v>
      </c>
    </row>
    <row r="259" spans="1:88" x14ac:dyDescent="0.35">
      <c r="A259" t="s">
        <v>76</v>
      </c>
      <c r="B259" t="s">
        <v>179</v>
      </c>
      <c r="C259">
        <v>460</v>
      </c>
      <c r="E259">
        <v>145</v>
      </c>
      <c r="F259" t="s">
        <v>1498</v>
      </c>
      <c r="G259" t="s">
        <v>398</v>
      </c>
      <c r="H259" t="s">
        <v>546</v>
      </c>
      <c r="I259" t="s">
        <v>545</v>
      </c>
      <c r="J259">
        <v>1987</v>
      </c>
      <c r="K259">
        <v>1990</v>
      </c>
      <c r="M259">
        <v>4</v>
      </c>
      <c r="N259">
        <f>4*332</f>
        <v>1328</v>
      </c>
      <c r="W259">
        <v>140.30000000000001</v>
      </c>
      <c r="Y259">
        <v>5</v>
      </c>
      <c r="Z259">
        <v>160</v>
      </c>
      <c r="AA259" s="3">
        <f t="shared" si="290"/>
        <v>0.11404133998574484</v>
      </c>
      <c r="AB259">
        <v>100</v>
      </c>
      <c r="AC259">
        <f t="shared" si="302"/>
        <v>160</v>
      </c>
      <c r="AF259">
        <v>19.829999999999998</v>
      </c>
      <c r="AG259">
        <v>19.829999999999998</v>
      </c>
      <c r="AI259">
        <v>3.58</v>
      </c>
      <c r="AJ259" s="10">
        <v>78</v>
      </c>
      <c r="AK259" t="str">
        <f>CONCATENATE(VLOOKUP(AL259, 'Voxel Sizes'!$A$2:$B$18,2,FALSE),"x",INT(AH259*15), "x", INT(AI259*15))</f>
        <v>198x0x53</v>
      </c>
      <c r="AL259">
        <f t="shared" si="291"/>
        <v>12</v>
      </c>
      <c r="AN259" t="str">
        <f>CONCATENATE(VLOOKUP(AL259,Constants!$A$2:$C$16,IF(AM259&lt;&gt;"", 3, 2), FALSE),IF(AM259&lt;&gt;"",CONCATENATE(",",VLOOKUP(AM259,$B:$AN,39,FALSE)),""))</f>
        <v>4,4,4</v>
      </c>
      <c r="AR259" t="s">
        <v>559</v>
      </c>
      <c r="AS259" t="s">
        <v>560</v>
      </c>
      <c r="AT259" t="s">
        <v>549</v>
      </c>
      <c r="AX259">
        <v>32</v>
      </c>
      <c r="AY259" s="15" t="str">
        <f t="shared" si="292"/>
        <v/>
      </c>
      <c r="AZ259">
        <v>-10</v>
      </c>
      <c r="BA259">
        <v>-20</v>
      </c>
      <c r="BB259">
        <f t="shared" si="293"/>
        <v>20</v>
      </c>
      <c r="BC259">
        <f t="shared" si="294"/>
        <v>6.6400000000000006</v>
      </c>
      <c r="BD259">
        <f t="shared" si="295"/>
        <v>8</v>
      </c>
      <c r="BE259" s="3">
        <f t="shared" si="296"/>
        <v>0.88400000000000001</v>
      </c>
      <c r="BF259">
        <f t="shared" si="297"/>
        <v>10.4</v>
      </c>
      <c r="BG259">
        <f>VLOOKUP($H259,Constants!$I:$K, 2, FALSE)</f>
        <v>0.85</v>
      </c>
      <c r="BH259">
        <f>VLOOKUP($H259,Constants!$I:$K, 3, FALSE)*IF(AND(G259="multiple_unit",AB259&lt;110),0.75,1)</f>
        <v>1.7999999999999998</v>
      </c>
      <c r="BI259">
        <f>INT(POWER(((Constants!$G$2+$BB259+$BC259+$BD259+$BF259)*$BE259)*$BH259, 1.05))+$BA259</f>
        <v>79</v>
      </c>
      <c r="BJ259">
        <f>INT(POWER((((Constants!$G$1+$BB259+$BC259+$BD259+$BF259)*($BE259))*$BG259),IF($G259="wagon",1,1.2)))+$AZ259</f>
        <v>86</v>
      </c>
      <c r="BK259" s="14">
        <f t="shared" si="298"/>
        <v>61718.75</v>
      </c>
      <c r="BL259" s="14">
        <f t="shared" si="299"/>
        <v>6987.5</v>
      </c>
      <c r="BU259">
        <v>3</v>
      </c>
      <c r="BV259">
        <v>185</v>
      </c>
      <c r="BY259" t="s">
        <v>278</v>
      </c>
      <c r="BZ259" t="str">
        <f>VLOOKUP(J259,Eras!$A$2:$C$10, 2, TRUE)</f>
        <v>lbr</v>
      </c>
      <c r="CA259" t="s">
        <v>328</v>
      </c>
      <c r="CB259" t="str">
        <f t="shared" si="300"/>
        <v>lbr_EMU</v>
      </c>
      <c r="CC259" t="str">
        <f t="shared" si="287"/>
        <v>dual_electric_DUAL_POWER</v>
      </c>
      <c r="CD259" s="17" t="str" cm="1">
        <f t="array" ref="CD259">_xlfn.CONCAT("{BLACK}Length: {GOLD}", TEXT(ROUNDUP(IF(AQ259&lt;&gt;"",SUM(VALUE(_xlfn.TEXTSPLIT(AQ259, ","))), SUM(VALUE(_xlfn.TEXTSPLIT(AN259, ",")))*IF(M259, M259, 1))/16, 1), "#,##0.0"), " tiles{}")</f>
        <v>{BLACK}Length: {GOLD}3.0 tiles{}</v>
      </c>
      <c r="CE259" t="str">
        <f>VLOOKUP($CC259, Constants!$M:$N, 2, FALSE)</f>
        <v>{BLACK}Powered by: {GOLD}25kV AC / 750V DC</v>
      </c>
      <c r="CF259" t="str">
        <f t="shared" si="301"/>
        <v>{BLACK}Cars: {GOLD}4</v>
      </c>
      <c r="CG259" t="s">
        <v>558</v>
      </c>
      <c r="CH259" t="str">
        <f t="shared" si="303"/>
        <v/>
      </c>
      <c r="CI259" t="str">
        <f t="shared" si="288"/>
        <v/>
      </c>
      <c r="CJ259" t="str">
        <f t="shared" si="289"/>
        <v>{BLACK}Powered by: {GOLD}25kV AC / 750V DC {BLACK}Cars: {GOLD}4{}{BLACK}Length: {GOLD}3.0 tiles{}{SILVER}The Class 319 is a dual-voltage EMU built for the then-new Thameslink service between Brighton and Bedford.</v>
      </c>
    </row>
    <row r="260" spans="1:88" x14ac:dyDescent="0.35">
      <c r="A260" t="s">
        <v>1424</v>
      </c>
      <c r="B260" t="s">
        <v>1425</v>
      </c>
      <c r="C260">
        <v>461</v>
      </c>
      <c r="E260">
        <v>146</v>
      </c>
      <c r="F260" t="s">
        <v>1498</v>
      </c>
      <c r="G260" t="s">
        <v>398</v>
      </c>
      <c r="H260" t="s">
        <v>291</v>
      </c>
      <c r="I260" t="s">
        <v>292</v>
      </c>
      <c r="J260">
        <v>1988</v>
      </c>
      <c r="K260">
        <v>1991</v>
      </c>
      <c r="M260">
        <v>4</v>
      </c>
      <c r="N260">
        <v>1438</v>
      </c>
      <c r="W260">
        <v>137.9</v>
      </c>
      <c r="Y260">
        <v>5</v>
      </c>
      <c r="Z260">
        <v>150</v>
      </c>
      <c r="AA260" s="3">
        <f t="shared" si="290"/>
        <v>0.10877447425670776</v>
      </c>
      <c r="AB260">
        <v>100</v>
      </c>
      <c r="AC260">
        <f t="shared" si="302"/>
        <v>160</v>
      </c>
      <c r="AF260">
        <v>19.95</v>
      </c>
      <c r="AG260">
        <v>19.95</v>
      </c>
      <c r="AI260">
        <v>3.78</v>
      </c>
      <c r="AJ260" s="10">
        <v>78</v>
      </c>
      <c r="AK260" t="str">
        <f>CONCATENATE(VLOOKUP(AL260, 'Voxel Sizes'!$A$2:$B$18,2,FALSE),"x",INT(AH260*15), "x", INT(AI260*15))</f>
        <v>198x0x56</v>
      </c>
      <c r="AL260">
        <f t="shared" si="291"/>
        <v>12</v>
      </c>
      <c r="AN260" t="str">
        <f>CONCATENATE(VLOOKUP(AL260,Constants!$A$2:$C$16,IF(AM260&lt;&gt;"", 3, 2), FALSE),IF(AM260&lt;&gt;"",CONCATENATE(",",VLOOKUP(AM260,$B:$AN,39,FALSE)),""))</f>
        <v>4,4,4</v>
      </c>
      <c r="AR260" t="s">
        <v>1426</v>
      </c>
      <c r="AT260" t="s">
        <v>549</v>
      </c>
      <c r="AX260">
        <v>33</v>
      </c>
      <c r="AY260" s="15" t="str">
        <f t="shared" si="292"/>
        <v/>
      </c>
      <c r="AZ260">
        <v>-10</v>
      </c>
      <c r="BA260">
        <v>-27</v>
      </c>
      <c r="BB260">
        <f t="shared" si="293"/>
        <v>20</v>
      </c>
      <c r="BC260">
        <f t="shared" si="294"/>
        <v>7.1899999999999995</v>
      </c>
      <c r="BD260">
        <f t="shared" si="295"/>
        <v>7.5</v>
      </c>
      <c r="BE260" s="3">
        <f t="shared" si="296"/>
        <v>0.88266666666666671</v>
      </c>
      <c r="BF260">
        <f t="shared" si="297"/>
        <v>10.4</v>
      </c>
      <c r="BG260">
        <f>VLOOKUP($H260,Constants!$I:$K, 2, FALSE)</f>
        <v>0.85</v>
      </c>
      <c r="BH260">
        <f>VLOOKUP($H260,Constants!$I:$K, 3, FALSE)*IF(AND(G260="multiple_unit",AB260&lt;110),0.75,1)</f>
        <v>1.7249999999999999</v>
      </c>
      <c r="BI260">
        <f>INT(POWER(((Constants!$G$2+$BB260+$BC260+$BD260+$BF260)*$BE260)*$BH260, 1.05))+$BA260</f>
        <v>67</v>
      </c>
      <c r="BJ260">
        <f>INT(POWER((((Constants!$G$1+$BB260+$BC260+$BD260+$BF260)*($BE260))*$BG260),IF($G260="wagon",1,1.2)))+$AZ260</f>
        <v>86</v>
      </c>
      <c r="BK260" s="14">
        <f t="shared" si="298"/>
        <v>52343.75</v>
      </c>
      <c r="BL260" s="14">
        <f t="shared" si="299"/>
        <v>6987.5</v>
      </c>
      <c r="BU260">
        <v>9</v>
      </c>
      <c r="BV260">
        <v>185</v>
      </c>
      <c r="BY260" t="s">
        <v>278</v>
      </c>
      <c r="BZ260" t="str">
        <f>VLOOKUP(J260,Eras!$A$2:$C$10, 2, TRUE)</f>
        <v>lbr</v>
      </c>
      <c r="CA260" t="s">
        <v>328</v>
      </c>
      <c r="CB260" t="str">
        <f t="shared" si="300"/>
        <v>lbr_EMU</v>
      </c>
      <c r="CC260" t="str">
        <f t="shared" si="287"/>
        <v>electric_ELRL</v>
      </c>
      <c r="CD260" s="17" t="str" cm="1">
        <f t="array" ref="CD260">_xlfn.CONCAT("{BLACK}Length: {GOLD}", TEXT(ROUNDUP(IF(AQ260&lt;&gt;"",SUM(VALUE(_xlfn.TEXTSPLIT(AQ260, ","))), SUM(VALUE(_xlfn.TEXTSPLIT(AN260, ",")))*IF(M260, M260, 1))/16, 1), "#,##0.0"), " tiles{}")</f>
        <v>{BLACK}Length: {GOLD}3.0 tiles{}</v>
      </c>
      <c r="CE260" t="str">
        <f>VLOOKUP($CC260, Constants!$M:$N, 2, FALSE)</f>
        <v>{BLACK}Powered by: {GOLD}25kV AC</v>
      </c>
      <c r="CF260" t="str">
        <f t="shared" si="301"/>
        <v>{BLACK}Cars: {GOLD}4</v>
      </c>
      <c r="CG260" t="s">
        <v>1427</v>
      </c>
      <c r="CH260" t="str">
        <f t="shared" si="303"/>
        <v/>
      </c>
      <c r="CI260" t="str">
        <f t="shared" si="288"/>
        <v/>
      </c>
      <c r="CJ260" t="str">
        <f t="shared" si="289"/>
        <v>{BLACK}Powered by: {GOLD}25kV AC {BLACK}Cars: {GOLD}4{}{BLACK}Length: {GOLD}3.0 tiles{}{SILVER}The Class 321 is an overhead-line EMU, originally built for Network South East services and Regional Railways services from Leeds.</v>
      </c>
    </row>
    <row r="261" spans="1:88" x14ac:dyDescent="0.35">
      <c r="A261" t="s">
        <v>622</v>
      </c>
      <c r="B261" t="s">
        <v>219</v>
      </c>
      <c r="C261">
        <v>462</v>
      </c>
      <c r="E261">
        <v>147</v>
      </c>
      <c r="F261" t="s">
        <v>1498</v>
      </c>
      <c r="G261" t="s">
        <v>398</v>
      </c>
      <c r="H261" t="s">
        <v>268</v>
      </c>
      <c r="I261" t="s">
        <v>270</v>
      </c>
      <c r="J261">
        <v>1988</v>
      </c>
      <c r="M261">
        <v>2</v>
      </c>
      <c r="N261">
        <f>285*2</f>
        <v>570</v>
      </c>
      <c r="W261">
        <f>35.5+36.1</f>
        <v>71.599999999999994</v>
      </c>
      <c r="Y261">
        <v>5</v>
      </c>
      <c r="Z261">
        <v>110</v>
      </c>
      <c r="AA261" s="3">
        <f t="shared" si="290"/>
        <v>0.15363128491620112</v>
      </c>
      <c r="AB261">
        <v>75</v>
      </c>
      <c r="AC261">
        <f t="shared" si="302"/>
        <v>120</v>
      </c>
      <c r="AF261">
        <v>23</v>
      </c>
      <c r="AG261">
        <v>23</v>
      </c>
      <c r="AH261">
        <v>2.8</v>
      </c>
      <c r="AI261">
        <v>3.7</v>
      </c>
      <c r="AJ261" s="10">
        <v>69</v>
      </c>
      <c r="AK261" t="str">
        <f>CONCATENATE(VLOOKUP(AL261, 'Voxel Sizes'!$A$2:$B$18,2,FALSE),"x",INT(AH261*15), "x", INT(AI261*15))</f>
        <v>214x42x55</v>
      </c>
      <c r="AL261">
        <f t="shared" si="291"/>
        <v>13</v>
      </c>
      <c r="AN261" t="str">
        <f>CONCATENATE(VLOOKUP(AL261,Constants!$A$2:$C$16,IF(AM261&lt;&gt;"", 3, 2), FALSE),IF(AM261&lt;&gt;"",CONCATENATE(",",VLOOKUP(AM261,$B:$AN,39,FALSE)),""))</f>
        <v>4,5,4</v>
      </c>
      <c r="AR261" t="s">
        <v>624</v>
      </c>
      <c r="AT261" t="s">
        <v>461</v>
      </c>
      <c r="AX261">
        <v>33</v>
      </c>
      <c r="AY261" s="15" t="str">
        <f t="shared" si="292"/>
        <v/>
      </c>
      <c r="AZ261">
        <v>-10</v>
      </c>
      <c r="BA261">
        <v>-15</v>
      </c>
      <c r="BB261">
        <f t="shared" si="293"/>
        <v>15</v>
      </c>
      <c r="BC261">
        <f t="shared" si="294"/>
        <v>2.8499999999999996</v>
      </c>
      <c r="BD261">
        <f t="shared" si="295"/>
        <v>5.5</v>
      </c>
      <c r="BE261" s="3">
        <f t="shared" si="296"/>
        <v>0.88266666666666671</v>
      </c>
      <c r="BF261">
        <f t="shared" si="297"/>
        <v>4.6000000000000005</v>
      </c>
      <c r="BG261">
        <f>VLOOKUP($H261,Constants!$I:$K, 2, FALSE)</f>
        <v>1</v>
      </c>
      <c r="BH261">
        <f>VLOOKUP($H261,Constants!$I:$K, 3, FALSE)*IF(AND(G261="multiple_unit",AB261&lt;110),0.75,1)</f>
        <v>1.5</v>
      </c>
      <c r="BI261">
        <f>INT(POWER(((Constants!$G$2+$BB261+$BC261+$BD261+$BF261)*$BE261)*$BH261, 1.05))+$BA261</f>
        <v>37</v>
      </c>
      <c r="BJ261">
        <f>INT(POWER((((Constants!$G$1+$BB261+$BC261+$BD261+$BF261)*($BE261))*$BG261),IF($G261="wagon",1,1.2)))+$AZ261</f>
        <v>68</v>
      </c>
      <c r="BK261" s="14">
        <f t="shared" si="298"/>
        <v>28906.25</v>
      </c>
      <c r="BL261" s="14">
        <f t="shared" si="299"/>
        <v>5525</v>
      </c>
      <c r="BQ261" t="s">
        <v>1106</v>
      </c>
      <c r="BU261">
        <v>4</v>
      </c>
      <c r="BV261">
        <v>185</v>
      </c>
      <c r="BY261" t="s">
        <v>278</v>
      </c>
      <c r="BZ261" t="str">
        <f>VLOOKUP(J261,Eras!$A$2:$C$10, 2, TRUE)</f>
        <v>lbr</v>
      </c>
      <c r="CA261" t="s">
        <v>326</v>
      </c>
      <c r="CB261" t="str">
        <f t="shared" si="300"/>
        <v>lbr_DMU</v>
      </c>
      <c r="CC261" t="str">
        <f t="shared" si="287"/>
        <v>diesel_RAIL</v>
      </c>
      <c r="CD261" s="17" t="str" cm="1">
        <f t="array" ref="CD261">_xlfn.CONCAT("{BLACK}Length: {GOLD}", TEXT(ROUNDUP(IF(AQ261&lt;&gt;"",SUM(VALUE(_xlfn.TEXTSPLIT(AQ261, ","))), SUM(VALUE(_xlfn.TEXTSPLIT(AN261, ",")))*IF(M261, M261, 1))/16, 1), "#,##0.0"), " tiles{}")</f>
        <v>{BLACK}Length: {GOLD}1.7 tiles{}</v>
      </c>
      <c r="CE261" t="str">
        <f>VLOOKUP($CC261, Constants!$M:$N, 2, FALSE)</f>
        <v>{BLACK}Powered by: {GOLD}Diesel</v>
      </c>
      <c r="CF261" t="str">
        <f t="shared" si="301"/>
        <v>{BLACK}Cars: {GOLD}2</v>
      </c>
      <c r="CG261" t="s">
        <v>623</v>
      </c>
      <c r="CH261" t="str">
        <f t="shared" si="303"/>
        <v/>
      </c>
      <c r="CI261" t="str">
        <f t="shared" si="288"/>
        <v/>
      </c>
      <c r="CJ261" t="str">
        <f t="shared" si="289"/>
        <v>{BLACK}Powered by: {GOLD}Diesel {BLACK}Cars: {GOLD}2{}{BLACK}Length: {GOLD}1.7 tiles{}{SILVER}The Class 156 is a member of the Sprinter family designed for longer journeys, with single doors at each end rather than the metro-style doors of the Class 150s.</v>
      </c>
    </row>
    <row r="262" spans="1:88" x14ac:dyDescent="0.35">
      <c r="A262" t="s">
        <v>94</v>
      </c>
      <c r="B262" t="s">
        <v>225</v>
      </c>
      <c r="C262">
        <v>464</v>
      </c>
      <c r="E262">
        <v>148</v>
      </c>
      <c r="F262" t="s">
        <v>1498</v>
      </c>
      <c r="G262" t="s">
        <v>398</v>
      </c>
      <c r="H262" t="s">
        <v>291</v>
      </c>
      <c r="I262" t="s">
        <v>298</v>
      </c>
      <c r="J262">
        <v>1988</v>
      </c>
      <c r="M262">
        <v>5</v>
      </c>
      <c r="N262">
        <v>1610</v>
      </c>
      <c r="W262">
        <v>202.8</v>
      </c>
      <c r="Y262">
        <v>5</v>
      </c>
      <c r="Z262">
        <v>190</v>
      </c>
      <c r="AA262" s="3">
        <f t="shared" si="290"/>
        <v>9.3688362919132157E-2</v>
      </c>
      <c r="AB262">
        <v>108</v>
      </c>
      <c r="AC262">
        <f t="shared" si="302"/>
        <v>173</v>
      </c>
      <c r="AF262">
        <v>23</v>
      </c>
      <c r="AG262">
        <v>23</v>
      </c>
      <c r="AH262">
        <v>2.74</v>
      </c>
      <c r="AI262">
        <v>3.81</v>
      </c>
      <c r="AJ262" s="10">
        <v>66</v>
      </c>
      <c r="AK262" t="str">
        <f>CONCATENATE(VLOOKUP(AL262, 'Voxel Sizes'!$A$2:$B$18,2,FALSE),"x",INT(AH262*15), "x", INT(AI262*15))</f>
        <v>214x41x57</v>
      </c>
      <c r="AL262">
        <f t="shared" si="291"/>
        <v>13</v>
      </c>
      <c r="AN262" t="str">
        <f>CONCATENATE(VLOOKUP(AL262,Constants!$A$2:$C$16,IF(AM262&lt;&gt;"", 3, 2), FALSE),IF(AM262&lt;&gt;"",CONCATENATE(",",VLOOKUP(AM262,$B:$AN,39,FALSE)),""))</f>
        <v>4,5,4</v>
      </c>
      <c r="AR262" t="s">
        <v>657</v>
      </c>
      <c r="AT262" t="s">
        <v>599</v>
      </c>
      <c r="AX262">
        <v>35</v>
      </c>
      <c r="AY262" s="15" t="str">
        <f t="shared" si="292"/>
        <v/>
      </c>
      <c r="AZ262">
        <v>-10</v>
      </c>
      <c r="BA262">
        <v>-25</v>
      </c>
      <c r="BB262">
        <f t="shared" si="293"/>
        <v>21.599999999999998</v>
      </c>
      <c r="BC262">
        <f t="shared" si="294"/>
        <v>8.0500000000000007</v>
      </c>
      <c r="BD262">
        <f t="shared" si="295"/>
        <v>9.5</v>
      </c>
      <c r="BE262" s="3">
        <f t="shared" si="296"/>
        <v>0.88266666666666671</v>
      </c>
      <c r="BF262">
        <f t="shared" si="297"/>
        <v>11</v>
      </c>
      <c r="BG262">
        <f>VLOOKUP($H262,Constants!$I:$K, 2, FALSE)</f>
        <v>0.85</v>
      </c>
      <c r="BH262">
        <f>VLOOKUP($H262,Constants!$I:$K, 3, FALSE)*IF(AND(G262="multiple_unit",AB262&lt;110),0.75,1)</f>
        <v>1.7249999999999999</v>
      </c>
      <c r="BI262">
        <f>INT(POWER(((Constants!$G$2+$BB262+$BC262+$BD262+$BF262)*$BE262)*$BH262, 1.05))+$BA262</f>
        <v>79</v>
      </c>
      <c r="BJ262">
        <f>INT(POWER((((Constants!$G$1+$BB262+$BC262+$BD262+$BF262)*($BE262))*$BG262),IF($G262="wagon",1,1.2)))+$AZ262</f>
        <v>96</v>
      </c>
      <c r="BK262" s="14">
        <f t="shared" si="298"/>
        <v>61718.75</v>
      </c>
      <c r="BL262" s="14">
        <f t="shared" si="299"/>
        <v>7800</v>
      </c>
      <c r="BQ262" t="s">
        <v>1108</v>
      </c>
      <c r="BT262" t="s">
        <v>1138</v>
      </c>
      <c r="BU262">
        <v>5</v>
      </c>
      <c r="BV262">
        <v>205</v>
      </c>
      <c r="BY262" t="s">
        <v>278</v>
      </c>
      <c r="BZ262" t="str">
        <f>VLOOKUP(J262,Eras!$A$2:$C$10, 2, TRUE)</f>
        <v>lbr</v>
      </c>
      <c r="CA262" t="s">
        <v>329</v>
      </c>
      <c r="CB262" t="str">
        <f t="shared" si="300"/>
        <v>lbr_EMU (Express)</v>
      </c>
      <c r="CC262" t="str">
        <f t="shared" si="287"/>
        <v>electric_THIRD_RAIL</v>
      </c>
      <c r="CD262" s="17" t="str" cm="1">
        <f t="array" ref="CD262">_xlfn.CONCAT("{BLACK}Length: {GOLD}", TEXT(ROUNDUP(IF(AQ262&lt;&gt;"",SUM(VALUE(_xlfn.TEXTSPLIT(AQ262, ","))), SUM(VALUE(_xlfn.TEXTSPLIT(AN262, ",")))*IF(M262, M262, 1))/16, 1), "#,##0.0"), " tiles{}")</f>
        <v>{BLACK}Length: {GOLD}4.1 tiles{}</v>
      </c>
      <c r="CE262" t="str">
        <f>VLOOKUP($CC262, Constants!$M:$N, 2, FALSE)</f>
        <v>{BLACK}Powered by: {GOLD}750V DC</v>
      </c>
      <c r="CF262" t="str">
        <f t="shared" si="301"/>
        <v>{BLACK}Cars: {GOLD}5</v>
      </c>
      <c r="CG262" t="s">
        <v>658</v>
      </c>
      <c r="CH262" t="str">
        <f t="shared" si="303"/>
        <v/>
      </c>
      <c r="CI262" t="str">
        <f t="shared" si="288"/>
        <v>{YELLOW}10% bonus for long distance travel{}</v>
      </c>
      <c r="CJ262" t="str">
        <f t="shared" si="289"/>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263" spans="1:88" x14ac:dyDescent="0.35">
      <c r="A263" t="s">
        <v>94</v>
      </c>
      <c r="B263" t="s">
        <v>1126</v>
      </c>
      <c r="C263">
        <v>465</v>
      </c>
      <c r="E263">
        <v>149</v>
      </c>
      <c r="F263" t="s">
        <v>1498</v>
      </c>
      <c r="G263" t="s">
        <v>398</v>
      </c>
      <c r="H263" t="s">
        <v>291</v>
      </c>
      <c r="I263" t="s">
        <v>298</v>
      </c>
      <c r="J263">
        <v>1988</v>
      </c>
      <c r="M263">
        <v>4</v>
      </c>
      <c r="N263">
        <v>1610</v>
      </c>
      <c r="W263">
        <f>202.8/5*4</f>
        <v>162.24</v>
      </c>
      <c r="Y263">
        <v>5</v>
      </c>
      <c r="Z263">
        <v>190</v>
      </c>
      <c r="AA263" s="3">
        <f t="shared" si="290"/>
        <v>0.11711045364891517</v>
      </c>
      <c r="AB263">
        <v>108</v>
      </c>
      <c r="AC263">
        <f t="shared" si="302"/>
        <v>173</v>
      </c>
      <c r="AF263">
        <v>23</v>
      </c>
      <c r="AG263">
        <v>23</v>
      </c>
      <c r="AH263">
        <v>2.74</v>
      </c>
      <c r="AI263">
        <v>3.81</v>
      </c>
      <c r="AJ263" s="10">
        <v>66</v>
      </c>
      <c r="AK263" t="str">
        <f>CONCATENATE(VLOOKUP(AL263, 'Voxel Sizes'!$A$2:$B$18,2,FALSE),"x",INT(AH263*15), "x", INT(AI263*15))</f>
        <v>214x41x57</v>
      </c>
      <c r="AL263">
        <f t="shared" si="291"/>
        <v>13</v>
      </c>
      <c r="AN263" t="str">
        <f>CONCATENATE(VLOOKUP(AL263,Constants!$A$2:$C$16,IF(AM263&lt;&gt;"", 3, 2), FALSE),IF(AM263&lt;&gt;"",CONCATENATE(",",VLOOKUP(AM263,$B:$AN,39,FALSE)),""))</f>
        <v>4,5,4</v>
      </c>
      <c r="AR263" t="s">
        <v>1127</v>
      </c>
      <c r="AT263" t="s">
        <v>1118</v>
      </c>
      <c r="AU263" t="s">
        <v>225</v>
      </c>
      <c r="AX263">
        <v>35</v>
      </c>
      <c r="AY263" s="15" t="str">
        <f t="shared" si="292"/>
        <v/>
      </c>
      <c r="AZ263">
        <v>-10</v>
      </c>
      <c r="BA263">
        <v>-25</v>
      </c>
      <c r="BB263">
        <f t="shared" si="293"/>
        <v>21.599999999999998</v>
      </c>
      <c r="BC263">
        <f t="shared" si="294"/>
        <v>8.0500000000000007</v>
      </c>
      <c r="BD263">
        <f t="shared" si="295"/>
        <v>9.5</v>
      </c>
      <c r="BE263" s="3">
        <f t="shared" si="296"/>
        <v>0.88266666666666671</v>
      </c>
      <c r="BF263">
        <f t="shared" si="297"/>
        <v>8.8000000000000007</v>
      </c>
      <c r="BG263">
        <f>VLOOKUP($H263,Constants!$I:$K, 2, FALSE)</f>
        <v>0.85</v>
      </c>
      <c r="BH263">
        <f>VLOOKUP($H263,Constants!$I:$K, 3, FALSE)*IF(AND(G263="multiple_unit",AB263&lt;110),0.75,1)</f>
        <v>1.7249999999999999</v>
      </c>
      <c r="BI263">
        <f>INT(POWER(((Constants!$G$2+$BB263+$BC263+$BD263+$BF263)*$BE263)*$BH263, 1.05))+$BA263</f>
        <v>75</v>
      </c>
      <c r="BJ263">
        <f>INT(POWER((((Constants!$G$1+$BB263+$BC263+$BD263+$BF263)*($BE263))*$BG263),IF($G263="wagon",1,1.2)))+$AZ263</f>
        <v>92</v>
      </c>
      <c r="BK263" s="14">
        <f t="shared" si="298"/>
        <v>58593.75</v>
      </c>
      <c r="BL263" s="14">
        <f t="shared" si="299"/>
        <v>7475</v>
      </c>
      <c r="BQ263" t="s">
        <v>1108</v>
      </c>
      <c r="BT263" t="s">
        <v>1140</v>
      </c>
      <c r="BU263">
        <v>5</v>
      </c>
      <c r="BV263">
        <v>205</v>
      </c>
      <c r="BY263" t="s">
        <v>278</v>
      </c>
      <c r="BZ263" t="str">
        <f>VLOOKUP(J263,Eras!$A$2:$C$10, 2, TRUE)</f>
        <v>lbr</v>
      </c>
      <c r="CA263" t="s">
        <v>329</v>
      </c>
      <c r="CB263" t="str">
        <f t="shared" si="300"/>
        <v>lbr_EMU (Express)</v>
      </c>
      <c r="CC263" t="str">
        <f t="shared" si="287"/>
        <v>electric_THIRD_RAIL</v>
      </c>
      <c r="CD263" s="17" t="str" cm="1">
        <f t="array" ref="CD263">_xlfn.CONCAT("{BLACK}Length: {GOLD}", TEXT(ROUNDUP(IF(AQ263&lt;&gt;"",SUM(VALUE(_xlfn.TEXTSPLIT(AQ263, ","))), SUM(VALUE(_xlfn.TEXTSPLIT(AN263, ",")))*IF(M263, M263, 1))/16, 1), "#,##0.0"), " tiles{}")</f>
        <v>{BLACK}Length: {GOLD}3.3 tiles{}</v>
      </c>
      <c r="CE263" t="str">
        <f>VLOOKUP($CC263, Constants!$M:$N, 2, FALSE)</f>
        <v>{BLACK}Powered by: {GOLD}750V DC</v>
      </c>
      <c r="CF263" t="str">
        <f t="shared" si="301"/>
        <v>{BLACK}Cars: {GOLD}4</v>
      </c>
      <c r="CG263" t="s">
        <v>658</v>
      </c>
      <c r="CH263" t="str">
        <f t="shared" si="303"/>
        <v/>
      </c>
      <c r="CI263" t="str">
        <f t="shared" si="288"/>
        <v>{YELLOW}10% bonus for long distance travel{}</v>
      </c>
      <c r="CJ263" t="str">
        <f t="shared" si="289"/>
        <v>{BLACK}Powered by: {GOLD}750V DC {BLACK}Cars: {GOLD}4{}{BLACK}Length: {GOLD}3.3 tiles{}{YELLOW}10% bonus for long distance travel{}{SILVER}The Class 442 holds the speed record for a third rail EMU at 108mph. Unlike most of its generation of Mk3-based multiple units, it uses the full-length carriage bodyshell.</v>
      </c>
    </row>
    <row r="264" spans="1:88" x14ac:dyDescent="0.35">
      <c r="A264" t="s">
        <v>88</v>
      </c>
      <c r="B264" t="s">
        <v>220</v>
      </c>
      <c r="C264">
        <v>466</v>
      </c>
      <c r="E264">
        <v>150</v>
      </c>
      <c r="F264" t="s">
        <v>1498</v>
      </c>
      <c r="G264" t="s">
        <v>398</v>
      </c>
      <c r="H264" t="s">
        <v>268</v>
      </c>
      <c r="I264" t="s">
        <v>270</v>
      </c>
      <c r="J264">
        <v>1989</v>
      </c>
      <c r="K264">
        <v>1992</v>
      </c>
      <c r="M264">
        <v>3</v>
      </c>
      <c r="N264">
        <f>350*3</f>
        <v>1050</v>
      </c>
      <c r="W264">
        <f>37.8*3</f>
        <v>113.39999999999999</v>
      </c>
      <c r="Y264">
        <v>5</v>
      </c>
      <c r="Z264">
        <v>120</v>
      </c>
      <c r="AA264" s="3">
        <f t="shared" si="290"/>
        <v>0.10582010582010581</v>
      </c>
      <c r="AB264">
        <v>90</v>
      </c>
      <c r="AC264">
        <f t="shared" si="302"/>
        <v>144</v>
      </c>
      <c r="AF264">
        <v>23.2</v>
      </c>
      <c r="AG264">
        <v>23</v>
      </c>
      <c r="AH264">
        <v>2.7</v>
      </c>
      <c r="AJ264" s="10">
        <v>69</v>
      </c>
      <c r="AK264" t="str">
        <f>CONCATENATE(VLOOKUP(AL264, 'Voxel Sizes'!$A$2:$B$18,2,FALSE),"x",INT(AH264*15), "x", INT(AI264*15))</f>
        <v>214x40x0</v>
      </c>
      <c r="AL264">
        <f t="shared" si="291"/>
        <v>13</v>
      </c>
      <c r="AN264" t="str">
        <f>CONCATENATE(VLOOKUP(AL264,Constants!$A$2:$C$16,IF(AM264&lt;&gt;"", 3, 2), FALSE),IF(AM264&lt;&gt;"",CONCATENATE(",",VLOOKUP(AM264,$B:$AN,39,FALSE)),""))</f>
        <v>4,5,4</v>
      </c>
      <c r="AR264" t="s">
        <v>625</v>
      </c>
      <c r="AT264" t="s">
        <v>287</v>
      </c>
      <c r="AX264">
        <v>33</v>
      </c>
      <c r="AY264" s="15" t="str">
        <f t="shared" si="292"/>
        <v/>
      </c>
      <c r="AZ264">
        <v>-10</v>
      </c>
      <c r="BA264">
        <v>-15</v>
      </c>
      <c r="BB264">
        <f t="shared" si="293"/>
        <v>18</v>
      </c>
      <c r="BC264">
        <f t="shared" si="294"/>
        <v>5.25</v>
      </c>
      <c r="BD264">
        <f t="shared" si="295"/>
        <v>6</v>
      </c>
      <c r="BE264" s="3">
        <f t="shared" si="296"/>
        <v>0.8813333333333333</v>
      </c>
      <c r="BF264">
        <f t="shared" si="297"/>
        <v>6.9</v>
      </c>
      <c r="BG264">
        <f>VLOOKUP($H264,Constants!$I:$K, 2, FALSE)</f>
        <v>1</v>
      </c>
      <c r="BH264">
        <f>VLOOKUP($H264,Constants!$I:$K, 3, FALSE)*IF(AND(G264="multiple_unit",AB264&lt;110),0.75,1)</f>
        <v>1.5</v>
      </c>
      <c r="BI264">
        <f>INT(POWER(((Constants!$G$2+$BB264+$BC264+$BD264+$BF264)*$BE264)*$BH264, 1.05))+$BA264</f>
        <v>51</v>
      </c>
      <c r="BJ264">
        <f>INT(POWER((((Constants!$G$1+$BB264+$BC264+$BD264+$BF264)*($BE264))*$BG264),IF($G264="wagon",1,1.2)))+$AZ264</f>
        <v>86</v>
      </c>
      <c r="BK264" s="14">
        <f t="shared" si="298"/>
        <v>39843.75</v>
      </c>
      <c r="BL264" s="14">
        <f t="shared" si="299"/>
        <v>6987.5</v>
      </c>
      <c r="BQ264" t="s">
        <v>1107</v>
      </c>
      <c r="BU264">
        <v>7</v>
      </c>
      <c r="BV264">
        <v>205</v>
      </c>
      <c r="BY264" t="s">
        <v>278</v>
      </c>
      <c r="BZ264" t="str">
        <f>VLOOKUP(J264,Eras!$A$2:$C$10, 2, TRUE)</f>
        <v>lbr</v>
      </c>
      <c r="CA264" t="s">
        <v>327</v>
      </c>
      <c r="CB264" t="str">
        <f t="shared" si="300"/>
        <v>lbr_DMU (Express)</v>
      </c>
      <c r="CC264" t="str">
        <f t="shared" si="287"/>
        <v>diesel_RAIL</v>
      </c>
      <c r="CD264" s="17" t="str" cm="1">
        <f t="array" ref="CD264">_xlfn.CONCAT("{BLACK}Length: {GOLD}", TEXT(ROUNDUP(IF(AQ264&lt;&gt;"",SUM(VALUE(_xlfn.TEXTSPLIT(AQ264, ","))), SUM(VALUE(_xlfn.TEXTSPLIT(AN264, ",")))*IF(M264, M264, 1))/16, 1), "#,##0.0"), " tiles{}")</f>
        <v>{BLACK}Length: {GOLD}2.5 tiles{}</v>
      </c>
      <c r="CE264" t="str">
        <f>VLOOKUP($CC264, Constants!$M:$N, 2, FALSE)</f>
        <v>{BLACK}Powered by: {GOLD}Diesel</v>
      </c>
      <c r="CF264" t="str">
        <f t="shared" si="301"/>
        <v>{BLACK}Cars: {GOLD}3</v>
      </c>
      <c r="CG264" t="s">
        <v>626</v>
      </c>
      <c r="CH264" t="str">
        <f t="shared" si="303"/>
        <v/>
      </c>
      <c r="CI264" t="str">
        <f t="shared" si="288"/>
        <v>{YELLOW}10% bonus for long distance travel{}</v>
      </c>
      <c r="CJ264" t="str">
        <f t="shared" si="289"/>
        <v>{BLACK}Powered by: {GOLD}Diesel {BLACK}Cars: {GOLD}3{}{BLACK}Length: {GOLD}2.5 tiles{}{YELLOW}10% bonus for long distance travel{}{SILVER}The Class 158 has many improvements over earlier generation Sprinters, including air conditioning and a more comfortable ride.</v>
      </c>
    </row>
    <row r="265" spans="1:88" x14ac:dyDescent="0.35">
      <c r="A265" t="s">
        <v>84</v>
      </c>
      <c r="B265" t="s">
        <v>183</v>
      </c>
      <c r="C265">
        <v>468</v>
      </c>
      <c r="E265">
        <v>151</v>
      </c>
      <c r="F265" t="s">
        <v>1498</v>
      </c>
      <c r="G265" t="s">
        <v>398</v>
      </c>
      <c r="H265" t="s">
        <v>291</v>
      </c>
      <c r="I265" t="s">
        <v>298</v>
      </c>
      <c r="J265">
        <v>1990</v>
      </c>
      <c r="M265">
        <v>2</v>
      </c>
      <c r="N265">
        <v>500</v>
      </c>
      <c r="W265">
        <v>72.5</v>
      </c>
      <c r="Y265">
        <v>5</v>
      </c>
      <c r="Z265">
        <v>120</v>
      </c>
      <c r="AA265" s="3">
        <f t="shared" si="290"/>
        <v>0.16551724137931034</v>
      </c>
      <c r="AB265">
        <v>75</v>
      </c>
      <c r="AC265">
        <f t="shared" si="302"/>
        <v>120</v>
      </c>
      <c r="AF265">
        <v>19.8</v>
      </c>
      <c r="AG265">
        <v>19.8</v>
      </c>
      <c r="AJ265" s="10">
        <v>75</v>
      </c>
      <c r="AK265" t="str">
        <f>CONCATENATE(VLOOKUP(AL265, 'Voxel Sizes'!$A$2:$B$18,2,FALSE),"x",INT(AH265*15), "x", INT(AI265*15))</f>
        <v>198x0x0</v>
      </c>
      <c r="AL265">
        <f t="shared" si="291"/>
        <v>12</v>
      </c>
      <c r="AN265" t="str">
        <f>CONCATENATE(VLOOKUP(AL265,Constants!$A$2:$C$16,IF(AM265&lt;&gt;"", 3, 2), FALSE),IF(AM265&lt;&gt;"",CONCATENATE(",",VLOOKUP(AM265,$B:$AN,39,FALSE)),""))</f>
        <v>4,4,4</v>
      </c>
      <c r="AR265" t="s">
        <v>602</v>
      </c>
      <c r="AT265" t="s">
        <v>461</v>
      </c>
      <c r="AX265">
        <v>31</v>
      </c>
      <c r="AY265" s="15" t="str">
        <f t="shared" si="292"/>
        <v/>
      </c>
      <c r="AZ265">
        <v>-10</v>
      </c>
      <c r="BA265">
        <v>-20</v>
      </c>
      <c r="BB265">
        <f t="shared" si="293"/>
        <v>15</v>
      </c>
      <c r="BC265">
        <f t="shared" si="294"/>
        <v>2.5</v>
      </c>
      <c r="BD265">
        <f t="shared" si="295"/>
        <v>6</v>
      </c>
      <c r="BE265" s="3">
        <f t="shared" si="296"/>
        <v>0.88</v>
      </c>
      <c r="BF265">
        <f t="shared" si="297"/>
        <v>5</v>
      </c>
      <c r="BG265">
        <f>VLOOKUP($H265,Constants!$I:$K, 2, FALSE)</f>
        <v>0.85</v>
      </c>
      <c r="BH265">
        <f>VLOOKUP($H265,Constants!$I:$K, 3, FALSE)*IF(AND(G265="multiple_unit",AB265&lt;110),0.75,1)</f>
        <v>1.7249999999999999</v>
      </c>
      <c r="BI265">
        <f>INT(POWER(((Constants!$G$2+$BB265+$BC265+$BD265+$BF265)*$BE265)*$BH265, 1.05))+$BA265</f>
        <v>41</v>
      </c>
      <c r="BJ265">
        <f>INT(POWER((((Constants!$G$1+$BB265+$BC265+$BD265+$BF265)*($BE265))*$BG265),IF($G265="wagon",1,1.2)))+$AZ265</f>
        <v>55</v>
      </c>
      <c r="BK265" s="14">
        <f t="shared" si="298"/>
        <v>32031.25</v>
      </c>
      <c r="BL265" s="14">
        <f t="shared" si="299"/>
        <v>4468.75</v>
      </c>
      <c r="BQ265" t="s">
        <v>182</v>
      </c>
      <c r="BU265">
        <v>8</v>
      </c>
      <c r="BV265">
        <v>185</v>
      </c>
      <c r="BY265" t="s">
        <v>278</v>
      </c>
      <c r="BZ265" t="str">
        <f>VLOOKUP(J265,Eras!$A$2:$C$10, 2, TRUE)</f>
        <v>lbr</v>
      </c>
      <c r="CA265" t="s">
        <v>328</v>
      </c>
      <c r="CB265" t="str">
        <f t="shared" si="300"/>
        <v>lbr_EMU</v>
      </c>
      <c r="CC265" t="str">
        <f t="shared" si="287"/>
        <v>electric_THIRD_RAIL</v>
      </c>
      <c r="CD265" s="17" t="str" cm="1">
        <f t="array" ref="CD265">_xlfn.CONCAT("{BLACK}Length: {GOLD}", TEXT(ROUNDUP(IF(AQ265&lt;&gt;"",SUM(VALUE(_xlfn.TEXTSPLIT(AQ265, ","))), SUM(VALUE(_xlfn.TEXTSPLIT(AN265, ",")))*IF(M265, M265, 1))/16, 1), "#,##0.0"), " tiles{}")</f>
        <v>{BLACK}Length: {GOLD}1.5 tiles{}</v>
      </c>
      <c r="CE265" t="str">
        <f>VLOOKUP($CC265, Constants!$M:$N, 2, FALSE)</f>
        <v>{BLACK}Powered by: {GOLD}750V DC</v>
      </c>
      <c r="CF265" t="str">
        <f t="shared" si="301"/>
        <v>{BLACK}Cars: {GOLD}2</v>
      </c>
      <c r="CG265" t="s">
        <v>603</v>
      </c>
      <c r="CH265" t="str">
        <f t="shared" si="303"/>
        <v/>
      </c>
      <c r="CI265" t="str">
        <f t="shared" si="288"/>
        <v/>
      </c>
      <c r="CJ265" t="str">
        <f t="shared" si="289"/>
        <v>{BLACK}Powered by: {GOLD}750V DC {BLACK}Cars: {GOLD}2{}{BLACK}Length: {GOLD}1.5 tiles{}{SILVER}The Class 456 is a two-car EMU used for inner suburban services - either as a single unit for services with low demand or coupled to other Class 456 or 455 units for higher capacity routes.</v>
      </c>
    </row>
    <row r="266" spans="1:88" x14ac:dyDescent="0.35">
      <c r="A266" t="s">
        <v>89</v>
      </c>
      <c r="B266" t="s">
        <v>221</v>
      </c>
      <c r="C266">
        <v>470</v>
      </c>
      <c r="E266">
        <v>152</v>
      </c>
      <c r="F266" t="s">
        <v>1498</v>
      </c>
      <c r="G266" t="s">
        <v>398</v>
      </c>
      <c r="H266" t="s">
        <v>268</v>
      </c>
      <c r="I266" t="s">
        <v>270</v>
      </c>
      <c r="J266">
        <v>1991</v>
      </c>
      <c r="K266">
        <v>1992</v>
      </c>
      <c r="M266">
        <v>2</v>
      </c>
      <c r="N266">
        <f>350*2</f>
        <v>700</v>
      </c>
      <c r="W266">
        <v>74</v>
      </c>
      <c r="Y266">
        <v>5</v>
      </c>
      <c r="Z266">
        <v>105</v>
      </c>
      <c r="AA266" s="3">
        <f t="shared" si="290"/>
        <v>0.14189189189189189</v>
      </c>
      <c r="AB266">
        <v>75</v>
      </c>
      <c r="AC266">
        <f t="shared" si="302"/>
        <v>120</v>
      </c>
      <c r="AF266">
        <v>22.91</v>
      </c>
      <c r="AG266">
        <v>22.9</v>
      </c>
      <c r="AH266">
        <v>2.8</v>
      </c>
      <c r="AI266">
        <v>3.8</v>
      </c>
      <c r="AJ266" s="10">
        <v>93</v>
      </c>
      <c r="AK266" t="str">
        <f>CONCATENATE(VLOOKUP(AL266, 'Voxel Sizes'!$A$2:$B$18,2,FALSE),"x",INT(AH266*15), "x", INT(AI266*15))</f>
        <v>214x42x57</v>
      </c>
      <c r="AL266">
        <f t="shared" si="291"/>
        <v>13</v>
      </c>
      <c r="AN266" t="str">
        <f>CONCATENATE(VLOOKUP(AL266,Constants!$A$2:$C$16,IF(AM266&lt;&gt;"", 3, 2), FALSE),IF(AM266&lt;&gt;"",CONCATENATE(",",VLOOKUP(AM266,$B:$AN,39,FALSE)),""))</f>
        <v>4,5,4</v>
      </c>
      <c r="AR266" t="s">
        <v>629</v>
      </c>
      <c r="AT266" t="s">
        <v>461</v>
      </c>
      <c r="AX266">
        <v>32</v>
      </c>
      <c r="AY266" s="15" t="str">
        <f t="shared" si="292"/>
        <v/>
      </c>
      <c r="AZ266">
        <v>-10</v>
      </c>
      <c r="BA266">
        <v>-15</v>
      </c>
      <c r="BB266">
        <f t="shared" si="293"/>
        <v>15</v>
      </c>
      <c r="BC266">
        <f t="shared" si="294"/>
        <v>3.5</v>
      </c>
      <c r="BD266">
        <f t="shared" si="295"/>
        <v>5.25</v>
      </c>
      <c r="BE266" s="3">
        <f t="shared" si="296"/>
        <v>0.87866666666666671</v>
      </c>
      <c r="BF266">
        <f t="shared" si="297"/>
        <v>6.2</v>
      </c>
      <c r="BG266">
        <f>VLOOKUP($H266,Constants!$I:$K, 2, FALSE)</f>
        <v>1</v>
      </c>
      <c r="BH266">
        <f>VLOOKUP($H266,Constants!$I:$K, 3, FALSE)*IF(AND(G266="multiple_unit",AB266&lt;110),0.75,1)</f>
        <v>1.5</v>
      </c>
      <c r="BI266">
        <f>INT(POWER(((Constants!$G$2+$BB266+$BC266+$BD266+$BF266)*$BE266)*$BH266, 1.05))+$BA266</f>
        <v>40</v>
      </c>
      <c r="BJ266">
        <f>INT(POWER((((Constants!$G$1+$BB266+$BC266+$BD266+$BF266)*($BE266))*$BG266),IF($G266="wagon",1,1.2)))+$AZ266</f>
        <v>72</v>
      </c>
      <c r="BK266" s="14">
        <f t="shared" si="298"/>
        <v>31250</v>
      </c>
      <c r="BL266" s="14">
        <f t="shared" si="299"/>
        <v>5850</v>
      </c>
      <c r="BU266">
        <v>9</v>
      </c>
      <c r="BV266">
        <v>185</v>
      </c>
      <c r="BY266" t="s">
        <v>278</v>
      </c>
      <c r="BZ266" t="str">
        <f>VLOOKUP(J266,Eras!$A$2:$C$10, 2, TRUE)</f>
        <v>lbr</v>
      </c>
      <c r="CA266" t="s">
        <v>326</v>
      </c>
      <c r="CB266" t="str">
        <f t="shared" si="300"/>
        <v>lbr_DMU</v>
      </c>
      <c r="CC266" t="str">
        <f t="shared" si="287"/>
        <v>diesel_RAIL</v>
      </c>
      <c r="CD266" s="17" t="str" cm="1">
        <f t="array" ref="CD266">_xlfn.CONCAT("{BLACK}Length: {GOLD}", TEXT(ROUNDUP(IF(AQ266&lt;&gt;"",SUM(VALUE(_xlfn.TEXTSPLIT(AQ266, ","))), SUM(VALUE(_xlfn.TEXTSPLIT(AN266, ",")))*IF(M266, M266, 1))/16, 1), "#,##0.0"), " tiles{}")</f>
        <v>{BLACK}Length: {GOLD}1.7 tiles{}</v>
      </c>
      <c r="CE266" t="str">
        <f>VLOOKUP($CC266, Constants!$M:$N, 2, FALSE)</f>
        <v>{BLACK}Powered by: {GOLD}Diesel</v>
      </c>
      <c r="CF266" t="str">
        <f t="shared" si="301"/>
        <v>{BLACK}Cars: {GOLD}2</v>
      </c>
      <c r="CG266" t="s">
        <v>630</v>
      </c>
      <c r="CH266" t="str">
        <f t="shared" si="303"/>
        <v/>
      </c>
      <c r="CI266" t="str">
        <f t="shared" si="288"/>
        <v/>
      </c>
      <c r="CJ266" t="str">
        <f t="shared" si="289"/>
        <v>{BLACK}Powered by: {GOLD}Diesel {BLACK}Cars: {GOLD}2{}{BLACK}Length: {GOLD}1.7 tiles{}{SILVER}The Class 165 is a high capacity DMU with 2+3 seating.</v>
      </c>
    </row>
    <row r="267" spans="1:88" x14ac:dyDescent="0.35">
      <c r="A267" t="s">
        <v>74</v>
      </c>
      <c r="B267" t="s">
        <v>237</v>
      </c>
      <c r="C267">
        <v>472</v>
      </c>
      <c r="E267">
        <v>153</v>
      </c>
      <c r="F267" t="s">
        <v>1498</v>
      </c>
      <c r="G267" t="s">
        <v>398</v>
      </c>
      <c r="H267" t="s">
        <v>291</v>
      </c>
      <c r="I267" t="s">
        <v>298</v>
      </c>
      <c r="J267">
        <v>1992</v>
      </c>
      <c r="K267">
        <v>1994</v>
      </c>
      <c r="M267">
        <v>4</v>
      </c>
      <c r="N267">
        <v>1608</v>
      </c>
      <c r="W267">
        <v>136</v>
      </c>
      <c r="Y267">
        <v>5</v>
      </c>
      <c r="Z267">
        <v>165</v>
      </c>
      <c r="AA267" s="3">
        <f t="shared" si="290"/>
        <v>0.12132352941176471</v>
      </c>
      <c r="AB267">
        <v>75</v>
      </c>
      <c r="AC267">
        <f t="shared" si="302"/>
        <v>120</v>
      </c>
      <c r="AF267">
        <v>20.89</v>
      </c>
      <c r="AG267">
        <v>20.89</v>
      </c>
      <c r="AI267">
        <v>3.77</v>
      </c>
      <c r="AJ267" s="10">
        <v>81</v>
      </c>
      <c r="AK267" t="str">
        <f>CONCATENATE(VLOOKUP(AL267, 'Voxel Sizes'!$A$2:$B$18,2,FALSE),"x",INT(AH267*15), "x", INT(AI267*15))</f>
        <v>198x0x56</v>
      </c>
      <c r="AL267">
        <f t="shared" si="291"/>
        <v>12</v>
      </c>
      <c r="AN267" t="str">
        <f>CONCATENATE(VLOOKUP(AL267,Constants!$A$2:$C$16,IF(AM267&lt;&gt;"", 3, 2), FALSE),IF(AM267&lt;&gt;"",CONCATENATE(",",VLOOKUP(AM267,$B:$AN,39,FALSE)),""))</f>
        <v>4,4,4</v>
      </c>
      <c r="AR267" t="s">
        <v>566</v>
      </c>
      <c r="AT267" t="s">
        <v>459</v>
      </c>
      <c r="AX267">
        <v>32</v>
      </c>
      <c r="AY267" s="15" t="str">
        <f t="shared" si="292"/>
        <v/>
      </c>
      <c r="AZ267">
        <v>-10</v>
      </c>
      <c r="BA267">
        <v>-20</v>
      </c>
      <c r="BB267">
        <f t="shared" si="293"/>
        <v>15</v>
      </c>
      <c r="BC267">
        <f t="shared" si="294"/>
        <v>8.0400000000000009</v>
      </c>
      <c r="BD267">
        <f t="shared" si="295"/>
        <v>8.25</v>
      </c>
      <c r="BE267" s="3">
        <f t="shared" si="296"/>
        <v>0.8773333333333333</v>
      </c>
      <c r="BF267">
        <f t="shared" si="297"/>
        <v>10.8</v>
      </c>
      <c r="BG267">
        <f>VLOOKUP($H267,Constants!$I:$K, 2, FALSE)</f>
        <v>0.85</v>
      </c>
      <c r="BH267">
        <f>VLOOKUP($H267,Constants!$I:$K, 3, FALSE)*IF(AND(G267="multiple_unit",AB267&lt;110),0.75,1)</f>
        <v>1.7249999999999999</v>
      </c>
      <c r="BI267">
        <f>INT(POWER(((Constants!$G$2+$BB267+$BC267+$BD267+$BF267)*$BE267)*$BH267, 1.05))+$BA267</f>
        <v>68</v>
      </c>
      <c r="BJ267">
        <f>INT(POWER((((Constants!$G$1+$BB267+$BC267+$BD267+$BF267)*($BE267))*$BG267),IF($G267="wagon",1,1.2)))+$AZ267</f>
        <v>80</v>
      </c>
      <c r="BK267" s="14">
        <f t="shared" si="298"/>
        <v>53125</v>
      </c>
      <c r="BL267" s="14">
        <f t="shared" si="299"/>
        <v>6500</v>
      </c>
      <c r="BU267">
        <v>10</v>
      </c>
      <c r="BV267">
        <v>185</v>
      </c>
      <c r="BY267" t="s">
        <v>278</v>
      </c>
      <c r="BZ267" t="str">
        <f>VLOOKUP(J267,Eras!$A$2:$C$10, 2, TRUE)</f>
        <v>lbr</v>
      </c>
      <c r="CA267" t="s">
        <v>328</v>
      </c>
      <c r="CB267" t="str">
        <f t="shared" si="300"/>
        <v>lbr_EMU</v>
      </c>
      <c r="CC267" t="str">
        <f t="shared" si="287"/>
        <v>electric_THIRD_RAIL</v>
      </c>
      <c r="CD267" s="17" t="str" cm="1">
        <f t="array" ref="CD267">_xlfn.CONCAT("{BLACK}Length: {GOLD}", TEXT(ROUNDUP(IF(AQ267&lt;&gt;"",SUM(VALUE(_xlfn.TEXTSPLIT(AQ267, ","))), SUM(VALUE(_xlfn.TEXTSPLIT(AN267, ",")))*IF(M267, M267, 1))/16, 1), "#,##0.0"), " tiles{}")</f>
        <v>{BLACK}Length: {GOLD}3.0 tiles{}</v>
      </c>
      <c r="CE267" t="str">
        <f>VLOOKUP($CC267, Constants!$M:$N, 2, FALSE)</f>
        <v>{BLACK}Powered by: {GOLD}750V DC</v>
      </c>
      <c r="CF267" t="str">
        <f t="shared" si="301"/>
        <v>{BLACK}Cars: {GOLD}4</v>
      </c>
      <c r="CG267" t="s">
        <v>567</v>
      </c>
      <c r="CH267" t="str">
        <f t="shared" si="303"/>
        <v/>
      </c>
      <c r="CI267" t="str">
        <f t="shared" si="288"/>
        <v/>
      </c>
      <c r="CJ267" t="str">
        <f t="shared" si="289"/>
        <v>{BLACK}Powered by: {GOLD}750V DC {BLACK}Cars: {GOLD}4{}{BLACK}Length: {GOLD}3.0 tiles{}{SILVER}The BREL Networker was built by three different companies (ABB, Metro-Cammell and BREL) with minor detail differences between each manufacturer's output.</v>
      </c>
    </row>
    <row r="268" spans="1:88" x14ac:dyDescent="0.35">
      <c r="A268" t="s">
        <v>638</v>
      </c>
      <c r="B268" t="s">
        <v>639</v>
      </c>
      <c r="C268">
        <v>474</v>
      </c>
      <c r="E268">
        <v>154</v>
      </c>
      <c r="F268" t="s">
        <v>1498</v>
      </c>
      <c r="G268" t="s">
        <v>398</v>
      </c>
      <c r="H268" t="s">
        <v>546</v>
      </c>
      <c r="I268" t="s">
        <v>545</v>
      </c>
      <c r="J268">
        <v>1992</v>
      </c>
      <c r="K268">
        <v>1996</v>
      </c>
      <c r="M268">
        <v>20</v>
      </c>
      <c r="N268">
        <v>16400</v>
      </c>
      <c r="O268" s="8">
        <v>4600</v>
      </c>
      <c r="W268">
        <v>752</v>
      </c>
      <c r="Y268">
        <v>4</v>
      </c>
      <c r="Z268">
        <v>220</v>
      </c>
      <c r="AA268" s="3">
        <f t="shared" si="290"/>
        <v>2.9255319148936171E-2</v>
      </c>
      <c r="AB268">
        <v>186</v>
      </c>
      <c r="AC268">
        <f t="shared" si="302"/>
        <v>298</v>
      </c>
      <c r="AF268">
        <v>22.15</v>
      </c>
      <c r="AG268">
        <v>22.15</v>
      </c>
      <c r="AH268">
        <v>2.81</v>
      </c>
      <c r="AJ268" s="10">
        <v>39</v>
      </c>
      <c r="AK268" t="str">
        <f>CONCATENATE(VLOOKUP(AL268, 'Voxel Sizes'!$A$2:$B$18,2,FALSE),"x",INT(AH268*15), "x", INT(AI268*15))</f>
        <v>214x42x0</v>
      </c>
      <c r="AL268">
        <f t="shared" si="291"/>
        <v>13</v>
      </c>
      <c r="AN268" t="str">
        <f>CONCATENATE(VLOOKUP(AL268,Constants!$A$2:$C$16,IF(AM268&lt;&gt;"", 3, 2), FALSE),IF(AM268&lt;&gt;"",CONCATENATE(",",VLOOKUP(AM268,$B:$AN,39,FALSE)),""))</f>
        <v>4,5,4</v>
      </c>
      <c r="AP268" s="12" t="s">
        <v>1222</v>
      </c>
      <c r="AQ268" s="12" t="s">
        <v>1227</v>
      </c>
      <c r="AR268" t="s">
        <v>681</v>
      </c>
      <c r="AS268" t="s">
        <v>639</v>
      </c>
      <c r="AT268" t="s">
        <v>682</v>
      </c>
      <c r="AX268">
        <v>25</v>
      </c>
      <c r="AY268" s="15" t="str">
        <f t="shared" si="292"/>
        <v/>
      </c>
      <c r="BB268">
        <f t="shared" si="293"/>
        <v>30</v>
      </c>
      <c r="BC268">
        <f t="shared" si="294"/>
        <v>20</v>
      </c>
      <c r="BD268">
        <f t="shared" si="295"/>
        <v>11</v>
      </c>
      <c r="BE268" s="3">
        <f t="shared" si="296"/>
        <v>0.8773333333333333</v>
      </c>
      <c r="BF268">
        <f t="shared" si="297"/>
        <v>26</v>
      </c>
      <c r="BG268">
        <f>VLOOKUP($H268,Constants!$I:$K, 2, FALSE)</f>
        <v>0.85</v>
      </c>
      <c r="BH268">
        <f>VLOOKUP($H268,Constants!$I:$K, 3, FALSE)*IF(AND(G268="multiple_unit",AB268&lt;110),0.75,1)</f>
        <v>2.4</v>
      </c>
      <c r="BI268">
        <f>INT(POWER(((Constants!$G$2+$BB268+$BC268+$BD268+$BF268)*$BE268)*$BH268, 1.05))+$BA268</f>
        <v>252</v>
      </c>
      <c r="BJ268">
        <f>INT(POWER((((Constants!$G$1+$BB268+$BC268+$BD268+$BF268)*($BE268))*$BG268),IF($G268="wagon",1,1.2)))+$AZ268</f>
        <v>180</v>
      </c>
      <c r="BK268" s="14">
        <f t="shared" si="298"/>
        <v>196875</v>
      </c>
      <c r="BL268" s="14">
        <f t="shared" si="299"/>
        <v>14625</v>
      </c>
      <c r="BT268" t="s">
        <v>1142</v>
      </c>
      <c r="BU268">
        <v>11</v>
      </c>
      <c r="BV268">
        <v>232</v>
      </c>
      <c r="BY268" t="s">
        <v>278</v>
      </c>
      <c r="BZ268" t="str">
        <f>VLOOKUP(J268,Eras!$A$2:$C$10, 2, TRUE)</f>
        <v>lbr</v>
      </c>
      <c r="CA268" t="s">
        <v>329</v>
      </c>
      <c r="CB268" t="str">
        <f t="shared" si="300"/>
        <v>lbr_EMU (Express)</v>
      </c>
      <c r="CC268" t="str">
        <f t="shared" ref="CC268:CC325" si="304">_xlfn.CONCAT(H268, "_",I268)</f>
        <v>dual_electric_DUAL_POWER</v>
      </c>
      <c r="CD268" s="17" t="str" cm="1">
        <f t="array" ref="CD268">_xlfn.CONCAT("{BLACK}Length: {GOLD}", TEXT(ROUNDUP(IF(AQ268&lt;&gt;"",SUM(VALUE(_xlfn.TEXTSPLIT(AQ268, ","))), SUM(VALUE(_xlfn.TEXTSPLIT(AN268, ",")))*IF(M268, M268, 1))/16, 1), "#,##0.0"), " tiles{}")</f>
        <v>{BLACK}Length: {GOLD}14.3 tiles{}</v>
      </c>
      <c r="CE268" t="str">
        <f>VLOOKUP($CC268, Constants!$M:$N, 2, FALSE)</f>
        <v>{BLACK}Powered by: {GOLD}25kV AC / 750V DC</v>
      </c>
      <c r="CF268" t="str">
        <f t="shared" si="301"/>
        <v>{BLACK}Cars: {GOLD}20</v>
      </c>
      <c r="CG268" t="s">
        <v>683</v>
      </c>
      <c r="CH268" t="str">
        <f t="shared" si="303"/>
        <v/>
      </c>
      <c r="CI268" t="str">
        <f t="shared" ref="CI268:CI325" si="305">IF(BW268="buffet","{YELLOW}25% long distance bonus for consist{}",IF(BY268="BRAKE","{YELLOW}Speed bonus for slow wagons{}",IF(BV268&gt;190,CONCATENATE("{YELLOW}",INT((BV268-185)/1.85),"% bonus for long distance travel{}"),IF(AND(BV268&lt;180,BV268&lt;&gt;0),CONCATENATE("{YELLOW}",INT((185-BV268)/1.85),"% penalty for long distance travel{}"),""))))</f>
        <v>{YELLOW}25% bonus for long distance travel{}</v>
      </c>
      <c r="CJ268" t="str">
        <f t="shared" ref="CJ268:CJ325" si="306">_xlfn.CONCAT(CE268,IF(CE268&lt;&gt;""," ",""),CF268,IF(OR(CF268&lt;&gt;"",CE268&lt;&gt;""),"{}",""),CD268,CI268,"{SILVER}",CG268,IF(CH268&lt;&gt;"","{}{}",""),CH268)</f>
        <v>{BLACK}Powered by: {GOLD}25kV AC / 750V DC {BLACK}Cars: {GOLD}20{}{BLACK}Length: {GOLD}14.3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69" spans="1:88" x14ac:dyDescent="0.35">
      <c r="A269" t="s">
        <v>638</v>
      </c>
      <c r="B269" t="s">
        <v>1116</v>
      </c>
      <c r="C269">
        <v>475</v>
      </c>
      <c r="E269">
        <v>155</v>
      </c>
      <c r="F269" t="s">
        <v>1498</v>
      </c>
      <c r="G269" t="s">
        <v>398</v>
      </c>
      <c r="H269" t="s">
        <v>546</v>
      </c>
      <c r="I269" t="s">
        <v>545</v>
      </c>
      <c r="J269">
        <v>1992</v>
      </c>
      <c r="K269">
        <v>1996</v>
      </c>
      <c r="M269">
        <v>8</v>
      </c>
      <c r="N269">
        <v>16400</v>
      </c>
      <c r="O269" s="8">
        <v>4600</v>
      </c>
      <c r="W269">
        <f>(752/20)*8</f>
        <v>300.8</v>
      </c>
      <c r="Y269">
        <v>4</v>
      </c>
      <c r="Z269">
        <v>220</v>
      </c>
      <c r="AA269" s="3">
        <f t="shared" si="290"/>
        <v>7.3138297872340427E-2</v>
      </c>
      <c r="AB269">
        <v>186</v>
      </c>
      <c r="AC269">
        <f t="shared" si="302"/>
        <v>298</v>
      </c>
      <c r="AF269">
        <v>22.15</v>
      </c>
      <c r="AG269">
        <v>22.15</v>
      </c>
      <c r="AH269">
        <v>2.81</v>
      </c>
      <c r="AJ269" s="10">
        <v>39</v>
      </c>
      <c r="AK269" t="str">
        <f>CONCATENATE(VLOOKUP(AL269, 'Voxel Sizes'!$A$2:$B$18,2,FALSE),"x",INT(AH269*15), "x", INT(AI269*15))</f>
        <v>214x42x0</v>
      </c>
      <c r="AL269">
        <f t="shared" si="291"/>
        <v>13</v>
      </c>
      <c r="AN269" t="str">
        <f>CONCATENATE(VLOOKUP(AL269,Constants!$A$2:$C$16,IF(AM269&lt;&gt;"", 3, 2), FALSE),IF(AM269&lt;&gt;"",CONCATENATE(",",VLOOKUP(AM269,$B:$AN,39,FALSE)),""))</f>
        <v>4,5,4</v>
      </c>
      <c r="AP269" s="12" t="s">
        <v>1223</v>
      </c>
      <c r="AQ269" s="12" t="s">
        <v>1228</v>
      </c>
      <c r="AR269" t="s">
        <v>685</v>
      </c>
      <c r="AS269" t="s">
        <v>639</v>
      </c>
      <c r="AT269" t="s">
        <v>686</v>
      </c>
      <c r="AU269" t="s">
        <v>639</v>
      </c>
      <c r="AX269">
        <v>25</v>
      </c>
      <c r="AY269" s="15" t="str">
        <f t="shared" si="292"/>
        <v/>
      </c>
      <c r="BB269">
        <f t="shared" si="293"/>
        <v>30</v>
      </c>
      <c r="BC269">
        <f t="shared" si="294"/>
        <v>20</v>
      </c>
      <c r="BD269">
        <f t="shared" si="295"/>
        <v>11</v>
      </c>
      <c r="BE269" s="3">
        <f t="shared" si="296"/>
        <v>0.8773333333333333</v>
      </c>
      <c r="BF269">
        <f t="shared" si="297"/>
        <v>10.4</v>
      </c>
      <c r="BG269">
        <f>VLOOKUP($H269,Constants!$I:$K, 2, FALSE)</f>
        <v>0.85</v>
      </c>
      <c r="BH269">
        <f>VLOOKUP($H269,Constants!$I:$K, 3, FALSE)*IF(AND(G269="multiple_unit",AB269&lt;110),0.75,1)</f>
        <v>2.4</v>
      </c>
      <c r="BI269">
        <f>INT(POWER(((Constants!$G$2+$BB269+$BC269+$BD269+$BF269)*$BE269)*$BH269, 1.05))+$BA269</f>
        <v>207</v>
      </c>
      <c r="BJ269">
        <f>INT(POWER((((Constants!$G$1+$BB269+$BC269+$BD269+$BF269)*($BE269))*$BG269),IF($G269="wagon",1,1.2)))+$AZ269</f>
        <v>148</v>
      </c>
      <c r="BK269" s="14">
        <f t="shared" si="298"/>
        <v>161718.75</v>
      </c>
      <c r="BL269" s="14">
        <f t="shared" si="299"/>
        <v>12025</v>
      </c>
      <c r="BT269" t="s">
        <v>1141</v>
      </c>
      <c r="BU269">
        <v>11</v>
      </c>
      <c r="BV269">
        <v>232</v>
      </c>
      <c r="BY269" t="s">
        <v>278</v>
      </c>
      <c r="BZ269" t="str">
        <f>VLOOKUP(J269,Eras!$A$2:$C$10, 2, TRUE)</f>
        <v>lbr</v>
      </c>
      <c r="CA269" t="s">
        <v>329</v>
      </c>
      <c r="CB269" t="str">
        <f t="shared" si="300"/>
        <v>lbr_EMU (Express)</v>
      </c>
      <c r="CC269" t="str">
        <f t="shared" si="304"/>
        <v>dual_electric_DUAL_POWER</v>
      </c>
      <c r="CD269" s="17" t="str" cm="1">
        <f t="array" ref="CD269">_xlfn.CONCAT("{BLACK}Length: {GOLD}", TEXT(ROUNDUP(IF(AQ269&lt;&gt;"",SUM(VALUE(_xlfn.TEXTSPLIT(AQ269, ","))), SUM(VALUE(_xlfn.TEXTSPLIT(AN269, ",")))*IF(M269, M269, 1))/16, 1), "#,##0.0"), " tiles{}")</f>
        <v>{BLACK}Length: {GOLD}6.0 tiles{}</v>
      </c>
      <c r="CE269" t="str">
        <f>VLOOKUP($CC269, Constants!$M:$N, 2, FALSE)</f>
        <v>{BLACK}Powered by: {GOLD}25kV AC / 750V DC</v>
      </c>
      <c r="CF269" t="str">
        <f t="shared" si="301"/>
        <v>{BLACK}Cars: {GOLD}8</v>
      </c>
      <c r="CG269" t="s">
        <v>683</v>
      </c>
      <c r="CH269" t="str">
        <f t="shared" si="303"/>
        <v/>
      </c>
      <c r="CI269" t="str">
        <f t="shared" si="305"/>
        <v>{YELLOW}25% bonus for long distance travel{}</v>
      </c>
      <c r="CJ269" t="str">
        <f t="shared" si="306"/>
        <v>{BLACK}Powered by: {GOLD}25kV AC / 750V DC {BLACK}Cars: {GOLD}8{}{BLACK}Length: {GOLD}6.0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70" spans="1:88" x14ac:dyDescent="0.35">
      <c r="A270" t="s">
        <v>638</v>
      </c>
      <c r="B270" t="s">
        <v>1117</v>
      </c>
      <c r="C270">
        <v>476</v>
      </c>
      <c r="E270">
        <v>156</v>
      </c>
      <c r="F270" t="s">
        <v>1498</v>
      </c>
      <c r="G270" t="s">
        <v>398</v>
      </c>
      <c r="H270" t="s">
        <v>546</v>
      </c>
      <c r="I270" t="s">
        <v>545</v>
      </c>
      <c r="J270">
        <v>1992</v>
      </c>
      <c r="K270">
        <v>1996</v>
      </c>
      <c r="M270">
        <v>5</v>
      </c>
      <c r="N270">
        <v>16400</v>
      </c>
      <c r="O270" s="8">
        <v>4600</v>
      </c>
      <c r="W270">
        <f>(752/20)*5</f>
        <v>188</v>
      </c>
      <c r="Y270">
        <v>4</v>
      </c>
      <c r="Z270">
        <v>220</v>
      </c>
      <c r="AA270" s="3">
        <f t="shared" si="290"/>
        <v>0.11702127659574468</v>
      </c>
      <c r="AB270">
        <v>186</v>
      </c>
      <c r="AC270">
        <f t="shared" si="302"/>
        <v>298</v>
      </c>
      <c r="AF270">
        <v>22.15</v>
      </c>
      <c r="AG270">
        <v>22.15</v>
      </c>
      <c r="AH270">
        <v>2.81</v>
      </c>
      <c r="AJ270" s="10">
        <v>39</v>
      </c>
      <c r="AK270" t="str">
        <f>CONCATENATE(VLOOKUP(AL270, 'Voxel Sizes'!$A$2:$B$18,2,FALSE),"x",INT(AH270*15), "x", INT(AI270*15))</f>
        <v>214x42x0</v>
      </c>
      <c r="AL270">
        <f t="shared" si="291"/>
        <v>13</v>
      </c>
      <c r="AN270" t="str">
        <f>CONCATENATE(VLOOKUP(AL270,Constants!$A$2:$C$16,IF(AM270&lt;&gt;"", 3, 2), FALSE),IF(AM270&lt;&gt;"",CONCATENATE(",",VLOOKUP(AM270,$B:$AN,39,FALSE)),""))</f>
        <v>4,5,4</v>
      </c>
      <c r="AP270" s="12" t="s">
        <v>1225</v>
      </c>
      <c r="AQ270" s="12" t="s">
        <v>1229</v>
      </c>
      <c r="AR270" t="s">
        <v>1123</v>
      </c>
      <c r="AS270" t="s">
        <v>639</v>
      </c>
      <c r="AT270" t="s">
        <v>656</v>
      </c>
      <c r="AU270" t="s">
        <v>639</v>
      </c>
      <c r="AX270">
        <v>25</v>
      </c>
      <c r="AY270" s="15" t="str">
        <f t="shared" si="292"/>
        <v/>
      </c>
      <c r="BB270">
        <f t="shared" si="293"/>
        <v>30</v>
      </c>
      <c r="BC270">
        <f t="shared" si="294"/>
        <v>20</v>
      </c>
      <c r="BD270">
        <f t="shared" si="295"/>
        <v>11</v>
      </c>
      <c r="BE270" s="3">
        <f t="shared" si="296"/>
        <v>0.8773333333333333</v>
      </c>
      <c r="BF270">
        <f t="shared" si="297"/>
        <v>6.5</v>
      </c>
      <c r="BG270">
        <f>VLOOKUP($H270,Constants!$I:$K, 2, FALSE)</f>
        <v>0.85</v>
      </c>
      <c r="BH270">
        <f>VLOOKUP($H270,Constants!$I:$K, 3, FALSE)*IF(AND(G270="multiple_unit",AB270&lt;110),0.75,1)</f>
        <v>2.4</v>
      </c>
      <c r="BI270">
        <f>INT(POWER(((Constants!$G$2+$BB270+$BC270+$BD270+$BF270)*$BE270)*$BH270, 1.05))+$BA270</f>
        <v>196</v>
      </c>
      <c r="BJ270">
        <f>INT(POWER((((Constants!$G$1+$BB270+$BC270+$BD270+$BF270)*($BE270))*$BG270),IF($G270="wagon",1,1.2)))+$AZ270</f>
        <v>140</v>
      </c>
      <c r="BK270" s="14">
        <f t="shared" si="298"/>
        <v>153125</v>
      </c>
      <c r="BL270" s="14">
        <f t="shared" si="299"/>
        <v>11375</v>
      </c>
      <c r="BT270" t="s">
        <v>1140</v>
      </c>
      <c r="BU270">
        <v>11</v>
      </c>
      <c r="BV270">
        <v>232</v>
      </c>
      <c r="BY270" t="s">
        <v>278</v>
      </c>
      <c r="BZ270" t="str">
        <f>VLOOKUP(J270,Eras!$A$2:$C$10, 2, TRUE)</f>
        <v>lbr</v>
      </c>
      <c r="CA270" t="s">
        <v>329</v>
      </c>
      <c r="CB270" t="str">
        <f t="shared" si="300"/>
        <v>lbr_EMU (Express)</v>
      </c>
      <c r="CC270" t="str">
        <f t="shared" si="304"/>
        <v>dual_electric_DUAL_POWER</v>
      </c>
      <c r="CD270" s="17" t="str" cm="1">
        <f t="array" ref="CD270">_xlfn.CONCAT("{BLACK}Length: {GOLD}", TEXT(ROUNDUP(IF(AQ270&lt;&gt;"",SUM(VALUE(_xlfn.TEXTSPLIT(AQ270, ","))), SUM(VALUE(_xlfn.TEXTSPLIT(AN270, ",")))*IF(M270, M270, 1))/16, 1), "#,##0.0"), " tiles{}")</f>
        <v>{BLACK}Length: {GOLD}4.0 tiles{}</v>
      </c>
      <c r="CE270" t="str">
        <f>VLOOKUP($CC270, Constants!$M:$N, 2, FALSE)</f>
        <v>{BLACK}Powered by: {GOLD}25kV AC / 750V DC</v>
      </c>
      <c r="CF270" t="str">
        <f t="shared" si="301"/>
        <v>{BLACK}Cars: {GOLD}5</v>
      </c>
      <c r="CG270" t="s">
        <v>683</v>
      </c>
      <c r="CH270" t="str">
        <f t="shared" si="303"/>
        <v/>
      </c>
      <c r="CI270" t="str">
        <f t="shared" si="305"/>
        <v>{YELLOW}25% bonus for long distance travel{}</v>
      </c>
      <c r="CJ270" t="str">
        <f t="shared" si="306"/>
        <v>{BLACK}Powered by: {GOLD}25kV AC / 750V DC {BLACK}Cars: {GOLD}5{}{BLACK}Length: {GOLD}4.0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71" spans="1:88" x14ac:dyDescent="0.35">
      <c r="A271" t="s">
        <v>91</v>
      </c>
      <c r="B271" t="s">
        <v>185</v>
      </c>
      <c r="C271">
        <v>480</v>
      </c>
      <c r="E271">
        <v>157</v>
      </c>
      <c r="F271" t="s">
        <v>1498</v>
      </c>
      <c r="G271" t="s">
        <v>398</v>
      </c>
      <c r="H271" t="s">
        <v>546</v>
      </c>
      <c r="I271" t="s">
        <v>545</v>
      </c>
      <c r="J271">
        <v>1995</v>
      </c>
      <c r="M271">
        <v>4</v>
      </c>
      <c r="N271">
        <v>1328</v>
      </c>
      <c r="W271">
        <v>138.5</v>
      </c>
      <c r="Y271">
        <v>5</v>
      </c>
      <c r="Z271">
        <v>160</v>
      </c>
      <c r="AA271" s="3">
        <f t="shared" si="290"/>
        <v>0.11552346570397112</v>
      </c>
      <c r="AB271">
        <v>100</v>
      </c>
      <c r="AC271">
        <f t="shared" si="302"/>
        <v>160</v>
      </c>
      <c r="AF271">
        <v>19.829999999999998</v>
      </c>
      <c r="AG271">
        <v>19.8</v>
      </c>
      <c r="AH271">
        <v>2.8</v>
      </c>
      <c r="AI271">
        <v>3.8</v>
      </c>
      <c r="AJ271" s="10">
        <v>78</v>
      </c>
      <c r="AK271" t="str">
        <f>CONCATENATE(VLOOKUP(AL271, 'Voxel Sizes'!$A$2:$B$18,2,FALSE),"x",INT(AH271*15), "x", INT(AI271*15))</f>
        <v>198x42x57</v>
      </c>
      <c r="AL271">
        <f t="shared" si="291"/>
        <v>12</v>
      </c>
      <c r="AN271" t="str">
        <f>CONCATENATE(VLOOKUP(AL271,Constants!$A$2:$C$16,IF(AM271&lt;&gt;"", 3, 2), FALSE),IF(AM271&lt;&gt;"",CONCATENATE(",",VLOOKUP(AM271,$B:$AN,39,FALSE)),""))</f>
        <v>4,4,4</v>
      </c>
      <c r="AR271" t="s">
        <v>643</v>
      </c>
      <c r="AS271" t="s">
        <v>646</v>
      </c>
      <c r="AT271" t="s">
        <v>549</v>
      </c>
      <c r="AX271">
        <v>30</v>
      </c>
      <c r="AY271" s="15" t="str">
        <f t="shared" si="292"/>
        <v/>
      </c>
      <c r="AZ271">
        <v>-15</v>
      </c>
      <c r="BA271">
        <v>-40</v>
      </c>
      <c r="BB271">
        <f t="shared" si="293"/>
        <v>20</v>
      </c>
      <c r="BC271">
        <f t="shared" si="294"/>
        <v>6.6400000000000006</v>
      </c>
      <c r="BD271">
        <f t="shared" si="295"/>
        <v>8</v>
      </c>
      <c r="BE271" s="3">
        <f t="shared" si="296"/>
        <v>0.87333333333333329</v>
      </c>
      <c r="BF271">
        <f t="shared" si="297"/>
        <v>10.4</v>
      </c>
      <c r="BG271">
        <f>VLOOKUP($H271,Constants!$I:$K, 2, FALSE)</f>
        <v>0.85</v>
      </c>
      <c r="BH271">
        <f>VLOOKUP($H271,Constants!$I:$K, 3, FALSE)*IF(AND(G271="multiple_unit",AB271&lt;110),0.75,1)</f>
        <v>1.7999999999999998</v>
      </c>
      <c r="BI271">
        <f>INT(POWER(((Constants!$G$2+$BB271+$BC271+$BD271+$BF271)*$BE271)*$BH271, 1.05))+$BA271</f>
        <v>57</v>
      </c>
      <c r="BJ271">
        <f>INT(POWER((((Constants!$G$1+$BB271+$BC271+$BD271+$BF271)*($BE271))*$BG271),IF($G271="wagon",1,1.2)))+$AZ271</f>
        <v>80</v>
      </c>
      <c r="BK271" s="14">
        <f t="shared" si="298"/>
        <v>44531.25</v>
      </c>
      <c r="BL271" s="14">
        <f t="shared" si="299"/>
        <v>6500</v>
      </c>
      <c r="BU271">
        <v>2</v>
      </c>
      <c r="BV271">
        <v>185</v>
      </c>
      <c r="BY271" t="s">
        <v>644</v>
      </c>
      <c r="BZ271" t="str">
        <f>VLOOKUP(J271,Eras!$A$2:$C$10, 2, TRUE)</f>
        <v>prv</v>
      </c>
      <c r="CA271" t="s">
        <v>327</v>
      </c>
      <c r="CB271" t="str">
        <f t="shared" si="300"/>
        <v>prv_DMU (Express)</v>
      </c>
      <c r="CC271" t="str">
        <f t="shared" si="304"/>
        <v>dual_electric_DUAL_POWER</v>
      </c>
      <c r="CD271" s="17" t="str" cm="1">
        <f t="array" ref="CD271">_xlfn.CONCAT("{BLACK}Length: {GOLD}", TEXT(ROUNDUP(IF(AQ271&lt;&gt;"",SUM(VALUE(_xlfn.TEXTSPLIT(AQ271, ","))), SUM(VALUE(_xlfn.TEXTSPLIT(AN271, ",")))*IF(M271, M271, 1))/16, 1), "#,##0.0"), " tiles{}")</f>
        <v>{BLACK}Length: {GOLD}3.0 tiles{}</v>
      </c>
      <c r="CE271" t="str">
        <f>VLOOKUP($CC271, Constants!$M:$N, 2, FALSE)</f>
        <v>{BLACK}Powered by: {GOLD}25kV AC / 750V DC</v>
      </c>
      <c r="CF271" t="str">
        <f t="shared" si="301"/>
        <v>{BLACK}Cars: {GOLD}4</v>
      </c>
      <c r="CG271" t="s">
        <v>645</v>
      </c>
      <c r="CH271" t="str">
        <f t="shared" si="303"/>
        <v/>
      </c>
      <c r="CI271" t="str">
        <f t="shared" si="305"/>
        <v/>
      </c>
      <c r="CJ271" t="str">
        <f t="shared" si="306"/>
        <v>{BLACK}Powered by: {GOLD}25kV AC / 750V DC {BLACK}Cars: {GOLD}4{}{BLACK}Length: {GOLD}3.0 tiles{}{SILVER}The Class 325 is a multiple unit designed for carrying mail and parcels more economically than a locomotive-hauled train. It is based on Class 319 hardware.</v>
      </c>
    </row>
    <row r="272" spans="1:88" x14ac:dyDescent="0.35">
      <c r="A272" t="s">
        <v>79</v>
      </c>
      <c r="B272" t="s">
        <v>584</v>
      </c>
      <c r="C272">
        <v>482</v>
      </c>
      <c r="E272">
        <v>158</v>
      </c>
      <c r="F272" t="s">
        <v>1498</v>
      </c>
      <c r="G272" t="s">
        <v>398</v>
      </c>
      <c r="H272" t="s">
        <v>268</v>
      </c>
      <c r="I272" t="s">
        <v>270</v>
      </c>
      <c r="J272">
        <v>1998</v>
      </c>
      <c r="K272">
        <v>2005</v>
      </c>
      <c r="M272">
        <v>3</v>
      </c>
      <c r="N272">
        <v>1266</v>
      </c>
      <c r="W272">
        <v>135</v>
      </c>
      <c r="Y272">
        <v>5</v>
      </c>
      <c r="Z272">
        <v>180</v>
      </c>
      <c r="AA272" s="3">
        <f t="shared" si="290"/>
        <v>0.13333333333333333</v>
      </c>
      <c r="AB272">
        <v>100</v>
      </c>
      <c r="AC272">
        <f t="shared" si="302"/>
        <v>160</v>
      </c>
      <c r="AF272">
        <v>23.62</v>
      </c>
      <c r="AG272">
        <v>21</v>
      </c>
      <c r="AH272">
        <v>2.69</v>
      </c>
      <c r="AI272">
        <v>3.77</v>
      </c>
      <c r="AJ272" s="10">
        <v>63</v>
      </c>
      <c r="AK272" t="str">
        <f>CONCATENATE(VLOOKUP(AL272, 'Voxel Sizes'!$A$2:$B$18,2,FALSE),"x",INT(AH272*15), "x", INT(AI272*15))</f>
        <v>198x40x56</v>
      </c>
      <c r="AL272">
        <f t="shared" si="291"/>
        <v>12</v>
      </c>
      <c r="AN272" t="str">
        <f>CONCATENATE(VLOOKUP(AL272,Constants!$A$2:$C$16,IF(AM272&lt;&gt;"", 3, 2), FALSE),IF(AM272&lt;&gt;"",CONCATENATE(",",VLOOKUP(AM272,$B:$AN,39,FALSE)),""))</f>
        <v>4,4,4</v>
      </c>
      <c r="AR272" t="s">
        <v>583</v>
      </c>
      <c r="AT272" t="s">
        <v>287</v>
      </c>
      <c r="AX272">
        <v>29</v>
      </c>
      <c r="AY272" s="15" t="str">
        <f t="shared" si="292"/>
        <v/>
      </c>
      <c r="AZ272">
        <v>-15</v>
      </c>
      <c r="BA272">
        <v>-25</v>
      </c>
      <c r="BB272">
        <f t="shared" si="293"/>
        <v>20</v>
      </c>
      <c r="BC272">
        <f t="shared" si="294"/>
        <v>6.33</v>
      </c>
      <c r="BD272">
        <f t="shared" si="295"/>
        <v>9</v>
      </c>
      <c r="BE272" s="3">
        <f t="shared" si="296"/>
        <v>0.86933333333333329</v>
      </c>
      <c r="BF272">
        <f t="shared" si="297"/>
        <v>6.3</v>
      </c>
      <c r="BG272">
        <f>VLOOKUP($H272,Constants!$I:$K, 2, FALSE)</f>
        <v>1</v>
      </c>
      <c r="BH272">
        <f>VLOOKUP($H272,Constants!$I:$K, 3, FALSE)*IF(AND(G272="multiple_unit",AB272&lt;110),0.75,1)</f>
        <v>1.5</v>
      </c>
      <c r="BI272">
        <f>INT(POWER(((Constants!$G$2+$BB272+$BC272+$BD272+$BF272)*$BE272)*$BH272, 1.05))+$BA272</f>
        <v>49</v>
      </c>
      <c r="BJ272">
        <f>INT(POWER((((Constants!$G$1+$BB272+$BC272+$BD272+$BF272)*($BE272))*$BG272),IF($G272="wagon",1,1.2)))+$AZ272</f>
        <v>92</v>
      </c>
      <c r="BK272" s="14">
        <f t="shared" si="298"/>
        <v>38281.25</v>
      </c>
      <c r="BL272" s="14">
        <f t="shared" si="299"/>
        <v>7475</v>
      </c>
      <c r="BQ272" t="s">
        <v>1109</v>
      </c>
      <c r="BU272">
        <v>3</v>
      </c>
      <c r="BV272">
        <v>185</v>
      </c>
      <c r="BY272" t="s">
        <v>278</v>
      </c>
      <c r="BZ272" t="str">
        <f>VLOOKUP(J272,Eras!$A$2:$C$10, 2, TRUE)</f>
        <v>prv</v>
      </c>
      <c r="CA272" t="s">
        <v>326</v>
      </c>
      <c r="CB272" t="str">
        <f t="shared" si="300"/>
        <v>prv_DMU</v>
      </c>
      <c r="CC272" t="str">
        <f t="shared" si="304"/>
        <v>diesel_RAIL</v>
      </c>
      <c r="CD272" s="17" t="str" cm="1">
        <f t="array" ref="CD272">_xlfn.CONCAT("{BLACK}Length: {GOLD}", TEXT(ROUNDUP(IF(AQ272&lt;&gt;"",SUM(VALUE(_xlfn.TEXTSPLIT(AQ272, ","))), SUM(VALUE(_xlfn.TEXTSPLIT(AN272, ",")))*IF(M272, M272, 1))/16, 1), "#,##0.0"), " tiles{}")</f>
        <v>{BLACK}Length: {GOLD}2.3 tiles{}</v>
      </c>
      <c r="CE272" t="str">
        <f>VLOOKUP($CC272, Constants!$M:$N, 2, FALSE)</f>
        <v>{BLACK}Powered by: {GOLD}Diesel</v>
      </c>
      <c r="CF272" t="str">
        <f t="shared" si="301"/>
        <v>{BLACK}Cars: {GOLD}3</v>
      </c>
      <c r="CG272" t="s">
        <v>582</v>
      </c>
      <c r="CH272" t="str">
        <f t="shared" si="303"/>
        <v/>
      </c>
      <c r="CI272" t="str">
        <f t="shared" si="305"/>
        <v/>
      </c>
      <c r="CJ272" t="str">
        <f t="shared" si="306"/>
        <v>{BLACK}Powered by: {GOLD}Diesel {BLACK}Cars: {GOLD}3{}{BLACK}Length: {GOLD}2.3 tiles{}{SILVER}The Turbostar is a further development of the BR "Networker" units. It is used for regional and long distance services.</v>
      </c>
    </row>
    <row r="273" spans="1:88" x14ac:dyDescent="0.35">
      <c r="A273" t="s">
        <v>1257</v>
      </c>
      <c r="B273" t="s">
        <v>1258</v>
      </c>
      <c r="C273">
        <v>483</v>
      </c>
      <c r="E273">
        <v>159</v>
      </c>
      <c r="F273" t="s">
        <v>1498</v>
      </c>
      <c r="G273" t="s">
        <v>398</v>
      </c>
      <c r="H273" t="s">
        <v>268</v>
      </c>
      <c r="I273" t="s">
        <v>270</v>
      </c>
      <c r="J273">
        <v>2000</v>
      </c>
      <c r="M273">
        <v>2</v>
      </c>
      <c r="N273">
        <f>450*2</f>
        <v>900</v>
      </c>
      <c r="W273">
        <v>98</v>
      </c>
      <c r="Y273">
        <v>5</v>
      </c>
      <c r="Z273">
        <v>120</v>
      </c>
      <c r="AA273" s="3">
        <f t="shared" si="290"/>
        <v>0.12244897959183673</v>
      </c>
      <c r="AB273">
        <v>100</v>
      </c>
      <c r="AC273">
        <f t="shared" si="302"/>
        <v>160</v>
      </c>
      <c r="AF273">
        <v>23.71</v>
      </c>
      <c r="AG273">
        <v>23.71</v>
      </c>
      <c r="AJ273" s="10">
        <v>69</v>
      </c>
      <c r="AK273" t="str">
        <f>CONCATENATE(VLOOKUP(AL273, 'Voxel Sizes'!$A$2:$B$18,2,FALSE),"x",INT(AH273*15), "x", INT(AI273*15))</f>
        <v>238x0x0</v>
      </c>
      <c r="AL273">
        <f t="shared" si="291"/>
        <v>14</v>
      </c>
      <c r="AN273" t="str">
        <f>CONCATENATE(VLOOKUP(AL273,Constants!$A$2:$C$16,IF(AM273&lt;&gt;"", 3, 2), FALSE),IF(AM273&lt;&gt;"",CONCATENATE(",",VLOOKUP(AM273,$B:$AN,39,FALSE)),""))</f>
        <v>4,6,4</v>
      </c>
      <c r="AR273" t="s">
        <v>1260</v>
      </c>
      <c r="AT273" t="s">
        <v>461</v>
      </c>
      <c r="AX273">
        <v>22</v>
      </c>
      <c r="AY273" s="15" t="str">
        <f t="shared" si="292"/>
        <v/>
      </c>
      <c r="AZ273">
        <v>-6</v>
      </c>
      <c r="BA273">
        <v>-25</v>
      </c>
      <c r="BB273">
        <f t="shared" si="293"/>
        <v>20</v>
      </c>
      <c r="BC273">
        <f t="shared" si="294"/>
        <v>4.5</v>
      </c>
      <c r="BD273">
        <f t="shared" si="295"/>
        <v>6</v>
      </c>
      <c r="BE273" s="3">
        <f t="shared" si="296"/>
        <v>0.8666666666666667</v>
      </c>
      <c r="BF273">
        <f t="shared" si="297"/>
        <v>4.6000000000000005</v>
      </c>
      <c r="BG273">
        <f>VLOOKUP($H273,Constants!$I:$K, 2, FALSE)</f>
        <v>1</v>
      </c>
      <c r="BH273">
        <f>VLOOKUP($H273,Constants!$I:$K, 3, FALSE)*IF(AND(G273="multiple_unit",AB273&lt;110),0.75,1)</f>
        <v>1.5</v>
      </c>
      <c r="BI273">
        <f>INT(POWER(((Constants!$G$2+$BB273+$BC273+$BD273+$BF273)*$BE273)*$BH273, 1.05))+$BA273</f>
        <v>38</v>
      </c>
      <c r="BJ273">
        <f>INT(POWER((((Constants!$G$1+$BB273+$BC273+$BD273+$BF273)*($BE273))*$BG273),IF($G273="wagon",1,1.2)))+$AZ273</f>
        <v>86</v>
      </c>
      <c r="BK273" s="14">
        <f t="shared" si="298"/>
        <v>29687.5</v>
      </c>
      <c r="BL273" s="14">
        <f t="shared" si="299"/>
        <v>6987.5</v>
      </c>
      <c r="BU273">
        <v>4</v>
      </c>
      <c r="BY273" t="s">
        <v>278</v>
      </c>
      <c r="BZ273" t="str">
        <f>VLOOKUP(J273,Eras!$A$2:$C$10, 2, TRUE)</f>
        <v>prv</v>
      </c>
      <c r="CA273" t="s">
        <v>326</v>
      </c>
      <c r="CB273" t="str">
        <f t="shared" si="300"/>
        <v>prv_DMU</v>
      </c>
      <c r="CC273" t="str">
        <f t="shared" si="304"/>
        <v>diesel_RAIL</v>
      </c>
      <c r="CD273" s="17" t="str" cm="1">
        <f t="array" ref="CD273">_xlfn.CONCAT("{BLACK}Length: {GOLD}", TEXT(ROUNDUP(IF(AQ273&lt;&gt;"",SUM(VALUE(_xlfn.TEXTSPLIT(AQ273, ","))), SUM(VALUE(_xlfn.TEXTSPLIT(AN273, ",")))*IF(M273, M273, 1))/16, 1), "#,##0.0"), " tiles{}")</f>
        <v>{BLACK}Length: {GOLD}1.8 tiles{}</v>
      </c>
      <c r="CG273" t="s">
        <v>1259</v>
      </c>
      <c r="CH273" t="str">
        <f t="shared" si="303"/>
        <v/>
      </c>
      <c r="CI273" t="str">
        <f t="shared" si="305"/>
        <v/>
      </c>
      <c r="CJ273" t="str">
        <f t="shared" si="306"/>
        <v>{BLACK}Length: {GOLD}1.8 tiles{}{SILVER}Originally operated by First North Western, the Class 175s were cascaded to services in Wales. They suffered early reliability problems, but work on braking systems and bogies has made a significant improvement.</v>
      </c>
    </row>
    <row r="274" spans="1:88" x14ac:dyDescent="0.35">
      <c r="A274" t="s">
        <v>569</v>
      </c>
      <c r="B274" t="s">
        <v>574</v>
      </c>
      <c r="C274">
        <v>484</v>
      </c>
      <c r="E274">
        <v>160</v>
      </c>
      <c r="F274" t="s">
        <v>1498</v>
      </c>
      <c r="G274" t="s">
        <v>398</v>
      </c>
      <c r="H274" t="s">
        <v>291</v>
      </c>
      <c r="I274" t="s">
        <v>298</v>
      </c>
      <c r="J274">
        <v>2000</v>
      </c>
      <c r="K274">
        <v>2001</v>
      </c>
      <c r="L274">
        <v>2012</v>
      </c>
      <c r="M274">
        <v>8</v>
      </c>
      <c r="N274">
        <v>3620</v>
      </c>
      <c r="W274">
        <v>319</v>
      </c>
      <c r="Y274">
        <v>5</v>
      </c>
      <c r="Z274">
        <v>240</v>
      </c>
      <c r="AA274" s="3">
        <f t="shared" si="290"/>
        <v>7.5235109717868343E-2</v>
      </c>
      <c r="AB274">
        <v>100</v>
      </c>
      <c r="AC274">
        <f t="shared" si="302"/>
        <v>160</v>
      </c>
      <c r="AG274">
        <v>21</v>
      </c>
      <c r="AJ274" s="10">
        <f>23*3</f>
        <v>69</v>
      </c>
      <c r="AK274" t="str">
        <f>CONCATENATE(VLOOKUP(AL274, 'Voxel Sizes'!$A$2:$B$18,2,FALSE),"x",INT(AH274*15), "x", INT(AI274*15))</f>
        <v>198x0x0</v>
      </c>
      <c r="AL274">
        <f t="shared" si="291"/>
        <v>12</v>
      </c>
      <c r="AN274" t="str">
        <f>CONCATENATE(VLOOKUP(AL274,Constants!$A$2:$C$16,IF(AM274&lt;&gt;"", 3, 2), FALSE),IF(AM274&lt;&gt;"",CONCATENATE(",",VLOOKUP(AM274,$B:$AN,39,FALSE)),""))</f>
        <v>4,4,4</v>
      </c>
      <c r="AR274" t="s">
        <v>577</v>
      </c>
      <c r="AT274" t="s">
        <v>576</v>
      </c>
      <c r="AX274">
        <v>27</v>
      </c>
      <c r="AY274" s="15">
        <f t="shared" si="292"/>
        <v>20</v>
      </c>
      <c r="AZ274">
        <v>-15</v>
      </c>
      <c r="BA274">
        <v>-30</v>
      </c>
      <c r="BB274">
        <f t="shared" si="293"/>
        <v>20</v>
      </c>
      <c r="BC274">
        <f t="shared" si="294"/>
        <v>18.100000000000001</v>
      </c>
      <c r="BD274">
        <f t="shared" si="295"/>
        <v>12</v>
      </c>
      <c r="BE274" s="3">
        <f t="shared" si="296"/>
        <v>0.8666666666666667</v>
      </c>
      <c r="BF274">
        <f t="shared" si="297"/>
        <v>18.400000000000002</v>
      </c>
      <c r="BG274">
        <f>VLOOKUP($H274,Constants!$I:$K, 2, FALSE)</f>
        <v>0.85</v>
      </c>
      <c r="BH274">
        <f>VLOOKUP($H274,Constants!$I:$K, 3, FALSE)*IF(AND(G274="multiple_unit",AB274&lt;110),0.75,1)</f>
        <v>1.7249999999999999</v>
      </c>
      <c r="BI274">
        <f>INT(POWER(((Constants!$G$2+$BB274+$BC274+$BD274+$BF274)*$BE274)*$BH274, 1.05))+$BA274</f>
        <v>108</v>
      </c>
      <c r="BJ274">
        <f>INT(POWER((((Constants!$G$1+$BB274+$BC274+$BD274+$BF274)*($BE274))*$BG274),IF($G274="wagon",1,1.2)))+$AZ274</f>
        <v>125</v>
      </c>
      <c r="BK274" s="14">
        <f t="shared" si="298"/>
        <v>84375</v>
      </c>
      <c r="BL274" s="14">
        <f t="shared" si="299"/>
        <v>10156.25</v>
      </c>
      <c r="BT274" t="s">
        <v>1138</v>
      </c>
      <c r="BU274">
        <v>4</v>
      </c>
      <c r="BV274">
        <v>205</v>
      </c>
      <c r="BY274" t="s">
        <v>278</v>
      </c>
      <c r="BZ274" t="str">
        <f>VLOOKUP(J274,Eras!$A$2:$C$10, 2, TRUE)</f>
        <v>prv</v>
      </c>
      <c r="CA274" t="s">
        <v>329</v>
      </c>
      <c r="CB274" t="str">
        <f t="shared" si="300"/>
        <v>prv_EMU (Express)</v>
      </c>
      <c r="CC274" t="str">
        <f t="shared" si="304"/>
        <v>electric_THIRD_RAIL</v>
      </c>
      <c r="CD274" s="17" t="str" cm="1">
        <f t="array" ref="CD274">_xlfn.CONCAT("{BLACK}Length: {GOLD}", TEXT(ROUNDUP(IF(AQ274&lt;&gt;"",SUM(VALUE(_xlfn.TEXTSPLIT(AQ274, ","))), SUM(VALUE(_xlfn.TEXTSPLIT(AN274, ",")))*IF(M274, M274, 1))/16, 1), "#,##0.0"), " tiles{}")</f>
        <v>{BLACK}Length: {GOLD}6.0 tiles{}</v>
      </c>
      <c r="CE274" t="str">
        <f>VLOOKUP($CC274, Constants!$M:$N, 2, FALSE)</f>
        <v>{BLACK}Powered by: {GOLD}750V DC</v>
      </c>
      <c r="CF274" t="str">
        <f>IF(M274&gt;1,_xlfn.CONCAT("{BLACK}Cars: {GOLD}", M274),"")</f>
        <v>{BLACK}Cars: {GOLD}8</v>
      </c>
      <c r="CG274" t="s">
        <v>575</v>
      </c>
      <c r="CH274" t="str">
        <f t="shared" si="303"/>
        <v/>
      </c>
      <c r="CI274" t="str">
        <f t="shared" si="305"/>
        <v>{YELLOW}10% bonus for long distance travel{}</v>
      </c>
      <c r="CJ274" t="str">
        <f t="shared" si="306"/>
        <v>{BLACK}Powered by: {GOLD}750V DC {BLACK}Cars: {GOLD}8{}{BLACK}Length: {GOLD}6.0 tiles{}{YELLOW}10% bonus for long distance travel{}{SILVER}The Class 460 was built to replace locomotive-hauled services on the Gatwick Express. It had a short service life, with most units converted to Class 458/5 for suburban use.</v>
      </c>
    </row>
    <row r="275" spans="1:88" x14ac:dyDescent="0.35">
      <c r="A275" t="s">
        <v>569</v>
      </c>
      <c r="B275" t="s">
        <v>1131</v>
      </c>
      <c r="C275">
        <v>485</v>
      </c>
      <c r="E275">
        <v>161</v>
      </c>
      <c r="F275" t="s">
        <v>1498</v>
      </c>
      <c r="G275" t="s">
        <v>398</v>
      </c>
      <c r="H275" t="s">
        <v>291</v>
      </c>
      <c r="I275" t="s">
        <v>298</v>
      </c>
      <c r="J275">
        <v>2000</v>
      </c>
      <c r="K275">
        <v>2001</v>
      </c>
      <c r="L275">
        <v>2012</v>
      </c>
      <c r="M275">
        <v>5</v>
      </c>
      <c r="N275">
        <v>3620</v>
      </c>
      <c r="W275">
        <f>319/8*5</f>
        <v>199.375</v>
      </c>
      <c r="Y275">
        <v>5</v>
      </c>
      <c r="Z275">
        <v>240</v>
      </c>
      <c r="AA275" s="3">
        <f t="shared" si="290"/>
        <v>0.12037617554858934</v>
      </c>
      <c r="AB275">
        <v>100</v>
      </c>
      <c r="AC275">
        <f t="shared" si="302"/>
        <v>160</v>
      </c>
      <c r="AG275">
        <v>21</v>
      </c>
      <c r="AJ275" s="10">
        <f>23*3</f>
        <v>69</v>
      </c>
      <c r="AK275" t="str">
        <f>CONCATENATE(VLOOKUP(AL275, 'Voxel Sizes'!$A$2:$B$18,2,FALSE),"x",INT(AH275*15), "x", INT(AI275*15))</f>
        <v>198x0x0</v>
      </c>
      <c r="AL275">
        <f t="shared" si="291"/>
        <v>12</v>
      </c>
      <c r="AN275" t="str">
        <f>CONCATENATE(VLOOKUP(AL275,Constants!$A$2:$C$16,IF(AM275&lt;&gt;"", 3, 2), FALSE),IF(AM275&lt;&gt;"",CONCATENATE(",",VLOOKUP(AM275,$B:$AN,39,FALSE)),""))</f>
        <v>4,4,4</v>
      </c>
      <c r="AR275" t="s">
        <v>1132</v>
      </c>
      <c r="AT275" t="s">
        <v>656</v>
      </c>
      <c r="AU275" t="s">
        <v>574</v>
      </c>
      <c r="AX275">
        <v>27</v>
      </c>
      <c r="AY275" s="15">
        <f t="shared" si="292"/>
        <v>20</v>
      </c>
      <c r="AZ275">
        <v>-15</v>
      </c>
      <c r="BA275">
        <v>-30</v>
      </c>
      <c r="BB275">
        <f t="shared" si="293"/>
        <v>20</v>
      </c>
      <c r="BC275">
        <f t="shared" si="294"/>
        <v>18.100000000000001</v>
      </c>
      <c r="BD275">
        <f t="shared" si="295"/>
        <v>12</v>
      </c>
      <c r="BE275" s="3">
        <f t="shared" si="296"/>
        <v>0.8666666666666667</v>
      </c>
      <c r="BF275">
        <f t="shared" si="297"/>
        <v>11.500000000000002</v>
      </c>
      <c r="BG275">
        <f>VLOOKUP($H275,Constants!$I:$K, 2, FALSE)</f>
        <v>0.85</v>
      </c>
      <c r="BH275">
        <f>VLOOKUP($H275,Constants!$I:$K, 3, FALSE)*IF(AND(G275="multiple_unit",AB275&lt;110),0.75,1)</f>
        <v>1.7249999999999999</v>
      </c>
      <c r="BI275">
        <f>INT(POWER(((Constants!$G$2+$BB275+$BC275+$BD275+$BF275)*$BE275)*$BH275, 1.05))+$BA275</f>
        <v>95</v>
      </c>
      <c r="BJ275">
        <f>INT(POWER((((Constants!$G$1+$BB275+$BC275+$BD275+$BF275)*($BE275))*$BG275),IF($G275="wagon",1,1.2)))+$AZ275</f>
        <v>111</v>
      </c>
      <c r="BK275" s="14">
        <f t="shared" si="298"/>
        <v>74218.75</v>
      </c>
      <c r="BL275" s="14">
        <f t="shared" si="299"/>
        <v>9018.75</v>
      </c>
      <c r="BT275" t="s">
        <v>1140</v>
      </c>
      <c r="BU275">
        <v>4</v>
      </c>
      <c r="BV275">
        <v>205</v>
      </c>
      <c r="BY275" t="s">
        <v>278</v>
      </c>
      <c r="BZ275" t="str">
        <f>VLOOKUP(J275,Eras!$A$2:$C$10, 2, TRUE)</f>
        <v>prv</v>
      </c>
      <c r="CA275" t="s">
        <v>329</v>
      </c>
      <c r="CB275" t="str">
        <f t="shared" si="300"/>
        <v>prv_EMU (Express)</v>
      </c>
      <c r="CC275" t="str">
        <f t="shared" si="304"/>
        <v>electric_THIRD_RAIL</v>
      </c>
      <c r="CD275" s="17" t="str" cm="1">
        <f t="array" ref="CD275">_xlfn.CONCAT("{BLACK}Length: {GOLD}", TEXT(ROUNDUP(IF(AQ275&lt;&gt;"",SUM(VALUE(_xlfn.TEXTSPLIT(AQ275, ","))), SUM(VALUE(_xlfn.TEXTSPLIT(AN275, ",")))*IF(M275, M275, 1))/16, 1), "#,##0.0"), " tiles{}")</f>
        <v>{BLACK}Length: {GOLD}3.8 tiles{}</v>
      </c>
      <c r="CE275" t="str">
        <f>VLOOKUP($CC275, Constants!$M:$N, 2, FALSE)</f>
        <v>{BLACK}Powered by: {GOLD}750V DC</v>
      </c>
      <c r="CF275" t="str">
        <f>IF(M275&gt;1,_xlfn.CONCAT("{BLACK}Cars: {GOLD}", M275),"")</f>
        <v>{BLACK}Cars: {GOLD}5</v>
      </c>
      <c r="CG275" t="s">
        <v>575</v>
      </c>
      <c r="CH275" t="str">
        <f t="shared" si="303"/>
        <v/>
      </c>
      <c r="CI275" t="str">
        <f t="shared" si="305"/>
        <v>{YELLOW}10% bonus for long distance travel{}</v>
      </c>
      <c r="CJ275" t="str">
        <f t="shared" si="306"/>
        <v>{BLACK}Powered by: {GOLD}750V DC {BLACK}Cars: {GOLD}5{}{BLACK}Length: {GOLD}3.8 tiles{}{YELLOW}10% bonus for long distance travel{}{SILVER}The Class 460 was built to replace locomotive-hauled services on the Gatwick Express. It had a short service life, with most units converted to Class 458/5 for suburban use.</v>
      </c>
    </row>
    <row r="276" spans="1:88" x14ac:dyDescent="0.35">
      <c r="A276" t="s">
        <v>1245</v>
      </c>
      <c r="B276" t="s">
        <v>1246</v>
      </c>
      <c r="C276">
        <v>486</v>
      </c>
      <c r="E276">
        <v>162</v>
      </c>
      <c r="F276" t="s">
        <v>1498</v>
      </c>
      <c r="G276" t="s">
        <v>398</v>
      </c>
      <c r="H276" t="s">
        <v>268</v>
      </c>
      <c r="I276" t="s">
        <v>270</v>
      </c>
      <c r="J276">
        <v>2001</v>
      </c>
      <c r="M276">
        <v>5</v>
      </c>
      <c r="N276">
        <f>750*3</f>
        <v>2250</v>
      </c>
      <c r="W276">
        <v>252.5</v>
      </c>
      <c r="Y276">
        <v>4</v>
      </c>
      <c r="Z276">
        <v>190</v>
      </c>
      <c r="AA276" s="3">
        <f t="shared" si="290"/>
        <v>7.5247524752475245E-2</v>
      </c>
      <c r="AB276">
        <v>125</v>
      </c>
      <c r="AC276">
        <f t="shared" si="302"/>
        <v>200</v>
      </c>
      <c r="AF276">
        <v>23.71</v>
      </c>
      <c r="AG276">
        <v>23.71</v>
      </c>
      <c r="AJ276" s="10">
        <v>57</v>
      </c>
      <c r="AK276" t="str">
        <f>CONCATENATE(VLOOKUP(AL276, 'Voxel Sizes'!$A$2:$B$18,2,FALSE),"x",INT(AH276*15), "x", INT(AI276*15))</f>
        <v>238x0x0</v>
      </c>
      <c r="AL276">
        <f t="shared" si="291"/>
        <v>14</v>
      </c>
      <c r="AN276" t="str">
        <f>CONCATENATE(VLOOKUP(AL276,Constants!$A$2:$C$16,IF(AM276&lt;&gt;"", 3, 2), FALSE),IF(AM276&lt;&gt;"",CONCATENATE(",",VLOOKUP(AM276,$B:$AN,39,FALSE)),""))</f>
        <v>4,6,4</v>
      </c>
      <c r="AR276" t="s">
        <v>1247</v>
      </c>
      <c r="AT276" t="s">
        <v>599</v>
      </c>
      <c r="AX276">
        <v>22</v>
      </c>
      <c r="AY276" s="15" t="str">
        <f t="shared" si="292"/>
        <v/>
      </c>
      <c r="AZ276">
        <v>-8</v>
      </c>
      <c r="BA276">
        <v>-30</v>
      </c>
      <c r="BB276">
        <f t="shared" si="293"/>
        <v>25</v>
      </c>
      <c r="BC276">
        <f t="shared" si="294"/>
        <v>11.25</v>
      </c>
      <c r="BD276">
        <f t="shared" si="295"/>
        <v>9.5</v>
      </c>
      <c r="BE276" s="3">
        <f t="shared" si="296"/>
        <v>0.86533333333333329</v>
      </c>
      <c r="BF276">
        <f t="shared" si="297"/>
        <v>9.5</v>
      </c>
      <c r="BG276">
        <f>VLOOKUP($H276,Constants!$I:$K, 2, FALSE)</f>
        <v>1</v>
      </c>
      <c r="BH276">
        <f>VLOOKUP($H276,Constants!$I:$K, 3, FALSE)*IF(AND(G276="multiple_unit",AB276&lt;110),0.75,1)</f>
        <v>2</v>
      </c>
      <c r="BI276">
        <f>INT(POWER(((Constants!$G$2+$BB276+$BC276+$BD276+$BF276)*$BE276)*$BH276, 1.05))+$BA276</f>
        <v>101</v>
      </c>
      <c r="BJ276">
        <f>INT(POWER((((Constants!$G$1+$BB276+$BC276+$BD276+$BF276)*($BE276))*$BG276),IF($G276="wagon",1,1.2)))+$AZ276</f>
        <v>130</v>
      </c>
      <c r="BK276" s="14">
        <f t="shared" si="298"/>
        <v>78906.25</v>
      </c>
      <c r="BL276" s="14">
        <f t="shared" si="299"/>
        <v>10562.5</v>
      </c>
      <c r="BT276" t="s">
        <v>1138</v>
      </c>
      <c r="BU276">
        <v>7</v>
      </c>
      <c r="BY276" t="s">
        <v>278</v>
      </c>
      <c r="BZ276" t="str">
        <f>VLOOKUP(J276,Eras!$A$2:$C$10, 2, TRUE)</f>
        <v>prv</v>
      </c>
      <c r="CA276" t="s">
        <v>327</v>
      </c>
      <c r="CB276" t="str">
        <f t="shared" si="300"/>
        <v>prv_DMU (Express)</v>
      </c>
      <c r="CC276" t="str">
        <f t="shared" si="304"/>
        <v>diesel_RAIL</v>
      </c>
      <c r="CD276" s="17" t="str" cm="1">
        <f t="array" ref="CD276">_xlfn.CONCAT("{BLACK}Length: {GOLD}", TEXT(ROUNDUP(IF(AQ276&lt;&gt;"",SUM(VALUE(_xlfn.TEXTSPLIT(AQ276, ","))), SUM(VALUE(_xlfn.TEXTSPLIT(AN276, ",")))*IF(M276, M276, 1))/16, 1), "#,##0.0"), " tiles{}")</f>
        <v>{BLACK}Length: {GOLD}4.4 tiles{}</v>
      </c>
      <c r="CG276" t="s">
        <v>1248</v>
      </c>
      <c r="CH276" t="str">
        <f t="shared" si="303"/>
        <v/>
      </c>
      <c r="CI276" t="str">
        <f t="shared" si="305"/>
        <v/>
      </c>
      <c r="CJ276" t="str">
        <f t="shared" si="306"/>
        <v>{BLACK}Length: {GOLD}4.4 tiles{}{SILVER}Unusually for a high speed unit, the Class 180 uses a diesel-hydraulic transmission. Unfortunately the units suffered reliability problems both before and after launch.</v>
      </c>
    </row>
    <row r="277" spans="1:88" x14ac:dyDescent="0.35">
      <c r="A277" t="s">
        <v>1245</v>
      </c>
      <c r="B277" t="s">
        <v>1290</v>
      </c>
      <c r="C277">
        <v>487</v>
      </c>
      <c r="E277">
        <v>163</v>
      </c>
      <c r="F277" t="s">
        <v>1498</v>
      </c>
      <c r="G277" t="s">
        <v>398</v>
      </c>
      <c r="H277" t="s">
        <v>268</v>
      </c>
      <c r="I277" t="s">
        <v>270</v>
      </c>
      <c r="J277">
        <v>2001</v>
      </c>
      <c r="M277">
        <v>4</v>
      </c>
      <c r="N277">
        <f>750*3</f>
        <v>2250</v>
      </c>
      <c r="W277">
        <v>203</v>
      </c>
      <c r="Y277">
        <v>4</v>
      </c>
      <c r="Z277">
        <v>190</v>
      </c>
      <c r="AA277" s="3">
        <f t="shared" si="290"/>
        <v>9.3596059113300489E-2</v>
      </c>
      <c r="AB277">
        <v>125</v>
      </c>
      <c r="AC277">
        <f t="shared" si="302"/>
        <v>200</v>
      </c>
      <c r="AF277">
        <v>23.71</v>
      </c>
      <c r="AG277">
        <v>23.71</v>
      </c>
      <c r="AJ277" s="10">
        <v>57</v>
      </c>
      <c r="AK277" t="str">
        <f>CONCATENATE(VLOOKUP(AL277, 'Voxel Sizes'!$A$2:$B$18,2,FALSE),"x",INT(AH277*15), "x", INT(AI277*15))</f>
        <v>238x0x0</v>
      </c>
      <c r="AL277">
        <f t="shared" si="291"/>
        <v>14</v>
      </c>
      <c r="AN277" t="str">
        <f>CONCATENATE(VLOOKUP(AL277,Constants!$A$2:$C$16,IF(AM277&lt;&gt;"", 3, 2), FALSE),IF(AM277&lt;&gt;"",CONCATENATE(",",VLOOKUP(AM277,$B:$AN,39,FALSE)),""))</f>
        <v>4,6,4</v>
      </c>
      <c r="AR277" t="s">
        <v>1291</v>
      </c>
      <c r="AT277" t="s">
        <v>1118</v>
      </c>
      <c r="AU277" t="s">
        <v>1246</v>
      </c>
      <c r="AX277">
        <v>22</v>
      </c>
      <c r="AY277" s="15" t="str">
        <f t="shared" si="292"/>
        <v/>
      </c>
      <c r="AZ277">
        <v>-8</v>
      </c>
      <c r="BA277">
        <v>-30</v>
      </c>
      <c r="BB277">
        <f t="shared" si="293"/>
        <v>25</v>
      </c>
      <c r="BC277">
        <f t="shared" si="294"/>
        <v>11.25</v>
      </c>
      <c r="BD277">
        <f t="shared" si="295"/>
        <v>9.5</v>
      </c>
      <c r="BE277" s="3">
        <f t="shared" si="296"/>
        <v>0.86533333333333329</v>
      </c>
      <c r="BF277">
        <f t="shared" si="297"/>
        <v>7.6</v>
      </c>
      <c r="BG277">
        <f>VLOOKUP($H277,Constants!$I:$K, 2, FALSE)</f>
        <v>1</v>
      </c>
      <c r="BH277">
        <f>VLOOKUP($H277,Constants!$I:$K, 3, FALSE)*IF(AND(G277="multiple_unit",AB277&lt;110),0.75,1)</f>
        <v>2</v>
      </c>
      <c r="BI277">
        <f>INT(POWER(((Constants!$G$2+$BB277+$BC277+$BD277+$BF277)*$BE277)*$BH277, 1.05))+$BA277</f>
        <v>97</v>
      </c>
      <c r="BJ277">
        <f>INT(POWER((((Constants!$G$1+$BB277+$BC277+$BD277+$BF277)*($BE277))*$BG277),IF($G277="wagon",1,1.2)))+$AZ277</f>
        <v>125</v>
      </c>
      <c r="BK277" s="14">
        <f t="shared" si="298"/>
        <v>75781.25</v>
      </c>
      <c r="BL277" s="14">
        <f t="shared" si="299"/>
        <v>10156.25</v>
      </c>
      <c r="BT277" t="s">
        <v>1140</v>
      </c>
      <c r="BU277">
        <v>7</v>
      </c>
      <c r="BY277" t="s">
        <v>278</v>
      </c>
      <c r="BZ277" t="str">
        <f>VLOOKUP(J277,Eras!$A$2:$C$10, 2, TRUE)</f>
        <v>prv</v>
      </c>
      <c r="CA277" t="s">
        <v>327</v>
      </c>
      <c r="CB277" t="str">
        <f t="shared" si="300"/>
        <v>prv_DMU (Express)</v>
      </c>
      <c r="CC277" t="str">
        <f t="shared" si="304"/>
        <v>diesel_RAIL</v>
      </c>
      <c r="CD277" s="17" t="str" cm="1">
        <f t="array" ref="CD277">_xlfn.CONCAT("{BLACK}Length: {GOLD}", TEXT(ROUNDUP(IF(AQ277&lt;&gt;"",SUM(VALUE(_xlfn.TEXTSPLIT(AQ277, ","))), SUM(VALUE(_xlfn.TEXTSPLIT(AN277, ",")))*IF(M277, M277, 1))/16, 1), "#,##0.0"), " tiles{}")</f>
        <v>{BLACK}Length: {GOLD}3.5 tiles{}</v>
      </c>
      <c r="CG277" t="s">
        <v>1248</v>
      </c>
      <c r="CH277" t="str">
        <f t="shared" si="303"/>
        <v/>
      </c>
      <c r="CI277" t="str">
        <f t="shared" si="305"/>
        <v/>
      </c>
      <c r="CJ277" t="str">
        <f t="shared" si="306"/>
        <v>{BLACK}Length: {GOLD}3.5 tiles{}{SILVER}Unusually for a high speed unit, the Class 180 uses a diesel-hydraulic transmission. Unfortunately the units suffered reliability problems both before and after launch.</v>
      </c>
    </row>
    <row r="278" spans="1:88" x14ac:dyDescent="0.35">
      <c r="A278" t="s">
        <v>570</v>
      </c>
      <c r="B278" t="s">
        <v>648</v>
      </c>
      <c r="C278">
        <v>488</v>
      </c>
      <c r="E278">
        <v>164</v>
      </c>
      <c r="F278" t="s">
        <v>1498</v>
      </c>
      <c r="G278" t="s">
        <v>398</v>
      </c>
      <c r="H278" t="s">
        <v>291</v>
      </c>
      <c r="I278" t="s">
        <v>292</v>
      </c>
      <c r="J278">
        <v>2002</v>
      </c>
      <c r="M278">
        <v>8</v>
      </c>
      <c r="N278">
        <v>6840</v>
      </c>
      <c r="W278">
        <v>466</v>
      </c>
      <c r="Y278">
        <v>4</v>
      </c>
      <c r="Z278">
        <v>325</v>
      </c>
      <c r="AA278" s="3">
        <f t="shared" si="290"/>
        <v>6.974248927038626E-2</v>
      </c>
      <c r="AB278">
        <v>140</v>
      </c>
      <c r="AC278">
        <f t="shared" si="302"/>
        <v>224</v>
      </c>
      <c r="AF278">
        <v>23.9</v>
      </c>
      <c r="AG278">
        <v>23.9</v>
      </c>
      <c r="AH278">
        <v>2.73</v>
      </c>
      <c r="AI278">
        <v>3.56</v>
      </c>
      <c r="AJ278" s="10">
        <v>60</v>
      </c>
      <c r="AK278" t="str">
        <f>CONCATENATE(VLOOKUP(AL278, 'Voxel Sizes'!$A$2:$B$18,2,FALSE),"x",INT(AH278*15), "x", INT(AI278*15))</f>
        <v>238x40x53</v>
      </c>
      <c r="AL278">
        <f t="shared" si="291"/>
        <v>14</v>
      </c>
      <c r="AN278" t="str">
        <f>CONCATENATE(VLOOKUP(AL278,Constants!$A$2:$C$16,IF(AM278&lt;&gt;"", 3, 2), FALSE),IF(AM278&lt;&gt;"",CONCATENATE(",",VLOOKUP(AM278,$B:$AN,39,FALSE)),""))</f>
        <v>4,6,4</v>
      </c>
      <c r="AR278" t="s">
        <v>647</v>
      </c>
      <c r="AT278" t="s">
        <v>650</v>
      </c>
      <c r="AX278">
        <v>29</v>
      </c>
      <c r="AY278" s="15" t="str">
        <f t="shared" si="292"/>
        <v/>
      </c>
      <c r="AZ278">
        <v>-15</v>
      </c>
      <c r="BA278">
        <v>-35</v>
      </c>
      <c r="BB278">
        <f t="shared" si="293"/>
        <v>28</v>
      </c>
      <c r="BC278">
        <f t="shared" si="294"/>
        <v>20</v>
      </c>
      <c r="BD278">
        <f t="shared" si="295"/>
        <v>16.25</v>
      </c>
      <c r="BE278" s="3">
        <f t="shared" si="296"/>
        <v>0.86399999999999999</v>
      </c>
      <c r="BF278">
        <f t="shared" si="297"/>
        <v>16</v>
      </c>
      <c r="BG278">
        <f>VLOOKUP($H278,Constants!$I:$K, 2, FALSE)</f>
        <v>0.85</v>
      </c>
      <c r="BH278">
        <f>VLOOKUP($H278,Constants!$I:$K, 3, FALSE)*IF(AND(G278="multiple_unit",AB278&lt;110),0.75,1)</f>
        <v>2.2999999999999998</v>
      </c>
      <c r="BI278">
        <f>INT(POWER(((Constants!$G$2+$BB278+$BC278+$BD278+$BF278)*$BE278)*$BH278, 1.05))+$BA278</f>
        <v>183</v>
      </c>
      <c r="BJ278">
        <f>INT(POWER((((Constants!$G$1+$BB278+$BC278+$BD278+$BF278)*($BE278))*$BG278),IF($G278="wagon",1,1.2)))+$AZ278</f>
        <v>148</v>
      </c>
      <c r="BK278" s="14">
        <f t="shared" si="298"/>
        <v>142968.75</v>
      </c>
      <c r="BL278" s="14">
        <f t="shared" si="299"/>
        <v>12025</v>
      </c>
      <c r="BP278">
        <v>1</v>
      </c>
      <c r="BT278" t="s">
        <v>1142</v>
      </c>
      <c r="BU278">
        <v>6</v>
      </c>
      <c r="BV278">
        <v>205</v>
      </c>
      <c r="BY278" t="s">
        <v>278</v>
      </c>
      <c r="BZ278" t="str">
        <f>VLOOKUP(J278,Eras!$A$2:$C$10, 2, TRUE)</f>
        <v>prv</v>
      </c>
      <c r="CA278" t="s">
        <v>329</v>
      </c>
      <c r="CB278" t="str">
        <f t="shared" si="300"/>
        <v>prv_EMU (Express)</v>
      </c>
      <c r="CC278" t="str">
        <f t="shared" si="304"/>
        <v>electric_ELRL</v>
      </c>
      <c r="CD278" s="17" t="str" cm="1">
        <f t="array" ref="CD278">_xlfn.CONCAT("{BLACK}Length: {GOLD}", TEXT(ROUNDUP(IF(AQ278&lt;&gt;"",SUM(VALUE(_xlfn.TEXTSPLIT(AQ278, ","))), SUM(VALUE(_xlfn.TEXTSPLIT(AN278, ",")))*IF(M278, M278, 1))/16, 1), "#,##0.0"), " tiles{}")</f>
        <v>{BLACK}Length: {GOLD}7.0 tiles{}</v>
      </c>
      <c r="CE278" t="str">
        <f>VLOOKUP($CC278, Constants!$M:$N, 2, FALSE)</f>
        <v>{BLACK}Powered by: {GOLD}25kV AC</v>
      </c>
      <c r="CF278" t="str">
        <f t="shared" ref="CF278:CF288" si="307">IF(M278&gt;1,_xlfn.CONCAT("{BLACK}Cars: {GOLD}", M278),"")</f>
        <v>{BLACK}Cars: {GOLD}8</v>
      </c>
      <c r="CG278" t="s">
        <v>649</v>
      </c>
      <c r="CH278" t="str">
        <f t="shared" si="303"/>
        <v/>
      </c>
      <c r="CI278" t="str">
        <f t="shared" si="305"/>
        <v>{YELLOW}10% bonus for long distance travel{}</v>
      </c>
      <c r="CJ278" t="str">
        <f t="shared" si="306"/>
        <v>{BLACK}Powered by: {GOLD}25kV AC {BLACK}Cars: {GOLD}8{}{BLACK}Length: {GOLD}7.0 tiles{}{YELLOW}10% bonus for long distance travel{}{SILVER}The Pendolino is a tilting multiple unit with a design speed of 140mph.  The tilt system is supplied by Fiat Ferroviaria.</v>
      </c>
    </row>
    <row r="279" spans="1:88" x14ac:dyDescent="0.35">
      <c r="A279" t="s">
        <v>570</v>
      </c>
      <c r="B279" t="s">
        <v>1120</v>
      </c>
      <c r="C279">
        <v>489</v>
      </c>
      <c r="E279">
        <v>165</v>
      </c>
      <c r="F279" t="s">
        <v>1498</v>
      </c>
      <c r="G279" t="s">
        <v>398</v>
      </c>
      <c r="H279" t="s">
        <v>291</v>
      </c>
      <c r="I279" t="s">
        <v>292</v>
      </c>
      <c r="J279">
        <v>2002</v>
      </c>
      <c r="M279">
        <v>6</v>
      </c>
      <c r="N279">
        <v>6840</v>
      </c>
      <c r="W279">
        <f>(466/8)*6</f>
        <v>349.5</v>
      </c>
      <c r="Y279">
        <v>4</v>
      </c>
      <c r="Z279">
        <v>325</v>
      </c>
      <c r="AA279" s="3">
        <f t="shared" si="290"/>
        <v>9.2989985693848351E-2</v>
      </c>
      <c r="AB279">
        <v>140</v>
      </c>
      <c r="AC279">
        <f t="shared" si="302"/>
        <v>224</v>
      </c>
      <c r="AF279">
        <v>23.9</v>
      </c>
      <c r="AG279">
        <v>23.9</v>
      </c>
      <c r="AH279">
        <v>2.73</v>
      </c>
      <c r="AI279">
        <v>3.56</v>
      </c>
      <c r="AJ279" s="10">
        <v>60</v>
      </c>
      <c r="AK279" t="str">
        <f>CONCATENATE(VLOOKUP(AL279, 'Voxel Sizes'!$A$2:$B$18,2,FALSE),"x",INT(AH279*15), "x", INT(AI279*15))</f>
        <v>238x40x53</v>
      </c>
      <c r="AL279">
        <f t="shared" si="291"/>
        <v>14</v>
      </c>
      <c r="AN279" t="str">
        <f>CONCATENATE(VLOOKUP(AL279,Constants!$A$2:$C$16,IF(AM279&lt;&gt;"", 3, 2), FALSE),IF(AM279&lt;&gt;"",CONCATENATE(",",VLOOKUP(AM279,$B:$AN,39,FALSE)),""))</f>
        <v>4,6,4</v>
      </c>
      <c r="AR279" t="s">
        <v>1121</v>
      </c>
      <c r="AT279" t="s">
        <v>1122</v>
      </c>
      <c r="AU279" t="s">
        <v>648</v>
      </c>
      <c r="AX279">
        <v>29</v>
      </c>
      <c r="AY279" s="15" t="str">
        <f t="shared" si="292"/>
        <v/>
      </c>
      <c r="AZ279">
        <v>-15</v>
      </c>
      <c r="BA279">
        <v>-35</v>
      </c>
      <c r="BB279">
        <f t="shared" si="293"/>
        <v>28</v>
      </c>
      <c r="BC279">
        <f t="shared" si="294"/>
        <v>20</v>
      </c>
      <c r="BD279">
        <f t="shared" si="295"/>
        <v>16.25</v>
      </c>
      <c r="BE279" s="3">
        <f t="shared" si="296"/>
        <v>0.86399999999999999</v>
      </c>
      <c r="BF279">
        <f t="shared" si="297"/>
        <v>12.000000000000002</v>
      </c>
      <c r="BG279">
        <f>VLOOKUP($H279,Constants!$I:$K, 2, FALSE)</f>
        <v>0.85</v>
      </c>
      <c r="BH279">
        <f>VLOOKUP($H279,Constants!$I:$K, 3, FALSE)*IF(AND(G279="multiple_unit",AB279&lt;110),0.75,1)</f>
        <v>2.2999999999999998</v>
      </c>
      <c r="BI279">
        <f>INT(POWER(((Constants!$G$2+$BB279+$BC279+$BD279+$BF279)*$BE279)*$BH279, 1.05))+$BA279</f>
        <v>173</v>
      </c>
      <c r="BJ279">
        <f>INT(POWER((((Constants!$G$1+$BB279+$BC279+$BD279+$BF279)*($BE279))*$BG279),IF($G279="wagon",1,1.2)))+$AZ279</f>
        <v>140</v>
      </c>
      <c r="BK279" s="14">
        <f t="shared" si="298"/>
        <v>135156.25</v>
      </c>
      <c r="BL279" s="14">
        <f t="shared" si="299"/>
        <v>11375</v>
      </c>
      <c r="BP279">
        <v>1</v>
      </c>
      <c r="BT279" t="s">
        <v>1141</v>
      </c>
      <c r="BU279">
        <v>6</v>
      </c>
      <c r="BV279">
        <v>205</v>
      </c>
      <c r="BY279" t="s">
        <v>278</v>
      </c>
      <c r="BZ279" t="str">
        <f>VLOOKUP(J279,Eras!$A$2:$C$10, 2, TRUE)</f>
        <v>prv</v>
      </c>
      <c r="CA279" t="s">
        <v>329</v>
      </c>
      <c r="CB279" t="str">
        <f t="shared" si="300"/>
        <v>prv_EMU (Express)</v>
      </c>
      <c r="CC279" t="str">
        <f t="shared" si="304"/>
        <v>electric_ELRL</v>
      </c>
      <c r="CD279" s="17" t="str" cm="1">
        <f t="array" ref="CD279">_xlfn.CONCAT("{BLACK}Length: {GOLD}", TEXT(ROUNDUP(IF(AQ279&lt;&gt;"",SUM(VALUE(_xlfn.TEXTSPLIT(AQ279, ","))), SUM(VALUE(_xlfn.TEXTSPLIT(AN279, ",")))*IF(M279, M279, 1))/16, 1), "#,##0.0"), " tiles{}")</f>
        <v>{BLACK}Length: {GOLD}5.3 tiles{}</v>
      </c>
      <c r="CE279" t="str">
        <f>VLOOKUP($CC279, Constants!$M:$N, 2, FALSE)</f>
        <v>{BLACK}Powered by: {GOLD}25kV AC</v>
      </c>
      <c r="CF279" t="str">
        <f t="shared" si="307"/>
        <v>{BLACK}Cars: {GOLD}6</v>
      </c>
      <c r="CG279" t="s">
        <v>649</v>
      </c>
      <c r="CH279" t="str">
        <f t="shared" si="303"/>
        <v/>
      </c>
      <c r="CI279" t="str">
        <f t="shared" si="305"/>
        <v>{YELLOW}10% bonus for long distance travel{}</v>
      </c>
      <c r="CJ279" t="str">
        <f t="shared" si="306"/>
        <v>{BLACK}Powered by: {GOLD}25kV AC {BLACK}Cars: {GOLD}6{}{BLACK}Length: {GOLD}5.3 tiles{}{YELLOW}10% bonus for long distance travel{}{SILVER}The Pendolino is a tilting multiple unit with a design speed of 140mph.  The tilt system is supplied by Fiat Ferroviaria.</v>
      </c>
    </row>
    <row r="280" spans="1:88" x14ac:dyDescent="0.35">
      <c r="A280" t="s">
        <v>570</v>
      </c>
      <c r="B280" t="s">
        <v>1135</v>
      </c>
      <c r="C280">
        <v>490</v>
      </c>
      <c r="E280">
        <v>166</v>
      </c>
      <c r="F280" t="s">
        <v>1498</v>
      </c>
      <c r="G280" t="s">
        <v>398</v>
      </c>
      <c r="H280" t="s">
        <v>291</v>
      </c>
      <c r="I280" t="s">
        <v>292</v>
      </c>
      <c r="J280">
        <v>2002</v>
      </c>
      <c r="M280">
        <v>4</v>
      </c>
      <c r="N280">
        <v>6840</v>
      </c>
      <c r="W280">
        <f>(466/8)*4</f>
        <v>233</v>
      </c>
      <c r="Y280">
        <v>4</v>
      </c>
      <c r="Z280">
        <v>325</v>
      </c>
      <c r="AA280" s="3">
        <f t="shared" si="290"/>
        <v>0.13948497854077252</v>
      </c>
      <c r="AB280">
        <v>140</v>
      </c>
      <c r="AC280">
        <f t="shared" si="302"/>
        <v>224</v>
      </c>
      <c r="AF280">
        <v>23.9</v>
      </c>
      <c r="AG280">
        <v>23.9</v>
      </c>
      <c r="AH280">
        <v>2.73</v>
      </c>
      <c r="AI280">
        <v>3.56</v>
      </c>
      <c r="AJ280" s="10">
        <v>60</v>
      </c>
      <c r="AK280" t="str">
        <f>CONCATENATE(VLOOKUP(AL280, 'Voxel Sizes'!$A$2:$B$18,2,FALSE),"x",INT(AH280*15), "x", INT(AI280*15))</f>
        <v>238x40x53</v>
      </c>
      <c r="AL280">
        <f t="shared" si="291"/>
        <v>14</v>
      </c>
      <c r="AN280" t="str">
        <f>CONCATENATE(VLOOKUP(AL280,Constants!$A$2:$C$16,IF(AM280&lt;&gt;"", 3, 2), FALSE),IF(AM280&lt;&gt;"",CONCATENATE(",",VLOOKUP(AM280,$B:$AN,39,FALSE)),""))</f>
        <v>4,6,4</v>
      </c>
      <c r="AR280" t="s">
        <v>1136</v>
      </c>
      <c r="AT280" t="s">
        <v>1118</v>
      </c>
      <c r="AU280" t="s">
        <v>648</v>
      </c>
      <c r="AX280">
        <v>29</v>
      </c>
      <c r="AY280" s="15" t="str">
        <f t="shared" si="292"/>
        <v/>
      </c>
      <c r="AZ280">
        <v>-15</v>
      </c>
      <c r="BA280">
        <v>-35</v>
      </c>
      <c r="BB280">
        <f t="shared" si="293"/>
        <v>28</v>
      </c>
      <c r="BC280">
        <f t="shared" si="294"/>
        <v>20</v>
      </c>
      <c r="BD280">
        <f t="shared" si="295"/>
        <v>16.25</v>
      </c>
      <c r="BE280" s="3">
        <f t="shared" si="296"/>
        <v>0.86399999999999999</v>
      </c>
      <c r="BF280">
        <f t="shared" si="297"/>
        <v>8</v>
      </c>
      <c r="BG280">
        <f>VLOOKUP($H280,Constants!$I:$K, 2, FALSE)</f>
        <v>0.85</v>
      </c>
      <c r="BH280">
        <f>VLOOKUP($H280,Constants!$I:$K, 3, FALSE)*IF(AND(G280="multiple_unit",AB280&lt;110),0.75,1)</f>
        <v>2.2999999999999998</v>
      </c>
      <c r="BI280">
        <f>INT(POWER(((Constants!$G$2+$BB280+$BC280+$BD280+$BF280)*$BE280)*$BH280, 1.05))+$BA280</f>
        <v>162</v>
      </c>
      <c r="BJ280">
        <f>INT(POWER((((Constants!$G$1+$BB280+$BC280+$BD280+$BF280)*($BE280))*$BG280),IF($G280="wagon",1,1.2)))+$AZ280</f>
        <v>132</v>
      </c>
      <c r="BK280" s="14">
        <f t="shared" si="298"/>
        <v>126562.5</v>
      </c>
      <c r="BL280" s="14">
        <f t="shared" si="299"/>
        <v>10725</v>
      </c>
      <c r="BP280">
        <v>1</v>
      </c>
      <c r="BT280" t="s">
        <v>1140</v>
      </c>
      <c r="BU280">
        <v>6</v>
      </c>
      <c r="BV280">
        <v>205</v>
      </c>
      <c r="BY280" t="s">
        <v>278</v>
      </c>
      <c r="BZ280" t="str">
        <f>VLOOKUP(J280,Eras!$A$2:$C$10, 2, TRUE)</f>
        <v>prv</v>
      </c>
      <c r="CA280" t="s">
        <v>329</v>
      </c>
      <c r="CB280" t="str">
        <f t="shared" si="300"/>
        <v>prv_EMU (Express)</v>
      </c>
      <c r="CC280" t="str">
        <f t="shared" si="304"/>
        <v>electric_ELRL</v>
      </c>
      <c r="CD280" s="17" t="str" cm="1">
        <f t="array" ref="CD280">_xlfn.CONCAT("{BLACK}Length: {GOLD}", TEXT(ROUNDUP(IF(AQ280&lt;&gt;"",SUM(VALUE(_xlfn.TEXTSPLIT(AQ280, ","))), SUM(VALUE(_xlfn.TEXTSPLIT(AN280, ",")))*IF(M280, M280, 1))/16, 1), "#,##0.0"), " tiles{}")</f>
        <v>{BLACK}Length: {GOLD}3.5 tiles{}</v>
      </c>
      <c r="CE280" t="str">
        <f>VLOOKUP($CC280, Constants!$M:$N, 2, FALSE)</f>
        <v>{BLACK}Powered by: {GOLD}25kV AC</v>
      </c>
      <c r="CF280" t="str">
        <f t="shared" si="307"/>
        <v>{BLACK}Cars: {GOLD}4</v>
      </c>
      <c r="CG280" t="s">
        <v>649</v>
      </c>
      <c r="CH280" t="str">
        <f t="shared" si="303"/>
        <v/>
      </c>
      <c r="CI280" t="str">
        <f t="shared" si="305"/>
        <v>{YELLOW}10% bonus for long distance travel{}</v>
      </c>
      <c r="CJ280" t="str">
        <f t="shared" si="306"/>
        <v>{BLACK}Powered by: {GOLD}25kV AC {BLACK}Cars: {GOLD}4{}{BLACK}Length: {GOLD}3.5 tiles{}{YELLOW}10% bonus for long distance travel{}{SILVER}The Pendolino is a tilting multiple unit with a design speed of 140mph.  The tilt system is supplied by Fiat Ferroviaria.</v>
      </c>
    </row>
    <row r="281" spans="1:88" x14ac:dyDescent="0.35">
      <c r="A281" t="s">
        <v>92</v>
      </c>
      <c r="B281" t="s">
        <v>218</v>
      </c>
      <c r="C281">
        <v>492</v>
      </c>
      <c r="E281">
        <v>167</v>
      </c>
      <c r="F281" t="s">
        <v>1498</v>
      </c>
      <c r="G281" t="s">
        <v>398</v>
      </c>
      <c r="H281" t="s">
        <v>268</v>
      </c>
      <c r="I281" t="s">
        <v>270</v>
      </c>
      <c r="J281">
        <v>2002</v>
      </c>
      <c r="M281">
        <v>4</v>
      </c>
      <c r="N281">
        <v>3000</v>
      </c>
      <c r="W281">
        <v>185.6</v>
      </c>
      <c r="Y281">
        <v>5</v>
      </c>
      <c r="Z281">
        <v>185</v>
      </c>
      <c r="AA281" s="3">
        <f t="shared" si="290"/>
        <v>9.9676724137931036E-2</v>
      </c>
      <c r="AB281">
        <v>125</v>
      </c>
      <c r="AC281">
        <f t="shared" si="302"/>
        <v>200</v>
      </c>
      <c r="AF281">
        <v>23.8</v>
      </c>
      <c r="AG281">
        <v>23.8</v>
      </c>
      <c r="AH281">
        <v>2.73</v>
      </c>
      <c r="AJ281" s="10">
        <v>51</v>
      </c>
      <c r="AK281" t="str">
        <f>CONCATENATE(VLOOKUP(AL281, 'Voxel Sizes'!$A$2:$B$18,2,FALSE),"x",INT(AH281*15), "x", INT(AI281*15))</f>
        <v>238x40x0</v>
      </c>
      <c r="AL281">
        <f t="shared" si="291"/>
        <v>14</v>
      </c>
      <c r="AN281" t="str">
        <f>CONCATENATE(VLOOKUP(AL281,Constants!$A$2:$C$16,IF(AM281&lt;&gt;"", 3, 2), FALSE),IF(AM281&lt;&gt;"",CONCATENATE(",",VLOOKUP(AM281,$B:$AN,39,FALSE)),""))</f>
        <v>4,6,4</v>
      </c>
      <c r="AR281" t="s">
        <v>654</v>
      </c>
      <c r="AT281" t="s">
        <v>459</v>
      </c>
      <c r="AX281">
        <v>29</v>
      </c>
      <c r="AY281" s="15" t="str">
        <f t="shared" si="292"/>
        <v/>
      </c>
      <c r="AZ281">
        <v>-15</v>
      </c>
      <c r="BA281">
        <v>-35</v>
      </c>
      <c r="BB281">
        <f t="shared" si="293"/>
        <v>25</v>
      </c>
      <c r="BC281">
        <f t="shared" si="294"/>
        <v>15</v>
      </c>
      <c r="BD281">
        <f t="shared" si="295"/>
        <v>9.25</v>
      </c>
      <c r="BE281" s="3">
        <f t="shared" si="296"/>
        <v>0.86399999999999999</v>
      </c>
      <c r="BF281">
        <f t="shared" si="297"/>
        <v>6.8000000000000007</v>
      </c>
      <c r="BG281">
        <f>VLOOKUP($H281,Constants!$I:$K, 2, FALSE)</f>
        <v>1</v>
      </c>
      <c r="BH281">
        <f>VLOOKUP($H281,Constants!$I:$K, 3, FALSE)*IF(AND(G281="multiple_unit",AB281&lt;110),0.75,1)</f>
        <v>2</v>
      </c>
      <c r="BI281">
        <f>INT(POWER(((Constants!$G$2+$BB281+$BC281+$BD281+$BF281)*$BE281)*$BH281, 1.05))+$BA281</f>
        <v>98</v>
      </c>
      <c r="BJ281">
        <f>INT(POWER((((Constants!$G$1+$BB281+$BC281+$BD281+$BF281)*($BE281))*$BG281),IF($G281="wagon",1,1.2)))+$AZ281</f>
        <v>124</v>
      </c>
      <c r="BK281" s="14">
        <f t="shared" si="298"/>
        <v>76562.5</v>
      </c>
      <c r="BL281" s="14">
        <f t="shared" si="299"/>
        <v>10075</v>
      </c>
      <c r="BU281">
        <v>9</v>
      </c>
      <c r="BV281">
        <v>205</v>
      </c>
      <c r="BY281" t="s">
        <v>278</v>
      </c>
      <c r="BZ281" t="str">
        <f>VLOOKUP(J281,Eras!$A$2:$C$10, 2, TRUE)</f>
        <v>prv</v>
      </c>
      <c r="CA281" t="s">
        <v>327</v>
      </c>
      <c r="CB281" t="str">
        <f t="shared" si="300"/>
        <v>prv_DMU (Express)</v>
      </c>
      <c r="CC281" t="str">
        <f t="shared" si="304"/>
        <v>diesel_RAIL</v>
      </c>
      <c r="CD281" s="17" t="str" cm="1">
        <f t="array" ref="CD281">_xlfn.CONCAT("{BLACK}Length: {GOLD}", TEXT(ROUNDUP(IF(AQ281&lt;&gt;"",SUM(VALUE(_xlfn.TEXTSPLIT(AQ281, ","))), SUM(VALUE(_xlfn.TEXTSPLIT(AN281, ",")))*IF(M281, M281, 1))/16, 1), "#,##0.0"), " tiles{}")</f>
        <v>{BLACK}Length: {GOLD}3.5 tiles{}</v>
      </c>
      <c r="CE281" t="str">
        <f>VLOOKUP($CC281, Constants!$M:$N, 2, FALSE)</f>
        <v>{BLACK}Powered by: {GOLD}Diesel</v>
      </c>
      <c r="CF281" t="str">
        <f t="shared" si="307"/>
        <v>{BLACK}Cars: {GOLD}4</v>
      </c>
      <c r="CG281" t="s">
        <v>652</v>
      </c>
      <c r="CH281" t="str">
        <f t="shared" si="303"/>
        <v/>
      </c>
      <c r="CI281" t="str">
        <f t="shared" si="305"/>
        <v>{YELLOW}10% bonus for long distance travel{}</v>
      </c>
      <c r="CJ281" t="str">
        <f t="shared" si="306"/>
        <v>{BLACK}Powered by: {GOLD}Diesel {BLACK}Cars: {GOLD}4{}{BLACK}Length: {GOLD}3.5 tiles{}{YELLOW}10% bonus for long distance travel{}{SILVER}The Voyager is a high speed diesel multiple unit, built to replace both the HST and locomotive-hauled passenger services on the Cross Country route.</v>
      </c>
    </row>
    <row r="282" spans="1:88" x14ac:dyDescent="0.35">
      <c r="A282" t="s">
        <v>93</v>
      </c>
      <c r="B282" t="s">
        <v>217</v>
      </c>
      <c r="C282">
        <v>494</v>
      </c>
      <c r="E282">
        <v>168</v>
      </c>
      <c r="F282" t="s">
        <v>1498</v>
      </c>
      <c r="G282" t="s">
        <v>398</v>
      </c>
      <c r="H282" t="s">
        <v>268</v>
      </c>
      <c r="I282" t="s">
        <v>270</v>
      </c>
      <c r="J282">
        <v>2002</v>
      </c>
      <c r="M282">
        <v>5</v>
      </c>
      <c r="N282">
        <f>750*5</f>
        <v>3750</v>
      </c>
      <c r="W282">
        <v>282</v>
      </c>
      <c r="Y282">
        <v>5</v>
      </c>
      <c r="Z282">
        <v>270</v>
      </c>
      <c r="AA282" s="3">
        <f t="shared" si="290"/>
        <v>9.5744680851063829E-2</v>
      </c>
      <c r="AB282">
        <v>125</v>
      </c>
      <c r="AC282">
        <f t="shared" si="302"/>
        <v>200</v>
      </c>
      <c r="AF282">
        <v>23.8</v>
      </c>
      <c r="AG282">
        <v>23.8</v>
      </c>
      <c r="AH282">
        <v>2.73</v>
      </c>
      <c r="AJ282" s="10">
        <v>51</v>
      </c>
      <c r="AK282" t="str">
        <f>CONCATENATE(VLOOKUP(AL282, 'Voxel Sizes'!$A$2:$B$18,2,FALSE),"x",INT(AH282*15), "x", INT(AI282*15))</f>
        <v>238x40x0</v>
      </c>
      <c r="AL282">
        <f t="shared" si="291"/>
        <v>14</v>
      </c>
      <c r="AN282" t="str">
        <f>CONCATENATE(VLOOKUP(AL282,Constants!$A$2:$C$16,IF(AM282&lt;&gt;"", 3, 2), FALSE),IF(AM282&lt;&gt;"",CONCATENATE(",",VLOOKUP(AM282,$B:$AN,39,FALSE)),""))</f>
        <v>4,6,4</v>
      </c>
      <c r="AR282" t="s">
        <v>655</v>
      </c>
      <c r="AT282" t="s">
        <v>656</v>
      </c>
      <c r="AU282" t="s">
        <v>218</v>
      </c>
      <c r="AX282">
        <v>29</v>
      </c>
      <c r="AY282" s="15" t="str">
        <f t="shared" si="292"/>
        <v/>
      </c>
      <c r="AZ282">
        <v>-15</v>
      </c>
      <c r="BA282">
        <v>-35</v>
      </c>
      <c r="BB282">
        <f t="shared" si="293"/>
        <v>25</v>
      </c>
      <c r="BC282">
        <f t="shared" si="294"/>
        <v>18.75</v>
      </c>
      <c r="BD282">
        <f t="shared" si="295"/>
        <v>13.5</v>
      </c>
      <c r="BE282" s="3">
        <f t="shared" si="296"/>
        <v>0.86399999999999999</v>
      </c>
      <c r="BF282">
        <f t="shared" si="297"/>
        <v>8.5</v>
      </c>
      <c r="BG282">
        <f>VLOOKUP($H282,Constants!$I:$K, 2, FALSE)</f>
        <v>1</v>
      </c>
      <c r="BH282">
        <f>VLOOKUP($H282,Constants!$I:$K, 3, FALSE)*IF(AND(G282="multiple_unit",AB282&lt;110),0.75,1)</f>
        <v>2</v>
      </c>
      <c r="BI282">
        <f>INT(POWER(((Constants!$G$2+$BB282+$BC282+$BD282+$BF282)*$BE282)*$BH282, 1.05))+$BA282</f>
        <v>120</v>
      </c>
      <c r="BJ282">
        <f>INT(POWER((((Constants!$G$1+$BB282+$BC282+$BD282+$BF282)*($BE282))*$BG282),IF($G282="wagon",1,1.2)))+$AZ282</f>
        <v>148</v>
      </c>
      <c r="BK282" s="14">
        <f t="shared" si="298"/>
        <v>93750</v>
      </c>
      <c r="BL282" s="14">
        <f t="shared" si="299"/>
        <v>12025</v>
      </c>
      <c r="BP282">
        <v>1</v>
      </c>
      <c r="BT282" t="s">
        <v>1138</v>
      </c>
      <c r="BU282">
        <v>10</v>
      </c>
      <c r="BV282">
        <v>205</v>
      </c>
      <c r="BY282" t="s">
        <v>278</v>
      </c>
      <c r="BZ282" t="str">
        <f>VLOOKUP(J282,Eras!$A$2:$C$10, 2, TRUE)</f>
        <v>prv</v>
      </c>
      <c r="CA282" t="s">
        <v>327</v>
      </c>
      <c r="CB282" t="str">
        <f t="shared" si="300"/>
        <v>prv_DMU (Express)</v>
      </c>
      <c r="CC282" t="str">
        <f t="shared" si="304"/>
        <v>diesel_RAIL</v>
      </c>
      <c r="CD282" s="17" t="str" cm="1">
        <f t="array" ref="CD282">_xlfn.CONCAT("{BLACK}Length: {GOLD}", TEXT(ROUNDUP(IF(AQ282&lt;&gt;"",SUM(VALUE(_xlfn.TEXTSPLIT(AQ282, ","))), SUM(VALUE(_xlfn.TEXTSPLIT(AN282, ",")))*IF(M282, M282, 1))/16, 1), "#,##0.0"), " tiles{}")</f>
        <v>{BLACK}Length: {GOLD}4.4 tiles{}</v>
      </c>
      <c r="CE282" t="str">
        <f>VLOOKUP($CC282, Constants!$M:$N, 2, FALSE)</f>
        <v>{BLACK}Powered by: {GOLD}Diesel</v>
      </c>
      <c r="CF282" t="str">
        <f t="shared" si="307"/>
        <v>{BLACK}Cars: {GOLD}5</v>
      </c>
      <c r="CG282" t="s">
        <v>653</v>
      </c>
      <c r="CH282" t="str">
        <f t="shared" si="303"/>
        <v/>
      </c>
      <c r="CI282" t="str">
        <f t="shared" si="305"/>
        <v>{YELLOW}10% bonus for long distance travel{}</v>
      </c>
      <c r="CJ282" t="str">
        <f t="shared" si="306"/>
        <v>{BLACK}Powered by: {GOLD}Diesel {BLACK}Cars: {GOLD}5{}{BLACK}Length: {GOLD}4.4 tiles{}{YELLOW}10% bonus for long distance travel{}{SILVER}The Class 221 is outwardly very similar to the Class 220, but internally it has different bogies and features a tilt mechanism for faster cornering.</v>
      </c>
    </row>
    <row r="283" spans="1:88" x14ac:dyDescent="0.35">
      <c r="A283" t="s">
        <v>93</v>
      </c>
      <c r="B283" t="s">
        <v>1128</v>
      </c>
      <c r="C283">
        <v>495</v>
      </c>
      <c r="E283">
        <v>169</v>
      </c>
      <c r="F283" t="s">
        <v>1498</v>
      </c>
      <c r="G283" t="s">
        <v>398</v>
      </c>
      <c r="H283" t="s">
        <v>268</v>
      </c>
      <c r="I283" t="s">
        <v>270</v>
      </c>
      <c r="J283">
        <v>2002</v>
      </c>
      <c r="M283">
        <v>4</v>
      </c>
      <c r="N283">
        <f>750*5</f>
        <v>3750</v>
      </c>
      <c r="W283">
        <f>282/5*4</f>
        <v>225.6</v>
      </c>
      <c r="Y283">
        <v>5</v>
      </c>
      <c r="Z283">
        <v>270</v>
      </c>
      <c r="AA283" s="3">
        <f t="shared" si="290"/>
        <v>0.11968085106382979</v>
      </c>
      <c r="AB283">
        <v>125</v>
      </c>
      <c r="AC283">
        <f t="shared" si="302"/>
        <v>200</v>
      </c>
      <c r="AF283">
        <v>23.8</v>
      </c>
      <c r="AG283">
        <v>23.8</v>
      </c>
      <c r="AH283">
        <v>2.73</v>
      </c>
      <c r="AJ283" s="10">
        <v>51</v>
      </c>
      <c r="AK283" t="str">
        <f>CONCATENATE(VLOOKUP(AL283, 'Voxel Sizes'!$A$2:$B$18,2,FALSE),"x",INT(AH283*15), "x", INT(AI283*15))</f>
        <v>238x40x0</v>
      </c>
      <c r="AL283">
        <f t="shared" si="291"/>
        <v>14</v>
      </c>
      <c r="AN283" t="str">
        <f>CONCATENATE(VLOOKUP(AL283,Constants!$A$2:$C$16,IF(AM283&lt;&gt;"", 3, 2), FALSE),IF(AM283&lt;&gt;"",CONCATENATE(",",VLOOKUP(AM283,$B:$AN,39,FALSE)),""))</f>
        <v>4,6,4</v>
      </c>
      <c r="AR283" t="s">
        <v>654</v>
      </c>
      <c r="AT283" t="s">
        <v>1118</v>
      </c>
      <c r="AU283" t="s">
        <v>218</v>
      </c>
      <c r="AX283">
        <v>29</v>
      </c>
      <c r="AY283" s="15" t="str">
        <f t="shared" si="292"/>
        <v/>
      </c>
      <c r="AZ283">
        <v>-15</v>
      </c>
      <c r="BA283">
        <v>-35</v>
      </c>
      <c r="BB283">
        <f t="shared" si="293"/>
        <v>25</v>
      </c>
      <c r="BC283">
        <f t="shared" si="294"/>
        <v>18.75</v>
      </c>
      <c r="BD283">
        <f t="shared" si="295"/>
        <v>13.5</v>
      </c>
      <c r="BE283" s="3">
        <f t="shared" si="296"/>
        <v>0.86399999999999999</v>
      </c>
      <c r="BF283">
        <f t="shared" si="297"/>
        <v>6.8000000000000007</v>
      </c>
      <c r="BG283">
        <f>VLOOKUP($H283,Constants!$I:$K, 2, FALSE)</f>
        <v>1</v>
      </c>
      <c r="BH283">
        <f>VLOOKUP($H283,Constants!$I:$K, 3, FALSE)*IF(AND(G283="multiple_unit",AB283&lt;110),0.75,1)</f>
        <v>2</v>
      </c>
      <c r="BI283">
        <f>INT(POWER(((Constants!$G$2+$BB283+$BC283+$BD283+$BF283)*$BE283)*$BH283, 1.05))+$BA283</f>
        <v>116</v>
      </c>
      <c r="BJ283">
        <f>INT(POWER((((Constants!$G$1+$BB283+$BC283+$BD283+$BF283)*($BE283))*$BG283),IF($G283="wagon",1,1.2)))+$AZ283</f>
        <v>143</v>
      </c>
      <c r="BK283" s="14">
        <f t="shared" si="298"/>
        <v>90625</v>
      </c>
      <c r="BL283" s="14">
        <f t="shared" si="299"/>
        <v>11618.75</v>
      </c>
      <c r="BP283">
        <v>1</v>
      </c>
      <c r="BT283" t="s">
        <v>1140</v>
      </c>
      <c r="BU283">
        <v>10</v>
      </c>
      <c r="BV283">
        <v>205</v>
      </c>
      <c r="BY283" t="s">
        <v>278</v>
      </c>
      <c r="BZ283" t="str">
        <f>VLOOKUP(J283,Eras!$A$2:$C$10, 2, TRUE)</f>
        <v>prv</v>
      </c>
      <c r="CA283" t="s">
        <v>327</v>
      </c>
      <c r="CB283" t="str">
        <f t="shared" si="300"/>
        <v>prv_DMU (Express)</v>
      </c>
      <c r="CC283" t="str">
        <f t="shared" si="304"/>
        <v>diesel_RAIL</v>
      </c>
      <c r="CD283" s="17" t="str" cm="1">
        <f t="array" ref="CD283">_xlfn.CONCAT("{BLACK}Length: {GOLD}", TEXT(ROUNDUP(IF(AQ283&lt;&gt;"",SUM(VALUE(_xlfn.TEXTSPLIT(AQ283, ","))), SUM(VALUE(_xlfn.TEXTSPLIT(AN283, ",")))*IF(M283, M283, 1))/16, 1), "#,##0.0"), " tiles{}")</f>
        <v>{BLACK}Length: {GOLD}3.5 tiles{}</v>
      </c>
      <c r="CE283" t="str">
        <f>VLOOKUP($CC283, Constants!$M:$N, 2, FALSE)</f>
        <v>{BLACK}Powered by: {GOLD}Diesel</v>
      </c>
      <c r="CF283" t="str">
        <f t="shared" si="307"/>
        <v>{BLACK}Cars: {GOLD}4</v>
      </c>
      <c r="CG283" t="s">
        <v>653</v>
      </c>
      <c r="CH283" t="str">
        <f t="shared" si="303"/>
        <v/>
      </c>
      <c r="CI283" t="str">
        <f t="shared" si="305"/>
        <v>{YELLOW}10% bonus for long distance travel{}</v>
      </c>
      <c r="CJ283" t="str">
        <f t="shared" si="306"/>
        <v>{BLACK}Powered by: {GOLD}Diesel {BLACK}Cars: {GOLD}4{}{BLACK}Length: {GOLD}3.5 tiles{}{YELLOW}10% bonus for long distance travel{}{SILVER}The Class 221 is outwardly very similar to the Class 220, but internally it has different bogies and features a tilt mechanism for faster cornering.</v>
      </c>
    </row>
    <row r="284" spans="1:88" x14ac:dyDescent="0.35">
      <c r="A284" t="s">
        <v>1220</v>
      </c>
      <c r="B284" t="s">
        <v>1218</v>
      </c>
      <c r="C284">
        <v>496</v>
      </c>
      <c r="E284">
        <v>170</v>
      </c>
      <c r="F284" t="s">
        <v>1498</v>
      </c>
      <c r="G284" t="s">
        <v>398</v>
      </c>
      <c r="H284" t="s">
        <v>291</v>
      </c>
      <c r="I284" t="s">
        <v>292</v>
      </c>
      <c r="J284">
        <v>2002</v>
      </c>
      <c r="K284">
        <v>2006</v>
      </c>
      <c r="M284">
        <v>4</v>
      </c>
      <c r="N284">
        <v>2080</v>
      </c>
      <c r="W284">
        <v>170</v>
      </c>
      <c r="Y284">
        <v>5</v>
      </c>
      <c r="Z284">
        <v>180</v>
      </c>
      <c r="AA284" s="3">
        <f t="shared" ref="AA284:AA325" si="308">IF(AND(W284&gt;0,Z284&gt;0),(Z284/((W284+X284)*10)),"")</f>
        <v>0.10588235294117647</v>
      </c>
      <c r="AB284">
        <v>100</v>
      </c>
      <c r="AC284">
        <f t="shared" si="302"/>
        <v>160</v>
      </c>
      <c r="AF284">
        <v>20.399999999999999</v>
      </c>
      <c r="AG284">
        <v>20.399999999999999</v>
      </c>
      <c r="AH284">
        <v>2.8</v>
      </c>
      <c r="AJ284" s="10">
        <v>69</v>
      </c>
      <c r="AK284" t="str">
        <f>CONCATENATE(VLOOKUP(AL284, 'Voxel Sizes'!$A$2:$B$18,2,FALSE),"x",INT(AH284*15), "x", INT(AI284*15))</f>
        <v>198x42x0</v>
      </c>
      <c r="AL284">
        <f t="shared" si="291"/>
        <v>12</v>
      </c>
      <c r="AN284" t="str">
        <f>CONCATENATE(VLOOKUP(AL284,Constants!$A$2:$C$16,IF(AM284&lt;&gt;"", 3, 2), FALSE),IF(AM284&lt;&gt;"",CONCATENATE(",",VLOOKUP(AM284,$B:$AN,39,FALSE)),""))</f>
        <v>4,4,4</v>
      </c>
      <c r="AR284" t="s">
        <v>1219</v>
      </c>
      <c r="AT284" t="s">
        <v>549</v>
      </c>
      <c r="AX284">
        <v>28</v>
      </c>
      <c r="AY284" s="15" t="str">
        <f t="shared" si="292"/>
        <v/>
      </c>
      <c r="AZ284">
        <v>-15</v>
      </c>
      <c r="BA284">
        <v>-30</v>
      </c>
      <c r="BB284">
        <f t="shared" si="293"/>
        <v>20</v>
      </c>
      <c r="BC284">
        <f t="shared" si="294"/>
        <v>10.4</v>
      </c>
      <c r="BD284">
        <f t="shared" si="295"/>
        <v>9</v>
      </c>
      <c r="BE284" s="3">
        <f t="shared" si="296"/>
        <v>0.86399999999999999</v>
      </c>
      <c r="BF284">
        <f t="shared" si="297"/>
        <v>9.2000000000000011</v>
      </c>
      <c r="BG284">
        <f>VLOOKUP($H284,Constants!$I:$K, 2, FALSE)</f>
        <v>0.85</v>
      </c>
      <c r="BH284">
        <f>VLOOKUP($H284,Constants!$I:$K, 3, FALSE)*IF(AND(G284="multiple_unit",AB284&lt;110),0.75,1)</f>
        <v>1.7249999999999999</v>
      </c>
      <c r="BI284">
        <f>INT(POWER(((Constants!$G$2+$BB284+$BC284+$BD284+$BF284)*$BE284)*$BH284, 1.05))+$BA284</f>
        <v>69</v>
      </c>
      <c r="BJ284">
        <f>INT(POWER((((Constants!$G$1+$BB284+$BC284+$BD284+$BF284)*($BE284))*$BG284),IF($G284="wagon",1,1.2)))+$AZ284</f>
        <v>85</v>
      </c>
      <c r="BK284" s="14">
        <f t="shared" si="298"/>
        <v>53906.25</v>
      </c>
      <c r="BL284" s="14">
        <f t="shared" si="299"/>
        <v>6906.25</v>
      </c>
      <c r="BU284">
        <v>3</v>
      </c>
      <c r="BV284">
        <v>185</v>
      </c>
      <c r="BY284" t="s">
        <v>278</v>
      </c>
      <c r="BZ284" t="str">
        <f>VLOOKUP(J284,Eras!$A$2:$C$10, 2, TRUE)</f>
        <v>prv</v>
      </c>
      <c r="CA284" t="s">
        <v>328</v>
      </c>
      <c r="CB284" t="str">
        <f t="shared" si="300"/>
        <v>prv_EMU</v>
      </c>
      <c r="CC284" t="str">
        <f t="shared" si="304"/>
        <v>electric_ELRL</v>
      </c>
      <c r="CD284" s="17" t="str" cm="1">
        <f t="array" ref="CD284">_xlfn.CONCAT("{BLACK}Length: {GOLD}", TEXT(ROUNDUP(IF(AQ284&lt;&gt;"",SUM(VALUE(_xlfn.TEXTSPLIT(AQ284, ","))), SUM(VALUE(_xlfn.TEXTSPLIT(AN284, ",")))*IF(M284, M284, 1))/16, 1), "#,##0.0"), " tiles{}")</f>
        <v>{BLACK}Length: {GOLD}3.0 tiles{}</v>
      </c>
      <c r="CE284" t="str">
        <f>VLOOKUP($CC284, Constants!$M:$N, 2, FALSE)</f>
        <v>{BLACK}Powered by: {GOLD}25kV AC</v>
      </c>
      <c r="CF284" t="str">
        <f t="shared" si="307"/>
        <v>{BLACK}Cars: {GOLD}4</v>
      </c>
      <c r="CG284" t="s">
        <v>1221</v>
      </c>
      <c r="CH284" t="str">
        <f t="shared" si="303"/>
        <v/>
      </c>
      <c r="CI284" t="str">
        <f t="shared" si="305"/>
        <v/>
      </c>
      <c r="CJ284" t="str">
        <f t="shared" si="306"/>
        <v>{BLACK}Powered by: {GOLD}25kV AC {BLACK}Cars: {GOLD}4{}{BLACK}Length: {GOLD}3.0 tiles{}{SILVER}The Class 360 is an AC version of the Desiro family of units, ordered to replace slam-door stock on the Great Eastern Main Line.</v>
      </c>
    </row>
    <row r="285" spans="1:88" x14ac:dyDescent="0.35">
      <c r="A285" t="s">
        <v>73</v>
      </c>
      <c r="B285" t="s">
        <v>579</v>
      </c>
      <c r="C285">
        <v>498</v>
      </c>
      <c r="E285">
        <v>171</v>
      </c>
      <c r="F285" t="s">
        <v>1498</v>
      </c>
      <c r="G285" t="s">
        <v>398</v>
      </c>
      <c r="H285" t="s">
        <v>546</v>
      </c>
      <c r="I285" t="s">
        <v>545</v>
      </c>
      <c r="J285">
        <v>2003</v>
      </c>
      <c r="M285">
        <v>4</v>
      </c>
      <c r="N285">
        <v>1600</v>
      </c>
      <c r="W285">
        <v>173.6</v>
      </c>
      <c r="Y285">
        <v>5</v>
      </c>
      <c r="Z285">
        <v>175</v>
      </c>
      <c r="AA285" s="3">
        <f t="shared" si="308"/>
        <v>0.10080645161290322</v>
      </c>
      <c r="AB285">
        <v>100</v>
      </c>
      <c r="AC285">
        <f t="shared" si="302"/>
        <v>160</v>
      </c>
      <c r="AF285">
        <v>20.399999999999999</v>
      </c>
      <c r="AG285">
        <v>20.399999999999999</v>
      </c>
      <c r="AI285">
        <v>3.78</v>
      </c>
      <c r="AJ285" s="10">
        <v>60</v>
      </c>
      <c r="AK285" t="str">
        <f>CONCATENATE(VLOOKUP(AL285, 'Voxel Sizes'!$A$2:$B$18,2,FALSE),"x",INT(AH285*15), "x", INT(AI285*15))</f>
        <v>198x0x56</v>
      </c>
      <c r="AL285">
        <f t="shared" ref="AL285:AL325" si="309">ROUND(15*((AG285*10)/256),0)</f>
        <v>12</v>
      </c>
      <c r="AN285" t="str">
        <f>CONCATENATE(VLOOKUP(AL285,Constants!$A$2:$C$16,IF(AM285&lt;&gt;"", 3, 2), FALSE),IF(AM285&lt;&gt;"",CONCATENATE(",",VLOOKUP(AM285,$B:$AN,39,FALSE)),""))</f>
        <v>4,4,4</v>
      </c>
      <c r="AR285" t="s">
        <v>580</v>
      </c>
      <c r="AS285" t="s">
        <v>581</v>
      </c>
      <c r="AT285" t="s">
        <v>549</v>
      </c>
      <c r="AX285">
        <v>29</v>
      </c>
      <c r="AY285" s="15" t="str">
        <f t="shared" ref="AY285:AY325" si="310">IF(L285&lt;&gt;"",MAX(16,(L285-J285)+8),"")</f>
        <v/>
      </c>
      <c r="AZ285">
        <v>-15</v>
      </c>
      <c r="BA285">
        <v>-30</v>
      </c>
      <c r="BB285">
        <f t="shared" ref="BB285:BB325" si="311">MIN(AB285/150, 1)*30</f>
        <v>20</v>
      </c>
      <c r="BC285">
        <f t="shared" ref="BC285:BC325" si="312">MIN(N285/4000, 1)*20</f>
        <v>8</v>
      </c>
      <c r="BD285">
        <f t="shared" ref="BD285:BD325" si="313">MIN(Z285/400,1)*20</f>
        <v>8.75</v>
      </c>
      <c r="BE285" s="3">
        <f t="shared" ref="BE285:BE325" si="314">1-(MAX(J285-1900, 0)/750)</f>
        <v>0.86266666666666669</v>
      </c>
      <c r="BF285">
        <f t="shared" ref="BF285:BF325" si="315">((MAX($M285,1)*MIN($AJ285/300,1)))*IF(G285="Wagon",50,10)</f>
        <v>8</v>
      </c>
      <c r="BG285">
        <f>VLOOKUP($H285,Constants!$I:$K, 2, FALSE)</f>
        <v>0.85</v>
      </c>
      <c r="BH285">
        <f>VLOOKUP($H285,Constants!$I:$K, 3, FALSE)*IF(AND(G285="multiple_unit",AB285&lt;110),0.75,1)</f>
        <v>1.7999999999999998</v>
      </c>
      <c r="BI285">
        <f>INT(POWER(((Constants!$G$2+$BB285+$BC285+$BD285+$BF285)*$BE285)*$BH285, 1.05))+$BA285</f>
        <v>66</v>
      </c>
      <c r="BJ285">
        <f>INT(POWER((((Constants!$G$1+$BB285+$BC285+$BD285+$BF285)*($BE285))*$BG285),IF($G285="wagon",1,1.2)))+$AZ285</f>
        <v>78</v>
      </c>
      <c r="BK285" s="14">
        <f t="shared" ref="BK285:BK325" si="316">BI285*IF($G285="wagon",62.5,781.25)</f>
        <v>51562.5</v>
      </c>
      <c r="BL285" s="14">
        <f t="shared" ref="BL285:BL325" si="317">BJ285*IF($G285="wagon",2.73,81.25)</f>
        <v>6337.5</v>
      </c>
      <c r="BU285">
        <v>12</v>
      </c>
      <c r="BV285">
        <v>185</v>
      </c>
      <c r="BY285" t="s">
        <v>278</v>
      </c>
      <c r="BZ285" t="str">
        <f>VLOOKUP(J285,Eras!$A$2:$C$10, 2, TRUE)</f>
        <v>prv</v>
      </c>
      <c r="CA285" t="s">
        <v>328</v>
      </c>
      <c r="CB285" t="str">
        <f t="shared" ref="CB285:CB325" si="318">CONCATENATE(BZ285,"_",CA285)</f>
        <v>prv_EMU</v>
      </c>
      <c r="CC285" t="str">
        <f t="shared" si="304"/>
        <v>dual_electric_DUAL_POWER</v>
      </c>
      <c r="CD285" s="17" t="str" cm="1">
        <f t="array" ref="CD285">_xlfn.CONCAT("{BLACK}Length: {GOLD}", TEXT(ROUNDUP(IF(AQ285&lt;&gt;"",SUM(VALUE(_xlfn.TEXTSPLIT(AQ285, ","))), SUM(VALUE(_xlfn.TEXTSPLIT(AN285, ",")))*IF(M285, M285, 1))/16, 1), "#,##0.0"), " tiles{}")</f>
        <v>{BLACK}Length: {GOLD}3.0 tiles{}</v>
      </c>
      <c r="CE285" t="str">
        <f>VLOOKUP($CC285, Constants!$M:$N, 2, FALSE)</f>
        <v>{BLACK}Powered by: {GOLD}25kV AC / 750V DC</v>
      </c>
      <c r="CF285" t="str">
        <f t="shared" si="307"/>
        <v>{BLACK}Cars: {GOLD}4</v>
      </c>
      <c r="CG285" t="s">
        <v>578</v>
      </c>
      <c r="CH285" t="str">
        <f t="shared" si="303"/>
        <v/>
      </c>
      <c r="CI285" t="str">
        <f t="shared" si="305"/>
        <v/>
      </c>
      <c r="CJ285" t="str">
        <f t="shared" si="306"/>
        <v>{BLACK}Powered by: {GOLD}25kV AC / 750V DC {BLACK}Cars: {GOLD}4{}{BLACK}Length: {GOLD}3.0 tiles{}{SILVER}The Class 377 is a dual-voltage EMU, and is a common sight around London and South East England.</v>
      </c>
    </row>
    <row r="286" spans="1:88" x14ac:dyDescent="0.35">
      <c r="A286" t="s">
        <v>81</v>
      </c>
      <c r="B286" t="s">
        <v>215</v>
      </c>
      <c r="C286">
        <v>500</v>
      </c>
      <c r="E286">
        <v>172</v>
      </c>
      <c r="F286" t="s">
        <v>1498</v>
      </c>
      <c r="G286" t="s">
        <v>398</v>
      </c>
      <c r="H286" t="s">
        <v>291</v>
      </c>
      <c r="I286" t="s">
        <v>298</v>
      </c>
      <c r="J286">
        <v>2003</v>
      </c>
      <c r="K286">
        <v>2006</v>
      </c>
      <c r="M286">
        <v>4</v>
      </c>
      <c r="N286">
        <v>2010</v>
      </c>
      <c r="W286">
        <v>170</v>
      </c>
      <c r="Y286">
        <v>5</v>
      </c>
      <c r="Z286">
        <v>180</v>
      </c>
      <c r="AA286" s="3">
        <f t="shared" si="308"/>
        <v>0.10588235294117647</v>
      </c>
      <c r="AB286">
        <v>100</v>
      </c>
      <c r="AC286">
        <f t="shared" si="302"/>
        <v>160</v>
      </c>
      <c r="AF286">
        <v>20.399999999999999</v>
      </c>
      <c r="AG286">
        <v>20.399999999999999</v>
      </c>
      <c r="AH286">
        <v>2.8</v>
      </c>
      <c r="AJ286" s="10">
        <v>66</v>
      </c>
      <c r="AK286" t="str">
        <f>CONCATENATE(VLOOKUP(AL286, 'Voxel Sizes'!$A$2:$B$18,2,FALSE),"x",INT(AH286*15), "x", INT(AI286*15))</f>
        <v>198x42x0</v>
      </c>
      <c r="AL286">
        <f t="shared" si="309"/>
        <v>12</v>
      </c>
      <c r="AN286" t="str">
        <f>CONCATENATE(VLOOKUP(AL286,Constants!$A$2:$C$16,IF(AM286&lt;&gt;"", 3, 2), FALSE),IF(AM286&lt;&gt;"",CONCATENATE(",",VLOOKUP(AM286,$B:$AN,39,FALSE)),""))</f>
        <v>4,4,4</v>
      </c>
      <c r="AR286" t="s">
        <v>597</v>
      </c>
      <c r="AT286" t="s">
        <v>549</v>
      </c>
      <c r="AX286">
        <v>28</v>
      </c>
      <c r="AY286" s="15" t="str">
        <f t="shared" si="310"/>
        <v/>
      </c>
      <c r="AZ286">
        <v>-16</v>
      </c>
      <c r="BA286">
        <v>-28</v>
      </c>
      <c r="BB286">
        <f t="shared" si="311"/>
        <v>20</v>
      </c>
      <c r="BC286">
        <f t="shared" si="312"/>
        <v>10.049999999999999</v>
      </c>
      <c r="BD286">
        <f t="shared" si="313"/>
        <v>9</v>
      </c>
      <c r="BE286" s="3">
        <f t="shared" si="314"/>
        <v>0.86266666666666669</v>
      </c>
      <c r="BF286">
        <f t="shared" si="315"/>
        <v>8.8000000000000007</v>
      </c>
      <c r="BG286">
        <f>VLOOKUP($H286,Constants!$I:$K, 2, FALSE)</f>
        <v>0.85</v>
      </c>
      <c r="BH286">
        <f>VLOOKUP($H286,Constants!$I:$K, 3, FALSE)*IF(AND(G286="multiple_unit",AB286&lt;110),0.75,1)</f>
        <v>1.7249999999999999</v>
      </c>
      <c r="BI286">
        <f>INT(POWER(((Constants!$G$2+$BB286+$BC286+$BD286+$BF286)*$BE286)*$BH286, 1.05))+$BA286</f>
        <v>69</v>
      </c>
      <c r="BJ286">
        <f>INT(POWER((((Constants!$G$1+$BB286+$BC286+$BD286+$BF286)*($BE286))*$BG286),IF($G286="wagon",1,1.2)))+$AZ286</f>
        <v>83</v>
      </c>
      <c r="BK286" s="14">
        <f t="shared" si="316"/>
        <v>53906.25</v>
      </c>
      <c r="BL286" s="14">
        <f t="shared" si="317"/>
        <v>6743.75</v>
      </c>
      <c r="BQ286" t="s">
        <v>216</v>
      </c>
      <c r="BU286">
        <v>1</v>
      </c>
      <c r="BV286">
        <v>185</v>
      </c>
      <c r="BY286" t="s">
        <v>278</v>
      </c>
      <c r="BZ286" t="str">
        <f>VLOOKUP(J286,Eras!$A$2:$C$10, 2, TRUE)</f>
        <v>prv</v>
      </c>
      <c r="CA286" t="s">
        <v>328</v>
      </c>
      <c r="CB286" t="str">
        <f t="shared" si="318"/>
        <v>prv_EMU</v>
      </c>
      <c r="CC286" t="str">
        <f t="shared" si="304"/>
        <v>electric_THIRD_RAIL</v>
      </c>
      <c r="CD286" s="17" t="str" cm="1">
        <f t="array" ref="CD286">_xlfn.CONCAT("{BLACK}Length: {GOLD}", TEXT(ROUNDUP(IF(AQ286&lt;&gt;"",SUM(VALUE(_xlfn.TEXTSPLIT(AQ286, ","))), SUM(VALUE(_xlfn.TEXTSPLIT(AN286, ",")))*IF(M286, M286, 1))/16, 1), "#,##0.0"), " tiles{}")</f>
        <v>{BLACK}Length: {GOLD}3.0 tiles{}</v>
      </c>
      <c r="CE286" t="str">
        <f>VLOOKUP($CC286, Constants!$M:$N, 2, FALSE)</f>
        <v>{BLACK}Powered by: {GOLD}750V DC</v>
      </c>
      <c r="CF286" t="str">
        <f t="shared" si="307"/>
        <v>{BLACK}Cars: {GOLD}4</v>
      </c>
      <c r="CG286" t="s">
        <v>595</v>
      </c>
      <c r="CH286" t="str">
        <f t="shared" si="303"/>
        <v/>
      </c>
      <c r="CI286" t="str">
        <f t="shared" si="305"/>
        <v/>
      </c>
      <c r="CJ286" t="str">
        <f t="shared" si="306"/>
        <v>{BLACK}Powered by: {GOLD}750V DC {BLACK}Cars: {GOLD}4{}{BLACK}Length: {GOLD}3.0 tiles{}{SILVER}The Class 450 was designed for South West Trains to replace all slam-door stock. The large order meant the Class 450 became the most numerous type of Desiro unit in the UK.</v>
      </c>
    </row>
    <row r="287" spans="1:88" x14ac:dyDescent="0.35">
      <c r="A287" t="s">
        <v>82</v>
      </c>
      <c r="B287" t="s">
        <v>216</v>
      </c>
      <c r="C287">
        <v>502</v>
      </c>
      <c r="E287">
        <v>173</v>
      </c>
      <c r="F287" t="s">
        <v>1498</v>
      </c>
      <c r="G287" t="s">
        <v>398</v>
      </c>
      <c r="H287" t="s">
        <v>291</v>
      </c>
      <c r="I287" t="s">
        <v>298</v>
      </c>
      <c r="J287">
        <v>2004</v>
      </c>
      <c r="M287">
        <v>5</v>
      </c>
      <c r="N287">
        <v>2680</v>
      </c>
      <c r="W287">
        <v>227</v>
      </c>
      <c r="Y287">
        <v>5</v>
      </c>
      <c r="Z287">
        <v>210</v>
      </c>
      <c r="AA287" s="3">
        <f t="shared" si="308"/>
        <v>9.2511013215859028E-2</v>
      </c>
      <c r="AB287">
        <v>100</v>
      </c>
      <c r="AC287">
        <f t="shared" si="302"/>
        <v>160</v>
      </c>
      <c r="AF287">
        <v>23</v>
      </c>
      <c r="AG287">
        <v>23</v>
      </c>
      <c r="AH287">
        <v>2.8</v>
      </c>
      <c r="AJ287" s="10">
        <v>66</v>
      </c>
      <c r="AK287" t="str">
        <f>CONCATENATE(VLOOKUP(AL287, 'Voxel Sizes'!$A$2:$B$18,2,FALSE),"x",INT(AH287*15), "x", INT(AI287*15))</f>
        <v>214x42x0</v>
      </c>
      <c r="AL287">
        <f t="shared" si="309"/>
        <v>13</v>
      </c>
      <c r="AN287" t="str">
        <f>CONCATENATE(VLOOKUP(AL287,Constants!$A$2:$C$16,IF(AM287&lt;&gt;"", 3, 2), FALSE),IF(AM287&lt;&gt;"",CONCATENATE(",",VLOOKUP(AM287,$B:$AN,39,FALSE)),""))</f>
        <v>4,5,4</v>
      </c>
      <c r="AR287" t="s">
        <v>598</v>
      </c>
      <c r="AT287" t="s">
        <v>599</v>
      </c>
      <c r="AX287">
        <v>28</v>
      </c>
      <c r="AY287" s="15" t="str">
        <f t="shared" si="310"/>
        <v/>
      </c>
      <c r="AZ287">
        <v>-15</v>
      </c>
      <c r="BA287">
        <v>-35</v>
      </c>
      <c r="BB287">
        <f t="shared" si="311"/>
        <v>20</v>
      </c>
      <c r="BC287">
        <f t="shared" si="312"/>
        <v>13.4</v>
      </c>
      <c r="BD287">
        <f t="shared" si="313"/>
        <v>10.5</v>
      </c>
      <c r="BE287" s="3">
        <f t="shared" si="314"/>
        <v>0.86133333333333328</v>
      </c>
      <c r="BF287">
        <f t="shared" si="315"/>
        <v>11</v>
      </c>
      <c r="BG287">
        <f>VLOOKUP($H287,Constants!$I:$K, 2, FALSE)</f>
        <v>0.85</v>
      </c>
      <c r="BH287">
        <f>VLOOKUP($H287,Constants!$I:$K, 3, FALSE)*IF(AND(G287="multiple_unit",AB287&lt;110),0.75,1)</f>
        <v>1.7249999999999999</v>
      </c>
      <c r="BI287">
        <f>INT(POWER(((Constants!$G$2+$BB287+$BC287+$BD287+$BF287)*$BE287)*$BH287, 1.05))+$BA287</f>
        <v>76</v>
      </c>
      <c r="BJ287">
        <f>INT(POWER((((Constants!$G$1+$BB287+$BC287+$BD287+$BF287)*($BE287))*$BG287),IF($G287="wagon",1,1.2)))+$AZ287</f>
        <v>97</v>
      </c>
      <c r="BK287" s="14">
        <f t="shared" si="316"/>
        <v>59375</v>
      </c>
      <c r="BL287" s="14">
        <f t="shared" si="317"/>
        <v>7881.25</v>
      </c>
      <c r="BQ287" t="s">
        <v>215</v>
      </c>
      <c r="BT287" t="s">
        <v>1138</v>
      </c>
      <c r="BU287">
        <v>3</v>
      </c>
      <c r="BV287">
        <v>205</v>
      </c>
      <c r="BY287" t="s">
        <v>278</v>
      </c>
      <c r="BZ287" t="str">
        <f>VLOOKUP(J287,Eras!$A$2:$C$10, 2, TRUE)</f>
        <v>prv</v>
      </c>
      <c r="CA287" t="s">
        <v>329</v>
      </c>
      <c r="CB287" t="str">
        <f t="shared" si="318"/>
        <v>prv_EMU (Express)</v>
      </c>
      <c r="CC287" t="str">
        <f t="shared" si="304"/>
        <v>electric_THIRD_RAIL</v>
      </c>
      <c r="CD287" s="17" t="str" cm="1">
        <f t="array" ref="CD287">_xlfn.CONCAT("{BLACK}Length: {GOLD}", TEXT(ROUNDUP(IF(AQ287&lt;&gt;"",SUM(VALUE(_xlfn.TEXTSPLIT(AQ287, ","))), SUM(VALUE(_xlfn.TEXTSPLIT(AN287, ",")))*IF(M287, M287, 1))/16, 1), "#,##0.0"), " tiles{}")</f>
        <v>{BLACK}Length: {GOLD}4.1 tiles{}</v>
      </c>
      <c r="CE287" t="str">
        <f>VLOOKUP($CC287, Constants!$M:$N, 2, FALSE)</f>
        <v>{BLACK}Powered by: {GOLD}750V DC</v>
      </c>
      <c r="CF287" t="str">
        <f t="shared" si="307"/>
        <v>{BLACK}Cars: {GOLD}5</v>
      </c>
      <c r="CG287" t="s">
        <v>596</v>
      </c>
      <c r="CH287" t="str">
        <f t="shared" si="303"/>
        <v/>
      </c>
      <c r="CI287" t="str">
        <f t="shared" si="305"/>
        <v>{YELLOW}10% bonus for long distance travel{}</v>
      </c>
      <c r="CJ287" t="str">
        <f t="shared" si="306"/>
        <v>{BLACK}Powered by: {GOLD}750V DC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288" spans="1:88" x14ac:dyDescent="0.35">
      <c r="A288" t="s">
        <v>82</v>
      </c>
      <c r="B288" t="s">
        <v>1129</v>
      </c>
      <c r="C288">
        <v>503</v>
      </c>
      <c r="E288">
        <v>174</v>
      </c>
      <c r="F288" t="s">
        <v>1498</v>
      </c>
      <c r="G288" t="s">
        <v>398</v>
      </c>
      <c r="H288" t="s">
        <v>291</v>
      </c>
      <c r="I288" t="s">
        <v>298</v>
      </c>
      <c r="J288">
        <v>2004</v>
      </c>
      <c r="M288">
        <v>4</v>
      </c>
      <c r="N288">
        <v>2680</v>
      </c>
      <c r="W288">
        <f>227/5*4</f>
        <v>181.6</v>
      </c>
      <c r="Y288">
        <v>5</v>
      </c>
      <c r="Z288">
        <v>210</v>
      </c>
      <c r="AA288" s="3">
        <f t="shared" si="308"/>
        <v>0.11563876651982379</v>
      </c>
      <c r="AB288">
        <v>100</v>
      </c>
      <c r="AC288">
        <f t="shared" si="302"/>
        <v>160</v>
      </c>
      <c r="AF288">
        <v>23</v>
      </c>
      <c r="AG288">
        <v>23</v>
      </c>
      <c r="AH288">
        <v>2.8</v>
      </c>
      <c r="AJ288" s="10">
        <v>66</v>
      </c>
      <c r="AK288" t="str">
        <f>CONCATENATE(VLOOKUP(AL288, 'Voxel Sizes'!$A$2:$B$18,2,FALSE),"x",INT(AH288*15), "x", INT(AI288*15))</f>
        <v>214x42x0</v>
      </c>
      <c r="AL288">
        <f t="shared" si="309"/>
        <v>13</v>
      </c>
      <c r="AN288" t="str">
        <f>CONCATENATE(VLOOKUP(AL288,Constants!$A$2:$C$16,IF(AM288&lt;&gt;"", 3, 2), FALSE),IF(AM288&lt;&gt;"",CONCATENATE(",",VLOOKUP(AM288,$B:$AN,39,FALSE)),""))</f>
        <v>4,5,4</v>
      </c>
      <c r="AR288" t="s">
        <v>1130</v>
      </c>
      <c r="AT288" t="s">
        <v>1118</v>
      </c>
      <c r="AU288" t="s">
        <v>216</v>
      </c>
      <c r="AX288">
        <v>28</v>
      </c>
      <c r="AY288" s="15" t="str">
        <f t="shared" si="310"/>
        <v/>
      </c>
      <c r="AZ288">
        <v>-15</v>
      </c>
      <c r="BA288">
        <v>-35</v>
      </c>
      <c r="BB288">
        <f t="shared" si="311"/>
        <v>20</v>
      </c>
      <c r="BC288">
        <f t="shared" si="312"/>
        <v>13.4</v>
      </c>
      <c r="BD288">
        <f t="shared" si="313"/>
        <v>10.5</v>
      </c>
      <c r="BE288" s="3">
        <f t="shared" si="314"/>
        <v>0.86133333333333328</v>
      </c>
      <c r="BF288">
        <f t="shared" si="315"/>
        <v>8.8000000000000007</v>
      </c>
      <c r="BG288">
        <f>VLOOKUP($H288,Constants!$I:$K, 2, FALSE)</f>
        <v>0.85</v>
      </c>
      <c r="BH288">
        <f>VLOOKUP($H288,Constants!$I:$K, 3, FALSE)*IF(AND(G288="multiple_unit",AB288&lt;110),0.75,1)</f>
        <v>1.7249999999999999</v>
      </c>
      <c r="BI288">
        <f>INT(POWER(((Constants!$G$2+$BB288+$BC288+$BD288+$BF288)*$BE288)*$BH288, 1.05))+$BA288</f>
        <v>72</v>
      </c>
      <c r="BJ288">
        <f>INT(POWER((((Constants!$G$1+$BB288+$BC288+$BD288+$BF288)*($BE288))*$BG288),IF($G288="wagon",1,1.2)))+$AZ288</f>
        <v>93</v>
      </c>
      <c r="BK288" s="14">
        <f t="shared" si="316"/>
        <v>56250</v>
      </c>
      <c r="BL288" s="14">
        <f t="shared" si="317"/>
        <v>7556.25</v>
      </c>
      <c r="BQ288" t="s">
        <v>215</v>
      </c>
      <c r="BT288" t="s">
        <v>1140</v>
      </c>
      <c r="BU288">
        <v>4</v>
      </c>
      <c r="BV288">
        <v>205</v>
      </c>
      <c r="BY288" t="s">
        <v>278</v>
      </c>
      <c r="BZ288" t="str">
        <f>VLOOKUP(J288,Eras!$A$2:$C$10, 2, TRUE)</f>
        <v>prv</v>
      </c>
      <c r="CA288" t="s">
        <v>329</v>
      </c>
      <c r="CB288" t="str">
        <f t="shared" si="318"/>
        <v>prv_EMU (Express)</v>
      </c>
      <c r="CC288" t="str">
        <f t="shared" si="304"/>
        <v>electric_THIRD_RAIL</v>
      </c>
      <c r="CD288" s="17" t="str" cm="1">
        <f t="array" ref="CD288">_xlfn.CONCAT("{BLACK}Length: {GOLD}", TEXT(ROUNDUP(IF(AQ288&lt;&gt;"",SUM(VALUE(_xlfn.TEXTSPLIT(AQ288, ","))), SUM(VALUE(_xlfn.TEXTSPLIT(AN288, ",")))*IF(M288, M288, 1))/16, 1), "#,##0.0"), " tiles{}")</f>
        <v>{BLACK}Length: {GOLD}3.3 tiles{}</v>
      </c>
      <c r="CE288" t="str">
        <f>VLOOKUP($CC288, Constants!$M:$N, 2, FALSE)</f>
        <v>{BLACK}Powered by: {GOLD}750V DC</v>
      </c>
      <c r="CF288" t="str">
        <f t="shared" si="307"/>
        <v>{BLACK}Cars: {GOLD}4</v>
      </c>
      <c r="CG288" t="s">
        <v>596</v>
      </c>
      <c r="CH288" t="str">
        <f t="shared" si="303"/>
        <v/>
      </c>
      <c r="CI288" t="str">
        <f t="shared" si="305"/>
        <v>{YELLOW}10% bonus for long distance travel{}</v>
      </c>
      <c r="CJ288" t="str">
        <f t="shared" si="306"/>
        <v>{BLACK}Powered by: {GOLD}750V DC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289" spans="1:88" x14ac:dyDescent="0.35">
      <c r="A289" t="s">
        <v>1299</v>
      </c>
      <c r="B289" t="s">
        <v>1300</v>
      </c>
      <c r="C289">
        <v>505</v>
      </c>
      <c r="E289">
        <v>175</v>
      </c>
      <c r="F289" t="s">
        <v>1498</v>
      </c>
      <c r="G289" t="s">
        <v>398</v>
      </c>
      <c r="H289" t="s">
        <v>1301</v>
      </c>
      <c r="I289" t="s">
        <v>270</v>
      </c>
      <c r="J289">
        <v>2009</v>
      </c>
      <c r="M289">
        <v>1</v>
      </c>
      <c r="N289">
        <v>86</v>
      </c>
      <c r="W289">
        <v>12</v>
      </c>
      <c r="Y289">
        <v>5</v>
      </c>
      <c r="Z289">
        <v>35</v>
      </c>
      <c r="AA289" s="3">
        <f t="shared" si="308"/>
        <v>0.29166666666666669</v>
      </c>
      <c r="AB289">
        <v>35</v>
      </c>
      <c r="AC289">
        <f t="shared" si="302"/>
        <v>56</v>
      </c>
      <c r="AF289">
        <v>9.6</v>
      </c>
      <c r="AG289">
        <v>9.6</v>
      </c>
      <c r="AH289">
        <v>2.4</v>
      </c>
      <c r="AI289">
        <v>3.2</v>
      </c>
      <c r="AJ289" s="10">
        <v>42</v>
      </c>
      <c r="AK289" t="str">
        <f>CONCATENATE(VLOOKUP(AL289, 'Voxel Sizes'!$A$2:$B$18,2,FALSE),"x",INT(AH289*15), "x", INT(AI289*15))</f>
        <v>102x36x48</v>
      </c>
      <c r="AL289">
        <f t="shared" si="309"/>
        <v>6</v>
      </c>
      <c r="AN289" t="str">
        <f>CONCATENATE(VLOOKUP(AL289,Constants!$A$2:$C$16,IF(AM289&lt;&gt;"", 3, 2), FALSE),IF(AM289&lt;&gt;"",CONCATENATE(",",VLOOKUP(AM289,$B:$AN,39,FALSE)),""))</f>
        <v>2,2,2</v>
      </c>
      <c r="AR289" t="s">
        <v>1300</v>
      </c>
      <c r="AT289">
        <v>1</v>
      </c>
      <c r="AX289">
        <v>28</v>
      </c>
      <c r="AY289" s="15" t="str">
        <f t="shared" si="310"/>
        <v/>
      </c>
      <c r="BB289">
        <f t="shared" si="311"/>
        <v>7</v>
      </c>
      <c r="BC289">
        <f t="shared" si="312"/>
        <v>0.42999999999999994</v>
      </c>
      <c r="BD289">
        <f t="shared" si="313"/>
        <v>1.75</v>
      </c>
      <c r="BE289" s="3">
        <f t="shared" si="314"/>
        <v>0.85466666666666669</v>
      </c>
      <c r="BF289">
        <f t="shared" si="315"/>
        <v>1.4000000000000001</v>
      </c>
      <c r="BG289">
        <f>VLOOKUP($H289,Constants!$I:$K, 2, FALSE)</f>
        <v>0.98</v>
      </c>
      <c r="BH289">
        <f>VLOOKUP($H289,Constants!$I:$K, 3, FALSE)*IF(AND(G289="multiple_unit",AB289&lt;110),0.75,1)</f>
        <v>1.41</v>
      </c>
      <c r="BI289">
        <f>INT(POWER(((Constants!$G$2+$BB289+$BC289+$BD289+$BF289)*$BE289)*$BH289, 1.05))+$BA289</f>
        <v>21</v>
      </c>
      <c r="BJ289">
        <f>INT(POWER((((Constants!$G$1+$BB289+$BC289+$BD289+$BF289)*($BE289))*$BG289),IF($G289="wagon",1,1.2)))+$AZ289</f>
        <v>39</v>
      </c>
      <c r="BK289" s="14">
        <f t="shared" si="316"/>
        <v>16406.25</v>
      </c>
      <c r="BL289" s="14">
        <f t="shared" si="317"/>
        <v>3168.75</v>
      </c>
      <c r="BU289">
        <v>6</v>
      </c>
      <c r="BY289" t="s">
        <v>278</v>
      </c>
      <c r="BZ289" t="str">
        <f>VLOOKUP(J289,Eras!$A$2:$C$10, 2, TRUE)</f>
        <v>mod</v>
      </c>
      <c r="CA289" t="s">
        <v>325</v>
      </c>
      <c r="CB289" t="str">
        <f t="shared" si="318"/>
        <v>mod_DMU (Cheap)</v>
      </c>
      <c r="CC289" t="str">
        <f t="shared" si="304"/>
        <v>lpgflywheel_RAIL</v>
      </c>
      <c r="CD289" s="17" t="str" cm="1">
        <f t="array" ref="CD289">_xlfn.CONCAT("{BLACK}Length: {GOLD}", TEXT(ROUNDUP(IF(AQ289&lt;&gt;"",SUM(VALUE(_xlfn.TEXTSPLIT(AQ289, ","))), SUM(VALUE(_xlfn.TEXTSPLIT(AN289, ",")))*IF(M289, M289, 1))/16, 1), "#,##0.0"), " tiles{}")</f>
        <v>{BLACK}Length: {GOLD}0.4 tiles{}</v>
      </c>
      <c r="CE289" t="str">
        <f>VLOOKUP($CC289, Constants!$M:$N, 2, FALSE)</f>
        <v>{BLACK}Powered by: {GOLD}LPG / Flywheel</v>
      </c>
      <c r="CG289" t="s">
        <v>1304</v>
      </c>
      <c r="CH289" t="str">
        <f t="shared" si="303"/>
        <v/>
      </c>
      <c r="CI289" t="str">
        <f t="shared" si="305"/>
        <v/>
      </c>
      <c r="CJ289" t="str">
        <f t="shared" si="306"/>
        <v>{BLACK}Powered by: {GOLD}LPG / Flywheel {}{BLACK}Length: {GOLD}0.4 tiles{}{SILVER}The Parry People Mover PPM60 uses a small LPG engine with a flywheel to capture energy from braking. The units are currently used on the Stourbridge Town Branch Line, where they are limited to 20mph.</v>
      </c>
    </row>
    <row r="290" spans="1:88" x14ac:dyDescent="0.35">
      <c r="A290" t="s">
        <v>75</v>
      </c>
      <c r="B290" t="s">
        <v>238</v>
      </c>
      <c r="C290">
        <v>506</v>
      </c>
      <c r="E290">
        <v>176</v>
      </c>
      <c r="F290" t="s">
        <v>1498</v>
      </c>
      <c r="G290" t="s">
        <v>398</v>
      </c>
      <c r="H290" t="s">
        <v>546</v>
      </c>
      <c r="I290" t="s">
        <v>545</v>
      </c>
      <c r="J290">
        <v>2007</v>
      </c>
      <c r="K290">
        <v>2009</v>
      </c>
      <c r="M290">
        <v>6</v>
      </c>
      <c r="N290">
        <f>16*280</f>
        <v>4480</v>
      </c>
      <c r="O290" s="8">
        <v>2800</v>
      </c>
      <c r="W290">
        <v>265</v>
      </c>
      <c r="Y290">
        <v>4</v>
      </c>
      <c r="Z290">
        <v>210</v>
      </c>
      <c r="AA290" s="3">
        <f t="shared" si="308"/>
        <v>7.9245283018867921E-2</v>
      </c>
      <c r="AB290">
        <v>157</v>
      </c>
      <c r="AC290">
        <f t="shared" si="302"/>
        <v>251</v>
      </c>
      <c r="AF290">
        <v>20.88</v>
      </c>
      <c r="AG290">
        <v>20.88</v>
      </c>
      <c r="AI290">
        <v>3.82</v>
      </c>
      <c r="AJ290" s="10">
        <v>57</v>
      </c>
      <c r="AK290" t="str">
        <f>CONCATENATE(VLOOKUP(AL290, 'Voxel Sizes'!$A$2:$B$18,2,FALSE),"x",INT(AH290*15), "x", INT(AI290*15))</f>
        <v>198x0x57</v>
      </c>
      <c r="AL290">
        <f t="shared" si="309"/>
        <v>12</v>
      </c>
      <c r="AN290" t="str">
        <f>CONCATENATE(VLOOKUP(AL290,Constants!$A$2:$C$16,IF(AM290&lt;&gt;"", 3, 2), FALSE),IF(AM290&lt;&gt;"",CONCATENATE(",",VLOOKUP(AM290,$B:$AN,39,FALSE)),""))</f>
        <v>4,4,4</v>
      </c>
      <c r="AR290" t="s">
        <v>1266</v>
      </c>
      <c r="AT290" t="s">
        <v>521</v>
      </c>
      <c r="AX290">
        <v>30</v>
      </c>
      <c r="AY290" s="15" t="str">
        <f t="shared" si="310"/>
        <v/>
      </c>
      <c r="AZ290">
        <v>-15</v>
      </c>
      <c r="BA290">
        <v>-30</v>
      </c>
      <c r="BB290">
        <f t="shared" si="311"/>
        <v>30</v>
      </c>
      <c r="BC290">
        <f t="shared" si="312"/>
        <v>20</v>
      </c>
      <c r="BD290">
        <f t="shared" si="313"/>
        <v>10.5</v>
      </c>
      <c r="BE290" s="3">
        <f t="shared" si="314"/>
        <v>0.85733333333333328</v>
      </c>
      <c r="BF290">
        <f t="shared" si="315"/>
        <v>11.400000000000002</v>
      </c>
      <c r="BG290">
        <f>VLOOKUP($H290,Constants!$I:$K, 2, FALSE)</f>
        <v>0.85</v>
      </c>
      <c r="BH290">
        <f>VLOOKUP($H290,Constants!$I:$K, 3, FALSE)*IF(AND(G290="multiple_unit",AB290&lt;110),0.75,1)</f>
        <v>2.4</v>
      </c>
      <c r="BI290">
        <f>INT(POWER(((Constants!$G$2+$BB290+$BC290+$BD290+$BF290)*$BE290)*$BH290, 1.05))+$BA290</f>
        <v>173</v>
      </c>
      <c r="BJ290">
        <f>INT(POWER((((Constants!$G$1+$BB290+$BC290+$BD290+$BF290)*($BE290))*$BG290),IF($G290="wagon",1,1.2)))+$AZ290</f>
        <v>130</v>
      </c>
      <c r="BK290" s="14">
        <f t="shared" si="316"/>
        <v>135156.25</v>
      </c>
      <c r="BL290" s="14">
        <f t="shared" si="317"/>
        <v>10562.5</v>
      </c>
      <c r="BT290" t="s">
        <v>1138</v>
      </c>
      <c r="BU290">
        <v>5</v>
      </c>
      <c r="BV290">
        <v>205</v>
      </c>
      <c r="BY290" t="s">
        <v>278</v>
      </c>
      <c r="BZ290" t="str">
        <f>VLOOKUP(J290,Eras!$A$2:$C$10, 2, TRUE)</f>
        <v>mod</v>
      </c>
      <c r="CA290" t="s">
        <v>329</v>
      </c>
      <c r="CB290" t="str">
        <f t="shared" si="318"/>
        <v>mod_EMU (Express)</v>
      </c>
      <c r="CC290" t="str">
        <f t="shared" si="304"/>
        <v>dual_electric_DUAL_POWER</v>
      </c>
      <c r="CD290" s="17" t="str" cm="1">
        <f t="array" ref="CD290">_xlfn.CONCAT("{BLACK}Length: {GOLD}", TEXT(ROUNDUP(IF(AQ290&lt;&gt;"",SUM(VALUE(_xlfn.TEXTSPLIT(AQ290, ","))), SUM(VALUE(_xlfn.TEXTSPLIT(AN290, ",")))*IF(M290, M290, 1))/16, 1), "#,##0.0"), " tiles{}")</f>
        <v>{BLACK}Length: {GOLD}4.5 tiles{}</v>
      </c>
      <c r="CE290" t="str">
        <f>VLOOKUP($CC290, Constants!$M:$N, 2, FALSE)</f>
        <v>{BLACK}Powered by: {GOLD}25kV AC / 750V DC</v>
      </c>
      <c r="CF290" t="str">
        <f t="shared" ref="CF290:CF325" si="319">IF(M290&gt;1,_xlfn.CONCAT("{BLACK}Cars: {GOLD}", M290),"")</f>
        <v>{BLACK}Cars: {GOLD}6</v>
      </c>
      <c r="CG290" t="s">
        <v>1269</v>
      </c>
      <c r="CH290" t="str">
        <f t="shared" si="303"/>
        <v/>
      </c>
      <c r="CI290" t="str">
        <f t="shared" si="305"/>
        <v>{YELLOW}10% bonus for long distance travel{}</v>
      </c>
      <c r="CJ290" t="str">
        <f t="shared" si="306"/>
        <v>{BLACK}Powered by: {GOLD}25kV AC / 750V DC {BLACK}Cars: {GOLD}6{}{BLACK}Length: {GOLD}4.5 tiles{}{YELLOW}10% bonus for long distance travel{}{SILVER}The Class 395 is a dedicated high speed unit built for the HS1 high speed route. It is part of Hitachi's AT300 series.</v>
      </c>
    </row>
    <row r="291" spans="1:88" x14ac:dyDescent="0.35">
      <c r="A291" t="s">
        <v>75</v>
      </c>
      <c r="B291" t="s">
        <v>1295</v>
      </c>
      <c r="C291">
        <v>507</v>
      </c>
      <c r="E291">
        <v>177</v>
      </c>
      <c r="F291" t="s">
        <v>1498</v>
      </c>
      <c r="G291" t="s">
        <v>398</v>
      </c>
      <c r="H291" t="s">
        <v>546</v>
      </c>
      <c r="I291" t="s">
        <v>545</v>
      </c>
      <c r="J291">
        <v>2007</v>
      </c>
      <c r="K291">
        <v>2009</v>
      </c>
      <c r="M291">
        <v>5</v>
      </c>
      <c r="N291">
        <f>16*280</f>
        <v>4480</v>
      </c>
      <c r="O291" s="8">
        <v>2800</v>
      </c>
      <c r="W291">
        <v>265</v>
      </c>
      <c r="Y291">
        <v>4</v>
      </c>
      <c r="Z291">
        <v>210</v>
      </c>
      <c r="AA291" s="3">
        <f t="shared" si="308"/>
        <v>7.9245283018867921E-2</v>
      </c>
      <c r="AB291">
        <v>157</v>
      </c>
      <c r="AC291">
        <f t="shared" si="302"/>
        <v>251</v>
      </c>
      <c r="AF291">
        <v>20.88</v>
      </c>
      <c r="AG291">
        <v>20.88</v>
      </c>
      <c r="AI291">
        <v>3.82</v>
      </c>
      <c r="AJ291" s="10">
        <v>57</v>
      </c>
      <c r="AK291" t="str">
        <f>CONCATENATE(VLOOKUP(AL291, 'Voxel Sizes'!$A$2:$B$18,2,FALSE),"x",INT(AH291*15), "x", INT(AI291*15))</f>
        <v>198x0x57</v>
      </c>
      <c r="AL291">
        <f t="shared" si="309"/>
        <v>12</v>
      </c>
      <c r="AN291" t="str">
        <f>CONCATENATE(VLOOKUP(AL291,Constants!$A$2:$C$16,IF(AM291&lt;&gt;"", 3, 2), FALSE),IF(AM291&lt;&gt;"",CONCATENATE(",",VLOOKUP(AM291,$B:$AN,39,FALSE)),""))</f>
        <v>4,4,4</v>
      </c>
      <c r="AR291" t="s">
        <v>1296</v>
      </c>
      <c r="AT291" t="s">
        <v>656</v>
      </c>
      <c r="AU291" t="s">
        <v>238</v>
      </c>
      <c r="AX291">
        <v>30</v>
      </c>
      <c r="AY291" s="15" t="str">
        <f t="shared" si="310"/>
        <v/>
      </c>
      <c r="AZ291">
        <v>-15</v>
      </c>
      <c r="BA291">
        <v>-30</v>
      </c>
      <c r="BB291">
        <f t="shared" si="311"/>
        <v>30</v>
      </c>
      <c r="BC291">
        <f t="shared" si="312"/>
        <v>20</v>
      </c>
      <c r="BD291">
        <f t="shared" si="313"/>
        <v>10.5</v>
      </c>
      <c r="BE291" s="3">
        <f t="shared" si="314"/>
        <v>0.85733333333333328</v>
      </c>
      <c r="BF291">
        <f t="shared" si="315"/>
        <v>9.5</v>
      </c>
      <c r="BG291">
        <f>VLOOKUP($H291,Constants!$I:$K, 2, FALSE)</f>
        <v>0.85</v>
      </c>
      <c r="BH291">
        <f>VLOOKUP($H291,Constants!$I:$K, 3, FALSE)*IF(AND(G291="multiple_unit",AB291&lt;110),0.75,1)</f>
        <v>2.4</v>
      </c>
      <c r="BI291">
        <f>INT(POWER(((Constants!$G$2+$BB291+$BC291+$BD291+$BF291)*$BE291)*$BH291, 1.05))+$BA291</f>
        <v>168</v>
      </c>
      <c r="BJ291">
        <f>INT(POWER((((Constants!$G$1+$BB291+$BC291+$BD291+$BF291)*($BE291))*$BG291),IF($G291="wagon",1,1.2)))+$AZ291</f>
        <v>126</v>
      </c>
      <c r="BK291" s="14">
        <f t="shared" si="316"/>
        <v>131250</v>
      </c>
      <c r="BL291" s="14">
        <f t="shared" si="317"/>
        <v>10237.5</v>
      </c>
      <c r="BT291" t="s">
        <v>1140</v>
      </c>
      <c r="BU291">
        <v>5</v>
      </c>
      <c r="BV291">
        <v>205</v>
      </c>
      <c r="BY291" t="s">
        <v>278</v>
      </c>
      <c r="BZ291" t="str">
        <f>VLOOKUP(J291,Eras!$A$2:$C$10, 2, TRUE)</f>
        <v>mod</v>
      </c>
      <c r="CA291" t="s">
        <v>329</v>
      </c>
      <c r="CB291" t="str">
        <f t="shared" si="318"/>
        <v>mod_EMU (Express)</v>
      </c>
      <c r="CC291" t="str">
        <f t="shared" si="304"/>
        <v>dual_electric_DUAL_POWER</v>
      </c>
      <c r="CD291" s="17" t="str" cm="1">
        <f t="array" ref="CD291">_xlfn.CONCAT("{BLACK}Length: {GOLD}", TEXT(ROUNDUP(IF(AQ291&lt;&gt;"",SUM(VALUE(_xlfn.TEXTSPLIT(AQ291, ","))), SUM(VALUE(_xlfn.TEXTSPLIT(AN291, ",")))*IF(M291, M291, 1))/16, 1), "#,##0.0"), " tiles{}")</f>
        <v>{BLACK}Length: {GOLD}3.8 tiles{}</v>
      </c>
      <c r="CE291" t="str">
        <f>VLOOKUP($CC291, Constants!$M:$N, 2, FALSE)</f>
        <v>{BLACK}Powered by: {GOLD}25kV AC / 750V DC</v>
      </c>
      <c r="CF291" t="str">
        <f t="shared" si="319"/>
        <v>{BLACK}Cars: {GOLD}5</v>
      </c>
      <c r="CG291" t="s">
        <v>1269</v>
      </c>
      <c r="CH291" t="str">
        <f t="shared" si="303"/>
        <v/>
      </c>
      <c r="CI291" t="str">
        <f t="shared" si="305"/>
        <v>{YELLOW}10% bonus for long distance travel{}</v>
      </c>
      <c r="CJ291" t="str">
        <f t="shared" si="306"/>
        <v>{BLACK}Powered by: {GOLD}25kV AC / 750V DC {BLACK}Cars: {GOLD}5{}{BLACK}Length: {GOLD}3.8 tiles{}{YELLOW}10% bonus for long distance travel{}{SILVER}The Class 395 is a dedicated high speed unit built for the HS1 high speed route. It is part of Hitachi's AT300 series.</v>
      </c>
    </row>
    <row r="292" spans="1:88" x14ac:dyDescent="0.35">
      <c r="A292" t="s">
        <v>80</v>
      </c>
      <c r="B292" t="s">
        <v>214</v>
      </c>
      <c r="C292">
        <v>508</v>
      </c>
      <c r="E292">
        <v>178</v>
      </c>
      <c r="F292" t="s">
        <v>1498</v>
      </c>
      <c r="G292" t="s">
        <v>398</v>
      </c>
      <c r="H292" t="s">
        <v>546</v>
      </c>
      <c r="I292" t="s">
        <v>545</v>
      </c>
      <c r="J292">
        <v>2009</v>
      </c>
      <c r="M292">
        <v>5</v>
      </c>
      <c r="N292">
        <f>800*2</f>
        <v>1600</v>
      </c>
      <c r="W292">
        <v>212.8</v>
      </c>
      <c r="Y292">
        <v>7</v>
      </c>
      <c r="Z292">
        <v>180</v>
      </c>
      <c r="AA292" s="3">
        <f t="shared" si="308"/>
        <v>8.4586466165413529E-2</v>
      </c>
      <c r="AB292">
        <v>75</v>
      </c>
      <c r="AC292">
        <f t="shared" si="302"/>
        <v>120</v>
      </c>
      <c r="AF292">
        <v>20.399999999999999</v>
      </c>
      <c r="AG292">
        <v>20.399999999999999</v>
      </c>
      <c r="AH292">
        <v>2.8</v>
      </c>
      <c r="AI292">
        <v>3.78</v>
      </c>
      <c r="AJ292" s="10">
        <v>90</v>
      </c>
      <c r="AK292" t="str">
        <f>CONCATENATE(VLOOKUP(AL292, 'Voxel Sizes'!$A$2:$B$18,2,FALSE),"x",INT(AH292*15), "x", INT(AI292*15))</f>
        <v>198x42x56</v>
      </c>
      <c r="AL292">
        <f t="shared" si="309"/>
        <v>12</v>
      </c>
      <c r="AN292" t="str">
        <f>CONCATENATE(VLOOKUP(AL292,Constants!$A$2:$C$16,IF(AM292&lt;&gt;"", 3, 2), FALSE),IF(AM292&lt;&gt;"",CONCATENATE(",",VLOOKUP(AM292,$B:$AN,39,FALSE)),""))</f>
        <v>4,4,4</v>
      </c>
      <c r="AR292" t="s">
        <v>592</v>
      </c>
      <c r="AS292" t="s">
        <v>593</v>
      </c>
      <c r="AT292" t="s">
        <v>594</v>
      </c>
      <c r="AX292">
        <v>30</v>
      </c>
      <c r="AY292" s="15" t="str">
        <f t="shared" si="310"/>
        <v/>
      </c>
      <c r="AZ292">
        <v>-15</v>
      </c>
      <c r="BA292">
        <v>-35</v>
      </c>
      <c r="BB292">
        <f t="shared" si="311"/>
        <v>15</v>
      </c>
      <c r="BC292">
        <f t="shared" si="312"/>
        <v>8</v>
      </c>
      <c r="BD292">
        <f t="shared" si="313"/>
        <v>9</v>
      </c>
      <c r="BE292" s="3">
        <f t="shared" si="314"/>
        <v>0.85466666666666669</v>
      </c>
      <c r="BF292">
        <f t="shared" si="315"/>
        <v>15</v>
      </c>
      <c r="BG292">
        <f>VLOOKUP($H292,Constants!$I:$K, 2, FALSE)</f>
        <v>0.85</v>
      </c>
      <c r="BH292">
        <f>VLOOKUP($H292,Constants!$I:$K, 3, FALSE)*IF(AND(G292="multiple_unit",AB292&lt;110),0.75,1)</f>
        <v>1.7999999999999998</v>
      </c>
      <c r="BI292">
        <f>INT(POWER(((Constants!$G$2+$BB292+$BC292+$BD292+$BF292)*$BE292)*$BH292, 1.05))+$BA292</f>
        <v>64</v>
      </c>
      <c r="BJ292">
        <f>INT(POWER((((Constants!$G$1+$BB292+$BC292+$BD292+$BF292)*($BE292))*$BG292),IF($G292="wagon",1,1.2)))+$AZ292</f>
        <v>81</v>
      </c>
      <c r="BK292" s="14">
        <f t="shared" si="316"/>
        <v>50000</v>
      </c>
      <c r="BL292" s="14">
        <f t="shared" si="317"/>
        <v>6581.25</v>
      </c>
      <c r="BU292">
        <v>6</v>
      </c>
      <c r="BV292">
        <v>165</v>
      </c>
      <c r="BY292" t="s">
        <v>278</v>
      </c>
      <c r="BZ292" t="str">
        <f>VLOOKUP(J292,Eras!$A$2:$C$10, 2, TRUE)</f>
        <v>mod</v>
      </c>
      <c r="CA292" t="s">
        <v>328</v>
      </c>
      <c r="CB292" t="str">
        <f t="shared" si="318"/>
        <v>mod_EMU</v>
      </c>
      <c r="CC292" t="str">
        <f t="shared" si="304"/>
        <v>dual_electric_DUAL_POWER</v>
      </c>
      <c r="CD292" s="17" t="str" cm="1">
        <f t="array" ref="CD292">_xlfn.CONCAT("{BLACK}Length: {GOLD}", TEXT(ROUNDUP(IF(AQ292&lt;&gt;"",SUM(VALUE(_xlfn.TEXTSPLIT(AQ292, ","))), SUM(VALUE(_xlfn.TEXTSPLIT(AN292, ",")))*IF(M292, M292, 1))/16, 1), "#,##0.0"), " tiles{}")</f>
        <v>{BLACK}Length: {GOLD}3.8 tiles{}</v>
      </c>
      <c r="CE292" t="str">
        <f>VLOOKUP($CC292, Constants!$M:$N, 2, FALSE)</f>
        <v>{BLACK}Powered by: {GOLD}25kV AC / 750V DC</v>
      </c>
      <c r="CF292" t="str">
        <f t="shared" si="319"/>
        <v>{BLACK}Cars: {GOLD}5</v>
      </c>
      <c r="CG292" t="s">
        <v>591</v>
      </c>
      <c r="CH292" t="str">
        <f t="shared" si="303"/>
        <v/>
      </c>
      <c r="CI292" t="str">
        <f t="shared" si="305"/>
        <v>{YELLOW}10% penalty for long distance travel{}</v>
      </c>
      <c r="CJ292" t="str">
        <f t="shared" si="306"/>
        <v>{BLACK}Powered by: {GOLD}25kV AC / 750V DC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293" spans="1:88" x14ac:dyDescent="0.35">
      <c r="A293" t="s">
        <v>1261</v>
      </c>
      <c r="B293" t="s">
        <v>1262</v>
      </c>
      <c r="C293">
        <v>509</v>
      </c>
      <c r="E293">
        <v>179</v>
      </c>
      <c r="F293" t="s">
        <v>1498</v>
      </c>
      <c r="G293" t="s">
        <v>398</v>
      </c>
      <c r="H293" t="s">
        <v>535</v>
      </c>
      <c r="I293" t="s">
        <v>292</v>
      </c>
      <c r="J293">
        <v>2017</v>
      </c>
      <c r="M293">
        <v>5</v>
      </c>
      <c r="N293">
        <v>3200</v>
      </c>
      <c r="O293" s="8">
        <v>2250</v>
      </c>
      <c r="W293">
        <v>243</v>
      </c>
      <c r="Y293">
        <v>5</v>
      </c>
      <c r="Z293">
        <v>195</v>
      </c>
      <c r="AA293" s="3">
        <f t="shared" si="308"/>
        <v>8.0246913580246909E-2</v>
      </c>
      <c r="AB293">
        <v>140</v>
      </c>
      <c r="AC293">
        <f t="shared" si="302"/>
        <v>224</v>
      </c>
      <c r="AF293">
        <v>26</v>
      </c>
      <c r="AG293">
        <v>24</v>
      </c>
      <c r="AJ293" s="10">
        <v>66</v>
      </c>
      <c r="AK293" t="str">
        <f>CONCATENATE(VLOOKUP(AL293, 'Voxel Sizes'!$A$2:$B$18,2,FALSE),"x",INT(AH293*15), "x", INT(AI293*15))</f>
        <v>238x0x0</v>
      </c>
      <c r="AL293">
        <f t="shared" si="309"/>
        <v>14</v>
      </c>
      <c r="AN293" t="str">
        <f>CONCATENATE(VLOOKUP(AL293,Constants!$A$2:$C$16,IF(AM293&lt;&gt;"", 3, 2), FALSE),IF(AM293&lt;&gt;"",CONCATENATE(",",VLOOKUP(AM293,$B:$AN,39,FALSE)),""))</f>
        <v>4,6,4</v>
      </c>
      <c r="AO293">
        <v>12</v>
      </c>
      <c r="AR293" t="s">
        <v>1263</v>
      </c>
      <c r="AS293" t="s">
        <v>1264</v>
      </c>
      <c r="AT293" t="s">
        <v>599</v>
      </c>
      <c r="AX293">
        <v>30</v>
      </c>
      <c r="AY293" s="15" t="str">
        <f t="shared" si="310"/>
        <v/>
      </c>
      <c r="AZ293">
        <v>-15</v>
      </c>
      <c r="BA293">
        <v>-30</v>
      </c>
      <c r="BB293">
        <f t="shared" si="311"/>
        <v>28</v>
      </c>
      <c r="BC293">
        <f t="shared" si="312"/>
        <v>16</v>
      </c>
      <c r="BD293">
        <f t="shared" si="313"/>
        <v>9.75</v>
      </c>
      <c r="BE293" s="3">
        <f t="shared" si="314"/>
        <v>0.84399999999999997</v>
      </c>
      <c r="BF293">
        <f t="shared" si="315"/>
        <v>11</v>
      </c>
      <c r="BG293">
        <f>VLOOKUP($H293,Constants!$I:$K, 2, FALSE)</f>
        <v>0.9</v>
      </c>
      <c r="BH293">
        <f>VLOOKUP($H293,Constants!$I:$K, 3, FALSE)*IF(AND(G293="multiple_unit",AB293&lt;110),0.75,1)</f>
        <v>2.5</v>
      </c>
      <c r="BI293">
        <f>INT(POWER(((Constants!$G$2+$BB293+$BC293+$BD293+$BF293)*$BE293)*$BH293, 1.05))+$BA293</f>
        <v>158</v>
      </c>
      <c r="BJ293">
        <f>INT(POWER((((Constants!$G$1+$BB293+$BC293+$BD293+$BF293)*($BE293))*$BG293),IF($G293="wagon",1,1.2)))+$AZ293</f>
        <v>122</v>
      </c>
      <c r="BK293" s="14">
        <f t="shared" si="316"/>
        <v>123437.5</v>
      </c>
      <c r="BL293" s="14">
        <f t="shared" si="317"/>
        <v>9912.5</v>
      </c>
      <c r="BT293" t="s">
        <v>1138</v>
      </c>
      <c r="BU293">
        <v>10</v>
      </c>
      <c r="BV293">
        <v>222</v>
      </c>
      <c r="BY293" t="s">
        <v>278</v>
      </c>
      <c r="BZ293" t="str">
        <f>VLOOKUP(J293,Eras!$A$2:$C$10, 2, TRUE)</f>
        <v>mod</v>
      </c>
      <c r="CA293" t="s">
        <v>329</v>
      </c>
      <c r="CB293" t="str">
        <f t="shared" si="318"/>
        <v>mod_EMU (Express)</v>
      </c>
      <c r="CC293" t="str">
        <f t="shared" si="304"/>
        <v>dual_power_ELRL</v>
      </c>
      <c r="CD293" s="17" t="str" cm="1">
        <f t="array" ref="CD293">_xlfn.CONCAT("{BLACK}Length: {GOLD}", TEXT(ROUNDUP(IF(AQ293&lt;&gt;"",SUM(VALUE(_xlfn.TEXTSPLIT(AQ293, ","))), SUM(VALUE(_xlfn.TEXTSPLIT(AN293, ",")))*IF(M293, M293, 1))/16, 1), "#,##0.0"), " tiles{}")</f>
        <v>{BLACK}Length: {GOLD}4.4 tiles{}</v>
      </c>
      <c r="CE293" t="str">
        <f>VLOOKUP($CC293, Constants!$M:$N, 2, FALSE)</f>
        <v>{BLACK}Powered by: {GOLD}25kV AC / Diesel</v>
      </c>
      <c r="CF293" t="str">
        <f t="shared" si="319"/>
        <v>{BLACK}Cars: {GOLD}5</v>
      </c>
      <c r="CG293" t="s">
        <v>1265</v>
      </c>
      <c r="CH293" t="str">
        <f t="shared" si="303"/>
        <v/>
      </c>
      <c r="CI293" t="str">
        <f t="shared" si="305"/>
        <v>{YELLOW}20% bonus for long distance travel{}</v>
      </c>
      <c r="CJ293" t="str">
        <f t="shared" si="306"/>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294" spans="1:88" x14ac:dyDescent="0.35">
      <c r="A294" t="s">
        <v>90</v>
      </c>
      <c r="B294" t="s">
        <v>640</v>
      </c>
      <c r="C294">
        <v>510</v>
      </c>
      <c r="E294">
        <v>180</v>
      </c>
      <c r="F294" t="s">
        <v>1498</v>
      </c>
      <c r="G294" t="s">
        <v>398</v>
      </c>
      <c r="H294" t="s">
        <v>268</v>
      </c>
      <c r="I294" t="s">
        <v>270</v>
      </c>
      <c r="J294">
        <v>2019</v>
      </c>
      <c r="M294">
        <v>2</v>
      </c>
      <c r="N294">
        <f>523*2</f>
        <v>1046</v>
      </c>
      <c r="W294">
        <v>80</v>
      </c>
      <c r="Y294">
        <v>5</v>
      </c>
      <c r="Z294">
        <v>145</v>
      </c>
      <c r="AA294" s="3">
        <f t="shared" si="308"/>
        <v>0.18124999999999999</v>
      </c>
      <c r="AB294">
        <v>100</v>
      </c>
      <c r="AC294">
        <f t="shared" si="302"/>
        <v>160</v>
      </c>
      <c r="AF294">
        <v>24</v>
      </c>
      <c r="AG294">
        <v>24</v>
      </c>
      <c r="AH294">
        <v>2.7</v>
      </c>
      <c r="AI294">
        <v>3.85</v>
      </c>
      <c r="AJ294" s="10">
        <v>63</v>
      </c>
      <c r="AK294" t="str">
        <f>CONCATENATE(VLOOKUP(AL294, 'Voxel Sizes'!$A$2:$B$18,2,FALSE),"x",INT(AH294*15), "x", INT(AI294*15))</f>
        <v>238x40x57</v>
      </c>
      <c r="AL294">
        <f t="shared" si="309"/>
        <v>14</v>
      </c>
      <c r="AN294" t="str">
        <f>CONCATENATE(VLOOKUP(AL294,Constants!$A$2:$C$16,IF(AM294&lt;&gt;"", 3, 2), FALSE),IF(AM294&lt;&gt;"",CONCATENATE(",",VLOOKUP(AM294,$B:$AN,39,FALSE)),""))</f>
        <v>4,6,4</v>
      </c>
      <c r="AR294" t="s">
        <v>641</v>
      </c>
      <c r="AT294" t="s">
        <v>461</v>
      </c>
      <c r="AX294">
        <v>30</v>
      </c>
      <c r="AY294" s="15" t="str">
        <f t="shared" si="310"/>
        <v/>
      </c>
      <c r="AZ294">
        <v>-15</v>
      </c>
      <c r="BA294">
        <v>-25</v>
      </c>
      <c r="BB294">
        <f t="shared" si="311"/>
        <v>20</v>
      </c>
      <c r="BC294">
        <f t="shared" si="312"/>
        <v>5.23</v>
      </c>
      <c r="BD294">
        <f t="shared" si="313"/>
        <v>7.25</v>
      </c>
      <c r="BE294" s="3">
        <f t="shared" si="314"/>
        <v>0.84133333333333327</v>
      </c>
      <c r="BF294">
        <f t="shared" si="315"/>
        <v>4.2</v>
      </c>
      <c r="BG294">
        <f>VLOOKUP($H294,Constants!$I:$K, 2, FALSE)</f>
        <v>1</v>
      </c>
      <c r="BH294">
        <f>VLOOKUP($H294,Constants!$I:$K, 3, FALSE)*IF(AND(G294="multiple_unit",AB294&lt;110),0.75,1)</f>
        <v>1.5</v>
      </c>
      <c r="BI294">
        <f>INT(POWER(((Constants!$G$2+$BB294+$BC294+$BD294+$BF294)*$BE294)*$BH294, 1.05))+$BA294</f>
        <v>39</v>
      </c>
      <c r="BJ294">
        <f>INT(POWER((((Constants!$G$1+$BB294+$BC294+$BD294+$BF294)*($BE294))*$BG294),IF($G294="wagon",1,1.2)))+$AZ294</f>
        <v>77</v>
      </c>
      <c r="BK294" s="14">
        <f t="shared" si="316"/>
        <v>30468.75</v>
      </c>
      <c r="BL294" s="14">
        <f t="shared" si="317"/>
        <v>6256.25</v>
      </c>
      <c r="BU294">
        <v>2</v>
      </c>
      <c r="BV294">
        <v>185</v>
      </c>
      <c r="BY294" t="s">
        <v>278</v>
      </c>
      <c r="BZ294" t="str">
        <f>VLOOKUP(J294,Eras!$A$2:$C$10, 2, TRUE)</f>
        <v>mod</v>
      </c>
      <c r="CA294" t="s">
        <v>326</v>
      </c>
      <c r="CB294" t="str">
        <f t="shared" si="318"/>
        <v>mod_DMU</v>
      </c>
      <c r="CC294" t="str">
        <f t="shared" si="304"/>
        <v>diesel_RAIL</v>
      </c>
      <c r="CD294" s="17" t="str" cm="1">
        <f t="array" ref="CD294">_xlfn.CONCAT("{BLACK}Length: {GOLD}", TEXT(ROUNDUP(IF(AQ294&lt;&gt;"",SUM(VALUE(_xlfn.TEXTSPLIT(AQ294, ","))), SUM(VALUE(_xlfn.TEXTSPLIT(AN294, ",")))*IF(M294, M294, 1))/16, 1), "#,##0.0"), " tiles{}")</f>
        <v>{BLACK}Length: {GOLD}1.8 tiles{}</v>
      </c>
      <c r="CE294" t="str">
        <f>VLOOKUP($CC294, Constants!$M:$N, 2, FALSE)</f>
        <v>{BLACK}Powered by: {GOLD}Diesel</v>
      </c>
      <c r="CF294" t="str">
        <f t="shared" si="319"/>
        <v>{BLACK}Cars: {GOLD}2</v>
      </c>
      <c r="CG294" t="s">
        <v>642</v>
      </c>
      <c r="CH294" t="str">
        <f t="shared" si="303"/>
        <v/>
      </c>
      <c r="CI294" t="str">
        <f t="shared" si="305"/>
        <v/>
      </c>
      <c r="CJ294" t="str">
        <f t="shared" si="306"/>
        <v>{BLACK}Powered by: {GOLD}Diesel {BLACK}Cars: {GOLD}2{}{BLACK}Length: {GOLD}1.8 tiles{}{SILVER}The Class 195 is designed to replace Sprinter and Pacer units with a multiple unit of far higher quality and passenger comfort.</v>
      </c>
    </row>
    <row r="295" spans="1:88" x14ac:dyDescent="0.35">
      <c r="A295" t="s">
        <v>1230</v>
      </c>
      <c r="B295" t="s">
        <v>1234</v>
      </c>
      <c r="C295">
        <v>511</v>
      </c>
      <c r="E295">
        <v>181</v>
      </c>
      <c r="F295" t="s">
        <v>1498</v>
      </c>
      <c r="G295" t="s">
        <v>398</v>
      </c>
      <c r="H295" t="s">
        <v>535</v>
      </c>
      <c r="I295" t="s">
        <v>292</v>
      </c>
      <c r="J295">
        <v>2019</v>
      </c>
      <c r="M295">
        <v>5</v>
      </c>
      <c r="N295">
        <v>3500</v>
      </c>
      <c r="O295" s="8">
        <v>2570</v>
      </c>
      <c r="W295">
        <v>163</v>
      </c>
      <c r="Y295">
        <v>5</v>
      </c>
      <c r="Z295">
        <v>185</v>
      </c>
      <c r="AA295" s="3">
        <f t="shared" si="308"/>
        <v>0.11349693251533742</v>
      </c>
      <c r="AB295">
        <v>100</v>
      </c>
      <c r="AC295">
        <f t="shared" si="302"/>
        <v>160</v>
      </c>
      <c r="AF295">
        <v>20.100000000000001</v>
      </c>
      <c r="AG295">
        <v>20.100000000000001</v>
      </c>
      <c r="AH295">
        <v>2.72</v>
      </c>
      <c r="AI295">
        <v>3.95</v>
      </c>
      <c r="AJ295" s="10">
        <v>45</v>
      </c>
      <c r="AK295" t="str">
        <f>CONCATENATE(VLOOKUP(AL295, 'Voxel Sizes'!$A$2:$B$18,2,FALSE),"x",INT(AH295*15), "x", INT(AI295*15))</f>
        <v>198x40x59</v>
      </c>
      <c r="AL295">
        <f t="shared" si="309"/>
        <v>12</v>
      </c>
      <c r="AN295" t="str">
        <f>CONCATENATE(VLOOKUP(AL295,Constants!$A$2:$C$16,IF(AM295&lt;&gt;"", 3, 2), FALSE),IF(AM295&lt;&gt;"",CONCATENATE(",",VLOOKUP(AM295,$B:$AN,39,FALSE)),""))</f>
        <v>4,4,4</v>
      </c>
      <c r="AO295">
        <v>6</v>
      </c>
      <c r="AP295" s="12" t="s">
        <v>1240</v>
      </c>
      <c r="AQ295" s="12" t="s">
        <v>1243</v>
      </c>
      <c r="AR295" t="s">
        <v>1242</v>
      </c>
      <c r="AS295" t="s">
        <v>1238</v>
      </c>
      <c r="AT295" t="s">
        <v>1241</v>
      </c>
      <c r="AX295">
        <v>30</v>
      </c>
      <c r="AY295" s="15" t="str">
        <f t="shared" si="310"/>
        <v/>
      </c>
      <c r="AZ295">
        <v>-15</v>
      </c>
      <c r="BA295">
        <v>-30</v>
      </c>
      <c r="BB295">
        <f t="shared" si="311"/>
        <v>20</v>
      </c>
      <c r="BC295">
        <f t="shared" si="312"/>
        <v>17.5</v>
      </c>
      <c r="BD295">
        <f t="shared" si="313"/>
        <v>9.25</v>
      </c>
      <c r="BE295" s="3">
        <f t="shared" si="314"/>
        <v>0.84133333333333327</v>
      </c>
      <c r="BF295">
        <f t="shared" si="315"/>
        <v>7.5</v>
      </c>
      <c r="BG295">
        <f>VLOOKUP($H295,Constants!$I:$K, 2, FALSE)</f>
        <v>0.9</v>
      </c>
      <c r="BH295">
        <f>VLOOKUP($H295,Constants!$I:$K, 3, FALSE)*IF(AND(G295="multiple_unit",AB295&lt;110),0.75,1)</f>
        <v>1.875</v>
      </c>
      <c r="BI295">
        <f>INT(POWER(((Constants!$G$2+$BB295+$BC295+$BD295+$BF295)*$BE295)*$BH295, 1.05))+$BA295</f>
        <v>87</v>
      </c>
      <c r="BJ295">
        <f>INT(POWER((((Constants!$G$1+$BB295+$BC295+$BD295+$BF295)*($BE295))*$BG295),IF($G295="wagon",1,1.2)))+$AZ295</f>
        <v>100</v>
      </c>
      <c r="BK295" s="14">
        <f t="shared" si="316"/>
        <v>67968.75</v>
      </c>
      <c r="BL295" s="14">
        <f t="shared" si="317"/>
        <v>8125</v>
      </c>
      <c r="BU295">
        <v>9</v>
      </c>
      <c r="BY295" t="s">
        <v>278</v>
      </c>
      <c r="BZ295" t="str">
        <f>VLOOKUP(J295,Eras!$A$2:$C$10, 2, TRUE)</f>
        <v>mod</v>
      </c>
      <c r="CA295" t="s">
        <v>328</v>
      </c>
      <c r="CB295" t="str">
        <f t="shared" si="318"/>
        <v>mod_EMU</v>
      </c>
      <c r="CC295" t="str">
        <f t="shared" si="304"/>
        <v>dual_power_ELRL</v>
      </c>
      <c r="CD295" s="17" t="str" cm="1">
        <f t="array" ref="CD295">_xlfn.CONCAT("{BLACK}Length: {GOLD}", TEXT(ROUNDUP(IF(AQ295&lt;&gt;"",SUM(VALUE(_xlfn.TEXTSPLIT(AQ295, ","))), SUM(VALUE(_xlfn.TEXTSPLIT(AN295, ",")))*IF(M295, M295, 1))/16, 1), "#,##0.0"), " tiles{}")</f>
        <v>{BLACK}Length: {GOLD}3.0 tiles{}</v>
      </c>
      <c r="CE295" t="str">
        <f>VLOOKUP($CC295, Constants!$M:$N, 2, FALSE)</f>
        <v>{BLACK}Powered by: {GOLD}25kV AC / Diesel</v>
      </c>
      <c r="CF295" t="str">
        <f t="shared" si="319"/>
        <v>{BLACK}Cars: {GOLD}5</v>
      </c>
      <c r="CG295" t="s">
        <v>1233</v>
      </c>
      <c r="CH295" t="str">
        <f t="shared" si="303"/>
        <v/>
      </c>
      <c r="CI295" t="str">
        <f t="shared" si="305"/>
        <v/>
      </c>
      <c r="CJ295" t="str">
        <f t="shared" si="306"/>
        <v>{BLACK}Powered by: {GOLD}25kV AC / Diesel {BLACK}Cars: {GOLD}5{}{BLACK}Length: {GOLD}3.0 tiles{}{SILVER}The Class 755 was designed to modernise services on the East Anglia franchise. The design features a distinctive "power pack" containing the diesel engines used for bi-mode operation.</v>
      </c>
    </row>
    <row r="296" spans="1:88" x14ac:dyDescent="0.35">
      <c r="A296" t="s">
        <v>1249</v>
      </c>
      <c r="B296" t="s">
        <v>1250</v>
      </c>
      <c r="C296">
        <v>512</v>
      </c>
      <c r="E296">
        <v>182</v>
      </c>
      <c r="F296" t="s">
        <v>1498</v>
      </c>
      <c r="G296" t="s">
        <v>398</v>
      </c>
      <c r="H296" t="s">
        <v>291</v>
      </c>
      <c r="I296" t="s">
        <v>292</v>
      </c>
      <c r="J296">
        <v>2018</v>
      </c>
      <c r="M296">
        <v>3</v>
      </c>
      <c r="N296">
        <f>335*6</f>
        <v>2010</v>
      </c>
      <c r="W296">
        <v>130</v>
      </c>
      <c r="Y296">
        <v>5</v>
      </c>
      <c r="Z296">
        <v>150</v>
      </c>
      <c r="AA296" s="3">
        <f t="shared" si="308"/>
        <v>0.11538461538461539</v>
      </c>
      <c r="AB296">
        <v>100</v>
      </c>
      <c r="AC296">
        <f t="shared" si="302"/>
        <v>160</v>
      </c>
      <c r="AF296">
        <v>23</v>
      </c>
      <c r="AG296">
        <v>23</v>
      </c>
      <c r="AJ296" s="10">
        <v>69</v>
      </c>
      <c r="AK296" t="str">
        <f>CONCATENATE(VLOOKUP(AL296, 'Voxel Sizes'!$A$2:$B$18,2,FALSE),"x",INT(AH296*15), "x", INT(AI296*15))</f>
        <v>214x0x0</v>
      </c>
      <c r="AL296">
        <f t="shared" si="309"/>
        <v>13</v>
      </c>
      <c r="AN296" t="str">
        <f>CONCATENATE(VLOOKUP(AL296,Constants!$A$2:$C$16,IF(AM296&lt;&gt;"", 3, 2), FALSE),IF(AM296&lt;&gt;"",CONCATENATE(",",VLOOKUP(AM296,$B:$AN,39,FALSE)),""))</f>
        <v>4,5,4</v>
      </c>
      <c r="AR296" t="s">
        <v>1267</v>
      </c>
      <c r="AT296" t="s">
        <v>287</v>
      </c>
      <c r="AX296">
        <v>32</v>
      </c>
      <c r="AY296" s="15" t="str">
        <f t="shared" si="310"/>
        <v/>
      </c>
      <c r="AZ296">
        <v>-15</v>
      </c>
      <c r="BA296">
        <v>-32</v>
      </c>
      <c r="BB296">
        <f t="shared" si="311"/>
        <v>20</v>
      </c>
      <c r="BC296">
        <f t="shared" si="312"/>
        <v>10.049999999999999</v>
      </c>
      <c r="BD296">
        <f t="shared" si="313"/>
        <v>7.5</v>
      </c>
      <c r="BE296" s="3">
        <f t="shared" si="314"/>
        <v>0.84266666666666667</v>
      </c>
      <c r="BF296">
        <f t="shared" si="315"/>
        <v>6.9</v>
      </c>
      <c r="BG296">
        <f>VLOOKUP($H296,Constants!$I:$K, 2, FALSE)</f>
        <v>0.85</v>
      </c>
      <c r="BH296">
        <f>VLOOKUP($H296,Constants!$I:$K, 3, FALSE)*IF(AND(G296="multiple_unit",AB296&lt;110),0.75,1)</f>
        <v>1.7249999999999999</v>
      </c>
      <c r="BI296">
        <f>INT(POWER(((Constants!$G$2+$BB296+$BC296+$BD296+$BF296)*$BE296)*$BH296, 1.05))+$BA296</f>
        <v>57</v>
      </c>
      <c r="BJ296">
        <f>INT(POWER((((Constants!$G$1+$BB296+$BC296+$BD296+$BF296)*($BE296))*$BG296),IF($G296="wagon",1,1.2)))+$AZ296</f>
        <v>75</v>
      </c>
      <c r="BK296" s="14">
        <f t="shared" si="316"/>
        <v>44531.25</v>
      </c>
      <c r="BL296" s="14">
        <f t="shared" si="317"/>
        <v>6093.75</v>
      </c>
      <c r="BU296">
        <v>11</v>
      </c>
      <c r="BV296">
        <v>185</v>
      </c>
      <c r="BY296" t="s">
        <v>278</v>
      </c>
      <c r="BZ296" t="str">
        <f>VLOOKUP(J296,Eras!$A$2:$C$10, 2, TRUE)</f>
        <v>mod</v>
      </c>
      <c r="CA296" t="s">
        <v>328</v>
      </c>
      <c r="CB296" t="str">
        <f t="shared" si="318"/>
        <v>mod_EMU</v>
      </c>
      <c r="CC296" t="str">
        <f t="shared" si="304"/>
        <v>electric_ELRL</v>
      </c>
      <c r="CD296" s="17" t="str" cm="1">
        <f t="array" ref="CD296">_xlfn.CONCAT("{BLACK}Length: {GOLD}", TEXT(ROUNDUP(IF(AQ296&lt;&gt;"",SUM(VALUE(_xlfn.TEXTSPLIT(AQ296, ","))), SUM(VALUE(_xlfn.TEXTSPLIT(AN296, ",")))*IF(M296, M296, 1))/16, 1), "#,##0.0"), " tiles{}")</f>
        <v>{BLACK}Length: {GOLD}2.5 tiles{}</v>
      </c>
      <c r="CE296" t="str">
        <f>VLOOKUP($CC296, Constants!$M:$N, 2, FALSE)</f>
        <v>{BLACK}Powered by: {GOLD}25kV AC</v>
      </c>
      <c r="CF296" t="str">
        <f t="shared" si="319"/>
        <v>{BLACK}Cars: {GOLD}3</v>
      </c>
      <c r="CG296" t="s">
        <v>1268</v>
      </c>
      <c r="CH296" t="str">
        <f t="shared" si="303"/>
        <v/>
      </c>
      <c r="CI296" t="str">
        <f t="shared" si="305"/>
        <v/>
      </c>
      <c r="CJ296" t="str">
        <f t="shared" si="306"/>
        <v>{BLACK}Powered by: {GOLD}25kV AC {BLACK}Cars: {GOLD}3{}{BLACK}Length: {GOLD}2.5 tiles{}{SILVER}The Class 385 was built for use on newly electrified lines in Scotland. Unlike most AT200 variants, it has cab end doors to allow for trolley services throughout the train.</v>
      </c>
    </row>
    <row r="297" spans="1:88" x14ac:dyDescent="0.35">
      <c r="A297" t="s">
        <v>1255</v>
      </c>
      <c r="B297" t="s">
        <v>1277</v>
      </c>
      <c r="C297">
        <v>513</v>
      </c>
      <c r="E297">
        <v>183</v>
      </c>
      <c r="F297" t="s">
        <v>1498</v>
      </c>
      <c r="G297" t="s">
        <v>398</v>
      </c>
      <c r="H297" t="s">
        <v>546</v>
      </c>
      <c r="I297" t="s">
        <v>545</v>
      </c>
      <c r="J297">
        <v>2016</v>
      </c>
      <c r="M297">
        <v>8</v>
      </c>
      <c r="N297">
        <v>4400</v>
      </c>
      <c r="O297" s="8">
        <v>2560</v>
      </c>
      <c r="W297">
        <v>278</v>
      </c>
      <c r="Y297">
        <v>6</v>
      </c>
      <c r="Z297">
        <v>225</v>
      </c>
      <c r="AA297" s="3">
        <f t="shared" si="308"/>
        <v>8.0935251798561147E-2</v>
      </c>
      <c r="AB297">
        <v>100</v>
      </c>
      <c r="AC297">
        <f t="shared" si="302"/>
        <v>160</v>
      </c>
      <c r="AF297">
        <v>20.2</v>
      </c>
      <c r="AG297">
        <v>20.2</v>
      </c>
      <c r="AJ297" s="10">
        <v>69</v>
      </c>
      <c r="AK297" t="str">
        <f>CONCATENATE(VLOOKUP(AL297, 'Voxel Sizes'!$A$2:$B$18,2,FALSE),"x",INT(AH297*15), "x", INT(AI297*15))</f>
        <v>198x0x0</v>
      </c>
      <c r="AL297">
        <f t="shared" si="309"/>
        <v>12</v>
      </c>
      <c r="AN297" t="str">
        <f>CONCATENATE(VLOOKUP(AL297,Constants!$A$2:$C$16,IF(AM297&lt;&gt;"", 3, 2), FALSE),IF(AM297&lt;&gt;"",CONCATENATE(",",VLOOKUP(AM297,$B:$AN,39,FALSE)),""))</f>
        <v>4,4,4</v>
      </c>
      <c r="AR297" t="s">
        <v>1278</v>
      </c>
      <c r="AS297" t="s">
        <v>1281</v>
      </c>
      <c r="AT297" t="s">
        <v>1279</v>
      </c>
      <c r="AX297">
        <v>30</v>
      </c>
      <c r="AY297" s="15" t="str">
        <f t="shared" si="310"/>
        <v/>
      </c>
      <c r="AZ297">
        <v>-15</v>
      </c>
      <c r="BA297">
        <v>-30</v>
      </c>
      <c r="BB297">
        <f t="shared" si="311"/>
        <v>20</v>
      </c>
      <c r="BC297">
        <f t="shared" si="312"/>
        <v>20</v>
      </c>
      <c r="BD297">
        <f t="shared" si="313"/>
        <v>11.25</v>
      </c>
      <c r="BE297" s="3">
        <f t="shared" si="314"/>
        <v>0.84533333333333327</v>
      </c>
      <c r="BF297">
        <f t="shared" si="315"/>
        <v>18.400000000000002</v>
      </c>
      <c r="BG297">
        <f>VLOOKUP($H297,Constants!$I:$K, 2, FALSE)</f>
        <v>0.85</v>
      </c>
      <c r="BH297">
        <f>VLOOKUP($H297,Constants!$I:$K, 3, FALSE)*IF(AND(G297="multiple_unit",AB297&lt;110),0.75,1)</f>
        <v>1.7999999999999998</v>
      </c>
      <c r="BI297">
        <f>INT(POWER(((Constants!$G$2+$BB297+$BC297+$BD297+$BF297)*$BE297)*$BH297, 1.05))+$BA297</f>
        <v>113</v>
      </c>
      <c r="BJ297">
        <f>INT(POWER((((Constants!$G$1+$BB297+$BC297+$BD297+$BF297)*($BE297))*$BG297),IF($G297="wagon",1,1.2)))+$AZ297</f>
        <v>123</v>
      </c>
      <c r="BK297" s="14">
        <f t="shared" si="316"/>
        <v>88281.25</v>
      </c>
      <c r="BL297" s="14">
        <f t="shared" si="317"/>
        <v>9993.75</v>
      </c>
      <c r="BT297" t="s">
        <v>1138</v>
      </c>
      <c r="BU297">
        <v>3</v>
      </c>
      <c r="BY297" t="s">
        <v>278</v>
      </c>
      <c r="BZ297" t="str">
        <f>VLOOKUP(J297,Eras!$A$2:$C$10, 2, TRUE)</f>
        <v>mod</v>
      </c>
      <c r="CA297" t="s">
        <v>328</v>
      </c>
      <c r="CB297" t="str">
        <f t="shared" si="318"/>
        <v>mod_EMU</v>
      </c>
      <c r="CC297" t="str">
        <f t="shared" si="304"/>
        <v>dual_electric_DUAL_POWER</v>
      </c>
      <c r="CD297" s="17" t="str" cm="1">
        <f t="array" ref="CD297">_xlfn.CONCAT("{BLACK}Length: {GOLD}", TEXT(ROUNDUP(IF(AQ297&lt;&gt;"",SUM(VALUE(_xlfn.TEXTSPLIT(AQ297, ","))), SUM(VALUE(_xlfn.TEXTSPLIT(AN297, ",")))*IF(M297, M297, 1))/16, 1), "#,##0.0"), " tiles{}")</f>
        <v>{BLACK}Length: {GOLD}6.0 tiles{}</v>
      </c>
      <c r="CE297" t="str">
        <f>VLOOKUP($CC297, Constants!$M:$N, 2, FALSE)</f>
        <v>{BLACK}Powered by: {GOLD}25kV AC / 750V DC</v>
      </c>
      <c r="CF297" t="str">
        <f t="shared" si="319"/>
        <v>{BLACK}Cars: {GOLD}8</v>
      </c>
      <c r="CG297" t="s">
        <v>1280</v>
      </c>
      <c r="CH297" t="str">
        <f t="shared" si="303"/>
        <v/>
      </c>
      <c r="CI297" t="str">
        <f t="shared" si="305"/>
        <v/>
      </c>
      <c r="CJ297" t="str">
        <f t="shared" si="306"/>
        <v>{BLACK}Powered by: {GOLD}25kV AC / 750V DC {BLACK}Cars: {GOLD}8{}{BLACK}Length: {GOLD}6.0 tiles{}{SILVER}The Class 700 was one of multiple designs evaluated for the Thameslink programme. Although one of the more conventional designs, it offered good capacity and passenger comfort with a relatively low axle load.</v>
      </c>
    </row>
    <row r="298" spans="1:88" x14ac:dyDescent="0.35">
      <c r="A298" t="s">
        <v>1251</v>
      </c>
      <c r="B298" t="s">
        <v>1252</v>
      </c>
      <c r="C298">
        <v>514</v>
      </c>
      <c r="E298">
        <v>184</v>
      </c>
      <c r="F298" t="s">
        <v>1498</v>
      </c>
      <c r="G298" t="s">
        <v>398</v>
      </c>
      <c r="H298" t="s">
        <v>291</v>
      </c>
      <c r="I298" t="s">
        <v>292</v>
      </c>
      <c r="J298">
        <v>2017</v>
      </c>
      <c r="M298">
        <v>9</v>
      </c>
      <c r="N298">
        <v>1900</v>
      </c>
      <c r="W298">
        <v>264</v>
      </c>
      <c r="Y298">
        <v>7</v>
      </c>
      <c r="Z298">
        <v>220</v>
      </c>
      <c r="AA298" s="3">
        <f t="shared" si="308"/>
        <v>8.3333333333333329E-2</v>
      </c>
      <c r="AB298">
        <v>90</v>
      </c>
      <c r="AC298">
        <f t="shared" si="302"/>
        <v>144</v>
      </c>
      <c r="AF298">
        <v>22.7</v>
      </c>
      <c r="AG298">
        <v>22.7</v>
      </c>
      <c r="AJ298" s="10">
        <v>78</v>
      </c>
      <c r="AK298" t="str">
        <f>CONCATENATE(VLOOKUP(AL298, 'Voxel Sizes'!$A$2:$B$18,2,FALSE),"x",INT(AH298*15), "x", INT(AI298*15))</f>
        <v>214x0x0</v>
      </c>
      <c r="AL298">
        <f t="shared" si="309"/>
        <v>13</v>
      </c>
      <c r="AN298" t="str">
        <f>CONCATENATE(VLOOKUP(AL298,Constants!$A$2:$C$16,IF(AM298&lt;&gt;"", 3, 2), FALSE),IF(AM298&lt;&gt;"",CONCATENATE(",",VLOOKUP(AM298,$B:$AN,39,FALSE)),""))</f>
        <v>4,5,4</v>
      </c>
      <c r="AR298" t="s">
        <v>1270</v>
      </c>
      <c r="AT298" t="s">
        <v>1271</v>
      </c>
      <c r="AX298">
        <v>30</v>
      </c>
      <c r="AY298" s="15" t="str">
        <f t="shared" si="310"/>
        <v/>
      </c>
      <c r="AZ298">
        <v>-19</v>
      </c>
      <c r="BA298">
        <v>-22</v>
      </c>
      <c r="BB298">
        <f t="shared" si="311"/>
        <v>18</v>
      </c>
      <c r="BC298">
        <f t="shared" si="312"/>
        <v>9.5</v>
      </c>
      <c r="BD298">
        <f t="shared" si="313"/>
        <v>11</v>
      </c>
      <c r="BE298" s="3">
        <f t="shared" si="314"/>
        <v>0.84399999999999997</v>
      </c>
      <c r="BF298">
        <f t="shared" si="315"/>
        <v>23.4</v>
      </c>
      <c r="BG298">
        <f>VLOOKUP($H298,Constants!$I:$K, 2, FALSE)</f>
        <v>0.85</v>
      </c>
      <c r="BH298">
        <f>VLOOKUP($H298,Constants!$I:$K, 3, FALSE)*IF(AND(G298="multiple_unit",AB298&lt;110),0.75,1)</f>
        <v>1.7249999999999999</v>
      </c>
      <c r="BI298">
        <f>INT(POWER(((Constants!$G$2+$BB298+$BC298+$BD298+$BF298)*$BE298)*$BH298, 1.05))+$BA298</f>
        <v>100</v>
      </c>
      <c r="BJ298">
        <f>INT(POWER((((Constants!$G$1+$BB298+$BC298+$BD298+$BF298)*($BE298))*$BG298),IF($G298="wagon",1,1.2)))+$AZ298</f>
        <v>104</v>
      </c>
      <c r="BK298" s="14">
        <f t="shared" si="316"/>
        <v>78125</v>
      </c>
      <c r="BL298" s="14">
        <f t="shared" si="317"/>
        <v>8450</v>
      </c>
      <c r="BT298" t="s">
        <v>1142</v>
      </c>
      <c r="BU298">
        <v>1</v>
      </c>
      <c r="BV298">
        <v>165</v>
      </c>
      <c r="BY298" t="s">
        <v>278</v>
      </c>
      <c r="BZ298" t="str">
        <f>VLOOKUP(J298,Eras!$A$2:$C$10, 2, TRUE)</f>
        <v>mod</v>
      </c>
      <c r="CA298" t="s">
        <v>328</v>
      </c>
      <c r="CB298" t="str">
        <f t="shared" si="318"/>
        <v>mod_EMU</v>
      </c>
      <c r="CC298" t="str">
        <f t="shared" si="304"/>
        <v>electric_ELRL</v>
      </c>
      <c r="CD298" s="17" t="str" cm="1">
        <f t="array" ref="CD298">_xlfn.CONCAT("{BLACK}Length: {GOLD}", TEXT(ROUNDUP(IF(AQ298&lt;&gt;"",SUM(VALUE(_xlfn.TEXTSPLIT(AQ298, ","))), SUM(VALUE(_xlfn.TEXTSPLIT(AN298, ",")))*IF(M298, M298, 1))/16, 1), "#,##0.0"), " tiles{}")</f>
        <v>{BLACK}Length: {GOLD}7.4 tiles{}</v>
      </c>
      <c r="CE298" t="str">
        <f>VLOOKUP($CC298, Constants!$M:$N, 2, FALSE)</f>
        <v>{BLACK}Powered by: {GOLD}25kV AC</v>
      </c>
      <c r="CF298" t="str">
        <f t="shared" si="319"/>
        <v>{BLACK}Cars: {GOLD}9</v>
      </c>
      <c r="CG298" t="s">
        <v>1272</v>
      </c>
      <c r="CH298" t="str">
        <f t="shared" si="303"/>
        <v/>
      </c>
      <c r="CI298" t="str">
        <f t="shared" si="305"/>
        <v>{YELLOW}10% penalty for long distance travel{}</v>
      </c>
      <c r="CJ298" t="str">
        <f t="shared" si="306"/>
        <v>{BLACK}Powered by: {GOLD}25kV AC {BLACK}Cars: {GOLD}9{}{BLACK}Length: {GOLD}7.4 tiles{}{YELLOW}10% penalty for long distance travel{}{SILVER}Designed for London's Crossrail route, the Class 345 entered service on TfL Rail between Liverpool Street and Shenfield.</v>
      </c>
    </row>
    <row r="299" spans="1:88" x14ac:dyDescent="0.35">
      <c r="A299" t="s">
        <v>1256</v>
      </c>
      <c r="B299" t="s">
        <v>1276</v>
      </c>
      <c r="C299">
        <v>515</v>
      </c>
      <c r="E299">
        <v>185</v>
      </c>
      <c r="F299" t="s">
        <v>1498</v>
      </c>
      <c r="G299" t="s">
        <v>398</v>
      </c>
      <c r="H299" t="s">
        <v>291</v>
      </c>
      <c r="I299" t="s">
        <v>298</v>
      </c>
      <c r="J299">
        <v>2017</v>
      </c>
      <c r="M299">
        <v>5</v>
      </c>
      <c r="N299">
        <v>1600</v>
      </c>
      <c r="W299">
        <v>173</v>
      </c>
      <c r="Y299">
        <v>6</v>
      </c>
      <c r="Z299">
        <v>175</v>
      </c>
      <c r="AA299" s="3">
        <f t="shared" si="308"/>
        <v>0.10115606936416185</v>
      </c>
      <c r="AB299">
        <v>100</v>
      </c>
      <c r="AC299">
        <f t="shared" si="302"/>
        <v>160</v>
      </c>
      <c r="AF299">
        <v>20</v>
      </c>
      <c r="AG299">
        <v>20</v>
      </c>
      <c r="AH299">
        <v>2.8</v>
      </c>
      <c r="AJ299" s="10">
        <v>69</v>
      </c>
      <c r="AK299" t="str">
        <f>CONCATENATE(VLOOKUP(AL299, 'Voxel Sizes'!$A$2:$B$18,2,FALSE),"x",INT(AH299*15), "x", INT(AI299*15))</f>
        <v>198x42x0</v>
      </c>
      <c r="AL299">
        <f t="shared" si="309"/>
        <v>12</v>
      </c>
      <c r="AN299" t="str">
        <f>CONCATENATE(VLOOKUP(AL299,Constants!$A$2:$C$16,IF(AM299&lt;&gt;"", 3, 2), FALSE),IF(AM299&lt;&gt;"",CONCATENATE(",",VLOOKUP(AM299,$B:$AN,39,FALSE)),""))</f>
        <v>4,4,4</v>
      </c>
      <c r="AR299" t="s">
        <v>1282</v>
      </c>
      <c r="AT299" t="s">
        <v>1283</v>
      </c>
      <c r="AX299">
        <v>30</v>
      </c>
      <c r="AY299" s="15" t="str">
        <f t="shared" si="310"/>
        <v/>
      </c>
      <c r="AZ299">
        <v>-15</v>
      </c>
      <c r="BA299">
        <v>-30</v>
      </c>
      <c r="BB299">
        <f t="shared" si="311"/>
        <v>20</v>
      </c>
      <c r="BC299">
        <f t="shared" si="312"/>
        <v>8</v>
      </c>
      <c r="BD299">
        <f t="shared" si="313"/>
        <v>8.75</v>
      </c>
      <c r="BE299" s="3">
        <f t="shared" si="314"/>
        <v>0.84399999999999997</v>
      </c>
      <c r="BF299">
        <f t="shared" si="315"/>
        <v>11.500000000000002</v>
      </c>
      <c r="BG299">
        <f>VLOOKUP($H299,Constants!$I:$K, 2, FALSE)</f>
        <v>0.85</v>
      </c>
      <c r="BH299">
        <f>VLOOKUP($H299,Constants!$I:$K, 3, FALSE)*IF(AND(G299="multiple_unit",AB299&lt;110),0.75,1)</f>
        <v>1.7249999999999999</v>
      </c>
      <c r="BI299">
        <f>INT(POWER(((Constants!$G$2+$BB299+$BC299+$BD299+$BF299)*$BE299)*$BH299, 1.05))+$BA299</f>
        <v>66</v>
      </c>
      <c r="BJ299">
        <f>INT(POWER((((Constants!$G$1+$BB299+$BC299+$BD299+$BF299)*($BE299))*$BG299),IF($G299="wagon",1,1.2)))+$AZ299</f>
        <v>82</v>
      </c>
      <c r="BK299" s="14">
        <f t="shared" si="316"/>
        <v>51562.5</v>
      </c>
      <c r="BL299" s="14">
        <f t="shared" si="317"/>
        <v>6662.5</v>
      </c>
      <c r="BU299">
        <v>4</v>
      </c>
      <c r="BY299" t="s">
        <v>278</v>
      </c>
      <c r="BZ299" t="str">
        <f>VLOOKUP(J299,Eras!$A$2:$C$10, 2, TRUE)</f>
        <v>mod</v>
      </c>
      <c r="CA299" t="s">
        <v>328</v>
      </c>
      <c r="CB299" t="str">
        <f t="shared" si="318"/>
        <v>mod_EMU</v>
      </c>
      <c r="CC299" t="str">
        <f t="shared" si="304"/>
        <v>electric_THIRD_RAIL</v>
      </c>
      <c r="CD299" s="17" t="str" cm="1">
        <f t="array" ref="CD299">_xlfn.CONCAT("{BLACK}Length: {GOLD}", TEXT(ROUNDUP(IF(AQ299&lt;&gt;"",SUM(VALUE(_xlfn.TEXTSPLIT(AQ299, ","))), SUM(VALUE(_xlfn.TEXTSPLIT(AN299, ",")))*IF(M299, M299, 1))/16, 1), "#,##0.0"), " tiles{}")</f>
        <v>{BLACK}Length: {GOLD}3.8 tiles{}</v>
      </c>
      <c r="CE299" t="str">
        <f>VLOOKUP($CC299, Constants!$M:$N, 2, FALSE)</f>
        <v>{BLACK}Powered by: {GOLD}750V DC</v>
      </c>
      <c r="CF299" t="str">
        <f t="shared" si="319"/>
        <v>{BLACK}Cars: {GOLD}5</v>
      </c>
      <c r="CG299" t="s">
        <v>1284</v>
      </c>
      <c r="CH299" t="str">
        <f t="shared" si="303"/>
        <v/>
      </c>
      <c r="CI299" t="str">
        <f t="shared" si="305"/>
        <v/>
      </c>
      <c r="CJ299" t="str">
        <f t="shared" si="306"/>
        <v>{BLACK}Powered by: {GOLD}750V DC {BLACK}Cars: {GOLD}5{}{BLACK}Length: {GOLD}3.8 tiles{}{SILVER}South West Trains procured the Class 707 as part of capacity improvements for routes out of London Waterloo.</v>
      </c>
    </row>
    <row r="300" spans="1:88" x14ac:dyDescent="0.35">
      <c r="A300" t="s">
        <v>1253</v>
      </c>
      <c r="B300" t="s">
        <v>1254</v>
      </c>
      <c r="C300">
        <v>516</v>
      </c>
      <c r="E300">
        <v>186</v>
      </c>
      <c r="F300" t="s">
        <v>1498</v>
      </c>
      <c r="G300" t="s">
        <v>398</v>
      </c>
      <c r="H300" t="s">
        <v>546</v>
      </c>
      <c r="I300" t="s">
        <v>545</v>
      </c>
      <c r="J300">
        <v>2019</v>
      </c>
      <c r="M300">
        <v>4</v>
      </c>
      <c r="N300">
        <v>1800</v>
      </c>
      <c r="O300" s="8">
        <v>1600</v>
      </c>
      <c r="W300">
        <v>151</v>
      </c>
      <c r="Y300">
        <v>6</v>
      </c>
      <c r="Z300">
        <v>160</v>
      </c>
      <c r="AA300" s="3">
        <f t="shared" si="308"/>
        <v>0.10596026490066225</v>
      </c>
      <c r="AB300">
        <v>75</v>
      </c>
      <c r="AC300">
        <f t="shared" si="302"/>
        <v>120</v>
      </c>
      <c r="AF300">
        <v>21.44</v>
      </c>
      <c r="AG300">
        <v>21.4</v>
      </c>
      <c r="AJ300" s="10">
        <v>78</v>
      </c>
      <c r="AK300" t="str">
        <f>CONCATENATE(VLOOKUP(AL300, 'Voxel Sizes'!$A$2:$B$18,2,FALSE),"x",INT(AH300*15), "x", INT(AI300*15))</f>
        <v>214x0x0</v>
      </c>
      <c r="AL300">
        <f t="shared" si="309"/>
        <v>13</v>
      </c>
      <c r="AN300" t="str">
        <f>CONCATENATE(VLOOKUP(AL300,Constants!$A$2:$C$16,IF(AM300&lt;&gt;"", 3, 2), FALSE),IF(AM300&lt;&gt;"",CONCATENATE(",",VLOOKUP(AM300,$B:$AN,39,FALSE)),""))</f>
        <v>4,5,4</v>
      </c>
      <c r="AR300" t="s">
        <v>1273</v>
      </c>
      <c r="AS300" t="s">
        <v>1274</v>
      </c>
      <c r="AT300" t="s">
        <v>549</v>
      </c>
      <c r="AX300">
        <v>30</v>
      </c>
      <c r="AY300" s="15" t="str">
        <f t="shared" si="310"/>
        <v/>
      </c>
      <c r="AZ300">
        <v>-19</v>
      </c>
      <c r="BA300">
        <v>-25</v>
      </c>
      <c r="BB300">
        <f t="shared" si="311"/>
        <v>15</v>
      </c>
      <c r="BC300">
        <f t="shared" si="312"/>
        <v>9</v>
      </c>
      <c r="BD300">
        <f t="shared" si="313"/>
        <v>8</v>
      </c>
      <c r="BE300" s="3">
        <f t="shared" si="314"/>
        <v>0.84133333333333327</v>
      </c>
      <c r="BF300">
        <f t="shared" si="315"/>
        <v>10.4</v>
      </c>
      <c r="BG300">
        <f>VLOOKUP($H300,Constants!$I:$K, 2, FALSE)</f>
        <v>0.85</v>
      </c>
      <c r="BH300">
        <f>VLOOKUP($H300,Constants!$I:$K, 3, FALSE)*IF(AND(G300="multiple_unit",AB300&lt;110),0.75,1)</f>
        <v>1.7999999999999998</v>
      </c>
      <c r="BI300">
        <f>INT(POWER(((Constants!$G$2+$BB300+$BC300+$BD300+$BF300)*$BE300)*$BH300, 1.05))+$BA300</f>
        <v>63</v>
      </c>
      <c r="BJ300">
        <f>INT(POWER((((Constants!$G$1+$BB300+$BC300+$BD300+$BF300)*($BE300))*$BG300),IF($G300="wagon",1,1.2)))+$AZ300</f>
        <v>67</v>
      </c>
      <c r="BK300" s="14">
        <f t="shared" si="316"/>
        <v>49218.75</v>
      </c>
      <c r="BL300" s="14">
        <f t="shared" si="317"/>
        <v>5443.75</v>
      </c>
      <c r="BU300">
        <v>2</v>
      </c>
      <c r="BV300">
        <v>165</v>
      </c>
      <c r="BY300" t="s">
        <v>278</v>
      </c>
      <c r="BZ300" t="str">
        <f>VLOOKUP(J300,Eras!$A$2:$C$10, 2, TRUE)</f>
        <v>mod</v>
      </c>
      <c r="CA300" t="s">
        <v>328</v>
      </c>
      <c r="CB300" t="str">
        <f t="shared" si="318"/>
        <v>mod_EMU</v>
      </c>
      <c r="CC300" t="str">
        <f t="shared" si="304"/>
        <v>dual_electric_DUAL_POWER</v>
      </c>
      <c r="CD300" s="17" t="str" cm="1">
        <f t="array" ref="CD300">_xlfn.CONCAT("{BLACK}Length: {GOLD}", TEXT(ROUNDUP(IF(AQ300&lt;&gt;"",SUM(VALUE(_xlfn.TEXTSPLIT(AQ300, ","))), SUM(VALUE(_xlfn.TEXTSPLIT(AN300, ",")))*IF(M300, M300, 1))/16, 1), "#,##0.0"), " tiles{}")</f>
        <v>{BLACK}Length: {GOLD}3.3 tiles{}</v>
      </c>
      <c r="CE300" t="str">
        <f>VLOOKUP($CC300, Constants!$M:$N, 2, FALSE)</f>
        <v>{BLACK}Powered by: {GOLD}25kV AC / 750V DC</v>
      </c>
      <c r="CF300" t="str">
        <f t="shared" si="319"/>
        <v>{BLACK}Cars: {GOLD}4</v>
      </c>
      <c r="CG300" t="s">
        <v>1275</v>
      </c>
      <c r="CH300" t="str">
        <f t="shared" si="303"/>
        <v/>
      </c>
      <c r="CI300" t="str">
        <f t="shared" si="305"/>
        <v>{YELLOW}10% penalty for long distance travel{}</v>
      </c>
      <c r="CJ300" t="str">
        <f t="shared" si="306"/>
        <v>{BLACK}Powered by: {GOLD}25kV AC / 750V DC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01" spans="1:88" x14ac:dyDescent="0.35">
      <c r="A301" t="s">
        <v>1251</v>
      </c>
      <c r="B301" t="s">
        <v>1285</v>
      </c>
      <c r="C301">
        <v>517</v>
      </c>
      <c r="E301">
        <v>187</v>
      </c>
      <c r="F301" t="s">
        <v>1498</v>
      </c>
      <c r="G301" t="s">
        <v>398</v>
      </c>
      <c r="H301" t="s">
        <v>291</v>
      </c>
      <c r="I301" t="s">
        <v>292</v>
      </c>
      <c r="J301">
        <v>2017</v>
      </c>
      <c r="M301">
        <v>7</v>
      </c>
      <c r="N301">
        <v>1900</v>
      </c>
      <c r="W301">
        <v>264</v>
      </c>
      <c r="Y301">
        <v>7</v>
      </c>
      <c r="Z301">
        <v>220</v>
      </c>
      <c r="AA301" s="3">
        <f t="shared" si="308"/>
        <v>8.3333333333333329E-2</v>
      </c>
      <c r="AB301">
        <v>90</v>
      </c>
      <c r="AC301">
        <f t="shared" si="302"/>
        <v>144</v>
      </c>
      <c r="AF301">
        <v>22.7</v>
      </c>
      <c r="AG301">
        <v>22.7</v>
      </c>
      <c r="AJ301" s="10">
        <v>78</v>
      </c>
      <c r="AK301" t="str">
        <f>CONCATENATE(VLOOKUP(AL301, 'Voxel Sizes'!$A$2:$B$18,2,FALSE),"x",INT(AH301*15), "x", INT(AI301*15))</f>
        <v>214x0x0</v>
      </c>
      <c r="AL301">
        <f t="shared" si="309"/>
        <v>13</v>
      </c>
      <c r="AN301" t="str">
        <f>CONCATENATE(VLOOKUP(AL301,Constants!$A$2:$C$16,IF(AM301&lt;&gt;"", 3, 2), FALSE),IF(AM301&lt;&gt;"",CONCATENATE(",",VLOOKUP(AM301,$B:$AN,39,FALSE)),""))</f>
        <v>4,5,4</v>
      </c>
      <c r="AR301" t="s">
        <v>1292</v>
      </c>
      <c r="AT301" t="s">
        <v>1293</v>
      </c>
      <c r="AU301" t="s">
        <v>1252</v>
      </c>
      <c r="AX301">
        <v>30</v>
      </c>
      <c r="AY301" s="15" t="str">
        <f t="shared" si="310"/>
        <v/>
      </c>
      <c r="AZ301">
        <v>-19</v>
      </c>
      <c r="BA301">
        <v>-22</v>
      </c>
      <c r="BB301">
        <f t="shared" si="311"/>
        <v>18</v>
      </c>
      <c r="BC301">
        <f t="shared" si="312"/>
        <v>9.5</v>
      </c>
      <c r="BD301">
        <f t="shared" si="313"/>
        <v>11</v>
      </c>
      <c r="BE301" s="3">
        <f t="shared" si="314"/>
        <v>0.84399999999999997</v>
      </c>
      <c r="BF301">
        <f t="shared" si="315"/>
        <v>18.2</v>
      </c>
      <c r="BG301">
        <f>VLOOKUP($H301,Constants!$I:$K, 2, FALSE)</f>
        <v>0.85</v>
      </c>
      <c r="BH301">
        <f>VLOOKUP($H301,Constants!$I:$K, 3, FALSE)*IF(AND(G301="multiple_unit",AB301&lt;110),0.75,1)</f>
        <v>1.7249999999999999</v>
      </c>
      <c r="BI301">
        <f>INT(POWER(((Constants!$G$2+$BB301+$BC301+$BD301+$BF301)*$BE301)*$BH301, 1.05))+$BA301</f>
        <v>90</v>
      </c>
      <c r="BJ301">
        <f>INT(POWER((((Constants!$G$1+$BB301+$BC301+$BD301+$BF301)*($BE301))*$BG301),IF($G301="wagon",1,1.2)))+$AZ301</f>
        <v>94</v>
      </c>
      <c r="BK301" s="14">
        <f t="shared" si="316"/>
        <v>70312.5</v>
      </c>
      <c r="BL301" s="14">
        <f t="shared" si="317"/>
        <v>7637.5</v>
      </c>
      <c r="BT301" t="s">
        <v>1141</v>
      </c>
      <c r="BU301">
        <v>1</v>
      </c>
      <c r="BV301">
        <v>165</v>
      </c>
      <c r="BY301" t="s">
        <v>278</v>
      </c>
      <c r="BZ301" t="str">
        <f>VLOOKUP(J301,Eras!$A$2:$C$10, 2, TRUE)</f>
        <v>mod</v>
      </c>
      <c r="CA301" t="s">
        <v>328</v>
      </c>
      <c r="CB301" t="str">
        <f t="shared" si="318"/>
        <v>mod_EMU</v>
      </c>
      <c r="CC301" t="str">
        <f t="shared" si="304"/>
        <v>electric_ELRL</v>
      </c>
      <c r="CD301" s="17" t="str" cm="1">
        <f t="array" ref="CD301">_xlfn.CONCAT("{BLACK}Length: {GOLD}", TEXT(ROUNDUP(IF(AQ301&lt;&gt;"",SUM(VALUE(_xlfn.TEXTSPLIT(AQ301, ","))), SUM(VALUE(_xlfn.TEXTSPLIT(AN301, ",")))*IF(M301, M301, 1))/16, 1), "#,##0.0"), " tiles{}")</f>
        <v>{BLACK}Length: {GOLD}5.7 tiles{}</v>
      </c>
      <c r="CE301" t="str">
        <f>VLOOKUP($CC301, Constants!$M:$N, 2, FALSE)</f>
        <v>{BLACK}Powered by: {GOLD}25kV AC</v>
      </c>
      <c r="CF301" t="str">
        <f t="shared" si="319"/>
        <v>{BLACK}Cars: {GOLD}7</v>
      </c>
      <c r="CG301" t="s">
        <v>1272</v>
      </c>
      <c r="CH301" t="str">
        <f t="shared" si="303"/>
        <v/>
      </c>
      <c r="CI301" t="str">
        <f t="shared" si="305"/>
        <v>{YELLOW}10% penalty for long distance travel{}</v>
      </c>
      <c r="CJ301" t="str">
        <f t="shared" si="306"/>
        <v>{BLACK}Powered by: {GOLD}25kV AC {BLACK}Cars: {GOLD}7{}{BLACK}Length: {GOLD}5.7 tiles{}{YELLOW}10% penalty for long distance travel{}{SILVER}Designed for London's Crossrail route, the Class 345 entered service on TfL Rail between Liverpool Street and Shenfield.</v>
      </c>
    </row>
    <row r="302" spans="1:88" x14ac:dyDescent="0.35">
      <c r="A302" t="s">
        <v>1251</v>
      </c>
      <c r="B302" t="s">
        <v>1286</v>
      </c>
      <c r="C302">
        <v>518</v>
      </c>
      <c r="E302">
        <v>188</v>
      </c>
      <c r="F302" t="s">
        <v>1498</v>
      </c>
      <c r="G302" t="s">
        <v>398</v>
      </c>
      <c r="H302" t="s">
        <v>291</v>
      </c>
      <c r="I302" t="s">
        <v>292</v>
      </c>
      <c r="J302">
        <v>2017</v>
      </c>
      <c r="M302">
        <v>4</v>
      </c>
      <c r="N302">
        <v>1900</v>
      </c>
      <c r="W302">
        <v>264</v>
      </c>
      <c r="Y302">
        <v>7</v>
      </c>
      <c r="Z302">
        <v>220</v>
      </c>
      <c r="AA302" s="3">
        <f t="shared" si="308"/>
        <v>8.3333333333333329E-2</v>
      </c>
      <c r="AB302">
        <v>90</v>
      </c>
      <c r="AC302">
        <f t="shared" si="302"/>
        <v>144</v>
      </c>
      <c r="AF302">
        <v>22.7</v>
      </c>
      <c r="AG302">
        <v>22.7</v>
      </c>
      <c r="AJ302" s="10">
        <v>78</v>
      </c>
      <c r="AK302" t="str">
        <f>CONCATENATE(VLOOKUP(AL302, 'Voxel Sizes'!$A$2:$B$18,2,FALSE),"x",INT(AH302*15), "x", INT(AI302*15))</f>
        <v>214x0x0</v>
      </c>
      <c r="AL302">
        <f t="shared" si="309"/>
        <v>13</v>
      </c>
      <c r="AN302" t="str">
        <f>CONCATENATE(VLOOKUP(AL302,Constants!$A$2:$C$16,IF(AM302&lt;&gt;"", 3, 2), FALSE),IF(AM302&lt;&gt;"",CONCATENATE(",",VLOOKUP(AM302,$B:$AN,39,FALSE)),""))</f>
        <v>4,5,4</v>
      </c>
      <c r="AR302" t="s">
        <v>1294</v>
      </c>
      <c r="AT302" t="s">
        <v>1118</v>
      </c>
      <c r="AU302" t="s">
        <v>1252</v>
      </c>
      <c r="AX302">
        <v>30</v>
      </c>
      <c r="AY302" s="15" t="str">
        <f t="shared" si="310"/>
        <v/>
      </c>
      <c r="AZ302">
        <v>-19</v>
      </c>
      <c r="BA302">
        <v>-22</v>
      </c>
      <c r="BB302">
        <f t="shared" si="311"/>
        <v>18</v>
      </c>
      <c r="BC302">
        <f t="shared" si="312"/>
        <v>9.5</v>
      </c>
      <c r="BD302">
        <f t="shared" si="313"/>
        <v>11</v>
      </c>
      <c r="BE302" s="3">
        <f t="shared" si="314"/>
        <v>0.84399999999999997</v>
      </c>
      <c r="BF302">
        <f t="shared" si="315"/>
        <v>10.4</v>
      </c>
      <c r="BG302">
        <f>VLOOKUP($H302,Constants!$I:$K, 2, FALSE)</f>
        <v>0.85</v>
      </c>
      <c r="BH302">
        <f>VLOOKUP($H302,Constants!$I:$K, 3, FALSE)*IF(AND(G302="multiple_unit",AB302&lt;110),0.75,1)</f>
        <v>1.7249999999999999</v>
      </c>
      <c r="BI302">
        <f>INT(POWER(((Constants!$G$2+$BB302+$BC302+$BD302+$BF302)*$BE302)*$BH302, 1.05))+$BA302</f>
        <v>75</v>
      </c>
      <c r="BJ302">
        <f>INT(POWER((((Constants!$G$1+$BB302+$BC302+$BD302+$BF302)*($BE302))*$BG302),IF($G302="wagon",1,1.2)))+$AZ302</f>
        <v>79</v>
      </c>
      <c r="BK302" s="14">
        <f t="shared" si="316"/>
        <v>58593.75</v>
      </c>
      <c r="BL302" s="14">
        <f t="shared" si="317"/>
        <v>6418.75</v>
      </c>
      <c r="BT302" t="s">
        <v>1140</v>
      </c>
      <c r="BU302">
        <v>1</v>
      </c>
      <c r="BV302">
        <v>165</v>
      </c>
      <c r="BY302" t="s">
        <v>278</v>
      </c>
      <c r="BZ302" t="str">
        <f>VLOOKUP(J302,Eras!$A$2:$C$10, 2, TRUE)</f>
        <v>mod</v>
      </c>
      <c r="CA302" t="s">
        <v>328</v>
      </c>
      <c r="CB302" t="str">
        <f t="shared" si="318"/>
        <v>mod_EMU</v>
      </c>
      <c r="CC302" t="str">
        <f t="shared" si="304"/>
        <v>electric_ELRL</v>
      </c>
      <c r="CD302" s="17" t="str" cm="1">
        <f t="array" ref="CD302">_xlfn.CONCAT("{BLACK}Length: {GOLD}", TEXT(ROUNDUP(IF(AQ302&lt;&gt;"",SUM(VALUE(_xlfn.TEXTSPLIT(AQ302, ","))), SUM(VALUE(_xlfn.TEXTSPLIT(AN302, ",")))*IF(M302, M302, 1))/16, 1), "#,##0.0"), " tiles{}")</f>
        <v>{BLACK}Length: {GOLD}3.3 tiles{}</v>
      </c>
      <c r="CE302" t="str">
        <f>VLOOKUP($CC302, Constants!$M:$N, 2, FALSE)</f>
        <v>{BLACK}Powered by: {GOLD}25kV AC</v>
      </c>
      <c r="CF302" t="str">
        <f t="shared" si="319"/>
        <v>{BLACK}Cars: {GOLD}4</v>
      </c>
      <c r="CG302" t="s">
        <v>1272</v>
      </c>
      <c r="CH302" t="str">
        <f t="shared" si="303"/>
        <v/>
      </c>
      <c r="CI302" t="str">
        <f t="shared" si="305"/>
        <v>{YELLOW}10% penalty for long distance travel{}</v>
      </c>
      <c r="CJ302" t="str">
        <f t="shared" si="306"/>
        <v>{BLACK}Powered by: {GOLD}25kV AC {BLACK}Cars: {GOLD}4{}{BLACK}Length: {GOLD}3.3 tiles{}{YELLOW}10% penalty for long distance travel{}{SILVER}Designed for London's Crossrail route, the Class 345 entered service on TfL Rail between Liverpool Street and Shenfield.</v>
      </c>
    </row>
    <row r="303" spans="1:88" x14ac:dyDescent="0.35">
      <c r="A303" t="s">
        <v>1255</v>
      </c>
      <c r="B303" t="s">
        <v>1287</v>
      </c>
      <c r="C303">
        <v>519</v>
      </c>
      <c r="E303">
        <v>189</v>
      </c>
      <c r="F303" t="s">
        <v>1498</v>
      </c>
      <c r="G303" t="s">
        <v>398</v>
      </c>
      <c r="H303" t="s">
        <v>546</v>
      </c>
      <c r="I303" t="s">
        <v>545</v>
      </c>
      <c r="J303">
        <v>2016</v>
      </c>
      <c r="M303">
        <v>5</v>
      </c>
      <c r="N303">
        <v>4400</v>
      </c>
      <c r="O303" s="8">
        <v>2560</v>
      </c>
      <c r="W303">
        <v>278</v>
      </c>
      <c r="Y303">
        <v>6</v>
      </c>
      <c r="Z303">
        <v>225</v>
      </c>
      <c r="AA303" s="3">
        <f t="shared" si="308"/>
        <v>8.0935251798561147E-2</v>
      </c>
      <c r="AB303">
        <v>100</v>
      </c>
      <c r="AC303">
        <f t="shared" si="302"/>
        <v>160</v>
      </c>
      <c r="AF303">
        <v>20.2</v>
      </c>
      <c r="AG303">
        <v>20.2</v>
      </c>
      <c r="AJ303" s="10">
        <v>69</v>
      </c>
      <c r="AK303" t="str">
        <f>CONCATENATE(VLOOKUP(AL303, 'Voxel Sizes'!$A$2:$B$18,2,FALSE),"x",INT(AH303*15), "x", INT(AI303*15))</f>
        <v>198x0x0</v>
      </c>
      <c r="AL303">
        <f t="shared" si="309"/>
        <v>12</v>
      </c>
      <c r="AN303" t="str">
        <f>CONCATENATE(VLOOKUP(AL303,Constants!$A$2:$C$16,IF(AM303&lt;&gt;"", 3, 2), FALSE),IF(AM303&lt;&gt;"",CONCATENATE(",",VLOOKUP(AM303,$B:$AN,39,FALSE)),""))</f>
        <v>4,4,4</v>
      </c>
      <c r="AR303" t="s">
        <v>1297</v>
      </c>
      <c r="AS303" t="s">
        <v>1281</v>
      </c>
      <c r="AT303" t="s">
        <v>656</v>
      </c>
      <c r="AU303" t="s">
        <v>1277</v>
      </c>
      <c r="AX303">
        <v>30</v>
      </c>
      <c r="AY303" s="15" t="str">
        <f t="shared" si="310"/>
        <v/>
      </c>
      <c r="AZ303">
        <v>-15</v>
      </c>
      <c r="BA303">
        <v>-30</v>
      </c>
      <c r="BB303">
        <f t="shared" si="311"/>
        <v>20</v>
      </c>
      <c r="BC303">
        <f t="shared" si="312"/>
        <v>20</v>
      </c>
      <c r="BD303">
        <f t="shared" si="313"/>
        <v>11.25</v>
      </c>
      <c r="BE303" s="3">
        <f t="shared" si="314"/>
        <v>0.84533333333333327</v>
      </c>
      <c r="BF303">
        <f t="shared" si="315"/>
        <v>11.500000000000002</v>
      </c>
      <c r="BG303">
        <f>VLOOKUP($H303,Constants!$I:$K, 2, FALSE)</f>
        <v>0.85</v>
      </c>
      <c r="BH303">
        <f>VLOOKUP($H303,Constants!$I:$K, 3, FALSE)*IF(AND(G303="multiple_unit",AB303&lt;110),0.75,1)</f>
        <v>1.7999999999999998</v>
      </c>
      <c r="BI303">
        <f>INT(POWER(((Constants!$G$2+$BB303+$BC303+$BD303+$BF303)*$BE303)*$BH303, 1.05))+$BA303</f>
        <v>99</v>
      </c>
      <c r="BJ303">
        <f>INT(POWER((((Constants!$G$1+$BB303+$BC303+$BD303+$BF303)*($BE303))*$BG303),IF($G303="wagon",1,1.2)))+$AZ303</f>
        <v>109</v>
      </c>
      <c r="BK303" s="14">
        <f t="shared" si="316"/>
        <v>77343.75</v>
      </c>
      <c r="BL303" s="14">
        <f t="shared" si="317"/>
        <v>8856.25</v>
      </c>
      <c r="BT303" t="s">
        <v>1140</v>
      </c>
      <c r="BU303">
        <v>3</v>
      </c>
      <c r="BY303" t="s">
        <v>278</v>
      </c>
      <c r="BZ303" t="str">
        <f>VLOOKUP(J303,Eras!$A$2:$C$10, 2, TRUE)</f>
        <v>mod</v>
      </c>
      <c r="CA303" t="s">
        <v>328</v>
      </c>
      <c r="CB303" t="str">
        <f t="shared" si="318"/>
        <v>mod_EMU</v>
      </c>
      <c r="CC303" t="str">
        <f t="shared" si="304"/>
        <v>dual_electric_DUAL_POWER</v>
      </c>
      <c r="CD303" s="17" t="str" cm="1">
        <f t="array" ref="CD303">_xlfn.CONCAT("{BLACK}Length: {GOLD}", TEXT(ROUNDUP(IF(AQ303&lt;&gt;"",SUM(VALUE(_xlfn.TEXTSPLIT(AQ303, ","))), SUM(VALUE(_xlfn.TEXTSPLIT(AN303, ",")))*IF(M303, M303, 1))/16, 1), "#,##0.0"), " tiles{}")</f>
        <v>{BLACK}Length: {GOLD}3.8 tiles{}</v>
      </c>
      <c r="CE303" t="str">
        <f>VLOOKUP($CC303, Constants!$M:$N, 2, FALSE)</f>
        <v>{BLACK}Powered by: {GOLD}25kV AC / 750V DC</v>
      </c>
      <c r="CF303" t="str">
        <f t="shared" si="319"/>
        <v>{BLACK}Cars: {GOLD}5</v>
      </c>
      <c r="CG303" t="s">
        <v>1280</v>
      </c>
      <c r="CH303" t="str">
        <f t="shared" si="303"/>
        <v/>
      </c>
      <c r="CI303" t="str">
        <f t="shared" si="305"/>
        <v/>
      </c>
      <c r="CJ303" t="str">
        <f t="shared" si="306"/>
        <v>{BLACK}Powered by: {GOLD}25kV AC / 750V DC {BLACK}Cars: {GOLD}5{}{BLACK}Length: {GOLD}3.8 tiles{}{SILVER}The Class 700 was one of multiple designs evaluated for the Thameslink programme. Although one of the more conventional designs, it offered good capacity and passenger comfort with a relatively low axle load.</v>
      </c>
    </row>
    <row r="304" spans="1:88" x14ac:dyDescent="0.35">
      <c r="A304" t="s">
        <v>1261</v>
      </c>
      <c r="B304" t="s">
        <v>1288</v>
      </c>
      <c r="C304">
        <v>520</v>
      </c>
      <c r="E304">
        <v>190</v>
      </c>
      <c r="F304" t="s">
        <v>1498</v>
      </c>
      <c r="G304" t="s">
        <v>398</v>
      </c>
      <c r="H304" t="s">
        <v>535</v>
      </c>
      <c r="I304" t="s">
        <v>292</v>
      </c>
      <c r="J304">
        <v>2017</v>
      </c>
      <c r="M304">
        <v>4</v>
      </c>
      <c r="N304">
        <v>3200</v>
      </c>
      <c r="O304" s="8">
        <v>2250</v>
      </c>
      <c r="W304">
        <v>243</v>
      </c>
      <c r="Y304">
        <v>5</v>
      </c>
      <c r="Z304">
        <v>195</v>
      </c>
      <c r="AA304" s="3">
        <f t="shared" si="308"/>
        <v>8.0246913580246909E-2</v>
      </c>
      <c r="AB304">
        <v>140</v>
      </c>
      <c r="AC304">
        <f t="shared" si="302"/>
        <v>224</v>
      </c>
      <c r="AF304">
        <v>26</v>
      </c>
      <c r="AG304">
        <v>24</v>
      </c>
      <c r="AJ304" s="10">
        <v>66</v>
      </c>
      <c r="AK304" t="str">
        <f>CONCATENATE(VLOOKUP(AL304, 'Voxel Sizes'!$A$2:$B$18,2,FALSE),"x",INT(AH304*15), "x", INT(AI304*15))</f>
        <v>238x0x0</v>
      </c>
      <c r="AL304">
        <f t="shared" si="309"/>
        <v>14</v>
      </c>
      <c r="AN304" t="str">
        <f>CONCATENATE(VLOOKUP(AL304,Constants!$A$2:$C$16,IF(AM304&lt;&gt;"", 3, 2), FALSE),IF(AM304&lt;&gt;"",CONCATENATE(",",VLOOKUP(AM304,$B:$AN,39,FALSE)),""))</f>
        <v>4,6,4</v>
      </c>
      <c r="AO304">
        <v>12</v>
      </c>
      <c r="AR304" t="s">
        <v>1289</v>
      </c>
      <c r="AS304" t="s">
        <v>1264</v>
      </c>
      <c r="AT304" t="s">
        <v>1118</v>
      </c>
      <c r="AU304" t="s">
        <v>1262</v>
      </c>
      <c r="AX304">
        <v>30</v>
      </c>
      <c r="AY304" s="15" t="str">
        <f t="shared" si="310"/>
        <v/>
      </c>
      <c r="AZ304">
        <v>-15</v>
      </c>
      <c r="BA304">
        <v>-30</v>
      </c>
      <c r="BB304">
        <f t="shared" si="311"/>
        <v>28</v>
      </c>
      <c r="BC304">
        <f t="shared" si="312"/>
        <v>16</v>
      </c>
      <c r="BD304">
        <f t="shared" si="313"/>
        <v>9.75</v>
      </c>
      <c r="BE304" s="3">
        <f t="shared" si="314"/>
        <v>0.84399999999999997</v>
      </c>
      <c r="BF304">
        <f t="shared" si="315"/>
        <v>8.8000000000000007</v>
      </c>
      <c r="BG304">
        <f>VLOOKUP($H304,Constants!$I:$K, 2, FALSE)</f>
        <v>0.9</v>
      </c>
      <c r="BH304">
        <f>VLOOKUP($H304,Constants!$I:$K, 3, FALSE)*IF(AND(G304="multiple_unit",AB304&lt;110),0.75,1)</f>
        <v>2.5</v>
      </c>
      <c r="BI304">
        <f>INT(POWER(((Constants!$G$2+$BB304+$BC304+$BD304+$BF304)*$BE304)*$BH304, 1.05))+$BA304</f>
        <v>152</v>
      </c>
      <c r="BJ304">
        <f>INT(POWER((((Constants!$G$1+$BB304+$BC304+$BD304+$BF304)*($BE304))*$BG304),IF($G304="wagon",1,1.2)))+$AZ304</f>
        <v>118</v>
      </c>
      <c r="BK304" s="14">
        <f t="shared" si="316"/>
        <v>118750</v>
      </c>
      <c r="BL304" s="14">
        <f t="shared" si="317"/>
        <v>9587.5</v>
      </c>
      <c r="BT304" t="s">
        <v>1140</v>
      </c>
      <c r="BU304">
        <v>10</v>
      </c>
      <c r="BV304">
        <v>222</v>
      </c>
      <c r="BY304" t="s">
        <v>278</v>
      </c>
      <c r="BZ304" t="str">
        <f>VLOOKUP(J304,Eras!$A$2:$C$10, 2, TRUE)</f>
        <v>mod</v>
      </c>
      <c r="CA304" t="s">
        <v>329</v>
      </c>
      <c r="CB304" t="str">
        <f t="shared" si="318"/>
        <v>mod_EMU (Express)</v>
      </c>
      <c r="CC304" t="str">
        <f t="shared" si="304"/>
        <v>dual_power_ELRL</v>
      </c>
      <c r="CD304" s="17" t="str" cm="1">
        <f t="array" ref="CD304">_xlfn.CONCAT("{BLACK}Length: {GOLD}", TEXT(ROUNDUP(IF(AQ304&lt;&gt;"",SUM(VALUE(_xlfn.TEXTSPLIT(AQ304, ","))), SUM(VALUE(_xlfn.TEXTSPLIT(AN304, ",")))*IF(M304, M304, 1))/16, 1), "#,##0.0"), " tiles{}")</f>
        <v>{BLACK}Length: {GOLD}3.5 tiles{}</v>
      </c>
      <c r="CE304" t="str">
        <f>VLOOKUP($CC304, Constants!$M:$N, 2, FALSE)</f>
        <v>{BLACK}Powered by: {GOLD}25kV AC / Diesel</v>
      </c>
      <c r="CF304" t="str">
        <f t="shared" si="319"/>
        <v>{BLACK}Cars: {GOLD}4</v>
      </c>
      <c r="CG304" t="s">
        <v>1265</v>
      </c>
      <c r="CH304" t="str">
        <f t="shared" si="303"/>
        <v/>
      </c>
      <c r="CI304" t="str">
        <f t="shared" si="305"/>
        <v>{YELLOW}20% bonus for long distance travel{}</v>
      </c>
      <c r="CJ304" t="str">
        <f t="shared" si="306"/>
        <v>{BLACK}Powered by: {GOLD}25kV AC / Diesel {BLACK}Cars: {GOLD}4{}{BLACK}Length: {GOLD}3.5 tiles{}{YELLOW}20% bonus for long distance travel{}{SILVER}The Class 800 "Azuma" (on LNER) or "IET" (on GWR) is a high speed bi-mode unit based on the Hitachi AT300 series. It is designed to replace HST and Class 91 hauled services on Intercity routes.</v>
      </c>
    </row>
    <row r="305" spans="1:88" x14ac:dyDescent="0.35">
      <c r="A305" t="s">
        <v>1487</v>
      </c>
      <c r="B305" t="s">
        <v>1488</v>
      </c>
      <c r="C305">
        <v>522</v>
      </c>
      <c r="E305">
        <v>191</v>
      </c>
      <c r="F305" t="s">
        <v>1498</v>
      </c>
      <c r="G305" t="s">
        <v>398</v>
      </c>
      <c r="H305" t="s">
        <v>535</v>
      </c>
      <c r="I305" t="s">
        <v>1490</v>
      </c>
      <c r="J305">
        <v>2023</v>
      </c>
      <c r="M305">
        <v>4</v>
      </c>
      <c r="N305">
        <v>2000</v>
      </c>
      <c r="O305" s="8">
        <v>970</v>
      </c>
      <c r="W305">
        <v>233</v>
      </c>
      <c r="Y305">
        <v>6</v>
      </c>
      <c r="Z305">
        <v>162</v>
      </c>
      <c r="AA305" s="3">
        <f t="shared" si="308"/>
        <v>6.9527896995708161E-2</v>
      </c>
      <c r="AB305">
        <v>75</v>
      </c>
      <c r="AC305">
        <f t="shared" si="302"/>
        <v>120</v>
      </c>
      <c r="AD305">
        <v>100</v>
      </c>
      <c r="AF305">
        <v>16</v>
      </c>
      <c r="AG305">
        <v>16</v>
      </c>
      <c r="AH305">
        <v>2.8</v>
      </c>
      <c r="AI305">
        <v>3.8</v>
      </c>
      <c r="AJ305" s="10">
        <v>45</v>
      </c>
      <c r="AK305" t="str">
        <f>CONCATENATE(VLOOKUP(AL305, 'Voxel Sizes'!$A$2:$B$18,2,FALSE),"x",INT(AH305*15), "x", INT(AI305*15))</f>
        <v>152x42x57</v>
      </c>
      <c r="AL305">
        <f t="shared" si="309"/>
        <v>9</v>
      </c>
      <c r="AN305" t="str">
        <f>CONCATENATE(VLOOKUP(AL305,Constants!$A$2:$C$16,IF(AM305&lt;&gt;"", 3, 2), FALSE),IF(AM305&lt;&gt;"",CONCATENATE(",",VLOOKUP(AM305,$B:$AN,39,FALSE)),""))</f>
        <v>2,5,2</v>
      </c>
      <c r="AR305" t="s">
        <v>1495</v>
      </c>
      <c r="AT305" t="s">
        <v>549</v>
      </c>
      <c r="AX305">
        <v>30</v>
      </c>
      <c r="AY305" s="15" t="str">
        <f t="shared" si="310"/>
        <v/>
      </c>
      <c r="AZ305">
        <v>-17</v>
      </c>
      <c r="BA305">
        <v>-20</v>
      </c>
      <c r="BB305">
        <f t="shared" si="311"/>
        <v>15</v>
      </c>
      <c r="BC305">
        <f t="shared" si="312"/>
        <v>10</v>
      </c>
      <c r="BD305">
        <f t="shared" si="313"/>
        <v>8.1000000000000014</v>
      </c>
      <c r="BE305" s="3">
        <f t="shared" si="314"/>
        <v>0.83599999999999997</v>
      </c>
      <c r="BF305">
        <f t="shared" si="315"/>
        <v>6</v>
      </c>
      <c r="BG305">
        <f>VLOOKUP($H305,Constants!$I:$K, 2, FALSE)</f>
        <v>0.9</v>
      </c>
      <c r="BH305">
        <f>VLOOKUP($H305,Constants!$I:$K, 3, FALSE)*IF(AND(G305="multiple_unit",AB305&lt;110),0.75,1)</f>
        <v>1.875</v>
      </c>
      <c r="BI305">
        <f>INT(POWER(((Constants!$G$2+$BB305+$BC305+$BD305+$BF305)*$BE305)*$BH305, 1.05))+$BA305</f>
        <v>65</v>
      </c>
      <c r="BJ305">
        <f>INT(POWER((((Constants!$G$1+$BB305+$BC305+$BD305+$BF305)*($BE305))*$BG305),IF($G305="wagon",1,1.2)))+$AZ305</f>
        <v>68</v>
      </c>
      <c r="BK305" s="14">
        <f t="shared" ref="BK305" si="320">BI305*IF($G305="wagon",62.5,781.25)</f>
        <v>50781.25</v>
      </c>
      <c r="BL305" s="14">
        <f t="shared" ref="BL305" si="321">BJ305*IF($G305="wagon",2.73,81.25)</f>
        <v>5525</v>
      </c>
      <c r="BU305">
        <v>3</v>
      </c>
      <c r="BY305" t="s">
        <v>278</v>
      </c>
      <c r="BZ305" t="s">
        <v>317</v>
      </c>
      <c r="CA305" t="s">
        <v>328</v>
      </c>
      <c r="CB305" t="str">
        <f t="shared" si="318"/>
        <v>mod_EMU</v>
      </c>
      <c r="CC305" t="str">
        <f t="shared" si="304"/>
        <v>dual_power_BATTERY</v>
      </c>
      <c r="CD305" s="17" t="str" cm="1">
        <f t="array" ref="CD305">_xlfn.CONCAT("{BLACK}Length: {GOLD}", TEXT(ROUNDUP(IF(AQ305&lt;&gt;"",SUM(VALUE(_xlfn.TEXTSPLIT(AQ305, ","))), SUM(VALUE(_xlfn.TEXTSPLIT(AN305, ",")))*IF(M305, M305, 1))/16, 1), "#,##0.0"), " tiles{}")</f>
        <v>{BLACK}Length: {GOLD}2.3 tiles{}</v>
      </c>
      <c r="CE305" t="str">
        <f>VLOOKUP($CC305, Constants!$M:$N, 2, FALSE)</f>
        <v>{BLACK}Powered by: {GOLD}750V DC / Battery</v>
      </c>
      <c r="CF305" t="str">
        <f t="shared" si="319"/>
        <v>{BLACK}Cars: {GOLD}4</v>
      </c>
      <c r="CG305" t="s">
        <v>1493</v>
      </c>
      <c r="CH305" t="str">
        <f t="shared" si="303"/>
        <v/>
      </c>
      <c r="CI305" t="str">
        <f t="shared" si="305"/>
        <v/>
      </c>
      <c r="CJ305" t="str">
        <f t="shared" si="306"/>
        <v>{BLACK}Powered by: {GOLD}750V DC / Battery {BLACK}Cars: {GOLD}4{}{BLACK}Length: {GOLD}2.3 tiles{}{SILVER}The Class 777 "METRO" is a dual-mode unit which charges a battery when on third rail power, which can be used to travel over unpowered track.</v>
      </c>
    </row>
    <row r="306" spans="1:88" x14ac:dyDescent="0.35">
      <c r="A306" t="s">
        <v>95</v>
      </c>
      <c r="B306" t="s">
        <v>224</v>
      </c>
      <c r="C306">
        <v>700</v>
      </c>
      <c r="E306">
        <v>192</v>
      </c>
      <c r="F306" t="s">
        <v>1498</v>
      </c>
      <c r="G306" t="s">
        <v>258</v>
      </c>
      <c r="H306" t="s">
        <v>1101</v>
      </c>
      <c r="I306" t="s">
        <v>1400</v>
      </c>
      <c r="J306">
        <v>1889</v>
      </c>
      <c r="L306">
        <v>1923</v>
      </c>
      <c r="N306">
        <v>100</v>
      </c>
      <c r="W306">
        <v>15</v>
      </c>
      <c r="Z306">
        <v>22</v>
      </c>
      <c r="AA306" s="3">
        <f t="shared" si="308"/>
        <v>0.14666666666666667</v>
      </c>
      <c r="AB306">
        <v>25</v>
      </c>
      <c r="AC306">
        <f t="shared" ref="AC306:AC325" si="322">ROUND(AB306*1.6, 0)</f>
        <v>40</v>
      </c>
      <c r="AG306">
        <v>8</v>
      </c>
      <c r="AK306" t="str">
        <f>CONCATENATE(VLOOKUP(AL306, 'Voxel Sizes'!$A$2:$B$18,2,FALSE),"x",INT(AH306*15), "x", INT(AI306*15))</f>
        <v>82x0x0</v>
      </c>
      <c r="AL306">
        <f t="shared" si="309"/>
        <v>5</v>
      </c>
      <c r="AN306" t="str">
        <f>CONCATENATE(VLOOKUP(AL306,Constants!$A$2:$C$16,IF(AM306&lt;&gt;"", 3, 2), FALSE),IF(AM306&lt;&gt;"",CONCATENATE(",",VLOOKUP(AM306,$B:$AN,39,FALSE)),""))</f>
        <v>2,1,2</v>
      </c>
      <c r="AX306">
        <v>29</v>
      </c>
      <c r="AY306" s="15">
        <f t="shared" si="310"/>
        <v>42</v>
      </c>
      <c r="AZ306">
        <v>-5</v>
      </c>
      <c r="BB306">
        <f t="shared" si="311"/>
        <v>5</v>
      </c>
      <c r="BC306">
        <f t="shared" si="312"/>
        <v>0.5</v>
      </c>
      <c r="BD306">
        <f t="shared" si="313"/>
        <v>1.1000000000000001</v>
      </c>
      <c r="BE306" s="3">
        <f t="shared" si="314"/>
        <v>1</v>
      </c>
      <c r="BF306">
        <f t="shared" si="315"/>
        <v>0</v>
      </c>
      <c r="BG306">
        <f>VLOOKUP($H306,Constants!$I:$K, 2, FALSE)</f>
        <v>0.9</v>
      </c>
      <c r="BH306">
        <f>VLOOKUP($H306,Constants!$I:$K, 3, FALSE)*IF(AND(G306="multiple_unit",AB306&lt;110),0.75,1)</f>
        <v>1.6</v>
      </c>
      <c r="BI306">
        <f>INT(POWER(((Constants!$G$2+$BB306+$BC306+$BD306+$BF306)*$BE306)*$BH306, 1.05))+$BA306</f>
        <v>21</v>
      </c>
      <c r="BJ306">
        <f>INT(POWER((((Constants!$G$1+$BB306+$BC306+$BD306+$BF306)*($BE306))*$BG306),IF($G306="wagon",1,1.2)))+$AZ306</f>
        <v>30</v>
      </c>
      <c r="BK306" s="14">
        <f t="shared" si="316"/>
        <v>16406.25</v>
      </c>
      <c r="BL306" s="14">
        <f t="shared" si="317"/>
        <v>2437.5</v>
      </c>
      <c r="BU306">
        <v>1</v>
      </c>
      <c r="BZ306" t="str">
        <f>VLOOKUP(J306,Eras!$A$2:$C$10, 2, TRUE)</f>
        <v>vct</v>
      </c>
      <c r="CA306" t="s">
        <v>340</v>
      </c>
      <c r="CB306" t="str">
        <f t="shared" si="318"/>
        <v>vct_LU</v>
      </c>
      <c r="CC306" t="str">
        <f t="shared" si="304"/>
        <v>tube_FOURTH_RAIL</v>
      </c>
      <c r="CD306" s="17" t="str" cm="1">
        <f t="array" ref="CD306">_xlfn.CONCAT("{BLACK}Length: {GOLD}", TEXT(ROUNDUP(IF(AQ306&lt;&gt;"",SUM(VALUE(_xlfn.TEXTSPLIT(AQ306, ","))), SUM(VALUE(_xlfn.TEXTSPLIT(AN306, ",")))*IF(M306, M306, 1))/16, 1), "#,##0.0"), " tiles{}")</f>
        <v>{BLACK}Length: {GOLD}0.4 tiles{}</v>
      </c>
      <c r="CE306" t="str">
        <f>VLOOKUP($CC306, Constants!$M:$N, 2, FALSE)</f>
        <v>{BLACK}Powered by: {GOLD}630V DC</v>
      </c>
      <c r="CF306" t="str">
        <f t="shared" si="319"/>
        <v/>
      </c>
      <c r="CG306" t="s">
        <v>1447</v>
      </c>
      <c r="CH306" t="str">
        <f t="shared" si="303"/>
        <v/>
      </c>
      <c r="CI306" t="str">
        <f t="shared" si="305"/>
        <v/>
      </c>
      <c r="CJ306" t="str">
        <f t="shared" si="306"/>
        <v>{BLACK}Powered by: {GOLD}630V DC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07" spans="1:88" x14ac:dyDescent="0.35">
      <c r="A307" t="s">
        <v>96</v>
      </c>
      <c r="B307" t="s">
        <v>187</v>
      </c>
      <c r="C307">
        <v>702</v>
      </c>
      <c r="E307">
        <v>193</v>
      </c>
      <c r="F307" t="s">
        <v>1498</v>
      </c>
      <c r="G307" t="s">
        <v>398</v>
      </c>
      <c r="H307" t="s">
        <v>1101</v>
      </c>
      <c r="I307" t="s">
        <v>1400</v>
      </c>
      <c r="J307">
        <v>1906</v>
      </c>
      <c r="L307">
        <v>1953</v>
      </c>
      <c r="M307">
        <v>3</v>
      </c>
      <c r="N307">
        <v>350</v>
      </c>
      <c r="W307">
        <f>27+20+20</f>
        <v>67</v>
      </c>
      <c r="Y307">
        <v>8</v>
      </c>
      <c r="Z307">
        <v>55</v>
      </c>
      <c r="AA307" s="3">
        <f t="shared" si="308"/>
        <v>8.2089552238805971E-2</v>
      </c>
      <c r="AB307">
        <v>35</v>
      </c>
      <c r="AC307">
        <f t="shared" si="322"/>
        <v>56</v>
      </c>
      <c r="AF307">
        <v>15.3</v>
      </c>
      <c r="AG307">
        <v>15.3</v>
      </c>
      <c r="AH307">
        <v>2.67</v>
      </c>
      <c r="AI307">
        <v>2.8</v>
      </c>
      <c r="AJ307" s="10">
        <v>78</v>
      </c>
      <c r="AK307" t="str">
        <f>CONCATENATE(VLOOKUP(AL307, 'Voxel Sizes'!$A$2:$B$18,2,FALSE),"x",INT(AH307*15), "x", INT(AI307*15))</f>
        <v>152x40x42</v>
      </c>
      <c r="AL307">
        <f t="shared" si="309"/>
        <v>9</v>
      </c>
      <c r="AN307" t="str">
        <f>CONCATENATE(VLOOKUP(AL307,Constants!$A$2:$C$16,IF(AM307&lt;&gt;"", 3, 2), FALSE),IF(AM307&lt;&gt;"",CONCATENATE(",",VLOOKUP(AM307,$B:$AN,39,FALSE)),""))</f>
        <v>2,5,2</v>
      </c>
      <c r="AR307" t="s">
        <v>1449</v>
      </c>
      <c r="AT307" t="s">
        <v>287</v>
      </c>
      <c r="AX307">
        <v>34</v>
      </c>
      <c r="AY307" s="15">
        <f t="shared" si="310"/>
        <v>55</v>
      </c>
      <c r="AZ307">
        <v>-25</v>
      </c>
      <c r="BB307">
        <f t="shared" si="311"/>
        <v>7</v>
      </c>
      <c r="BC307">
        <f t="shared" si="312"/>
        <v>1.75</v>
      </c>
      <c r="BD307">
        <f t="shared" si="313"/>
        <v>2.75</v>
      </c>
      <c r="BE307" s="3">
        <f t="shared" si="314"/>
        <v>0.99199999999999999</v>
      </c>
      <c r="BF307">
        <f t="shared" si="315"/>
        <v>7.8000000000000007</v>
      </c>
      <c r="BG307">
        <f>VLOOKUP($H307,Constants!$I:$K, 2, FALSE)</f>
        <v>0.9</v>
      </c>
      <c r="BH307">
        <f>VLOOKUP($H307,Constants!$I:$K, 3, FALSE)*IF(AND(G307="multiple_unit",AB307&lt;110),0.75,1)</f>
        <v>1.2000000000000002</v>
      </c>
      <c r="BI307">
        <f>INT(POWER(((Constants!$G$2+$BB307+$BC307+$BD307+$BF307)*$BE307)*$BH307, 1.05))+$BA307</f>
        <v>34</v>
      </c>
      <c r="BJ307">
        <f>INT(POWER((((Constants!$G$1+$BB307+$BC307+$BD307+$BF307)*($BE307))*$BG307),IF($G307="wagon",1,1.2)))+$AZ307</f>
        <v>35</v>
      </c>
      <c r="BK307" s="14">
        <f t="shared" si="316"/>
        <v>26562.5</v>
      </c>
      <c r="BL307" s="14">
        <f t="shared" si="317"/>
        <v>2843.75</v>
      </c>
      <c r="BU307">
        <v>2</v>
      </c>
      <c r="BV307">
        <v>120</v>
      </c>
      <c r="BY307" t="s">
        <v>278</v>
      </c>
      <c r="BZ307" t="str">
        <f>VLOOKUP(J307,Eras!$A$2:$C$10, 2, TRUE)</f>
        <v>edw</v>
      </c>
      <c r="CA307" t="s">
        <v>340</v>
      </c>
      <c r="CB307" t="str">
        <f t="shared" si="318"/>
        <v>edw_LU</v>
      </c>
      <c r="CC307" t="str">
        <f t="shared" si="304"/>
        <v>tube_FOURTH_RAIL</v>
      </c>
      <c r="CD307" s="17" t="str" cm="1">
        <f t="array" ref="CD307">_xlfn.CONCAT("{BLACK}Length: {GOLD}", TEXT(ROUNDUP(IF(AQ307&lt;&gt;"",SUM(VALUE(_xlfn.TEXTSPLIT(AQ307, ","))), SUM(VALUE(_xlfn.TEXTSPLIT(AN307, ",")))*IF(M307, M307, 1))/16, 1), "#,##0.0"), " tiles{}")</f>
        <v>{BLACK}Length: {GOLD}1.7 tiles{}</v>
      </c>
      <c r="CE307" t="str">
        <f>VLOOKUP($CC307, Constants!$M:$N, 2, FALSE)</f>
        <v>{BLACK}Powered by: {GOLD}630V DC</v>
      </c>
      <c r="CF307" t="str">
        <f t="shared" si="319"/>
        <v>{BLACK}Cars: {GOLD}3</v>
      </c>
      <c r="CG307" t="s">
        <v>1450</v>
      </c>
      <c r="CH307" t="str">
        <f t="shared" si="303"/>
        <v/>
      </c>
      <c r="CI307" t="str">
        <f t="shared" si="305"/>
        <v>{YELLOW}35% penalty for long distance travel{}</v>
      </c>
      <c r="CJ307" t="str">
        <f t="shared" si="306"/>
        <v>{BLACK}Powered by: {GOLD}630V DC {BLACK}Cars: {GOLD}3{}{BLACK}Length: {GOLD}1.7 tiles{}{YELLOW}35% penalty for long distance travel{}{SILVER}The Gate Stock was a deep level unit used on Charles Yerkes' Tube lines. It was named for the manual entry gates, each operated by a gateman.</v>
      </c>
    </row>
    <row r="308" spans="1:88" x14ac:dyDescent="0.35">
      <c r="A308" t="s">
        <v>97</v>
      </c>
      <c r="B308" t="s">
        <v>188</v>
      </c>
      <c r="C308">
        <v>704</v>
      </c>
      <c r="E308">
        <v>194</v>
      </c>
      <c r="F308" t="s">
        <v>1498</v>
      </c>
      <c r="G308" t="s">
        <v>398</v>
      </c>
      <c r="H308" t="s">
        <v>1101</v>
      </c>
      <c r="I308" t="s">
        <v>1400</v>
      </c>
      <c r="J308">
        <v>1923</v>
      </c>
      <c r="L308">
        <v>1991</v>
      </c>
      <c r="M308">
        <v>3</v>
      </c>
      <c r="N308">
        <v>450</v>
      </c>
      <c r="W308">
        <v>74</v>
      </c>
      <c r="Y308">
        <v>10</v>
      </c>
      <c r="Z308">
        <v>60</v>
      </c>
      <c r="AA308" s="3">
        <f t="shared" si="308"/>
        <v>8.1081081081081086E-2</v>
      </c>
      <c r="AB308">
        <v>40</v>
      </c>
      <c r="AC308">
        <f t="shared" si="322"/>
        <v>64</v>
      </c>
      <c r="AF308">
        <v>15.3</v>
      </c>
      <c r="AG308">
        <v>15.3</v>
      </c>
      <c r="AH308">
        <v>2.67</v>
      </c>
      <c r="AI308">
        <v>2.8</v>
      </c>
      <c r="AJ308" s="10">
        <v>84</v>
      </c>
      <c r="AK308" t="str">
        <f>CONCATENATE(VLOOKUP(AL308, 'Voxel Sizes'!$A$2:$B$18,2,FALSE),"x",INT(AH308*15), "x", INT(AI308*15))</f>
        <v>152x40x42</v>
      </c>
      <c r="AL308">
        <f t="shared" si="309"/>
        <v>9</v>
      </c>
      <c r="AN308" t="str">
        <f>CONCATENATE(VLOOKUP(AL308,Constants!$A$2:$C$16,IF(AM308&lt;&gt;"", 3, 2), FALSE),IF(AM308&lt;&gt;"",CONCATENATE(",",VLOOKUP(AM308,$B:$AN,39,FALSE)),""))</f>
        <v>2,5,2</v>
      </c>
      <c r="AR308" t="s">
        <v>1451</v>
      </c>
      <c r="AT308" t="s">
        <v>287</v>
      </c>
      <c r="AX308">
        <v>41</v>
      </c>
      <c r="AY308" s="15">
        <f t="shared" si="310"/>
        <v>76</v>
      </c>
      <c r="AZ308">
        <v>-25</v>
      </c>
      <c r="BB308">
        <f t="shared" si="311"/>
        <v>8</v>
      </c>
      <c r="BC308">
        <f t="shared" si="312"/>
        <v>2.25</v>
      </c>
      <c r="BD308">
        <f t="shared" si="313"/>
        <v>3</v>
      </c>
      <c r="BE308" s="3">
        <f t="shared" si="314"/>
        <v>0.96933333333333338</v>
      </c>
      <c r="BF308">
        <f t="shared" si="315"/>
        <v>8.4</v>
      </c>
      <c r="BG308">
        <f>VLOOKUP($H308,Constants!$I:$K, 2, FALSE)</f>
        <v>0.9</v>
      </c>
      <c r="BH308">
        <f>VLOOKUP($H308,Constants!$I:$K, 3, FALSE)*IF(AND(G308="multiple_unit",AB308&lt;110),0.75,1)</f>
        <v>1.2000000000000002</v>
      </c>
      <c r="BI308">
        <f>INT(POWER(((Constants!$G$2+$BB308+$BC308+$BD308+$BF308)*$BE308)*$BH308, 1.05))+$BA308</f>
        <v>36</v>
      </c>
      <c r="BJ308">
        <f>INT(POWER((((Constants!$G$1+$BB308+$BC308+$BD308+$BF308)*($BE308))*$BG308),IF($G308="wagon",1,1.2)))+$AZ308</f>
        <v>38</v>
      </c>
      <c r="BK308" s="14">
        <f t="shared" si="316"/>
        <v>28125</v>
      </c>
      <c r="BL308" s="14">
        <f t="shared" si="317"/>
        <v>3087.5</v>
      </c>
      <c r="BU308">
        <v>3</v>
      </c>
      <c r="BV308">
        <v>120</v>
      </c>
      <c r="BY308" t="s">
        <v>278</v>
      </c>
      <c r="BZ308" t="str">
        <f>VLOOKUP(J308,Eras!$A$2:$C$10, 2, TRUE)</f>
        <v>big4</v>
      </c>
      <c r="CA308" t="s">
        <v>340</v>
      </c>
      <c r="CB308" t="str">
        <f t="shared" si="318"/>
        <v>big4_LU</v>
      </c>
      <c r="CC308" t="str">
        <f t="shared" si="304"/>
        <v>tube_FOURTH_RAIL</v>
      </c>
      <c r="CD308" s="17" t="str" cm="1">
        <f t="array" ref="CD308">_xlfn.CONCAT("{BLACK}Length: {GOLD}", TEXT(ROUNDUP(IF(AQ308&lt;&gt;"",SUM(VALUE(_xlfn.TEXTSPLIT(AQ308, ","))), SUM(VALUE(_xlfn.TEXTSPLIT(AN308, ",")))*IF(M308, M308, 1))/16, 1), "#,##0.0"), " tiles{}")</f>
        <v>{BLACK}Length: {GOLD}1.7 tiles{}</v>
      </c>
      <c r="CE308" t="str">
        <f>VLOOKUP($CC308, Constants!$M:$N, 2, FALSE)</f>
        <v>{BLACK}Powered by: {GOLD}630V DC</v>
      </c>
      <c r="CF308" t="str">
        <f t="shared" si="319"/>
        <v>{BLACK}Cars: {GOLD}3</v>
      </c>
      <c r="CG308" t="s">
        <v>1452</v>
      </c>
      <c r="CH308" t="str">
        <f t="shared" si="303"/>
        <v/>
      </c>
      <c r="CI308" t="str">
        <f t="shared" si="305"/>
        <v>{YELLOW}35% penalty for long distance travel{}</v>
      </c>
      <c r="CJ308" t="str">
        <f t="shared" si="306"/>
        <v>{BLACK}Powered by: {GOLD}630V DC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09" spans="1:88" x14ac:dyDescent="0.35">
      <c r="A309" t="s">
        <v>98</v>
      </c>
      <c r="B309" t="s">
        <v>247</v>
      </c>
      <c r="C309">
        <v>708</v>
      </c>
      <c r="E309">
        <v>195</v>
      </c>
      <c r="F309" t="s">
        <v>1498</v>
      </c>
      <c r="G309" t="s">
        <v>398</v>
      </c>
      <c r="H309" t="s">
        <v>1101</v>
      </c>
      <c r="I309" t="s">
        <v>1400</v>
      </c>
      <c r="J309">
        <v>1937</v>
      </c>
      <c r="L309">
        <v>1981</v>
      </c>
      <c r="M309">
        <v>3</v>
      </c>
      <c r="N309">
        <v>500</v>
      </c>
      <c r="W309">
        <v>79</v>
      </c>
      <c r="Y309">
        <v>10</v>
      </c>
      <c r="Z309">
        <v>60</v>
      </c>
      <c r="AA309" s="3">
        <f t="shared" si="308"/>
        <v>7.5949367088607597E-2</v>
      </c>
      <c r="AB309">
        <v>42</v>
      </c>
      <c r="AC309">
        <f t="shared" si="322"/>
        <v>67</v>
      </c>
      <c r="AF309">
        <v>16</v>
      </c>
      <c r="AG309">
        <v>16</v>
      </c>
      <c r="AH309">
        <v>2.92</v>
      </c>
      <c r="AI309">
        <v>3.68</v>
      </c>
      <c r="AJ309" s="10">
        <v>129</v>
      </c>
      <c r="AK309" t="str">
        <f>CONCATENATE(VLOOKUP(AL309, 'Voxel Sizes'!$A$2:$B$18,2,FALSE),"x",INT(AH309*15), "x", INT(AI309*15))</f>
        <v>152x43x55</v>
      </c>
      <c r="AL309">
        <f t="shared" si="309"/>
        <v>9</v>
      </c>
      <c r="AN309" t="str">
        <f>CONCATENATE(VLOOKUP(AL309,Constants!$A$2:$C$16,IF(AM309&lt;&gt;"", 3, 2), FALSE),IF(AM309&lt;&gt;"",CONCATENATE(",",VLOOKUP(AM309,$B:$AN,39,FALSE)),""))</f>
        <v>2,5,2</v>
      </c>
      <c r="AR309" t="s">
        <v>1453</v>
      </c>
      <c r="AT309" t="s">
        <v>287</v>
      </c>
      <c r="AX309">
        <v>39</v>
      </c>
      <c r="AY309" s="15">
        <f t="shared" si="310"/>
        <v>52</v>
      </c>
      <c r="AZ309">
        <v>-22</v>
      </c>
      <c r="BA309">
        <v>6</v>
      </c>
      <c r="BB309">
        <f t="shared" si="311"/>
        <v>8.4</v>
      </c>
      <c r="BC309">
        <f t="shared" si="312"/>
        <v>2.5</v>
      </c>
      <c r="BD309">
        <f t="shared" si="313"/>
        <v>3</v>
      </c>
      <c r="BE309" s="3">
        <f t="shared" si="314"/>
        <v>0.95066666666666666</v>
      </c>
      <c r="BF309">
        <f t="shared" si="315"/>
        <v>12.9</v>
      </c>
      <c r="BG309">
        <f>VLOOKUP($H309,Constants!$I:$K, 2, FALSE)</f>
        <v>0.9</v>
      </c>
      <c r="BH309">
        <f>VLOOKUP($H309,Constants!$I:$K, 3, FALSE)*IF(AND(G309="multiple_unit",AB309&lt;110),0.75,1)</f>
        <v>1.2000000000000002</v>
      </c>
      <c r="BI309">
        <f>INT(POWER(((Constants!$G$2+$BB309+$BC309+$BD309+$BF309)*$BE309)*$BH309, 1.05))+$BA309</f>
        <v>49</v>
      </c>
      <c r="BJ309">
        <f>INT(POWER((((Constants!$G$1+$BB309+$BC309+$BD309+$BF309)*($BE309))*$BG309),IF($G309="wagon",1,1.2)))+$AZ309</f>
        <v>51</v>
      </c>
      <c r="BK309" s="14">
        <f t="shared" si="316"/>
        <v>38281.25</v>
      </c>
      <c r="BL309" s="14">
        <f t="shared" si="317"/>
        <v>4143.75</v>
      </c>
      <c r="BU309">
        <v>5</v>
      </c>
      <c r="BV309">
        <v>120</v>
      </c>
      <c r="BY309" t="s">
        <v>278</v>
      </c>
      <c r="BZ309" t="str">
        <f>VLOOKUP(J309,Eras!$A$2:$C$10, 2, TRUE)</f>
        <v>big4</v>
      </c>
      <c r="CA309" t="s">
        <v>340</v>
      </c>
      <c r="CB309" t="str">
        <f t="shared" si="318"/>
        <v>big4_LU</v>
      </c>
      <c r="CC309" t="str">
        <f t="shared" si="304"/>
        <v>tube_FOURTH_RAIL</v>
      </c>
      <c r="CD309" s="17" t="str" cm="1">
        <f t="array" ref="CD309">_xlfn.CONCAT("{BLACK}Length: {GOLD}", TEXT(ROUNDUP(IF(AQ309&lt;&gt;"",SUM(VALUE(_xlfn.TEXTSPLIT(AQ309, ","))), SUM(VALUE(_xlfn.TEXTSPLIT(AN309, ",")))*IF(M309, M309, 1))/16, 1), "#,##0.0"), " tiles{}")</f>
        <v>{BLACK}Length: {GOLD}1.7 tiles{}</v>
      </c>
      <c r="CE309" t="str">
        <f>VLOOKUP($CC309, Constants!$M:$N, 2, FALSE)</f>
        <v>{BLACK}Powered by: {GOLD}630V DC</v>
      </c>
      <c r="CF309" t="str">
        <f t="shared" si="319"/>
        <v>{BLACK}Cars: {GOLD}3</v>
      </c>
      <c r="CG309" t="s">
        <v>1454</v>
      </c>
      <c r="CH309" t="str">
        <f t="shared" si="303"/>
        <v/>
      </c>
      <c r="CI309" t="str">
        <f t="shared" si="305"/>
        <v>{YELLOW}35% penalty for long distance travel{}</v>
      </c>
      <c r="CJ309" t="str">
        <f t="shared" si="306"/>
        <v>{BLACK}Powered by: {GOLD}630V DC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10" spans="1:88" x14ac:dyDescent="0.35">
      <c r="A310" t="s">
        <v>1399</v>
      </c>
      <c r="B310" t="s">
        <v>186</v>
      </c>
      <c r="C310">
        <v>720</v>
      </c>
      <c r="E310">
        <v>196</v>
      </c>
      <c r="F310" t="s">
        <v>1498</v>
      </c>
      <c r="G310" t="s">
        <v>398</v>
      </c>
      <c r="H310" t="s">
        <v>1101</v>
      </c>
      <c r="I310" t="s">
        <v>1400</v>
      </c>
      <c r="J310">
        <v>1903</v>
      </c>
      <c r="K310">
        <v>1939</v>
      </c>
      <c r="L310">
        <v>1939</v>
      </c>
      <c r="M310">
        <v>6</v>
      </c>
      <c r="N310">
        <v>400</v>
      </c>
      <c r="W310">
        <f>(14*6)+20</f>
        <v>104</v>
      </c>
      <c r="Y310">
        <v>10</v>
      </c>
      <c r="Z310">
        <v>100</v>
      </c>
      <c r="AA310" s="3">
        <f t="shared" si="308"/>
        <v>9.6153846153846159E-2</v>
      </c>
      <c r="AB310">
        <v>30</v>
      </c>
      <c r="AC310">
        <f t="shared" si="322"/>
        <v>48</v>
      </c>
      <c r="AF310">
        <v>13.87</v>
      </c>
      <c r="AG310">
        <v>13.8</v>
      </c>
      <c r="AH310">
        <v>2.59</v>
      </c>
      <c r="AJ310" s="10">
        <v>102</v>
      </c>
      <c r="AK310" t="str">
        <f>CONCATENATE(VLOOKUP(AL310, 'Voxel Sizes'!$A$2:$B$18,2,FALSE),"x",INT(AH310*15), "x", INT(AI310*15))</f>
        <v>136x38x0</v>
      </c>
      <c r="AL310">
        <f t="shared" si="309"/>
        <v>8</v>
      </c>
      <c r="AN310" t="str">
        <f>CONCATENATE(VLOOKUP(AL310,Constants!$A$2:$C$16,IF(AM310&lt;&gt;"", 3, 2), FALSE),IF(AM310&lt;&gt;"",CONCATENATE(",",VLOOKUP(AM310,$B:$AN,39,FALSE)),""))</f>
        <v>2,4,2</v>
      </c>
      <c r="AR310" t="s">
        <v>1404</v>
      </c>
      <c r="AT310" t="s">
        <v>521</v>
      </c>
      <c r="AX310">
        <v>34</v>
      </c>
      <c r="AY310" s="15">
        <f t="shared" si="310"/>
        <v>44</v>
      </c>
      <c r="AZ310">
        <v>-25</v>
      </c>
      <c r="BB310">
        <f t="shared" si="311"/>
        <v>6</v>
      </c>
      <c r="BC310">
        <f t="shared" si="312"/>
        <v>2</v>
      </c>
      <c r="BD310">
        <f t="shared" si="313"/>
        <v>5</v>
      </c>
      <c r="BE310" s="3">
        <f t="shared" si="314"/>
        <v>0.996</v>
      </c>
      <c r="BF310">
        <f t="shared" si="315"/>
        <v>20.399999999999999</v>
      </c>
      <c r="BG310">
        <f>VLOOKUP($H310,Constants!$I:$K, 2, FALSE)</f>
        <v>0.9</v>
      </c>
      <c r="BH310">
        <f>VLOOKUP($H310,Constants!$I:$K, 3, FALSE)*IF(AND(G310="multiple_unit",AB310&lt;110),0.75,1)</f>
        <v>1.2000000000000002</v>
      </c>
      <c r="BI310">
        <f>INT(POWER(((Constants!$G$2+$BB310+$BC310+$BD310+$BF310)*$BE310)*$BH310, 1.05))+$BA310</f>
        <v>55</v>
      </c>
      <c r="BJ310">
        <f>INT(POWER((((Constants!$G$1+$BB310+$BC310+$BD310+$BF310)*($BE310))*$BG310),IF($G310="wagon",1,1.2)))+$AZ310</f>
        <v>67</v>
      </c>
      <c r="BK310" s="14">
        <f t="shared" si="316"/>
        <v>42968.75</v>
      </c>
      <c r="BL310" s="14">
        <f t="shared" si="317"/>
        <v>5443.75</v>
      </c>
      <c r="BU310">
        <v>3</v>
      </c>
      <c r="BV310">
        <v>120</v>
      </c>
      <c r="BY310" t="s">
        <v>278</v>
      </c>
      <c r="BZ310" t="str">
        <f>VLOOKUP(J310,Eras!$A$2:$C$10, 2, TRUE)</f>
        <v>edw</v>
      </c>
      <c r="CA310" t="s">
        <v>340</v>
      </c>
      <c r="CB310" t="str">
        <f t="shared" si="318"/>
        <v>edw_LU</v>
      </c>
      <c r="CC310" t="str">
        <f t="shared" si="304"/>
        <v>tube_FOURTH_RAIL</v>
      </c>
      <c r="CD310" s="17" t="str" cm="1">
        <f t="array" ref="CD310">_xlfn.CONCAT("{BLACK}Length: {GOLD}", TEXT(ROUNDUP(IF(AQ310&lt;&gt;"",SUM(VALUE(_xlfn.TEXTSPLIT(AQ310, ","))), SUM(VALUE(_xlfn.TEXTSPLIT(AN310, ",")))*IF(M310, M310, 1))/16, 1), "#,##0.0"), " tiles{}")</f>
        <v>{BLACK}Length: {GOLD}3.0 tiles{}</v>
      </c>
      <c r="CE310" t="str">
        <f>VLOOKUP($CC310, Constants!$M:$N, 2, FALSE)</f>
        <v>{BLACK}Powered by: {GOLD}630V DC</v>
      </c>
      <c r="CF310" t="str">
        <f t="shared" si="319"/>
        <v>{BLACK}Cars: {GOLD}6</v>
      </c>
      <c r="CG310" t="s">
        <v>1403</v>
      </c>
      <c r="CH310" t="str">
        <f t="shared" si="303"/>
        <v/>
      </c>
      <c r="CI310" t="str">
        <f t="shared" si="305"/>
        <v>{YELLOW}35% penalty for long distance travel{}</v>
      </c>
      <c r="CJ310" t="str">
        <f t="shared" si="306"/>
        <v>{BLACK}Powered by: {GOLD}630V DC {BLACK}Cars: {GOLD}6{}{BLACK}Length: {GOLD}3.0 tiles{}{YELLOW}35% penalty for long distance travel{}{SILVER}The carriages of the early Central London Railway stock were hauled by locomotives, but these caused excessive vibration so were replaced by motor cars at each end of the train.</v>
      </c>
    </row>
    <row r="311" spans="1:88" x14ac:dyDescent="0.35">
      <c r="A311" t="s">
        <v>99</v>
      </c>
      <c r="B311" t="s">
        <v>189</v>
      </c>
      <c r="C311">
        <v>722</v>
      </c>
      <c r="E311">
        <v>197</v>
      </c>
      <c r="F311" t="s">
        <v>1498</v>
      </c>
      <c r="G311" t="s">
        <v>398</v>
      </c>
      <c r="H311" t="s">
        <v>1101</v>
      </c>
      <c r="I311" t="s">
        <v>1400</v>
      </c>
      <c r="J311">
        <v>1938</v>
      </c>
      <c r="L311">
        <v>2020</v>
      </c>
      <c r="M311">
        <v>7</v>
      </c>
      <c r="N311">
        <v>650</v>
      </c>
      <c r="W311">
        <v>161</v>
      </c>
      <c r="Y311">
        <v>10</v>
      </c>
      <c r="Z311">
        <v>130</v>
      </c>
      <c r="AA311" s="3">
        <f t="shared" si="308"/>
        <v>8.0745341614906832E-2</v>
      </c>
      <c r="AB311">
        <v>45</v>
      </c>
      <c r="AC311">
        <f t="shared" si="322"/>
        <v>72</v>
      </c>
      <c r="AF311">
        <v>15.8</v>
      </c>
      <c r="AG311">
        <v>15.8</v>
      </c>
      <c r="AH311">
        <v>2.59</v>
      </c>
      <c r="AI311">
        <v>2.883</v>
      </c>
      <c r="AJ311" s="10">
        <v>108</v>
      </c>
      <c r="AK311" t="str">
        <f>CONCATENATE(VLOOKUP(AL311, 'Voxel Sizes'!$A$2:$B$18,2,FALSE),"x",INT(AH311*15), "x", INT(AI311*15))</f>
        <v>152x38x43</v>
      </c>
      <c r="AL311">
        <f t="shared" si="309"/>
        <v>9</v>
      </c>
      <c r="AN311" t="str">
        <f>CONCATENATE(VLOOKUP(AL311,Constants!$A$2:$C$16,IF(AM311&lt;&gt;"", 3, 2), FALSE),IF(AM311&lt;&gt;"",CONCATENATE(",",VLOOKUP(AM311,$B:$AN,39,FALSE)),""))</f>
        <v>2,5,2</v>
      </c>
      <c r="AR311" t="s">
        <v>1405</v>
      </c>
      <c r="AT311" t="s">
        <v>1406</v>
      </c>
      <c r="AX311">
        <v>40</v>
      </c>
      <c r="AY311" s="15">
        <f t="shared" si="310"/>
        <v>90</v>
      </c>
      <c r="AZ311">
        <v>-25</v>
      </c>
      <c r="BB311">
        <f t="shared" si="311"/>
        <v>9</v>
      </c>
      <c r="BC311">
        <f t="shared" si="312"/>
        <v>3.25</v>
      </c>
      <c r="BD311">
        <f t="shared" si="313"/>
        <v>6.5</v>
      </c>
      <c r="BE311" s="3">
        <f t="shared" si="314"/>
        <v>0.94933333333333336</v>
      </c>
      <c r="BF311">
        <f t="shared" si="315"/>
        <v>25.2</v>
      </c>
      <c r="BG311">
        <f>VLOOKUP($H311,Constants!$I:$K, 2, FALSE)</f>
        <v>0.9</v>
      </c>
      <c r="BH311">
        <f>VLOOKUP($H311,Constants!$I:$K, 3, FALSE)*IF(AND(G311="multiple_unit",AB311&lt;110),0.75,1)</f>
        <v>1.2000000000000002</v>
      </c>
      <c r="BI311">
        <f>INT(POWER(((Constants!$G$2+$BB311+$BC311+$BD311+$BF311)*$BE311)*$BH311, 1.05))+$BA311</f>
        <v>68</v>
      </c>
      <c r="BJ311">
        <f>INT(POWER((((Constants!$G$1+$BB311+$BC311+$BD311+$BF311)*($BE311))*$BG311),IF($G311="wagon",1,1.2)))+$AZ311</f>
        <v>85</v>
      </c>
      <c r="BK311" s="14">
        <f t="shared" si="316"/>
        <v>53125</v>
      </c>
      <c r="BL311" s="14">
        <f t="shared" si="317"/>
        <v>6906.25</v>
      </c>
      <c r="BU311">
        <v>4</v>
      </c>
      <c r="BV311">
        <v>120</v>
      </c>
      <c r="BY311" t="s">
        <v>278</v>
      </c>
      <c r="BZ311" t="str">
        <f>VLOOKUP(J311,Eras!$A$2:$C$10, 2, TRUE)</f>
        <v>big4</v>
      </c>
      <c r="CA311" t="s">
        <v>340</v>
      </c>
      <c r="CB311" t="str">
        <f t="shared" si="318"/>
        <v>big4_LU</v>
      </c>
      <c r="CC311" t="str">
        <f t="shared" si="304"/>
        <v>tube_FOURTH_RAIL</v>
      </c>
      <c r="CD311" s="17" t="str" cm="1">
        <f t="array" ref="CD311">_xlfn.CONCAT("{BLACK}Length: {GOLD}", TEXT(ROUNDUP(IF(AQ311&lt;&gt;"",SUM(VALUE(_xlfn.TEXTSPLIT(AQ311, ","))), SUM(VALUE(_xlfn.TEXTSPLIT(AN311, ",")))*IF(M311, M311, 1))/16, 1), "#,##0.0"), " tiles{}")</f>
        <v>{BLACK}Length: {GOLD}4.0 tiles{}</v>
      </c>
      <c r="CE311" t="str">
        <f>VLOOKUP($CC311, Constants!$M:$N, 2, FALSE)</f>
        <v>{BLACK}Powered by: {GOLD}630V DC</v>
      </c>
      <c r="CF311" t="str">
        <f t="shared" si="319"/>
        <v>{BLACK}Cars: {GOLD}7</v>
      </c>
      <c r="CG311" t="s">
        <v>1407</v>
      </c>
      <c r="CH311" t="str">
        <f t="shared" si="303"/>
        <v/>
      </c>
      <c r="CI311" t="str">
        <f t="shared" si="305"/>
        <v>{YELLOW}35% penalty for long distance travel{}</v>
      </c>
      <c r="CJ311" t="str">
        <f t="shared" si="306"/>
        <v>{BLACK}Powered by: {GOLD}630V DC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12" spans="1:88" x14ac:dyDescent="0.35">
      <c r="A312" t="s">
        <v>100</v>
      </c>
      <c r="B312" t="s">
        <v>190</v>
      </c>
      <c r="C312">
        <v>724</v>
      </c>
      <c r="E312">
        <v>198</v>
      </c>
      <c r="F312" t="s">
        <v>1498</v>
      </c>
      <c r="G312" t="s">
        <v>398</v>
      </c>
      <c r="H312" t="s">
        <v>1101</v>
      </c>
      <c r="I312" t="s">
        <v>1400</v>
      </c>
      <c r="J312">
        <v>1959</v>
      </c>
      <c r="L312">
        <v>2000</v>
      </c>
      <c r="M312">
        <v>7</v>
      </c>
      <c r="N312">
        <v>750</v>
      </c>
      <c r="W312">
        <v>167</v>
      </c>
      <c r="Y312">
        <v>10</v>
      </c>
      <c r="Z312">
        <v>135</v>
      </c>
      <c r="AA312" s="3">
        <f t="shared" si="308"/>
        <v>8.0838323353293412E-2</v>
      </c>
      <c r="AB312">
        <v>45</v>
      </c>
      <c r="AC312">
        <f t="shared" si="322"/>
        <v>72</v>
      </c>
      <c r="AF312">
        <v>15.9</v>
      </c>
      <c r="AG312">
        <v>15.9</v>
      </c>
      <c r="AH312">
        <v>2.59</v>
      </c>
      <c r="AI312">
        <v>2.883</v>
      </c>
      <c r="AJ312" s="10">
        <v>120</v>
      </c>
      <c r="AK312" t="str">
        <f>CONCATENATE(VLOOKUP(AL312, 'Voxel Sizes'!$A$2:$B$18,2,FALSE),"x",INT(AH312*15), "x", INT(AI312*15))</f>
        <v>152x38x43</v>
      </c>
      <c r="AL312">
        <f t="shared" si="309"/>
        <v>9</v>
      </c>
      <c r="AN312" t="str">
        <f>CONCATENATE(VLOOKUP(AL312,Constants!$A$2:$C$16,IF(AM312&lt;&gt;"", 3, 2), FALSE),IF(AM312&lt;&gt;"",CONCATENATE(",",VLOOKUP(AM312,$B:$AN,39,FALSE)),""))</f>
        <v>2,5,2</v>
      </c>
      <c r="AR312" t="s">
        <v>1408</v>
      </c>
      <c r="AT312" t="s">
        <v>1406</v>
      </c>
      <c r="AX312">
        <v>38</v>
      </c>
      <c r="AY312" s="15">
        <f t="shared" si="310"/>
        <v>49</v>
      </c>
      <c r="AZ312">
        <v>-25</v>
      </c>
      <c r="BA312">
        <v>-1</v>
      </c>
      <c r="BB312">
        <f t="shared" si="311"/>
        <v>9</v>
      </c>
      <c r="BC312">
        <f t="shared" si="312"/>
        <v>3.75</v>
      </c>
      <c r="BD312">
        <f t="shared" si="313"/>
        <v>6.75</v>
      </c>
      <c r="BE312" s="3">
        <f t="shared" si="314"/>
        <v>0.92133333333333334</v>
      </c>
      <c r="BF312">
        <f t="shared" si="315"/>
        <v>28.000000000000004</v>
      </c>
      <c r="BG312">
        <f>VLOOKUP($H312,Constants!$I:$K, 2, FALSE)</f>
        <v>0.9</v>
      </c>
      <c r="BH312">
        <f>VLOOKUP($H312,Constants!$I:$K, 3, FALSE)*IF(AND(G312="multiple_unit",AB312&lt;110),0.75,1)</f>
        <v>1.2000000000000002</v>
      </c>
      <c r="BI312">
        <f>INT(POWER(((Constants!$G$2+$BB312+$BC312+$BD312+$BF312)*$BE312)*$BH312, 1.05))+$BA312</f>
        <v>70</v>
      </c>
      <c r="BJ312">
        <f>INT(POWER((((Constants!$G$1+$BB312+$BC312+$BD312+$BF312)*($BE312))*$BG312),IF($G312="wagon",1,1.2)))+$AZ312</f>
        <v>89</v>
      </c>
      <c r="BK312" s="14">
        <f t="shared" si="316"/>
        <v>54687.5</v>
      </c>
      <c r="BL312" s="14">
        <f t="shared" si="317"/>
        <v>7231.25</v>
      </c>
      <c r="BU312">
        <v>5</v>
      </c>
      <c r="BV312">
        <v>120</v>
      </c>
      <c r="BY312" t="s">
        <v>278</v>
      </c>
      <c r="BZ312" t="str">
        <f>VLOOKUP(J312,Eras!$A$2:$C$10, 2, TRUE)</f>
        <v>dsl</v>
      </c>
      <c r="CA312" t="s">
        <v>340</v>
      </c>
      <c r="CB312" t="str">
        <f t="shared" si="318"/>
        <v>dsl_LU</v>
      </c>
      <c r="CC312" t="str">
        <f t="shared" si="304"/>
        <v>tube_FOURTH_RAIL</v>
      </c>
      <c r="CD312" s="17" t="str" cm="1">
        <f t="array" ref="CD312">_xlfn.CONCAT("{BLACK}Length: {GOLD}", TEXT(ROUNDUP(IF(AQ312&lt;&gt;"",SUM(VALUE(_xlfn.TEXTSPLIT(AQ312, ","))), SUM(VALUE(_xlfn.TEXTSPLIT(AN312, ",")))*IF(M312, M312, 1))/16, 1), "#,##0.0"), " tiles{}")</f>
        <v>{BLACK}Length: {GOLD}4.0 tiles{}</v>
      </c>
      <c r="CE312" t="str">
        <f>VLOOKUP($CC312, Constants!$M:$N, 2, FALSE)</f>
        <v>{BLACK}Powered by: {GOLD}630V DC</v>
      </c>
      <c r="CF312" t="str">
        <f t="shared" si="319"/>
        <v>{BLACK}Cars: {GOLD}7</v>
      </c>
      <c r="CG312" t="s">
        <v>1409</v>
      </c>
      <c r="CH312" t="str">
        <f t="shared" si="303"/>
        <v/>
      </c>
      <c r="CI312" t="str">
        <f t="shared" si="305"/>
        <v>{YELLOW}35% penalty for long distance travel{}</v>
      </c>
      <c r="CJ312" t="str">
        <f t="shared" si="306"/>
        <v>{BLACK}Powered by: {GOLD}630V DC {BLACK}Cars: {GOLD}7{}{BLACK}Length: {GOLD}4.0 tiles{}{YELLOW}35% penalty for long distance travel{}{SILVER}The 1959 stock was based on the aluminium-bodied 1956 stock, built for the Piccadilly line but used across many deep level Tube lines over its long life.</v>
      </c>
    </row>
    <row r="313" spans="1:88" x14ac:dyDescent="0.35">
      <c r="A313" t="s">
        <v>101</v>
      </c>
      <c r="B313" t="s">
        <v>191</v>
      </c>
      <c r="C313">
        <v>726</v>
      </c>
      <c r="E313">
        <v>199</v>
      </c>
      <c r="F313" t="s">
        <v>1498</v>
      </c>
      <c r="G313" t="s">
        <v>398</v>
      </c>
      <c r="H313" t="s">
        <v>1101</v>
      </c>
      <c r="I313" t="s">
        <v>1400</v>
      </c>
      <c r="J313">
        <v>1960</v>
      </c>
      <c r="L313">
        <v>2012</v>
      </c>
      <c r="M313">
        <v>4</v>
      </c>
      <c r="N313">
        <v>450</v>
      </c>
      <c r="W313">
        <f>32+21+21+32</f>
        <v>106</v>
      </c>
      <c r="Y313">
        <v>10</v>
      </c>
      <c r="Z313">
        <v>80</v>
      </c>
      <c r="AA313" s="3">
        <f t="shared" si="308"/>
        <v>7.5471698113207544E-2</v>
      </c>
      <c r="AB313">
        <v>70</v>
      </c>
      <c r="AC313">
        <f t="shared" si="322"/>
        <v>112</v>
      </c>
      <c r="AF313">
        <v>16.2</v>
      </c>
      <c r="AG313">
        <v>16.2</v>
      </c>
      <c r="AH313">
        <v>2.94</v>
      </c>
      <c r="AI313">
        <v>3.68</v>
      </c>
      <c r="AJ313" s="10">
        <v>114</v>
      </c>
      <c r="AK313" t="str">
        <f>CONCATENATE(VLOOKUP(AL313, 'Voxel Sizes'!$A$2:$B$18,2,FALSE),"x",INT(AH313*15), "x", INT(AI313*15))</f>
        <v>152x44x55</v>
      </c>
      <c r="AL313">
        <f t="shared" si="309"/>
        <v>9</v>
      </c>
      <c r="AN313" t="str">
        <f>CONCATENATE(VLOOKUP(AL313,Constants!$A$2:$C$16,IF(AM313&lt;&gt;"", 3, 2), FALSE),IF(AM313&lt;&gt;"",CONCATENATE(",",VLOOKUP(AM313,$B:$AN,39,FALSE)),""))</f>
        <v>2,5,2</v>
      </c>
      <c r="AR313" t="s">
        <v>1410</v>
      </c>
      <c r="AT313" t="s">
        <v>459</v>
      </c>
      <c r="AX313">
        <v>39</v>
      </c>
      <c r="AY313" s="15">
        <f t="shared" si="310"/>
        <v>60</v>
      </c>
      <c r="AZ313">
        <v>-25</v>
      </c>
      <c r="BB313">
        <f t="shared" si="311"/>
        <v>14</v>
      </c>
      <c r="BC313">
        <f t="shared" si="312"/>
        <v>2.25</v>
      </c>
      <c r="BD313">
        <f t="shared" si="313"/>
        <v>4</v>
      </c>
      <c r="BE313" s="3">
        <f t="shared" si="314"/>
        <v>0.92</v>
      </c>
      <c r="BF313">
        <f t="shared" si="315"/>
        <v>15.2</v>
      </c>
      <c r="BG313">
        <f>VLOOKUP($H313,Constants!$I:$K, 2, FALSE)</f>
        <v>0.9</v>
      </c>
      <c r="BH313">
        <f>VLOOKUP($H313,Constants!$I:$K, 3, FALSE)*IF(AND(G313="multiple_unit",AB313&lt;110),0.75,1)</f>
        <v>1.2000000000000002</v>
      </c>
      <c r="BI313">
        <f>INT(POWER(((Constants!$G$2+$BB313+$BC313+$BD313+$BF313)*$BE313)*$BH313, 1.05))+$BA313</f>
        <v>53</v>
      </c>
      <c r="BJ313">
        <f>INT(POWER((((Constants!$G$1+$BB313+$BC313+$BD313+$BF313)*($BE313))*$BG313),IF($G313="wagon",1,1.2)))+$AZ313</f>
        <v>63</v>
      </c>
      <c r="BK313" s="14">
        <f t="shared" si="316"/>
        <v>41406.25</v>
      </c>
      <c r="BL313" s="14">
        <f t="shared" si="317"/>
        <v>5118.75</v>
      </c>
      <c r="BU313">
        <v>6</v>
      </c>
      <c r="BV313">
        <v>120</v>
      </c>
      <c r="BY313" t="s">
        <v>278</v>
      </c>
      <c r="BZ313" t="str">
        <f>VLOOKUP(J313,Eras!$A$2:$C$10, 2, TRUE)</f>
        <v>dsl</v>
      </c>
      <c r="CA313" t="s">
        <v>340</v>
      </c>
      <c r="CB313" t="str">
        <f t="shared" si="318"/>
        <v>dsl_LU</v>
      </c>
      <c r="CC313" t="str">
        <f t="shared" si="304"/>
        <v>tube_FOURTH_RAIL</v>
      </c>
      <c r="CD313" s="17" t="str" cm="1">
        <f t="array" ref="CD313">_xlfn.CONCAT("{BLACK}Length: {GOLD}", TEXT(ROUNDUP(IF(AQ313&lt;&gt;"",SUM(VALUE(_xlfn.TEXTSPLIT(AQ313, ","))), SUM(VALUE(_xlfn.TEXTSPLIT(AN313, ",")))*IF(M313, M313, 1))/16, 1), "#,##0.0"), " tiles{}")</f>
        <v>{BLACK}Length: {GOLD}2.3 tiles{}</v>
      </c>
      <c r="CE313" t="str">
        <f>VLOOKUP($CC313, Constants!$M:$N, 2, FALSE)</f>
        <v>{BLACK}Powered by: {GOLD}630V DC</v>
      </c>
      <c r="CF313" t="str">
        <f t="shared" si="319"/>
        <v>{BLACK}Cars: {GOLD}4</v>
      </c>
      <c r="CG313" t="s">
        <v>1411</v>
      </c>
      <c r="CH313" t="str">
        <f t="shared" si="303"/>
        <v/>
      </c>
      <c r="CI313" t="str">
        <f t="shared" si="305"/>
        <v>{YELLOW}35% penalty for long distance travel{}</v>
      </c>
      <c r="CJ313" t="str">
        <f t="shared" si="306"/>
        <v>{BLACK}Powered by: {GOLD}630V DC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14" spans="1:88" x14ac:dyDescent="0.35">
      <c r="A314" t="s">
        <v>102</v>
      </c>
      <c r="B314" t="s">
        <v>192</v>
      </c>
      <c r="C314">
        <v>728</v>
      </c>
      <c r="E314">
        <v>200</v>
      </c>
      <c r="F314" t="s">
        <v>1498</v>
      </c>
      <c r="G314" t="s">
        <v>398</v>
      </c>
      <c r="H314" t="s">
        <v>1101</v>
      </c>
      <c r="I314" t="s">
        <v>1400</v>
      </c>
      <c r="J314">
        <v>1967</v>
      </c>
      <c r="L314">
        <v>2011</v>
      </c>
      <c r="M314">
        <v>4</v>
      </c>
      <c r="N314">
        <v>500</v>
      </c>
      <c r="W314">
        <f>28.5+28.5+19.4+19.4</f>
        <v>95.800000000000011</v>
      </c>
      <c r="Y314">
        <v>10</v>
      </c>
      <c r="Z314">
        <v>70</v>
      </c>
      <c r="AA314" s="3">
        <f t="shared" si="308"/>
        <v>7.3068893528183701E-2</v>
      </c>
      <c r="AB314">
        <v>45</v>
      </c>
      <c r="AC314">
        <f t="shared" si="322"/>
        <v>72</v>
      </c>
      <c r="AF314">
        <v>16</v>
      </c>
      <c r="AG314">
        <v>16</v>
      </c>
      <c r="AH314">
        <v>2.6419999999999999</v>
      </c>
      <c r="AI314">
        <v>2.8769999999999998</v>
      </c>
      <c r="AJ314" s="10">
        <v>120</v>
      </c>
      <c r="AK314" t="str">
        <f>CONCATENATE(VLOOKUP(AL314, 'Voxel Sizes'!$A$2:$B$18,2,FALSE),"x",INT(AH314*15), "x", INT(AI314*15))</f>
        <v>152x39x43</v>
      </c>
      <c r="AL314">
        <f t="shared" si="309"/>
        <v>9</v>
      </c>
      <c r="AN314" t="str">
        <f>CONCATENATE(VLOOKUP(AL314,Constants!$A$2:$C$16,IF(AM314&lt;&gt;"", 3, 2), FALSE),IF(AM314&lt;&gt;"",CONCATENATE(",",VLOOKUP(AM314,$B:$AN,39,FALSE)),""))</f>
        <v>2,5,2</v>
      </c>
      <c r="AR314" t="s">
        <v>1412</v>
      </c>
      <c r="AT314" t="s">
        <v>459</v>
      </c>
      <c r="AX314">
        <v>36</v>
      </c>
      <c r="AY314" s="15">
        <f t="shared" si="310"/>
        <v>52</v>
      </c>
      <c r="AZ314">
        <v>-23</v>
      </c>
      <c r="BA314">
        <v>2</v>
      </c>
      <c r="BB314">
        <f t="shared" si="311"/>
        <v>9</v>
      </c>
      <c r="BC314">
        <f t="shared" si="312"/>
        <v>2.5</v>
      </c>
      <c r="BD314">
        <f t="shared" si="313"/>
        <v>3.5</v>
      </c>
      <c r="BE314" s="3">
        <f t="shared" si="314"/>
        <v>0.91066666666666662</v>
      </c>
      <c r="BF314">
        <f t="shared" si="315"/>
        <v>16</v>
      </c>
      <c r="BG314">
        <f>VLOOKUP($H314,Constants!$I:$K, 2, FALSE)</f>
        <v>0.9</v>
      </c>
      <c r="BH314">
        <f>VLOOKUP($H314,Constants!$I:$K, 3, FALSE)*IF(AND(G314="multiple_unit",AB314&lt;110),0.75,1)</f>
        <v>1.2000000000000002</v>
      </c>
      <c r="BI314">
        <f>INT(POWER(((Constants!$G$2+$BB314+$BC314+$BD314+$BF314)*$BE314)*$BH314, 1.05))+$BA314</f>
        <v>49</v>
      </c>
      <c r="BJ314">
        <f>INT(POWER((((Constants!$G$1+$BB314+$BC314+$BD314+$BF314)*($BE314))*$BG314),IF($G314="wagon",1,1.2)))+$AZ314</f>
        <v>54</v>
      </c>
      <c r="BK314" s="14">
        <f t="shared" si="316"/>
        <v>38281.25</v>
      </c>
      <c r="BL314" s="14">
        <f t="shared" si="317"/>
        <v>4387.5</v>
      </c>
      <c r="BU314">
        <v>7</v>
      </c>
      <c r="BV314">
        <v>120</v>
      </c>
      <c r="BY314" t="s">
        <v>278</v>
      </c>
      <c r="BZ314" t="str">
        <f>VLOOKUP(J314,Eras!$A$2:$C$10, 2, TRUE)</f>
        <v>dsl</v>
      </c>
      <c r="CA314" t="s">
        <v>340</v>
      </c>
      <c r="CB314" t="str">
        <f t="shared" si="318"/>
        <v>dsl_LU</v>
      </c>
      <c r="CC314" t="str">
        <f t="shared" si="304"/>
        <v>tube_FOURTH_RAIL</v>
      </c>
      <c r="CD314" s="17" t="str" cm="1">
        <f t="array" ref="CD314">_xlfn.CONCAT("{BLACK}Length: {GOLD}", TEXT(ROUNDUP(IF(AQ314&lt;&gt;"",SUM(VALUE(_xlfn.TEXTSPLIT(AQ314, ","))), SUM(VALUE(_xlfn.TEXTSPLIT(AN314, ",")))*IF(M314, M314, 1))/16, 1), "#,##0.0"), " tiles{}")</f>
        <v>{BLACK}Length: {GOLD}2.3 tiles{}</v>
      </c>
      <c r="CE314" t="str">
        <f>VLOOKUP($CC314, Constants!$M:$N, 2, FALSE)</f>
        <v>{BLACK}Powered by: {GOLD}630V DC</v>
      </c>
      <c r="CF314" t="str">
        <f t="shared" si="319"/>
        <v>{BLACK}Cars: {GOLD}4</v>
      </c>
      <c r="CG314" t="s">
        <v>1413</v>
      </c>
      <c r="CH314" t="str">
        <f t="shared" si="303"/>
        <v/>
      </c>
      <c r="CI314" t="str">
        <f t="shared" si="305"/>
        <v>{YELLOW}35% penalty for long distance travel{}</v>
      </c>
      <c r="CJ314" t="str">
        <f t="shared" si="306"/>
        <v>{BLACK}Powered by: {GOLD}630V DC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15" spans="1:88" x14ac:dyDescent="0.35">
      <c r="A315" t="s">
        <v>103</v>
      </c>
      <c r="B315" t="s">
        <v>193</v>
      </c>
      <c r="C315">
        <v>730</v>
      </c>
      <c r="E315">
        <v>201</v>
      </c>
      <c r="F315" t="s">
        <v>1498</v>
      </c>
      <c r="G315" t="s">
        <v>398</v>
      </c>
      <c r="H315" t="s">
        <v>1101</v>
      </c>
      <c r="I315" t="s">
        <v>1400</v>
      </c>
      <c r="J315">
        <v>1970</v>
      </c>
      <c r="L315">
        <v>2014</v>
      </c>
      <c r="M315">
        <v>2</v>
      </c>
      <c r="N315">
        <v>580</v>
      </c>
      <c r="W315">
        <f>31+20</f>
        <v>51</v>
      </c>
      <c r="Y315">
        <v>10</v>
      </c>
      <c r="Z315">
        <v>40</v>
      </c>
      <c r="AA315" s="3">
        <f t="shared" si="308"/>
        <v>7.8431372549019607E-2</v>
      </c>
      <c r="AB315">
        <v>45</v>
      </c>
      <c r="AC315">
        <f t="shared" si="322"/>
        <v>72</v>
      </c>
      <c r="AF315">
        <v>16</v>
      </c>
      <c r="AG315">
        <v>16</v>
      </c>
      <c r="AH315">
        <v>2.92</v>
      </c>
      <c r="AI315">
        <v>3.68</v>
      </c>
      <c r="AJ315" s="10">
        <v>135</v>
      </c>
      <c r="AK315" t="str">
        <f>CONCATENATE(VLOOKUP(AL315, 'Voxel Sizes'!$A$2:$B$18,2,FALSE),"x",INT(AH315*15), "x", INT(AI315*15))</f>
        <v>152x43x55</v>
      </c>
      <c r="AL315">
        <f t="shared" si="309"/>
        <v>9</v>
      </c>
      <c r="AN315" t="str">
        <f>CONCATENATE(VLOOKUP(AL315,Constants!$A$2:$C$16,IF(AM315&lt;&gt;"", 3, 2), FALSE),IF(AM315&lt;&gt;"",CONCATENATE(",",VLOOKUP(AM315,$B:$AN,39,FALSE)),""))</f>
        <v>2,5,2</v>
      </c>
      <c r="AR315" t="s">
        <v>1414</v>
      </c>
      <c r="AT315" t="s">
        <v>461</v>
      </c>
      <c r="AX315">
        <v>38</v>
      </c>
      <c r="AY315" s="15">
        <f t="shared" si="310"/>
        <v>52</v>
      </c>
      <c r="AZ315">
        <v>-25</v>
      </c>
      <c r="BB315">
        <f t="shared" si="311"/>
        <v>9</v>
      </c>
      <c r="BC315">
        <f t="shared" si="312"/>
        <v>2.9</v>
      </c>
      <c r="BD315">
        <f t="shared" si="313"/>
        <v>2</v>
      </c>
      <c r="BE315" s="3">
        <f t="shared" si="314"/>
        <v>0.90666666666666662</v>
      </c>
      <c r="BF315">
        <f t="shared" si="315"/>
        <v>9</v>
      </c>
      <c r="BG315">
        <f>VLOOKUP($H315,Constants!$I:$K, 2, FALSE)</f>
        <v>0.9</v>
      </c>
      <c r="BH315">
        <f>VLOOKUP($H315,Constants!$I:$K, 3, FALSE)*IF(AND(G315="multiple_unit",AB315&lt;110),0.75,1)</f>
        <v>1.2000000000000002</v>
      </c>
      <c r="BI315">
        <f>INT(POWER(((Constants!$G$2+$BB315+$BC315+$BD315+$BF315)*$BE315)*$BH315, 1.05))+$BA315</f>
        <v>36</v>
      </c>
      <c r="BJ315">
        <f>INT(POWER((((Constants!$G$1+$BB315+$BC315+$BD315+$BF315)*($BE315))*$BG315),IF($G315="wagon",1,1.2)))+$AZ315</f>
        <v>36</v>
      </c>
      <c r="BK315" s="14">
        <f t="shared" si="316"/>
        <v>28125</v>
      </c>
      <c r="BL315" s="14">
        <f t="shared" si="317"/>
        <v>2925</v>
      </c>
      <c r="BU315">
        <v>8</v>
      </c>
      <c r="BV315">
        <v>120</v>
      </c>
      <c r="BY315" t="s">
        <v>278</v>
      </c>
      <c r="BZ315" t="str">
        <f>VLOOKUP(J315,Eras!$A$2:$C$10, 2, TRUE)</f>
        <v>lbr</v>
      </c>
      <c r="CA315" t="s">
        <v>340</v>
      </c>
      <c r="CB315" t="str">
        <f t="shared" si="318"/>
        <v>lbr_LU</v>
      </c>
      <c r="CC315" t="str">
        <f t="shared" si="304"/>
        <v>tube_FOURTH_RAIL</v>
      </c>
      <c r="CD315" s="17" t="str" cm="1">
        <f t="array" ref="CD315">_xlfn.CONCAT("{BLACK}Length: {GOLD}", TEXT(ROUNDUP(IF(AQ315&lt;&gt;"",SUM(VALUE(_xlfn.TEXTSPLIT(AQ315, ","))), SUM(VALUE(_xlfn.TEXTSPLIT(AN315, ",")))*IF(M315, M315, 1))/16, 1), "#,##0.0"), " tiles{}")</f>
        <v>{BLACK}Length: {GOLD}1.2 tiles{}</v>
      </c>
      <c r="CE315" t="str">
        <f>VLOOKUP($CC315, Constants!$M:$N, 2, FALSE)</f>
        <v>{BLACK}Powered by: {GOLD}630V DC</v>
      </c>
      <c r="CF315" t="str">
        <f t="shared" si="319"/>
        <v>{BLACK}Cars: {GOLD}2</v>
      </c>
      <c r="CG315" t="s">
        <v>1415</v>
      </c>
      <c r="CH315" t="str">
        <f t="shared" si="303"/>
        <v/>
      </c>
      <c r="CI315" t="str">
        <f t="shared" si="305"/>
        <v>{YELLOW}35% penalty for long distance travel{}</v>
      </c>
      <c r="CJ315" t="str">
        <f t="shared" si="306"/>
        <v>{BLACK}Powered by: {GOLD}630V DC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16" spans="1:88" x14ac:dyDescent="0.35">
      <c r="A316" t="s">
        <v>104</v>
      </c>
      <c r="B316" t="s">
        <v>194</v>
      </c>
      <c r="C316">
        <v>731</v>
      </c>
      <c r="E316">
        <v>202</v>
      </c>
      <c r="F316" t="s">
        <v>1498</v>
      </c>
      <c r="G316" t="s">
        <v>398</v>
      </c>
      <c r="H316" t="s">
        <v>1101</v>
      </c>
      <c r="I316" t="s">
        <v>1400</v>
      </c>
      <c r="J316">
        <v>1975</v>
      </c>
      <c r="M316">
        <v>3</v>
      </c>
      <c r="N316">
        <v>930</v>
      </c>
      <c r="W316">
        <f>27+26+18</f>
        <v>71</v>
      </c>
      <c r="Y316">
        <v>10</v>
      </c>
      <c r="Z316">
        <v>55</v>
      </c>
      <c r="AA316" s="3">
        <f t="shared" si="308"/>
        <v>7.746478873239436E-2</v>
      </c>
      <c r="AB316">
        <v>45</v>
      </c>
      <c r="AC316">
        <f t="shared" si="322"/>
        <v>72</v>
      </c>
      <c r="AF316">
        <v>17.47</v>
      </c>
      <c r="AG316">
        <v>17</v>
      </c>
      <c r="AH316">
        <v>2.62</v>
      </c>
      <c r="AI316">
        <v>2.88</v>
      </c>
      <c r="AJ316" s="10">
        <v>114</v>
      </c>
      <c r="AK316" t="str">
        <f>CONCATENATE(VLOOKUP(AL316, 'Voxel Sizes'!$A$2:$B$18,2,FALSE),"x",INT(AH316*15), "x", INT(AI316*15))</f>
        <v>164x39x43</v>
      </c>
      <c r="AL316">
        <f t="shared" si="309"/>
        <v>10</v>
      </c>
      <c r="AN316" t="str">
        <f>CONCATENATE(VLOOKUP(AL316,Constants!$A$2:$C$16,IF(AM316&lt;&gt;"", 3, 2), FALSE),IF(AM316&lt;&gt;"",CONCATENATE(",",VLOOKUP(AM316,$B:$AN,39,FALSE)),""))</f>
        <v>4,2,4</v>
      </c>
      <c r="AR316" t="s">
        <v>1418</v>
      </c>
      <c r="AT316" t="s">
        <v>287</v>
      </c>
      <c r="AX316">
        <v>39</v>
      </c>
      <c r="AY316" s="15" t="str">
        <f t="shared" si="310"/>
        <v/>
      </c>
      <c r="AZ316">
        <v>-25</v>
      </c>
      <c r="BB316">
        <f t="shared" si="311"/>
        <v>9</v>
      </c>
      <c r="BC316">
        <f t="shared" si="312"/>
        <v>4.6500000000000004</v>
      </c>
      <c r="BD316">
        <f t="shared" si="313"/>
        <v>2.75</v>
      </c>
      <c r="BE316" s="3">
        <f t="shared" si="314"/>
        <v>0.9</v>
      </c>
      <c r="BF316">
        <f t="shared" si="315"/>
        <v>11.400000000000002</v>
      </c>
      <c r="BG316">
        <f>VLOOKUP($H316,Constants!$I:$K, 2, FALSE)</f>
        <v>0.9</v>
      </c>
      <c r="BH316">
        <f>VLOOKUP($H316,Constants!$I:$K, 3, FALSE)*IF(AND(G316="multiple_unit",AB316&lt;110),0.75,1)</f>
        <v>1.2000000000000002</v>
      </c>
      <c r="BI316">
        <f>INT(POWER(((Constants!$G$2+$BB316+$BC316+$BD316+$BF316)*$BE316)*$BH316, 1.05))+$BA316</f>
        <v>42</v>
      </c>
      <c r="BJ316">
        <f>INT(POWER((((Constants!$G$1+$BB316+$BC316+$BD316+$BF316)*($BE316))*$BG316),IF($G316="wagon",1,1.2)))+$AZ316</f>
        <v>45</v>
      </c>
      <c r="BK316" s="14">
        <f t="shared" si="316"/>
        <v>32812.5</v>
      </c>
      <c r="BL316" s="14">
        <f t="shared" si="317"/>
        <v>3656.25</v>
      </c>
      <c r="BU316">
        <v>9</v>
      </c>
      <c r="BV316">
        <v>120</v>
      </c>
      <c r="BY316" t="s">
        <v>278</v>
      </c>
      <c r="BZ316" t="str">
        <f>VLOOKUP(J316,Eras!$A$2:$C$10, 2, TRUE)</f>
        <v>lbr</v>
      </c>
      <c r="CA316" t="s">
        <v>340</v>
      </c>
      <c r="CB316" t="str">
        <f t="shared" si="318"/>
        <v>lbr_LU</v>
      </c>
      <c r="CC316" t="str">
        <f t="shared" si="304"/>
        <v>tube_FOURTH_RAIL</v>
      </c>
      <c r="CD316" s="17" t="str" cm="1">
        <f t="array" ref="CD316">_xlfn.CONCAT("{BLACK}Length: {GOLD}", TEXT(ROUNDUP(IF(AQ316&lt;&gt;"",SUM(VALUE(_xlfn.TEXTSPLIT(AQ316, ","))), SUM(VALUE(_xlfn.TEXTSPLIT(AN316, ",")))*IF(M316, M316, 1))/16, 1), "#,##0.0"), " tiles{}")</f>
        <v>{BLACK}Length: {GOLD}1.9 tiles{}</v>
      </c>
      <c r="CE316" t="str">
        <f>VLOOKUP($CC316, Constants!$M:$N, 2, FALSE)</f>
        <v>{BLACK}Powered by: {GOLD}630V DC</v>
      </c>
      <c r="CF316" t="str">
        <f t="shared" si="319"/>
        <v>{BLACK}Cars: {GOLD}3</v>
      </c>
      <c r="CG316" t="s">
        <v>1419</v>
      </c>
      <c r="CH316" t="str">
        <f t="shared" si="303"/>
        <v/>
      </c>
      <c r="CI316" t="str">
        <f t="shared" si="305"/>
        <v>{YELLOW}35% penalty for long distance travel{}</v>
      </c>
      <c r="CJ316" t="str">
        <f t="shared" si="306"/>
        <v>{BLACK}Powered by: {GOLD}630V DC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17" spans="1:88" x14ac:dyDescent="0.35">
      <c r="A317" t="s">
        <v>1455</v>
      </c>
      <c r="B317" t="s">
        <v>1459</v>
      </c>
      <c r="C317">
        <v>732</v>
      </c>
      <c r="E317">
        <v>203</v>
      </c>
      <c r="F317" t="s">
        <v>1498</v>
      </c>
      <c r="G317" t="s">
        <v>398</v>
      </c>
      <c r="H317" t="s">
        <v>1101</v>
      </c>
      <c r="I317" t="s">
        <v>1400</v>
      </c>
      <c r="J317">
        <v>1975</v>
      </c>
      <c r="M317">
        <v>3</v>
      </c>
      <c r="N317">
        <v>930</v>
      </c>
      <c r="W317">
        <f>27+26+18</f>
        <v>71</v>
      </c>
      <c r="Y317">
        <v>10</v>
      </c>
      <c r="Z317">
        <v>55</v>
      </c>
      <c r="AA317" s="3">
        <f t="shared" si="308"/>
        <v>7.746478873239436E-2</v>
      </c>
      <c r="AB317">
        <v>45</v>
      </c>
      <c r="AC317">
        <f t="shared" si="322"/>
        <v>72</v>
      </c>
      <c r="AF317">
        <v>17.47</v>
      </c>
      <c r="AG317">
        <v>17</v>
      </c>
      <c r="AH317">
        <v>2.62</v>
      </c>
      <c r="AI317">
        <v>2.88</v>
      </c>
      <c r="AK317" t="str">
        <f>CONCATENATE(VLOOKUP(AL317, 'Voxel Sizes'!$A$2:$B$18,2,FALSE),"x",INT(AH317*15), "x", INT(AI317*15))</f>
        <v>164x39x43</v>
      </c>
      <c r="AL317">
        <f t="shared" si="309"/>
        <v>10</v>
      </c>
      <c r="AN317" t="str">
        <f>CONCATENATE(VLOOKUP(AL317,Constants!$A$2:$C$16,IF(AM317&lt;&gt;"", 3, 2), FALSE),IF(AM317&lt;&gt;"",CONCATENATE(",",VLOOKUP(AM317,$B:$AN,39,FALSE)),""))</f>
        <v>4,2,4</v>
      </c>
      <c r="AR317" t="s">
        <v>1418</v>
      </c>
      <c r="AT317" t="s">
        <v>1456</v>
      </c>
      <c r="AU317" t="s">
        <v>194</v>
      </c>
      <c r="AX317">
        <v>39</v>
      </c>
      <c r="AY317" s="15" t="str">
        <f t="shared" si="310"/>
        <v/>
      </c>
      <c r="AZ317">
        <v>-25</v>
      </c>
      <c r="BB317">
        <f t="shared" si="311"/>
        <v>9</v>
      </c>
      <c r="BC317">
        <f t="shared" si="312"/>
        <v>4.6500000000000004</v>
      </c>
      <c r="BD317">
        <f t="shared" si="313"/>
        <v>2.75</v>
      </c>
      <c r="BE317" s="3">
        <f t="shared" si="314"/>
        <v>0.9</v>
      </c>
      <c r="BF317">
        <f t="shared" si="315"/>
        <v>0</v>
      </c>
      <c r="BG317">
        <f>VLOOKUP($H317,Constants!$I:$K, 2, FALSE)</f>
        <v>0.9</v>
      </c>
      <c r="BH317">
        <f>VLOOKUP($H317,Constants!$I:$K, 3, FALSE)*IF(AND(G317="multiple_unit",AB317&lt;110),0.75,1)</f>
        <v>1.2000000000000002</v>
      </c>
      <c r="BI317">
        <f>INT(POWER(((Constants!$G$2+$BB317+$BC317+$BD317+$BF317)*$BE317)*$BH317, 1.05))+$BA317</f>
        <v>27</v>
      </c>
      <c r="BJ317">
        <f>INT(POWER((((Constants!$G$1+$BB317+$BC317+$BD317+$BF317)*($BE317))*$BG317),IF($G317="wagon",1,1.2)))+$AZ317</f>
        <v>23</v>
      </c>
      <c r="BK317" s="14">
        <f t="shared" si="316"/>
        <v>21093.75</v>
      </c>
      <c r="BL317" s="14">
        <f t="shared" si="317"/>
        <v>1868.75</v>
      </c>
      <c r="BT317" t="s">
        <v>1458</v>
      </c>
      <c r="BU317">
        <v>9</v>
      </c>
      <c r="BV317">
        <v>120</v>
      </c>
      <c r="BY317" t="s">
        <v>278</v>
      </c>
      <c r="BZ317" t="str">
        <f>VLOOKUP(J317,Eras!$A$2:$C$10, 2, TRUE)</f>
        <v>lbr</v>
      </c>
      <c r="CA317" t="s">
        <v>340</v>
      </c>
      <c r="CB317" t="str">
        <f t="shared" si="318"/>
        <v>lbr_LU</v>
      </c>
      <c r="CC317" t="str">
        <f t="shared" si="304"/>
        <v>tube_FOURTH_RAIL</v>
      </c>
      <c r="CD317" s="17" t="str" cm="1">
        <f t="array" ref="CD317">_xlfn.CONCAT("{BLACK}Length: {GOLD}", TEXT(ROUNDUP(IF(AQ317&lt;&gt;"",SUM(VALUE(_xlfn.TEXTSPLIT(AQ317, ","))), SUM(VALUE(_xlfn.TEXTSPLIT(AN317, ",")))*IF(M317, M317, 1))/16, 1), "#,##0.0"), " tiles{}")</f>
        <v>{BLACK}Length: {GOLD}1.9 tiles{}</v>
      </c>
      <c r="CE317" t="str">
        <f>VLOOKUP($CC317, Constants!$M:$N, 2, FALSE)</f>
        <v>{BLACK}Powered by: {GOLD}630V DC</v>
      </c>
      <c r="CF317" t="str">
        <f t="shared" si="319"/>
        <v>{BLACK}Cars: {GOLD}3</v>
      </c>
      <c r="CG317" t="s">
        <v>1457</v>
      </c>
      <c r="CH317" t="str">
        <f t="shared" si="303"/>
        <v/>
      </c>
      <c r="CI317" t="str">
        <f t="shared" si="305"/>
        <v>{YELLOW}35% penalty for long distance travel{}</v>
      </c>
      <c r="CJ317" t="str">
        <f t="shared" si="306"/>
        <v>{BLACK}Powered by: {GOLD}630V DC {BLACK}Cars: {GOLD}3{}{BLACK}Length: {GOLD}1.9 tiles{}{YELLOW}35% penalty for long distance travel{}{SILVER}This stock has a bug, it carries no passengers. You should not be able to build this or see it in the build window. It will be removed at the next compatibility-breaking change.</v>
      </c>
    </row>
    <row r="318" spans="1:88" x14ac:dyDescent="0.35">
      <c r="A318" t="s">
        <v>105</v>
      </c>
      <c r="B318" t="s">
        <v>195</v>
      </c>
      <c r="C318">
        <v>736</v>
      </c>
      <c r="E318">
        <v>204</v>
      </c>
      <c r="F318" t="s">
        <v>1498</v>
      </c>
      <c r="G318" t="s">
        <v>398</v>
      </c>
      <c r="H318" t="s">
        <v>1101</v>
      </c>
      <c r="I318" t="s">
        <v>1400</v>
      </c>
      <c r="J318">
        <v>1980</v>
      </c>
      <c r="L318">
        <v>2017</v>
      </c>
      <c r="M318">
        <v>3</v>
      </c>
      <c r="N318">
        <v>980</v>
      </c>
      <c r="W318">
        <f>27+26+18</f>
        <v>71</v>
      </c>
      <c r="Y318">
        <v>10</v>
      </c>
      <c r="Z318">
        <v>60</v>
      </c>
      <c r="AA318" s="3">
        <f t="shared" si="308"/>
        <v>8.4507042253521125E-2</v>
      </c>
      <c r="AB318">
        <v>50</v>
      </c>
      <c r="AC318">
        <f t="shared" si="322"/>
        <v>80</v>
      </c>
      <c r="AF318">
        <v>18.37</v>
      </c>
      <c r="AG318">
        <v>18.37</v>
      </c>
      <c r="AH318">
        <v>2.85</v>
      </c>
      <c r="AI318">
        <v>3.62</v>
      </c>
      <c r="AJ318" s="10">
        <v>138</v>
      </c>
      <c r="AK318" t="str">
        <f>CONCATENATE(VLOOKUP(AL318, 'Voxel Sizes'!$A$2:$B$18,2,FALSE),"x",INT(AH318*15), "x", INT(AI318*15))</f>
        <v>186x42x54</v>
      </c>
      <c r="AL318">
        <f t="shared" si="309"/>
        <v>11</v>
      </c>
      <c r="AN318" t="str">
        <f>CONCATENATE(VLOOKUP(AL318,Constants!$A$2:$C$16,IF(AM318&lt;&gt;"", 3, 2), FALSE),IF(AM318&lt;&gt;"",CONCATENATE(",",VLOOKUP(AM318,$B:$AN,39,FALSE)),""))</f>
        <v>4,3,4</v>
      </c>
      <c r="AR318" t="s">
        <v>1416</v>
      </c>
      <c r="AT318" t="s">
        <v>287</v>
      </c>
      <c r="AX318">
        <v>33</v>
      </c>
      <c r="AY318" s="15">
        <f t="shared" si="310"/>
        <v>45</v>
      </c>
      <c r="AZ318">
        <v>-25</v>
      </c>
      <c r="BB318">
        <f t="shared" si="311"/>
        <v>10</v>
      </c>
      <c r="BC318">
        <f t="shared" si="312"/>
        <v>4.9000000000000004</v>
      </c>
      <c r="BD318">
        <f t="shared" si="313"/>
        <v>3</v>
      </c>
      <c r="BE318" s="3">
        <f t="shared" si="314"/>
        <v>0.89333333333333331</v>
      </c>
      <c r="BF318">
        <f t="shared" si="315"/>
        <v>13.8</v>
      </c>
      <c r="BG318">
        <f>VLOOKUP($H318,Constants!$I:$K, 2, FALSE)</f>
        <v>0.9</v>
      </c>
      <c r="BH318">
        <f>VLOOKUP($H318,Constants!$I:$K, 3, FALSE)*IF(AND(G318="multiple_unit",AB318&lt;110),0.75,1)</f>
        <v>1.2000000000000002</v>
      </c>
      <c r="BI318">
        <f>INT(POWER(((Constants!$G$2+$BB318+$BC318+$BD318+$BF318)*$BE318)*$BH318, 1.05))+$BA318</f>
        <v>47</v>
      </c>
      <c r="BJ318">
        <f>INT(POWER((((Constants!$G$1+$BB318+$BC318+$BD318+$BF318)*($BE318))*$BG318),IF($G318="wagon",1,1.2)))+$AZ318</f>
        <v>52</v>
      </c>
      <c r="BK318" s="14">
        <f t="shared" si="316"/>
        <v>36718.75</v>
      </c>
      <c r="BL318" s="14">
        <f t="shared" si="317"/>
        <v>4225</v>
      </c>
      <c r="BU318">
        <v>11</v>
      </c>
      <c r="BV318">
        <v>120</v>
      </c>
      <c r="BY318" t="s">
        <v>278</v>
      </c>
      <c r="BZ318" t="str">
        <f>VLOOKUP(J318,Eras!$A$2:$C$10, 2, TRUE)</f>
        <v>lbr</v>
      </c>
      <c r="CA318" t="s">
        <v>340</v>
      </c>
      <c r="CB318" t="str">
        <f t="shared" si="318"/>
        <v>lbr_LU</v>
      </c>
      <c r="CC318" t="str">
        <f t="shared" si="304"/>
        <v>tube_FOURTH_RAIL</v>
      </c>
      <c r="CD318" s="17" t="str" cm="1">
        <f t="array" ref="CD318">_xlfn.CONCAT("{BLACK}Length: {GOLD}", TEXT(ROUNDUP(IF(AQ318&lt;&gt;"",SUM(VALUE(_xlfn.TEXTSPLIT(AQ318, ","))), SUM(VALUE(_xlfn.TEXTSPLIT(AN318, ",")))*IF(M318, M318, 1))/16, 1), "#,##0.0"), " tiles{}")</f>
        <v>{BLACK}Length: {GOLD}2.1 tiles{}</v>
      </c>
      <c r="CE318" t="str">
        <f>VLOOKUP($CC318, Constants!$M:$N, 2, FALSE)</f>
        <v>{BLACK}Powered by: {GOLD}630V DC</v>
      </c>
      <c r="CF318" t="str">
        <f t="shared" si="319"/>
        <v>{BLACK}Cars: {GOLD}3</v>
      </c>
      <c r="CG318" t="s">
        <v>1417</v>
      </c>
      <c r="CH318" t="str">
        <f t="shared" si="303"/>
        <v/>
      </c>
      <c r="CI318" t="str">
        <f t="shared" si="305"/>
        <v>{YELLOW}35% penalty for long distance travel{}</v>
      </c>
      <c r="CJ318" t="str">
        <f t="shared" si="306"/>
        <v>{BLACK}Powered by: {GOLD}630V DC {BLACK}Cars: {GOLD}3{}{BLACK}Length: {GOLD}2.1 tiles{}{YELLOW}35% penalty for long distance travel{}{SILVER}The D78 stock replaced pre-war stock on the District Line. It has the longest car lengths to have been used on the Underground network, at 18.37m for a driving motor car.</v>
      </c>
    </row>
    <row r="319" spans="1:88" x14ac:dyDescent="0.35">
      <c r="A319" t="s">
        <v>106</v>
      </c>
      <c r="B319" t="s">
        <v>196</v>
      </c>
      <c r="C319">
        <v>738</v>
      </c>
      <c r="E319">
        <v>205</v>
      </c>
      <c r="F319" t="s">
        <v>1498</v>
      </c>
      <c r="G319" t="s">
        <v>398</v>
      </c>
      <c r="H319" t="s">
        <v>1101</v>
      </c>
      <c r="I319" t="s">
        <v>1400</v>
      </c>
      <c r="J319">
        <v>1993</v>
      </c>
      <c r="M319">
        <v>4</v>
      </c>
      <c r="N319">
        <v>1150</v>
      </c>
      <c r="W319">
        <f>20+22+29+22</f>
        <v>93</v>
      </c>
      <c r="Y319">
        <v>10</v>
      </c>
      <c r="Z319">
        <v>70</v>
      </c>
      <c r="AA319" s="3">
        <f t="shared" si="308"/>
        <v>7.5268817204301078E-2</v>
      </c>
      <c r="AB319">
        <v>62</v>
      </c>
      <c r="AC319">
        <f t="shared" si="322"/>
        <v>99</v>
      </c>
      <c r="AF319">
        <v>16.25</v>
      </c>
      <c r="AG319">
        <v>16.25</v>
      </c>
      <c r="AH319">
        <v>2.62</v>
      </c>
      <c r="AI319">
        <v>2.87</v>
      </c>
      <c r="AJ319" s="10">
        <v>114</v>
      </c>
      <c r="AK319" t="str">
        <f>CONCATENATE(VLOOKUP(AL319, 'Voxel Sizes'!$A$2:$B$18,2,FALSE),"x",INT(AH319*15), "x", INT(AI319*15))</f>
        <v>164x39x43</v>
      </c>
      <c r="AL319">
        <f t="shared" si="309"/>
        <v>10</v>
      </c>
      <c r="AN319" t="str">
        <f>CONCATENATE(VLOOKUP(AL319,Constants!$A$2:$C$16,IF(AM319&lt;&gt;"", 3, 2), FALSE),IF(AM319&lt;&gt;"",CONCATENATE(",",VLOOKUP(AM319,$B:$AN,39,FALSE)),""))</f>
        <v>4,2,4</v>
      </c>
      <c r="AR319" t="s">
        <v>1420</v>
      </c>
      <c r="AT319" t="s">
        <v>459</v>
      </c>
      <c r="AX319">
        <v>29</v>
      </c>
      <c r="AY319" s="15" t="str">
        <f t="shared" si="310"/>
        <v/>
      </c>
      <c r="AZ319">
        <v>-22</v>
      </c>
      <c r="BB319">
        <f t="shared" si="311"/>
        <v>12.4</v>
      </c>
      <c r="BC319">
        <f t="shared" si="312"/>
        <v>5.75</v>
      </c>
      <c r="BD319">
        <f t="shared" si="313"/>
        <v>3.5</v>
      </c>
      <c r="BE319" s="3">
        <f t="shared" si="314"/>
        <v>0.876</v>
      </c>
      <c r="BF319">
        <f t="shared" si="315"/>
        <v>15.2</v>
      </c>
      <c r="BG319">
        <f>VLOOKUP($H319,Constants!$I:$K, 2, FALSE)</f>
        <v>0.9</v>
      </c>
      <c r="BH319">
        <f>VLOOKUP($H319,Constants!$I:$K, 3, FALSE)*IF(AND(G319="multiple_unit",AB319&lt;110),0.75,1)</f>
        <v>1.2000000000000002</v>
      </c>
      <c r="BI319">
        <f>INT(POWER(((Constants!$G$2+$BB319+$BC319+$BD319+$BF319)*$BE319)*$BH319, 1.05))+$BA319</f>
        <v>53</v>
      </c>
      <c r="BJ319">
        <f>INT(POWER((((Constants!$G$1+$BB319+$BC319+$BD319+$BF319)*($BE319))*$BG319),IF($G319="wagon",1,1.2)))+$AZ319</f>
        <v>63</v>
      </c>
      <c r="BK319" s="14">
        <f t="shared" si="316"/>
        <v>41406.25</v>
      </c>
      <c r="BL319" s="14">
        <f t="shared" si="317"/>
        <v>5118.75</v>
      </c>
      <c r="BU319">
        <v>3</v>
      </c>
      <c r="BV319">
        <v>120</v>
      </c>
      <c r="BY319" t="s">
        <v>278</v>
      </c>
      <c r="BZ319" t="str">
        <f>VLOOKUP(J319,Eras!$A$2:$C$10, 2, TRUE)</f>
        <v>lbr</v>
      </c>
      <c r="CA319" t="s">
        <v>340</v>
      </c>
      <c r="CB319" t="str">
        <f t="shared" si="318"/>
        <v>lbr_LU</v>
      </c>
      <c r="CC319" t="str">
        <f t="shared" si="304"/>
        <v>tube_FOURTH_RAIL</v>
      </c>
      <c r="CD319" s="17" t="str" cm="1">
        <f t="array" ref="CD319">_xlfn.CONCAT("{BLACK}Length: {GOLD}", TEXT(ROUNDUP(IF(AQ319&lt;&gt;"",SUM(VALUE(_xlfn.TEXTSPLIT(AQ319, ","))), SUM(VALUE(_xlfn.TEXTSPLIT(AN319, ",")))*IF(M319, M319, 1))/16, 1), "#,##0.0"), " tiles{}")</f>
        <v>{BLACK}Length: {GOLD}2.5 tiles{}</v>
      </c>
      <c r="CE319" t="str">
        <f>VLOOKUP($CC319, Constants!$M:$N, 2, FALSE)</f>
        <v>{BLACK}Powered by: {GOLD}630V DC</v>
      </c>
      <c r="CF319" t="str">
        <f t="shared" si="319"/>
        <v>{BLACK}Cars: {GOLD}4</v>
      </c>
      <c r="CG319" t="s">
        <v>1421</v>
      </c>
      <c r="CH319" t="str">
        <f t="shared" ref="CH319:CH325" si="323">IF($BT319="!param_no_gameplay_units","{GREEN}Included for gameplay purposes","")</f>
        <v/>
      </c>
      <c r="CI319" t="str">
        <f t="shared" si="305"/>
        <v>{YELLOW}35% penalty for long distance travel{}</v>
      </c>
      <c r="CJ319" t="str">
        <f t="shared" si="306"/>
        <v>{BLACK}Powered by: {GOLD}630V DC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20" spans="1:88" x14ac:dyDescent="0.35">
      <c r="A320" t="s">
        <v>1422</v>
      </c>
      <c r="B320" t="s">
        <v>223</v>
      </c>
      <c r="C320">
        <v>740</v>
      </c>
      <c r="E320">
        <v>206</v>
      </c>
      <c r="F320" t="s">
        <v>1498</v>
      </c>
      <c r="G320" t="s">
        <v>398</v>
      </c>
      <c r="H320" t="s">
        <v>1101</v>
      </c>
      <c r="I320" t="s">
        <v>1400</v>
      </c>
      <c r="J320">
        <v>1996</v>
      </c>
      <c r="M320">
        <v>3</v>
      </c>
      <c r="N320">
        <v>1200</v>
      </c>
      <c r="W320">
        <f>29+27+21</f>
        <v>77</v>
      </c>
      <c r="Y320">
        <v>10</v>
      </c>
      <c r="Z320">
        <v>65</v>
      </c>
      <c r="AA320" s="3">
        <f t="shared" si="308"/>
        <v>8.4415584415584416E-2</v>
      </c>
      <c r="AB320">
        <v>62</v>
      </c>
      <c r="AC320">
        <f t="shared" si="322"/>
        <v>99</v>
      </c>
      <c r="AF320">
        <v>17.77</v>
      </c>
      <c r="AG320">
        <v>17.77</v>
      </c>
      <c r="AH320">
        <v>2.63</v>
      </c>
      <c r="AI320">
        <v>2.87</v>
      </c>
      <c r="AJ320" s="10">
        <v>108</v>
      </c>
      <c r="AK320" t="str">
        <f>CONCATENATE(VLOOKUP(AL320, 'Voxel Sizes'!$A$2:$B$18,2,FALSE),"x",INT(AH320*15), "x", INT(AI320*15))</f>
        <v>164x39x43</v>
      </c>
      <c r="AL320">
        <f t="shared" si="309"/>
        <v>10</v>
      </c>
      <c r="AN320" t="str">
        <f>CONCATENATE(VLOOKUP(AL320,Constants!$A$2:$C$16,IF(AM320&lt;&gt;"", 3, 2), FALSE),IF(AM320&lt;&gt;"",CONCATENATE(",",VLOOKUP(AM320,$B:$AN,39,FALSE)),""))</f>
        <v>4,2,4</v>
      </c>
      <c r="AR320" t="s">
        <v>1428</v>
      </c>
      <c r="AT320" t="s">
        <v>287</v>
      </c>
      <c r="AX320">
        <v>32</v>
      </c>
      <c r="AY320" s="15" t="str">
        <f t="shared" si="310"/>
        <v/>
      </c>
      <c r="AZ320">
        <v>-25</v>
      </c>
      <c r="BA320">
        <v>5</v>
      </c>
      <c r="BB320">
        <f t="shared" si="311"/>
        <v>12.4</v>
      </c>
      <c r="BC320">
        <f t="shared" si="312"/>
        <v>6</v>
      </c>
      <c r="BD320">
        <f t="shared" si="313"/>
        <v>3.25</v>
      </c>
      <c r="BE320" s="3">
        <f t="shared" si="314"/>
        <v>0.872</v>
      </c>
      <c r="BF320">
        <f t="shared" si="315"/>
        <v>10.8</v>
      </c>
      <c r="BG320">
        <f>VLOOKUP($H320,Constants!$I:$K, 2, FALSE)</f>
        <v>0.9</v>
      </c>
      <c r="BH320">
        <f>VLOOKUP($H320,Constants!$I:$K, 3, FALSE)*IF(AND(G320="multiple_unit",AB320&lt;110),0.75,1)</f>
        <v>1.2000000000000002</v>
      </c>
      <c r="BI320">
        <f>INT(POWER(((Constants!$G$2+$BB320+$BC320+$BD320+$BF320)*$BE320)*$BH320, 1.05))+$BA320</f>
        <v>52</v>
      </c>
      <c r="BJ320">
        <f>INT(POWER((((Constants!$G$1+$BB320+$BC320+$BD320+$BF320)*($BE320))*$BG320),IF($G320="wagon",1,1.2)))+$AZ320</f>
        <v>51</v>
      </c>
      <c r="BK320" s="14">
        <f t="shared" si="316"/>
        <v>40625</v>
      </c>
      <c r="BL320" s="14">
        <f t="shared" si="317"/>
        <v>4143.75</v>
      </c>
      <c r="BU320">
        <v>2</v>
      </c>
      <c r="BV320">
        <v>120</v>
      </c>
      <c r="BY320" t="s">
        <v>278</v>
      </c>
      <c r="BZ320" t="str">
        <f>VLOOKUP(J320,Eras!$A$2:$C$10, 2, TRUE)</f>
        <v>prv</v>
      </c>
      <c r="CA320" t="s">
        <v>340</v>
      </c>
      <c r="CB320" t="str">
        <f t="shared" si="318"/>
        <v>prv_LU</v>
      </c>
      <c r="CC320" t="str">
        <f t="shared" si="304"/>
        <v>tube_FOURTH_RAIL</v>
      </c>
      <c r="CD320" s="17" t="str" cm="1">
        <f t="array" ref="CD320">_xlfn.CONCAT("{BLACK}Length: {GOLD}", TEXT(ROUNDUP(IF(AQ320&lt;&gt;"",SUM(VALUE(_xlfn.TEXTSPLIT(AQ320, ","))), SUM(VALUE(_xlfn.TEXTSPLIT(AN320, ",")))*IF(M320, M320, 1))/16, 1), "#,##0.0"), " tiles{}")</f>
        <v>{BLACK}Length: {GOLD}1.9 tiles{}</v>
      </c>
      <c r="CE320" t="str">
        <f>VLOOKUP($CC320, Constants!$M:$N, 2, FALSE)</f>
        <v>{BLACK}Powered by: {GOLD}630V DC</v>
      </c>
      <c r="CF320" t="str">
        <f t="shared" si="319"/>
        <v>{BLACK}Cars: {GOLD}3</v>
      </c>
      <c r="CG320" t="s">
        <v>1423</v>
      </c>
      <c r="CH320" t="str">
        <f t="shared" si="323"/>
        <v/>
      </c>
      <c r="CI320" t="str">
        <f t="shared" si="305"/>
        <v>{YELLOW}35% penalty for long distance travel{}</v>
      </c>
      <c r="CJ320" t="str">
        <f t="shared" si="306"/>
        <v>{BLACK}Powered by: {GOLD}630V DC {BLACK}Cars: {GOLD}3{}{BLACK}Length: {GOLD}1.9 tiles{}{YELLOW}35% penalty for long distance travel{}{SILVER}Outwardly very similar to the 1996 stock used for the Jubilee Line, the Northern Line's 1995 stock features more advanced traction hardware due to a later design finalisation date.</v>
      </c>
    </row>
    <row r="321" spans="1:88" x14ac:dyDescent="0.35">
      <c r="A321" t="s">
        <v>107</v>
      </c>
      <c r="B321" t="s">
        <v>197</v>
      </c>
      <c r="C321">
        <v>742</v>
      </c>
      <c r="E321">
        <v>207</v>
      </c>
      <c r="F321" t="s">
        <v>1498</v>
      </c>
      <c r="G321" t="s">
        <v>398</v>
      </c>
      <c r="H321" t="s">
        <v>1101</v>
      </c>
      <c r="I321" t="s">
        <v>1400</v>
      </c>
      <c r="J321">
        <v>2009</v>
      </c>
      <c r="M321">
        <v>4</v>
      </c>
      <c r="N321">
        <v>1200</v>
      </c>
      <c r="W321">
        <f>197.3/2</f>
        <v>98.65</v>
      </c>
      <c r="Y321">
        <v>10</v>
      </c>
      <c r="Z321">
        <v>75</v>
      </c>
      <c r="AA321" s="3">
        <f t="shared" si="308"/>
        <v>7.6026355803345158E-2</v>
      </c>
      <c r="AB321">
        <v>50</v>
      </c>
      <c r="AC321">
        <f t="shared" si="322"/>
        <v>80</v>
      </c>
      <c r="AF321">
        <v>16.594999999999999</v>
      </c>
      <c r="AG321">
        <v>16.594999999999999</v>
      </c>
      <c r="AH321">
        <v>2.68</v>
      </c>
      <c r="AI321">
        <v>2.883</v>
      </c>
      <c r="AJ321" s="10">
        <v>141</v>
      </c>
      <c r="AK321" t="str">
        <f>CONCATENATE(VLOOKUP(AL321, 'Voxel Sizes'!$A$2:$B$18,2,FALSE),"x",INT(AH321*15), "x", INT(AI321*15))</f>
        <v>164x40x43</v>
      </c>
      <c r="AL321">
        <f t="shared" si="309"/>
        <v>10</v>
      </c>
      <c r="AN321" t="str">
        <f>CONCATENATE(VLOOKUP(AL321,Constants!$A$2:$C$16,IF(AM321&lt;&gt;"", 3, 2), FALSE),IF(AM321&lt;&gt;"",CONCATENATE(",",VLOOKUP(AM321,$B:$AN,39,FALSE)),""))</f>
        <v>4,2,4</v>
      </c>
      <c r="AR321" t="s">
        <v>1429</v>
      </c>
      <c r="AT321" t="s">
        <v>459</v>
      </c>
      <c r="AX321">
        <v>31</v>
      </c>
      <c r="AY321" s="15" t="str">
        <f t="shared" si="310"/>
        <v/>
      </c>
      <c r="AZ321">
        <v>-25</v>
      </c>
      <c r="BA321">
        <v>-8</v>
      </c>
      <c r="BB321">
        <f t="shared" si="311"/>
        <v>10</v>
      </c>
      <c r="BC321">
        <f t="shared" si="312"/>
        <v>6</v>
      </c>
      <c r="BD321">
        <f t="shared" si="313"/>
        <v>3.75</v>
      </c>
      <c r="BE321" s="3">
        <f t="shared" si="314"/>
        <v>0.85466666666666669</v>
      </c>
      <c r="BF321">
        <f t="shared" si="315"/>
        <v>18.799999999999997</v>
      </c>
      <c r="BG321">
        <f>VLOOKUP($H321,Constants!$I:$K, 2, FALSE)</f>
        <v>0.9</v>
      </c>
      <c r="BH321">
        <f>VLOOKUP($H321,Constants!$I:$K, 3, FALSE)*IF(AND(G321="multiple_unit",AB321&lt;110),0.75,1)</f>
        <v>1.2000000000000002</v>
      </c>
      <c r="BI321">
        <f>INT(POWER(((Constants!$G$2+$BB321+$BC321+$BD321+$BF321)*$BE321)*$BH321, 1.05))+$BA321</f>
        <v>46</v>
      </c>
      <c r="BJ321">
        <f>INT(POWER((((Constants!$G$1+$BB321+$BC321+$BD321+$BF321)*($BE321))*$BG321),IF($G321="wagon",1,1.2)))+$AZ321</f>
        <v>61</v>
      </c>
      <c r="BK321" s="14">
        <f t="shared" si="316"/>
        <v>35937.5</v>
      </c>
      <c r="BL321" s="14">
        <f t="shared" si="317"/>
        <v>4956.25</v>
      </c>
      <c r="BU321">
        <v>12</v>
      </c>
      <c r="BV321">
        <v>120</v>
      </c>
      <c r="BY321" t="s">
        <v>278</v>
      </c>
      <c r="BZ321" t="str">
        <f>VLOOKUP(J321,Eras!$A$2:$C$10, 2, TRUE)</f>
        <v>mod</v>
      </c>
      <c r="CA321" t="s">
        <v>340</v>
      </c>
      <c r="CB321" t="str">
        <f t="shared" si="318"/>
        <v>mod_LU</v>
      </c>
      <c r="CC321" t="str">
        <f t="shared" si="304"/>
        <v>tube_FOURTH_RAIL</v>
      </c>
      <c r="CD321" s="17" t="str" cm="1">
        <f t="array" ref="CD321">_xlfn.CONCAT("{BLACK}Length: {GOLD}", TEXT(ROUNDUP(IF(AQ321&lt;&gt;"",SUM(VALUE(_xlfn.TEXTSPLIT(AQ321, ","))), SUM(VALUE(_xlfn.TEXTSPLIT(AN321, ",")))*IF(M321, M321, 1))/16, 1), "#,##0.0"), " tiles{}")</f>
        <v>{BLACK}Length: {GOLD}2.5 tiles{}</v>
      </c>
      <c r="CE321" t="str">
        <f>VLOOKUP($CC321, Constants!$M:$N, 2, FALSE)</f>
        <v>{BLACK}Powered by: {GOLD}630V DC</v>
      </c>
      <c r="CF321" t="str">
        <f t="shared" si="319"/>
        <v>{BLACK}Cars: {GOLD}4</v>
      </c>
      <c r="CG321" t="s">
        <v>1430</v>
      </c>
      <c r="CH321" t="str">
        <f t="shared" si="323"/>
        <v/>
      </c>
      <c r="CI321" t="str">
        <f t="shared" si="305"/>
        <v>{YELLOW}35% penalty for long distance travel{}</v>
      </c>
      <c r="CJ321" t="str">
        <f t="shared" si="306"/>
        <v>{BLACK}Powered by: {GOLD}630V DC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22" spans="1:88" x14ac:dyDescent="0.35">
      <c r="A322" t="s">
        <v>1431</v>
      </c>
      <c r="B322" t="s">
        <v>198</v>
      </c>
      <c r="C322">
        <v>744</v>
      </c>
      <c r="E322">
        <v>208</v>
      </c>
      <c r="F322" t="s">
        <v>1498</v>
      </c>
      <c r="G322" t="s">
        <v>398</v>
      </c>
      <c r="H322" t="s">
        <v>1101</v>
      </c>
      <c r="I322" t="s">
        <v>1400</v>
      </c>
      <c r="J322">
        <v>2010</v>
      </c>
      <c r="M322">
        <v>7</v>
      </c>
      <c r="N322">
        <v>2400</v>
      </c>
      <c r="W322">
        <v>213.7</v>
      </c>
      <c r="Y322">
        <v>10</v>
      </c>
      <c r="Z322">
        <v>180</v>
      </c>
      <c r="AA322" s="3">
        <f t="shared" si="308"/>
        <v>8.4230229293401959E-2</v>
      </c>
      <c r="AB322">
        <v>62</v>
      </c>
      <c r="AC322">
        <f t="shared" si="322"/>
        <v>99</v>
      </c>
      <c r="AF322">
        <v>17.45</v>
      </c>
      <c r="AG322">
        <v>17.45</v>
      </c>
      <c r="AH322">
        <v>2.92</v>
      </c>
      <c r="AI322">
        <v>3.68</v>
      </c>
      <c r="AJ322" s="10">
        <v>156</v>
      </c>
      <c r="AK322" t="str">
        <f>CONCATENATE(VLOOKUP(AL322, 'Voxel Sizes'!$A$2:$B$18,2,FALSE),"x",INT(AH322*15), "x", INT(AI322*15))</f>
        <v>164x43x55</v>
      </c>
      <c r="AL322">
        <f t="shared" si="309"/>
        <v>10</v>
      </c>
      <c r="AN322" t="str">
        <f>CONCATENATE(VLOOKUP(AL322,Constants!$A$2:$C$16,IF(AM322&lt;&gt;"", 3, 2), FALSE),IF(AM322&lt;&gt;"",CONCATENATE(",",VLOOKUP(AM322,$B:$AN,39,FALSE)),""))</f>
        <v>4,2,4</v>
      </c>
      <c r="AR322" t="s">
        <v>1432</v>
      </c>
      <c r="AT322" t="s">
        <v>1433</v>
      </c>
      <c r="AX322">
        <v>34</v>
      </c>
      <c r="AY322" s="15" t="str">
        <f t="shared" si="310"/>
        <v/>
      </c>
      <c r="AZ322">
        <v>-25</v>
      </c>
      <c r="BB322">
        <f t="shared" si="311"/>
        <v>12.4</v>
      </c>
      <c r="BC322">
        <f t="shared" si="312"/>
        <v>12</v>
      </c>
      <c r="BD322">
        <f t="shared" si="313"/>
        <v>9</v>
      </c>
      <c r="BE322" s="3">
        <f t="shared" si="314"/>
        <v>0.85333333333333328</v>
      </c>
      <c r="BF322">
        <f t="shared" si="315"/>
        <v>36.4</v>
      </c>
      <c r="BG322">
        <f>VLOOKUP($H322,Constants!$I:$K, 2, FALSE)</f>
        <v>0.9</v>
      </c>
      <c r="BH322">
        <f>VLOOKUP($H322,Constants!$I:$K, 3, FALSE)*IF(AND(G322="multiple_unit",AB322&lt;110),0.75,1)</f>
        <v>1.2000000000000002</v>
      </c>
      <c r="BI322">
        <f>INT(POWER(((Constants!$G$2+$BB322+$BC322+$BD322+$BF322)*$BE322)*$BH322, 1.05))+$BA322</f>
        <v>95</v>
      </c>
      <c r="BJ322">
        <f>INT(POWER((((Constants!$G$1+$BB322+$BC322+$BD322+$BF322)*($BE322))*$BG322),IF($G322="wagon",1,1.2)))+$AZ322</f>
        <v>125</v>
      </c>
      <c r="BK322" s="14">
        <f t="shared" si="316"/>
        <v>74218.75</v>
      </c>
      <c r="BL322" s="14">
        <f t="shared" si="317"/>
        <v>10156.25</v>
      </c>
      <c r="BT322" t="s">
        <v>1138</v>
      </c>
      <c r="BU322">
        <v>1</v>
      </c>
      <c r="BV322">
        <v>120</v>
      </c>
      <c r="BY322" t="s">
        <v>278</v>
      </c>
      <c r="BZ322" t="str">
        <f>VLOOKUP(J322,Eras!$A$2:$C$10, 2, TRUE)</f>
        <v>mod</v>
      </c>
      <c r="CA322" t="s">
        <v>340</v>
      </c>
      <c r="CB322" t="str">
        <f t="shared" si="318"/>
        <v>mod_LU</v>
      </c>
      <c r="CC322" t="str">
        <f t="shared" si="304"/>
        <v>tube_FOURTH_RAIL</v>
      </c>
      <c r="CD322" s="17" t="str" cm="1">
        <f t="array" ref="CD322">_xlfn.CONCAT("{BLACK}Length: {GOLD}", TEXT(ROUNDUP(IF(AQ322&lt;&gt;"",SUM(VALUE(_xlfn.TEXTSPLIT(AQ322, ","))), SUM(VALUE(_xlfn.TEXTSPLIT(AN322, ",")))*IF(M322, M322, 1))/16, 1), "#,##0.0"), " tiles{}")</f>
        <v>{BLACK}Length: {GOLD}4.4 tiles{}</v>
      </c>
      <c r="CE322" t="str">
        <f>VLOOKUP($CC322, Constants!$M:$N, 2, FALSE)</f>
        <v>{BLACK}Powered by: {GOLD}630V DC</v>
      </c>
      <c r="CF322" t="str">
        <f t="shared" si="319"/>
        <v>{BLACK}Cars: {GOLD}7</v>
      </c>
      <c r="CG322" t="s">
        <v>1434</v>
      </c>
      <c r="CH322" t="str">
        <f t="shared" si="323"/>
        <v/>
      </c>
      <c r="CI322" t="str">
        <f t="shared" si="305"/>
        <v>{YELLOW}35% penalty for long distance travel{}</v>
      </c>
      <c r="CJ322" t="str">
        <f t="shared" si="306"/>
        <v>{BLACK}Powered by: {GOLD}630V DC {BLACK}Cars: {GOLD}7{}{BLACK}Length: {GOLD}4.4 tiles{}{YELLOW}35% penalty for long distance travel{}{SILVER}The S stock is the standard stock for London Underground's surface lines. It replaces several types of stock, some of which had become severely outdated and unreliable by 2010.</v>
      </c>
    </row>
    <row r="323" spans="1:88" x14ac:dyDescent="0.35">
      <c r="A323" t="s">
        <v>1435</v>
      </c>
      <c r="B323" t="s">
        <v>1438</v>
      </c>
      <c r="C323">
        <v>745</v>
      </c>
      <c r="E323">
        <v>209</v>
      </c>
      <c r="F323" t="s">
        <v>1498</v>
      </c>
      <c r="G323" t="s">
        <v>398</v>
      </c>
      <c r="H323" t="s">
        <v>1101</v>
      </c>
      <c r="I323" t="s">
        <v>1400</v>
      </c>
      <c r="J323">
        <v>2010</v>
      </c>
      <c r="M323">
        <v>6</v>
      </c>
      <c r="N323">
        <v>2400</v>
      </c>
      <c r="W323">
        <f>213.7/7*6</f>
        <v>183.17142857142858</v>
      </c>
      <c r="Y323">
        <v>10</v>
      </c>
      <c r="Z323">
        <v>180</v>
      </c>
      <c r="AA323" s="3">
        <f t="shared" si="308"/>
        <v>9.8268600842302295E-2</v>
      </c>
      <c r="AB323">
        <v>62</v>
      </c>
      <c r="AC323">
        <f t="shared" si="322"/>
        <v>99</v>
      </c>
      <c r="AF323">
        <v>17.45</v>
      </c>
      <c r="AG323">
        <v>17.45</v>
      </c>
      <c r="AH323">
        <v>2.92</v>
      </c>
      <c r="AI323">
        <v>3.68</v>
      </c>
      <c r="AJ323" s="10">
        <v>156</v>
      </c>
      <c r="AK323" t="str">
        <f>CONCATENATE(VLOOKUP(AL323, 'Voxel Sizes'!$A$2:$B$18,2,FALSE),"x",INT(AH323*15), "x", INT(AI323*15))</f>
        <v>164x43x55</v>
      </c>
      <c r="AL323">
        <f t="shared" si="309"/>
        <v>10</v>
      </c>
      <c r="AN323" t="str">
        <f>CONCATENATE(VLOOKUP(AL323,Constants!$A$2:$C$16,IF(AM323&lt;&gt;"", 3, 2), FALSE),IF(AM323&lt;&gt;"",CONCATENATE(",",VLOOKUP(AM323,$B:$AN,39,FALSE)),""))</f>
        <v>4,2,4</v>
      </c>
      <c r="AR323" t="s">
        <v>1436</v>
      </c>
      <c r="AT323" t="s">
        <v>1293</v>
      </c>
      <c r="AU323" t="s">
        <v>198</v>
      </c>
      <c r="AX323">
        <v>34</v>
      </c>
      <c r="AY323" s="15" t="str">
        <f t="shared" si="310"/>
        <v/>
      </c>
      <c r="AZ323">
        <v>-25</v>
      </c>
      <c r="BB323">
        <f t="shared" si="311"/>
        <v>12.4</v>
      </c>
      <c r="BC323">
        <f t="shared" si="312"/>
        <v>12</v>
      </c>
      <c r="BD323">
        <f t="shared" si="313"/>
        <v>9</v>
      </c>
      <c r="BE323" s="3">
        <f t="shared" si="314"/>
        <v>0.85333333333333328</v>
      </c>
      <c r="BF323">
        <f t="shared" si="315"/>
        <v>31.200000000000003</v>
      </c>
      <c r="BG323">
        <f>VLOOKUP($H323,Constants!$I:$K, 2, FALSE)</f>
        <v>0.9</v>
      </c>
      <c r="BH323">
        <f>VLOOKUP($H323,Constants!$I:$K, 3, FALSE)*IF(AND(G323="multiple_unit",AB323&lt;110),0.75,1)</f>
        <v>1.2000000000000002</v>
      </c>
      <c r="BI323">
        <f>INT(POWER(((Constants!$G$2+$BB323+$BC323+$BD323+$BF323)*$BE323)*$BH323, 1.05))+$BA323</f>
        <v>88</v>
      </c>
      <c r="BJ323">
        <f>INT(POWER((((Constants!$G$1+$BB323+$BC323+$BD323+$BF323)*($BE323))*$BG323),IF($G323="wagon",1,1.2)))+$AZ323</f>
        <v>114</v>
      </c>
      <c r="BK323" s="14">
        <f t="shared" si="316"/>
        <v>68750</v>
      </c>
      <c r="BL323" s="14">
        <f t="shared" si="317"/>
        <v>9262.5</v>
      </c>
      <c r="BT323" t="s">
        <v>1140</v>
      </c>
      <c r="BU323">
        <v>1</v>
      </c>
      <c r="BV323">
        <v>120</v>
      </c>
      <c r="BY323" t="s">
        <v>278</v>
      </c>
      <c r="BZ323" t="str">
        <f>VLOOKUP(J323,Eras!$A$2:$C$10, 2, TRUE)</f>
        <v>mod</v>
      </c>
      <c r="CA323" t="s">
        <v>340</v>
      </c>
      <c r="CB323" t="str">
        <f t="shared" si="318"/>
        <v>mod_LU</v>
      </c>
      <c r="CC323" t="str">
        <f t="shared" si="304"/>
        <v>tube_FOURTH_RAIL</v>
      </c>
      <c r="CD323" s="17" t="str" cm="1">
        <f t="array" ref="CD323">_xlfn.CONCAT("{BLACK}Length: {GOLD}", TEXT(ROUNDUP(IF(AQ323&lt;&gt;"",SUM(VALUE(_xlfn.TEXTSPLIT(AQ323, ","))), SUM(VALUE(_xlfn.TEXTSPLIT(AN323, ",")))*IF(M323, M323, 1))/16, 1), "#,##0.0"), " tiles{}")</f>
        <v>{BLACK}Length: {GOLD}3.8 tiles{}</v>
      </c>
      <c r="CE323" t="str">
        <f>VLOOKUP($CC323, Constants!$M:$N, 2, FALSE)</f>
        <v>{BLACK}Powered by: {GOLD}630V DC</v>
      </c>
      <c r="CF323" t="str">
        <f t="shared" si="319"/>
        <v>{BLACK}Cars: {GOLD}6</v>
      </c>
      <c r="CG323" t="s">
        <v>1437</v>
      </c>
      <c r="CH323" t="str">
        <f t="shared" si="323"/>
        <v/>
      </c>
      <c r="CI323" t="str">
        <f t="shared" si="305"/>
        <v>{YELLOW}35% penalty for long distance travel{}</v>
      </c>
      <c r="CJ323" t="str">
        <f t="shared" si="306"/>
        <v>{BLACK}Powered by: {GOLD}630V DC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24" spans="1:88" x14ac:dyDescent="0.35">
      <c r="A324" t="s">
        <v>1482</v>
      </c>
      <c r="B324" t="s">
        <v>1483</v>
      </c>
      <c r="C324">
        <v>746</v>
      </c>
      <c r="E324">
        <v>210</v>
      </c>
      <c r="F324" t="s">
        <v>1498</v>
      </c>
      <c r="G324" t="s">
        <v>398</v>
      </c>
      <c r="H324" t="s">
        <v>1101</v>
      </c>
      <c r="I324" t="s">
        <v>1400</v>
      </c>
      <c r="J324">
        <v>2025</v>
      </c>
      <c r="M324">
        <v>9</v>
      </c>
      <c r="N324">
        <v>3400</v>
      </c>
      <c r="W324">
        <v>190</v>
      </c>
      <c r="Y324">
        <v>10</v>
      </c>
      <c r="Z324">
        <v>160</v>
      </c>
      <c r="AA324" s="3">
        <f t="shared" si="308"/>
        <v>8.4210526315789472E-2</v>
      </c>
      <c r="AB324">
        <v>62</v>
      </c>
      <c r="AC324">
        <f t="shared" si="322"/>
        <v>99</v>
      </c>
      <c r="AF324">
        <f>113.7/9</f>
        <v>12.633333333333333</v>
      </c>
      <c r="AG324">
        <v>12.6</v>
      </c>
      <c r="AH324">
        <v>2.6</v>
      </c>
      <c r="AI324">
        <v>2.8</v>
      </c>
      <c r="AJ324" s="10">
        <v>119</v>
      </c>
      <c r="AK324" t="str">
        <f>CONCATENATE(VLOOKUP(AL324, 'Voxel Sizes'!$A$2:$B$18,2,FALSE),"x",INT(AH324*15), "x", INT(AI324*15))</f>
        <v>120x39x42</v>
      </c>
      <c r="AL324">
        <f t="shared" si="309"/>
        <v>7</v>
      </c>
      <c r="AN324" t="str">
        <f>CONCATENATE(VLOOKUP(AL324,Constants!$A$2:$C$16,IF(AM324&lt;&gt;"", 3, 2), FALSE),IF(AM324&lt;&gt;"",CONCATENATE(",",VLOOKUP(AM324,$B:$AN,39,FALSE)),""))</f>
        <v>2,3,2</v>
      </c>
      <c r="AR324" t="s">
        <v>1484</v>
      </c>
      <c r="AT324" t="s">
        <v>1485</v>
      </c>
      <c r="AX324">
        <v>32</v>
      </c>
      <c r="AY324" s="15" t="str">
        <f t="shared" si="310"/>
        <v/>
      </c>
      <c r="AZ324">
        <v>-25</v>
      </c>
      <c r="BB324">
        <f t="shared" si="311"/>
        <v>12.4</v>
      </c>
      <c r="BC324">
        <f t="shared" si="312"/>
        <v>17</v>
      </c>
      <c r="BD324">
        <f t="shared" si="313"/>
        <v>8</v>
      </c>
      <c r="BE324" s="3">
        <f t="shared" si="314"/>
        <v>0.83333333333333337</v>
      </c>
      <c r="BF324">
        <f t="shared" si="315"/>
        <v>35.699999999999996</v>
      </c>
      <c r="BG324">
        <f>VLOOKUP($H324,Constants!$I:$K, 2, FALSE)</f>
        <v>0.9</v>
      </c>
      <c r="BH324">
        <f>VLOOKUP($H324,Constants!$I:$K, 3, FALSE)*IF(AND(G324="multiple_unit",AB324&lt;110),0.75,1)</f>
        <v>1.2000000000000002</v>
      </c>
      <c r="BI324">
        <f>INT(POWER(((Constants!$G$2+$BB324+$BC324+$BD324+$BF324)*$BE324)*$BH324, 1.05))+$BA324</f>
        <v>97</v>
      </c>
      <c r="BJ324">
        <f>INT(POWER((((Constants!$G$1+$BB324+$BC324+$BD324+$BF324)*($BE324))*$BG324),IF($G324="wagon",1,1.2)))+$AZ324</f>
        <v>127</v>
      </c>
      <c r="BK324" s="14">
        <f t="shared" si="316"/>
        <v>75781.25</v>
      </c>
      <c r="BL324" s="14">
        <f t="shared" si="317"/>
        <v>10318.75</v>
      </c>
      <c r="BU324">
        <v>6</v>
      </c>
      <c r="BV324">
        <v>120</v>
      </c>
      <c r="BY324" t="s">
        <v>278</v>
      </c>
      <c r="BZ324" t="str">
        <f>VLOOKUP(J324,Eras!$A$2:$C$10, 2, TRUE)</f>
        <v>mod</v>
      </c>
      <c r="CA324" t="s">
        <v>340</v>
      </c>
      <c r="CB324" t="str">
        <f t="shared" si="318"/>
        <v>mod_LU</v>
      </c>
      <c r="CC324" t="str">
        <f t="shared" si="304"/>
        <v>tube_FOURTH_RAIL</v>
      </c>
      <c r="CD324" s="17" t="str" cm="1">
        <f t="array" ref="CD324">_xlfn.CONCAT("{BLACK}Length: {GOLD}", TEXT(ROUNDUP(IF(AQ324&lt;&gt;"",SUM(VALUE(_xlfn.TEXTSPLIT(AQ324, ","))), SUM(VALUE(_xlfn.TEXTSPLIT(AN324, ",")))*IF(M324, M324, 1))/16, 1), "#,##0.0"), " tiles{}")</f>
        <v>{BLACK}Length: {GOLD}4.0 tiles{}</v>
      </c>
      <c r="CE324" t="str">
        <f>VLOOKUP($CC324, Constants!$M:$N, 2, FALSE)</f>
        <v>{BLACK}Powered by: {GOLD}630V DC</v>
      </c>
      <c r="CF324" t="str">
        <f t="shared" si="319"/>
        <v>{BLACK}Cars: {GOLD}9</v>
      </c>
      <c r="CG324" t="s">
        <v>1486</v>
      </c>
      <c r="CH324" t="str">
        <f t="shared" si="323"/>
        <v/>
      </c>
      <c r="CI324" t="str">
        <f t="shared" si="305"/>
        <v>{YELLOW}35% penalty for long distance travel{}</v>
      </c>
      <c r="CJ324" t="str">
        <f t="shared" si="306"/>
        <v>{BLACK}Powered by: {GOLD}630V DC {BLACK}Cars: {GOLD}9{}{BLACK}Length: {GOLD}4.0 tiles{}{YELLOW}35% penalty for long distance travel{}{SILVER}The New Tube for London is intended to replace all of London Underground's existing deep-level Tube stock, starting with the 1973 stock on the Piccadilly Line.</v>
      </c>
    </row>
    <row r="325" spans="1:88" x14ac:dyDescent="0.35">
      <c r="A325" t="s">
        <v>1440</v>
      </c>
      <c r="B325" t="s">
        <v>1441</v>
      </c>
      <c r="C325">
        <v>750</v>
      </c>
      <c r="E325">
        <v>211</v>
      </c>
      <c r="F325" t="s">
        <v>1498</v>
      </c>
      <c r="G325" t="s">
        <v>398</v>
      </c>
      <c r="H325" t="s">
        <v>1101</v>
      </c>
      <c r="I325" t="s">
        <v>1400</v>
      </c>
      <c r="J325">
        <v>1980</v>
      </c>
      <c r="M325">
        <v>3</v>
      </c>
      <c r="N325">
        <v>300</v>
      </c>
      <c r="W325">
        <v>60</v>
      </c>
      <c r="Y325">
        <v>9</v>
      </c>
      <c r="Z325">
        <v>45</v>
      </c>
      <c r="AA325" s="3">
        <f t="shared" si="308"/>
        <v>7.4999999999999997E-2</v>
      </c>
      <c r="AB325">
        <v>34</v>
      </c>
      <c r="AC325">
        <f t="shared" si="322"/>
        <v>54</v>
      </c>
      <c r="AF325">
        <v>12.58</v>
      </c>
      <c r="AG325">
        <v>12.58</v>
      </c>
      <c r="AH325">
        <v>2.34</v>
      </c>
      <c r="AI325">
        <v>2.65</v>
      </c>
      <c r="AJ325" s="10">
        <v>90</v>
      </c>
      <c r="AK325" t="str">
        <f>CONCATENATE(VLOOKUP(AL325, 'Voxel Sizes'!$A$2:$B$18,2,FALSE),"x",INT(AH325*15), "x", INT(AI325*15))</f>
        <v>120x35x39</v>
      </c>
      <c r="AL325">
        <f t="shared" si="309"/>
        <v>7</v>
      </c>
      <c r="AN325" t="str">
        <f>CONCATENATE(VLOOKUP(AL325,Constants!$A$2:$C$16,IF(AM325&lt;&gt;"", 3, 2), FALSE),IF(AM325&lt;&gt;"",CONCATENATE(",",VLOOKUP(AM325,$B:$AN,39,FALSE)),""))</f>
        <v>2,3,2</v>
      </c>
      <c r="AR325" t="s">
        <v>1443</v>
      </c>
      <c r="AT325" t="s">
        <v>287</v>
      </c>
      <c r="AX325">
        <v>33</v>
      </c>
      <c r="AY325" s="15" t="str">
        <f t="shared" si="310"/>
        <v/>
      </c>
      <c r="BB325">
        <f t="shared" si="311"/>
        <v>6.8</v>
      </c>
      <c r="BC325">
        <f t="shared" si="312"/>
        <v>1.5</v>
      </c>
      <c r="BD325">
        <f t="shared" si="313"/>
        <v>2.25</v>
      </c>
      <c r="BE325" s="3">
        <f t="shared" si="314"/>
        <v>0.89333333333333331</v>
      </c>
      <c r="BF325">
        <f t="shared" si="315"/>
        <v>9</v>
      </c>
      <c r="BG325">
        <f>VLOOKUP($H325,Constants!$I:$K, 2, FALSE)</f>
        <v>0.9</v>
      </c>
      <c r="BH325">
        <f>VLOOKUP($H325,Constants!$I:$K, 3, FALSE)*IF(AND(G325="multiple_unit",AB325&lt;110),0.75,1)</f>
        <v>1.2000000000000002</v>
      </c>
      <c r="BI325">
        <f>INT(POWER(((Constants!$G$2+$BB325+$BC325+$BD325+$BF325)*$BE325)*$BH325, 1.05))+$BA325</f>
        <v>30</v>
      </c>
      <c r="BJ325">
        <f>INT(POWER((((Constants!$G$1+$BB325+$BC325+$BD325+$BF325)*($BE325))*$BG325),IF($G325="wagon",1,1.2)))+$AZ325</f>
        <v>54</v>
      </c>
      <c r="BK325" s="14">
        <f t="shared" si="316"/>
        <v>23437.5</v>
      </c>
      <c r="BL325" s="14">
        <f t="shared" si="317"/>
        <v>4387.5</v>
      </c>
      <c r="BU325">
        <v>5</v>
      </c>
      <c r="BV325">
        <v>120</v>
      </c>
      <c r="BY325" t="s">
        <v>278</v>
      </c>
      <c r="BZ325" t="str">
        <f>VLOOKUP(J325,Eras!$A$2:$C$10, 2, TRUE)</f>
        <v>lbr</v>
      </c>
      <c r="CA325" t="s">
        <v>340</v>
      </c>
      <c r="CB325" t="str">
        <f t="shared" si="318"/>
        <v>lbr_LU</v>
      </c>
      <c r="CC325" t="str">
        <f t="shared" si="304"/>
        <v>tube_FOURTH_RAIL</v>
      </c>
      <c r="CD325" s="17" t="str" cm="1">
        <f t="array" ref="CD325">_xlfn.CONCAT("{BLACK}Length: {GOLD}", TEXT(ROUNDUP(IF(AQ325&lt;&gt;"",SUM(VALUE(_xlfn.TEXTSPLIT(AQ325, ","))), SUM(VALUE(_xlfn.TEXTSPLIT(AN325, ",")))*IF(M325, M325, 1))/16, 1), "#,##0.0"), " tiles{}")</f>
        <v>{BLACK}Length: {GOLD}1.4 tiles{}</v>
      </c>
      <c r="CE325" t="str">
        <f>VLOOKUP($CC325, Constants!$M:$N, 2, FALSE)</f>
        <v>{BLACK}Powered by: {GOLD}630V DC</v>
      </c>
      <c r="CF325" t="str">
        <f t="shared" si="319"/>
        <v>{BLACK}Cars: {GOLD}3</v>
      </c>
      <c r="CG325" t="s">
        <v>1442</v>
      </c>
      <c r="CH325" t="str">
        <f t="shared" si="323"/>
        <v/>
      </c>
      <c r="CI325" t="str">
        <f t="shared" si="305"/>
        <v>{YELLOW}35% penalty for long distance travel{}</v>
      </c>
      <c r="CJ325" t="str">
        <f t="shared" si="306"/>
        <v>{BLACK}Powered by: {GOLD}630V DC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sheetData>
  <autoFilter ref="A1:CG325" xr:uid="{CF2E8555-48EE-4386-A1B1-369F6A2E644F}">
    <sortState xmlns:xlrd2="http://schemas.microsoft.com/office/spreadsheetml/2017/richdata2" ref="A2:CG317">
      <sortCondition ref="C147"/>
    </sortState>
  </autoFilter>
  <sortState xmlns:xlrd2="http://schemas.microsoft.com/office/spreadsheetml/2017/richdata2" ref="A2:CJ325">
    <sortCondition ref="C306:C325"/>
  </sortState>
  <conditionalFormatting sqref="C1:C1048576">
    <cfRule type="duplicateValues" dxfId="2" priority="1"/>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CA1:CA1048576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5" x14ac:dyDescent="0.35"/>
  <cols>
    <col min="2" max="2" width="29" bestFit="1" customWidth="1"/>
    <col min="3" max="4" width="17.26953125" customWidth="1"/>
    <col min="5" max="5" width="6.54296875" bestFit="1" customWidth="1"/>
    <col min="8" max="8" width="12" bestFit="1" customWidth="1"/>
    <col min="9" max="9" width="16.1796875" bestFit="1" customWidth="1"/>
    <col min="10" max="10" width="16.1796875" customWidth="1"/>
    <col min="11" max="11" width="13.26953125" bestFit="1" customWidth="1"/>
    <col min="13" max="13" width="14" bestFit="1" customWidth="1"/>
    <col min="15" max="15" width="13.7265625" bestFit="1" customWidth="1"/>
    <col min="16" max="16" width="3.1796875" bestFit="1" customWidth="1"/>
    <col min="18" max="18" width="12.54296875" bestFit="1" customWidth="1"/>
    <col min="19" max="19" width="12.453125" bestFit="1" customWidth="1"/>
    <col min="20" max="20" width="10.81640625" bestFit="1" customWidth="1"/>
    <col min="21" max="21" width="4.453125" bestFit="1" customWidth="1"/>
    <col min="22" max="22" width="7" bestFit="1" customWidth="1"/>
  </cols>
  <sheetData>
    <row r="1" spans="1:23" x14ac:dyDescent="0.35">
      <c r="C1" s="1" t="s">
        <v>371</v>
      </c>
      <c r="D1" s="1" t="s">
        <v>322</v>
      </c>
      <c r="E1" s="1" t="s">
        <v>321</v>
      </c>
      <c r="F1" s="1" t="s">
        <v>323</v>
      </c>
      <c r="G1" s="1" t="s">
        <v>324</v>
      </c>
      <c r="H1" s="1" t="s">
        <v>332</v>
      </c>
      <c r="I1" s="1" t="s">
        <v>333</v>
      </c>
      <c r="J1" s="1" t="s">
        <v>334</v>
      </c>
      <c r="K1" s="1" t="s">
        <v>325</v>
      </c>
      <c r="L1" s="1" t="s">
        <v>326</v>
      </c>
      <c r="M1" s="1" t="s">
        <v>327</v>
      </c>
      <c r="N1" s="1" t="s">
        <v>328</v>
      </c>
      <c r="O1" s="1" t="s">
        <v>329</v>
      </c>
      <c r="P1" s="1" t="s">
        <v>340</v>
      </c>
      <c r="Q1" s="1" t="s">
        <v>330</v>
      </c>
      <c r="R1" s="1" t="s">
        <v>331</v>
      </c>
      <c r="S1" s="1" t="s">
        <v>335</v>
      </c>
      <c r="T1" s="1" t="s">
        <v>336</v>
      </c>
      <c r="U1" s="1" t="s">
        <v>337</v>
      </c>
      <c r="V1" s="1" t="s">
        <v>338</v>
      </c>
      <c r="W1" s="1" t="s">
        <v>687</v>
      </c>
    </row>
    <row r="2" spans="1:23" x14ac:dyDescent="0.35">
      <c r="A2" s="1" t="s">
        <v>319</v>
      </c>
      <c r="B2" s="1" t="s">
        <v>320</v>
      </c>
    </row>
    <row r="3" spans="1:23" x14ac:dyDescent="0.35">
      <c r="A3" t="s">
        <v>312</v>
      </c>
      <c r="B3" t="str">
        <f>VLOOKUP(A3, Eras!$B$2:$C$10, 2, FALSE)</f>
        <v>Early (1800-1850)</v>
      </c>
      <c r="C3">
        <f>COUNTIF(Table!$CB:$CB,CONCATENATE($A3,"_",C$1))</f>
        <v>0</v>
      </c>
      <c r="D3">
        <f>COUNTIF(Table!$CB:$CB,CONCATENATE($A3,"_",D$1))</f>
        <v>11</v>
      </c>
      <c r="E3">
        <f>COUNTIF(Table!$CB:$CB,CONCATENATE($A3,"_",E$1))</f>
        <v>0</v>
      </c>
      <c r="F3">
        <f>COUNTIF(Table!$CB:$CB,CONCATENATE($A3,"_",F$1))</f>
        <v>1</v>
      </c>
      <c r="G3">
        <f>COUNTIF(Table!$CB:$CB,CONCATENATE($A3,"_",G$1))</f>
        <v>0</v>
      </c>
      <c r="H3">
        <f>COUNTIF(Table!$CB:$CB,CONCATENATE($A3,"_",H$1))</f>
        <v>0</v>
      </c>
      <c r="I3">
        <f>COUNTIF(Table!$CB:$CB,CONCATENATE($A3,"_",I$1))</f>
        <v>0</v>
      </c>
      <c r="J3">
        <f>COUNTIF(Table!$CB:$CB,CONCATENATE($A3,"_",J$1))</f>
        <v>0</v>
      </c>
      <c r="K3">
        <f>COUNTIF(Table!$CB:$CB,CONCATENATE($A3,"_",K$1))</f>
        <v>0</v>
      </c>
      <c r="L3">
        <f>COUNTIF(Table!$CB:$CB,CONCATENATE($A3,"_",L$1))</f>
        <v>0</v>
      </c>
      <c r="M3">
        <f>COUNTIF(Table!$CB:$CB,CONCATENATE($A3,"_",M$1))</f>
        <v>0</v>
      </c>
      <c r="N3">
        <f>COUNTIF(Table!$CB:$CB,CONCATENATE($A3,"_",N$1))</f>
        <v>0</v>
      </c>
      <c r="O3">
        <f>COUNTIF(Table!$CB:$CB,CONCATENATE($A3,"_",O$1))</f>
        <v>0</v>
      </c>
      <c r="P3">
        <f>COUNTIF(Table!$CB:$CB,CONCATENATE($A3,"_",P$1))</f>
        <v>0</v>
      </c>
      <c r="Q3">
        <f>COUNTIF(Table!$CB:$CB,CONCATENATE($A3,"_",Q$1))</f>
        <v>2</v>
      </c>
      <c r="R3">
        <f>COUNTIF(Table!$CB:$CB,CONCATENATE($A3,"_",R$1))</f>
        <v>0</v>
      </c>
      <c r="S3">
        <f>COUNTIF(Table!$CB:$CB,CONCATENATE($A3,"_",S$1))</f>
        <v>1</v>
      </c>
      <c r="T3">
        <f>COUNTIF(Table!$CB:$CB,CONCATENATE($A3,"_",T$1))</f>
        <v>1</v>
      </c>
      <c r="U3">
        <f>COUNTIF(Table!$CB:$CB,CONCATENATE($A3,"_",U$1))</f>
        <v>1</v>
      </c>
      <c r="V3">
        <f>COUNTIF(Table!$CB:$CB,CONCATENATE($A3,"_",V$1))</f>
        <v>0</v>
      </c>
      <c r="W3">
        <f>COUNTIF(Table!$CB:$CB,CONCATENATE($A3,"_",W$1))</f>
        <v>1</v>
      </c>
    </row>
    <row r="4" spans="1:23" x14ac:dyDescent="0.35">
      <c r="A4" t="s">
        <v>378</v>
      </c>
      <c r="B4" t="str">
        <f>VLOOKUP(A4, Eras!$B$2:$C$10, 2, FALSE)</f>
        <v>Victorian (1850-1900)</v>
      </c>
      <c r="C4">
        <f>COUNTIF(Table!$CB:$CB,CONCATENATE($A4,"_",C$1))</f>
        <v>0</v>
      </c>
      <c r="D4">
        <f>COUNTIF(Table!$CB:$CB,CONCATENATE($A4,"_",D$1))</f>
        <v>4</v>
      </c>
      <c r="E4">
        <f>COUNTIF(Table!$CB:$CB,CONCATENATE($A4,"_",E$1))</f>
        <v>2</v>
      </c>
      <c r="F4">
        <f>COUNTIF(Table!$CB:$CB,CONCATENATE($A4,"_",F$1))</f>
        <v>3</v>
      </c>
      <c r="G4">
        <f>COUNTIF(Table!$CB:$CB,CONCATENATE($A4,"_",G$1))</f>
        <v>3</v>
      </c>
      <c r="H4">
        <f>COUNTIF(Table!$CB:$CB,CONCATENATE($A4,"_",H$1))</f>
        <v>0</v>
      </c>
      <c r="I4">
        <f>COUNTIF(Table!$CB:$CB,CONCATENATE($A4,"_",I$1))</f>
        <v>0</v>
      </c>
      <c r="J4">
        <f>COUNTIF(Table!$CB:$CB,CONCATENATE($A4,"_",J$1))</f>
        <v>0</v>
      </c>
      <c r="K4">
        <f>COUNTIF(Table!$CB:$CB,CONCATENATE($A4,"_",K$1))</f>
        <v>0</v>
      </c>
      <c r="L4">
        <f>COUNTIF(Table!$CB:$CB,CONCATENATE($A4,"_",L$1))</f>
        <v>0</v>
      </c>
      <c r="M4">
        <f>COUNTIF(Table!$CB:$CB,CONCATENATE($A4,"_",M$1))</f>
        <v>0</v>
      </c>
      <c r="N4">
        <f>COUNTIF(Table!$CB:$CB,CONCATENATE($A4,"_",N$1))</f>
        <v>0</v>
      </c>
      <c r="O4">
        <f>COUNTIF(Table!$CB:$CB,CONCATENATE($A4,"_",O$1))</f>
        <v>0</v>
      </c>
      <c r="P4">
        <f>COUNTIF(Table!$CB:$CB,CONCATENATE($A4,"_",P$1))</f>
        <v>1</v>
      </c>
      <c r="Q4">
        <f>COUNTIF(Table!$CB:$CB,CONCATENATE($A4,"_",Q$1))</f>
        <v>6</v>
      </c>
      <c r="R4">
        <f>COUNTIF(Table!$CB:$CB,CONCATENATE($A4,"_",R$1))</f>
        <v>1</v>
      </c>
      <c r="S4">
        <f>COUNTIF(Table!$CB:$CB,CONCATENATE($A4,"_",S$1))</f>
        <v>1</v>
      </c>
      <c r="T4">
        <f>COUNTIF(Table!$CB:$CB,CONCATENATE($A4,"_",T$1))</f>
        <v>1</v>
      </c>
      <c r="U4">
        <f>COUNTIF(Table!$CB:$CB,CONCATENATE($A4,"_",U$1))</f>
        <v>2</v>
      </c>
      <c r="V4">
        <f>COUNTIF(Table!$CB:$CB,CONCATENATE($A4,"_",V$1))</f>
        <v>1</v>
      </c>
      <c r="W4">
        <f>COUNTIF(Table!$CB:$CB,CONCATENATE($A4,"_",W$1))</f>
        <v>2</v>
      </c>
    </row>
    <row r="5" spans="1:23" x14ac:dyDescent="0.35">
      <c r="A5" t="s">
        <v>313</v>
      </c>
      <c r="B5" t="str">
        <f>VLOOKUP(A5, Eras!$B$2:$C$10, 2, FALSE)</f>
        <v>Edwardian (1900-1920)</v>
      </c>
      <c r="C5">
        <f>COUNTIF(Table!$CB:$CB,CONCATENATE($A5,"_",C$1))</f>
        <v>2</v>
      </c>
      <c r="D5">
        <f>COUNTIF(Table!$CB:$CB,CONCATENATE($A5,"_",D$1))</f>
        <v>2</v>
      </c>
      <c r="E5">
        <f>COUNTIF(Table!$CB:$CB,CONCATENATE($A5,"_",E$1))</f>
        <v>2</v>
      </c>
      <c r="F5">
        <f>COUNTIF(Table!$CB:$CB,CONCATENATE($A5,"_",F$1))</f>
        <v>3</v>
      </c>
      <c r="G5">
        <f>COUNTIF(Table!$CB:$CB,CONCATENATE($A5,"_",G$1))</f>
        <v>5</v>
      </c>
      <c r="H5">
        <f>COUNTIF(Table!$CB:$CB,CONCATENATE($A5,"_",H$1))</f>
        <v>0</v>
      </c>
      <c r="I5">
        <f>COUNTIF(Table!$CB:$CB,CONCATENATE($A5,"_",I$1))</f>
        <v>0</v>
      </c>
      <c r="J5">
        <f>COUNTIF(Table!$CB:$CB,CONCATENATE($A5,"_",J$1))</f>
        <v>2</v>
      </c>
      <c r="K5">
        <f>COUNTIF(Table!$CB:$CB,CONCATENATE($A5,"_",K$1))</f>
        <v>1</v>
      </c>
      <c r="L5">
        <f>COUNTIF(Table!$CB:$CB,CONCATENATE($A5,"_",L$1))</f>
        <v>0</v>
      </c>
      <c r="M5">
        <f>COUNTIF(Table!$CB:$CB,CONCATENATE($A5,"_",M$1))</f>
        <v>0</v>
      </c>
      <c r="N5">
        <f>COUNTIF(Table!$CB:$CB,CONCATENATE($A5,"_",N$1))</f>
        <v>1</v>
      </c>
      <c r="O5">
        <f>COUNTIF(Table!$CB:$CB,CONCATENATE($A5,"_",O$1))</f>
        <v>0</v>
      </c>
      <c r="P5">
        <f>COUNTIF(Table!$CB:$CB,CONCATENATE($A5,"_",P$1))</f>
        <v>2</v>
      </c>
      <c r="Q5">
        <f>COUNTIF(Table!$CB:$CB,CONCATENATE($A5,"_",Q$1))</f>
        <v>1</v>
      </c>
      <c r="R5">
        <f>COUNTIF(Table!$CB:$CB,CONCATENATE($A5,"_",R$1))</f>
        <v>2</v>
      </c>
      <c r="S5">
        <f>COUNTIF(Table!$CB:$CB,CONCATENATE($A5,"_",S$1))</f>
        <v>1</v>
      </c>
      <c r="T5">
        <f>COUNTIF(Table!$CB:$CB,CONCATENATE($A5,"_",T$1))</f>
        <v>2</v>
      </c>
      <c r="U5">
        <f>COUNTIF(Table!$CB:$CB,CONCATENATE($A5,"_",U$1))</f>
        <v>2</v>
      </c>
      <c r="V5">
        <f>COUNTIF(Table!$CB:$CB,CONCATENATE($A5,"_",V$1))</f>
        <v>1</v>
      </c>
      <c r="W5">
        <f>COUNTIF(Table!$CB:$CB,CONCATENATE($A5,"_",W$1))</f>
        <v>0</v>
      </c>
    </row>
    <row r="6" spans="1:23" x14ac:dyDescent="0.35">
      <c r="A6" t="s">
        <v>314</v>
      </c>
      <c r="B6" t="str">
        <f>VLOOKUP(A6, Eras!$B$2:$C$10, 2, FALSE)</f>
        <v>Big Four (1923-1948)</v>
      </c>
      <c r="C6">
        <f>COUNTIF(Table!$CB:$CB,CONCATENATE($A6,"_",C$1))</f>
        <v>1</v>
      </c>
      <c r="D6">
        <f>COUNTIF(Table!$CB:$CB,CONCATENATE($A6,"_",D$1))</f>
        <v>11</v>
      </c>
      <c r="E6">
        <f>COUNTIF(Table!$CB:$CB,CONCATENATE($A6,"_",E$1))</f>
        <v>6</v>
      </c>
      <c r="F6">
        <f>COUNTIF(Table!$CB:$CB,CONCATENATE($A6,"_",F$1))</f>
        <v>11</v>
      </c>
      <c r="G6">
        <f>COUNTIF(Table!$CB:$CB,CONCATENATE($A6,"_",G$1))</f>
        <v>3</v>
      </c>
      <c r="H6">
        <f>COUNTIF(Table!$CB:$CB,CONCATENATE($A6,"_",H$1))</f>
        <v>1</v>
      </c>
      <c r="I6">
        <f>COUNTIF(Table!$CB:$CB,CONCATENATE($A6,"_",I$1))</f>
        <v>0</v>
      </c>
      <c r="J6">
        <f>COUNTIF(Table!$CB:$CB,CONCATENATE($A6,"_",J$1))</f>
        <v>0</v>
      </c>
      <c r="K6">
        <f>COUNTIF(Table!$CB:$CB,CONCATENATE($A6,"_",K$1))</f>
        <v>1</v>
      </c>
      <c r="L6">
        <f>COUNTIF(Table!$CB:$CB,CONCATENATE($A6,"_",L$1))</f>
        <v>0</v>
      </c>
      <c r="M6">
        <f>COUNTIF(Table!$CB:$CB,CONCATENATE($A6,"_",M$1))</f>
        <v>0</v>
      </c>
      <c r="N6">
        <f>COUNTIF(Table!$CB:$CB,CONCATENATE($A6,"_",N$1))</f>
        <v>2</v>
      </c>
      <c r="O6">
        <f>COUNTIF(Table!$CB:$CB,CONCATENATE($A6,"_",O$1))</f>
        <v>1</v>
      </c>
      <c r="P6">
        <f>COUNTIF(Table!$CB:$CB,CONCATENATE($A6,"_",P$1))</f>
        <v>3</v>
      </c>
      <c r="Q6">
        <f>COUNTIF(Table!$CB:$CB,CONCATENATE($A6,"_",Q$1))</f>
        <v>2</v>
      </c>
      <c r="R6">
        <f>COUNTIF(Table!$CB:$CB,CONCATENATE($A6,"_",R$1))</f>
        <v>0</v>
      </c>
      <c r="S6">
        <f>COUNTIF(Table!$CB:$CB,CONCATENATE($A6,"_",S$1))</f>
        <v>2</v>
      </c>
      <c r="T6">
        <f>COUNTIF(Table!$CB:$CB,CONCATENATE($A6,"_",T$1))</f>
        <v>1</v>
      </c>
      <c r="U6">
        <f>COUNTIF(Table!$CB:$CB,CONCATENATE($A6,"_",U$1))</f>
        <v>2</v>
      </c>
      <c r="V6">
        <f>COUNTIF(Table!$CB:$CB,CONCATENATE($A6,"_",V$1))</f>
        <v>1</v>
      </c>
      <c r="W6">
        <f>COUNTIF(Table!$CB:$CB,CONCATENATE($A6,"_",W$1))</f>
        <v>2</v>
      </c>
    </row>
    <row r="7" spans="1:23" x14ac:dyDescent="0.35">
      <c r="A7" t="s">
        <v>632</v>
      </c>
      <c r="B7" t="str">
        <f>VLOOKUP(A7, Eras!$B$2:$C$10, 2, FALSE)</f>
        <v>Early BR (1948-1955)</v>
      </c>
      <c r="C7">
        <f>COUNTIF(Table!$CB:$CB,CONCATENATE($A7,"_",C$1))</f>
        <v>0</v>
      </c>
      <c r="D7">
        <f>COUNTIF(Table!$CB:$CB,CONCATENATE($A7,"_",D$1))</f>
        <v>2</v>
      </c>
      <c r="E7">
        <f>COUNTIF(Table!$CB:$CB,CONCATENATE($A7,"_",E$1))</f>
        <v>1</v>
      </c>
      <c r="F7">
        <f>COUNTIF(Table!$CB:$CB,CONCATENATE($A7,"_",F$1))</f>
        <v>1</v>
      </c>
      <c r="G7">
        <f>COUNTIF(Table!$CB:$CB,CONCATENATE($A7,"_",G$1))</f>
        <v>1</v>
      </c>
      <c r="H7">
        <f>COUNTIF(Table!$CB:$CB,CONCATENATE($A7,"_",H$1))</f>
        <v>0</v>
      </c>
      <c r="I7">
        <f>COUNTIF(Table!$CB:$CB,CONCATENATE($A7,"_",I$1))</f>
        <v>1</v>
      </c>
      <c r="J7">
        <f>COUNTIF(Table!$CB:$CB,CONCATENATE($A7,"_",J$1))</f>
        <v>1</v>
      </c>
      <c r="K7">
        <f>COUNTIF(Table!$CB:$CB,CONCATENATE($A7,"_",K$1))</f>
        <v>0</v>
      </c>
      <c r="L7">
        <f>COUNTIF(Table!$CB:$CB,CONCATENATE($A7,"_",L$1))</f>
        <v>0</v>
      </c>
      <c r="M7">
        <f>COUNTIF(Table!$CB:$CB,CONCATENATE($A7,"_",M$1))</f>
        <v>0</v>
      </c>
      <c r="N7">
        <f>COUNTIF(Table!$CB:$CB,CONCATENATE($A7,"_",N$1))</f>
        <v>1</v>
      </c>
      <c r="O7">
        <f>COUNTIF(Table!$CB:$CB,CONCATENATE($A7,"_",O$1))</f>
        <v>0</v>
      </c>
      <c r="P7">
        <f>COUNTIF(Table!$CB:$CB,CONCATENATE($A7,"_",P$1))</f>
        <v>0</v>
      </c>
      <c r="Q7">
        <f>COUNTIF(Table!$CB:$CB,CONCATENATE($A7,"_",Q$1))</f>
        <v>5</v>
      </c>
      <c r="R7">
        <f>COUNTIF(Table!$CB:$CB,CONCATENATE($A7,"_",R$1))</f>
        <v>2</v>
      </c>
      <c r="S7">
        <f>COUNTIF(Table!$CB:$CB,CONCATENATE($A7,"_",S$1))</f>
        <v>1</v>
      </c>
      <c r="T7">
        <f>COUNTIF(Table!$CB:$CB,CONCATENATE($A7,"_",T$1))</f>
        <v>2</v>
      </c>
      <c r="U7">
        <f>COUNTIF(Table!$CB:$CB,CONCATENATE($A7,"_",U$1))</f>
        <v>0</v>
      </c>
      <c r="V7">
        <f>COUNTIF(Table!$CB:$CB,CONCATENATE($A7,"_",V$1))</f>
        <v>0</v>
      </c>
      <c r="W7">
        <f>COUNTIF(Table!$CB:$CB,CONCATENATE($A7,"_",W$1))</f>
        <v>0</v>
      </c>
    </row>
    <row r="8" spans="1:23" x14ac:dyDescent="0.35">
      <c r="A8" t="s">
        <v>315</v>
      </c>
      <c r="B8" t="str">
        <f>VLOOKUP(A8, Eras!$B$2:$C$10, 2, FALSE)</f>
        <v>Dieselisation (1955-1970)</v>
      </c>
      <c r="C8">
        <f>COUNTIF(Table!$CB:$CB,CONCATENATE($A8,"_",C$1))</f>
        <v>1</v>
      </c>
      <c r="D8">
        <f>COUNTIF(Table!$CB:$CB,CONCATENATE($A8,"_",D$1))</f>
        <v>7</v>
      </c>
      <c r="E8">
        <f>COUNTIF(Table!$CB:$CB,CONCATENATE($A8,"_",E$1))</f>
        <v>2</v>
      </c>
      <c r="F8">
        <f>COUNTIF(Table!$CB:$CB,CONCATENATE($A8,"_",F$1))</f>
        <v>5</v>
      </c>
      <c r="G8">
        <f>COUNTIF(Table!$CB:$CB,CONCATENATE($A8,"_",G$1))</f>
        <v>4</v>
      </c>
      <c r="H8">
        <f>COUNTIF(Table!$CB:$CB,CONCATENATE($A8,"_",H$1))</f>
        <v>1</v>
      </c>
      <c r="I8">
        <f>COUNTIF(Table!$CB:$CB,CONCATENATE($A8,"_",I$1))</f>
        <v>2</v>
      </c>
      <c r="J8">
        <f>COUNTIF(Table!$CB:$CB,CONCATENATE($A8,"_",J$1))</f>
        <v>0</v>
      </c>
      <c r="K8">
        <f>COUNTIF(Table!$CB:$CB,CONCATENATE($A8,"_",K$1))</f>
        <v>0</v>
      </c>
      <c r="L8">
        <f>COUNTIF(Table!$CB:$CB,CONCATENATE($A8,"_",L$1))</f>
        <v>2</v>
      </c>
      <c r="M8">
        <f>COUNTIF(Table!$CB:$CB,CONCATENATE($A8,"_",M$1))</f>
        <v>3</v>
      </c>
      <c r="N8">
        <f>COUNTIF(Table!$CB:$CB,CONCATENATE($A8,"_",N$1))</f>
        <v>0</v>
      </c>
      <c r="O8">
        <f>COUNTIF(Table!$CB:$CB,CONCATENATE($A8,"_",O$1))</f>
        <v>2</v>
      </c>
      <c r="P8">
        <f>COUNTIF(Table!$CB:$CB,CONCATENATE($A8,"_",P$1))</f>
        <v>3</v>
      </c>
      <c r="Q8">
        <f>COUNTIF(Table!$CB:$CB,CONCATENATE($A8,"_",Q$1))</f>
        <v>7</v>
      </c>
      <c r="R8">
        <f>COUNTIF(Table!$CB:$CB,CONCATENATE($A8,"_",R$1))</f>
        <v>1</v>
      </c>
      <c r="S8">
        <f>COUNTIF(Table!$CB:$CB,CONCATENATE($A8,"_",S$1))</f>
        <v>1</v>
      </c>
      <c r="T8">
        <f>COUNTIF(Table!$CB:$CB,CONCATENATE($A8,"_",T$1))</f>
        <v>0</v>
      </c>
      <c r="U8">
        <f>COUNTIF(Table!$CB:$CB,CONCATENATE($A8,"_",U$1))</f>
        <v>3</v>
      </c>
      <c r="V8">
        <f>COUNTIF(Table!$CB:$CB,CONCATENATE($A8,"_",V$1))</f>
        <v>1</v>
      </c>
      <c r="W8">
        <f>COUNTIF(Table!$CB:$CB,CONCATENATE($A8,"_",W$1))</f>
        <v>1</v>
      </c>
    </row>
    <row r="9" spans="1:23" x14ac:dyDescent="0.35">
      <c r="A9" t="s">
        <v>633</v>
      </c>
      <c r="B9" t="str">
        <f>VLOOKUP(A9, Eras!$B$2:$C$10, 2, FALSE)</f>
        <v>Late BR (1970-1995)</v>
      </c>
      <c r="C9">
        <f>COUNTIF(Table!$CB:$CB,CONCATENATE($A9,"_",C$1))</f>
        <v>0</v>
      </c>
      <c r="D9">
        <f>COUNTIF(Table!$CB:$CB,CONCATENATE($A9,"_",D$1))</f>
        <v>0</v>
      </c>
      <c r="E9">
        <f>COUNTIF(Table!$CB:$CB,CONCATENATE($A9,"_",E$1))</f>
        <v>1</v>
      </c>
      <c r="F9">
        <f>COUNTIF(Table!$CB:$CB,CONCATENATE($A9,"_",F$1))</f>
        <v>3</v>
      </c>
      <c r="G9">
        <f>COUNTIF(Table!$CB:$CB,CONCATENATE($A9,"_",G$1))</f>
        <v>5</v>
      </c>
      <c r="H9">
        <f>COUNTIF(Table!$CB:$CB,CONCATENATE($A9,"_",H$1))</f>
        <v>0</v>
      </c>
      <c r="I9">
        <f>COUNTIF(Table!$CB:$CB,CONCATENATE($A9,"_",I$1))</f>
        <v>3</v>
      </c>
      <c r="J9">
        <f>COUNTIF(Table!$CB:$CB,CONCATENATE($A9,"_",J$1))</f>
        <v>0</v>
      </c>
      <c r="K9">
        <f>COUNTIF(Table!$CB:$CB,CONCATENATE($A9,"_",K$1))</f>
        <v>1</v>
      </c>
      <c r="L9">
        <f>COUNTIF(Table!$CB:$CB,CONCATENATE($A9,"_",L$1))</f>
        <v>3</v>
      </c>
      <c r="M9">
        <f>COUNTIF(Table!$CB:$CB,CONCATENATE($A9,"_",M$1))</f>
        <v>1</v>
      </c>
      <c r="N9">
        <f>COUNTIF(Table!$CB:$CB,CONCATENATE($A9,"_",N$1))</f>
        <v>7</v>
      </c>
      <c r="O9">
        <f>COUNTIF(Table!$CB:$CB,CONCATENATE($A9,"_",O$1))</f>
        <v>8</v>
      </c>
      <c r="P9">
        <f>COUNTIF(Table!$CB:$CB,CONCATENATE($A9,"_",P$1))</f>
        <v>6</v>
      </c>
      <c r="Q9">
        <f>COUNTIF(Table!$CB:$CB,CONCATENATE($A9,"_",Q$1))</f>
        <v>7</v>
      </c>
      <c r="R9">
        <f>COUNTIF(Table!$CB:$CB,CONCATENATE($A9,"_",R$1))</f>
        <v>2</v>
      </c>
      <c r="S9">
        <f>COUNTIF(Table!$CB:$CB,CONCATENATE($A9,"_",S$1))</f>
        <v>2</v>
      </c>
      <c r="T9">
        <f>COUNTIF(Table!$CB:$CB,CONCATENATE($A9,"_",T$1))</f>
        <v>2</v>
      </c>
      <c r="U9">
        <f>COUNTIF(Table!$CB:$CB,CONCATENATE($A9,"_",U$1))</f>
        <v>3</v>
      </c>
      <c r="V9">
        <f>COUNTIF(Table!$CB:$CB,CONCATENATE($A9,"_",V$1))</f>
        <v>1</v>
      </c>
      <c r="W9">
        <f>COUNTIF(Table!$CB:$CB,CONCATENATE($A9,"_",W$1))</f>
        <v>1</v>
      </c>
    </row>
    <row r="10" spans="1:23" x14ac:dyDescent="0.35">
      <c r="A10" t="s">
        <v>316</v>
      </c>
      <c r="B10" t="str">
        <f>VLOOKUP(A10, Eras!$B$2:$C$10, 2, FALSE)</f>
        <v>Privatisation (1995-2005)</v>
      </c>
      <c r="C10">
        <f>COUNTIF(Table!$CB:$CB,CONCATENATE($A10,"_",C$1))</f>
        <v>0</v>
      </c>
      <c r="D10">
        <f>COUNTIF(Table!$CB:$CB,CONCATENATE($A10,"_",D$1))</f>
        <v>0</v>
      </c>
      <c r="E10">
        <f>COUNTIF(Table!$CB:$CB,CONCATENATE($A10,"_",E$1))</f>
        <v>0</v>
      </c>
      <c r="F10">
        <f>COUNTIF(Table!$CB:$CB,CONCATENATE($A10,"_",F$1))</f>
        <v>0</v>
      </c>
      <c r="G10">
        <f>COUNTIF(Table!$CB:$CB,CONCATENATE($A10,"_",G$1))</f>
        <v>3</v>
      </c>
      <c r="H10">
        <f>COUNTIF(Table!$CB:$CB,CONCATENATE($A10,"_",H$1))</f>
        <v>0</v>
      </c>
      <c r="I10">
        <f>COUNTIF(Table!$CB:$CB,CONCATENATE($A10,"_",I$1))</f>
        <v>0</v>
      </c>
      <c r="J10">
        <f>COUNTIF(Table!$CB:$CB,CONCATENATE($A10,"_",J$1))</f>
        <v>0</v>
      </c>
      <c r="K10">
        <f>COUNTIF(Table!$CB:$CB,CONCATENATE($A10,"_",K$1))</f>
        <v>0</v>
      </c>
      <c r="L10">
        <f>COUNTIF(Table!$CB:$CB,CONCATENATE($A10,"_",L$1))</f>
        <v>2</v>
      </c>
      <c r="M10">
        <f>COUNTIF(Table!$CB:$CB,CONCATENATE($A10,"_",M$1))</f>
        <v>6</v>
      </c>
      <c r="N10">
        <f>COUNTIF(Table!$CB:$CB,CONCATENATE($A10,"_",N$1))</f>
        <v>3</v>
      </c>
      <c r="O10">
        <f>COUNTIF(Table!$CB:$CB,CONCATENATE($A10,"_",O$1))</f>
        <v>7</v>
      </c>
      <c r="P10">
        <f>COUNTIF(Table!$CB:$CB,CONCATENATE($A10,"_",P$1))</f>
        <v>1</v>
      </c>
      <c r="Q10">
        <f>COUNTIF(Table!$CB:$CB,CONCATENATE($A10,"_",Q$1))</f>
        <v>0</v>
      </c>
      <c r="R10">
        <f>COUNTIF(Table!$CB:$CB,CONCATENATE($A10,"_",R$1))</f>
        <v>0</v>
      </c>
      <c r="S10">
        <f>COUNTIF(Table!$CB:$CB,CONCATENATE($A10,"_",S$1))</f>
        <v>1</v>
      </c>
      <c r="T10">
        <f>COUNTIF(Table!$CB:$CB,CONCATENATE($A10,"_",T$1))</f>
        <v>1</v>
      </c>
      <c r="U10">
        <f>COUNTIF(Table!$CB:$CB,CONCATENATE($A10,"_",U$1))</f>
        <v>0</v>
      </c>
      <c r="V10">
        <f>COUNTIF(Table!$CB:$CB,CONCATENATE($A10,"_",V$1))</f>
        <v>0</v>
      </c>
      <c r="W10">
        <f>COUNTIF(Table!$CB:$CB,CONCATENATE($A10,"_",W$1))</f>
        <v>1</v>
      </c>
    </row>
    <row r="11" spans="1:23" x14ac:dyDescent="0.35">
      <c r="A11" t="s">
        <v>317</v>
      </c>
      <c r="B11" t="str">
        <f>VLOOKUP(A11, Eras!$B$2:$C$10, 2, FALSE)</f>
        <v>Modern (2005-)</v>
      </c>
      <c r="C11">
        <f>COUNTIF(Table!$CB:$CB,CONCATENATE($A11,"_",C$1))</f>
        <v>0</v>
      </c>
      <c r="D11">
        <f>COUNTIF(Table!$CB:$CB,CONCATENATE($A11,"_",D$1))</f>
        <v>1</v>
      </c>
      <c r="E11">
        <f>COUNTIF(Table!$CB:$CB,CONCATENATE($A11,"_",E$1))</f>
        <v>0</v>
      </c>
      <c r="F11">
        <f>COUNTIF(Table!$CB:$CB,CONCATENATE($A11,"_",F$1))</f>
        <v>0</v>
      </c>
      <c r="G11">
        <f>COUNTIF(Table!$CB:$CB,CONCATENATE($A11,"_",G$1))</f>
        <v>1</v>
      </c>
      <c r="H11">
        <f>COUNTIF(Table!$CB:$CB,CONCATENATE($A11,"_",H$1))</f>
        <v>0</v>
      </c>
      <c r="I11">
        <f>COUNTIF(Table!$CB:$CB,CONCATENATE($A11,"_",I$1))</f>
        <v>0</v>
      </c>
      <c r="J11">
        <f>COUNTIF(Table!$CB:$CB,CONCATENATE($A11,"_",J$1))</f>
        <v>1</v>
      </c>
      <c r="K11">
        <f>COUNTIF(Table!$CB:$CB,CONCATENATE($A11,"_",K$1))</f>
        <v>1</v>
      </c>
      <c r="L11">
        <f>COUNTIF(Table!$CB:$CB,CONCATENATE($A11,"_",L$1))</f>
        <v>1</v>
      </c>
      <c r="M11">
        <f>COUNTIF(Table!$CB:$CB,CONCATENATE($A11,"_",M$1))</f>
        <v>0</v>
      </c>
      <c r="N11">
        <f>COUNTIF(Table!$CB:$CB,CONCATENATE($A11,"_",N$1))</f>
        <v>11</v>
      </c>
      <c r="O11">
        <f>COUNTIF(Table!$CB:$CB,CONCATENATE($A11,"_",O$1))</f>
        <v>4</v>
      </c>
      <c r="P11">
        <f>COUNTIF(Table!$CB:$CB,CONCATENATE($A11,"_",P$1))</f>
        <v>4</v>
      </c>
      <c r="Q11">
        <f>COUNTIF(Table!$CB:$CB,CONCATENATE($A11,"_",Q$1))</f>
        <v>1</v>
      </c>
      <c r="R11">
        <f>COUNTIF(Table!$CB:$CB,CONCATENATE($A11,"_",R$1))</f>
        <v>0</v>
      </c>
      <c r="S11">
        <f>COUNTIF(Table!$CB:$CB,CONCATENATE($A11,"_",S$1))</f>
        <v>1</v>
      </c>
      <c r="T11">
        <f>COUNTIF(Table!$CB:$CB,CONCATENATE($A11,"_",T$1))</f>
        <v>2</v>
      </c>
      <c r="U11">
        <f>COUNTIF(Table!$CB:$CB,CONCATENATE($A11,"_",U$1))</f>
        <v>0</v>
      </c>
      <c r="V11">
        <f>COUNTIF(Table!$CB:$CB,CONCATENATE($A11,"_",V$1))</f>
        <v>0</v>
      </c>
      <c r="W11">
        <f>COUNTIF(Table!$CB:$CB,CONCATENATE($A11,"_",W$1))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5" x14ac:dyDescent="0.35"/>
  <cols>
    <col min="1" max="1" width="9.54296875" bestFit="1" customWidth="1"/>
    <col min="2" max="2" width="5.453125" bestFit="1" customWidth="1"/>
    <col min="3" max="3" width="29" bestFit="1" customWidth="1"/>
  </cols>
  <sheetData>
    <row r="1" spans="1:3" x14ac:dyDescent="0.35">
      <c r="A1" s="1" t="s">
        <v>305</v>
      </c>
      <c r="B1" s="1" t="s">
        <v>311</v>
      </c>
      <c r="C1" s="1" t="s">
        <v>306</v>
      </c>
    </row>
    <row r="2" spans="1:3" x14ac:dyDescent="0.35">
      <c r="A2">
        <v>1700</v>
      </c>
      <c r="B2" t="s">
        <v>312</v>
      </c>
      <c r="C2" t="s">
        <v>377</v>
      </c>
    </row>
    <row r="3" spans="1:3" x14ac:dyDescent="0.35">
      <c r="A3">
        <v>1850</v>
      </c>
      <c r="B3" t="s">
        <v>378</v>
      </c>
      <c r="C3" t="s">
        <v>376</v>
      </c>
    </row>
    <row r="4" spans="1:3" x14ac:dyDescent="0.35">
      <c r="A4">
        <v>1900</v>
      </c>
      <c r="B4" t="s">
        <v>313</v>
      </c>
      <c r="C4" t="s">
        <v>307</v>
      </c>
    </row>
    <row r="5" spans="1:3" x14ac:dyDescent="0.35">
      <c r="A5">
        <v>1923</v>
      </c>
      <c r="B5" t="s">
        <v>314</v>
      </c>
      <c r="C5" t="s">
        <v>410</v>
      </c>
    </row>
    <row r="6" spans="1:3" x14ac:dyDescent="0.35">
      <c r="A6">
        <v>1948</v>
      </c>
      <c r="B6" t="s">
        <v>632</v>
      </c>
      <c r="C6" t="s">
        <v>308</v>
      </c>
    </row>
    <row r="7" spans="1:3" x14ac:dyDescent="0.35">
      <c r="A7">
        <v>1955</v>
      </c>
      <c r="B7" t="s">
        <v>315</v>
      </c>
      <c r="C7" t="s">
        <v>635</v>
      </c>
    </row>
    <row r="8" spans="1:3" x14ac:dyDescent="0.35">
      <c r="A8">
        <v>1970</v>
      </c>
      <c r="B8" t="s">
        <v>633</v>
      </c>
      <c r="C8" t="s">
        <v>634</v>
      </c>
    </row>
    <row r="9" spans="1:3" x14ac:dyDescent="0.35">
      <c r="A9">
        <v>1995</v>
      </c>
      <c r="B9" t="s">
        <v>316</v>
      </c>
      <c r="C9" t="s">
        <v>309</v>
      </c>
    </row>
    <row r="10" spans="1:3" x14ac:dyDescent="0.35">
      <c r="A10">
        <v>2005</v>
      </c>
      <c r="B10" t="s">
        <v>317</v>
      </c>
      <c r="C10" t="s">
        <v>310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5" x14ac:dyDescent="0.35"/>
  <cols>
    <col min="1" max="1" width="7" bestFit="1" customWidth="1"/>
    <col min="2" max="2" width="13.26953125" bestFit="1" customWidth="1"/>
    <col min="3" max="3" width="20.1796875" bestFit="1" customWidth="1"/>
    <col min="6" max="6" width="27.453125" customWidth="1"/>
    <col min="9" max="9" width="14.7265625" bestFit="1" customWidth="1"/>
    <col min="10" max="10" width="18.1796875" bestFit="1" customWidth="1"/>
    <col min="11" max="11" width="18.81640625" bestFit="1" customWidth="1"/>
    <col min="13" max="13" width="19.7265625" bestFit="1" customWidth="1"/>
    <col min="14" max="14" width="27.26953125" bestFit="1" customWidth="1"/>
    <col min="15" max="15" width="6.7265625" bestFit="1" customWidth="1"/>
  </cols>
  <sheetData>
    <row r="1" spans="1:15" x14ac:dyDescent="0.35">
      <c r="A1" s="1" t="s">
        <v>241</v>
      </c>
      <c r="B1" s="1" t="s">
        <v>242</v>
      </c>
      <c r="C1" s="1" t="s">
        <v>495</v>
      </c>
      <c r="F1" s="1" t="s">
        <v>1089</v>
      </c>
      <c r="G1">
        <v>15</v>
      </c>
      <c r="I1" s="1" t="s">
        <v>1093</v>
      </c>
      <c r="J1" s="1" t="s">
        <v>1094</v>
      </c>
      <c r="K1" s="1" t="s">
        <v>1095</v>
      </c>
      <c r="M1" s="1" t="s">
        <v>1192</v>
      </c>
      <c r="N1" s="1" t="s">
        <v>1193</v>
      </c>
      <c r="O1" s="1" t="s">
        <v>136</v>
      </c>
    </row>
    <row r="2" spans="1:15" x14ac:dyDescent="0.35">
      <c r="A2">
        <v>0</v>
      </c>
      <c r="B2" t="s">
        <v>143</v>
      </c>
      <c r="F2" s="1" t="s">
        <v>1090</v>
      </c>
      <c r="G2">
        <v>5</v>
      </c>
      <c r="I2" t="s">
        <v>268</v>
      </c>
      <c r="J2">
        <v>1</v>
      </c>
      <c r="K2">
        <v>2</v>
      </c>
      <c r="M2" t="s">
        <v>1194</v>
      </c>
      <c r="N2" t="str">
        <f>IF(O2&lt;&gt;"", _xlfn.CONCAT("{BLACK}Powered by: {GOLD}",O2), "")</f>
        <v>{BLACK}Powered by: {GOLD}Diesel</v>
      </c>
      <c r="O2" t="s">
        <v>1203</v>
      </c>
    </row>
    <row r="3" spans="1:15" x14ac:dyDescent="0.35">
      <c r="A3">
        <v>3</v>
      </c>
      <c r="B3" t="s">
        <v>287</v>
      </c>
      <c r="C3" t="s">
        <v>287</v>
      </c>
      <c r="I3" t="s">
        <v>291</v>
      </c>
      <c r="J3">
        <v>0.85</v>
      </c>
      <c r="K3">
        <v>2.2999999999999998</v>
      </c>
      <c r="M3" t="s">
        <v>1195</v>
      </c>
      <c r="N3" t="str">
        <f t="shared" ref="N3:N25" si="0">IF(O3&lt;&gt;"", _xlfn.CONCAT("{BLACK}Powered by: {GOLD}",O3), "")</f>
        <v>{BLACK}Powered by: {GOLD}Steam</v>
      </c>
      <c r="O3" t="s">
        <v>1204</v>
      </c>
    </row>
    <row r="4" spans="1:15" x14ac:dyDescent="0.35">
      <c r="A4">
        <v>4</v>
      </c>
      <c r="B4" t="s">
        <v>699</v>
      </c>
      <c r="C4" t="s">
        <v>699</v>
      </c>
      <c r="I4" t="s">
        <v>267</v>
      </c>
      <c r="J4">
        <v>1.1499999999999999</v>
      </c>
      <c r="K4">
        <v>1.7</v>
      </c>
      <c r="M4" t="s">
        <v>1196</v>
      </c>
      <c r="N4" t="str">
        <f t="shared" si="0"/>
        <v>{BLACK}Powered by: {GOLD}25kV AC</v>
      </c>
      <c r="O4" t="s">
        <v>1205</v>
      </c>
    </row>
    <row r="5" spans="1:15" x14ac:dyDescent="0.35">
      <c r="A5">
        <v>5</v>
      </c>
      <c r="B5" t="s">
        <v>695</v>
      </c>
      <c r="C5" t="s">
        <v>695</v>
      </c>
      <c r="I5" t="s">
        <v>535</v>
      </c>
      <c r="J5">
        <v>0.9</v>
      </c>
      <c r="K5">
        <v>2.5</v>
      </c>
      <c r="M5" t="s">
        <v>1207</v>
      </c>
      <c r="N5" t="str">
        <f t="shared" si="0"/>
        <v>{BLACK}Powered by: {GOLD}750V DC</v>
      </c>
      <c r="O5" t="s">
        <v>1206</v>
      </c>
    </row>
    <row r="6" spans="1:15" x14ac:dyDescent="0.35">
      <c r="A6">
        <v>6</v>
      </c>
      <c r="B6" t="s">
        <v>299</v>
      </c>
      <c r="C6" t="s">
        <v>299</v>
      </c>
      <c r="I6" t="s">
        <v>546</v>
      </c>
      <c r="J6">
        <v>0.85</v>
      </c>
      <c r="K6">
        <v>2.4</v>
      </c>
      <c r="M6" t="s">
        <v>1198</v>
      </c>
      <c r="N6" t="str">
        <f t="shared" si="0"/>
        <v/>
      </c>
    </row>
    <row r="7" spans="1:15" x14ac:dyDescent="0.35">
      <c r="A7">
        <v>7</v>
      </c>
      <c r="B7" t="s">
        <v>694</v>
      </c>
      <c r="C7" t="s">
        <v>694</v>
      </c>
      <c r="I7" t="s">
        <v>1098</v>
      </c>
      <c r="J7">
        <v>1.2</v>
      </c>
      <c r="K7">
        <v>0.6</v>
      </c>
      <c r="M7" t="s">
        <v>1199</v>
      </c>
      <c r="N7" t="str">
        <f t="shared" si="0"/>
        <v/>
      </c>
    </row>
    <row r="8" spans="1:15" x14ac:dyDescent="0.35">
      <c r="A8">
        <v>8</v>
      </c>
      <c r="B8" t="s">
        <v>691</v>
      </c>
      <c r="C8" t="s">
        <v>691</v>
      </c>
      <c r="I8" t="s">
        <v>1099</v>
      </c>
      <c r="J8">
        <v>1.5</v>
      </c>
      <c r="K8">
        <v>0.7</v>
      </c>
      <c r="M8" t="s">
        <v>1200</v>
      </c>
      <c r="N8" t="str">
        <f t="shared" si="0"/>
        <v/>
      </c>
    </row>
    <row r="9" spans="1:15" x14ac:dyDescent="0.35">
      <c r="A9">
        <v>9</v>
      </c>
      <c r="B9" t="s">
        <v>693</v>
      </c>
      <c r="C9" t="s">
        <v>693</v>
      </c>
      <c r="I9" t="s">
        <v>276</v>
      </c>
      <c r="J9">
        <v>1</v>
      </c>
      <c r="K9">
        <v>0.45</v>
      </c>
      <c r="M9" t="s">
        <v>1201</v>
      </c>
      <c r="N9" t="str">
        <f t="shared" si="0"/>
        <v/>
      </c>
    </row>
    <row r="10" spans="1:15" x14ac:dyDescent="0.35">
      <c r="A10">
        <v>10</v>
      </c>
      <c r="B10" t="s">
        <v>1479</v>
      </c>
      <c r="C10" t="s">
        <v>1479</v>
      </c>
      <c r="I10" t="s">
        <v>1100</v>
      </c>
      <c r="J10">
        <v>1</v>
      </c>
      <c r="K10">
        <v>0.4</v>
      </c>
      <c r="M10" t="s">
        <v>1202</v>
      </c>
      <c r="N10" t="str">
        <f t="shared" si="0"/>
        <v/>
      </c>
    </row>
    <row r="11" spans="1:15" x14ac:dyDescent="0.35">
      <c r="A11">
        <v>11</v>
      </c>
      <c r="B11" t="s">
        <v>1480</v>
      </c>
      <c r="C11" t="s">
        <v>1480</v>
      </c>
      <c r="I11" t="s">
        <v>1101</v>
      </c>
      <c r="J11">
        <v>0.9</v>
      </c>
      <c r="K11">
        <v>1.6</v>
      </c>
      <c r="M11" t="s">
        <v>1208</v>
      </c>
      <c r="N11" t="str">
        <f t="shared" si="0"/>
        <v>{BLACK}Powered by: {GOLD}750V DC / Diesel</v>
      </c>
      <c r="O11" t="s">
        <v>1209</v>
      </c>
    </row>
    <row r="12" spans="1:15" x14ac:dyDescent="0.35">
      <c r="A12">
        <v>12</v>
      </c>
      <c r="B12" t="s">
        <v>690</v>
      </c>
      <c r="C12" t="s">
        <v>690</v>
      </c>
      <c r="I12" t="s">
        <v>286</v>
      </c>
      <c r="J12">
        <v>0</v>
      </c>
      <c r="K12">
        <v>0</v>
      </c>
      <c r="M12" t="s">
        <v>1210</v>
      </c>
      <c r="N12" t="str">
        <f t="shared" si="0"/>
        <v>{BLACK}Powered by: {GOLD}25kV AC / 750V DC</v>
      </c>
      <c r="O12" t="s">
        <v>1211</v>
      </c>
    </row>
    <row r="13" spans="1:15" x14ac:dyDescent="0.35">
      <c r="A13">
        <v>13</v>
      </c>
      <c r="B13" t="s">
        <v>696</v>
      </c>
      <c r="C13" t="s">
        <v>696</v>
      </c>
      <c r="I13" t="s">
        <v>1215</v>
      </c>
      <c r="J13">
        <v>1.05</v>
      </c>
      <c r="K13">
        <v>1.9</v>
      </c>
      <c r="M13" t="s">
        <v>1212</v>
      </c>
      <c r="N13" t="str">
        <f t="shared" si="0"/>
        <v/>
      </c>
    </row>
    <row r="14" spans="1:15" x14ac:dyDescent="0.35">
      <c r="A14">
        <v>14</v>
      </c>
      <c r="B14" t="s">
        <v>692</v>
      </c>
      <c r="C14" t="s">
        <v>692</v>
      </c>
      <c r="I14" t="s">
        <v>1301</v>
      </c>
      <c r="J14">
        <v>0.98</v>
      </c>
      <c r="K14">
        <v>1.88</v>
      </c>
      <c r="M14" t="s">
        <v>1213</v>
      </c>
      <c r="N14" t="str">
        <f t="shared" si="0"/>
        <v/>
      </c>
    </row>
    <row r="15" spans="1:15" x14ac:dyDescent="0.35">
      <c r="A15">
        <v>15</v>
      </c>
      <c r="B15" t="s">
        <v>697</v>
      </c>
      <c r="C15" t="s">
        <v>697</v>
      </c>
      <c r="I15" t="s">
        <v>1381</v>
      </c>
      <c r="J15">
        <v>0.5</v>
      </c>
      <c r="K15">
        <v>0.5</v>
      </c>
      <c r="M15" t="s">
        <v>1214</v>
      </c>
      <c r="N15" t="str">
        <f t="shared" si="0"/>
        <v/>
      </c>
    </row>
    <row r="16" spans="1:15" x14ac:dyDescent="0.35">
      <c r="A16">
        <v>16</v>
      </c>
      <c r="B16" t="s">
        <v>698</v>
      </c>
      <c r="C16" t="s">
        <v>698</v>
      </c>
      <c r="I16" t="s">
        <v>1473</v>
      </c>
      <c r="J16">
        <v>0.85</v>
      </c>
      <c r="K16">
        <v>2.2999999999999998</v>
      </c>
      <c r="M16" t="s">
        <v>1216</v>
      </c>
      <c r="N16" t="str">
        <f t="shared" si="0"/>
        <v>{BLACK}Powered by: {GOLD}Petrol</v>
      </c>
      <c r="O16" t="s">
        <v>890</v>
      </c>
    </row>
    <row r="17" spans="9:15" x14ac:dyDescent="0.35">
      <c r="I17" t="s">
        <v>1476</v>
      </c>
      <c r="J17">
        <v>1</v>
      </c>
      <c r="K17">
        <v>2</v>
      </c>
      <c r="M17" t="s">
        <v>1231</v>
      </c>
      <c r="N17" t="str">
        <f t="shared" si="0"/>
        <v>{BLACK}Powered by: {GOLD}25kV AC / Diesel</v>
      </c>
      <c r="O17" t="s">
        <v>1232</v>
      </c>
    </row>
    <row r="18" spans="9:15" x14ac:dyDescent="0.35">
      <c r="M18" t="s">
        <v>1302</v>
      </c>
      <c r="N18" t="str">
        <f t="shared" si="0"/>
        <v>{BLACK}Powered by: {GOLD}LPG / Flywheel</v>
      </c>
      <c r="O18" t="s">
        <v>1303</v>
      </c>
    </row>
    <row r="19" spans="9:15" x14ac:dyDescent="0.35">
      <c r="M19" t="s">
        <v>1376</v>
      </c>
      <c r="N19" t="str">
        <f t="shared" si="0"/>
        <v/>
      </c>
    </row>
    <row r="20" spans="9:15" x14ac:dyDescent="0.35">
      <c r="M20" t="s">
        <v>1375</v>
      </c>
      <c r="N20" t="str">
        <f t="shared" si="0"/>
        <v>{BLACK}Powered by: {GOLD}Steam</v>
      </c>
      <c r="O20" t="s">
        <v>1204</v>
      </c>
    </row>
    <row r="21" spans="9:15" x14ac:dyDescent="0.35">
      <c r="M21" t="s">
        <v>1378</v>
      </c>
      <c r="N21" t="str">
        <f t="shared" si="0"/>
        <v/>
      </c>
    </row>
    <row r="22" spans="9:15" x14ac:dyDescent="0.35">
      <c r="M22" t="s">
        <v>1383</v>
      </c>
      <c r="N22" t="str">
        <f t="shared" si="0"/>
        <v>{BLACK}Powered by: {GOLD}Grass and hay</v>
      </c>
      <c r="O22" t="s">
        <v>1382</v>
      </c>
    </row>
    <row r="23" spans="9:15" x14ac:dyDescent="0.35">
      <c r="M23" t="s">
        <v>1401</v>
      </c>
      <c r="N23" t="str">
        <f t="shared" si="0"/>
        <v>{BLACK}Powered by: {GOLD}630V DC</v>
      </c>
      <c r="O23" t="s">
        <v>1402</v>
      </c>
    </row>
    <row r="24" spans="9:15" x14ac:dyDescent="0.35">
      <c r="M24" t="s">
        <v>1439</v>
      </c>
      <c r="N24" t="str">
        <f t="shared" si="0"/>
        <v/>
      </c>
    </row>
    <row r="25" spans="9:15" x14ac:dyDescent="0.35">
      <c r="M25" t="s">
        <v>1448</v>
      </c>
      <c r="N25" t="str">
        <f t="shared" si="0"/>
        <v/>
      </c>
    </row>
    <row r="26" spans="9:15" x14ac:dyDescent="0.35">
      <c r="M26" t="s">
        <v>1474</v>
      </c>
      <c r="N26" t="str">
        <f t="shared" ref="N26" si="1">IF(O26&lt;&gt;"", _xlfn.CONCAT("{BLACK}Powered by: {GOLD}",O26), "")</f>
        <v/>
      </c>
    </row>
    <row r="27" spans="9:15" x14ac:dyDescent="0.35">
      <c r="M27" t="s">
        <v>1477</v>
      </c>
      <c r="N27" t="str">
        <f>IF(O27&lt;&gt;"", _xlfn.CONCAT("{BLACK}Powered by: {GOLD}",O27), "")</f>
        <v>{BLACK}Powered by: {GOLD}Gas Turbine</v>
      </c>
      <c r="O27" t="s">
        <v>1478</v>
      </c>
    </row>
    <row r="28" spans="9:15" x14ac:dyDescent="0.35">
      <c r="M28" t="s">
        <v>1491</v>
      </c>
      <c r="N28" t="str">
        <f>IF(O28&lt;&gt;"", _xlfn.CONCAT("{BLACK}Powered by: {GOLD}",O28), "")</f>
        <v>{BLACK}Powered by: {GOLD}750V DC / Battery</v>
      </c>
      <c r="O28" t="s">
        <v>1492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5" x14ac:dyDescent="0.35"/>
  <cols>
    <col min="1" max="1" width="10.7265625" bestFit="1" customWidth="1"/>
    <col min="2" max="2" width="10.7265625" customWidth="1"/>
    <col min="3" max="3" width="21.453125" bestFit="1" customWidth="1"/>
    <col min="4" max="4" width="21.453125" customWidth="1"/>
  </cols>
  <sheetData>
    <row r="1" spans="1:4" x14ac:dyDescent="0.35">
      <c r="A1" s="1" t="s">
        <v>294</v>
      </c>
      <c r="B1" s="1" t="s">
        <v>295</v>
      </c>
      <c r="C1" s="1" t="s">
        <v>296</v>
      </c>
      <c r="D1" s="1" t="s">
        <v>297</v>
      </c>
    </row>
    <row r="2" spans="1:4" x14ac:dyDescent="0.35">
      <c r="A2">
        <v>0</v>
      </c>
      <c r="B2">
        <f>IF(D2,D2,C2)</f>
        <v>0</v>
      </c>
      <c r="C2">
        <f>INT(A2*(256/15))</f>
        <v>0</v>
      </c>
      <c r="D2" s="1"/>
    </row>
    <row r="3" spans="1:4" x14ac:dyDescent="0.35">
      <c r="A3">
        <v>1</v>
      </c>
      <c r="B3">
        <f>IF(D3,D3,C3)</f>
        <v>17</v>
      </c>
      <c r="C3">
        <f>INT(A3*(256/15))</f>
        <v>17</v>
      </c>
    </row>
    <row r="4" spans="1:4" x14ac:dyDescent="0.35">
      <c r="A4">
        <v>2</v>
      </c>
      <c r="B4">
        <f t="shared" ref="B4:B18" si="0">IF(D4,D4,C4)</f>
        <v>34</v>
      </c>
      <c r="C4">
        <f t="shared" ref="C4:C18" si="1">INT(A4*(256/15))</f>
        <v>34</v>
      </c>
    </row>
    <row r="5" spans="1:4" x14ac:dyDescent="0.35">
      <c r="A5">
        <v>3</v>
      </c>
      <c r="B5">
        <f t="shared" si="0"/>
        <v>51</v>
      </c>
      <c r="C5">
        <f t="shared" si="1"/>
        <v>51</v>
      </c>
    </row>
    <row r="6" spans="1:4" x14ac:dyDescent="0.35">
      <c r="A6">
        <v>4</v>
      </c>
      <c r="B6">
        <f t="shared" si="0"/>
        <v>60</v>
      </c>
      <c r="C6">
        <f t="shared" si="1"/>
        <v>68</v>
      </c>
      <c r="D6">
        <v>60</v>
      </c>
    </row>
    <row r="7" spans="1:4" x14ac:dyDescent="0.35">
      <c r="A7">
        <v>5</v>
      </c>
      <c r="B7">
        <f t="shared" si="0"/>
        <v>82</v>
      </c>
      <c r="C7">
        <f t="shared" si="1"/>
        <v>85</v>
      </c>
      <c r="D7">
        <v>82</v>
      </c>
    </row>
    <row r="8" spans="1:4" x14ac:dyDescent="0.35">
      <c r="A8">
        <v>6</v>
      </c>
      <c r="B8">
        <f t="shared" si="0"/>
        <v>102</v>
      </c>
      <c r="C8">
        <f t="shared" si="1"/>
        <v>102</v>
      </c>
      <c r="D8">
        <v>102</v>
      </c>
    </row>
    <row r="9" spans="1:4" x14ac:dyDescent="0.35">
      <c r="A9">
        <v>7</v>
      </c>
      <c r="B9">
        <f t="shared" si="0"/>
        <v>120</v>
      </c>
      <c r="C9">
        <f t="shared" si="1"/>
        <v>119</v>
      </c>
      <c r="D9">
        <v>120</v>
      </c>
    </row>
    <row r="10" spans="1:4" x14ac:dyDescent="0.35">
      <c r="A10">
        <v>8</v>
      </c>
      <c r="B10">
        <f t="shared" si="0"/>
        <v>136</v>
      </c>
      <c r="C10">
        <f t="shared" si="1"/>
        <v>136</v>
      </c>
      <c r="D10">
        <v>136</v>
      </c>
    </row>
    <row r="11" spans="1:4" x14ac:dyDescent="0.35">
      <c r="A11">
        <v>9</v>
      </c>
      <c r="B11">
        <f t="shared" si="0"/>
        <v>152</v>
      </c>
      <c r="C11">
        <f t="shared" si="1"/>
        <v>153</v>
      </c>
      <c r="D11">
        <v>152</v>
      </c>
    </row>
    <row r="12" spans="1:4" x14ac:dyDescent="0.35">
      <c r="A12">
        <v>10</v>
      </c>
      <c r="B12">
        <f t="shared" si="0"/>
        <v>164</v>
      </c>
      <c r="C12">
        <f t="shared" si="1"/>
        <v>170</v>
      </c>
      <c r="D12">
        <v>164</v>
      </c>
    </row>
    <row r="13" spans="1:4" x14ac:dyDescent="0.35">
      <c r="A13">
        <v>11</v>
      </c>
      <c r="B13">
        <f t="shared" si="0"/>
        <v>186</v>
      </c>
      <c r="C13">
        <f t="shared" si="1"/>
        <v>187</v>
      </c>
      <c r="D13">
        <v>186</v>
      </c>
    </row>
    <row r="14" spans="1:4" x14ac:dyDescent="0.35">
      <c r="A14">
        <v>12</v>
      </c>
      <c r="B14">
        <f t="shared" si="0"/>
        <v>198</v>
      </c>
      <c r="C14">
        <f t="shared" si="1"/>
        <v>204</v>
      </c>
      <c r="D14">
        <v>198</v>
      </c>
    </row>
    <row r="15" spans="1:4" x14ac:dyDescent="0.35">
      <c r="A15">
        <v>13</v>
      </c>
      <c r="B15">
        <v>214</v>
      </c>
      <c r="C15">
        <f t="shared" si="1"/>
        <v>221</v>
      </c>
    </row>
    <row r="16" spans="1:4" x14ac:dyDescent="0.35">
      <c r="A16">
        <v>14</v>
      </c>
      <c r="B16">
        <f t="shared" si="0"/>
        <v>238</v>
      </c>
      <c r="C16">
        <f t="shared" si="1"/>
        <v>238</v>
      </c>
    </row>
    <row r="17" spans="1:3" x14ac:dyDescent="0.35">
      <c r="A17">
        <v>15</v>
      </c>
      <c r="B17">
        <f t="shared" si="0"/>
        <v>256</v>
      </c>
      <c r="C17">
        <f t="shared" si="1"/>
        <v>256</v>
      </c>
    </row>
    <row r="18" spans="1:3" x14ac:dyDescent="0.3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5" x14ac:dyDescent="0.35"/>
  <cols>
    <col min="1" max="1" width="11.453125" bestFit="1" customWidth="1"/>
    <col min="3" max="3" width="12" bestFit="1" customWidth="1"/>
    <col min="8" max="9" width="10.54296875" bestFit="1" customWidth="1"/>
    <col min="10" max="10" width="11.26953125" bestFit="1" customWidth="1"/>
  </cols>
  <sheetData>
    <row r="1" spans="1:21" x14ac:dyDescent="0.3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5">
      <c r="B2" t="s">
        <v>664</v>
      </c>
    </row>
    <row r="3" spans="1:21" x14ac:dyDescent="0.35">
      <c r="A3" t="s">
        <v>672</v>
      </c>
      <c r="B3" t="s">
        <v>660</v>
      </c>
      <c r="C3" t="s">
        <v>663</v>
      </c>
      <c r="D3" t="s">
        <v>663</v>
      </c>
      <c r="E3" t="s">
        <v>663</v>
      </c>
      <c r="F3" t="s">
        <v>663</v>
      </c>
      <c r="G3" t="s">
        <v>667</v>
      </c>
      <c r="H3" t="s">
        <v>666</v>
      </c>
      <c r="I3" t="s">
        <v>666</v>
      </c>
      <c r="J3" t="s">
        <v>668</v>
      </c>
      <c r="K3" t="s">
        <v>663</v>
      </c>
      <c r="L3" t="s">
        <v>663</v>
      </c>
      <c r="M3" t="s">
        <v>663</v>
      </c>
      <c r="N3" t="s">
        <v>663</v>
      </c>
      <c r="O3" t="s">
        <v>665</v>
      </c>
    </row>
    <row r="4" spans="1:21" x14ac:dyDescent="0.35">
      <c r="A4" t="s">
        <v>673</v>
      </c>
      <c r="B4">
        <v>1</v>
      </c>
      <c r="C4">
        <v>1</v>
      </c>
      <c r="D4">
        <v>0</v>
      </c>
      <c r="E4">
        <v>0</v>
      </c>
      <c r="F4">
        <v>0</v>
      </c>
      <c r="G4">
        <v>1</v>
      </c>
      <c r="H4">
        <v>1</v>
      </c>
      <c r="I4">
        <v>0</v>
      </c>
      <c r="J4">
        <v>1</v>
      </c>
      <c r="K4">
        <v>0</v>
      </c>
      <c r="L4">
        <v>0</v>
      </c>
      <c r="M4">
        <v>0</v>
      </c>
      <c r="N4">
        <v>0</v>
      </c>
      <c r="O4">
        <v>1</v>
      </c>
    </row>
    <row r="6" spans="1:21" ht="14.25" customHeight="1" x14ac:dyDescent="0.35">
      <c r="B6" t="s">
        <v>671</v>
      </c>
    </row>
    <row r="7" spans="1:21" x14ac:dyDescent="0.35">
      <c r="A7" t="s">
        <v>672</v>
      </c>
      <c r="B7" t="s">
        <v>639</v>
      </c>
      <c r="C7" t="s">
        <v>677</v>
      </c>
      <c r="D7" t="s">
        <v>676</v>
      </c>
      <c r="E7" t="s">
        <v>676</v>
      </c>
      <c r="F7" t="s">
        <v>676</v>
      </c>
      <c r="G7" t="s">
        <v>676</v>
      </c>
      <c r="H7" t="s">
        <v>678</v>
      </c>
      <c r="I7" t="s">
        <v>676</v>
      </c>
      <c r="J7" t="s">
        <v>676</v>
      </c>
      <c r="K7" t="s">
        <v>676</v>
      </c>
      <c r="L7" t="s">
        <v>676</v>
      </c>
      <c r="M7" t="s">
        <v>676</v>
      </c>
      <c r="N7" t="s">
        <v>676</v>
      </c>
      <c r="O7" t="s">
        <v>678</v>
      </c>
      <c r="P7" t="s">
        <v>676</v>
      </c>
      <c r="Q7" t="s">
        <v>676</v>
      </c>
      <c r="R7" t="s">
        <v>676</v>
      </c>
      <c r="S7" t="s">
        <v>676</v>
      </c>
      <c r="T7" t="s">
        <v>679</v>
      </c>
      <c r="U7" t="s">
        <v>680</v>
      </c>
    </row>
    <row r="8" spans="1:21" x14ac:dyDescent="0.35">
      <c r="A8" t="s">
        <v>673</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5">
      <c r="A9" t="s">
        <v>241</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5">
      <c r="A10" t="s">
        <v>674</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5">
      <c r="A11" t="s">
        <v>675</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5">
      <c r="B14" t="str">
        <f>_xlfn.TEXTJOIN(",",TRUE,  B8:U8)</f>
        <v>1,1,1,0,0,0,1,0,0,0,0,0,0,0,0,0,0,0,1,1</v>
      </c>
    </row>
    <row r="15" spans="1:21" x14ac:dyDescent="0.35">
      <c r="B15" t="str">
        <f>_xlfn.TEXTJOIN(",",TRUE,  B11:U11)</f>
        <v>4,5,4,4,5,4,4,3,4,4,3,4,4,3,4,4,3,4,4,3,4,4,3,4,4,3,4,4,3,4,4,3,4,4,3,4,4,3,4,4,3,4,4,3,4,4,3,4,4,3,4,4,3,4,4,5,4,4,5,4</v>
      </c>
    </row>
    <row r="16" spans="1:21" x14ac:dyDescent="0.35">
      <c r="B16" t="str">
        <f>_xlfn.TEXTJOIN(",",TRUE,  B10:U10)</f>
        <v>13,13,11,11,11,11,11,11,11,11,11,11,11,11,11,11,11,11,13,13</v>
      </c>
    </row>
    <row r="18" spans="1:9" x14ac:dyDescent="0.35">
      <c r="B18" t="s">
        <v>684</v>
      </c>
    </row>
    <row r="19" spans="1:9" x14ac:dyDescent="0.35">
      <c r="A19" t="s">
        <v>672</v>
      </c>
      <c r="B19" t="s">
        <v>639</v>
      </c>
      <c r="C19" t="s">
        <v>677</v>
      </c>
      <c r="D19" t="s">
        <v>676</v>
      </c>
      <c r="E19" t="s">
        <v>678</v>
      </c>
      <c r="F19" t="s">
        <v>676</v>
      </c>
      <c r="G19" t="s">
        <v>678</v>
      </c>
      <c r="H19" t="s">
        <v>679</v>
      </c>
      <c r="I19" t="s">
        <v>680</v>
      </c>
    </row>
    <row r="20" spans="1:9" x14ac:dyDescent="0.35">
      <c r="A20" t="s">
        <v>673</v>
      </c>
      <c r="B20">
        <v>0</v>
      </c>
      <c r="C20">
        <v>0</v>
      </c>
      <c r="D20">
        <v>0</v>
      </c>
      <c r="E20">
        <v>0</v>
      </c>
      <c r="F20">
        <v>0</v>
      </c>
      <c r="G20">
        <v>0</v>
      </c>
      <c r="H20">
        <v>0</v>
      </c>
      <c r="I20">
        <v>0</v>
      </c>
    </row>
    <row r="21" spans="1:9" x14ac:dyDescent="0.35">
      <c r="A21" t="s">
        <v>241</v>
      </c>
      <c r="B21">
        <v>22.15</v>
      </c>
      <c r="C21">
        <v>21.84</v>
      </c>
      <c r="D21">
        <v>18.7</v>
      </c>
      <c r="E21">
        <v>18.7</v>
      </c>
      <c r="F21">
        <v>18.7</v>
      </c>
      <c r="G21">
        <v>18.7</v>
      </c>
      <c r="H21">
        <v>21.84</v>
      </c>
      <c r="I21">
        <v>22.15</v>
      </c>
    </row>
    <row r="22" spans="1:9" x14ac:dyDescent="0.35">
      <c r="A22" t="s">
        <v>674</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5">
      <c r="A23" t="s">
        <v>675</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5">
      <c r="B25" t="str">
        <f>_xlfn.TEXTJOIN(",",TRUE,  B19:P19)</f>
        <v>eurostar,eurostar_motor,eurostar_mid,eurostar_tbk,eurostar_mid,eurostar_tbk,eurostar_motor_rev,eurostar_rear</v>
      </c>
    </row>
    <row r="26" spans="1:9" x14ac:dyDescent="0.35">
      <c r="B26" t="str">
        <f>_xlfn.TEXTJOIN(",",TRUE,  B20:P20)</f>
        <v>0,0,0,0,0,0,0,0</v>
      </c>
    </row>
    <row r="27" spans="1:9" x14ac:dyDescent="0.35">
      <c r="B27" t="str">
        <f>_xlfn.TEXTJOIN(",",TRUE,  B23:P23)</f>
        <v>4,5,4,4,5,4,4,3,4,4,3,4,4,3,4,4,3,4,4,5,4,4,5,4</v>
      </c>
    </row>
    <row r="28" spans="1:9" x14ac:dyDescent="0.35">
      <c r="B28" t="str">
        <f>_xlfn.TEXTJOIN(",",TRUE,  B22:U22)</f>
        <v>13,13,11,11,11,11,13,13</v>
      </c>
    </row>
    <row r="30" spans="1:9" x14ac:dyDescent="0.35">
      <c r="B30" t="s">
        <v>1224</v>
      </c>
    </row>
    <row r="31" spans="1:9" x14ac:dyDescent="0.35">
      <c r="A31" t="s">
        <v>672</v>
      </c>
      <c r="B31" t="s">
        <v>639</v>
      </c>
      <c r="C31" t="s">
        <v>677</v>
      </c>
      <c r="D31" t="s">
        <v>676</v>
      </c>
      <c r="E31" t="s">
        <v>679</v>
      </c>
      <c r="F31" t="s">
        <v>680</v>
      </c>
    </row>
    <row r="32" spans="1:9" x14ac:dyDescent="0.35">
      <c r="A32" t="s">
        <v>673</v>
      </c>
      <c r="B32">
        <v>0</v>
      </c>
      <c r="C32">
        <v>0</v>
      </c>
      <c r="D32">
        <v>0</v>
      </c>
      <c r="E32">
        <v>0</v>
      </c>
      <c r="F32">
        <v>0</v>
      </c>
    </row>
    <row r="33" spans="1:6" x14ac:dyDescent="0.35">
      <c r="A33" t="s">
        <v>241</v>
      </c>
      <c r="B33">
        <v>22.15</v>
      </c>
      <c r="C33">
        <v>21.84</v>
      </c>
      <c r="D33">
        <v>18.7</v>
      </c>
      <c r="E33">
        <v>21.84</v>
      </c>
      <c r="F33">
        <v>22.15</v>
      </c>
    </row>
    <row r="34" spans="1:6" x14ac:dyDescent="0.35">
      <c r="A34" t="s">
        <v>674</v>
      </c>
      <c r="B34">
        <f t="shared" ref="B34:F34" si="2">ROUND(15*((B33*10)/256),0)</f>
        <v>13</v>
      </c>
      <c r="C34">
        <f t="shared" si="2"/>
        <v>13</v>
      </c>
      <c r="D34">
        <f t="shared" si="2"/>
        <v>11</v>
      </c>
      <c r="E34">
        <f t="shared" si="2"/>
        <v>13</v>
      </c>
      <c r="F34">
        <f t="shared" si="2"/>
        <v>13</v>
      </c>
    </row>
    <row r="35" spans="1:6" x14ac:dyDescent="0.35">
      <c r="A35" t="s">
        <v>675</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5">
      <c r="B37" t="str">
        <f>_xlfn.TEXTJOIN(",",TRUE,  B31:P31)</f>
        <v>eurostar,eurostar_motor,eurostar_mid,eurostar_motor_rev,eurostar_rear</v>
      </c>
    </row>
    <row r="38" spans="1:6" x14ac:dyDescent="0.35">
      <c r="B38" t="str">
        <f>_xlfn.TEXTJOIN(",",TRUE,  B32:P32)</f>
        <v>0,0,0,0,0</v>
      </c>
    </row>
    <row r="39" spans="1:6" x14ac:dyDescent="0.35">
      <c r="B39" t="str">
        <f>_xlfn.TEXTJOIN(",",TRUE,  B35:P35)</f>
        <v>4,5,4,4,5,4,4,3,4,4,5,4,4,5,4</v>
      </c>
    </row>
    <row r="40" spans="1:6" x14ac:dyDescent="0.35">
      <c r="B40" t="str">
        <f>_xlfn.TEXTJOIN(",",TRUE,  B34:U34)</f>
        <v>13,13,11,13,13</v>
      </c>
    </row>
    <row r="42" spans="1:6" x14ac:dyDescent="0.35">
      <c r="B42" t="s">
        <v>1235</v>
      </c>
    </row>
    <row r="43" spans="1:6" x14ac:dyDescent="0.35">
      <c r="A43" t="s">
        <v>672</v>
      </c>
      <c r="B43" t="s">
        <v>1234</v>
      </c>
      <c r="C43" t="s">
        <v>1237</v>
      </c>
      <c r="D43" t="s">
        <v>1239</v>
      </c>
      <c r="E43" t="s">
        <v>1238</v>
      </c>
      <c r="F43" t="s">
        <v>1236</v>
      </c>
    </row>
    <row r="44" spans="1:6" x14ac:dyDescent="0.35">
      <c r="A44" t="s">
        <v>673</v>
      </c>
      <c r="B44">
        <v>1</v>
      </c>
      <c r="C44">
        <v>1</v>
      </c>
      <c r="D44">
        <v>1</v>
      </c>
      <c r="E44">
        <v>1</v>
      </c>
      <c r="F44">
        <v>1</v>
      </c>
    </row>
    <row r="45" spans="1:6" x14ac:dyDescent="0.35">
      <c r="A45" t="s">
        <v>241</v>
      </c>
      <c r="B45">
        <v>20.2</v>
      </c>
      <c r="C45">
        <v>15.7</v>
      </c>
      <c r="D45">
        <v>10</v>
      </c>
      <c r="E45">
        <v>15.7</v>
      </c>
      <c r="F45">
        <v>20.2</v>
      </c>
    </row>
    <row r="46" spans="1:6" x14ac:dyDescent="0.35">
      <c r="A46" t="s">
        <v>674</v>
      </c>
      <c r="B46">
        <f t="shared" ref="B46:F46" si="3">ROUND(15*((B45*10)/256),0)</f>
        <v>12</v>
      </c>
      <c r="C46">
        <f t="shared" si="3"/>
        <v>9</v>
      </c>
      <c r="D46">
        <f t="shared" si="3"/>
        <v>6</v>
      </c>
      <c r="E46">
        <f t="shared" si="3"/>
        <v>9</v>
      </c>
      <c r="F46">
        <f t="shared" si="3"/>
        <v>12</v>
      </c>
    </row>
    <row r="47" spans="1:6" x14ac:dyDescent="0.35">
      <c r="A47" t="s">
        <v>675</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5">
      <c r="B49" t="str">
        <f>_xlfn.TEXTJOIN(",",TRUE,  B43:P43)</f>
        <v>stadler_class_755,stadler_class_755_mid,stadler_class_755_motor,stadler_class_755_mid_rev,stadler_class_755_rear</v>
      </c>
    </row>
    <row r="50" spans="2:2" x14ac:dyDescent="0.35">
      <c r="B50" t="str">
        <f>_xlfn.TEXTJOIN(",",TRUE,  B44:P44)</f>
        <v>1,1,1,1,1</v>
      </c>
    </row>
    <row r="51" spans="2:2" x14ac:dyDescent="0.35">
      <c r="B51" t="str">
        <f>_xlfn.TEXTJOIN(",",TRUE,  B47:P47)</f>
        <v>4,4,4,2,5,2,2,2,2,2,5,2,4,4,4</v>
      </c>
    </row>
    <row r="52" spans="2:2" x14ac:dyDescent="0.3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5" x14ac:dyDescent="0.35"/>
  <cols>
    <col min="1" max="1" width="14.26953125" bestFit="1" customWidth="1"/>
    <col min="2" max="2" width="22.26953125" bestFit="1" customWidth="1"/>
    <col min="3" max="3" width="39.453125" bestFit="1" customWidth="1"/>
    <col min="6" max="6" width="11.54296875" bestFit="1" customWidth="1"/>
    <col min="7" max="7" width="19.81640625" bestFit="1" customWidth="1"/>
    <col min="8" max="8" width="12.81640625" bestFit="1" customWidth="1"/>
    <col min="10" max="10" width="14.453125" bestFit="1" customWidth="1"/>
  </cols>
  <sheetData>
    <row r="1" spans="1:18" x14ac:dyDescent="0.35">
      <c r="A1" s="1" t="s">
        <v>806</v>
      </c>
      <c r="B1" s="1" t="s">
        <v>805</v>
      </c>
      <c r="C1" s="1" t="s">
        <v>1032</v>
      </c>
      <c r="F1" s="1" t="s">
        <v>1040</v>
      </c>
      <c r="G1" s="1" t="s">
        <v>306</v>
      </c>
      <c r="H1" s="1" t="s">
        <v>1042</v>
      </c>
      <c r="J1" s="1" t="s">
        <v>1055</v>
      </c>
      <c r="K1" s="1" t="s">
        <v>1056</v>
      </c>
      <c r="L1" s="1" t="s">
        <v>1057</v>
      </c>
      <c r="M1" s="1" t="s">
        <v>1058</v>
      </c>
      <c r="N1" s="1" t="s">
        <v>1043</v>
      </c>
      <c r="O1" s="1" t="s">
        <v>1051</v>
      </c>
      <c r="P1" s="1" t="s">
        <v>1049</v>
      </c>
      <c r="Q1" s="1" t="s">
        <v>1047</v>
      </c>
      <c r="R1" s="1" t="s">
        <v>1083</v>
      </c>
    </row>
    <row r="2" spans="1:18" ht="15.75" customHeight="1" x14ac:dyDescent="0.35">
      <c r="A2" t="s">
        <v>852</v>
      </c>
      <c r="B2" t="s">
        <v>910</v>
      </c>
      <c r="C2" t="s">
        <v>958</v>
      </c>
      <c r="D2" t="str">
        <f t="shared" ref="D2:D33" si="0">CONCATENATE("""", A2, """,")</f>
        <v>"ACID",</v>
      </c>
      <c r="F2" t="s">
        <v>1008</v>
      </c>
      <c r="G2" s="13" t="str">
        <f>VLOOKUP(F2,A:B,2, FALSE)</f>
        <v>Batteries</v>
      </c>
      <c r="H2" s="13" t="s">
        <v>1051</v>
      </c>
      <c r="J2" t="s">
        <v>1054</v>
      </c>
      <c r="K2">
        <v>136</v>
      </c>
      <c r="L2">
        <v>38</v>
      </c>
      <c r="M2">
        <v>28</v>
      </c>
      <c r="N2">
        <f>K2/45</f>
        <v>3.0222222222222221</v>
      </c>
      <c r="O2">
        <f>K2/30</f>
        <v>4.5333333333333332</v>
      </c>
      <c r="P2">
        <f>K2/34</f>
        <v>4</v>
      </c>
      <c r="Q2">
        <f>K2/68</f>
        <v>2</v>
      </c>
      <c r="R2">
        <f>K2/60</f>
        <v>2.2666666666666666</v>
      </c>
    </row>
    <row r="3" spans="1:18" x14ac:dyDescent="0.35">
      <c r="A3" t="s">
        <v>811</v>
      </c>
      <c r="B3" t="s">
        <v>873</v>
      </c>
      <c r="C3" t="s">
        <v>930</v>
      </c>
      <c r="D3" t="str">
        <f t="shared" si="0"/>
        <v>"AORE",</v>
      </c>
      <c r="F3" t="s">
        <v>820</v>
      </c>
      <c r="G3" s="13" t="str">
        <f t="shared" ref="G3:G42" si="1">VLOOKUP(F3,A:B,2, FALSE)</f>
        <v>Bulding Materials</v>
      </c>
      <c r="H3" s="13" t="s">
        <v>1043</v>
      </c>
      <c r="J3" t="s">
        <v>1059</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5">
      <c r="A4" t="s">
        <v>1008</v>
      </c>
      <c r="B4" t="s">
        <v>1009</v>
      </c>
      <c r="C4" t="s">
        <v>934</v>
      </c>
      <c r="D4" t="str">
        <f t="shared" si="0"/>
        <v>"BATT",</v>
      </c>
      <c r="F4" t="s">
        <v>819</v>
      </c>
      <c r="G4" s="13" t="str">
        <f t="shared" si="1"/>
        <v>Beer</v>
      </c>
      <c r="H4" s="13" t="s">
        <v>1051</v>
      </c>
      <c r="J4" t="s">
        <v>1060</v>
      </c>
      <c r="K4">
        <v>136</v>
      </c>
      <c r="L4">
        <v>38</v>
      </c>
      <c r="M4">
        <v>28</v>
      </c>
      <c r="N4">
        <f t="shared" si="2"/>
        <v>3.0222222222222221</v>
      </c>
      <c r="O4">
        <f t="shared" si="3"/>
        <v>4.5333333333333332</v>
      </c>
      <c r="P4">
        <f t="shared" si="4"/>
        <v>4</v>
      </c>
      <c r="Q4">
        <f t="shared" si="5"/>
        <v>2</v>
      </c>
      <c r="R4">
        <f t="shared" si="6"/>
        <v>2.2666666666666666</v>
      </c>
    </row>
    <row r="5" spans="1:18" x14ac:dyDescent="0.35">
      <c r="A5" t="s">
        <v>820</v>
      </c>
      <c r="B5" t="s">
        <v>885</v>
      </c>
      <c r="C5" t="s">
        <v>946</v>
      </c>
      <c r="D5" t="str">
        <f t="shared" si="0"/>
        <v>"BDMT",</v>
      </c>
      <c r="F5" t="s">
        <v>947</v>
      </c>
      <c r="G5" s="13" t="str">
        <f t="shared" si="1"/>
        <v>Explosives</v>
      </c>
      <c r="H5" s="13" t="s">
        <v>1051</v>
      </c>
      <c r="J5" t="s">
        <v>1061</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5">
      <c r="A6" t="s">
        <v>943</v>
      </c>
      <c r="B6" t="s">
        <v>944</v>
      </c>
      <c r="C6" t="s">
        <v>930</v>
      </c>
      <c r="D6" t="str">
        <f t="shared" si="0"/>
        <v>"BEAN",</v>
      </c>
      <c r="F6" t="s">
        <v>849</v>
      </c>
      <c r="G6" s="13" t="str">
        <f t="shared" si="1"/>
        <v>Bricks</v>
      </c>
      <c r="H6" s="13" t="s">
        <v>1043</v>
      </c>
      <c r="J6" t="s">
        <v>1062</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5">
      <c r="A7" t="s">
        <v>819</v>
      </c>
      <c r="B7" t="s">
        <v>884</v>
      </c>
      <c r="C7" t="s">
        <v>945</v>
      </c>
      <c r="D7" t="str">
        <f t="shared" si="0"/>
        <v>"BEER",</v>
      </c>
      <c r="F7" t="s">
        <v>1010</v>
      </c>
      <c r="G7" s="13" t="str">
        <f t="shared" si="1"/>
        <v>Bubbles</v>
      </c>
      <c r="H7" s="13" t="s">
        <v>1051</v>
      </c>
      <c r="J7" t="s">
        <v>1063</v>
      </c>
      <c r="K7">
        <v>180</v>
      </c>
      <c r="L7">
        <v>38</v>
      </c>
      <c r="M7">
        <v>28</v>
      </c>
      <c r="N7">
        <f t="shared" si="2"/>
        <v>4</v>
      </c>
      <c r="O7">
        <f t="shared" si="3"/>
        <v>6</v>
      </c>
      <c r="P7">
        <f t="shared" si="4"/>
        <v>5.2941176470588234</v>
      </c>
      <c r="Q7">
        <f t="shared" si="5"/>
        <v>2.6470588235294117</v>
      </c>
      <c r="R7">
        <f t="shared" si="6"/>
        <v>3</v>
      </c>
    </row>
    <row r="8" spans="1:18" x14ac:dyDescent="0.35">
      <c r="A8" t="s">
        <v>947</v>
      </c>
      <c r="B8" t="s">
        <v>948</v>
      </c>
      <c r="C8" t="s">
        <v>949</v>
      </c>
      <c r="D8" t="str">
        <f t="shared" si="0"/>
        <v>"BOOM",</v>
      </c>
      <c r="F8" t="s">
        <v>953</v>
      </c>
      <c r="G8" s="13" t="str">
        <f t="shared" si="1"/>
        <v>Ceramics</v>
      </c>
      <c r="H8" s="13" t="s">
        <v>1051</v>
      </c>
      <c r="J8" t="s">
        <v>1064</v>
      </c>
      <c r="K8">
        <v>180</v>
      </c>
      <c r="L8">
        <v>38</v>
      </c>
      <c r="M8">
        <v>28</v>
      </c>
      <c r="N8">
        <f t="shared" si="2"/>
        <v>4</v>
      </c>
      <c r="O8">
        <f t="shared" si="3"/>
        <v>6</v>
      </c>
      <c r="P8">
        <f t="shared" si="4"/>
        <v>5.2941176470588234</v>
      </c>
      <c r="Q8">
        <f t="shared" si="5"/>
        <v>2.6470588235294117</v>
      </c>
      <c r="R8">
        <f t="shared" si="6"/>
        <v>3</v>
      </c>
    </row>
    <row r="9" spans="1:18" x14ac:dyDescent="0.35">
      <c r="A9" t="s">
        <v>849</v>
      </c>
      <c r="B9" t="s">
        <v>908</v>
      </c>
      <c r="C9" t="s">
        <v>934</v>
      </c>
      <c r="D9" t="str">
        <f t="shared" si="0"/>
        <v>"BRCK",</v>
      </c>
      <c r="F9" t="s">
        <v>825</v>
      </c>
      <c r="G9" s="13" t="str">
        <f t="shared" si="1"/>
        <v>Copper</v>
      </c>
      <c r="H9" s="13" t="s">
        <v>1048</v>
      </c>
      <c r="J9" t="s">
        <v>1065</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5">
      <c r="A10" t="s">
        <v>1010</v>
      </c>
      <c r="B10" t="s">
        <v>1011</v>
      </c>
      <c r="C10" t="s">
        <v>934</v>
      </c>
      <c r="D10" t="str">
        <f t="shared" si="0"/>
        <v>"BUBL",</v>
      </c>
      <c r="F10" t="s">
        <v>850</v>
      </c>
      <c r="G10" s="13" t="str">
        <f t="shared" si="1"/>
        <v>Cast Iron</v>
      </c>
      <c r="H10" s="13" t="s">
        <v>1048</v>
      </c>
    </row>
    <row r="11" spans="1:18" x14ac:dyDescent="0.35">
      <c r="A11" t="s">
        <v>864</v>
      </c>
      <c r="B11" t="s">
        <v>921</v>
      </c>
      <c r="C11" t="s">
        <v>930</v>
      </c>
      <c r="D11" t="str">
        <f t="shared" si="0"/>
        <v>"CASS",</v>
      </c>
      <c r="F11" t="s">
        <v>1015</v>
      </c>
      <c r="G11" s="13" t="str">
        <f t="shared" si="1"/>
        <v>Fizzy Drinks</v>
      </c>
      <c r="H11" s="13" t="s">
        <v>1051</v>
      </c>
    </row>
    <row r="12" spans="1:18" x14ac:dyDescent="0.35">
      <c r="A12" t="s">
        <v>950</v>
      </c>
      <c r="B12" t="s">
        <v>951</v>
      </c>
      <c r="C12" t="s">
        <v>952</v>
      </c>
      <c r="D12" t="str">
        <f t="shared" si="0"/>
        <v>"CBLK",</v>
      </c>
      <c r="F12" t="s">
        <v>856</v>
      </c>
      <c r="G12" s="13" t="str">
        <f t="shared" si="1"/>
        <v>Iron</v>
      </c>
      <c r="H12" s="13" t="s">
        <v>1048</v>
      </c>
    </row>
    <row r="13" spans="1:18" x14ac:dyDescent="0.35">
      <c r="A13" t="s">
        <v>953</v>
      </c>
      <c r="B13" t="s">
        <v>954</v>
      </c>
      <c r="C13" t="s">
        <v>934</v>
      </c>
      <c r="D13" t="str">
        <f t="shared" si="0"/>
        <v>"CERA",</v>
      </c>
      <c r="F13" t="s">
        <v>848</v>
      </c>
      <c r="G13" s="13" t="str">
        <f t="shared" si="1"/>
        <v>Coffee</v>
      </c>
      <c r="H13" s="13" t="s">
        <v>1051</v>
      </c>
    </row>
    <row r="14" spans="1:18" x14ac:dyDescent="0.35">
      <c r="A14" t="s">
        <v>832</v>
      </c>
      <c r="B14" t="s">
        <v>925</v>
      </c>
      <c r="C14" t="s">
        <v>955</v>
      </c>
      <c r="D14" t="str">
        <f t="shared" si="0"/>
        <v>"CERE",</v>
      </c>
      <c r="F14" t="s">
        <v>846</v>
      </c>
      <c r="G14" s="13" t="str">
        <f t="shared" si="1"/>
        <v>Metal</v>
      </c>
      <c r="H14" s="13" t="s">
        <v>1048</v>
      </c>
    </row>
    <row r="15" spans="1:18" x14ac:dyDescent="0.35">
      <c r="A15" t="s">
        <v>853</v>
      </c>
      <c r="B15" t="s">
        <v>909</v>
      </c>
      <c r="C15" t="s">
        <v>958</v>
      </c>
      <c r="D15" t="str">
        <f t="shared" si="0"/>
        <v>"CHLO",</v>
      </c>
      <c r="F15" t="s">
        <v>991</v>
      </c>
      <c r="G15" s="13" t="str">
        <f t="shared" si="1"/>
        <v>Nuts</v>
      </c>
      <c r="H15" s="13" t="s">
        <v>1051</v>
      </c>
    </row>
    <row r="16" spans="1:18" x14ac:dyDescent="0.35">
      <c r="A16" t="s">
        <v>813</v>
      </c>
      <c r="B16" t="s">
        <v>875</v>
      </c>
      <c r="C16" t="s">
        <v>956</v>
      </c>
      <c r="D16" t="str">
        <f t="shared" si="0"/>
        <v>"CLAY",</v>
      </c>
      <c r="F16" t="s">
        <v>822</v>
      </c>
      <c r="G16" s="13" t="str">
        <f t="shared" si="1"/>
        <v>Paper</v>
      </c>
      <c r="H16" s="13" t="s">
        <v>1051</v>
      </c>
    </row>
    <row r="17" spans="1:8" x14ac:dyDescent="0.35">
      <c r="A17" t="s">
        <v>855</v>
      </c>
      <c r="B17" t="s">
        <v>916</v>
      </c>
      <c r="C17" t="s">
        <v>956</v>
      </c>
      <c r="D17" t="str">
        <f t="shared" si="0"/>
        <v>"CMNT",</v>
      </c>
      <c r="F17" t="s">
        <v>993</v>
      </c>
      <c r="G17" s="13" t="str">
        <f t="shared" si="1"/>
        <v>Pipe</v>
      </c>
      <c r="H17" s="13" t="s">
        <v>1044</v>
      </c>
    </row>
    <row r="18" spans="1:8" x14ac:dyDescent="0.35">
      <c r="A18" t="s">
        <v>706</v>
      </c>
      <c r="B18" t="s">
        <v>869</v>
      </c>
      <c r="C18" t="s">
        <v>930</v>
      </c>
      <c r="D18" t="str">
        <f t="shared" si="0"/>
        <v>"COAL",</v>
      </c>
      <c r="F18" t="s">
        <v>995</v>
      </c>
      <c r="G18" s="13" t="str">
        <f t="shared" si="1"/>
        <v>Electrical Equipment</v>
      </c>
      <c r="H18" s="13" t="s">
        <v>1051</v>
      </c>
    </row>
    <row r="19" spans="1:8" x14ac:dyDescent="0.35">
      <c r="A19" t="s">
        <v>854</v>
      </c>
      <c r="B19" t="s">
        <v>911</v>
      </c>
      <c r="C19" t="s">
        <v>930</v>
      </c>
      <c r="D19" t="str">
        <f t="shared" si="0"/>
        <v>"COKE",</v>
      </c>
      <c r="F19" t="s">
        <v>997</v>
      </c>
      <c r="G19" s="13" t="str">
        <f t="shared" si="1"/>
        <v>Alloy Steel</v>
      </c>
      <c r="H19" s="13" t="s">
        <v>1048</v>
      </c>
    </row>
    <row r="20" spans="1:8" x14ac:dyDescent="0.35">
      <c r="A20" t="s">
        <v>1012</v>
      </c>
      <c r="B20" t="s">
        <v>1013</v>
      </c>
      <c r="C20" t="s">
        <v>932</v>
      </c>
      <c r="D20" t="str">
        <f t="shared" si="0"/>
        <v>"COLA",</v>
      </c>
      <c r="F20" t="s">
        <v>999</v>
      </c>
      <c r="G20" s="13" t="str">
        <f t="shared" si="1"/>
        <v>Carbon Steel</v>
      </c>
      <c r="H20" s="13" t="s">
        <v>1048</v>
      </c>
    </row>
    <row r="21" spans="1:8" x14ac:dyDescent="0.35">
      <c r="A21" t="s">
        <v>825</v>
      </c>
      <c r="B21" t="s">
        <v>957</v>
      </c>
      <c r="C21" t="s">
        <v>934</v>
      </c>
      <c r="D21" t="str">
        <f t="shared" si="0"/>
        <v>"COPR",</v>
      </c>
      <c r="F21" t="s">
        <v>785</v>
      </c>
      <c r="G21" s="13" t="str">
        <f t="shared" si="1"/>
        <v>Steel</v>
      </c>
      <c r="H21" s="13" t="s">
        <v>1048</v>
      </c>
    </row>
    <row r="22" spans="1:8" x14ac:dyDescent="0.35">
      <c r="A22" t="s">
        <v>812</v>
      </c>
      <c r="B22" t="s">
        <v>874</v>
      </c>
      <c r="C22" t="s">
        <v>930</v>
      </c>
      <c r="D22" t="str">
        <f t="shared" si="0"/>
        <v>"CORE",</v>
      </c>
      <c r="F22" t="s">
        <v>1001</v>
      </c>
      <c r="G22" s="13" t="str">
        <f t="shared" si="1"/>
        <v>Stainless Steel</v>
      </c>
      <c r="H22" s="13" t="s">
        <v>1048</v>
      </c>
    </row>
    <row r="23" spans="1:8" x14ac:dyDescent="0.35">
      <c r="A23" t="s">
        <v>850</v>
      </c>
      <c r="B23" t="s">
        <v>926</v>
      </c>
      <c r="C23" t="s">
        <v>934</v>
      </c>
      <c r="D23" t="str">
        <f t="shared" si="0"/>
        <v>"CSTI",</v>
      </c>
      <c r="F23" t="s">
        <v>1021</v>
      </c>
      <c r="G23" s="13" t="str">
        <f t="shared" si="1"/>
        <v>Toys</v>
      </c>
      <c r="H23" s="13" t="s">
        <v>1051</v>
      </c>
    </row>
    <row r="24" spans="1:8" x14ac:dyDescent="0.35">
      <c r="A24" t="s">
        <v>851</v>
      </c>
      <c r="B24" t="s">
        <v>927</v>
      </c>
      <c r="C24" t="s">
        <v>958</v>
      </c>
      <c r="D24" t="str">
        <f t="shared" si="0"/>
        <v>"CTAR",</v>
      </c>
      <c r="F24" t="s">
        <v>983</v>
      </c>
      <c r="G24" s="13" t="str">
        <f t="shared" si="1"/>
        <v>Tyres</v>
      </c>
      <c r="H24" s="13" t="s">
        <v>1052</v>
      </c>
    </row>
    <row r="25" spans="1:8" x14ac:dyDescent="0.35">
      <c r="A25" t="s">
        <v>1014</v>
      </c>
      <c r="B25" t="s">
        <v>1028</v>
      </c>
      <c r="C25" t="s">
        <v>930</v>
      </c>
      <c r="D25" t="str">
        <f t="shared" si="0"/>
        <v>"CTCD",</v>
      </c>
      <c r="F25" t="s">
        <v>1003</v>
      </c>
      <c r="G25" s="13" t="str">
        <f t="shared" si="1"/>
        <v>Vehicle Bodies</v>
      </c>
      <c r="H25" s="13" t="s">
        <v>1053</v>
      </c>
    </row>
    <row r="26" spans="1:8" x14ac:dyDescent="0.35">
      <c r="A26" t="s">
        <v>941</v>
      </c>
      <c r="B26" t="s">
        <v>942</v>
      </c>
      <c r="C26" t="s">
        <v>936</v>
      </c>
      <c r="D26" t="str">
        <f t="shared" si="0"/>
        <v>"DIAM",</v>
      </c>
      <c r="F26" t="s">
        <v>1004</v>
      </c>
      <c r="G26" s="13" t="str">
        <f t="shared" si="1"/>
        <v>Vehicle Engines</v>
      </c>
      <c r="H26" s="13" t="s">
        <v>1051</v>
      </c>
    </row>
    <row r="27" spans="1:8" x14ac:dyDescent="0.35">
      <c r="A27" t="s">
        <v>826</v>
      </c>
      <c r="B27" t="s">
        <v>888</v>
      </c>
      <c r="C27" t="s">
        <v>959</v>
      </c>
      <c r="D27" t="str">
        <f t="shared" si="0"/>
        <v>"DYES",</v>
      </c>
      <c r="F27" t="s">
        <v>405</v>
      </c>
      <c r="G27" s="13" t="str">
        <f t="shared" si="1"/>
        <v>Wood</v>
      </c>
      <c r="H27" s="13" t="s">
        <v>1045</v>
      </c>
    </row>
    <row r="28" spans="1:8" x14ac:dyDescent="0.35">
      <c r="A28" t="s">
        <v>818</v>
      </c>
      <c r="B28" t="s">
        <v>883</v>
      </c>
      <c r="C28" t="s">
        <v>949</v>
      </c>
      <c r="D28" t="str">
        <f t="shared" si="0"/>
        <v>"ENSP",</v>
      </c>
      <c r="F28" t="s">
        <v>861</v>
      </c>
      <c r="G28" s="13" t="str">
        <f t="shared" si="1"/>
        <v>Zinc</v>
      </c>
      <c r="H28" s="13" t="s">
        <v>1048</v>
      </c>
    </row>
    <row r="29" spans="1:8" x14ac:dyDescent="0.35">
      <c r="A29" t="s">
        <v>988</v>
      </c>
      <c r="B29" t="s">
        <v>989</v>
      </c>
      <c r="C29" t="s">
        <v>959</v>
      </c>
      <c r="D29" t="str">
        <f t="shared" si="0"/>
        <v>"EOIL",</v>
      </c>
      <c r="F29" t="s">
        <v>818</v>
      </c>
      <c r="G29" s="13" t="str">
        <f t="shared" si="1"/>
        <v>Engineering Supplies</v>
      </c>
      <c r="H29" s="13" t="s">
        <v>1046</v>
      </c>
    </row>
    <row r="30" spans="1:8" x14ac:dyDescent="0.35">
      <c r="A30" t="s">
        <v>960</v>
      </c>
      <c r="B30" t="s">
        <v>961</v>
      </c>
      <c r="C30" t="s">
        <v>930</v>
      </c>
      <c r="D30" t="str">
        <f t="shared" si="0"/>
        <v>"FECR",</v>
      </c>
      <c r="F30" t="s">
        <v>817</v>
      </c>
      <c r="G30" s="13" t="str">
        <f t="shared" si="1"/>
        <v>Farm Supplies</v>
      </c>
      <c r="H30" s="13" t="s">
        <v>1047</v>
      </c>
    </row>
    <row r="31" spans="1:8" x14ac:dyDescent="0.35">
      <c r="A31" t="s">
        <v>962</v>
      </c>
      <c r="B31" t="s">
        <v>963</v>
      </c>
      <c r="C31" t="s">
        <v>964</v>
      </c>
      <c r="D31" t="str">
        <f t="shared" si="0"/>
        <v>"FERT",</v>
      </c>
      <c r="F31" t="s">
        <v>1006</v>
      </c>
      <c r="G31" s="13" t="str">
        <f t="shared" si="1"/>
        <v>Vehicle Parts</v>
      </c>
      <c r="H31" s="13" t="s">
        <v>1051</v>
      </c>
    </row>
    <row r="32" spans="1:8" x14ac:dyDescent="0.35">
      <c r="A32" t="s">
        <v>833</v>
      </c>
      <c r="B32" t="s">
        <v>922</v>
      </c>
      <c r="C32" t="s">
        <v>964</v>
      </c>
      <c r="D32" t="str">
        <f t="shared" si="0"/>
        <v>"FICR",</v>
      </c>
      <c r="F32" t="s">
        <v>823</v>
      </c>
      <c r="G32" s="13" t="str">
        <f t="shared" si="1"/>
        <v>Timber</v>
      </c>
      <c r="H32" s="13" t="s">
        <v>1049</v>
      </c>
    </row>
    <row r="33" spans="1:8" x14ac:dyDescent="0.35">
      <c r="A33" t="s">
        <v>831</v>
      </c>
      <c r="B33" t="s">
        <v>893</v>
      </c>
      <c r="C33" t="s">
        <v>937</v>
      </c>
      <c r="D33" t="str">
        <f t="shared" si="0"/>
        <v>"FISH",</v>
      </c>
      <c r="F33" t="s">
        <v>829</v>
      </c>
      <c r="G33" s="13" t="str">
        <f t="shared" si="1"/>
        <v>Plastics</v>
      </c>
      <c r="H33" s="13" t="s">
        <v>1051</v>
      </c>
    </row>
    <row r="34" spans="1:8" x14ac:dyDescent="0.35">
      <c r="A34" t="s">
        <v>817</v>
      </c>
      <c r="B34" t="s">
        <v>882</v>
      </c>
      <c r="C34" t="s">
        <v>949</v>
      </c>
      <c r="D34" t="str">
        <f t="shared" ref="D34:D65" si="7">CONCATENATE("""", A34, """,")</f>
        <v>"FMSP",</v>
      </c>
      <c r="F34" t="s">
        <v>826</v>
      </c>
      <c r="G34" s="13" t="str">
        <f t="shared" si="1"/>
        <v>Dyes</v>
      </c>
      <c r="H34" s="13" t="s">
        <v>1051</v>
      </c>
    </row>
    <row r="35" spans="1:8" x14ac:dyDescent="0.35">
      <c r="A35" t="s">
        <v>816</v>
      </c>
      <c r="B35" t="s">
        <v>880</v>
      </c>
      <c r="C35" t="s">
        <v>937</v>
      </c>
      <c r="D35" t="str">
        <f t="shared" si="7"/>
        <v>"FOOD",</v>
      </c>
      <c r="F35" t="s">
        <v>824</v>
      </c>
      <c r="G35" s="13" t="str">
        <f t="shared" si="1"/>
        <v>Vehicles</v>
      </c>
      <c r="H35" s="13" t="s">
        <v>1050</v>
      </c>
    </row>
    <row r="36" spans="1:8" x14ac:dyDescent="0.35">
      <c r="A36" t="s">
        <v>835</v>
      </c>
      <c r="B36" t="s">
        <v>899</v>
      </c>
      <c r="C36" t="s">
        <v>940</v>
      </c>
      <c r="D36" t="str">
        <f t="shared" si="7"/>
        <v>"FRUT",</v>
      </c>
      <c r="F36" t="s">
        <v>833</v>
      </c>
      <c r="G36" s="13" t="str">
        <f t="shared" si="1"/>
        <v>Fibre Crops</v>
      </c>
      <c r="H36" s="13" t="s">
        <v>1051</v>
      </c>
    </row>
    <row r="37" spans="1:8" x14ac:dyDescent="0.35">
      <c r="A37" t="s">
        <v>834</v>
      </c>
      <c r="B37" t="s">
        <v>923</v>
      </c>
      <c r="C37" t="s">
        <v>1025</v>
      </c>
      <c r="D37" t="str">
        <f t="shared" si="7"/>
        <v>"FRVG",</v>
      </c>
      <c r="F37" t="s">
        <v>821</v>
      </c>
      <c r="G37" s="13" t="str">
        <f t="shared" si="1"/>
        <v>Packaging</v>
      </c>
      <c r="H37" s="13" t="s">
        <v>1051</v>
      </c>
    </row>
    <row r="38" spans="1:8" x14ac:dyDescent="0.35">
      <c r="A38" t="s">
        <v>1015</v>
      </c>
      <c r="B38" t="s">
        <v>1016</v>
      </c>
      <c r="C38" t="s">
        <v>934</v>
      </c>
      <c r="D38" t="str">
        <f t="shared" si="7"/>
        <v>"FZDR",</v>
      </c>
      <c r="F38" t="s">
        <v>1079</v>
      </c>
      <c r="G38" s="13" t="str">
        <f t="shared" si="1"/>
        <v>Steel Sheet</v>
      </c>
      <c r="H38" s="13"/>
    </row>
    <row r="39" spans="1:8" x14ac:dyDescent="0.35">
      <c r="A39" t="s">
        <v>938</v>
      </c>
      <c r="B39" t="s">
        <v>939</v>
      </c>
      <c r="C39" t="s">
        <v>936</v>
      </c>
      <c r="D39" t="str">
        <f t="shared" si="7"/>
        <v>"GOLD",</v>
      </c>
      <c r="F39" t="s">
        <v>1081</v>
      </c>
      <c r="G39" s="13" t="str">
        <f t="shared" si="1"/>
        <v>Steel Wire Rod</v>
      </c>
      <c r="H39" s="13"/>
    </row>
    <row r="40" spans="1:8" x14ac:dyDescent="0.35">
      <c r="A40" t="s">
        <v>281</v>
      </c>
      <c r="B40" t="s">
        <v>879</v>
      </c>
      <c r="C40" t="s">
        <v>935</v>
      </c>
      <c r="D40" t="str">
        <f t="shared" si="7"/>
        <v>"GOOD",</v>
      </c>
      <c r="F40" t="s">
        <v>1078</v>
      </c>
      <c r="G40" s="13" t="str">
        <f t="shared" si="1"/>
        <v>Rebar</v>
      </c>
      <c r="H40" s="13"/>
    </row>
    <row r="41" spans="1:8" x14ac:dyDescent="0.35">
      <c r="A41" t="s">
        <v>836</v>
      </c>
      <c r="B41" t="s">
        <v>898</v>
      </c>
      <c r="C41" t="s">
        <v>930</v>
      </c>
      <c r="D41" t="str">
        <f t="shared" si="7"/>
        <v>"GRAI",</v>
      </c>
      <c r="F41" s="13" t="s">
        <v>1069</v>
      </c>
      <c r="G41" s="13" t="str">
        <f t="shared" si="1"/>
        <v>Cleaning Agents</v>
      </c>
      <c r="H41" s="13" t="s">
        <v>1051</v>
      </c>
    </row>
    <row r="42" spans="1:8" x14ac:dyDescent="0.35">
      <c r="A42" t="s">
        <v>809</v>
      </c>
      <c r="B42" t="s">
        <v>871</v>
      </c>
      <c r="C42" t="s">
        <v>930</v>
      </c>
      <c r="D42" t="str">
        <f t="shared" si="7"/>
        <v>"GRVL",</v>
      </c>
      <c r="F42" s="13" t="s">
        <v>1076</v>
      </c>
      <c r="G42" s="13" t="str">
        <f t="shared" si="1"/>
        <v>Paints and coatings</v>
      </c>
      <c r="H42" s="13" t="s">
        <v>1051</v>
      </c>
    </row>
    <row r="43" spans="1:8" x14ac:dyDescent="0.35">
      <c r="A43" t="s">
        <v>808</v>
      </c>
      <c r="B43" t="s">
        <v>870</v>
      </c>
      <c r="C43" t="s">
        <v>930</v>
      </c>
      <c r="D43" t="str">
        <f t="shared" si="7"/>
        <v>"IORE",</v>
      </c>
    </row>
    <row r="44" spans="1:8" x14ac:dyDescent="0.35">
      <c r="A44" t="s">
        <v>856</v>
      </c>
      <c r="B44" t="s">
        <v>912</v>
      </c>
      <c r="C44" t="s">
        <v>934</v>
      </c>
      <c r="D44" t="str">
        <f t="shared" si="7"/>
        <v>"IRON",</v>
      </c>
    </row>
    <row r="45" spans="1:8" x14ac:dyDescent="0.35">
      <c r="A45" t="s">
        <v>848</v>
      </c>
      <c r="B45" t="s">
        <v>907</v>
      </c>
      <c r="C45" t="s">
        <v>934</v>
      </c>
      <c r="D45" t="str">
        <f t="shared" si="7"/>
        <v>"JAVA",</v>
      </c>
    </row>
    <row r="46" spans="1:8" x14ac:dyDescent="0.35">
      <c r="A46" t="s">
        <v>966</v>
      </c>
      <c r="B46" t="s">
        <v>1026</v>
      </c>
      <c r="C46" t="s">
        <v>967</v>
      </c>
      <c r="D46" t="str">
        <f t="shared" si="7"/>
        <v>"KAOL",</v>
      </c>
    </row>
    <row r="47" spans="1:8" x14ac:dyDescent="0.35">
      <c r="A47" t="s">
        <v>815</v>
      </c>
      <c r="B47" t="s">
        <v>878</v>
      </c>
      <c r="C47" t="s">
        <v>930</v>
      </c>
      <c r="D47" t="str">
        <f t="shared" si="7"/>
        <v>"LIME",</v>
      </c>
    </row>
    <row r="48" spans="1:8" x14ac:dyDescent="0.35">
      <c r="A48" t="s">
        <v>745</v>
      </c>
      <c r="B48" t="s">
        <v>897</v>
      </c>
      <c r="C48" t="s">
        <v>934</v>
      </c>
      <c r="D48" t="str">
        <f t="shared" si="7"/>
        <v>"LVST",</v>
      </c>
    </row>
    <row r="49" spans="1:4" x14ac:dyDescent="0.35">
      <c r="A49" t="s">
        <v>644</v>
      </c>
      <c r="B49" t="s">
        <v>868</v>
      </c>
      <c r="C49" t="s">
        <v>931</v>
      </c>
      <c r="D49" t="str">
        <f t="shared" si="7"/>
        <v>"MAIL",</v>
      </c>
    </row>
    <row r="50" spans="1:4" x14ac:dyDescent="0.35">
      <c r="A50" t="s">
        <v>837</v>
      </c>
      <c r="B50" t="s">
        <v>896</v>
      </c>
      <c r="C50" t="s">
        <v>930</v>
      </c>
      <c r="D50" t="str">
        <f t="shared" si="7"/>
        <v>"MAIZ",</v>
      </c>
    </row>
    <row r="51" spans="1:4" x14ac:dyDescent="0.35">
      <c r="A51" t="s">
        <v>846</v>
      </c>
      <c r="B51" t="s">
        <v>905</v>
      </c>
      <c r="C51" t="s">
        <v>934</v>
      </c>
      <c r="D51" t="str">
        <f t="shared" si="7"/>
        <v>"METL",</v>
      </c>
    </row>
    <row r="52" spans="1:4" x14ac:dyDescent="0.35">
      <c r="A52" t="s">
        <v>838</v>
      </c>
      <c r="B52" t="s">
        <v>894</v>
      </c>
      <c r="C52" t="s">
        <v>968</v>
      </c>
      <c r="D52" t="str">
        <f t="shared" si="7"/>
        <v>"MILK",</v>
      </c>
    </row>
    <row r="53" spans="1:4" x14ac:dyDescent="0.35">
      <c r="A53" t="s">
        <v>865</v>
      </c>
      <c r="B53" t="s">
        <v>917</v>
      </c>
      <c r="C53" t="s">
        <v>930</v>
      </c>
      <c r="D53" t="str">
        <f t="shared" si="7"/>
        <v>"MNO2",</v>
      </c>
    </row>
    <row r="54" spans="1:4" x14ac:dyDescent="0.35">
      <c r="A54" t="s">
        <v>821</v>
      </c>
      <c r="B54" t="s">
        <v>1066</v>
      </c>
      <c r="C54" t="s">
        <v>990</v>
      </c>
      <c r="D54" t="str">
        <f t="shared" si="7"/>
        <v>"MNSP",</v>
      </c>
    </row>
    <row r="55" spans="1:4" x14ac:dyDescent="0.35">
      <c r="A55" t="s">
        <v>969</v>
      </c>
      <c r="B55" t="s">
        <v>970</v>
      </c>
      <c r="C55" t="s">
        <v>930</v>
      </c>
      <c r="D55" t="str">
        <f t="shared" si="7"/>
        <v>"NITR",</v>
      </c>
    </row>
    <row r="56" spans="1:4" x14ac:dyDescent="0.35">
      <c r="A56" t="s">
        <v>991</v>
      </c>
      <c r="B56" t="s">
        <v>992</v>
      </c>
      <c r="C56" t="s">
        <v>934</v>
      </c>
      <c r="D56" t="str">
        <f t="shared" si="7"/>
        <v>"NUTS",</v>
      </c>
    </row>
    <row r="57" spans="1:4" x14ac:dyDescent="0.35">
      <c r="A57" t="s">
        <v>279</v>
      </c>
      <c r="B57" t="s">
        <v>889</v>
      </c>
      <c r="C57" t="s">
        <v>932</v>
      </c>
      <c r="D57" t="str">
        <f t="shared" si="7"/>
        <v>"OIL_",</v>
      </c>
    </row>
    <row r="58" spans="1:4" x14ac:dyDescent="0.35">
      <c r="A58" t="s">
        <v>844</v>
      </c>
      <c r="B58" t="s">
        <v>924</v>
      </c>
      <c r="C58" t="s">
        <v>955</v>
      </c>
      <c r="D58" t="str">
        <f t="shared" si="7"/>
        <v>"OLSD",</v>
      </c>
    </row>
    <row r="59" spans="1:4" x14ac:dyDescent="0.35">
      <c r="A59" t="s">
        <v>822</v>
      </c>
      <c r="B59" t="s">
        <v>886</v>
      </c>
      <c r="C59" t="s">
        <v>934</v>
      </c>
      <c r="D59" t="str">
        <f t="shared" si="7"/>
        <v>"PAPR",</v>
      </c>
    </row>
    <row r="60" spans="1:4" x14ac:dyDescent="0.35">
      <c r="A60" t="s">
        <v>278</v>
      </c>
      <c r="B60" t="s">
        <v>866</v>
      </c>
      <c r="C60" t="s">
        <v>929</v>
      </c>
      <c r="D60" t="str">
        <f t="shared" si="7"/>
        <v>"PASS",</v>
      </c>
    </row>
    <row r="61" spans="1:4" x14ac:dyDescent="0.35">
      <c r="A61" t="s">
        <v>971</v>
      </c>
      <c r="B61" t="s">
        <v>972</v>
      </c>
      <c r="C61" t="s">
        <v>930</v>
      </c>
      <c r="D61" t="str">
        <f t="shared" si="7"/>
        <v>"PEAT",</v>
      </c>
    </row>
    <row r="62" spans="1:4" x14ac:dyDescent="0.35">
      <c r="A62" t="s">
        <v>828</v>
      </c>
      <c r="B62" t="s">
        <v>890</v>
      </c>
      <c r="C62" t="s">
        <v>932</v>
      </c>
      <c r="D62" t="str">
        <f t="shared" si="7"/>
        <v>"PETR",</v>
      </c>
    </row>
    <row r="63" spans="1:4" x14ac:dyDescent="0.35">
      <c r="A63" t="s">
        <v>973</v>
      </c>
      <c r="B63" t="s">
        <v>974</v>
      </c>
      <c r="C63" t="s">
        <v>930</v>
      </c>
      <c r="D63" t="str">
        <f t="shared" si="7"/>
        <v>"PHOS",</v>
      </c>
    </row>
    <row r="64" spans="1:4" x14ac:dyDescent="0.35">
      <c r="A64" t="s">
        <v>993</v>
      </c>
      <c r="B64" t="s">
        <v>994</v>
      </c>
      <c r="C64" t="s">
        <v>934</v>
      </c>
      <c r="D64" t="str">
        <f t="shared" si="7"/>
        <v>"PIPE",</v>
      </c>
    </row>
    <row r="65" spans="1:4" x14ac:dyDescent="0.35">
      <c r="A65" t="s">
        <v>829</v>
      </c>
      <c r="B65" t="s">
        <v>891</v>
      </c>
      <c r="C65" t="s">
        <v>976</v>
      </c>
      <c r="D65" t="str">
        <f t="shared" si="7"/>
        <v>"PLAS",</v>
      </c>
    </row>
    <row r="66" spans="1:4" x14ac:dyDescent="0.35">
      <c r="A66" t="s">
        <v>1017</v>
      </c>
      <c r="B66" t="s">
        <v>975</v>
      </c>
      <c r="C66" t="s">
        <v>932</v>
      </c>
      <c r="D66" t="str">
        <f t="shared" ref="D66:D97" si="8">CONCATENATE("""", A66, """,")</f>
        <v>"PLST",</v>
      </c>
    </row>
    <row r="67" spans="1:4" x14ac:dyDescent="0.35">
      <c r="A67" t="s">
        <v>977</v>
      </c>
      <c r="B67" t="s">
        <v>978</v>
      </c>
      <c r="C67" t="s">
        <v>930</v>
      </c>
      <c r="D67" t="str">
        <f t="shared" si="8"/>
        <v>"PORE",</v>
      </c>
    </row>
    <row r="68" spans="1:4" x14ac:dyDescent="0.35">
      <c r="A68" t="s">
        <v>979</v>
      </c>
      <c r="B68" t="s">
        <v>980</v>
      </c>
      <c r="C68" t="s">
        <v>955</v>
      </c>
      <c r="D68" t="str">
        <f t="shared" si="8"/>
        <v>"POTA",</v>
      </c>
    </row>
    <row r="69" spans="1:4" x14ac:dyDescent="0.35">
      <c r="A69" t="s">
        <v>995</v>
      </c>
      <c r="B69" t="s">
        <v>1073</v>
      </c>
      <c r="C69" t="s">
        <v>934</v>
      </c>
      <c r="D69" t="str">
        <f t="shared" si="8"/>
        <v>"POWR",</v>
      </c>
    </row>
    <row r="70" spans="1:4" x14ac:dyDescent="0.35">
      <c r="A70" t="s">
        <v>857</v>
      </c>
      <c r="B70" t="s">
        <v>918</v>
      </c>
      <c r="C70" t="s">
        <v>955</v>
      </c>
      <c r="D70" t="str">
        <f t="shared" si="8"/>
        <v>"QLME",</v>
      </c>
    </row>
    <row r="71" spans="1:4" x14ac:dyDescent="0.35">
      <c r="A71" t="s">
        <v>863</v>
      </c>
      <c r="B71" t="s">
        <v>920</v>
      </c>
      <c r="C71" t="s">
        <v>996</v>
      </c>
      <c r="D71" t="str">
        <f t="shared" si="8"/>
        <v>"RCYC",</v>
      </c>
    </row>
    <row r="72" spans="1:4" x14ac:dyDescent="0.35">
      <c r="A72" t="s">
        <v>827</v>
      </c>
      <c r="B72" t="s">
        <v>1072</v>
      </c>
      <c r="C72" t="s">
        <v>932</v>
      </c>
      <c r="D72" t="str">
        <f t="shared" si="8"/>
        <v>"RFPR",</v>
      </c>
    </row>
    <row r="73" spans="1:4" x14ac:dyDescent="0.35">
      <c r="A73" t="s">
        <v>839</v>
      </c>
      <c r="B73" t="s">
        <v>900</v>
      </c>
      <c r="C73" t="s">
        <v>932</v>
      </c>
      <c r="D73" t="str">
        <f t="shared" si="8"/>
        <v>"RUBR",</v>
      </c>
    </row>
    <row r="74" spans="1:4" x14ac:dyDescent="0.35">
      <c r="A74" t="s">
        <v>858</v>
      </c>
      <c r="B74" t="s">
        <v>913</v>
      </c>
      <c r="C74" t="s">
        <v>930</v>
      </c>
      <c r="D74" t="str">
        <f t="shared" si="8"/>
        <v>"SALT",</v>
      </c>
    </row>
    <row r="75" spans="1:4" x14ac:dyDescent="0.35">
      <c r="A75" t="s">
        <v>810</v>
      </c>
      <c r="B75" t="s">
        <v>872</v>
      </c>
      <c r="C75" t="s">
        <v>930</v>
      </c>
      <c r="D75" t="str">
        <f t="shared" si="8"/>
        <v>"SAND",</v>
      </c>
    </row>
    <row r="76" spans="1:4" x14ac:dyDescent="0.35">
      <c r="A76" t="s">
        <v>859</v>
      </c>
      <c r="B76" t="s">
        <v>928</v>
      </c>
      <c r="C76" t="s">
        <v>955</v>
      </c>
      <c r="D76" t="str">
        <f t="shared" si="8"/>
        <v>"SASH",</v>
      </c>
    </row>
    <row r="77" spans="1:4" x14ac:dyDescent="0.35">
      <c r="A77" t="s">
        <v>814</v>
      </c>
      <c r="B77" t="s">
        <v>876</v>
      </c>
      <c r="C77" t="s">
        <v>981</v>
      </c>
      <c r="D77" t="str">
        <f t="shared" si="8"/>
        <v>"SCMT",</v>
      </c>
    </row>
    <row r="78" spans="1:4" x14ac:dyDescent="0.35">
      <c r="A78" t="s">
        <v>840</v>
      </c>
      <c r="B78" t="s">
        <v>901</v>
      </c>
      <c r="C78" t="s">
        <v>930</v>
      </c>
      <c r="D78" t="str">
        <f t="shared" si="8"/>
        <v>"SGBT",</v>
      </c>
    </row>
    <row r="79" spans="1:4" x14ac:dyDescent="0.35">
      <c r="A79" t="s">
        <v>841</v>
      </c>
      <c r="B79" t="s">
        <v>902</v>
      </c>
      <c r="C79" t="s">
        <v>981</v>
      </c>
      <c r="D79" t="str">
        <f t="shared" si="8"/>
        <v>"SGCN",</v>
      </c>
    </row>
    <row r="80" spans="1:4" x14ac:dyDescent="0.35">
      <c r="A80" t="s">
        <v>862</v>
      </c>
      <c r="B80" t="s">
        <v>915</v>
      </c>
      <c r="C80" t="s">
        <v>930</v>
      </c>
      <c r="D80" t="str">
        <f t="shared" si="8"/>
        <v>"SLAG",</v>
      </c>
    </row>
    <row r="81" spans="1:4" x14ac:dyDescent="0.35">
      <c r="A81" t="s">
        <v>997</v>
      </c>
      <c r="B81" t="s">
        <v>998</v>
      </c>
      <c r="C81" t="s">
        <v>934</v>
      </c>
      <c r="D81" t="str">
        <f t="shared" si="8"/>
        <v>"STAL",</v>
      </c>
    </row>
    <row r="82" spans="1:4" x14ac:dyDescent="0.35">
      <c r="A82" t="s">
        <v>999</v>
      </c>
      <c r="B82" t="s">
        <v>1000</v>
      </c>
      <c r="C82" t="s">
        <v>934</v>
      </c>
      <c r="D82" t="str">
        <f t="shared" si="8"/>
        <v>"STCB",</v>
      </c>
    </row>
    <row r="83" spans="1:4" x14ac:dyDescent="0.35">
      <c r="A83" t="s">
        <v>785</v>
      </c>
      <c r="B83" t="s">
        <v>881</v>
      </c>
      <c r="C83" t="s">
        <v>934</v>
      </c>
      <c r="D83" t="str">
        <f t="shared" si="8"/>
        <v>"STEL",</v>
      </c>
    </row>
    <row r="84" spans="1:4" x14ac:dyDescent="0.35">
      <c r="A84" t="s">
        <v>1001</v>
      </c>
      <c r="B84" t="s">
        <v>1002</v>
      </c>
      <c r="C84" t="s">
        <v>934</v>
      </c>
      <c r="D84" t="str">
        <f t="shared" si="8"/>
        <v>"STST",</v>
      </c>
    </row>
    <row r="85" spans="1:4" x14ac:dyDescent="0.35">
      <c r="A85" t="s">
        <v>845</v>
      </c>
      <c r="B85" t="s">
        <v>904</v>
      </c>
      <c r="C85" t="s">
        <v>930</v>
      </c>
      <c r="D85" t="str">
        <f t="shared" si="8"/>
        <v>"SUGR",</v>
      </c>
    </row>
    <row r="86" spans="1:4" x14ac:dyDescent="0.35">
      <c r="A86" t="s">
        <v>860</v>
      </c>
      <c r="B86" t="s">
        <v>919</v>
      </c>
      <c r="C86" t="s">
        <v>955</v>
      </c>
      <c r="D86" t="str">
        <f t="shared" si="8"/>
        <v>"SULP",</v>
      </c>
    </row>
    <row r="87" spans="1:4" x14ac:dyDescent="0.35">
      <c r="A87" t="s">
        <v>1018</v>
      </c>
      <c r="B87" t="s">
        <v>1029</v>
      </c>
      <c r="C87" t="s">
        <v>935</v>
      </c>
      <c r="D87" t="str">
        <f t="shared" si="8"/>
        <v>"SWET",</v>
      </c>
    </row>
    <row r="88" spans="1:4" x14ac:dyDescent="0.35">
      <c r="A88" t="s">
        <v>1019</v>
      </c>
      <c r="B88" t="s">
        <v>1020</v>
      </c>
      <c r="C88" t="s">
        <v>930</v>
      </c>
      <c r="D88" t="str">
        <f t="shared" si="8"/>
        <v>"TOFF",</v>
      </c>
    </row>
    <row r="89" spans="1:4" x14ac:dyDescent="0.35">
      <c r="A89" t="s">
        <v>807</v>
      </c>
      <c r="B89" t="s">
        <v>867</v>
      </c>
      <c r="C89" t="s">
        <v>982</v>
      </c>
      <c r="D89" t="str">
        <f t="shared" si="8"/>
        <v>"TOUR",</v>
      </c>
    </row>
    <row r="90" spans="1:4" x14ac:dyDescent="0.35">
      <c r="A90" t="s">
        <v>1021</v>
      </c>
      <c r="B90" t="s">
        <v>1022</v>
      </c>
      <c r="C90" t="s">
        <v>934</v>
      </c>
      <c r="D90" t="str">
        <f t="shared" si="8"/>
        <v>"TOYS",</v>
      </c>
    </row>
    <row r="91" spans="1:4" x14ac:dyDescent="0.35">
      <c r="A91" t="s">
        <v>983</v>
      </c>
      <c r="B91" t="s">
        <v>984</v>
      </c>
      <c r="C91" t="s">
        <v>934</v>
      </c>
      <c r="D91" t="str">
        <f t="shared" si="8"/>
        <v>"TYRE",</v>
      </c>
    </row>
    <row r="92" spans="1:4" x14ac:dyDescent="0.35">
      <c r="A92" t="s">
        <v>985</v>
      </c>
      <c r="B92" t="s">
        <v>986</v>
      </c>
      <c r="C92" t="s">
        <v>987</v>
      </c>
      <c r="D92" t="str">
        <f t="shared" si="8"/>
        <v>"URAN",</v>
      </c>
    </row>
    <row r="93" spans="1:4" x14ac:dyDescent="0.35">
      <c r="A93" t="s">
        <v>847</v>
      </c>
      <c r="B93" t="s">
        <v>906</v>
      </c>
      <c r="C93" t="s">
        <v>936</v>
      </c>
      <c r="D93" t="str">
        <f t="shared" si="8"/>
        <v>"VALU",</v>
      </c>
    </row>
    <row r="94" spans="1:4" x14ac:dyDescent="0.35">
      <c r="A94" t="s">
        <v>1003</v>
      </c>
      <c r="B94" t="s">
        <v>1027</v>
      </c>
      <c r="C94" t="s">
        <v>934</v>
      </c>
      <c r="D94" t="str">
        <f t="shared" si="8"/>
        <v>"VBOD",</v>
      </c>
    </row>
    <row r="95" spans="1:4" x14ac:dyDescent="0.35">
      <c r="A95" t="s">
        <v>824</v>
      </c>
      <c r="B95" t="s">
        <v>887</v>
      </c>
      <c r="C95" t="s">
        <v>965</v>
      </c>
      <c r="D95" t="str">
        <f t="shared" si="8"/>
        <v>"VEHI",</v>
      </c>
    </row>
    <row r="96" spans="1:4" x14ac:dyDescent="0.35">
      <c r="A96" t="s">
        <v>1004</v>
      </c>
      <c r="B96" t="s">
        <v>1005</v>
      </c>
      <c r="C96" t="s">
        <v>934</v>
      </c>
      <c r="D96" t="str">
        <f t="shared" si="8"/>
        <v>"VENG",</v>
      </c>
    </row>
    <row r="97" spans="1:4" x14ac:dyDescent="0.35">
      <c r="A97" t="s">
        <v>1006</v>
      </c>
      <c r="B97" t="s">
        <v>1007</v>
      </c>
      <c r="C97" t="s">
        <v>990</v>
      </c>
      <c r="D97" t="str">
        <f t="shared" si="8"/>
        <v>"VPTS",</v>
      </c>
    </row>
    <row r="98" spans="1:4" x14ac:dyDescent="0.35">
      <c r="A98" t="s">
        <v>830</v>
      </c>
      <c r="B98" t="s">
        <v>892</v>
      </c>
      <c r="C98" t="s">
        <v>932</v>
      </c>
      <c r="D98" t="str">
        <f t="shared" ref="D98:D112" si="9">CONCATENATE("""", A98, """,")</f>
        <v>"WATR",</v>
      </c>
    </row>
    <row r="99" spans="1:4" x14ac:dyDescent="0.35">
      <c r="A99" t="s">
        <v>823</v>
      </c>
      <c r="B99" t="s">
        <v>1041</v>
      </c>
      <c r="C99" t="s">
        <v>964</v>
      </c>
      <c r="D99" t="str">
        <f t="shared" si="9"/>
        <v>"WDPR",</v>
      </c>
    </row>
    <row r="100" spans="1:4" x14ac:dyDescent="0.35">
      <c r="A100" t="s">
        <v>842</v>
      </c>
      <c r="B100" t="s">
        <v>903</v>
      </c>
      <c r="C100" t="s">
        <v>930</v>
      </c>
      <c r="D100" t="str">
        <f t="shared" si="9"/>
        <v>"WHEA",</v>
      </c>
    </row>
    <row r="101" spans="1:4" x14ac:dyDescent="0.35">
      <c r="A101" t="s">
        <v>405</v>
      </c>
      <c r="B101" t="s">
        <v>877</v>
      </c>
      <c r="C101" t="s">
        <v>934</v>
      </c>
      <c r="D101" t="str">
        <f t="shared" si="9"/>
        <v>"WOOD",</v>
      </c>
    </row>
    <row r="102" spans="1:4" x14ac:dyDescent="0.35">
      <c r="A102" t="s">
        <v>843</v>
      </c>
      <c r="B102" t="s">
        <v>895</v>
      </c>
      <c r="C102" t="s">
        <v>946</v>
      </c>
      <c r="D102" t="str">
        <f t="shared" si="9"/>
        <v>"WOOL",</v>
      </c>
    </row>
    <row r="103" spans="1:4" x14ac:dyDescent="0.35">
      <c r="A103" t="s">
        <v>933</v>
      </c>
      <c r="B103" t="s">
        <v>1030</v>
      </c>
      <c r="C103" t="s">
        <v>1023</v>
      </c>
      <c r="D103" t="str">
        <f t="shared" si="9"/>
        <v>"YETI",</v>
      </c>
    </row>
    <row r="104" spans="1:4" x14ac:dyDescent="0.35">
      <c r="A104" t="s">
        <v>1024</v>
      </c>
      <c r="B104" t="s">
        <v>1031</v>
      </c>
      <c r="C104" t="s">
        <v>1023</v>
      </c>
      <c r="D104" t="str">
        <f t="shared" si="9"/>
        <v>"YETY",</v>
      </c>
    </row>
    <row r="105" spans="1:4" x14ac:dyDescent="0.35">
      <c r="A105" t="s">
        <v>861</v>
      </c>
      <c r="B105" t="s">
        <v>914</v>
      </c>
      <c r="C105" t="s">
        <v>934</v>
      </c>
      <c r="D105" t="str">
        <f t="shared" si="9"/>
        <v>"ZINC",</v>
      </c>
    </row>
    <row r="106" spans="1:4" x14ac:dyDescent="0.35">
      <c r="A106" t="s">
        <v>1069</v>
      </c>
      <c r="B106" t="s">
        <v>1068</v>
      </c>
      <c r="C106" t="s">
        <v>976</v>
      </c>
      <c r="D106" t="str">
        <f t="shared" si="9"/>
        <v>"SOAP",</v>
      </c>
    </row>
    <row r="107" spans="1:4" x14ac:dyDescent="0.35">
      <c r="A107" t="s">
        <v>1070</v>
      </c>
      <c r="B107" t="s">
        <v>1071</v>
      </c>
      <c r="C107" t="s">
        <v>958</v>
      </c>
      <c r="D107" t="str">
        <f t="shared" si="9"/>
        <v>"NH3_",</v>
      </c>
    </row>
    <row r="108" spans="1:4" x14ac:dyDescent="0.35">
      <c r="A108" t="s">
        <v>1074</v>
      </c>
      <c r="B108" t="s">
        <v>1075</v>
      </c>
      <c r="C108" t="s">
        <v>958</v>
      </c>
      <c r="D108" t="str">
        <f t="shared" si="9"/>
        <v>"O2__",</v>
      </c>
    </row>
    <row r="109" spans="1:4" x14ac:dyDescent="0.35">
      <c r="A109" t="s">
        <v>1076</v>
      </c>
      <c r="B109" t="s">
        <v>1077</v>
      </c>
      <c r="C109" t="s">
        <v>976</v>
      </c>
      <c r="D109" t="str">
        <f t="shared" si="9"/>
        <v>"COAT",</v>
      </c>
    </row>
    <row r="110" spans="1:4" x14ac:dyDescent="0.35">
      <c r="A110" t="s">
        <v>1078</v>
      </c>
      <c r="B110" t="s">
        <v>1067</v>
      </c>
      <c r="C110" t="s">
        <v>934</v>
      </c>
      <c r="D110" t="str">
        <f t="shared" si="9"/>
        <v>"RBAR",</v>
      </c>
    </row>
    <row r="111" spans="1:4" x14ac:dyDescent="0.35">
      <c r="A111" t="s">
        <v>1079</v>
      </c>
      <c r="B111" t="s">
        <v>1080</v>
      </c>
      <c r="C111" t="s">
        <v>934</v>
      </c>
      <c r="D111" t="str">
        <f t="shared" si="9"/>
        <v>"STSH",</v>
      </c>
    </row>
    <row r="112" spans="1:4" x14ac:dyDescent="0.35">
      <c r="A112" t="s">
        <v>1081</v>
      </c>
      <c r="B112" t="s">
        <v>1082</v>
      </c>
      <c r="C112" t="s">
        <v>934</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2026-01-03T21:02:31Z</dcterms:modified>
</cp:coreProperties>
</file>