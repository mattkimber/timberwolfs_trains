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AA52E336-FAD3-4119-9633-B4720B903E12}" xr6:coauthVersionLast="45" xr6:coauthVersionMax="45" xr10:uidLastSave="{00000000-0000-0000-0000-000000000000}"/>
  <bookViews>
    <workbookView xWindow="3180" yWindow="1785" windowWidth="24510" windowHeight="1236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9" i="1" l="1"/>
  <c r="AH60" i="1"/>
  <c r="AH63" i="1"/>
  <c r="AH65" i="1"/>
  <c r="AH66" i="1"/>
  <c r="AH67" i="1"/>
  <c r="AH70" i="1"/>
  <c r="AH75" i="1"/>
  <c r="AH76" i="1"/>
  <c r="AH77" i="1"/>
  <c r="AH78" i="1"/>
  <c r="AH79" i="1"/>
  <c r="AH80" i="1" s="1"/>
  <c r="AH81" i="1"/>
  <c r="AH82" i="1"/>
  <c r="AH83" i="1"/>
  <c r="AH84" i="1" s="1"/>
  <c r="AH85" i="1"/>
  <c r="AH86" i="1"/>
  <c r="AH87" i="1"/>
  <c r="AH90" i="1"/>
  <c r="AH91" i="1"/>
  <c r="AH92" i="1"/>
  <c r="AH93" i="1"/>
  <c r="AH94" i="1"/>
  <c r="AH96" i="1"/>
  <c r="AH99" i="1"/>
  <c r="AH100"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 i="1"/>
  <c r="AH3" i="1"/>
  <c r="AH4" i="1"/>
  <c r="AH5" i="1"/>
  <c r="AH6" i="1"/>
  <c r="AH7" i="1"/>
  <c r="AH8" i="1"/>
  <c r="AH9" i="1"/>
  <c r="AH10" i="1"/>
  <c r="AH11" i="1"/>
  <c r="AH12" i="1"/>
  <c r="AH13" i="1"/>
  <c r="AH14" i="1"/>
  <c r="AH15" i="1"/>
  <c r="AH16" i="1"/>
  <c r="AH17" i="1"/>
  <c r="AH18" i="1"/>
  <c r="AH19" i="1"/>
  <c r="AH20" i="1"/>
  <c r="AH21" i="1"/>
  <c r="AH22" i="1"/>
  <c r="AH23" i="1"/>
  <c r="AH24" i="1"/>
  <c r="AH25" i="1"/>
  <c r="AH61" i="1" s="1"/>
  <c r="AH26" i="1"/>
  <c r="AH31" i="1" s="1"/>
  <c r="AH27" i="1"/>
  <c r="AH28" i="1"/>
  <c r="AH29" i="1"/>
  <c r="AH30" i="1"/>
  <c r="AH32" i="1"/>
  <c r="AH33" i="1"/>
  <c r="AH34" i="1"/>
  <c r="AH35" i="1"/>
  <c r="AH36" i="1"/>
  <c r="AH37" i="1"/>
  <c r="AH38" i="1"/>
  <c r="AH39" i="1"/>
  <c r="AH40" i="1"/>
  <c r="AH42" i="1"/>
  <c r="AH43" i="1"/>
  <c r="AH44" i="1"/>
  <c r="AH45" i="1"/>
  <c r="AH46" i="1"/>
  <c r="AH47" i="1"/>
  <c r="AH50" i="1"/>
  <c r="AH51" i="1"/>
  <c r="AH52" i="1"/>
  <c r="AH101" i="1" s="1"/>
  <c r="AH53" i="1"/>
  <c r="AH69" i="1" s="1"/>
  <c r="AH54" i="1"/>
  <c r="AH68" i="1" s="1"/>
  <c r="AH55" i="1"/>
  <c r="AH56" i="1"/>
  <c r="AH62" i="1" s="1"/>
  <c r="AH57" i="1"/>
  <c r="AH74" i="1" l="1"/>
  <c r="AH41" i="1"/>
  <c r="AH97" i="1"/>
  <c r="AH89" i="1"/>
  <c r="AH73" i="1"/>
  <c r="AH49" i="1"/>
  <c r="AH88" i="1"/>
  <c r="AH72" i="1"/>
  <c r="AH64" i="1"/>
  <c r="AH98" i="1"/>
  <c r="AH95" i="1"/>
  <c r="AH71" i="1"/>
  <c r="AH48" i="1"/>
  <c r="P101" i="1"/>
  <c r="R101" i="1" s="1"/>
  <c r="P97" i="1" l="1"/>
  <c r="R97" i="1" s="1"/>
  <c r="AA97" i="1"/>
  <c r="AA98" i="1"/>
  <c r="P98" i="1"/>
  <c r="R98" i="1" s="1"/>
  <c r="AF95" i="1" l="1"/>
  <c r="AA95" i="1"/>
  <c r="AQ92" i="1"/>
  <c r="AS92" i="1" s="1"/>
  <c r="AF92" i="1"/>
  <c r="W92" i="1"/>
  <c r="AA93" i="1"/>
  <c r="P93" i="1"/>
  <c r="R93" i="1" s="1"/>
  <c r="P91" i="1"/>
  <c r="R91" i="1" s="1"/>
  <c r="AE92" i="1" l="1"/>
  <c r="P90" i="1"/>
  <c r="R90" i="1" s="1"/>
  <c r="P89" i="1"/>
  <c r="R89" i="1" s="1"/>
  <c r="P88" i="1"/>
  <c r="R88" i="1" s="1"/>
  <c r="AQ86" i="1"/>
  <c r="AS86" i="1" s="1"/>
  <c r="AF86" i="1"/>
  <c r="W86" i="1"/>
  <c r="P87" i="1"/>
  <c r="R87" i="1" s="1"/>
  <c r="P50" i="1"/>
  <c r="R50" i="1" s="1"/>
  <c r="P85" i="1"/>
  <c r="R85" i="1" s="1"/>
  <c r="AE86" i="1" l="1"/>
  <c r="AQ83" i="1"/>
  <c r="AS83" i="1" s="1"/>
  <c r="AF83" i="1"/>
  <c r="W83" i="1"/>
  <c r="T84" i="1"/>
  <c r="P84" i="1"/>
  <c r="R84" i="1" s="1"/>
  <c r="AE83" i="1" l="1"/>
  <c r="AQ79" i="1"/>
  <c r="AS79" i="1" s="1"/>
  <c r="AF79" i="1"/>
  <c r="W79" i="1"/>
  <c r="AA80" i="1"/>
  <c r="P80" i="1"/>
  <c r="R80" i="1" s="1"/>
  <c r="AD77" i="1"/>
  <c r="AE79" i="1" l="1"/>
  <c r="AQ70" i="1"/>
  <c r="AS70" i="1" s="1"/>
  <c r="AF70" i="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3" i="1"/>
  <c r="W104" i="1"/>
  <c r="W105" i="1"/>
  <c r="W106" i="1"/>
  <c r="W107" i="1"/>
  <c r="W108" i="1"/>
  <c r="W109" i="1"/>
  <c r="W110" i="1"/>
  <c r="W111" i="1"/>
  <c r="W112" i="1"/>
  <c r="W114" i="1"/>
  <c r="W115" i="1"/>
  <c r="W116" i="1"/>
  <c r="W117" i="1"/>
  <c r="W118" i="1"/>
  <c r="W119" i="1"/>
  <c r="W120" i="1"/>
  <c r="W121" i="1"/>
  <c r="W122" i="1"/>
  <c r="W123" i="1"/>
  <c r="W124" i="1"/>
  <c r="W125" i="1"/>
  <c r="W126" i="1"/>
  <c r="W113"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 i="1"/>
  <c r="W3" i="1"/>
  <c r="W4" i="1"/>
  <c r="W5" i="1"/>
  <c r="W6" i="1"/>
  <c r="W7" i="1"/>
  <c r="W8" i="1"/>
  <c r="W9" i="1"/>
  <c r="W10" i="1"/>
  <c r="W11" i="1"/>
  <c r="W12" i="1"/>
  <c r="W13" i="1"/>
  <c r="W14" i="1"/>
  <c r="W15" i="1"/>
  <c r="W16" i="1"/>
  <c r="W17"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8" i="1"/>
  <c r="W49" i="1"/>
  <c r="W50" i="1"/>
  <c r="W51" i="1"/>
  <c r="W52" i="1"/>
  <c r="W53" i="1"/>
  <c r="W54" i="1"/>
  <c r="W55" i="1"/>
  <c r="W57" i="1"/>
  <c r="W58" i="1"/>
  <c r="W59" i="1"/>
  <c r="W61" i="1"/>
  <c r="W62" i="1"/>
  <c r="W63" i="1"/>
  <c r="W64" i="1"/>
  <c r="W65" i="1"/>
  <c r="W66" i="1"/>
  <c r="W67" i="1"/>
  <c r="W68" i="1"/>
  <c r="W69" i="1"/>
  <c r="W71" i="1"/>
  <c r="W72" i="1"/>
  <c r="W73" i="1"/>
  <c r="AA72" i="1"/>
  <c r="AA71" i="1" l="1"/>
  <c r="P65" i="1" l="1"/>
  <c r="R65" i="1" s="1"/>
  <c r="AQ52" i="1"/>
  <c r="AS52" i="1" s="1"/>
  <c r="AF52" i="1"/>
  <c r="P64" i="1"/>
  <c r="R64" i="1" s="1"/>
  <c r="AA64" i="1"/>
  <c r="AE52" i="1" l="1"/>
  <c r="P63" i="1"/>
  <c r="R63" i="1" s="1"/>
  <c r="AQ56" i="1" l="1"/>
  <c r="AS56" i="1" s="1"/>
  <c r="AF56" i="1"/>
  <c r="P62" i="1"/>
  <c r="R62" i="1" s="1"/>
  <c r="AA62" i="1"/>
  <c r="P61" i="1"/>
  <c r="R61" i="1" s="1"/>
  <c r="AA61" i="1"/>
  <c r="P59" i="1"/>
  <c r="R59" i="1" s="1"/>
  <c r="AA58" i="1"/>
  <c r="P58" i="1"/>
  <c r="R58" i="1" s="1"/>
  <c r="AA57" i="1"/>
  <c r="P57" i="1"/>
  <c r="R57" i="1" s="1"/>
  <c r="P55" i="1"/>
  <c r="R55" i="1" s="1"/>
  <c r="AA49" i="1"/>
  <c r="AQ25" i="1"/>
  <c r="AS25" i="1" s="1"/>
  <c r="AF25" i="1"/>
  <c r="AH58" i="1" s="1"/>
  <c r="P49" i="1"/>
  <c r="R49" i="1" s="1"/>
  <c r="P48" i="1"/>
  <c r="R48" i="1" s="1"/>
  <c r="AQ33" i="1"/>
  <c r="AS33" i="1" s="1"/>
  <c r="AF33" i="1"/>
  <c r="AQ39" i="1"/>
  <c r="AS39" i="1" s="1"/>
  <c r="AQ30" i="1"/>
  <c r="AS30" i="1" s="1"/>
  <c r="AF39" i="1"/>
  <c r="AF30" i="1"/>
  <c r="AE25" i="1" l="1"/>
  <c r="AE56" i="1"/>
  <c r="AE30" i="1"/>
  <c r="AE33" i="1"/>
  <c r="AE39" i="1"/>
  <c r="AQ29" i="1"/>
  <c r="AS29" i="1" s="1"/>
  <c r="AF29" i="1"/>
  <c r="P29" i="1"/>
  <c r="R29" i="1" s="1"/>
  <c r="AQ36" i="1"/>
  <c r="AS36" i="1" s="1"/>
  <c r="AF36" i="1"/>
  <c r="AE29" i="1" l="1"/>
  <c r="AE36" i="1"/>
  <c r="AQ27" i="1"/>
  <c r="AS27" i="1" s="1"/>
  <c r="AF27" i="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Q16" i="1"/>
  <c r="AS16" i="1" s="1"/>
  <c r="AQ17" i="1"/>
  <c r="AS17" i="1" s="1"/>
  <c r="AQ18" i="1"/>
  <c r="AS18" i="1" s="1"/>
  <c r="AQ19" i="1"/>
  <c r="AS19" i="1" s="1"/>
  <c r="AQ20" i="1"/>
  <c r="AS20" i="1" s="1"/>
  <c r="AQ21" i="1"/>
  <c r="AS21" i="1" s="1"/>
  <c r="AQ22" i="1"/>
  <c r="AS22" i="1" s="1"/>
  <c r="AQ23" i="1"/>
  <c r="AS23" i="1" s="1"/>
  <c r="AQ31" i="1"/>
  <c r="AS31" i="1" s="1"/>
  <c r="AQ34" i="1"/>
  <c r="AS34" i="1" s="1"/>
  <c r="AQ35" i="1"/>
  <c r="AS35" i="1" s="1"/>
  <c r="AQ37" i="1"/>
  <c r="AS37" i="1" s="1"/>
  <c r="AQ38" i="1"/>
  <c r="AS38" i="1" s="1"/>
  <c r="AQ40" i="1"/>
  <c r="AS40" i="1" s="1"/>
  <c r="AQ41" i="1"/>
  <c r="AS41" i="1" s="1"/>
  <c r="AQ42" i="1"/>
  <c r="AS42" i="1" s="1"/>
  <c r="AQ43" i="1"/>
  <c r="AS43" i="1" s="1"/>
  <c r="AQ45" i="1"/>
  <c r="AS45" i="1" s="1"/>
  <c r="AQ46" i="1"/>
  <c r="AS46" i="1" s="1"/>
  <c r="AQ48" i="1"/>
  <c r="AS48" i="1" s="1"/>
  <c r="AQ49" i="1"/>
  <c r="AS49" i="1" s="1"/>
  <c r="AQ24" i="1"/>
  <c r="AS24" i="1" s="1"/>
  <c r="AQ50" i="1"/>
  <c r="AS50" i="1" s="1"/>
  <c r="AQ51" i="1"/>
  <c r="AS51" i="1" s="1"/>
  <c r="AQ55" i="1"/>
  <c r="AS55" i="1" s="1"/>
  <c r="AQ57" i="1"/>
  <c r="AS57" i="1" s="1"/>
  <c r="AQ58" i="1"/>
  <c r="AS58" i="1" s="1"/>
  <c r="AQ59" i="1"/>
  <c r="AS59" i="1" s="1"/>
  <c r="AQ61" i="1"/>
  <c r="AS61" i="1" s="1"/>
  <c r="AQ62" i="1"/>
  <c r="AS62" i="1" s="1"/>
  <c r="AQ63" i="1"/>
  <c r="AS63" i="1" s="1"/>
  <c r="AQ64" i="1"/>
  <c r="AS64" i="1" s="1"/>
  <c r="AQ65" i="1"/>
  <c r="AS65" i="1" s="1"/>
  <c r="AQ68" i="1"/>
  <c r="AS68" i="1" s="1"/>
  <c r="AQ69" i="1"/>
  <c r="AS69" i="1" s="1"/>
  <c r="AQ71" i="1"/>
  <c r="AS71" i="1" s="1"/>
  <c r="AQ72" i="1"/>
  <c r="AS72" i="1" s="1"/>
  <c r="AQ73" i="1"/>
  <c r="AS73" i="1" s="1"/>
  <c r="AQ74" i="1"/>
  <c r="AS74" i="1" s="1"/>
  <c r="AQ75" i="1"/>
  <c r="AS75" i="1" s="1"/>
  <c r="AQ80" i="1"/>
  <c r="AS80" i="1" s="1"/>
  <c r="AQ81" i="1"/>
  <c r="AS81" i="1" s="1"/>
  <c r="AQ82" i="1"/>
  <c r="AS82" i="1" s="1"/>
  <c r="AQ84" i="1"/>
  <c r="AS84" i="1" s="1"/>
  <c r="AQ85" i="1"/>
  <c r="AS85" i="1" s="1"/>
  <c r="AQ87" i="1"/>
  <c r="AS87" i="1" s="1"/>
  <c r="AQ88" i="1"/>
  <c r="AS88" i="1" s="1"/>
  <c r="AQ89" i="1"/>
  <c r="AS89" i="1" s="1"/>
  <c r="AQ90" i="1"/>
  <c r="AS90" i="1" s="1"/>
  <c r="AQ91" i="1"/>
  <c r="AS91" i="1" s="1"/>
  <c r="AQ93" i="1"/>
  <c r="AS93" i="1" s="1"/>
  <c r="AQ94" i="1"/>
  <c r="AS94" i="1" s="1"/>
  <c r="AQ95" i="1"/>
  <c r="AS95" i="1" s="1"/>
  <c r="AQ96" i="1"/>
  <c r="AS96" i="1" s="1"/>
  <c r="AQ97" i="1"/>
  <c r="AS97" i="1" s="1"/>
  <c r="AQ98" i="1"/>
  <c r="AS98" i="1" s="1"/>
  <c r="AQ99" i="1"/>
  <c r="AS99" i="1" s="1"/>
  <c r="AQ100" i="1"/>
  <c r="AS100" i="1" s="1"/>
  <c r="AQ101" i="1"/>
  <c r="AS101" i="1" s="1"/>
  <c r="AQ102" i="1"/>
  <c r="AS102" i="1" s="1"/>
  <c r="AQ106" i="1"/>
  <c r="AS106" i="1" s="1"/>
  <c r="AQ107" i="1"/>
  <c r="AS107" i="1" s="1"/>
  <c r="AQ108" i="1"/>
  <c r="AS108" i="1" s="1"/>
  <c r="AQ109" i="1"/>
  <c r="AS109" i="1" s="1"/>
  <c r="AQ110" i="1"/>
  <c r="AS110" i="1" s="1"/>
  <c r="AQ111" i="1"/>
  <c r="AS111" i="1" s="1"/>
  <c r="AQ112" i="1"/>
  <c r="AS112" i="1" s="1"/>
  <c r="AQ114" i="1"/>
  <c r="AS114" i="1" s="1"/>
  <c r="AQ115" i="1"/>
  <c r="AS115" i="1" s="1"/>
  <c r="AQ118" i="1"/>
  <c r="AS118" i="1" s="1"/>
  <c r="AQ119" i="1"/>
  <c r="AS119" i="1" s="1"/>
  <c r="AQ120" i="1"/>
  <c r="AS120" i="1" s="1"/>
  <c r="AQ121" i="1"/>
  <c r="AS121" i="1" s="1"/>
  <c r="AQ124" i="1"/>
  <c r="AS124" i="1" s="1"/>
  <c r="AQ125" i="1"/>
  <c r="AS125" i="1" s="1"/>
  <c r="AQ126" i="1"/>
  <c r="AS126" i="1" s="1"/>
  <c r="AQ113" i="1"/>
  <c r="AS113" i="1" s="1"/>
  <c r="AQ127" i="1"/>
  <c r="AS127" i="1" s="1"/>
  <c r="AQ128" i="1"/>
  <c r="AS128" i="1" s="1"/>
  <c r="AQ129" i="1"/>
  <c r="AS129" i="1" s="1"/>
  <c r="AQ130" i="1"/>
  <c r="AS130" i="1" s="1"/>
  <c r="AQ131" i="1"/>
  <c r="AS131" i="1" s="1"/>
  <c r="AQ132" i="1"/>
  <c r="AS132" i="1" s="1"/>
  <c r="AQ135" i="1"/>
  <c r="AS135" i="1" s="1"/>
  <c r="AQ137" i="1"/>
  <c r="AS137" i="1" s="1"/>
  <c r="AQ139" i="1"/>
  <c r="AS139" i="1" s="1"/>
  <c r="AQ143" i="1"/>
  <c r="AS143" i="1" s="1"/>
  <c r="AQ145" i="1"/>
  <c r="AS145" i="1" s="1"/>
  <c r="AQ146" i="1"/>
  <c r="AS146" i="1" s="1"/>
  <c r="AQ148" i="1"/>
  <c r="AS148" i="1" s="1"/>
  <c r="AQ151" i="1"/>
  <c r="AS151" i="1" s="1"/>
  <c r="AQ153" i="1"/>
  <c r="AS153" i="1" s="1"/>
  <c r="AQ154" i="1"/>
  <c r="AS154" i="1" s="1"/>
  <c r="AQ155" i="1"/>
  <c r="AS155" i="1" s="1"/>
  <c r="AQ159" i="1"/>
  <c r="AS159" i="1" s="1"/>
  <c r="AQ162" i="1"/>
  <c r="AS162" i="1" s="1"/>
  <c r="AQ67" i="1"/>
  <c r="AS67" i="1" s="1"/>
  <c r="AQ44" i="1"/>
  <c r="AS44" i="1" s="1"/>
  <c r="AQ66" i="1"/>
  <c r="AS66" i="1" s="1"/>
  <c r="AQ76" i="1"/>
  <c r="AS76" i="1" s="1"/>
  <c r="AQ77" i="1"/>
  <c r="AS77" i="1" s="1"/>
  <c r="AQ103" i="1"/>
  <c r="AS103" i="1" s="1"/>
  <c r="AQ116" i="1"/>
  <c r="AS116" i="1" s="1"/>
  <c r="AQ122" i="1"/>
  <c r="AS122" i="1" s="1"/>
  <c r="AQ104" i="1"/>
  <c r="AS104" i="1" s="1"/>
  <c r="AQ157" i="1"/>
  <c r="AS157" i="1" s="1"/>
  <c r="AQ149" i="1"/>
  <c r="AS149" i="1" s="1"/>
  <c r="AQ156" i="1"/>
  <c r="AS156" i="1" s="1"/>
  <c r="AQ158" i="1"/>
  <c r="AS158" i="1" s="1"/>
  <c r="AQ147" i="1"/>
  <c r="AS147" i="1" s="1"/>
  <c r="AQ142" i="1"/>
  <c r="AS142" i="1" s="1"/>
  <c r="AQ140" i="1"/>
  <c r="AS140" i="1" s="1"/>
  <c r="AQ163" i="1"/>
  <c r="AS163" i="1" s="1"/>
  <c r="AQ164" i="1"/>
  <c r="AS164" i="1" s="1"/>
  <c r="AQ165" i="1"/>
  <c r="AS165" i="1" s="1"/>
  <c r="AQ166" i="1"/>
  <c r="AS166" i="1" s="1"/>
  <c r="AQ167" i="1"/>
  <c r="AS167" i="1" s="1"/>
  <c r="AQ168" i="1"/>
  <c r="AS168" i="1" s="1"/>
  <c r="AQ169" i="1"/>
  <c r="AS169" i="1" s="1"/>
  <c r="AQ170" i="1"/>
  <c r="AS170" i="1" s="1"/>
  <c r="AQ171" i="1"/>
  <c r="AS171" i="1" s="1"/>
  <c r="AQ172" i="1"/>
  <c r="AS172" i="1" s="1"/>
  <c r="AQ173" i="1"/>
  <c r="AS173" i="1" s="1"/>
  <c r="AQ174" i="1"/>
  <c r="AS174" i="1" s="1"/>
  <c r="AQ175" i="1"/>
  <c r="AS175" i="1" s="1"/>
  <c r="AQ176" i="1"/>
  <c r="AS176" i="1" s="1"/>
  <c r="AQ177" i="1"/>
  <c r="AS177" i="1" s="1"/>
  <c r="AQ178" i="1"/>
  <c r="AS178" i="1" s="1"/>
  <c r="AQ179" i="1"/>
  <c r="AS179" i="1" s="1"/>
  <c r="AQ180" i="1"/>
  <c r="AS180" i="1" s="1"/>
  <c r="AQ181" i="1"/>
  <c r="AS181" i="1" s="1"/>
  <c r="AQ182" i="1"/>
  <c r="AS182" i="1" s="1"/>
  <c r="AQ183" i="1"/>
  <c r="AS183" i="1" s="1"/>
  <c r="AQ184" i="1"/>
  <c r="AS184" i="1" s="1"/>
  <c r="AQ185" i="1"/>
  <c r="AS185" i="1" s="1"/>
  <c r="AQ186" i="1"/>
  <c r="AS186" i="1" s="1"/>
  <c r="AQ28" i="1"/>
  <c r="AS28" i="1" s="1"/>
  <c r="AQ187" i="1"/>
  <c r="AS187" i="1" s="1"/>
  <c r="AQ188" i="1"/>
  <c r="AS188" i="1" s="1"/>
  <c r="AQ189" i="1"/>
  <c r="AS189" i="1" s="1"/>
  <c r="AQ190" i="1"/>
  <c r="AS190" i="1" s="1"/>
  <c r="AQ191" i="1"/>
  <c r="AS191" i="1" s="1"/>
  <c r="AQ78" i="1"/>
  <c r="AS78" i="1" s="1"/>
  <c r="AQ117" i="1"/>
  <c r="AS117" i="1" s="1"/>
  <c r="AQ123" i="1"/>
  <c r="AS123" i="1" s="1"/>
  <c r="AQ133" i="1"/>
  <c r="AS133" i="1" s="1"/>
  <c r="AQ134" i="1"/>
  <c r="AS134" i="1" s="1"/>
  <c r="AQ136" i="1"/>
  <c r="AS136" i="1" s="1"/>
  <c r="AQ141" i="1"/>
  <c r="AS141" i="1" s="1"/>
  <c r="AQ144" i="1"/>
  <c r="AS144" i="1" s="1"/>
  <c r="AQ150" i="1"/>
  <c r="AS150" i="1" s="1"/>
  <c r="AQ152" i="1"/>
  <c r="AS152" i="1" s="1"/>
  <c r="AQ160" i="1"/>
  <c r="AS160" i="1" s="1"/>
  <c r="AQ161" i="1"/>
  <c r="AS161" i="1" s="1"/>
  <c r="AQ192" i="1"/>
  <c r="AS192" i="1" s="1"/>
  <c r="AQ193" i="1"/>
  <c r="AS193" i="1" s="1"/>
  <c r="AQ194" i="1"/>
  <c r="AS194" i="1" s="1"/>
  <c r="AQ60" i="1"/>
  <c r="AS60" i="1" s="1"/>
  <c r="AQ195" i="1"/>
  <c r="AS195" i="1" s="1"/>
  <c r="AQ196" i="1"/>
  <c r="AS196" i="1" s="1"/>
  <c r="AQ105" i="1"/>
  <c r="AS105" i="1" s="1"/>
  <c r="AQ138" i="1"/>
  <c r="AS138" i="1" s="1"/>
  <c r="AQ197" i="1"/>
  <c r="AS197" i="1" s="1"/>
  <c r="AQ198" i="1"/>
  <c r="AS198" i="1" s="1"/>
  <c r="AQ199" i="1"/>
  <c r="AS199" i="1" s="1"/>
  <c r="AQ200" i="1"/>
  <c r="AS200" i="1" s="1"/>
  <c r="AQ14" i="1"/>
  <c r="AS14" i="1" s="1"/>
  <c r="AQ47" i="1"/>
  <c r="AS47" i="1" s="1"/>
  <c r="AQ201" i="1"/>
  <c r="AS201" i="1" s="1"/>
  <c r="AQ202" i="1"/>
  <c r="AS202" i="1" s="1"/>
  <c r="AQ2" i="1"/>
  <c r="AS2" i="1" s="1"/>
  <c r="AQ32" i="1"/>
  <c r="AS32" i="1" s="1"/>
  <c r="AQ203" i="1"/>
  <c r="AS203" i="1" s="1"/>
  <c r="AQ204" i="1"/>
  <c r="AS204" i="1" s="1"/>
  <c r="AQ205" i="1"/>
  <c r="AS205" i="1" s="1"/>
  <c r="AQ206" i="1"/>
  <c r="AS206" i="1" s="1"/>
  <c r="AQ207" i="1"/>
  <c r="AS207" i="1" s="1"/>
  <c r="AQ208" i="1"/>
  <c r="AS208" i="1" s="1"/>
  <c r="AQ209" i="1"/>
  <c r="AS209" i="1" s="1"/>
  <c r="AQ210" i="1"/>
  <c r="AS210" i="1" s="1"/>
  <c r="AQ211" i="1"/>
  <c r="AS211" i="1" s="1"/>
  <c r="AQ212" i="1"/>
  <c r="AS212" i="1" s="1"/>
  <c r="AQ213" i="1"/>
  <c r="AS213" i="1" s="1"/>
  <c r="AQ54" i="1"/>
  <c r="AS54" i="1" s="1"/>
  <c r="AQ26" i="1"/>
  <c r="AS26" i="1" s="1"/>
  <c r="AQ3" i="1"/>
  <c r="AS3" i="1" s="1"/>
  <c r="AQ4" i="1"/>
  <c r="AS4" i="1" s="1"/>
  <c r="AQ5" i="1"/>
  <c r="AS5" i="1" s="1"/>
  <c r="AQ6" i="1"/>
  <c r="AS6" i="1" s="1"/>
  <c r="AQ7" i="1"/>
  <c r="AS7" i="1" s="1"/>
  <c r="AQ8" i="1"/>
  <c r="AS8" i="1" s="1"/>
  <c r="AQ9" i="1"/>
  <c r="AS9" i="1" s="1"/>
  <c r="AQ10" i="1"/>
  <c r="AS10" i="1" s="1"/>
  <c r="AQ11" i="1"/>
  <c r="AS11" i="1" s="1"/>
  <c r="AQ12" i="1"/>
  <c r="AS12" i="1" s="1"/>
  <c r="AQ13" i="1"/>
  <c r="AS13" i="1" s="1"/>
  <c r="AQ15" i="1"/>
  <c r="AS15" i="1" s="1"/>
  <c r="AQ53" i="1"/>
  <c r="AS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C2" i="3" l="1"/>
  <c r="B2" i="3" s="1"/>
  <c r="B7" i="3"/>
  <c r="B8" i="3"/>
  <c r="B9" i="3"/>
  <c r="B10" i="3"/>
  <c r="B11" i="3"/>
  <c r="B12" i="3"/>
  <c r="B13" i="3"/>
  <c r="B14" i="3"/>
  <c r="C4" i="3"/>
  <c r="B4" i="3" s="1"/>
  <c r="C5" i="3"/>
  <c r="B5" i="3" s="1"/>
  <c r="C6" i="3"/>
  <c r="B6" i="3" s="1"/>
  <c r="AE26" i="1" s="1"/>
  <c r="C7" i="3"/>
  <c r="C8" i="3"/>
  <c r="C9" i="3"/>
  <c r="C10" i="3"/>
  <c r="C11" i="3"/>
  <c r="C12" i="3"/>
  <c r="C13" i="3"/>
  <c r="C14" i="3"/>
  <c r="C15" i="3"/>
  <c r="B15" i="3" s="1"/>
  <c r="C16" i="3"/>
  <c r="B16" i="3" s="1"/>
  <c r="C17" i="3"/>
  <c r="B17" i="3" s="1"/>
  <c r="C18" i="3"/>
  <c r="B18" i="3" s="1"/>
  <c r="C3" i="3"/>
  <c r="B3" i="3" s="1"/>
  <c r="AF100" i="1" l="1"/>
  <c r="AF101" i="1"/>
  <c r="AF54" i="1"/>
  <c r="AF3" i="1"/>
  <c r="AF4" i="1"/>
  <c r="AF5" i="1"/>
  <c r="AF6" i="1"/>
  <c r="AF7" i="1"/>
  <c r="AF8" i="1"/>
  <c r="AF9" i="1"/>
  <c r="AF10" i="1"/>
  <c r="AF11" i="1"/>
  <c r="AF12" i="1"/>
  <c r="AF13" i="1"/>
  <c r="AF15" i="1"/>
  <c r="AF16" i="1"/>
  <c r="AF17" i="1"/>
  <c r="AF18" i="1"/>
  <c r="AF19" i="1"/>
  <c r="AF20" i="1"/>
  <c r="AF21" i="1"/>
  <c r="AF22" i="1"/>
  <c r="AF23" i="1"/>
  <c r="AF31" i="1"/>
  <c r="AF34" i="1"/>
  <c r="AF35" i="1"/>
  <c r="AF37" i="1"/>
  <c r="AF38" i="1"/>
  <c r="AF40" i="1"/>
  <c r="AF41" i="1"/>
  <c r="AF42" i="1"/>
  <c r="AF43" i="1"/>
  <c r="AF45" i="1"/>
  <c r="AF46" i="1"/>
  <c r="AF48" i="1"/>
  <c r="AF49" i="1"/>
  <c r="AF24" i="1"/>
  <c r="AF50" i="1"/>
  <c r="AF51" i="1"/>
  <c r="AF55" i="1"/>
  <c r="AE55" i="1" s="1"/>
  <c r="AF57" i="1"/>
  <c r="AF58" i="1"/>
  <c r="AF59" i="1"/>
  <c r="AF61" i="1"/>
  <c r="AF62" i="1"/>
  <c r="AF63" i="1"/>
  <c r="AF64" i="1"/>
  <c r="AF65" i="1"/>
  <c r="AF68" i="1"/>
  <c r="AF69" i="1"/>
  <c r="AF71" i="1"/>
  <c r="AF72" i="1"/>
  <c r="AF73" i="1"/>
  <c r="AF74" i="1"/>
  <c r="AF75" i="1"/>
  <c r="AF80" i="1"/>
  <c r="AF81" i="1"/>
  <c r="AF82" i="1"/>
  <c r="AF84" i="1"/>
  <c r="AF85" i="1"/>
  <c r="AF87" i="1"/>
  <c r="AF88" i="1"/>
  <c r="AF89" i="1"/>
  <c r="AF90" i="1"/>
  <c r="AF91" i="1"/>
  <c r="AF93" i="1"/>
  <c r="AF94" i="1"/>
  <c r="AF96" i="1"/>
  <c r="AF97" i="1"/>
  <c r="AF98" i="1"/>
  <c r="AF99" i="1"/>
  <c r="AF102" i="1"/>
  <c r="AF106" i="1"/>
  <c r="AF107" i="1"/>
  <c r="AF108" i="1"/>
  <c r="AF109" i="1"/>
  <c r="AF110" i="1"/>
  <c r="AF111" i="1"/>
  <c r="AF112" i="1"/>
  <c r="AF114" i="1"/>
  <c r="AF115" i="1"/>
  <c r="AF118" i="1"/>
  <c r="AF119" i="1"/>
  <c r="AF120" i="1"/>
  <c r="AF121" i="1"/>
  <c r="AF124" i="1"/>
  <c r="AF125" i="1"/>
  <c r="AF126" i="1"/>
  <c r="AF113" i="1"/>
  <c r="AF127" i="1"/>
  <c r="AF128" i="1"/>
  <c r="AF129" i="1"/>
  <c r="AF130" i="1"/>
  <c r="AF131" i="1"/>
  <c r="AF132" i="1"/>
  <c r="AF135" i="1"/>
  <c r="AF137" i="1"/>
  <c r="AF139" i="1"/>
  <c r="AF143" i="1"/>
  <c r="AF145" i="1"/>
  <c r="AF146" i="1"/>
  <c r="AF148" i="1"/>
  <c r="AF151" i="1"/>
  <c r="AF153" i="1"/>
  <c r="AF154" i="1"/>
  <c r="AF155" i="1"/>
  <c r="AF159" i="1"/>
  <c r="AF162" i="1"/>
  <c r="AF67" i="1"/>
  <c r="AF44" i="1"/>
  <c r="AF66" i="1"/>
  <c r="AF76" i="1"/>
  <c r="AF77" i="1"/>
  <c r="AF103" i="1"/>
  <c r="AF116" i="1"/>
  <c r="AF122" i="1"/>
  <c r="AF104" i="1"/>
  <c r="AF157" i="1"/>
  <c r="AF149" i="1"/>
  <c r="AF156" i="1"/>
  <c r="AF158" i="1"/>
  <c r="AF147" i="1"/>
  <c r="AF142" i="1"/>
  <c r="AF140"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28" i="1"/>
  <c r="AF187" i="1"/>
  <c r="AF188" i="1"/>
  <c r="AF189" i="1"/>
  <c r="AF190" i="1"/>
  <c r="AF191" i="1"/>
  <c r="AF78" i="1"/>
  <c r="AF117" i="1"/>
  <c r="AF123" i="1"/>
  <c r="AF133" i="1"/>
  <c r="AF134" i="1"/>
  <c r="AF136" i="1"/>
  <c r="AF141" i="1"/>
  <c r="AF144" i="1"/>
  <c r="AF150" i="1"/>
  <c r="AF152" i="1"/>
  <c r="AF160" i="1"/>
  <c r="AF161" i="1"/>
  <c r="AF192" i="1"/>
  <c r="AF193" i="1"/>
  <c r="AF194" i="1"/>
  <c r="AF60" i="1"/>
  <c r="AF195" i="1"/>
  <c r="AF196" i="1"/>
  <c r="AF105" i="1"/>
  <c r="AF138" i="1"/>
  <c r="AF197" i="1"/>
  <c r="AF198" i="1"/>
  <c r="AF199" i="1"/>
  <c r="AF200" i="1"/>
  <c r="AF14" i="1"/>
  <c r="AF47" i="1"/>
  <c r="AF201" i="1"/>
  <c r="AF202" i="1"/>
  <c r="AF2" i="1"/>
  <c r="AF32" i="1"/>
  <c r="AF203" i="1"/>
  <c r="AF204" i="1"/>
  <c r="AF205" i="1"/>
  <c r="AF206" i="1"/>
  <c r="AF207" i="1"/>
  <c r="AF208" i="1"/>
  <c r="AF209" i="1"/>
  <c r="AF210" i="1"/>
  <c r="AF211" i="1"/>
  <c r="AF212" i="1"/>
  <c r="AF213" i="1"/>
  <c r="AF53" i="1"/>
  <c r="AE69" i="1" l="1"/>
  <c r="AE68" i="1"/>
  <c r="AE53" i="1"/>
  <c r="AE49" i="1"/>
  <c r="AE43" i="1"/>
  <c r="AE38" i="1"/>
  <c r="AE31" i="1"/>
  <c r="AE20" i="1"/>
  <c r="AE16" i="1"/>
  <c r="AE11" i="1"/>
  <c r="AE7" i="1"/>
  <c r="AE3" i="1"/>
  <c r="AE208" i="1"/>
  <c r="AE200" i="1"/>
  <c r="AE60" i="1"/>
  <c r="AE144" i="1"/>
  <c r="AE184" i="1"/>
  <c r="AE172" i="1"/>
  <c r="AE147" i="1"/>
  <c r="AE155" i="1"/>
  <c r="AE131" i="1"/>
  <c r="AE118" i="1"/>
  <c r="AE98" i="1"/>
  <c r="AE89" i="1"/>
  <c r="AE72" i="1"/>
  <c r="AE201" i="1"/>
  <c r="AE141" i="1"/>
  <c r="AE183" i="1"/>
  <c r="AE171" i="1"/>
  <c r="AE163" i="1"/>
  <c r="AE77" i="1"/>
  <c r="AE146" i="1"/>
  <c r="AE113" i="1"/>
  <c r="AE110" i="1"/>
  <c r="AE97" i="1"/>
  <c r="AE88" i="1"/>
  <c r="AE82" i="1"/>
  <c r="AE71" i="1"/>
  <c r="AE59" i="1"/>
  <c r="AE51" i="1"/>
  <c r="AE48" i="1"/>
  <c r="AE37" i="1"/>
  <c r="AE23" i="1"/>
  <c r="AE19" i="1"/>
  <c r="AE15" i="1"/>
  <c r="AE10" i="1"/>
  <c r="AE6" i="1"/>
  <c r="AE54" i="1"/>
  <c r="AE212" i="1"/>
  <c r="AE202" i="1"/>
  <c r="AE133" i="1"/>
  <c r="AE187" i="1"/>
  <c r="AE176" i="1"/>
  <c r="AE164" i="1"/>
  <c r="AE103" i="1"/>
  <c r="AE148" i="1"/>
  <c r="AE127" i="1"/>
  <c r="AE111" i="1"/>
  <c r="AE94" i="1"/>
  <c r="AE75" i="1"/>
  <c r="AE65" i="1"/>
  <c r="AE211" i="1"/>
  <c r="AE203" i="1"/>
  <c r="AE199" i="1"/>
  <c r="AE194" i="1"/>
  <c r="AE123" i="1"/>
  <c r="AE28" i="1"/>
  <c r="AE179" i="1"/>
  <c r="AE167" i="1"/>
  <c r="AE104" i="1"/>
  <c r="AE154" i="1"/>
  <c r="AE137" i="1"/>
  <c r="AE130" i="1"/>
  <c r="AE115" i="1"/>
  <c r="AE106" i="1"/>
  <c r="AE93" i="1"/>
  <c r="AE74" i="1"/>
  <c r="AE64" i="1"/>
  <c r="AE210" i="1"/>
  <c r="AE206" i="1"/>
  <c r="AE47" i="1"/>
  <c r="AE196" i="1"/>
  <c r="AE193" i="1"/>
  <c r="AE152" i="1"/>
  <c r="AE136" i="1"/>
  <c r="AE117" i="1"/>
  <c r="AE189" i="1"/>
  <c r="AE186" i="1"/>
  <c r="AE182" i="1"/>
  <c r="AE178" i="1"/>
  <c r="AE174" i="1"/>
  <c r="AE170" i="1"/>
  <c r="AE166" i="1"/>
  <c r="AE140" i="1"/>
  <c r="AE156" i="1"/>
  <c r="AE122" i="1"/>
  <c r="AE76" i="1"/>
  <c r="AE162" i="1"/>
  <c r="AE153"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4" i="1"/>
  <c r="AE138" i="1"/>
  <c r="AE161" i="1"/>
  <c r="AE191" i="1"/>
  <c r="AE180" i="1"/>
  <c r="AE168" i="1"/>
  <c r="AE157" i="1"/>
  <c r="AE44" i="1"/>
  <c r="AE139" i="1"/>
  <c r="AE124" i="1"/>
  <c r="AE107" i="1"/>
  <c r="AE84" i="1"/>
  <c r="AE61" i="1"/>
  <c r="AE207" i="1"/>
  <c r="AE105" i="1"/>
  <c r="AE160" i="1"/>
  <c r="AE190" i="1"/>
  <c r="AE175" i="1"/>
  <c r="AE158" i="1"/>
  <c r="AE67" i="1"/>
  <c r="AE121" i="1"/>
  <c r="AE32" i="1"/>
  <c r="AE198" i="1"/>
  <c r="AE213" i="1"/>
  <c r="AE209" i="1"/>
  <c r="AE205" i="1"/>
  <c r="AE2" i="1"/>
  <c r="AE14" i="1"/>
  <c r="AE197" i="1"/>
  <c r="AE195" i="1"/>
  <c r="AE192" i="1"/>
  <c r="AE150" i="1"/>
  <c r="AE134" i="1"/>
  <c r="AE78" i="1"/>
  <c r="AE188" i="1"/>
  <c r="AE185" i="1"/>
  <c r="AE181" i="1"/>
  <c r="AE177" i="1"/>
  <c r="AE173" i="1"/>
  <c r="AE169" i="1"/>
  <c r="AE165" i="1"/>
  <c r="AE142" i="1"/>
  <c r="AE149" i="1"/>
  <c r="AE116" i="1"/>
  <c r="AE66" i="1"/>
  <c r="AE159" i="1"/>
  <c r="AE151"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58" i="1"/>
  <c r="S104" i="1"/>
  <c r="S116" i="1" l="1"/>
  <c r="S103" i="1"/>
  <c r="J115" i="1" l="1"/>
  <c r="J109" i="1"/>
  <c r="S48" i="1" l="1"/>
  <c r="S17" i="1"/>
</calcChain>
</file>

<file path=xl/sharedStrings.xml><?xml version="1.0" encoding="utf-8"?>
<sst xmlns="http://schemas.openxmlformats.org/spreadsheetml/2006/main" count="1356" uniqueCount="674">
  <si>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</si>
  <si>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</si>
  <si>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</si>
  <si>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</si>
  <si>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</si>
  <si>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</si>
  <si>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</si>
  <si>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</si>
  <si>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</si>
  <si>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</si>
  <si>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</si>
  <si>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</si>
  <si>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</si>
  <si>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</si>
  <si>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</si>
  <si>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</si>
  <si>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</si>
  <si>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</si>
  <si>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</si>
  <si>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</si>
  <si>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</si>
  <si>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</si>
  <si>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</si>
  <si>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</si>
  <si>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</si>
  <si>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</si>
  <si>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</si>
  <si>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</si>
  <si>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</si>
  <si>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</si>
  <si>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</si>
  <si>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</si>
  <si>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</si>
  <si>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</si>
  <si>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</si>
  <si>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</si>
  <si>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</si>
  <si>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</si>
  <si>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</si>
  <si>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</si>
  <si>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</si>
  <si>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</si>
  <si>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</si>
  <si>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</si>
  <si>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</si>
  <si>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</si>
  <si>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</si>
  <si>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</si>
  <si>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</si>
  <si>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</si>
  <si>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</si>
  <si>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</si>
  <si>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</si>
  <si>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</si>
  <si>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</si>
  <si>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</si>
  <si>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</si>
  <si>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EMD Class 67</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</si>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</sst>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T218"/>
  <sheetViews>
    <sheetView tabSelected="1" workbookViewId="0">
      <pane xSplit="1" ySplit="1" topLeftCell="AC61" activePane="bottomRight" state="frozenSplit"/>
      <selection pane="topRight" activeCell="B1" sqref="B1"/>
      <selection pane="bottomLeft" activeCell="A2" sqref="A2"/>
      <selection pane="bottomRight" activeCell="AI214" sqref="AI214"/>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5" width="7.85546875" customWidth="1"/>
    <col min="36" max="36" width="11.85546875" bestFit="1" customWidth="1"/>
    <col min="37" max="37" width="13.140625" bestFit="1" customWidth="1"/>
    <col min="38" max="38" width="9.42578125" bestFit="1" customWidth="1"/>
    <col min="44" max="44" width="15.7109375" bestFit="1" customWidth="1"/>
    <col min="45" max="45" width="21.7109375" bestFit="1" customWidth="1"/>
  </cols>
  <sheetData>
    <row r="1" spans="1:46" s="1" customFormat="1" x14ac:dyDescent="0.25">
      <c r="A1" s="1" t="s">
        <v>179</v>
      </c>
      <c r="B1" s="1" t="s">
        <v>180</v>
      </c>
      <c r="C1" s="1" t="s">
        <v>178</v>
      </c>
      <c r="D1" s="1" t="s">
        <v>368</v>
      </c>
      <c r="E1" s="1" t="s">
        <v>371</v>
      </c>
      <c r="F1" s="1" t="s">
        <v>182</v>
      </c>
      <c r="G1" s="1" t="s">
        <v>183</v>
      </c>
      <c r="H1" s="1" t="s">
        <v>184</v>
      </c>
      <c r="I1" s="1" t="s">
        <v>185</v>
      </c>
      <c r="J1" s="1" t="s">
        <v>186</v>
      </c>
      <c r="K1" s="1" t="s">
        <v>672</v>
      </c>
      <c r="L1" s="1" t="s">
        <v>482</v>
      </c>
      <c r="M1" s="1" t="s">
        <v>479</v>
      </c>
      <c r="N1" s="1" t="s">
        <v>480</v>
      </c>
      <c r="O1" s="1" t="s">
        <v>477</v>
      </c>
      <c r="P1" s="1" t="s">
        <v>478</v>
      </c>
      <c r="Q1" s="1" t="s">
        <v>483</v>
      </c>
      <c r="R1" s="1" t="s">
        <v>481</v>
      </c>
      <c r="S1" s="1" t="s">
        <v>187</v>
      </c>
      <c r="T1" s="1" t="s">
        <v>188</v>
      </c>
      <c r="U1" s="1" t="s">
        <v>374</v>
      </c>
      <c r="V1" s="1" t="s">
        <v>189</v>
      </c>
      <c r="W1" s="3" t="s">
        <v>362</v>
      </c>
      <c r="X1" s="1" t="s">
        <v>190</v>
      </c>
      <c r="Y1" s="1" t="s">
        <v>487</v>
      </c>
      <c r="Z1" s="1" t="s">
        <v>191</v>
      </c>
      <c r="AA1" s="1" t="s">
        <v>383</v>
      </c>
      <c r="AB1" s="1" t="s">
        <v>327</v>
      </c>
      <c r="AC1" s="1" t="s">
        <v>192</v>
      </c>
      <c r="AD1" s="1" t="s">
        <v>361</v>
      </c>
      <c r="AE1" s="1" t="s">
        <v>181</v>
      </c>
      <c r="AF1" s="1" t="s">
        <v>366</v>
      </c>
      <c r="AG1" s="1" t="s">
        <v>389</v>
      </c>
      <c r="AH1" s="1" t="s">
        <v>328</v>
      </c>
      <c r="AI1" s="1" t="s">
        <v>519</v>
      </c>
      <c r="AJ1" s="1" t="s">
        <v>520</v>
      </c>
      <c r="AK1" s="1" t="s">
        <v>603</v>
      </c>
      <c r="AL1" s="1" t="s">
        <v>367</v>
      </c>
      <c r="AM1" s="1" t="s">
        <v>375</v>
      </c>
      <c r="AN1" s="1" t="s">
        <v>376</v>
      </c>
      <c r="AO1" s="1" t="s">
        <v>406</v>
      </c>
      <c r="AP1" s="1" t="s">
        <v>380</v>
      </c>
      <c r="AQ1" s="1" t="s">
        <v>430</v>
      </c>
      <c r="AR1" s="1" t="s">
        <v>451</v>
      </c>
      <c r="AS1" s="1" t="s">
        <v>453</v>
      </c>
      <c r="AT1" s="1" t="s">
        <v>454</v>
      </c>
    </row>
    <row r="2" spans="1:46" x14ac:dyDescent="0.25">
      <c r="A2" t="s">
        <v>153</v>
      </c>
      <c r="B2" t="s">
        <v>353</v>
      </c>
      <c r="C2" t="s">
        <v>379</v>
      </c>
      <c r="E2" t="s">
        <v>401</v>
      </c>
      <c r="F2">
        <v>1800</v>
      </c>
      <c r="S2">
        <v>5</v>
      </c>
      <c r="U2">
        <v>5</v>
      </c>
      <c r="W2" s="4" t="str">
        <f>IF(AND(S2&gt;0,V2&gt;0),(V2/((S2+T2)*10)),"")</f>
        <v/>
      </c>
      <c r="X2">
        <v>35</v>
      </c>
      <c r="Z2">
        <v>4.9000000000000004</v>
      </c>
      <c r="AA2">
        <v>6</v>
      </c>
      <c r="AD2">
        <v>15</v>
      </c>
      <c r="AE2" t="str">
        <f>CONCATENATE(VLOOKUP(AF2, 'Voxel Sizes'!$A$2:$B$18,2,FALSE),"x",INT(AB2*15), "x", INT(AC2*15))</f>
        <v>60x0x0</v>
      </c>
      <c r="AF2">
        <f>ROUND(15*((AA2*10)/256),0)</f>
        <v>4</v>
      </c>
      <c r="AH2" t="str">
        <f>CONCATENATE(VLOOKUP(AF2,'Articulated Lengths'!$A$2:$C$16,IF(AG2&lt;&gt;"", 3, 2), FALSE),IF(AG2&lt;&gt;"",CONCATENATE(",",VLOOKUP(AG2,$B$2:$AH$213,33,FALSE)),""))</f>
        <v>1,2,1</v>
      </c>
      <c r="AM2">
        <v>10</v>
      </c>
      <c r="AN2">
        <v>10</v>
      </c>
      <c r="AP2" t="s">
        <v>384</v>
      </c>
      <c r="AQ2" t="str">
        <f>VLOOKUP(F2,Eras!$A$2:$C$12, 2, TRUE)</f>
        <v>early</v>
      </c>
      <c r="AR2" t="s">
        <v>447</v>
      </c>
      <c r="AS2" t="str">
        <f>CONCATENATE(AQ2,"_",AR2)</f>
        <v>early_Open Wagon</v>
      </c>
      <c r="AT2" t="s">
        <v>471</v>
      </c>
    </row>
    <row r="3" spans="1:46" x14ac:dyDescent="0.25">
      <c r="A3" t="s">
        <v>175</v>
      </c>
      <c r="B3" t="s">
        <v>286</v>
      </c>
      <c r="C3" t="s">
        <v>193</v>
      </c>
      <c r="E3" t="s">
        <v>373</v>
      </c>
      <c r="F3">
        <v>1802</v>
      </c>
      <c r="S3">
        <v>5</v>
      </c>
      <c r="W3" s="4" t="str">
        <f>IF(AND(S3&gt;0,V3&gt;0),(V3/((S3+T3)*10)),"")</f>
        <v/>
      </c>
      <c r="X3">
        <v>5</v>
      </c>
      <c r="AE3" t="str">
        <f>CONCATENATE(VLOOKUP(AF3, 'Voxel Sizes'!$A$2:$B$18,2,FALSE),"x",INT(AB3*15), "x", INT(AC3*15))</f>
        <v>0x0x0</v>
      </c>
      <c r="AF3">
        <f>ROUND(15*((AA3*10)/256),0)</f>
        <v>0</v>
      </c>
      <c r="AH3" t="str">
        <f>CONCATENATE(VLOOKUP(AF3,'Articulated Lengths'!$A$2:$C$16,IF(AG3&lt;&gt;"", 3, 2), FALSE),IF(AG3&lt;&gt;"",CONCATENATE(",",VLOOKUP(AG3,$B$2:$AH$213,33,FALSE)),""))</f>
        <v>na</v>
      </c>
      <c r="AM3">
        <v>10</v>
      </c>
      <c r="AN3">
        <v>10</v>
      </c>
      <c r="AQ3" t="str">
        <f>VLOOKUP(F3,Eras!$A$2:$C$12, 2, TRUE)</f>
        <v>early</v>
      </c>
      <c r="AR3" t="s">
        <v>434</v>
      </c>
      <c r="AS3" t="str">
        <f>CONCATENATE(AQ3,"_",AR3)</f>
        <v>early_Mixed Traffic</v>
      </c>
    </row>
    <row r="4" spans="1:46" x14ac:dyDescent="0.25">
      <c r="A4" t="s">
        <v>0</v>
      </c>
      <c r="B4" t="s">
        <v>194</v>
      </c>
      <c r="C4" t="s">
        <v>193</v>
      </c>
      <c r="E4" t="s">
        <v>372</v>
      </c>
      <c r="F4">
        <v>1812</v>
      </c>
      <c r="S4">
        <v>5</v>
      </c>
      <c r="W4" s="4" t="str">
        <f>IF(AND(S4&gt;0,V4&gt;0),(V4/((S4+T4)*10)),"")</f>
        <v/>
      </c>
      <c r="AE4" t="str">
        <f>CONCATENATE(VLOOKUP(AF4, 'Voxel Sizes'!$A$2:$B$18,2,FALSE),"x",INT(AB4*15), "x", INT(AC4*15))</f>
        <v>0x0x0</v>
      </c>
      <c r="AF4">
        <f>ROUND(15*((AA4*10)/256),0)</f>
        <v>0</v>
      </c>
      <c r="AH4" t="str">
        <f>CONCATENATE(VLOOKUP(AF4,'Articulated Lengths'!$A$2:$C$16,IF(AG4&lt;&gt;"", 3, 2), FALSE),IF(AG4&lt;&gt;"",CONCATENATE(",",VLOOKUP(AG4,$B$2:$AH$213,33,FALSE)),""))</f>
        <v>na</v>
      </c>
      <c r="AM4">
        <v>10</v>
      </c>
      <c r="AN4">
        <v>10</v>
      </c>
      <c r="AQ4" t="str">
        <f>VLOOKUP(F4,Eras!$A$2:$C$12, 2, TRUE)</f>
        <v>early</v>
      </c>
      <c r="AS4" t="str">
        <f>CONCATENATE(AQ4,"_",AR4)</f>
        <v>early_</v>
      </c>
    </row>
    <row r="5" spans="1:46" x14ac:dyDescent="0.25">
      <c r="A5" t="s">
        <v>1</v>
      </c>
      <c r="B5" t="s">
        <v>195</v>
      </c>
      <c r="C5" t="s">
        <v>193</v>
      </c>
      <c r="E5" t="s">
        <v>372</v>
      </c>
      <c r="F5">
        <v>1825</v>
      </c>
      <c r="S5">
        <v>7</v>
      </c>
      <c r="V5">
        <v>8.5</v>
      </c>
      <c r="W5" s="4">
        <f>IF(AND(S5&gt;0,V5&gt;0),(V5/((S5+T5)*10)),"")</f>
        <v>0.12142857142857143</v>
      </c>
      <c r="X5">
        <v>15</v>
      </c>
      <c r="AE5" t="str">
        <f>CONCATENATE(VLOOKUP(AF5, 'Voxel Sizes'!$A$2:$B$18,2,FALSE),"x",INT(AB5*15), "x", INT(AC5*15))</f>
        <v>0x0x0</v>
      </c>
      <c r="AF5">
        <f>ROUND(15*((AA5*10)/256),0)</f>
        <v>0</v>
      </c>
      <c r="AH5" t="str">
        <f>CONCATENATE(VLOOKUP(AF5,'Articulated Lengths'!$A$2:$C$16,IF(AG5&lt;&gt;"", 3, 2), FALSE),IF(AG5&lt;&gt;"",CONCATENATE(",",VLOOKUP(AG5,$B$2:$AH$213,33,FALSE)),""))</f>
        <v>na</v>
      </c>
      <c r="AM5">
        <v>10</v>
      </c>
      <c r="AN5">
        <v>10</v>
      </c>
      <c r="AQ5" t="str">
        <f>VLOOKUP(F5,Eras!$A$2:$C$12, 2, TRUE)</f>
        <v>early</v>
      </c>
      <c r="AR5" t="s">
        <v>434</v>
      </c>
      <c r="AS5" t="str">
        <f>CONCATENATE(AQ5,"_",AR5)</f>
        <v>early_Mixed Traffic</v>
      </c>
    </row>
    <row r="6" spans="1:46" x14ac:dyDescent="0.25">
      <c r="A6" t="s">
        <v>2</v>
      </c>
      <c r="B6" t="s">
        <v>196</v>
      </c>
      <c r="C6" t="s">
        <v>193</v>
      </c>
      <c r="E6" t="s">
        <v>372</v>
      </c>
      <c r="F6">
        <v>1830</v>
      </c>
      <c r="S6">
        <v>4.3</v>
      </c>
      <c r="W6" s="4" t="str">
        <f>IF(AND(S6&gt;0,V6&gt;0),(V6/((S6+T6)*10)),"")</f>
        <v/>
      </c>
      <c r="AE6" t="str">
        <f>CONCATENATE(VLOOKUP(AF6, 'Voxel Sizes'!$A$2:$B$18,2,FALSE),"x",INT(AB6*15), "x", INT(AC6*15))</f>
        <v>0x0x0</v>
      </c>
      <c r="AF6">
        <f>ROUND(15*((AA6*10)/256),0)</f>
        <v>0</v>
      </c>
      <c r="AH6" t="str">
        <f>CONCATENATE(VLOOKUP(AF6,'Articulated Lengths'!$A$2:$C$16,IF(AG6&lt;&gt;"", 3, 2), FALSE),IF(AG6&lt;&gt;"",CONCATENATE(",",VLOOKUP(AG6,$B$2:$AH$213,33,FALSE)),""))</f>
        <v>na</v>
      </c>
      <c r="AM6">
        <v>10</v>
      </c>
      <c r="AN6">
        <v>10</v>
      </c>
      <c r="AQ6" t="str">
        <f>VLOOKUP(F6,Eras!$A$2:$C$12, 2, TRUE)</f>
        <v>early</v>
      </c>
      <c r="AR6" t="s">
        <v>434</v>
      </c>
      <c r="AS6" t="str">
        <f>CONCATENATE(AQ6,"_",AR6)</f>
        <v>early_Mixed Traffic</v>
      </c>
    </row>
    <row r="7" spans="1:46" x14ac:dyDescent="0.25">
      <c r="A7" t="s">
        <v>167</v>
      </c>
      <c r="B7" t="s">
        <v>287</v>
      </c>
      <c r="C7" t="s">
        <v>193</v>
      </c>
      <c r="E7" t="s">
        <v>372</v>
      </c>
      <c r="F7">
        <v>1838</v>
      </c>
      <c r="V7">
        <v>9.6</v>
      </c>
      <c r="W7" s="4" t="str">
        <f>IF(AND(S7&gt;0,V7&gt;0),(V7/((S7+T7)*10)),"")</f>
        <v/>
      </c>
      <c r="X7">
        <v>45</v>
      </c>
      <c r="AE7" t="str">
        <f>CONCATENATE(VLOOKUP(AF7, 'Voxel Sizes'!$A$2:$B$18,2,FALSE),"x",INT(AB7*15), "x", INT(AC7*15))</f>
        <v>0x0x0</v>
      </c>
      <c r="AF7">
        <f>ROUND(15*((AA7*10)/256),0)</f>
        <v>0</v>
      </c>
      <c r="AH7" t="str">
        <f>CONCATENATE(VLOOKUP(AF7,'Articulated Lengths'!$A$2:$C$16,IF(AG7&lt;&gt;"", 3, 2), FALSE),IF(AG7&lt;&gt;"",CONCATENATE(",",VLOOKUP(AG7,$B$2:$AH$213,33,FALSE)),""))</f>
        <v>na</v>
      </c>
      <c r="AM7">
        <v>10</v>
      </c>
      <c r="AN7">
        <v>10</v>
      </c>
      <c r="AQ7" t="str">
        <f>VLOOKUP(F7,Eras!$A$2:$C$12, 2, TRUE)</f>
        <v>early</v>
      </c>
      <c r="AR7" t="s">
        <v>434</v>
      </c>
      <c r="AS7" t="str">
        <f>CONCATENATE(AQ7,"_",AR7)</f>
        <v>early_Mixed Traffic</v>
      </c>
    </row>
    <row r="8" spans="1:46" x14ac:dyDescent="0.25">
      <c r="A8" t="s">
        <v>168</v>
      </c>
      <c r="B8" t="s">
        <v>288</v>
      </c>
      <c r="C8" t="s">
        <v>193</v>
      </c>
      <c r="E8" t="s">
        <v>372</v>
      </c>
      <c r="F8">
        <v>1838</v>
      </c>
      <c r="W8" s="4" t="str">
        <f>IF(AND(S8&gt;0,V8&gt;0),(V8/((S8+T8)*10)),"")</f>
        <v/>
      </c>
      <c r="AE8" t="str">
        <f>CONCATENATE(VLOOKUP(AF8, 'Voxel Sizes'!$A$2:$B$18,2,FALSE),"x",INT(AB8*15), "x", INT(AC8*15))</f>
        <v>0x0x0</v>
      </c>
      <c r="AF8">
        <f>ROUND(15*((AA8*10)/256),0)</f>
        <v>0</v>
      </c>
      <c r="AH8" t="str">
        <f>CONCATENATE(VLOOKUP(AF8,'Articulated Lengths'!$A$2:$C$16,IF(AG8&lt;&gt;"", 3, 2), FALSE),IF(AG8&lt;&gt;"",CONCATENATE(",",VLOOKUP(AG8,$B$2:$AH$213,33,FALSE)),""))</f>
        <v>na</v>
      </c>
      <c r="AM8">
        <v>10</v>
      </c>
      <c r="AN8">
        <v>10</v>
      </c>
      <c r="AQ8" t="str">
        <f>VLOOKUP(F8,Eras!$A$2:$C$12, 2, TRUE)</f>
        <v>early</v>
      </c>
      <c r="AR8" t="s">
        <v>435</v>
      </c>
      <c r="AS8" t="str">
        <f>CONCATENATE(AQ8,"_",AR8)</f>
        <v>early_Express</v>
      </c>
    </row>
    <row r="9" spans="1:46" x14ac:dyDescent="0.25">
      <c r="A9" t="s">
        <v>3</v>
      </c>
      <c r="B9" t="s">
        <v>197</v>
      </c>
      <c r="C9" t="s">
        <v>193</v>
      </c>
      <c r="E9" t="s">
        <v>372</v>
      </c>
      <c r="F9">
        <v>1846</v>
      </c>
      <c r="S9">
        <v>19</v>
      </c>
      <c r="V9">
        <v>34</v>
      </c>
      <c r="W9" s="4">
        <f>IF(AND(S9&gt;0,V9&gt;0),(V9/((S9+T9)*10)),"")</f>
        <v>0.17894736842105263</v>
      </c>
      <c r="AE9" t="str">
        <f>CONCATENATE(VLOOKUP(AF9, 'Voxel Sizes'!$A$2:$B$18,2,FALSE),"x",INT(AB9*15), "x", INT(AC9*15))</f>
        <v>0x0x0</v>
      </c>
      <c r="AF9">
        <f>ROUND(15*((AA9*10)/256),0)</f>
        <v>0</v>
      </c>
      <c r="AH9" t="str">
        <f>CONCATENATE(VLOOKUP(AF9,'Articulated Lengths'!$A$2:$C$16,IF(AG9&lt;&gt;"", 3, 2), FALSE),IF(AG9&lt;&gt;"",CONCATENATE(",",VLOOKUP(AG9,$B$2:$AH$213,33,FALSE)),""))</f>
        <v>na</v>
      </c>
      <c r="AM9">
        <v>10</v>
      </c>
      <c r="AN9">
        <v>10</v>
      </c>
      <c r="AQ9" t="str">
        <f>VLOOKUP(F9,Eras!$A$2:$C$12, 2, TRUE)</f>
        <v>early</v>
      </c>
      <c r="AS9" t="str">
        <f>CONCATENATE(AQ9,"_",AR9)</f>
        <v>early_</v>
      </c>
    </row>
    <row r="10" spans="1:46" x14ac:dyDescent="0.25">
      <c r="A10" t="s">
        <v>6</v>
      </c>
      <c r="B10" t="s">
        <v>289</v>
      </c>
      <c r="C10" t="s">
        <v>193</v>
      </c>
      <c r="E10" t="s">
        <v>372</v>
      </c>
      <c r="F10">
        <v>1846</v>
      </c>
      <c r="S10">
        <v>42</v>
      </c>
      <c r="W10" s="4" t="str">
        <f>IF(AND(S10&gt;0,V10&gt;0),(V10/((S10+T10)*10)),"")</f>
        <v/>
      </c>
      <c r="Z10">
        <v>6</v>
      </c>
      <c r="AA10">
        <v>6</v>
      </c>
      <c r="AE10" t="str">
        <f>CONCATENATE(VLOOKUP(AF10, 'Voxel Sizes'!$A$2:$B$18,2,FALSE),"x",INT(AB10*15), "x", INT(AC10*15))</f>
        <v>60x0x0</v>
      </c>
      <c r="AF10">
        <f>ROUND(15*((AA10*10)/256),0)</f>
        <v>4</v>
      </c>
      <c r="AH10" t="str">
        <f>CONCATENATE(VLOOKUP(AF10,'Articulated Lengths'!$A$2:$C$16,IF(AG10&lt;&gt;"", 3, 2), FALSE),IF(AG10&lt;&gt;"",CONCATENATE(",",VLOOKUP(AG10,$B$2:$AH$213,33,FALSE)),""))</f>
        <v>1,2,1</v>
      </c>
      <c r="AM10">
        <v>10</v>
      </c>
      <c r="AN10">
        <v>10</v>
      </c>
      <c r="AQ10" t="str">
        <f>VLOOKUP(F10,Eras!$A$2:$C$12, 2, TRUE)</f>
        <v>early</v>
      </c>
      <c r="AS10" t="str">
        <f>CONCATENATE(AQ10,"_",AR10)</f>
        <v>early_</v>
      </c>
    </row>
    <row r="11" spans="1:46" x14ac:dyDescent="0.25">
      <c r="A11" t="s">
        <v>4</v>
      </c>
      <c r="B11" t="s">
        <v>198</v>
      </c>
      <c r="C11" t="s">
        <v>193</v>
      </c>
      <c r="E11" t="s">
        <v>372</v>
      </c>
      <c r="F11">
        <v>1847</v>
      </c>
      <c r="W11" s="4" t="str">
        <f>IF(AND(S11&gt;0,V11&gt;0),(V11/((S11+T11)*10)),"")</f>
        <v/>
      </c>
      <c r="X11">
        <v>60</v>
      </c>
      <c r="AE11" t="str">
        <f>CONCATENATE(VLOOKUP(AF11, 'Voxel Sizes'!$A$2:$B$18,2,FALSE),"x",INT(AB11*15), "x", INT(AC11*15))</f>
        <v>0x0x0</v>
      </c>
      <c r="AF11">
        <f>ROUND(15*((AA11*10)/256),0)</f>
        <v>0</v>
      </c>
      <c r="AH11" t="str">
        <f>CONCATENATE(VLOOKUP(AF11,'Articulated Lengths'!$A$2:$C$16,IF(AG11&lt;&gt;"", 3, 2), FALSE),IF(AG11&lt;&gt;"",CONCATENATE(",",VLOOKUP(AG11,$B$2:$AH$213,33,FALSE)),""))</f>
        <v>na</v>
      </c>
      <c r="AM11">
        <v>10</v>
      </c>
      <c r="AN11">
        <v>10</v>
      </c>
      <c r="AQ11" t="str">
        <f>VLOOKUP(F11,Eras!$A$2:$C$12, 2, TRUE)</f>
        <v>early</v>
      </c>
      <c r="AS11" t="str">
        <f>CONCATENATE(AQ11,"_",AR11)</f>
        <v>early_</v>
      </c>
    </row>
    <row r="12" spans="1:46" x14ac:dyDescent="0.25">
      <c r="A12" t="s">
        <v>5</v>
      </c>
      <c r="B12" t="s">
        <v>199</v>
      </c>
      <c r="C12" t="s">
        <v>193</v>
      </c>
      <c r="E12" t="s">
        <v>372</v>
      </c>
      <c r="F12">
        <v>1852</v>
      </c>
      <c r="S12">
        <v>64</v>
      </c>
      <c r="V12">
        <v>65</v>
      </c>
      <c r="W12" s="4">
        <f>IF(AND(S12&gt;0,V12&gt;0),(V12/((S12+T12)*10)),"")</f>
        <v>0.1015625</v>
      </c>
      <c r="AE12" t="str">
        <f>CONCATENATE(VLOOKUP(AF12, 'Voxel Sizes'!$A$2:$B$18,2,FALSE),"x",INT(AB12*15), "x", INT(AC12*15))</f>
        <v>0x0x0</v>
      </c>
      <c r="AF12">
        <f>ROUND(15*((AA12*10)/256),0)</f>
        <v>0</v>
      </c>
      <c r="AH12" t="str">
        <f>CONCATENATE(VLOOKUP(AF12,'Articulated Lengths'!$A$2:$C$16,IF(AG12&lt;&gt;"", 3, 2), FALSE),IF(AG12&lt;&gt;"",CONCATENATE(",",VLOOKUP(AG12,$B$2:$AH$213,33,FALSE)),""))</f>
        <v>na</v>
      </c>
      <c r="AM12">
        <v>10</v>
      </c>
      <c r="AN12">
        <v>10</v>
      </c>
      <c r="AQ12" t="str">
        <f>VLOOKUP(F12,Eras!$A$2:$C$12, 2, TRUE)</f>
        <v>vct</v>
      </c>
      <c r="AS12" t="str">
        <f>CONCATENATE(AQ12,"_",AR12)</f>
        <v>vct_</v>
      </c>
    </row>
    <row r="13" spans="1:46" x14ac:dyDescent="0.25">
      <c r="A13" t="s">
        <v>7</v>
      </c>
      <c r="B13" t="s">
        <v>290</v>
      </c>
      <c r="C13" t="s">
        <v>193</v>
      </c>
      <c r="E13" t="s">
        <v>372</v>
      </c>
      <c r="F13">
        <v>1859</v>
      </c>
      <c r="S13">
        <v>27.4</v>
      </c>
      <c r="W13" s="4" t="str">
        <f>IF(AND(S13&gt;0,V13&gt;0),(V13/((S13+T13)*10)),"")</f>
        <v/>
      </c>
      <c r="X13">
        <v>70</v>
      </c>
      <c r="AE13" t="str">
        <f>CONCATENATE(VLOOKUP(AF13, 'Voxel Sizes'!$A$2:$B$18,2,FALSE),"x",INT(AB13*15), "x", INT(AC13*15))</f>
        <v>0x0x0</v>
      </c>
      <c r="AF13">
        <f>ROUND(15*((AA13*10)/256),0)</f>
        <v>0</v>
      </c>
      <c r="AH13" t="str">
        <f>CONCATENATE(VLOOKUP(AF13,'Articulated Lengths'!$A$2:$C$16,IF(AG13&lt;&gt;"", 3, 2), FALSE),IF(AG13&lt;&gt;"",CONCATENATE(",",VLOOKUP(AG13,$B$2:$AH$213,33,FALSE)),""))</f>
        <v>na</v>
      </c>
      <c r="AM13">
        <v>10</v>
      </c>
      <c r="AN13">
        <v>10</v>
      </c>
      <c r="AQ13" t="str">
        <f>VLOOKUP(F13,Eras!$A$2:$C$12, 2, TRUE)</f>
        <v>vct</v>
      </c>
      <c r="AS13" t="str">
        <f>CONCATENATE(AQ13,"_",AR13)</f>
        <v>vct_</v>
      </c>
    </row>
    <row r="14" spans="1:46" x14ac:dyDescent="0.25">
      <c r="A14" t="s">
        <v>149</v>
      </c>
      <c r="B14" t="s">
        <v>377</v>
      </c>
      <c r="C14" t="s">
        <v>379</v>
      </c>
      <c r="E14" t="s">
        <v>372</v>
      </c>
      <c r="F14">
        <v>1862</v>
      </c>
      <c r="S14">
        <v>5</v>
      </c>
      <c r="U14">
        <v>5</v>
      </c>
      <c r="W14" s="4" t="str">
        <f>IF(AND(S14&gt;0,V14&gt;0),(V14/((S14+T14)*10)),"")</f>
        <v/>
      </c>
      <c r="X14">
        <v>35</v>
      </c>
      <c r="Z14">
        <v>4.9000000000000004</v>
      </c>
      <c r="AA14">
        <v>6</v>
      </c>
      <c r="AD14">
        <v>15</v>
      </c>
      <c r="AE14" t="str">
        <f>CONCATENATE(VLOOKUP(AF14, 'Voxel Sizes'!$A$2:$B$18,2,FALSE),"x",INT(AB14*15), "x", INT(AC14*15))</f>
        <v>60x0x0</v>
      </c>
      <c r="AF14">
        <f>ROUND(15*((AA14*10)/256),0)</f>
        <v>4</v>
      </c>
      <c r="AH14" t="str">
        <f>CONCATENATE(VLOOKUP(AF14,'Articulated Lengths'!$A$2:$C$16,IF(AG14&lt;&gt;"", 3, 2), FALSE),IF(AG14&lt;&gt;"",CONCATENATE(",",VLOOKUP(AG14,$B$2:$AH$213,33,FALSE)),""))</f>
        <v>1,2,1</v>
      </c>
      <c r="AM14">
        <v>10</v>
      </c>
      <c r="AN14">
        <v>10</v>
      </c>
      <c r="AP14" t="s">
        <v>382</v>
      </c>
      <c r="AQ14" t="str">
        <f>VLOOKUP(F14,Eras!$A$2:$C$12, 2, TRUE)</f>
        <v>vct</v>
      </c>
      <c r="AR14" t="s">
        <v>450</v>
      </c>
      <c r="AS14" t="str">
        <f>CONCATENATE(AQ14,"_",AR14)</f>
        <v>vct_Tanker</v>
      </c>
      <c r="AT14" t="s">
        <v>470</v>
      </c>
    </row>
    <row r="15" spans="1:46" x14ac:dyDescent="0.25">
      <c r="A15" t="s">
        <v>19</v>
      </c>
      <c r="B15" t="s">
        <v>200</v>
      </c>
      <c r="C15" t="s">
        <v>193</v>
      </c>
      <c r="E15" t="s">
        <v>372</v>
      </c>
      <c r="F15">
        <v>1868</v>
      </c>
      <c r="S15">
        <v>35.799999999999997</v>
      </c>
      <c r="V15">
        <v>65</v>
      </c>
      <c r="W15" s="4">
        <f>IF(AND(S15&gt;0,V15&gt;0),(V15/((S15+T15)*10)),"")</f>
        <v>0.18156424581005587</v>
      </c>
      <c r="Z15">
        <v>8.65</v>
      </c>
      <c r="AA15">
        <v>8.65</v>
      </c>
      <c r="AC15">
        <v>3.7</v>
      </c>
      <c r="AE15" t="str">
        <f>CONCATENATE(VLOOKUP(AF15, 'Voxel Sizes'!$A$2:$B$18,2,FALSE),"x",INT(AB15*15), "x", INT(AC15*15))</f>
        <v>82x0x55</v>
      </c>
      <c r="AF15">
        <f>ROUND(15*((AA15*10)/256),0)</f>
        <v>5</v>
      </c>
      <c r="AH15" t="str">
        <f>CONCATENATE(VLOOKUP(AF15,'Articulated Lengths'!$A$2:$C$16,IF(AG15&lt;&gt;"", 3, 2), FALSE),IF(AG15&lt;&gt;"",CONCATENATE(",",VLOOKUP(AG15,$B$2:$AH$213,33,FALSE)),""))</f>
        <v>1,3,1</v>
      </c>
      <c r="AM15">
        <v>10</v>
      </c>
      <c r="AN15">
        <v>10</v>
      </c>
      <c r="AQ15" t="str">
        <f>VLOOKUP(F15,Eras!$A$2:$C$12, 2, TRUE)</f>
        <v>vct</v>
      </c>
      <c r="AS15" t="str">
        <f>CONCATENATE(AQ15,"_",AR15)</f>
        <v>vct_</v>
      </c>
    </row>
    <row r="16" spans="1:46" x14ac:dyDescent="0.25">
      <c r="A16" t="s">
        <v>42</v>
      </c>
      <c r="B16" t="s">
        <v>291</v>
      </c>
      <c r="C16" t="s">
        <v>193</v>
      </c>
      <c r="E16" t="s">
        <v>372</v>
      </c>
      <c r="F16">
        <v>1872</v>
      </c>
      <c r="G16">
        <v>1880</v>
      </c>
      <c r="S16">
        <v>28</v>
      </c>
      <c r="V16">
        <v>34</v>
      </c>
      <c r="W16" s="4">
        <f>IF(AND(S16&gt;0,V16&gt;0),(V16/((S16+T16)*10)),"")</f>
        <v>0.12142857142857143</v>
      </c>
      <c r="X16">
        <v>45</v>
      </c>
      <c r="Z16">
        <v>7.94</v>
      </c>
      <c r="AA16">
        <v>7.94</v>
      </c>
      <c r="AE16" t="str">
        <f>CONCATENATE(VLOOKUP(AF16, 'Voxel Sizes'!$A$2:$B$18,2,FALSE),"x",INT(AB16*15), "x", INT(AC16*15))</f>
        <v>82x0x0</v>
      </c>
      <c r="AF16">
        <f>ROUND(15*((AA16*10)/256),0)</f>
        <v>5</v>
      </c>
      <c r="AH16" t="str">
        <f>CONCATENATE(VLOOKUP(AF16,'Articulated Lengths'!$A$2:$C$16,IF(AG16&lt;&gt;"", 3, 2), FALSE),IF(AG16&lt;&gt;"",CONCATENATE(",",VLOOKUP(AG16,$B$2:$AH$213,33,FALSE)),""))</f>
        <v>1,3,1</v>
      </c>
      <c r="AM16">
        <v>10</v>
      </c>
      <c r="AN16">
        <v>10</v>
      </c>
      <c r="AQ16" t="str">
        <f>VLOOKUP(F16,Eras!$A$2:$C$12, 2, TRUE)</f>
        <v>vct</v>
      </c>
      <c r="AS16" t="str">
        <f>CONCATENATE(AQ16,"_",AR16)</f>
        <v>vct_</v>
      </c>
    </row>
    <row r="17" spans="1:46" x14ac:dyDescent="0.25">
      <c r="A17" t="s">
        <v>9</v>
      </c>
      <c r="B17" t="s">
        <v>201</v>
      </c>
      <c r="C17" t="s">
        <v>193</v>
      </c>
      <c r="E17" t="s">
        <v>372</v>
      </c>
      <c r="F17">
        <v>1883</v>
      </c>
      <c r="S17">
        <f>41.6+34.3</f>
        <v>75.900000000000006</v>
      </c>
      <c r="V17">
        <v>75.400000000000006</v>
      </c>
      <c r="W17" s="4">
        <f>IF(AND(S17&gt;0,V17&gt;0),(V17/((S17+T17)*10)),"")</f>
        <v>9.9341238471673268E-2</v>
      </c>
      <c r="AE17" t="str">
        <f>CONCATENATE(VLOOKUP(AF17, 'Voxel Sizes'!$A$2:$B$18,2,FALSE),"x",INT(AB17*15), "x", INT(AC17*15))</f>
        <v>0x0x0</v>
      </c>
      <c r="AF17">
        <f>ROUND(15*((AA17*10)/256),0)</f>
        <v>0</v>
      </c>
      <c r="AH17" t="str">
        <f>CONCATENATE(VLOOKUP(AF17,'Articulated Lengths'!$A$2:$C$16,IF(AG17&lt;&gt;"", 3, 2), FALSE),IF(AG17&lt;&gt;"",CONCATENATE(",",VLOOKUP(AG17,$B$2:$AH$213,33,FALSE)),""))</f>
        <v>na</v>
      </c>
      <c r="AM17">
        <v>10</v>
      </c>
      <c r="AN17">
        <v>10</v>
      </c>
      <c r="AQ17" t="str">
        <f>VLOOKUP(F17,Eras!$A$2:$C$12, 2, TRUE)</f>
        <v>vct</v>
      </c>
      <c r="AS17" t="str">
        <f>CONCATENATE(AQ17,"_",AR17)</f>
        <v>vct_</v>
      </c>
    </row>
    <row r="18" spans="1:46" x14ac:dyDescent="0.25">
      <c r="A18" t="s">
        <v>169</v>
      </c>
      <c r="B18" t="s">
        <v>202</v>
      </c>
      <c r="C18" t="s">
        <v>193</v>
      </c>
      <c r="E18" t="s">
        <v>372</v>
      </c>
      <c r="F18">
        <v>1883</v>
      </c>
      <c r="S18">
        <v>41.2</v>
      </c>
      <c r="V18">
        <v>76</v>
      </c>
      <c r="W18" s="4">
        <f>IF(AND(S18&gt;0,V18&gt;0),(V18/((S18+T18)*10)),"")</f>
        <v>0.18446601941747573</v>
      </c>
      <c r="Z18">
        <v>14.4</v>
      </c>
      <c r="AA18">
        <v>14.4</v>
      </c>
      <c r="AE18" t="str">
        <f>CONCATENATE(VLOOKUP(AF18, 'Voxel Sizes'!$A$2:$B$18,2,FALSE),"x",INT(AB18*15), "x", INT(AC18*15))</f>
        <v>136x0x0</v>
      </c>
      <c r="AF18">
        <f>ROUND(15*((AA18*10)/256),0)</f>
        <v>8</v>
      </c>
      <c r="AH18" t="str">
        <f>CONCATENATE(VLOOKUP(AF18,'Articulated Lengths'!$A$2:$C$16,IF(AG18&lt;&gt;"", 3, 2), FALSE),IF(AG18&lt;&gt;"",CONCATENATE(",",VLOOKUP(AG18,$B$2:$AH$213,33,FALSE)),""))</f>
        <v>2,4,2</v>
      </c>
      <c r="AM18">
        <v>10</v>
      </c>
      <c r="AN18">
        <v>10</v>
      </c>
      <c r="AQ18" t="str">
        <f>VLOOKUP(F18,Eras!$A$2:$C$12, 2, TRUE)</f>
        <v>vct</v>
      </c>
      <c r="AS18" t="str">
        <f>CONCATENATE(AQ18,"_",AR18)</f>
        <v>vct_</v>
      </c>
    </row>
    <row r="19" spans="1:46" x14ac:dyDescent="0.25">
      <c r="A19" t="s">
        <v>15</v>
      </c>
      <c r="B19" t="s">
        <v>203</v>
      </c>
      <c r="C19" t="s">
        <v>193</v>
      </c>
      <c r="E19" t="s">
        <v>372</v>
      </c>
      <c r="F19">
        <v>1888</v>
      </c>
      <c r="S19">
        <v>42.6</v>
      </c>
      <c r="V19">
        <v>88</v>
      </c>
      <c r="W19" s="4">
        <f>IF(AND(S19&gt;0,V19&gt;0),(V19/((S19+T19)*10)),"")</f>
        <v>0.20657276995305165</v>
      </c>
      <c r="Z19">
        <v>14.99</v>
      </c>
      <c r="AA19">
        <v>14.99</v>
      </c>
      <c r="AE19" t="str">
        <f>CONCATENATE(VLOOKUP(AF19, 'Voxel Sizes'!$A$2:$B$18,2,FALSE),"x",INT(AB19*15), "x", INT(AC19*15))</f>
        <v>152x0x0</v>
      </c>
      <c r="AF19">
        <f>ROUND(15*((AA19*10)/256),0)</f>
        <v>9</v>
      </c>
      <c r="AH19" t="str">
        <f>CONCATENATE(VLOOKUP(AF19,'Articulated Lengths'!$A$2:$C$16,IF(AG19&lt;&gt;"", 3, 2), FALSE),IF(AG19&lt;&gt;"",CONCATENATE(",",VLOOKUP(AG19,$B$2:$AH$213,33,FALSE)),""))</f>
        <v>2,5,2</v>
      </c>
      <c r="AM19">
        <v>10</v>
      </c>
      <c r="AN19">
        <v>10</v>
      </c>
      <c r="AQ19" t="str">
        <f>VLOOKUP(F19,Eras!$A$2:$C$12, 2, TRUE)</f>
        <v>vct</v>
      </c>
      <c r="AS19" t="str">
        <f>CONCATENATE(AQ19,"_",AR19)</f>
        <v>vct_</v>
      </c>
    </row>
    <row r="20" spans="1:46" x14ac:dyDescent="0.25">
      <c r="A20" t="s">
        <v>8</v>
      </c>
      <c r="B20" t="s">
        <v>204</v>
      </c>
      <c r="C20" t="s">
        <v>193</v>
      </c>
      <c r="E20" t="s">
        <v>372</v>
      </c>
      <c r="F20">
        <v>1891</v>
      </c>
      <c r="W20" s="4" t="str">
        <f>IF(AND(S20&gt;0,V20&gt;0),(V20/((S20+T20)*10)),"")</f>
        <v/>
      </c>
      <c r="AE20" t="str">
        <f>CONCATENATE(VLOOKUP(AF20, 'Voxel Sizes'!$A$2:$B$18,2,FALSE),"x",INT(AB20*15), "x", INT(AC20*15))</f>
        <v>0x0x0</v>
      </c>
      <c r="AF20">
        <f>ROUND(15*((AA20*10)/256),0)</f>
        <v>0</v>
      </c>
      <c r="AH20" t="str">
        <f>CONCATENATE(VLOOKUP(AF20,'Articulated Lengths'!$A$2:$C$16,IF(AG20&lt;&gt;"", 3, 2), FALSE),IF(AG20&lt;&gt;"",CONCATENATE(",",VLOOKUP(AG20,$B$2:$AH$213,33,FALSE)),""))</f>
        <v>na</v>
      </c>
      <c r="AM20">
        <v>10</v>
      </c>
      <c r="AN20">
        <v>10</v>
      </c>
      <c r="AQ20" t="str">
        <f>VLOOKUP(F20,Eras!$A$2:$C$12, 2, TRUE)</f>
        <v>vct</v>
      </c>
      <c r="AR20" t="s">
        <v>435</v>
      </c>
      <c r="AS20" t="str">
        <f>CONCATENATE(AQ20,"_",AR20)</f>
        <v>vct_Express</v>
      </c>
    </row>
    <row r="21" spans="1:46" x14ac:dyDescent="0.25">
      <c r="A21" t="s">
        <v>17</v>
      </c>
      <c r="B21" t="s">
        <v>323</v>
      </c>
      <c r="C21" t="s">
        <v>193</v>
      </c>
      <c r="E21" t="s">
        <v>372</v>
      </c>
      <c r="F21">
        <v>1896</v>
      </c>
      <c r="S21">
        <v>48</v>
      </c>
      <c r="V21">
        <v>68</v>
      </c>
      <c r="W21" s="4">
        <f>IF(AND(S21&gt;0,V21&gt;0),(V21/((S21+T21)*10)),"")</f>
        <v>0.14166666666666666</v>
      </c>
      <c r="X21">
        <v>90</v>
      </c>
      <c r="AE21" t="str">
        <f>CONCATENATE(VLOOKUP(AF21, 'Voxel Sizes'!$A$2:$B$18,2,FALSE),"x",INT(AB21*15), "x", INT(AC21*15))</f>
        <v>0x0x0</v>
      </c>
      <c r="AF21">
        <f>ROUND(15*((AA21*10)/256),0)</f>
        <v>0</v>
      </c>
      <c r="AH21" t="str">
        <f>CONCATENATE(VLOOKUP(AF21,'Articulated Lengths'!$A$2:$C$16,IF(AG21&lt;&gt;"", 3, 2), FALSE),IF(AG21&lt;&gt;"",CONCATENATE(",",VLOOKUP(AG21,$B$2:$AH$213,33,FALSE)),""))</f>
        <v>na</v>
      </c>
      <c r="AM21">
        <v>10</v>
      </c>
      <c r="AN21">
        <v>10</v>
      </c>
      <c r="AQ21" t="str">
        <f>VLOOKUP(F21,Eras!$A$2:$C$12, 2, TRUE)</f>
        <v>vct</v>
      </c>
      <c r="AS21" t="str">
        <f>CONCATENATE(AQ21,"_",AR21)</f>
        <v>vct_</v>
      </c>
    </row>
    <row r="22" spans="1:46" x14ac:dyDescent="0.25">
      <c r="A22" t="s">
        <v>177</v>
      </c>
      <c r="B22" t="s">
        <v>205</v>
      </c>
      <c r="C22" t="s">
        <v>193</v>
      </c>
      <c r="E22" t="s">
        <v>372</v>
      </c>
      <c r="F22">
        <v>1897</v>
      </c>
      <c r="G22">
        <v>1911</v>
      </c>
      <c r="V22">
        <v>87</v>
      </c>
      <c r="W22" s="4" t="str">
        <f>IF(AND(S22&gt;0,V22&gt;0),(V22/((S22+T22)*10)),"")</f>
        <v/>
      </c>
      <c r="Z22">
        <v>10.5</v>
      </c>
      <c r="AA22">
        <v>10.5</v>
      </c>
      <c r="AE22" t="str">
        <f>CONCATENATE(VLOOKUP(AF22, 'Voxel Sizes'!$A$2:$B$18,2,FALSE),"x",INT(AB22*15), "x", INT(AC22*15))</f>
        <v>102x0x0</v>
      </c>
      <c r="AF22">
        <f>ROUND(15*((AA22*10)/256),0)</f>
        <v>6</v>
      </c>
      <c r="AH22" t="str">
        <f>CONCATENATE(VLOOKUP(AF22,'Articulated Lengths'!$A$2:$C$16,IF(AG22&lt;&gt;"", 3, 2), FALSE),IF(AG22&lt;&gt;"",CONCATENATE(",",VLOOKUP(AG22,$B$2:$AH$213,33,FALSE)),""))</f>
        <v>2,2,2</v>
      </c>
      <c r="AM22">
        <v>10</v>
      </c>
      <c r="AN22">
        <v>10</v>
      </c>
      <c r="AQ22" t="str">
        <f>VLOOKUP(F22,Eras!$A$2:$C$12, 2, TRUE)</f>
        <v>vct</v>
      </c>
      <c r="AS22" t="str">
        <f>CONCATENATE(AQ22,"_",AR22)</f>
        <v>vct_</v>
      </c>
    </row>
    <row r="23" spans="1:46" x14ac:dyDescent="0.25">
      <c r="A23" t="s">
        <v>12</v>
      </c>
      <c r="B23" t="s">
        <v>322</v>
      </c>
      <c r="C23" t="s">
        <v>193</v>
      </c>
      <c r="E23" t="s">
        <v>372</v>
      </c>
      <c r="F23">
        <v>1899</v>
      </c>
      <c r="W23" s="4" t="str">
        <f>IF(AND(S23&gt;0,V23&gt;0),(V23/((S23+T23)*10)),"")</f>
        <v/>
      </c>
      <c r="AE23" t="str">
        <f>CONCATENATE(VLOOKUP(AF23, 'Voxel Sizes'!$A$2:$B$18,2,FALSE),"x",INT(AB23*15), "x", INT(AC23*15))</f>
        <v>0x0x0</v>
      </c>
      <c r="AF23">
        <f>ROUND(15*((AA23*10)/256),0)</f>
        <v>0</v>
      </c>
      <c r="AH23" t="str">
        <f>CONCATENATE(VLOOKUP(AF23,'Articulated Lengths'!$A$2:$C$16,IF(AG23&lt;&gt;"", 3, 2), FALSE),IF(AG23&lt;&gt;"",CONCATENATE(",",VLOOKUP(AG23,$B$2:$AH$213,33,FALSE)),""))</f>
        <v>na</v>
      </c>
      <c r="AM23">
        <v>10</v>
      </c>
      <c r="AN23">
        <v>10</v>
      </c>
      <c r="AQ23" t="str">
        <f>VLOOKUP(F23,Eras!$A$2:$C$12, 2, TRUE)</f>
        <v>vct</v>
      </c>
      <c r="AS23" t="str">
        <f>CONCATENATE(AQ23,"_",AR23)</f>
        <v>vct_</v>
      </c>
    </row>
    <row r="24" spans="1:46" x14ac:dyDescent="0.25">
      <c r="A24" t="s">
        <v>173</v>
      </c>
      <c r="B24" t="s">
        <v>320</v>
      </c>
      <c r="C24" t="s">
        <v>193</v>
      </c>
      <c r="E24" t="s">
        <v>372</v>
      </c>
      <c r="F24">
        <v>1899</v>
      </c>
      <c r="G24">
        <v>1902</v>
      </c>
      <c r="S24">
        <v>49.5</v>
      </c>
      <c r="V24">
        <v>92</v>
      </c>
      <c r="W24" s="4">
        <f>IF(AND(S24&gt;0,V24&gt;0),(V24/((S24+T24)*10)),"")</f>
        <v>0.18585858585858586</v>
      </c>
      <c r="AE24" t="str">
        <f>CONCATENATE(VLOOKUP(AF24, 'Voxel Sizes'!$A$2:$B$18,2,FALSE),"x",INT(AB24*15), "x", INT(AC24*15))</f>
        <v>0x0x0</v>
      </c>
      <c r="AF24">
        <f>ROUND(15*((AA24*10)/256),0)</f>
        <v>0</v>
      </c>
      <c r="AH24" t="str">
        <f>CONCATENATE(VLOOKUP(AF24,'Articulated Lengths'!$A$2:$C$16,IF(AG24&lt;&gt;"", 3, 2), FALSE),IF(AG24&lt;&gt;"",CONCATENATE(",",VLOOKUP(AG24,$B$2:$AH$213,33,FALSE)),""))</f>
        <v>na</v>
      </c>
      <c r="AM24">
        <v>10</v>
      </c>
      <c r="AN24">
        <v>10</v>
      </c>
      <c r="AQ24" t="str">
        <f>VLOOKUP(F24,Eras!$A$2:$C$12, 2, TRUE)</f>
        <v>vct</v>
      </c>
      <c r="AS24" t="str">
        <f>CONCATENATE(AQ24,"_",AR24)</f>
        <v>vct_</v>
      </c>
    </row>
    <row r="25" spans="1:46" x14ac:dyDescent="0.25">
      <c r="A25" t="s">
        <v>539</v>
      </c>
      <c r="B25" t="s">
        <v>540</v>
      </c>
      <c r="C25" t="s">
        <v>389</v>
      </c>
      <c r="E25" t="s">
        <v>372</v>
      </c>
      <c r="F25">
        <v>1900</v>
      </c>
      <c r="S25">
        <v>42</v>
      </c>
      <c r="W25" s="4" t="str">
        <f>IF(AND(S25&gt;0,V25&gt;0),(V25/((S25+T25)*10)),"")</f>
        <v/>
      </c>
      <c r="Z25">
        <v>7.5</v>
      </c>
      <c r="AA25">
        <v>8</v>
      </c>
      <c r="AE25" t="str">
        <f>CONCATENATE(VLOOKUP(AF25, 'Voxel Sizes'!$A$2:$B$18,2,FALSE),"x",INT(AB25*15), "x", INT(AC25*15))</f>
        <v>82x0x0</v>
      </c>
      <c r="AF25">
        <f>ROUND(15*((AA25*10)/256),0)</f>
        <v>5</v>
      </c>
      <c r="AH25" t="str">
        <f>CONCATENATE(VLOOKUP(AF25,'Articulated Lengths'!$A$2:$C$16,IF(AG25&lt;&gt;"", 3, 2), FALSE),IF(AG25&lt;&gt;"",CONCATENATE(",",VLOOKUP(AG25,$B$2:$AH$213,33,FALSE)),""))</f>
        <v>1,3,1</v>
      </c>
      <c r="AM25">
        <v>10</v>
      </c>
      <c r="AN25">
        <v>10</v>
      </c>
      <c r="AQ25" t="str">
        <f>VLOOKUP(F25,Eras!$A$2:$C$12, 2, TRUE)</f>
        <v>edw</v>
      </c>
      <c r="AS25" t="str">
        <f>CONCATENATE(AQ25,"_",AR25)</f>
        <v>edw_</v>
      </c>
    </row>
    <row r="26" spans="1:46" x14ac:dyDescent="0.25">
      <c r="A26" t="s">
        <v>407</v>
      </c>
      <c r="B26" t="s">
        <v>408</v>
      </c>
      <c r="C26" t="s">
        <v>389</v>
      </c>
      <c r="E26" t="s">
        <v>372</v>
      </c>
      <c r="F26">
        <v>1900</v>
      </c>
      <c r="S26">
        <v>42</v>
      </c>
      <c r="W26" s="4" t="str">
        <f>IF(AND(S26&gt;0,V26&gt;0),(V26/((S26+T26)*10)),"")</f>
        <v/>
      </c>
      <c r="Z26">
        <v>7.5</v>
      </c>
      <c r="AA26">
        <v>8</v>
      </c>
      <c r="AE26" t="str">
        <f>CONCATENATE(VLOOKUP(AF26, 'Voxel Sizes'!$A$2:$B$18,2,FALSE),"x",INT(AB26*15), "x", INT(AC26*15))</f>
        <v>82x0x0</v>
      </c>
      <c r="AF26">
        <f>ROUND(15*((AA26*10)/256),0)</f>
        <v>5</v>
      </c>
      <c r="AH26" t="str">
        <f>CONCATENATE(VLOOKUP(AF26,'Articulated Lengths'!$A$2:$C$16,IF(AG26&lt;&gt;"", 3, 2), FALSE),IF(AG26&lt;&gt;"",CONCATENATE(",",VLOOKUP(AG26,$B$2:$AH$213,33,FALSE)),""))</f>
        <v>1,3,1</v>
      </c>
      <c r="AM26">
        <v>10</v>
      </c>
      <c r="AN26">
        <v>10</v>
      </c>
      <c r="AQ26" t="str">
        <f>VLOOKUP(F26,Eras!$A$2:$C$12, 2, TRUE)</f>
        <v>edw</v>
      </c>
      <c r="AS26" t="str">
        <f>CONCATENATE(AQ26,"_",AR26)</f>
        <v>edw_</v>
      </c>
    </row>
    <row r="27" spans="1:46" x14ac:dyDescent="0.25">
      <c r="A27" t="s">
        <v>507</v>
      </c>
      <c r="B27" t="s">
        <v>508</v>
      </c>
      <c r="C27" t="s">
        <v>389</v>
      </c>
      <c r="E27" t="s">
        <v>372</v>
      </c>
      <c r="F27">
        <v>1900</v>
      </c>
      <c r="S27">
        <v>42</v>
      </c>
      <c r="W27" s="4" t="str">
        <f>IF(AND(S27&gt;0,V27&gt;0),(V27/((S27+T27)*10)),"")</f>
        <v/>
      </c>
      <c r="Z27">
        <v>7.5</v>
      </c>
      <c r="AA27">
        <v>8</v>
      </c>
      <c r="AE27" t="str">
        <f>CONCATENATE(VLOOKUP(AF27, 'Voxel Sizes'!$A$2:$B$18,2,FALSE),"x",INT(AB27*15), "x", INT(AC27*15))</f>
        <v>82x0x0</v>
      </c>
      <c r="AF27">
        <f>ROUND(15*((AA27*10)/256),0)</f>
        <v>5</v>
      </c>
      <c r="AH27" t="str">
        <f>CONCATENATE(VLOOKUP(AF27,'Articulated Lengths'!$A$2:$C$16,IF(AG27&lt;&gt;"", 3, 2), FALSE),IF(AG27&lt;&gt;"",CONCATENATE(",",VLOOKUP(AG27,$B$2:$AH$213,33,FALSE)),""))</f>
        <v>1,3,1</v>
      </c>
      <c r="AM27">
        <v>10</v>
      </c>
      <c r="AN27">
        <v>10</v>
      </c>
      <c r="AQ27" t="str">
        <f>VLOOKUP(F27,Eras!$A$2:$C$12, 2, TRUE)</f>
        <v>edw</v>
      </c>
      <c r="AS27" t="str">
        <f>CONCATENATE(AQ27,"_",AR27)</f>
        <v>edw_</v>
      </c>
    </row>
    <row r="28" spans="1:46" x14ac:dyDescent="0.25">
      <c r="A28" t="s">
        <v>119</v>
      </c>
      <c r="B28" t="s">
        <v>253</v>
      </c>
      <c r="C28" t="s">
        <v>193</v>
      </c>
      <c r="E28" t="s">
        <v>372</v>
      </c>
      <c r="F28">
        <v>1900</v>
      </c>
      <c r="W28" s="4" t="str">
        <f>IF(AND(S28&gt;0,V28&gt;0),(V28/((S28+T28)*10)),"")</f>
        <v/>
      </c>
      <c r="AE28" t="str">
        <f>CONCATENATE(VLOOKUP(AF28, 'Voxel Sizes'!$A$2:$B$18,2,FALSE),"x",INT(AB28*15), "x", INT(AC28*15))</f>
        <v>0x0x0</v>
      </c>
      <c r="AF28">
        <f>ROUND(15*((AA28*10)/256),0)</f>
        <v>0</v>
      </c>
      <c r="AH28" t="str">
        <f>CONCATENATE(VLOOKUP(AF28,'Articulated Lengths'!$A$2:$C$16,IF(AG28&lt;&gt;"", 3, 2), FALSE),IF(AG28&lt;&gt;"",CONCATENATE(",",VLOOKUP(AG28,$B$2:$AH$213,33,FALSE)),""))</f>
        <v>na</v>
      </c>
      <c r="AM28">
        <v>10</v>
      </c>
      <c r="AN28">
        <v>10</v>
      </c>
      <c r="AQ28" t="str">
        <f>VLOOKUP(F28,Eras!$A$2:$C$12, 2, TRUE)</f>
        <v>edw</v>
      </c>
      <c r="AR28" t="s">
        <v>452</v>
      </c>
      <c r="AS28" t="str">
        <f>CONCATENATE(AQ28,"_",AR28)</f>
        <v>edw_LU</v>
      </c>
    </row>
    <row r="29" spans="1:46" x14ac:dyDescent="0.25">
      <c r="A29" t="s">
        <v>516</v>
      </c>
      <c r="B29" t="s">
        <v>517</v>
      </c>
      <c r="C29" t="s">
        <v>360</v>
      </c>
      <c r="D29" t="s">
        <v>369</v>
      </c>
      <c r="E29" t="s">
        <v>372</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IF(AND(S29&gt;0,V29&gt;0),(V29/((S29+T29)*10)),"")</f>
        <v>0.21304347826086956</v>
      </c>
      <c r="X29">
        <v>30</v>
      </c>
      <c r="Z29">
        <v>6.12</v>
      </c>
      <c r="AA29">
        <v>6.12</v>
      </c>
      <c r="AE29" t="str">
        <f>CONCATENATE(VLOOKUP(AF29, 'Voxel Sizes'!$A$2:$B$18,2,FALSE),"x",INT(AB29*15), "x", INT(AC29*15))</f>
        <v>60x0x0</v>
      </c>
      <c r="AF29">
        <f>ROUND(15*((AA29*10)/256),0)</f>
        <v>4</v>
      </c>
      <c r="AH29" t="str">
        <f>CONCATENATE(VLOOKUP(AF29,'Articulated Lengths'!$A$2:$C$16,IF(AG29&lt;&gt;"", 3, 2), FALSE),IF(AG29&lt;&gt;"",CONCATENATE(",",VLOOKUP(AG29,$B$2:$AH$213,33,FALSE)),""))</f>
        <v>1,2,1</v>
      </c>
      <c r="AL29">
        <v>1</v>
      </c>
      <c r="AM29">
        <v>10</v>
      </c>
      <c r="AN29">
        <v>10</v>
      </c>
      <c r="AQ29" t="str">
        <f>VLOOKUP(F29,Eras!$A$2:$C$12, 2, TRUE)</f>
        <v>edw</v>
      </c>
      <c r="AR29" t="s">
        <v>433</v>
      </c>
      <c r="AS29" t="str">
        <f>CONCATENATE(AQ29,"_",AR29)</f>
        <v>edw_Cheap</v>
      </c>
      <c r="AT29" t="s">
        <v>518</v>
      </c>
    </row>
    <row r="30" spans="1:46" x14ac:dyDescent="0.25">
      <c r="A30" t="s">
        <v>525</v>
      </c>
      <c r="B30" t="s">
        <v>526</v>
      </c>
      <c r="C30" t="s">
        <v>379</v>
      </c>
      <c r="E30" t="s">
        <v>372</v>
      </c>
      <c r="F30">
        <v>1901</v>
      </c>
      <c r="S30">
        <v>14</v>
      </c>
      <c r="U30">
        <v>5</v>
      </c>
      <c r="W30" s="4" t="str">
        <f>IF(AND(S30&gt;0,V30&gt;0),(V30/((S30+T30)*10)),"")</f>
        <v/>
      </c>
      <c r="X30">
        <v>55</v>
      </c>
      <c r="Z30">
        <v>8</v>
      </c>
      <c r="AA30">
        <v>8</v>
      </c>
      <c r="AD30">
        <v>21</v>
      </c>
      <c r="AE30" t="str">
        <f>CONCATENATE(VLOOKUP(AF30, 'Voxel Sizes'!$A$2:$B$18,2,FALSE),"x",INT(AB30*15), "x", INT(AC30*15))</f>
        <v>82x0x0</v>
      </c>
      <c r="AF30">
        <f>ROUND(15*((AA30*10)/256),0)</f>
        <v>5</v>
      </c>
      <c r="AH30" t="str">
        <f>CONCATENATE(VLOOKUP(AF30,'Articulated Lengths'!$A$2:$C$16,IF(AG30&lt;&gt;"", 3, 2), FALSE),IF(AG30&lt;&gt;"",CONCATENATE(",",VLOOKUP(AG30,$B$2:$AH$213,33,FALSE)),""))</f>
        <v>1,3,1</v>
      </c>
      <c r="AM30">
        <v>10</v>
      </c>
      <c r="AN30">
        <v>10</v>
      </c>
      <c r="AP30" t="s">
        <v>382</v>
      </c>
      <c r="AQ30" t="str">
        <f>VLOOKUP(F30,Eras!$A$2:$C$12, 2, TRUE)</f>
        <v>edw</v>
      </c>
      <c r="AR30" t="s">
        <v>450</v>
      </c>
      <c r="AS30" t="str">
        <f>CONCATENATE(AQ30,"_",AR30)</f>
        <v>edw_Tanker</v>
      </c>
      <c r="AT30" t="s">
        <v>527</v>
      </c>
    </row>
    <row r="31" spans="1:46" x14ac:dyDescent="0.25">
      <c r="A31" t="s">
        <v>16</v>
      </c>
      <c r="B31" t="s">
        <v>321</v>
      </c>
      <c r="C31" t="s">
        <v>360</v>
      </c>
      <c r="D31" t="s">
        <v>369</v>
      </c>
      <c r="E31" t="s">
        <v>372</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IF(AND(S31&gt;0,V31&gt;0),(V31/((S31+T31)*10)),"")</f>
        <v>9.3269230769230771E-2</v>
      </c>
      <c r="X31">
        <v>80</v>
      </c>
      <c r="Z31">
        <v>17.268999999999998</v>
      </c>
      <c r="AA31">
        <f>Z31-7.5</f>
        <v>9.7689999999999984</v>
      </c>
      <c r="AE31" t="str">
        <f>CONCATENATE(VLOOKUP(AF31, 'Voxel Sizes'!$A$2:$B$18,2,FALSE),"x",INT(AB31*15), "x", INT(AC31*15))</f>
        <v>102x0x0</v>
      </c>
      <c r="AF31">
        <f>ROUND(15*((AA31*10)/256),0)</f>
        <v>6</v>
      </c>
      <c r="AG31" t="s">
        <v>408</v>
      </c>
      <c r="AH31" t="str">
        <f>CONCATENATE(VLOOKUP(AF31,'Articulated Lengths'!$A$2:$C$16,IF(AG31&lt;&gt;"", 3, 2), FALSE),IF(AG31&lt;&gt;"",CONCATENATE(",",VLOOKUP(AG31,$B$2:$AH$213,33,FALSE)),""))</f>
        <v>2,2,3,1,3,1</v>
      </c>
      <c r="AL31">
        <v>1</v>
      </c>
      <c r="AM31">
        <v>10</v>
      </c>
      <c r="AN31">
        <v>10</v>
      </c>
      <c r="AQ31" t="str">
        <f>VLOOKUP(F31,Eras!$A$2:$C$12, 2, TRUE)</f>
        <v>edw</v>
      </c>
      <c r="AR31" t="s">
        <v>435</v>
      </c>
      <c r="AS31" t="str">
        <f>CONCATENATE(AQ31,"_",AR31)</f>
        <v>edw_Express</v>
      </c>
      <c r="AT31" t="s">
        <v>455</v>
      </c>
    </row>
    <row r="32" spans="1:46" x14ac:dyDescent="0.25">
      <c r="A32" t="s">
        <v>154</v>
      </c>
      <c r="B32" t="s">
        <v>354</v>
      </c>
      <c r="C32" t="s">
        <v>379</v>
      </c>
      <c r="E32" t="s">
        <v>372</v>
      </c>
      <c r="F32">
        <v>1902</v>
      </c>
      <c r="S32">
        <v>8</v>
      </c>
      <c r="U32">
        <v>5</v>
      </c>
      <c r="W32" s="4" t="str">
        <f>IF(AND(S32&gt;0,V32&gt;0),(V32/((S32+T32)*10)),"")</f>
        <v/>
      </c>
      <c r="X32">
        <v>55</v>
      </c>
      <c r="Z32">
        <v>4.9000000000000004</v>
      </c>
      <c r="AA32">
        <v>6</v>
      </c>
      <c r="AD32">
        <v>21</v>
      </c>
      <c r="AE32" t="str">
        <f>CONCATENATE(VLOOKUP(AF32, 'Voxel Sizes'!$A$2:$B$18,2,FALSE),"x",INT(AB32*15), "x", INT(AC32*15))</f>
        <v>60x0x0</v>
      </c>
      <c r="AF32">
        <f>ROUND(15*((AA32*10)/256),0)</f>
        <v>4</v>
      </c>
      <c r="AH32" t="str">
        <f>CONCATENATE(VLOOKUP(AF32,'Articulated Lengths'!$A$2:$C$16,IF(AG32&lt;&gt;"", 3, 2), FALSE),IF(AG32&lt;&gt;"",CONCATENATE(",",VLOOKUP(AG32,$B$2:$AH$213,33,FALSE)),""))</f>
        <v>1,2,1</v>
      </c>
      <c r="AM32">
        <v>10</v>
      </c>
      <c r="AN32">
        <v>10</v>
      </c>
      <c r="AP32" t="s">
        <v>384</v>
      </c>
      <c r="AQ32" t="str">
        <f>VLOOKUP(F32,Eras!$A$2:$C$12, 2, TRUE)</f>
        <v>edw</v>
      </c>
      <c r="AR32" t="s">
        <v>447</v>
      </c>
      <c r="AS32" t="str">
        <f>CONCATENATE(AQ32,"_",AR32)</f>
        <v>edw_Open Wagon</v>
      </c>
      <c r="AT32" t="s">
        <v>472</v>
      </c>
    </row>
    <row r="33" spans="1:46" x14ac:dyDescent="0.25">
      <c r="A33" t="s">
        <v>533</v>
      </c>
      <c r="B33" t="s">
        <v>534</v>
      </c>
      <c r="C33" t="s">
        <v>379</v>
      </c>
      <c r="E33" t="s">
        <v>372</v>
      </c>
      <c r="F33">
        <v>1902</v>
      </c>
      <c r="S33">
        <v>7</v>
      </c>
      <c r="U33">
        <v>5</v>
      </c>
      <c r="W33" s="4" t="str">
        <f>IF(AND(S33&gt;0,V33&gt;0),(V33/((S33+T33)*10)),"")</f>
        <v/>
      </c>
      <c r="X33">
        <v>60</v>
      </c>
      <c r="Z33">
        <v>8</v>
      </c>
      <c r="AA33">
        <v>8</v>
      </c>
      <c r="AD33">
        <v>24</v>
      </c>
      <c r="AE33" t="str">
        <f>CONCATENATE(VLOOKUP(AF33, 'Voxel Sizes'!$A$2:$B$18,2,FALSE),"x",INT(AB33*15), "x", INT(AC33*15))</f>
        <v>82x0x0</v>
      </c>
      <c r="AF33">
        <f>ROUND(15*((AA33*10)/256),0)</f>
        <v>5</v>
      </c>
      <c r="AH33" t="str">
        <f>CONCATENATE(VLOOKUP(AF33,'Articulated Lengths'!$A$2:$C$16,IF(AG33&lt;&gt;"", 3, 2), FALSE),IF(AG33&lt;&gt;"",CONCATENATE(",",VLOOKUP(AG33,$B$2:$AH$213,33,FALSE)),""))</f>
        <v>1,3,1</v>
      </c>
      <c r="AM33">
        <v>10</v>
      </c>
      <c r="AN33">
        <v>10</v>
      </c>
      <c r="AP33" t="s">
        <v>384</v>
      </c>
      <c r="AQ33" t="str">
        <f>VLOOKUP(F33,Eras!$A$2:$C$12, 2, TRUE)</f>
        <v>edw</v>
      </c>
      <c r="AR33" t="s">
        <v>449</v>
      </c>
      <c r="AS33" t="str">
        <f>CONCATENATE(AQ33,"_",AR33)</f>
        <v>edw_Van</v>
      </c>
      <c r="AT33" t="s">
        <v>532</v>
      </c>
    </row>
    <row r="34" spans="1:46" x14ac:dyDescent="0.25">
      <c r="A34" t="s">
        <v>67</v>
      </c>
      <c r="B34" t="s">
        <v>206</v>
      </c>
      <c r="C34" t="s">
        <v>360</v>
      </c>
      <c r="D34" t="s">
        <v>394</v>
      </c>
      <c r="E34" t="s">
        <v>395</v>
      </c>
      <c r="F34">
        <v>1903</v>
      </c>
      <c r="G34">
        <v>1904</v>
      </c>
      <c r="J34">
        <v>640</v>
      </c>
      <c r="S34">
        <v>57</v>
      </c>
      <c r="V34">
        <v>111</v>
      </c>
      <c r="W34" s="4">
        <f>IF(AND(S34&gt;0,V34&gt;0),(V34/((S34+T34)*10)),"")</f>
        <v>0.19473684210526315</v>
      </c>
      <c r="X34">
        <v>27</v>
      </c>
      <c r="Z34">
        <v>11.56</v>
      </c>
      <c r="AA34">
        <v>11.56</v>
      </c>
      <c r="AC34">
        <v>3.93</v>
      </c>
      <c r="AE34" t="str">
        <f>CONCATENATE(VLOOKUP(AF34, 'Voxel Sizes'!$A$2:$B$18,2,FALSE),"x",INT(AB34*15), "x", INT(AC34*15))</f>
        <v>120x0x58</v>
      </c>
      <c r="AF34">
        <f>ROUND(15*((AA34*10)/256),0)</f>
        <v>7</v>
      </c>
      <c r="AH34" t="str">
        <f>CONCATENATE(VLOOKUP(AF34,'Articulated Lengths'!$A$2:$C$16,IF(AG34&lt;&gt;"", 3, 2), FALSE),IF(AG34&lt;&gt;"",CONCATENATE(",",VLOOKUP(AG34,$B$2:$AH$213,33,FALSE)),""))</f>
        <v>2,3,2</v>
      </c>
      <c r="AM34">
        <v>10</v>
      </c>
      <c r="AN34">
        <v>10</v>
      </c>
      <c r="AQ34" t="str">
        <f>VLOOKUP(F34,Eras!$A$2:$C$12, 2, TRUE)</f>
        <v>edw</v>
      </c>
      <c r="AR34" t="s">
        <v>446</v>
      </c>
      <c r="AS34" t="str">
        <f>CONCATENATE(AQ34,"_",AR34)</f>
        <v>edw_Freight (Electric)</v>
      </c>
      <c r="AT34" t="s">
        <v>457</v>
      </c>
    </row>
    <row r="35" spans="1:46" x14ac:dyDescent="0.25">
      <c r="A35" t="s">
        <v>174</v>
      </c>
      <c r="B35" t="s">
        <v>207</v>
      </c>
      <c r="C35" t="s">
        <v>360</v>
      </c>
      <c r="D35" t="s">
        <v>370</v>
      </c>
      <c r="E35" t="s">
        <v>372</v>
      </c>
      <c r="F35">
        <v>1903</v>
      </c>
      <c r="J35">
        <v>85</v>
      </c>
      <c r="S35">
        <v>35</v>
      </c>
      <c r="V35">
        <v>45</v>
      </c>
      <c r="W35" s="4">
        <f>IF(AND(S35&gt;0,V35&gt;0),(V35/((S35+T35)*10)),"")</f>
        <v>0.12857142857142856</v>
      </c>
      <c r="X35">
        <v>40</v>
      </c>
      <c r="Z35">
        <v>16.7</v>
      </c>
      <c r="AA35">
        <v>16.7</v>
      </c>
      <c r="AB35">
        <v>2.59</v>
      </c>
      <c r="AC35">
        <v>3.98</v>
      </c>
      <c r="AD35">
        <v>48</v>
      </c>
      <c r="AE35" t="str">
        <f>CONCATENATE(VLOOKUP(AF35, 'Voxel Sizes'!$A$2:$B$18,2,FALSE),"x",INT(AB35*15), "x", INT(AC35*15))</f>
        <v>164x38x59</v>
      </c>
      <c r="AF35">
        <f>ROUND(15*((AA35*10)/256),0)</f>
        <v>10</v>
      </c>
      <c r="AH35" t="str">
        <f>CONCATENATE(VLOOKUP(AF35,'Articulated Lengths'!$A$2:$C$16,IF(AG35&lt;&gt;"", 3, 2), FALSE),IF(AG35&lt;&gt;"",CONCATENATE(",",VLOOKUP(AG35,$B$2:$AH$213,33,FALSE)),""))</f>
        <v>3,4,3</v>
      </c>
      <c r="AM35">
        <v>10</v>
      </c>
      <c r="AN35">
        <v>10</v>
      </c>
      <c r="AP35" t="s">
        <v>381</v>
      </c>
      <c r="AQ35" t="str">
        <f>VLOOKUP(F35,Eras!$A$2:$C$12, 2, TRUE)</f>
        <v>edw</v>
      </c>
      <c r="AR35" t="s">
        <v>437</v>
      </c>
      <c r="AS35" t="str">
        <f>CONCATENATE(AQ35,"_",AR35)</f>
        <v>edw_DMU (Cheap)</v>
      </c>
      <c r="AT35" t="s">
        <v>456</v>
      </c>
    </row>
    <row r="36" spans="1:46" x14ac:dyDescent="0.25">
      <c r="A36" t="s">
        <v>513</v>
      </c>
      <c r="B36" t="s">
        <v>514</v>
      </c>
      <c r="C36" t="s">
        <v>379</v>
      </c>
      <c r="E36" t="s">
        <v>372</v>
      </c>
      <c r="F36">
        <v>1904</v>
      </c>
      <c r="S36">
        <v>34</v>
      </c>
      <c r="U36">
        <v>8</v>
      </c>
      <c r="W36" s="4" t="str">
        <f>IF(AND(S36&gt;0,V36&gt;0),(V36/((S36+T36)*10)),"")</f>
        <v/>
      </c>
      <c r="X36">
        <v>80</v>
      </c>
      <c r="Z36">
        <v>17.7</v>
      </c>
      <c r="AA36">
        <v>17.7</v>
      </c>
      <c r="AB36">
        <v>2.83</v>
      </c>
      <c r="AC36">
        <v>3.79</v>
      </c>
      <c r="AD36">
        <v>48</v>
      </c>
      <c r="AE36" t="str">
        <f>CONCATENATE(VLOOKUP(AF36, 'Voxel Sizes'!$A$2:$B$18,2,FALSE),"x",INT(AB36*15), "x", INT(AC36*15))</f>
        <v>164x42x56</v>
      </c>
      <c r="AF36">
        <f>ROUND(15*((AA36*10)/256),0)</f>
        <v>10</v>
      </c>
      <c r="AH36" t="str">
        <f>CONCATENATE(VLOOKUP(AF36,'Articulated Lengths'!$A$2:$C$16,IF(AG36&lt;&gt;"", 3, 2), FALSE),IF(AG36&lt;&gt;"",CONCATENATE(",",VLOOKUP(AG36,$B$2:$AH$213,33,FALSE)),""))</f>
        <v>3,4,3</v>
      </c>
      <c r="AM36">
        <v>10</v>
      </c>
      <c r="AN36">
        <v>10</v>
      </c>
      <c r="AP36" t="s">
        <v>381</v>
      </c>
      <c r="AQ36" t="str">
        <f>VLOOKUP(F36,Eras!$A$2:$C$12, 2, TRUE)</f>
        <v>edw</v>
      </c>
      <c r="AR36" t="s">
        <v>442</v>
      </c>
      <c r="AS36" t="str">
        <f>CONCATENATE(AQ36,"_",AR36)</f>
        <v>edw_Carriage</v>
      </c>
      <c r="AT36" t="s">
        <v>515</v>
      </c>
    </row>
    <row r="37" spans="1:46" x14ac:dyDescent="0.25">
      <c r="A37" t="s">
        <v>18</v>
      </c>
      <c r="B37" t="s">
        <v>208</v>
      </c>
      <c r="C37" t="s">
        <v>360</v>
      </c>
      <c r="D37" t="s">
        <v>369</v>
      </c>
      <c r="E37" t="s">
        <v>372</v>
      </c>
      <c r="F37">
        <v>1904</v>
      </c>
      <c r="H37">
        <v>1962</v>
      </c>
      <c r="J37">
        <v>730</v>
      </c>
      <c r="L37">
        <v>18</v>
      </c>
      <c r="M37">
        <v>26</v>
      </c>
      <c r="N37">
        <v>2</v>
      </c>
      <c r="O37">
        <v>160</v>
      </c>
      <c r="P37" s="5">
        <f>((($X37/2)/60)*5280)/($Q37*3.2*PI())</f>
        <v>150.4511571415573</v>
      </c>
      <c r="Q37">
        <v>1.6</v>
      </c>
      <c r="R37">
        <f>((($L37*$L37/4)*PI())*($M37/12)*$N37*$O37*$P37)/(33000*1.1)</f>
        <v>731.24999999999977</v>
      </c>
      <c r="S37">
        <v>55</v>
      </c>
      <c r="V37">
        <v>77</v>
      </c>
      <c r="W37" s="4">
        <f>IF(AND(S37&gt;0,V37&gt;0),(V37/((S37+T37)*10)),"")</f>
        <v>0.14000000000000001</v>
      </c>
      <c r="X37">
        <v>55</v>
      </c>
      <c r="Z37">
        <v>10.02</v>
      </c>
      <c r="AA37">
        <v>10.02</v>
      </c>
      <c r="AE37" t="str">
        <f>CONCATENATE(VLOOKUP(AF37, 'Voxel Sizes'!$A$2:$B$18,2,FALSE),"x",INT(AB37*15), "x", INT(AC37*15))</f>
        <v>102x0x0</v>
      </c>
      <c r="AF37">
        <f>ROUND(15*((AA37*10)/256),0)</f>
        <v>6</v>
      </c>
      <c r="AH37" t="str">
        <f>CONCATENATE(VLOOKUP(AF37,'Articulated Lengths'!$A$2:$C$16,IF(AG37&lt;&gt;"", 3, 2), FALSE),IF(AG37&lt;&gt;"",CONCATENATE(",",VLOOKUP(AG37,$B$2:$AH$213,33,FALSE)),""))</f>
        <v>2,2,2</v>
      </c>
      <c r="AL37">
        <v>1</v>
      </c>
      <c r="AM37">
        <v>10</v>
      </c>
      <c r="AN37">
        <v>10</v>
      </c>
      <c r="AQ37" t="str">
        <f>VLOOKUP(F37,Eras!$A$2:$C$12, 2, TRUE)</f>
        <v>edw</v>
      </c>
      <c r="AR37" t="s">
        <v>484</v>
      </c>
      <c r="AS37" t="str">
        <f>CONCATENATE(AQ37,"_",AR37)</f>
        <v>edw_Passenger</v>
      </c>
      <c r="AT37" t="s">
        <v>476</v>
      </c>
    </row>
    <row r="38" spans="1:46" ht="14.25" customHeight="1" x14ac:dyDescent="0.25">
      <c r="A38" t="s">
        <v>20</v>
      </c>
      <c r="B38" t="s">
        <v>486</v>
      </c>
      <c r="C38" t="s">
        <v>360</v>
      </c>
      <c r="D38" t="s">
        <v>369</v>
      </c>
      <c r="E38" t="s">
        <v>372</v>
      </c>
      <c r="F38">
        <v>1904</v>
      </c>
      <c r="G38">
        <v>1914</v>
      </c>
      <c r="J38">
        <v>850</v>
      </c>
      <c r="L38">
        <v>17</v>
      </c>
      <c r="M38">
        <v>24</v>
      </c>
      <c r="N38">
        <v>2</v>
      </c>
      <c r="O38">
        <v>180</v>
      </c>
      <c r="P38" s="5">
        <f>((($X38/2)/60)*5280)/($Q38*3.2*PI())</f>
        <v>192.57748114119337</v>
      </c>
      <c r="Q38">
        <v>1.25</v>
      </c>
      <c r="R38">
        <f>((($L38*$L38/4)*PI())*($M38/12)*$N38*$O38*$P38)/(33000*1.1)</f>
        <v>867</v>
      </c>
      <c r="S38">
        <v>63.4</v>
      </c>
      <c r="V38">
        <v>95</v>
      </c>
      <c r="W38" s="4">
        <f>IF(AND(S38&gt;0,V38&gt;0),(V38/((S38+T38)*10)),"")</f>
        <v>0.14984227129337541</v>
      </c>
      <c r="X38">
        <v>55</v>
      </c>
      <c r="Z38">
        <v>11.5</v>
      </c>
      <c r="AA38">
        <v>11.5</v>
      </c>
      <c r="AE38" t="str">
        <f>CONCATENATE(VLOOKUP(AF38, 'Voxel Sizes'!$A$2:$B$18,2,FALSE),"x",INT(AB38*15), "x", INT(AC38*15))</f>
        <v>120x0x0</v>
      </c>
      <c r="AF38">
        <f>ROUND(15*((AA38*10)/256),0)</f>
        <v>7</v>
      </c>
      <c r="AH38" t="str">
        <f>CONCATENATE(VLOOKUP(AF38,'Articulated Lengths'!$A$2:$C$16,IF(AG38&lt;&gt;"", 3, 2), FALSE),IF(AG38&lt;&gt;"",CONCATENATE(",",VLOOKUP(AG38,$B$2:$AH$213,33,FALSE)),""))</f>
        <v>2,3,2</v>
      </c>
      <c r="AL38">
        <v>1</v>
      </c>
      <c r="AM38">
        <v>10</v>
      </c>
      <c r="AN38">
        <v>10</v>
      </c>
      <c r="AQ38" t="str">
        <f>VLOOKUP(F38,Eras!$A$2:$C$12, 2, TRUE)</f>
        <v>edw</v>
      </c>
      <c r="AR38" t="s">
        <v>434</v>
      </c>
      <c r="AS38" t="str">
        <f>CONCATENATE(AQ38,"_",AR38)</f>
        <v>edw_Mixed Traffic</v>
      </c>
      <c r="AT38" t="s">
        <v>485</v>
      </c>
    </row>
    <row r="39" spans="1:46" x14ac:dyDescent="0.25">
      <c r="A39" t="s">
        <v>528</v>
      </c>
      <c r="B39" t="s">
        <v>529</v>
      </c>
      <c r="C39" t="s">
        <v>379</v>
      </c>
      <c r="E39" t="s">
        <v>372</v>
      </c>
      <c r="F39">
        <v>1906</v>
      </c>
      <c r="S39">
        <v>7</v>
      </c>
      <c r="U39">
        <v>5</v>
      </c>
      <c r="W39" s="4" t="str">
        <f>IF(AND(S39&gt;0,V39&gt;0),(V39/((S39+T39)*10)),"")</f>
        <v/>
      </c>
      <c r="X39">
        <v>55</v>
      </c>
      <c r="Z39">
        <v>8</v>
      </c>
      <c r="AA39">
        <v>8</v>
      </c>
      <c r="AD39">
        <v>24</v>
      </c>
      <c r="AE39" t="str">
        <f>CONCATENATE(VLOOKUP(AF39, 'Voxel Sizes'!$A$2:$B$18,2,FALSE),"x",INT(AB39*15), "x", INT(AC39*15))</f>
        <v>82x0x0</v>
      </c>
      <c r="AF39">
        <f>ROUND(15*((AA39*10)/256),0)</f>
        <v>5</v>
      </c>
      <c r="AH39" t="str">
        <f>CONCATENATE(VLOOKUP(AF39,'Articulated Lengths'!$A$2:$C$16,IF(AG39&lt;&gt;"", 3, 2), FALSE),IF(AG39&lt;&gt;"",CONCATENATE(",",VLOOKUP(AG39,$B$2:$AH$213,33,FALSE)),""))</f>
        <v>1,3,1</v>
      </c>
      <c r="AM39">
        <v>10</v>
      </c>
      <c r="AN39">
        <v>10</v>
      </c>
      <c r="AP39" t="s">
        <v>530</v>
      </c>
      <c r="AQ39" t="str">
        <f>VLOOKUP(F39,Eras!$A$2:$C$12, 2, TRUE)</f>
        <v>edw</v>
      </c>
      <c r="AR39" t="s">
        <v>448</v>
      </c>
      <c r="AS39" t="str">
        <f>CONCATENATE(AQ39,"_",AR39)</f>
        <v>edw_Flat Wagon</v>
      </c>
      <c r="AT39" t="s">
        <v>531</v>
      </c>
    </row>
    <row r="40" spans="1:46" x14ac:dyDescent="0.25">
      <c r="A40" t="s">
        <v>28</v>
      </c>
      <c r="B40" t="s">
        <v>209</v>
      </c>
      <c r="C40" t="s">
        <v>360</v>
      </c>
      <c r="D40" t="s">
        <v>369</v>
      </c>
      <c r="E40" t="s">
        <v>372</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IF(AND(S40&gt;0,V40&gt;0),(V40/((S40+T40)*10)),"")</f>
        <v>0.12183908045977011</v>
      </c>
      <c r="X40">
        <v>50</v>
      </c>
      <c r="Z40">
        <v>13.1</v>
      </c>
      <c r="AA40">
        <v>13.1</v>
      </c>
      <c r="AE40" t="str">
        <f>CONCATENATE(VLOOKUP(AF40, 'Voxel Sizes'!$A$2:$B$18,2,FALSE),"x",INT(AB40*15), "x", INT(AC40*15))</f>
        <v>136x0x0</v>
      </c>
      <c r="AF40">
        <f>ROUND(15*((AA40*10)/256),0)</f>
        <v>8</v>
      </c>
      <c r="AH40" t="str">
        <f>CONCATENATE(VLOOKUP(AF40,'Articulated Lengths'!$A$2:$C$16,IF(AG40&lt;&gt;"", 3, 2), FALSE),IF(AG40&lt;&gt;"",CONCATENATE(",",VLOOKUP(AG40,$B$2:$AH$213,33,FALSE)),""))</f>
        <v>2,4,2</v>
      </c>
      <c r="AL40">
        <v>1</v>
      </c>
      <c r="AM40">
        <v>10</v>
      </c>
      <c r="AN40">
        <v>10</v>
      </c>
      <c r="AQ40" t="str">
        <f>VLOOKUP(F40,Eras!$A$2:$C$12, 2, TRUE)</f>
        <v>edw</v>
      </c>
      <c r="AR40" t="s">
        <v>484</v>
      </c>
      <c r="AS40" t="str">
        <f>CONCATENATE(AQ40,"_",AR40)</f>
        <v>edw_Passenger</v>
      </c>
      <c r="AT40" t="s">
        <v>488</v>
      </c>
    </row>
    <row r="41" spans="1:46" x14ac:dyDescent="0.25">
      <c r="A41" t="s">
        <v>29</v>
      </c>
      <c r="B41" t="s">
        <v>492</v>
      </c>
      <c r="C41" t="s">
        <v>360</v>
      </c>
      <c r="D41" t="s">
        <v>369</v>
      </c>
      <c r="E41" t="s">
        <v>372</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IF(AND(S41&gt;0,V41&gt;0),(V41/((S41+T41)*10)),"")</f>
        <v>0.1188034188034188</v>
      </c>
      <c r="X41">
        <v>40</v>
      </c>
      <c r="Z41">
        <v>18.809999999999999</v>
      </c>
      <c r="AA41">
        <v>11.31</v>
      </c>
      <c r="AE41" t="str">
        <f>CONCATENATE(VLOOKUP(AF41, 'Voxel Sizes'!$A$2:$B$18,2,FALSE),"x",INT(AB41*15), "x", INT(AC41*15))</f>
        <v>120x0x0</v>
      </c>
      <c r="AF41">
        <f>ROUND(15*((AA41*10)/256),0)</f>
        <v>7</v>
      </c>
      <c r="AG41" t="s">
        <v>408</v>
      </c>
      <c r="AH41" t="str">
        <f>CONCATENATE(VLOOKUP(AF41,'Articulated Lengths'!$A$2:$C$16,IF(AG41&lt;&gt;"", 3, 2), FALSE),IF(AG41&lt;&gt;"",CONCATENATE(",",VLOOKUP(AG41,$B$2:$AH$213,33,FALSE)),""))</f>
        <v>2,3,3,1,3,1</v>
      </c>
      <c r="AL41">
        <v>1</v>
      </c>
      <c r="AM41">
        <v>10</v>
      </c>
      <c r="AN41">
        <v>10</v>
      </c>
      <c r="AQ41" t="str">
        <f>VLOOKUP(F41,Eras!$A$2:$C$12, 2, TRUE)</f>
        <v>edw</v>
      </c>
      <c r="AR41" t="s">
        <v>436</v>
      </c>
      <c r="AS41" t="str">
        <f>CONCATENATE(AQ41,"_",AR41)</f>
        <v>edw_Freight</v>
      </c>
      <c r="AT41" t="s">
        <v>493</v>
      </c>
    </row>
    <row r="42" spans="1:46" x14ac:dyDescent="0.25">
      <c r="A42" t="s">
        <v>500</v>
      </c>
      <c r="B42" t="s">
        <v>506</v>
      </c>
      <c r="C42" t="s">
        <v>360</v>
      </c>
      <c r="D42" t="s">
        <v>369</v>
      </c>
      <c r="E42" t="s">
        <v>372</v>
      </c>
      <c r="F42">
        <v>1912</v>
      </c>
      <c r="J42">
        <v>1050</v>
      </c>
      <c r="L42">
        <v>20</v>
      </c>
      <c r="M42">
        <v>26</v>
      </c>
      <c r="N42">
        <v>2</v>
      </c>
      <c r="O42">
        <v>180</v>
      </c>
      <c r="P42" s="5">
        <f>((($X42/2)/60)*5280)/($Q42*3.2*PI())</f>
        <v>115.85543651542379</v>
      </c>
      <c r="Q42">
        <v>1.7</v>
      </c>
      <c r="R42">
        <f>((($L42*$L42/4)*PI())*($M42/12)*$N42*$O42*$P42)/(33000*1.1)</f>
        <v>782.08556149732613</v>
      </c>
      <c r="S42">
        <v>61</v>
      </c>
      <c r="V42">
        <v>104</v>
      </c>
      <c r="W42" s="4">
        <f>IF(AND(S42&gt;0,V42&gt;0),(V42/((S42+T42)*10)),"")</f>
        <v>0.17049180327868851</v>
      </c>
      <c r="X42">
        <v>45</v>
      </c>
      <c r="Z42">
        <v>14.4</v>
      </c>
      <c r="AA42">
        <v>10</v>
      </c>
      <c r="AE42" t="str">
        <f>CONCATENATE(VLOOKUP(AF42, 'Voxel Sizes'!$A$2:$B$18,2,FALSE),"x",INT(AB42*15), "x", INT(AC42*15))</f>
        <v>102x0x0</v>
      </c>
      <c r="AF42">
        <f>ROUND(15*((AA42*10)/256),0)</f>
        <v>6</v>
      </c>
      <c r="AG42" t="s">
        <v>508</v>
      </c>
      <c r="AH42" t="str">
        <f>CONCATENATE(VLOOKUP(AF42,'Articulated Lengths'!$A$2:$C$16,IF(AG42&lt;&gt;"", 3, 2), FALSE),IF(AG42&lt;&gt;"",CONCATENATE(",",VLOOKUP(AG42,$B$2:$AH$213,33,FALSE)),""))</f>
        <v>2,2,3,1,3,1</v>
      </c>
      <c r="AL42">
        <v>1</v>
      </c>
      <c r="AM42">
        <v>10</v>
      </c>
      <c r="AN42">
        <v>10</v>
      </c>
      <c r="AQ42" t="str">
        <f>VLOOKUP(F42,Eras!$A$2:$C$12, 2, TRUE)</f>
        <v>edw</v>
      </c>
      <c r="AR42" t="s">
        <v>436</v>
      </c>
      <c r="AS42" t="str">
        <f>CONCATENATE(AQ42,"_",AR42)</f>
        <v>edw_Freight</v>
      </c>
      <c r="AT42" t="s">
        <v>499</v>
      </c>
    </row>
    <row r="43" spans="1:46" x14ac:dyDescent="0.25">
      <c r="A43" t="s">
        <v>68</v>
      </c>
      <c r="B43" t="s">
        <v>210</v>
      </c>
      <c r="C43" t="s">
        <v>360</v>
      </c>
      <c r="D43" t="s">
        <v>394</v>
      </c>
      <c r="E43" t="s">
        <v>372</v>
      </c>
      <c r="F43">
        <v>1914</v>
      </c>
      <c r="G43">
        <v>1919</v>
      </c>
      <c r="H43">
        <v>1950</v>
      </c>
      <c r="J43">
        <v>1100</v>
      </c>
      <c r="S43">
        <v>76</v>
      </c>
      <c r="V43">
        <v>140</v>
      </c>
      <c r="W43" s="4">
        <f>IF(AND(S43&gt;0,V43&gt;0),(V43/((S43+T43)*10)),"")</f>
        <v>0.18421052631578946</v>
      </c>
      <c r="X43">
        <v>35</v>
      </c>
      <c r="Z43">
        <v>12</v>
      </c>
      <c r="AA43">
        <v>12</v>
      </c>
      <c r="AE43" t="str">
        <f>CONCATENATE(VLOOKUP(AF43, 'Voxel Sizes'!$A$2:$B$18,2,FALSE),"x",INT(AB43*15), "x", INT(AC43*15))</f>
        <v>120x0x0</v>
      </c>
      <c r="AF43">
        <f>ROUND(15*((AA43*10)/256),0)</f>
        <v>7</v>
      </c>
      <c r="AH43" t="str">
        <f>CONCATENATE(VLOOKUP(AF43,'Articulated Lengths'!$A$2:$C$16,IF(AG43&lt;&gt;"", 3, 2), FALSE),IF(AG43&lt;&gt;"",CONCATENATE(",",VLOOKUP(AG43,$B$2:$AH$213,33,FALSE)),""))</f>
        <v>2,3,2</v>
      </c>
      <c r="AM43">
        <v>10</v>
      </c>
      <c r="AN43">
        <v>10</v>
      </c>
      <c r="AQ43" t="str">
        <f>VLOOKUP(F43,Eras!$A$2:$C$12, 2, TRUE)</f>
        <v>edw</v>
      </c>
      <c r="AR43" t="s">
        <v>446</v>
      </c>
      <c r="AS43" t="str">
        <f>CONCATENATE(AQ43,"_",AR43)</f>
        <v>edw_Freight (Electric)</v>
      </c>
      <c r="AT43" t="s">
        <v>509</v>
      </c>
    </row>
    <row r="44" spans="1:46" x14ac:dyDescent="0.25">
      <c r="A44" t="s">
        <v>510</v>
      </c>
      <c r="B44" t="s">
        <v>512</v>
      </c>
      <c r="C44" t="s">
        <v>522</v>
      </c>
      <c r="D44" t="s">
        <v>394</v>
      </c>
      <c r="E44" t="s">
        <v>402</v>
      </c>
      <c r="F44">
        <v>1914</v>
      </c>
      <c r="H44">
        <v>1960</v>
      </c>
      <c r="I44">
        <v>3</v>
      </c>
      <c r="J44">
        <v>1000</v>
      </c>
      <c r="S44">
        <v>117</v>
      </c>
      <c r="V44">
        <v>112</v>
      </c>
      <c r="W44" s="4">
        <f>IF(AND(S44&gt;0,V44&gt;0),(V44/((S44+T44)*10)),"")</f>
        <v>9.5726495726495733E-2</v>
      </c>
      <c r="X44">
        <v>60</v>
      </c>
      <c r="AA44">
        <v>17.7</v>
      </c>
      <c r="AD44">
        <v>45</v>
      </c>
      <c r="AE44" t="str">
        <f>CONCATENATE(VLOOKUP(AF44, 'Voxel Sizes'!$A$2:$B$18,2,FALSE),"x",INT(AB44*15), "x", INT(AC44*15))</f>
        <v>164x0x0</v>
      </c>
      <c r="AF44">
        <f>ROUND(15*((AA44*10)/256),0)</f>
        <v>10</v>
      </c>
      <c r="AH44" t="str">
        <f>CONCATENATE(VLOOKUP(AF44,'Articulated Lengths'!$A$2:$C$16,IF(AG44&lt;&gt;"", 3, 2), FALSE),IF(AG44&lt;&gt;"",CONCATENATE(",",VLOOKUP(AG44,$B$2:$AH$213,33,FALSE)),""))</f>
        <v>3,4,3</v>
      </c>
      <c r="AI44" t="s">
        <v>523</v>
      </c>
      <c r="AJ44" t="s">
        <v>521</v>
      </c>
      <c r="AM44">
        <v>10</v>
      </c>
      <c r="AN44">
        <v>10</v>
      </c>
      <c r="AP44" t="s">
        <v>381</v>
      </c>
      <c r="AQ44" t="str">
        <f>VLOOKUP(F44,Eras!$A$2:$C$12, 2, TRUE)</f>
        <v>edw</v>
      </c>
      <c r="AR44" t="s">
        <v>440</v>
      </c>
      <c r="AS44" t="str">
        <f>CONCATENATE(AQ44,"_",AR44)</f>
        <v>edw_EMU</v>
      </c>
      <c r="AT44" t="s">
        <v>511</v>
      </c>
    </row>
    <row r="45" spans="1:46" x14ac:dyDescent="0.25">
      <c r="A45" t="s">
        <v>38</v>
      </c>
      <c r="B45" t="s">
        <v>211</v>
      </c>
      <c r="C45" t="s">
        <v>193</v>
      </c>
      <c r="E45" t="s">
        <v>372</v>
      </c>
      <c r="F45">
        <v>1921</v>
      </c>
      <c r="G45">
        <v>1922</v>
      </c>
      <c r="S45">
        <v>63</v>
      </c>
      <c r="T45">
        <v>41</v>
      </c>
      <c r="V45">
        <v>125</v>
      </c>
      <c r="W45" s="4">
        <f>IF(AND(S45&gt;0,V45&gt;0),(V45/((S45+T45)*10)),"")</f>
        <v>0.1201923076923077</v>
      </c>
      <c r="AE45" t="str">
        <f>CONCATENATE(VLOOKUP(AF45, 'Voxel Sizes'!$A$2:$B$18,2,FALSE),"x",INT(AB45*15), "x", INT(AC45*15))</f>
        <v>0x0x0</v>
      </c>
      <c r="AF45">
        <f>ROUND(15*((AA45*10)/256),0)</f>
        <v>0</v>
      </c>
      <c r="AH45" t="str">
        <f>CONCATENATE(VLOOKUP(AF45,'Articulated Lengths'!$A$2:$C$16,IF(AG45&lt;&gt;"", 3, 2), FALSE),IF(AG45&lt;&gt;"",CONCATENATE(",",VLOOKUP(AG45,$B$2:$AH$213,33,FALSE)),""))</f>
        <v>na</v>
      </c>
      <c r="AM45">
        <v>10</v>
      </c>
      <c r="AN45">
        <v>10</v>
      </c>
      <c r="AQ45" t="str">
        <f>VLOOKUP(F45,Eras!$A$2:$C$12, 2, TRUE)</f>
        <v>edw</v>
      </c>
      <c r="AS45" t="str">
        <f>CONCATENATE(AQ45,"_",AR45)</f>
        <v>edw_</v>
      </c>
    </row>
    <row r="46" spans="1:46" x14ac:dyDescent="0.25">
      <c r="A46" t="s">
        <v>24</v>
      </c>
      <c r="B46" t="s">
        <v>212</v>
      </c>
      <c r="C46" t="s">
        <v>193</v>
      </c>
      <c r="E46" t="s">
        <v>372</v>
      </c>
      <c r="F46">
        <v>1922</v>
      </c>
      <c r="G46">
        <v>1924</v>
      </c>
      <c r="V46">
        <v>119</v>
      </c>
      <c r="W46" s="4" t="str">
        <f>IF(AND(S46&gt;0,V46&gt;0),(V46/((S46+T46)*10)),"")</f>
        <v/>
      </c>
      <c r="AE46" t="str">
        <f>CONCATENATE(VLOOKUP(AF46, 'Voxel Sizes'!$A$2:$B$18,2,FALSE),"x",INT(AB46*15), "x", INT(AC46*15))</f>
        <v>0x0x0</v>
      </c>
      <c r="AF46">
        <f>ROUND(15*((AA46*10)/256),0)</f>
        <v>0</v>
      </c>
      <c r="AH46" t="str">
        <f>CONCATENATE(VLOOKUP(AF46,'Articulated Lengths'!$A$2:$C$16,IF(AG46&lt;&gt;"", 3, 2), FALSE),IF(AG46&lt;&gt;"",CONCATENATE(",",VLOOKUP(AG46,$B$2:$AH$213,33,FALSE)),""))</f>
        <v>na</v>
      </c>
      <c r="AM46">
        <v>10</v>
      </c>
      <c r="AN46">
        <v>10</v>
      </c>
      <c r="AQ46" t="str">
        <f>VLOOKUP(F46,Eras!$A$2:$C$12, 2, TRUE)</f>
        <v>edw</v>
      </c>
      <c r="AS46" t="str">
        <f>CONCATENATE(AQ46,"_",AR46)</f>
        <v>edw_</v>
      </c>
    </row>
    <row r="47" spans="1:46" x14ac:dyDescent="0.25">
      <c r="A47" t="s">
        <v>150</v>
      </c>
      <c r="B47" t="s">
        <v>378</v>
      </c>
      <c r="C47" t="s">
        <v>193</v>
      </c>
      <c r="E47" t="s">
        <v>372</v>
      </c>
      <c r="F47">
        <v>1923</v>
      </c>
      <c r="S47">
        <v>16</v>
      </c>
      <c r="U47">
        <v>5</v>
      </c>
      <c r="W47" s="4" t="str">
        <f>IF(AND(S47&gt;0,V47&gt;0),(V47/((S47+T47)*10)),"")</f>
        <v/>
      </c>
      <c r="X47">
        <v>60</v>
      </c>
      <c r="Z47">
        <v>8</v>
      </c>
      <c r="AA47">
        <v>8</v>
      </c>
      <c r="AD47">
        <v>24</v>
      </c>
      <c r="AE47" t="str">
        <f>CONCATENATE(VLOOKUP(AF47, 'Voxel Sizes'!$A$2:$B$18,2,FALSE),"x",INT(AB47*15), "x", INT(AC47*15))</f>
        <v>82x0x0</v>
      </c>
      <c r="AF47">
        <f>ROUND(15*((AA47*10)/256),0)</f>
        <v>5</v>
      </c>
      <c r="AH47" t="str">
        <f>CONCATENATE(VLOOKUP(AF47,'Articulated Lengths'!$A$2:$C$16,IF(AG47&lt;&gt;"", 3, 2), FALSE),IF(AG47&lt;&gt;"",CONCATENATE(",",VLOOKUP(AG47,$B$2:$AH$213,33,FALSE)),""))</f>
        <v>1,3,1</v>
      </c>
      <c r="AM47">
        <v>10</v>
      </c>
      <c r="AN47">
        <v>10</v>
      </c>
      <c r="AP47" t="s">
        <v>382</v>
      </c>
      <c r="AQ47" t="str">
        <f>VLOOKUP(F47,Eras!$A$2:$C$12, 2, TRUE)</f>
        <v>big4</v>
      </c>
      <c r="AR47" t="s">
        <v>450</v>
      </c>
      <c r="AS47" t="str">
        <f>CONCATENATE(AQ47,"_",AR47)</f>
        <v>big4_Tanker</v>
      </c>
      <c r="AT47" t="s">
        <v>524</v>
      </c>
    </row>
    <row r="48" spans="1:46" x14ac:dyDescent="0.25">
      <c r="A48" t="s">
        <v>11</v>
      </c>
      <c r="B48" t="s">
        <v>213</v>
      </c>
      <c r="C48" t="s">
        <v>360</v>
      </c>
      <c r="D48" t="s">
        <v>369</v>
      </c>
      <c r="E48" t="s">
        <v>372</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IF(AND(S48&gt;0,V48&gt;0),(V48/((S48+T48)*10)),"")</f>
        <v>0.11938663745892661</v>
      </c>
      <c r="X48">
        <v>55</v>
      </c>
      <c r="Z48">
        <v>15.8</v>
      </c>
      <c r="AA48">
        <v>10</v>
      </c>
      <c r="AE48" t="str">
        <f>CONCATENATE(VLOOKUP(AF48, 'Voxel Sizes'!$A$2:$B$18,2,FALSE),"x",INT(AB48*15), "x", INT(AC48*15))</f>
        <v>102x0x0</v>
      </c>
      <c r="AF48">
        <f>ROUND(15*((AA48*10)/256),0)</f>
        <v>6</v>
      </c>
      <c r="AG48" t="s">
        <v>408</v>
      </c>
      <c r="AH48" t="str">
        <f>CONCATENATE(VLOOKUP(AF48,'Articulated Lengths'!$A$2:$C$16,IF(AG48&lt;&gt;"", 3, 2), FALSE),IF(AG48&lt;&gt;"",CONCATENATE(",",VLOOKUP(AG48,$B$2:$AH$213,33,FALSE)),""))</f>
        <v>2,2,3,1,3,1</v>
      </c>
      <c r="AL48">
        <v>1</v>
      </c>
      <c r="AM48">
        <v>10</v>
      </c>
      <c r="AN48">
        <v>10</v>
      </c>
      <c r="AQ48" t="str">
        <f>VLOOKUP(F48,Eras!$A$2:$C$12, 2, TRUE)</f>
        <v>big4</v>
      </c>
      <c r="AR48" t="s">
        <v>434</v>
      </c>
      <c r="AS48" t="str">
        <f>CONCATENATE(AQ48,"_",AR48)</f>
        <v>big4_Mixed Traffic</v>
      </c>
      <c r="AT48" t="s">
        <v>536</v>
      </c>
    </row>
    <row r="49" spans="1:46" x14ac:dyDescent="0.25">
      <c r="A49" t="s">
        <v>537</v>
      </c>
      <c r="B49" t="s">
        <v>538</v>
      </c>
      <c r="C49" t="s">
        <v>360</v>
      </c>
      <c r="D49" t="s">
        <v>369</v>
      </c>
      <c r="E49" t="s">
        <v>372</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IF(AND(S49&gt;0,V49&gt;0),(V49/((S49+T49)*10)),"")</f>
        <v>0.10921766072811774</v>
      </c>
      <c r="X49">
        <v>102</v>
      </c>
      <c r="Y49">
        <v>1</v>
      </c>
      <c r="Z49">
        <v>19.86</v>
      </c>
      <c r="AA49">
        <f>Z49-7.64</f>
        <v>12.219999999999999</v>
      </c>
      <c r="AC49">
        <v>4.07</v>
      </c>
      <c r="AE49" t="str">
        <f>CONCATENATE(VLOOKUP(AF49, 'Voxel Sizes'!$A$2:$B$18,2,FALSE),"x",INT(AB49*15), "x", INT(AC49*15))</f>
        <v>120x0x61</v>
      </c>
      <c r="AF49">
        <f>ROUND(15*((AA49*10)/256),0)</f>
        <v>7</v>
      </c>
      <c r="AG49" t="s">
        <v>540</v>
      </c>
      <c r="AH49" t="str">
        <f>CONCATENATE(VLOOKUP(AF49,'Articulated Lengths'!$A$2:$C$16,IF(AG49&lt;&gt;"", 3, 2), FALSE),IF(AG49&lt;&gt;"",CONCATENATE(",",VLOOKUP(AG49,$B$2:$AH$213,33,FALSE)),""))</f>
        <v>2,3,3,1,3,1</v>
      </c>
      <c r="AL49">
        <v>1</v>
      </c>
      <c r="AM49">
        <v>10</v>
      </c>
      <c r="AN49">
        <v>10</v>
      </c>
      <c r="AQ49" t="str">
        <f>VLOOKUP(F49,Eras!$A$2:$C$12, 2, TRUE)</f>
        <v>big4</v>
      </c>
      <c r="AR49" t="s">
        <v>435</v>
      </c>
      <c r="AS49" t="str">
        <f>CONCATENATE(AQ49,"_",AR49)</f>
        <v>big4_Express</v>
      </c>
      <c r="AT49" t="s">
        <v>541</v>
      </c>
    </row>
    <row r="50" spans="1:46" x14ac:dyDescent="0.25">
      <c r="A50" t="s">
        <v>10</v>
      </c>
      <c r="B50" t="s">
        <v>214</v>
      </c>
      <c r="C50" t="s">
        <v>360</v>
      </c>
      <c r="D50" t="s">
        <v>369</v>
      </c>
      <c r="E50" t="s">
        <v>372</v>
      </c>
      <c r="F50">
        <v>1924</v>
      </c>
      <c r="J50">
        <v>650</v>
      </c>
      <c r="L50">
        <v>18</v>
      </c>
      <c r="M50">
        <v>26</v>
      </c>
      <c r="N50">
        <v>2</v>
      </c>
      <c r="O50">
        <v>160</v>
      </c>
      <c r="P50" s="5">
        <f>((($X50/2)/60)*5280)/($Q50*3.2*PI())</f>
        <v>140.68160148301465</v>
      </c>
      <c r="Q50">
        <v>1.4</v>
      </c>
      <c r="R50">
        <f>((($L50*$L50/4)*PI())*($M50/12)*$N50*$O50*$P50)/(33000*1.1)</f>
        <v>683.76623376623365</v>
      </c>
      <c r="S50">
        <v>50.2</v>
      </c>
      <c r="V50">
        <v>93</v>
      </c>
      <c r="W50" s="4">
        <f>IF(AND(S50&gt;0,V50&gt;0),(V50/((S50+T50)*10)),"")</f>
        <v>0.1852589641434263</v>
      </c>
      <c r="X50">
        <v>45</v>
      </c>
      <c r="Z50">
        <v>9.57</v>
      </c>
      <c r="AA50">
        <v>9.57</v>
      </c>
      <c r="AE50" t="str">
        <f>CONCATENATE(VLOOKUP(AF50, 'Voxel Sizes'!$A$2:$B$18,2,FALSE),"x",INT(AB50*15), "x", INT(AC50*15))</f>
        <v>102x0x0</v>
      </c>
      <c r="AF50">
        <f>ROUND(15*((AA50*10)/256),0)</f>
        <v>6</v>
      </c>
      <c r="AH50" t="str">
        <f>CONCATENATE(VLOOKUP(AF50,'Articulated Lengths'!$A$2:$C$16,IF(AG50&lt;&gt;"", 3, 2), FALSE),IF(AG50&lt;&gt;"",CONCATENATE(",",VLOOKUP(AG50,$B$2:$AH$213,33,FALSE)),""))</f>
        <v>2,2,2</v>
      </c>
      <c r="AL50">
        <v>1</v>
      </c>
      <c r="AM50">
        <v>10</v>
      </c>
      <c r="AN50">
        <v>10</v>
      </c>
      <c r="AQ50" t="str">
        <f>VLOOKUP(F50,Eras!$A$2:$C$12, 2, TRUE)</f>
        <v>big4</v>
      </c>
      <c r="AR50" t="s">
        <v>433</v>
      </c>
      <c r="AS50" t="str">
        <f>CONCATENATE(AQ50,"_",AR50)</f>
        <v>big4_Cheap</v>
      </c>
      <c r="AT50" t="s">
        <v>458</v>
      </c>
    </row>
    <row r="51" spans="1:46" x14ac:dyDescent="0.25">
      <c r="A51" t="s">
        <v>21</v>
      </c>
      <c r="B51" t="s">
        <v>215</v>
      </c>
      <c r="C51" t="s">
        <v>360</v>
      </c>
      <c r="D51" t="s">
        <v>369</v>
      </c>
      <c r="E51" t="s">
        <v>372</v>
      </c>
      <c r="F51">
        <v>1924</v>
      </c>
      <c r="G51">
        <v>1928</v>
      </c>
      <c r="J51">
        <v>900</v>
      </c>
      <c r="S51">
        <v>62</v>
      </c>
      <c r="V51">
        <v>115</v>
      </c>
      <c r="W51" s="4">
        <f>IF(AND(S51&gt;0,V51&gt;0),(V51/((S51+T51)*10)),"")</f>
        <v>0.18548387096774194</v>
      </c>
      <c r="X51">
        <v>50</v>
      </c>
      <c r="Z51">
        <v>11.43</v>
      </c>
      <c r="AA51">
        <v>11.43</v>
      </c>
      <c r="AE51" t="str">
        <f>CONCATENATE(VLOOKUP(AF51, 'Voxel Sizes'!$A$2:$B$18,2,FALSE),"x",INT(AB51*15), "x", INT(AC51*15))</f>
        <v>120x0x0</v>
      </c>
      <c r="AF51">
        <f>ROUND(15*((AA51*10)/256),0)</f>
        <v>7</v>
      </c>
      <c r="AH51" t="str">
        <f>CONCATENATE(VLOOKUP(AF51,'Articulated Lengths'!$A$2:$C$16,IF(AG51&lt;&gt;"", 3, 2), FALSE),IF(AG51&lt;&gt;"",CONCATENATE(",",VLOOKUP(AG51,$B$2:$AH$213,33,FALSE)),""))</f>
        <v>2,3,2</v>
      </c>
      <c r="AL51">
        <v>1</v>
      </c>
      <c r="AM51">
        <v>10</v>
      </c>
      <c r="AN51">
        <v>10</v>
      </c>
      <c r="AQ51" t="str">
        <f>VLOOKUP(F51,Eras!$A$2:$C$12, 2, TRUE)</f>
        <v>big4</v>
      </c>
      <c r="AR51" t="s">
        <v>434</v>
      </c>
      <c r="AS51" t="str">
        <f>CONCATENATE(AQ51,"_",AR51)</f>
        <v>big4_Mixed Traffic</v>
      </c>
      <c r="AT51" t="s">
        <v>459</v>
      </c>
    </row>
    <row r="52" spans="1:46" x14ac:dyDescent="0.25">
      <c r="A52" t="s">
        <v>559</v>
      </c>
      <c r="B52" t="s">
        <v>560</v>
      </c>
      <c r="C52" t="s">
        <v>389</v>
      </c>
      <c r="E52" t="s">
        <v>372</v>
      </c>
      <c r="F52">
        <v>1925</v>
      </c>
      <c r="S52">
        <v>52</v>
      </c>
      <c r="W52" s="4" t="str">
        <f>IF(AND(S52&gt;0,V52&gt;0),(V52/((S52+T52)*10)),"")</f>
        <v/>
      </c>
      <c r="Z52">
        <v>7.64</v>
      </c>
      <c r="AA52">
        <v>8</v>
      </c>
      <c r="AE52" t="str">
        <f>CONCATENATE(VLOOKUP(AF52, 'Voxel Sizes'!$A$2:$B$18,2,FALSE),"x",INT(AB52*15), "x", INT(AC52*15))</f>
        <v>82x0x0</v>
      </c>
      <c r="AF52">
        <f>ROUND(15*((AA52*10)/256),0)</f>
        <v>5</v>
      </c>
      <c r="AH52" t="str">
        <f>CONCATENATE(VLOOKUP(AF52,'Articulated Lengths'!$A$2:$C$16,IF(AG52&lt;&gt;"", 3, 2), FALSE),IF(AG52&lt;&gt;"",CONCATENATE(",",VLOOKUP(AG52,$B$2:$AH$213,33,FALSE)),""))</f>
        <v>1,3,1</v>
      </c>
      <c r="AQ52" t="str">
        <f>VLOOKUP(F52,Eras!$A$2:$C$12, 2, TRUE)</f>
        <v>big4</v>
      </c>
      <c r="AS52" t="str">
        <f>CONCATENATE(AQ52,"_",AR52)</f>
        <v>big4_</v>
      </c>
    </row>
    <row r="53" spans="1:46" x14ac:dyDescent="0.25">
      <c r="A53" t="s">
        <v>388</v>
      </c>
      <c r="B53" t="s">
        <v>387</v>
      </c>
      <c r="C53" t="s">
        <v>389</v>
      </c>
      <c r="E53" t="s">
        <v>372</v>
      </c>
      <c r="F53">
        <v>1925</v>
      </c>
      <c r="S53">
        <v>52</v>
      </c>
      <c r="W53" s="4" t="str">
        <f>IF(AND(S53&gt;0,V53&gt;0),(V53/((S53+T53)*10)),"")</f>
        <v/>
      </c>
      <c r="Z53">
        <v>7.64</v>
      </c>
      <c r="AA53">
        <v>8</v>
      </c>
      <c r="AE53" t="str">
        <f>CONCATENATE(VLOOKUP(AF53, 'Voxel Sizes'!$A$2:$B$18,2,FALSE),"x",INT(AB53*15), "x", INT(AC53*15))</f>
        <v>82x0x0</v>
      </c>
      <c r="AF53">
        <f>ROUND(15*((AA53*10)/256),0)</f>
        <v>5</v>
      </c>
      <c r="AH53" t="str">
        <f>CONCATENATE(VLOOKUP(AF53,'Articulated Lengths'!$A$2:$C$16,IF(AG53&lt;&gt;"", 3, 2), FALSE),IF(AG53&lt;&gt;"",CONCATENATE(",",VLOOKUP(AG53,$B$2:$AH$213,33,FALSE)),""))</f>
        <v>1,3,1</v>
      </c>
      <c r="AQ53" t="str">
        <f>VLOOKUP(F53,Eras!$A$2:$C$12, 2, TRUE)</f>
        <v>big4</v>
      </c>
      <c r="AS53" t="str">
        <f>CONCATENATE(AQ53,"_",AR53)</f>
        <v>big4_</v>
      </c>
    </row>
    <row r="54" spans="1:46" x14ac:dyDescent="0.25">
      <c r="A54" t="s">
        <v>391</v>
      </c>
      <c r="B54" t="s">
        <v>392</v>
      </c>
      <c r="C54" t="s">
        <v>389</v>
      </c>
      <c r="E54" t="s">
        <v>372</v>
      </c>
      <c r="F54">
        <v>1925</v>
      </c>
      <c r="S54">
        <v>52</v>
      </c>
      <c r="W54" s="4" t="str">
        <f>IF(AND(S54&gt;0,V54&gt;0),(V54/((S54+T54)*10)),"")</f>
        <v/>
      </c>
      <c r="Z54">
        <v>7.64</v>
      </c>
      <c r="AA54">
        <v>8</v>
      </c>
      <c r="AE54" t="str">
        <f>CONCATENATE(VLOOKUP(AF54, 'Voxel Sizes'!$A$2:$B$18,2,FALSE),"x",INT(AB54*15), "x", INT(AC54*15))</f>
        <v>82x0x0</v>
      </c>
      <c r="AF54">
        <f>ROUND(15*((AA54*10)/256),0)</f>
        <v>5</v>
      </c>
      <c r="AH54" t="str">
        <f>CONCATENATE(VLOOKUP(AF54,'Articulated Lengths'!$A$2:$C$16,IF(AG54&lt;&gt;"", 3, 2), FALSE),IF(AG54&lt;&gt;"",CONCATENATE(",",VLOOKUP(AG54,$B$2:$AH$213,33,FALSE)),""))</f>
        <v>1,3,1</v>
      </c>
      <c r="AQ54" t="str">
        <f>VLOOKUP(F54,Eras!$A$2:$C$12, 2, TRUE)</f>
        <v>big4</v>
      </c>
      <c r="AS54" t="str">
        <f>CONCATENATE(AQ54,"_",AR54)</f>
        <v>big4_</v>
      </c>
    </row>
    <row r="55" spans="1:46" x14ac:dyDescent="0.25">
      <c r="A55" t="s">
        <v>31</v>
      </c>
      <c r="B55" t="s">
        <v>393</v>
      </c>
      <c r="C55" t="s">
        <v>360</v>
      </c>
      <c r="D55" t="s">
        <v>369</v>
      </c>
      <c r="E55" t="s">
        <v>372</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IF(AND(S55&gt;0,V55&gt;0),(V55/((S55+T55)*10)),"")</f>
        <v>0.10442477876106195</v>
      </c>
      <c r="X55">
        <v>70</v>
      </c>
      <c r="Z55">
        <v>10.44</v>
      </c>
      <c r="AA55">
        <v>10.44</v>
      </c>
      <c r="AE55" t="str">
        <f>CONCATENATE(VLOOKUP(AF55, 'Voxel Sizes'!$A$2:$B$18,2,FALSE),"x",INT(AB55*15), "x", INT(AC55*15))</f>
        <v>102x0x0</v>
      </c>
      <c r="AF55">
        <f>ROUND(15*((AA55*10)/256),0)</f>
        <v>6</v>
      </c>
      <c r="AG55" t="s">
        <v>387</v>
      </c>
      <c r="AH55" t="str">
        <f>CONCATENATE(VLOOKUP(AF55,'Articulated Lengths'!$A$2:$C$16,IF(AG55&lt;&gt;"", 3, 2), FALSE),IF(AG55&lt;&gt;"",CONCATENATE(",",VLOOKUP(AG55,$B$2:$AH$213,33,FALSE)),""))</f>
        <v>2,2,3,1,3,1</v>
      </c>
      <c r="AL55">
        <v>1</v>
      </c>
      <c r="AM55">
        <v>10</v>
      </c>
      <c r="AN55">
        <v>10</v>
      </c>
      <c r="AQ55" t="str">
        <f>VLOOKUP(F55,Eras!$A$2:$C$12, 2, TRUE)</f>
        <v>big4</v>
      </c>
      <c r="AR55" t="s">
        <v>435</v>
      </c>
      <c r="AS55" t="str">
        <f>CONCATENATE(AQ55,"_",AR55)</f>
        <v>big4_Express</v>
      </c>
      <c r="AT55" t="s">
        <v>460</v>
      </c>
    </row>
    <row r="56" spans="1:46" x14ac:dyDescent="0.25">
      <c r="A56" t="s">
        <v>554</v>
      </c>
      <c r="B56" t="s">
        <v>555</v>
      </c>
      <c r="C56" t="s">
        <v>389</v>
      </c>
      <c r="E56" t="s">
        <v>372</v>
      </c>
      <c r="F56">
        <v>1927</v>
      </c>
      <c r="S56">
        <v>53</v>
      </c>
      <c r="W56" s="4" t="str">
        <f>IF(AND(S56&gt;0,V56&gt;0),(V56/((S56+T56)*10)),"")</f>
        <v/>
      </c>
      <c r="Z56">
        <v>7.5</v>
      </c>
      <c r="AA56">
        <v>8</v>
      </c>
      <c r="AE56" t="str">
        <f>CONCATENATE(VLOOKUP(AF56, 'Voxel Sizes'!$A$2:$B$18,2,FALSE),"x",INT(AB56*15), "x", INT(AC56*15))</f>
        <v>82x0x0</v>
      </c>
      <c r="AF56">
        <f>ROUND(15*((AA56*10)/256),0)</f>
        <v>5</v>
      </c>
      <c r="AH56" t="str">
        <f>CONCATENATE(VLOOKUP(AF56,'Articulated Lengths'!$A$2:$C$16,IF(AG56&lt;&gt;"", 3, 2), FALSE),IF(AG56&lt;&gt;"",CONCATENATE(",",VLOOKUP(AG56,$B$2:$AH$213,33,FALSE)),""))</f>
        <v>1,3,1</v>
      </c>
      <c r="AM56">
        <v>10</v>
      </c>
      <c r="AN56">
        <v>10</v>
      </c>
      <c r="AQ56" t="str">
        <f>VLOOKUP(F56,Eras!$A$2:$C$12, 2, TRUE)</f>
        <v>big4</v>
      </c>
      <c r="AS56" t="str">
        <f>CONCATENATE(AQ56,"_",AR56)</f>
        <v>big4_</v>
      </c>
    </row>
    <row r="57" spans="1:46" x14ac:dyDescent="0.25">
      <c r="A57" t="s">
        <v>171</v>
      </c>
      <c r="B57" t="s">
        <v>543</v>
      </c>
      <c r="C57" t="s">
        <v>360</v>
      </c>
      <c r="D57" t="s">
        <v>369</v>
      </c>
      <c r="E57" t="s">
        <v>372</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IF(AND(S57&gt;0,V57&gt;0),(V57/((S57+T57)*10)),"")</f>
        <v>8.067226890756303E-2</v>
      </c>
      <c r="X57">
        <v>75</v>
      </c>
      <c r="Z57">
        <v>17.899999999999999</v>
      </c>
      <c r="AA57">
        <f>Z57-7.5</f>
        <v>10.399999999999999</v>
      </c>
      <c r="AE57" t="str">
        <f>CONCATENATE(VLOOKUP(AF57, 'Voxel Sizes'!$A$2:$B$18,2,FALSE),"x",INT(AB57*15), "x", INT(AC57*15))</f>
        <v>102x0x0</v>
      </c>
      <c r="AF57">
        <f>ROUND(15*((AA57*10)/256),0)</f>
        <v>6</v>
      </c>
      <c r="AG57" t="s">
        <v>508</v>
      </c>
      <c r="AH57" t="str">
        <f>CONCATENATE(VLOOKUP(AF57,'Articulated Lengths'!$A$2:$C$16,IF(AG57&lt;&gt;"", 3, 2), FALSE),IF(AG57&lt;&gt;"",CONCATENATE(",",VLOOKUP(AG57,$B$2:$AH$213,33,FALSE)),""))</f>
        <v>2,2,3,1,3,1</v>
      </c>
      <c r="AL57">
        <v>1</v>
      </c>
      <c r="AM57">
        <v>10</v>
      </c>
      <c r="AN57">
        <v>10</v>
      </c>
      <c r="AQ57" t="str">
        <f>VLOOKUP(F57,Eras!$A$2:$C$12, 2, TRUE)</f>
        <v>big4</v>
      </c>
      <c r="AR57" t="s">
        <v>484</v>
      </c>
      <c r="AS57" t="str">
        <f>CONCATENATE(AQ57,"_",AR57)</f>
        <v>big4_Passenger</v>
      </c>
      <c r="AT57" t="s">
        <v>542</v>
      </c>
    </row>
    <row r="58" spans="1:46" x14ac:dyDescent="0.25">
      <c r="A58" t="s">
        <v>545</v>
      </c>
      <c r="B58" t="s">
        <v>544</v>
      </c>
      <c r="C58" t="s">
        <v>360</v>
      </c>
      <c r="D58" t="s">
        <v>369</v>
      </c>
      <c r="E58" t="s">
        <v>372</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IF(AND(S58&gt;0,V58&gt;0),(V58/((S58+T58)*10)),"")</f>
        <v>0.19800884955752213</v>
      </c>
      <c r="X58">
        <v>105</v>
      </c>
      <c r="Z58">
        <v>20.78</v>
      </c>
      <c r="AA58">
        <f>Z58-7.5</f>
        <v>13.280000000000001</v>
      </c>
      <c r="AC58">
        <v>4.08</v>
      </c>
      <c r="AE58" t="str">
        <f>CONCATENATE(VLOOKUP(AF58, 'Voxel Sizes'!$A$2:$B$18,2,FALSE),"x",INT(AB58*15), "x", INT(AC58*15))</f>
        <v>136x0x61</v>
      </c>
      <c r="AF58">
        <f>ROUND(15*((AA58*10)/256),0)</f>
        <v>8</v>
      </c>
      <c r="AG58" t="s">
        <v>540</v>
      </c>
      <c r="AH58" t="str">
        <f>CONCATENATE(VLOOKUP(AF58,'Articulated Lengths'!$A$2:$C$16,IF(AG58&lt;&gt;"", 3, 2), FALSE),IF(AG58&lt;&gt;"",CONCATENATE(",",VLOOKUP(AG58,$B$2:$AH$213,33,FALSE)),""))</f>
        <v>2,4,3,1,3,1</v>
      </c>
      <c r="AL58">
        <v>1</v>
      </c>
      <c r="AM58">
        <v>10</v>
      </c>
      <c r="AN58">
        <v>10</v>
      </c>
      <c r="AQ58" t="str">
        <f>VLOOKUP(F58,Eras!$A$2:$C$12, 2, TRUE)</f>
        <v>big4</v>
      </c>
      <c r="AR58" t="s">
        <v>435</v>
      </c>
      <c r="AS58" t="str">
        <f>CONCATENATE(AQ58,"_",AR58)</f>
        <v>big4_Express</v>
      </c>
      <c r="AT58" t="s">
        <v>546</v>
      </c>
    </row>
    <row r="59" spans="1:46" x14ac:dyDescent="0.25">
      <c r="A59" t="s">
        <v>34</v>
      </c>
      <c r="B59" t="s">
        <v>548</v>
      </c>
      <c r="C59" t="s">
        <v>360</v>
      </c>
      <c r="D59" t="s">
        <v>369</v>
      </c>
      <c r="E59" t="s">
        <v>372</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IF(AND(S59&gt;0,V59&gt;0),(V59/((S59+T59)*10)),"")</f>
        <v>0.11643835616438356</v>
      </c>
      <c r="X59">
        <v>80</v>
      </c>
      <c r="Z59">
        <v>14.4</v>
      </c>
      <c r="AA59">
        <v>14.4</v>
      </c>
      <c r="AE59" t="str">
        <f>CONCATENATE(VLOOKUP(AF59, 'Voxel Sizes'!$A$2:$B$18,2,FALSE),"x",INT(AB59*15), "x", INT(AC59*15))</f>
        <v>136x0x0</v>
      </c>
      <c r="AF59">
        <f>ROUND(15*((AA59*10)/256),0)</f>
        <v>8</v>
      </c>
      <c r="AH59" t="str">
        <f>CONCATENATE(VLOOKUP(AF59,'Articulated Lengths'!$A$2:$C$16,IF(AG59&lt;&gt;"", 3, 2), FALSE),IF(AG59&lt;&gt;"",CONCATENATE(",",VLOOKUP(AG59,$B$2:$AH$213,33,FALSE)),""))</f>
        <v>2,4,2</v>
      </c>
      <c r="AL59">
        <v>1</v>
      </c>
      <c r="AM59">
        <v>10</v>
      </c>
      <c r="AN59">
        <v>10</v>
      </c>
      <c r="AQ59" t="str">
        <f>VLOOKUP(F59,Eras!$A$2:$C$12, 2, TRUE)</f>
        <v>big4</v>
      </c>
      <c r="AR59" t="s">
        <v>434</v>
      </c>
      <c r="AS59" t="str">
        <f>CONCATENATE(AQ59,"_",AR59)</f>
        <v>big4_Mixed Traffic</v>
      </c>
      <c r="AT59" t="s">
        <v>547</v>
      </c>
    </row>
    <row r="60" spans="1:46" x14ac:dyDescent="0.25">
      <c r="A60" t="s">
        <v>140</v>
      </c>
      <c r="B60" t="s">
        <v>566</v>
      </c>
      <c r="C60" t="s">
        <v>379</v>
      </c>
      <c r="E60" t="s">
        <v>372</v>
      </c>
      <c r="F60">
        <v>1928</v>
      </c>
      <c r="S60">
        <v>40</v>
      </c>
      <c r="U60">
        <v>6</v>
      </c>
      <c r="W60" s="4" t="str">
        <f>IF(AND(S60&gt;0,V60&gt;0),(V60/((S60+T60)*10)),"")</f>
        <v/>
      </c>
      <c r="X60">
        <v>95</v>
      </c>
      <c r="Z60">
        <v>20</v>
      </c>
      <c r="AA60">
        <v>20</v>
      </c>
      <c r="AD60">
        <v>48</v>
      </c>
      <c r="AE60" t="str">
        <f>CONCATENATE(VLOOKUP(AF60, 'Voxel Sizes'!$A$2:$B$18,2,FALSE),"x",INT(AB60*15), "x", INT(AC60*15))</f>
        <v>198x0x0</v>
      </c>
      <c r="AF60">
        <f>ROUND(15*((AA60*10)/256),0)</f>
        <v>12</v>
      </c>
      <c r="AH60" t="str">
        <f>CONCATENATE(VLOOKUP(AF60,'Articulated Lengths'!$A$2:$C$16,IF(AG60&lt;&gt;"", 3, 2), FALSE),IF(AG60&lt;&gt;"",CONCATENATE(",",VLOOKUP(AG60,$B$2:$AH$213,33,FALSE)),""))</f>
        <v>3,6,3</v>
      </c>
      <c r="AM60">
        <v>10</v>
      </c>
      <c r="AN60">
        <v>10</v>
      </c>
      <c r="AP60" t="s">
        <v>381</v>
      </c>
      <c r="AQ60" t="str">
        <f>VLOOKUP(F60,Eras!$A$2:$C$12, 2, TRUE)</f>
        <v>big4</v>
      </c>
      <c r="AR60" t="s">
        <v>442</v>
      </c>
      <c r="AS60" t="str">
        <f>CONCATENATE(AQ60,"_",AR60)</f>
        <v>big4_Carriage</v>
      </c>
      <c r="AT60" t="s">
        <v>567</v>
      </c>
    </row>
    <row r="61" spans="1:46" x14ac:dyDescent="0.25">
      <c r="A61" t="s">
        <v>549</v>
      </c>
      <c r="B61" t="s">
        <v>551</v>
      </c>
      <c r="C61" t="s">
        <v>360</v>
      </c>
      <c r="D61" t="s">
        <v>369</v>
      </c>
      <c r="E61" t="s">
        <v>372</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IF(AND(S61&gt;0,V61&gt;0),(V61/((S61+T61)*10)),"")</f>
        <v>9.8214285714285712E-2</v>
      </c>
      <c r="X61">
        <v>80</v>
      </c>
      <c r="Z61">
        <v>19.2</v>
      </c>
      <c r="AA61">
        <f>Z61-7.5</f>
        <v>11.7</v>
      </c>
      <c r="AC61">
        <v>4.04</v>
      </c>
      <c r="AE61" t="str">
        <f>CONCATENATE(VLOOKUP(AF61, 'Voxel Sizes'!$A$2:$B$18,2,FALSE),"x",INT(AB61*15), "x", INT(AC61*15))</f>
        <v>120x0x60</v>
      </c>
      <c r="AF61">
        <f>ROUND(15*((AA61*10)/256),0)</f>
        <v>7</v>
      </c>
      <c r="AG61" t="s">
        <v>540</v>
      </c>
      <c r="AH61" t="str">
        <f>CONCATENATE(VLOOKUP(AF61,'Articulated Lengths'!$A$2:$C$16,IF(AG61&lt;&gt;"", 3, 2), FALSE),IF(AG61&lt;&gt;"",CONCATENATE(",",VLOOKUP(AG61,$B$2:$AH$213,33,FALSE)),""))</f>
        <v>2,3,3,1,3,1</v>
      </c>
      <c r="AL61">
        <v>1</v>
      </c>
      <c r="AM61">
        <v>10</v>
      </c>
      <c r="AN61">
        <v>10</v>
      </c>
      <c r="AQ61" t="str">
        <f>VLOOKUP(F61,Eras!$A$2:$C$12, 2, TRUE)</f>
        <v>big4</v>
      </c>
      <c r="AR61" t="s">
        <v>434</v>
      </c>
      <c r="AS61" t="str">
        <f>CONCATENATE(AQ61,"_",AR61)</f>
        <v>big4_Mixed Traffic</v>
      </c>
      <c r="AT61" t="s">
        <v>550</v>
      </c>
    </row>
    <row r="62" spans="1:46" x14ac:dyDescent="0.25">
      <c r="A62" t="s">
        <v>26</v>
      </c>
      <c r="B62" t="s">
        <v>553</v>
      </c>
      <c r="C62" t="s">
        <v>360</v>
      </c>
      <c r="D62" t="s">
        <v>369</v>
      </c>
      <c r="E62" t="s">
        <v>372</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IF(AND(S62&gt;0,V62&gt;0),(V62/((S62+T62)*10)),"")</f>
        <v>9.9455040871934602E-2</v>
      </c>
      <c r="X62">
        <v>108</v>
      </c>
      <c r="Y62">
        <v>1</v>
      </c>
      <c r="Z62">
        <v>21.46</v>
      </c>
      <c r="AA62">
        <f>Z62-7.5</f>
        <v>13.96</v>
      </c>
      <c r="AE62" t="str">
        <f>CONCATENATE(VLOOKUP(AF62, 'Voxel Sizes'!$A$2:$B$18,2,FALSE),"x",INT(AB62*15), "x", INT(AC62*15))</f>
        <v>136x0x0</v>
      </c>
      <c r="AF62">
        <f>ROUND(15*((AA62*10)/256),0)</f>
        <v>8</v>
      </c>
      <c r="AG62" t="s">
        <v>555</v>
      </c>
      <c r="AH62" t="str">
        <f>CONCATENATE(VLOOKUP(AF62,'Articulated Lengths'!$A$2:$C$16,IF(AG62&lt;&gt;"", 3, 2), FALSE),IF(AG62&lt;&gt;"",CONCATENATE(",",VLOOKUP(AG62,$B$2:$AH$213,33,FALSE)),""))</f>
        <v>2,4,3,1,3,1</v>
      </c>
      <c r="AL62">
        <v>1</v>
      </c>
      <c r="AM62">
        <v>10</v>
      </c>
      <c r="AN62">
        <v>10</v>
      </c>
      <c r="AQ62" t="str">
        <f>VLOOKUP(F62,Eras!$A$2:$C$12, 2, TRUE)</f>
        <v>big4</v>
      </c>
      <c r="AR62" t="s">
        <v>435</v>
      </c>
      <c r="AS62" t="str">
        <f>CONCATENATE(AQ62,"_",AR62)</f>
        <v>big4_Express</v>
      </c>
      <c r="AT62" t="s">
        <v>552</v>
      </c>
    </row>
    <row r="63" spans="1:46" x14ac:dyDescent="0.25">
      <c r="A63" t="s">
        <v>22</v>
      </c>
      <c r="B63" t="s">
        <v>557</v>
      </c>
      <c r="C63" t="s">
        <v>360</v>
      </c>
      <c r="D63" t="s">
        <v>369</v>
      </c>
      <c r="E63" t="s">
        <v>372</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IF(AND(S63&gt;0,V63&gt;0),(V63/((S63+T63)*10)),"")</f>
        <v>0.20703933747412009</v>
      </c>
      <c r="X63">
        <v>60</v>
      </c>
      <c r="Y63">
        <v>1</v>
      </c>
      <c r="Z63">
        <v>9.5</v>
      </c>
      <c r="AA63">
        <v>9.5</v>
      </c>
      <c r="AC63">
        <v>3.7349999999999999</v>
      </c>
      <c r="AE63" t="str">
        <f>CONCATENATE(VLOOKUP(AF63, 'Voxel Sizes'!$A$2:$B$18,2,FALSE),"x",INT(AB63*15), "x", INT(AC63*15))</f>
        <v>102x0x56</v>
      </c>
      <c r="AF63">
        <f>ROUND(15*((AA63*10)/256),0)</f>
        <v>6</v>
      </c>
      <c r="AH63" t="str">
        <f>CONCATENATE(VLOOKUP(AF63,'Articulated Lengths'!$A$2:$C$16,IF(AG63&lt;&gt;"", 3, 2), FALSE),IF(AG63&lt;&gt;"",CONCATENATE(",",VLOOKUP(AG63,$B$2:$AH$213,33,FALSE)),""))</f>
        <v>2,2,2</v>
      </c>
      <c r="AL63">
        <v>1</v>
      </c>
      <c r="AM63">
        <v>10</v>
      </c>
      <c r="AN63">
        <v>10</v>
      </c>
      <c r="AQ63" t="str">
        <f>VLOOKUP(F63,Eras!$A$2:$C$12, 2, TRUE)</f>
        <v>big4</v>
      </c>
      <c r="AR63" t="s">
        <v>433</v>
      </c>
      <c r="AS63" t="str">
        <f>CONCATENATE(AQ63,"_",AR63)</f>
        <v>big4_Cheap</v>
      </c>
      <c r="AT63" t="s">
        <v>556</v>
      </c>
    </row>
    <row r="64" spans="1:46" x14ac:dyDescent="0.25">
      <c r="A64" t="s">
        <v>35</v>
      </c>
      <c r="B64" t="s">
        <v>216</v>
      </c>
      <c r="C64" t="s">
        <v>360</v>
      </c>
      <c r="D64" t="s">
        <v>369</v>
      </c>
      <c r="E64" t="s">
        <v>372</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IF(AND(S64&gt;0,V64&gt;0),(V64/((S64+T64)*10)),"")</f>
        <v>9.9730458221024262E-2</v>
      </c>
      <c r="X64">
        <v>95</v>
      </c>
      <c r="Z64">
        <v>17.93</v>
      </c>
      <c r="AA64">
        <f>Z64-7.5</f>
        <v>10.43</v>
      </c>
      <c r="AC64">
        <v>3.96</v>
      </c>
      <c r="AE64" t="str">
        <f>CONCATENATE(VLOOKUP(AF64, 'Voxel Sizes'!$A$2:$B$18,2,FALSE),"x",INT(AB64*15), "x", INT(AC64*15))</f>
        <v>102x0x59</v>
      </c>
      <c r="AF64">
        <f>ROUND(15*((AA64*10)/256),0)</f>
        <v>6</v>
      </c>
      <c r="AG64" t="s">
        <v>560</v>
      </c>
      <c r="AH64" t="str">
        <f>CONCATENATE(VLOOKUP(AF64,'Articulated Lengths'!$A$2:$C$16,IF(AG64&lt;&gt;"", 3, 2), FALSE),IF(AG64&lt;&gt;"",CONCATENATE(",",VLOOKUP(AG64,$B$2:$AH$213,33,FALSE)),""))</f>
        <v>2,2,3,1,3,1</v>
      </c>
      <c r="AL64">
        <v>1</v>
      </c>
      <c r="AM64">
        <v>10</v>
      </c>
      <c r="AN64">
        <v>10</v>
      </c>
      <c r="AQ64" t="str">
        <f>VLOOKUP(F64,Eras!$A$2:$C$12, 2, TRUE)</f>
        <v>big4</v>
      </c>
      <c r="AR64" t="s">
        <v>435</v>
      </c>
      <c r="AS64" t="str">
        <f>CONCATENATE(AQ64,"_",AR64)</f>
        <v>big4_Express</v>
      </c>
      <c r="AT64" t="s">
        <v>558</v>
      </c>
    </row>
    <row r="65" spans="1:46" x14ac:dyDescent="0.25">
      <c r="A65" t="s">
        <v>561</v>
      </c>
      <c r="B65" t="s">
        <v>563</v>
      </c>
      <c r="C65" t="s">
        <v>360</v>
      </c>
      <c r="D65" t="s">
        <v>369</v>
      </c>
      <c r="E65" t="s">
        <v>372</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IF(AND(S65&gt;0,V65&gt;0),(V65/((S65+T65)*10)),"")</f>
        <v>0.14418604651162792</v>
      </c>
      <c r="X65">
        <v>80</v>
      </c>
      <c r="Z65">
        <v>9.1199999999999992</v>
      </c>
      <c r="AA65">
        <v>9.1199999999999992</v>
      </c>
      <c r="AC65">
        <v>3.82</v>
      </c>
      <c r="AE65" t="str">
        <f>CONCATENATE(VLOOKUP(AF65, 'Voxel Sizes'!$A$2:$B$18,2,FALSE),"x",INT(AB65*15), "x", INT(AC65*15))</f>
        <v>82x0x57</v>
      </c>
      <c r="AF65">
        <f>ROUND(15*((AA65*10)/256),0)</f>
        <v>5</v>
      </c>
      <c r="AH65" t="str">
        <f>CONCATENATE(VLOOKUP(AF65,'Articulated Lengths'!$A$2:$C$16,IF(AG65&lt;&gt;"", 3, 2), FALSE),IF(AG65&lt;&gt;"",CONCATENATE(",",VLOOKUP(AG65,$B$2:$AH$213,33,FALSE)),""))</f>
        <v>1,3,1</v>
      </c>
      <c r="AL65">
        <v>1</v>
      </c>
      <c r="AM65">
        <v>10</v>
      </c>
      <c r="AN65">
        <v>10</v>
      </c>
      <c r="AQ65" t="str">
        <f>VLOOKUP(F65,Eras!$A$2:$C$12, 2, TRUE)</f>
        <v>big4</v>
      </c>
      <c r="AR65" t="s">
        <v>433</v>
      </c>
      <c r="AS65" t="str">
        <f>CONCATENATE(AQ65,"_",AR65)</f>
        <v>big4_Cheap</v>
      </c>
      <c r="AT65" t="s">
        <v>562</v>
      </c>
    </row>
    <row r="66" spans="1:46" x14ac:dyDescent="0.25">
      <c r="A66" t="s">
        <v>82</v>
      </c>
      <c r="B66" t="s">
        <v>312</v>
      </c>
      <c r="C66" t="s">
        <v>522</v>
      </c>
      <c r="D66" t="s">
        <v>394</v>
      </c>
      <c r="E66" t="s">
        <v>402</v>
      </c>
      <c r="F66">
        <v>1932</v>
      </c>
      <c r="H66">
        <v>1972</v>
      </c>
      <c r="I66">
        <v>5</v>
      </c>
      <c r="J66">
        <v>1800</v>
      </c>
      <c r="S66">
        <v>253</v>
      </c>
      <c r="V66">
        <v>145</v>
      </c>
      <c r="W66" s="4">
        <f>IF(AND(S66&gt;0,V66&gt;0),(V66/((S66+T66)*10)),"")</f>
        <v>5.731225296442688E-2</v>
      </c>
      <c r="X66">
        <v>75</v>
      </c>
      <c r="Z66">
        <v>20.11</v>
      </c>
      <c r="AA66">
        <v>20.11</v>
      </c>
      <c r="AD66">
        <v>33</v>
      </c>
      <c r="AE66" t="str">
        <f>CONCATENATE(VLOOKUP(AF66, 'Voxel Sizes'!$A$2:$B$18,2,FALSE),"x",INT(AB66*15), "x", INT(AC66*15))</f>
        <v>198x0x0</v>
      </c>
      <c r="AF66">
        <f>ROUND(15*((AA66*10)/256),0)</f>
        <v>12</v>
      </c>
      <c r="AH66" t="str">
        <f>CONCATENATE(VLOOKUP(AF66,'Articulated Lengths'!$A$2:$C$16,IF(AG66&lt;&gt;"", 3, 2), FALSE),IF(AG66&lt;&gt;"",CONCATENATE(",",VLOOKUP(AG66,$B$2:$AH$213,33,FALSE)),""))</f>
        <v>3,6,3</v>
      </c>
      <c r="AI66" t="s">
        <v>565</v>
      </c>
      <c r="AJ66" t="s">
        <v>568</v>
      </c>
      <c r="AM66">
        <v>10</v>
      </c>
      <c r="AN66">
        <v>10</v>
      </c>
      <c r="AP66" t="s">
        <v>381</v>
      </c>
      <c r="AQ66" t="str">
        <f>VLOOKUP(F66,Eras!$A$2:$C$12, 2, TRUE)</f>
        <v>big4</v>
      </c>
      <c r="AR66" t="s">
        <v>441</v>
      </c>
      <c r="AS66" t="str">
        <f>CONCATENATE(AQ66,"_",AR66)</f>
        <v>big4_EMU (Express)</v>
      </c>
      <c r="AT66" t="s">
        <v>564</v>
      </c>
    </row>
    <row r="67" spans="1:46" x14ac:dyDescent="0.25">
      <c r="A67" t="s">
        <v>81</v>
      </c>
      <c r="B67" t="s">
        <v>240</v>
      </c>
      <c r="C67" t="s">
        <v>360</v>
      </c>
      <c r="D67" t="s">
        <v>370</v>
      </c>
      <c r="E67" t="s">
        <v>372</v>
      </c>
      <c r="F67">
        <v>1933</v>
      </c>
      <c r="G67">
        <v>1942</v>
      </c>
      <c r="H67">
        <v>1962</v>
      </c>
      <c r="J67">
        <v>260</v>
      </c>
      <c r="S67">
        <v>35</v>
      </c>
      <c r="V67">
        <v>55</v>
      </c>
      <c r="W67" s="4">
        <f>IF(AND(S67&gt;0,V67&gt;0),(V67/((S67+T67)*10)),"")</f>
        <v>0.15714285714285714</v>
      </c>
      <c r="X67">
        <v>63</v>
      </c>
      <c r="Z67">
        <v>18.399999999999999</v>
      </c>
      <c r="AA67">
        <v>17</v>
      </c>
      <c r="AD67">
        <v>69</v>
      </c>
      <c r="AE67" t="str">
        <f>CONCATENATE(VLOOKUP(AF67, 'Voxel Sizes'!$A$2:$B$18,2,FALSE),"x",INT(AB67*15), "x", INT(AC67*15))</f>
        <v>164x0x0</v>
      </c>
      <c r="AF67">
        <f>ROUND(15*((AA67*10)/256),0)</f>
        <v>10</v>
      </c>
      <c r="AH67" t="str">
        <f>CONCATENATE(VLOOKUP(AF67,'Articulated Lengths'!$A$2:$C$16,IF(AG67&lt;&gt;"", 3, 2), FALSE),IF(AG67&lt;&gt;"",CONCATENATE(",",VLOOKUP(AG67,$B$2:$AH$213,33,FALSE)),""))</f>
        <v>3,4,3</v>
      </c>
      <c r="AM67">
        <v>10</v>
      </c>
      <c r="AN67">
        <v>10</v>
      </c>
      <c r="AP67" t="s">
        <v>381</v>
      </c>
      <c r="AQ67" t="str">
        <f>VLOOKUP(F67,Eras!$A$2:$C$12, 2, TRUE)</f>
        <v>big4</v>
      </c>
      <c r="AR67" t="s">
        <v>437</v>
      </c>
      <c r="AS67" t="str">
        <f>CONCATENATE(AQ67,"_",AR67)</f>
        <v>big4_DMU (Cheap)</v>
      </c>
      <c r="AT67" t="s">
        <v>569</v>
      </c>
    </row>
    <row r="68" spans="1:46" x14ac:dyDescent="0.25">
      <c r="A68" t="s">
        <v>30</v>
      </c>
      <c r="B68" t="s">
        <v>386</v>
      </c>
      <c r="C68" t="s">
        <v>360</v>
      </c>
      <c r="D68" t="s">
        <v>369</v>
      </c>
      <c r="E68" t="s">
        <v>372</v>
      </c>
      <c r="F68">
        <v>1934</v>
      </c>
      <c r="G68">
        <v>1951</v>
      </c>
      <c r="H68">
        <v>1967</v>
      </c>
      <c r="J68">
        <v>1250</v>
      </c>
      <c r="S68">
        <v>73.400000000000006</v>
      </c>
      <c r="T68">
        <v>46</v>
      </c>
      <c r="V68">
        <v>113</v>
      </c>
      <c r="W68" s="4">
        <f>IF(AND(S68&gt;0,V68&gt;0),(V68/((S68+T68)*10)),"")</f>
        <v>9.4639865996649919E-2</v>
      </c>
      <c r="X68">
        <v>92</v>
      </c>
      <c r="Y68">
        <v>1</v>
      </c>
      <c r="Z68">
        <v>11.76</v>
      </c>
      <c r="AA68">
        <v>11.76</v>
      </c>
      <c r="AE68" t="str">
        <f>CONCATENATE(VLOOKUP(AF68, 'Voxel Sizes'!$A$2:$B$18,2,FALSE),"x",INT(AB68*15), "x", INT(AC68*15))</f>
        <v>120x0x0</v>
      </c>
      <c r="AF68">
        <f>ROUND(15*((AA68*10)/256),0)</f>
        <v>7</v>
      </c>
      <c r="AG68" t="s">
        <v>392</v>
      </c>
      <c r="AH68" t="str">
        <f>CONCATENATE(VLOOKUP(AF68,'Articulated Lengths'!$A$2:$C$16,IF(AG68&lt;&gt;"", 3, 2), FALSE),IF(AG68&lt;&gt;"",CONCATENATE(",",VLOOKUP(AG68,$B$2:$AH$213,33,FALSE)),""))</f>
        <v>2,3,3,1,3,1</v>
      </c>
      <c r="AL68">
        <v>1</v>
      </c>
      <c r="AM68">
        <v>10</v>
      </c>
      <c r="AN68">
        <v>10</v>
      </c>
      <c r="AQ68" t="str">
        <f>VLOOKUP(F68,Eras!$A$2:$C$12, 2, TRUE)</f>
        <v>big4</v>
      </c>
      <c r="AR68" t="s">
        <v>434</v>
      </c>
      <c r="AS68" t="str">
        <f>CONCATENATE(AQ68,"_",AR68)</f>
        <v>big4_Mixed Traffic</v>
      </c>
      <c r="AT68" t="s">
        <v>475</v>
      </c>
    </row>
    <row r="69" spans="1:46" x14ac:dyDescent="0.25">
      <c r="A69" t="s">
        <v>32</v>
      </c>
      <c r="B69" t="s">
        <v>385</v>
      </c>
      <c r="C69" t="s">
        <v>360</v>
      </c>
      <c r="D69" t="s">
        <v>369</v>
      </c>
      <c r="E69" t="s">
        <v>372</v>
      </c>
      <c r="F69">
        <v>1934</v>
      </c>
      <c r="G69">
        <v>1936</v>
      </c>
      <c r="H69">
        <v>1967</v>
      </c>
      <c r="J69">
        <v>1375</v>
      </c>
      <c r="S69">
        <v>80.8</v>
      </c>
      <c r="T69">
        <v>52</v>
      </c>
      <c r="V69">
        <v>118</v>
      </c>
      <c r="W69" s="4">
        <f>IF(AND(S69&gt;0,V69&gt;0),(V69/((S69+T69)*10)),"")</f>
        <v>8.8855421686746983E-2</v>
      </c>
      <c r="X69">
        <v>95</v>
      </c>
      <c r="Y69">
        <v>1</v>
      </c>
      <c r="Z69">
        <v>12.09</v>
      </c>
      <c r="AA69">
        <v>12.09</v>
      </c>
      <c r="AE69" t="str">
        <f>CONCATENATE(VLOOKUP(AF69, 'Voxel Sizes'!$A$2:$B$18,2,FALSE),"x",INT(AB69*15), "x", INT(AC69*15))</f>
        <v>120x0x0</v>
      </c>
      <c r="AF69">
        <f>ROUND(15*((AA69*10)/256),0)</f>
        <v>7</v>
      </c>
      <c r="AG69" t="s">
        <v>387</v>
      </c>
      <c r="AH69" t="str">
        <f>CONCATENATE(VLOOKUP(AF69,'Articulated Lengths'!$A$2:$C$16,IF(AG69&lt;&gt;"", 3, 2), FALSE),IF(AG69&lt;&gt;"",CONCATENATE(",",VLOOKUP(AG69,$B$2:$AH$213,33,FALSE)),""))</f>
        <v>2,3,3,1,3,1</v>
      </c>
      <c r="AL69">
        <v>1</v>
      </c>
      <c r="AM69">
        <v>10</v>
      </c>
      <c r="AN69">
        <v>10</v>
      </c>
      <c r="AQ69" t="str">
        <f>VLOOKUP(F69,Eras!$A$2:$C$12, 2, TRUE)</f>
        <v>big4</v>
      </c>
      <c r="AR69" t="s">
        <v>435</v>
      </c>
      <c r="AS69" t="str">
        <f>CONCATENATE(AQ69,"_",AR69)</f>
        <v>big4_Express</v>
      </c>
      <c r="AT69" t="s">
        <v>461</v>
      </c>
    </row>
    <row r="70" spans="1:46" x14ac:dyDescent="0.25">
      <c r="A70" t="s">
        <v>581</v>
      </c>
      <c r="B70" t="s">
        <v>580</v>
      </c>
      <c r="C70" t="s">
        <v>389</v>
      </c>
      <c r="E70" t="s">
        <v>372</v>
      </c>
      <c r="F70">
        <v>1935</v>
      </c>
      <c r="S70">
        <v>42</v>
      </c>
      <c r="W70" s="4" t="str">
        <f>IF(AND(S70&gt;0,V70&gt;0),(V70/((S70+T70)*10)),"")</f>
        <v/>
      </c>
      <c r="Z70">
        <v>7.5</v>
      </c>
      <c r="AA70">
        <v>8</v>
      </c>
      <c r="AE70" t="str">
        <f>CONCATENATE(VLOOKUP(AF70, 'Voxel Sizes'!$A$2:$B$18,2,FALSE),"x",INT(AB70*15), "x", INT(AC70*15))</f>
        <v>82x0x0</v>
      </c>
      <c r="AF70">
        <f>ROUND(15*((AA70*10)/256),0)</f>
        <v>5</v>
      </c>
      <c r="AH70" t="str">
        <f>CONCATENATE(VLOOKUP(AF70,'Articulated Lengths'!$A$2:$C$16,IF(AG70&lt;&gt;"", 3, 2), FALSE),IF(AG70&lt;&gt;"",CONCATENATE(",",VLOOKUP(AG70,$B$2:$AH$213,33,FALSE)),""))</f>
        <v>1,3,1</v>
      </c>
      <c r="AM70">
        <v>10</v>
      </c>
      <c r="AN70">
        <v>10</v>
      </c>
      <c r="AQ70" t="str">
        <f>VLOOKUP(F70,Eras!$A$2:$C$12, 2, TRUE)</f>
        <v>big4</v>
      </c>
      <c r="AS70" t="str">
        <f>CONCATENATE(AQ70,"_",AR70)</f>
        <v>big4_</v>
      </c>
    </row>
    <row r="71" spans="1:46" x14ac:dyDescent="0.25">
      <c r="A71" t="s">
        <v>570</v>
      </c>
      <c r="B71" t="s">
        <v>217</v>
      </c>
      <c r="C71" t="s">
        <v>360</v>
      </c>
      <c r="D71" t="s">
        <v>369</v>
      </c>
      <c r="E71" t="s">
        <v>372</v>
      </c>
      <c r="F71">
        <v>1935</v>
      </c>
      <c r="H71">
        <v>1968</v>
      </c>
      <c r="J71">
        <v>1300</v>
      </c>
      <c r="S71">
        <v>73</v>
      </c>
      <c r="T71">
        <v>46</v>
      </c>
      <c r="V71">
        <v>144</v>
      </c>
      <c r="W71" s="4">
        <f>IF(AND(S71&gt;0,V71&gt;0),(V71/((S71+T71)*10)),"")</f>
        <v>0.12100840336134454</v>
      </c>
      <c r="X71">
        <v>70</v>
      </c>
      <c r="Z71">
        <v>19.22</v>
      </c>
      <c r="AA71">
        <f>19.22-7.46</f>
        <v>11.759999999999998</v>
      </c>
      <c r="AE71" t="str">
        <f>CONCATENATE(VLOOKUP(AF71, 'Voxel Sizes'!$A$2:$B$18,2,FALSE),"x",INT(AB71*15), "x", INT(AC71*15))</f>
        <v>120x0x0</v>
      </c>
      <c r="AF71">
        <f>ROUND(15*((AA71*10)/256),0)</f>
        <v>7</v>
      </c>
      <c r="AG71" t="s">
        <v>392</v>
      </c>
      <c r="AH71" t="str">
        <f>CONCATENATE(VLOOKUP(AF71,'Articulated Lengths'!$A$2:$C$16,IF(AG71&lt;&gt;"", 3, 2), FALSE),IF(AG71&lt;&gt;"",CONCATENATE(",",VLOOKUP(AG71,$B$2:$AH$213,33,FALSE)),""))</f>
        <v>2,3,3,1,3,1</v>
      </c>
      <c r="AL71">
        <v>1</v>
      </c>
      <c r="AM71">
        <v>10</v>
      </c>
      <c r="AN71">
        <v>10</v>
      </c>
      <c r="AQ71" t="str">
        <f>VLOOKUP(F71,Eras!$A$2:$C$12, 2, TRUE)</f>
        <v>big4</v>
      </c>
      <c r="AR71" t="s">
        <v>436</v>
      </c>
      <c r="AS71" t="str">
        <f>CONCATENATE(AQ71,"_",AR71)</f>
        <v>big4_Freight</v>
      </c>
      <c r="AT71" t="s">
        <v>571</v>
      </c>
    </row>
    <row r="72" spans="1:46" x14ac:dyDescent="0.25">
      <c r="A72" t="s">
        <v>27</v>
      </c>
      <c r="B72" t="s">
        <v>573</v>
      </c>
      <c r="C72" t="s">
        <v>360</v>
      </c>
      <c r="D72" t="s">
        <v>369</v>
      </c>
      <c r="E72" t="s">
        <v>372</v>
      </c>
      <c r="F72">
        <v>1935</v>
      </c>
      <c r="G72">
        <v>1938</v>
      </c>
      <c r="H72">
        <v>1966</v>
      </c>
      <c r="J72">
        <v>2450</v>
      </c>
      <c r="S72">
        <v>104.6</v>
      </c>
      <c r="T72">
        <v>64</v>
      </c>
      <c r="V72">
        <v>157</v>
      </c>
      <c r="W72" s="4">
        <f>IF(AND(S72&gt;0,V72&gt;0),(V72/((S72+T72)*10)),"")</f>
        <v>9.3119810201660741E-2</v>
      </c>
      <c r="X72">
        <v>126</v>
      </c>
      <c r="Y72">
        <v>1</v>
      </c>
      <c r="Z72">
        <v>21.65</v>
      </c>
      <c r="AA72">
        <f>Z72-7.5</f>
        <v>14.149999999999999</v>
      </c>
      <c r="AC72">
        <v>3.99</v>
      </c>
      <c r="AE72" t="str">
        <f>CONCATENATE(VLOOKUP(AF72, 'Voxel Sizes'!$A$2:$B$18,2,FALSE),"x",INT(AB72*15), "x", INT(AC72*15))</f>
        <v>136x0x59</v>
      </c>
      <c r="AF72">
        <f>ROUND(15*((AA72*10)/256),0)</f>
        <v>8</v>
      </c>
      <c r="AG72" t="s">
        <v>555</v>
      </c>
      <c r="AH72" t="str">
        <f>CONCATENATE(VLOOKUP(AF72,'Articulated Lengths'!$A$2:$C$16,IF(AG72&lt;&gt;"", 3, 2), FALSE),IF(AG72&lt;&gt;"",CONCATENATE(",",VLOOKUP(AG72,$B$2:$AH$213,33,FALSE)),""))</f>
        <v>2,4,3,1,3,1</v>
      </c>
      <c r="AL72">
        <v>1</v>
      </c>
      <c r="AM72">
        <v>10</v>
      </c>
      <c r="AN72">
        <v>10</v>
      </c>
      <c r="AQ72" t="str">
        <f>VLOOKUP(F72,Eras!$A$2:$C$12, 2, TRUE)</f>
        <v>big4</v>
      </c>
      <c r="AR72" t="s">
        <v>435</v>
      </c>
      <c r="AS72" t="str">
        <f>CONCATENATE(AQ72,"_",AR72)</f>
        <v>big4_Express</v>
      </c>
      <c r="AT72" t="s">
        <v>572</v>
      </c>
    </row>
    <row r="73" spans="1:46" x14ac:dyDescent="0.25">
      <c r="A73" t="s">
        <v>14</v>
      </c>
      <c r="B73" t="s">
        <v>574</v>
      </c>
      <c r="C73" t="s">
        <v>360</v>
      </c>
      <c r="D73" t="s">
        <v>369</v>
      </c>
      <c r="E73" t="s">
        <v>372</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IF(AND(S73&gt;0,V73&gt;0),(V73/((S73+T73)*10)),"")</f>
        <v>0.10344827586206896</v>
      </c>
      <c r="X73">
        <v>93</v>
      </c>
      <c r="Y73">
        <v>1</v>
      </c>
      <c r="Z73">
        <v>20.239999999999998</v>
      </c>
      <c r="AA73">
        <f>Z73-7.5</f>
        <v>12.739999999999998</v>
      </c>
      <c r="AE73" t="str">
        <f>CONCATENATE(VLOOKUP(AF73, 'Voxel Sizes'!$A$2:$B$18,2,FALSE),"x",INT(AB73*15), "x", INT(AC73*15))</f>
        <v>120x0x0</v>
      </c>
      <c r="AF73">
        <f>ROUND(15*((AA73*10)/256),0)</f>
        <v>7</v>
      </c>
      <c r="AG73" t="s">
        <v>555</v>
      </c>
      <c r="AH73" t="str">
        <f>CONCATENATE(VLOOKUP(AF73,'Articulated Lengths'!$A$2:$C$16,IF(AG73&lt;&gt;"", 3, 2), FALSE),IF(AG73&lt;&gt;"",CONCATENATE(",",VLOOKUP(AG73,$B$2:$AH$213,33,FALSE)),""))</f>
        <v>2,3,3,1,3,1</v>
      </c>
      <c r="AL73">
        <v>1</v>
      </c>
      <c r="AM73">
        <v>10</v>
      </c>
      <c r="AN73">
        <v>10</v>
      </c>
      <c r="AQ73" t="str">
        <f>VLOOKUP(F73,Eras!$A$2:$C$12, 2, TRUE)</f>
        <v>big4</v>
      </c>
      <c r="AR73" t="s">
        <v>434</v>
      </c>
      <c r="AS73" t="str">
        <f>CONCATENATE(AQ73,"_",AR73)</f>
        <v>big4_Mixed Traffic</v>
      </c>
      <c r="AT73" t="s">
        <v>575</v>
      </c>
    </row>
    <row r="74" spans="1:46" x14ac:dyDescent="0.25">
      <c r="A74" t="s">
        <v>23</v>
      </c>
      <c r="B74" t="s">
        <v>576</v>
      </c>
      <c r="C74" t="s">
        <v>360</v>
      </c>
      <c r="D74" t="s">
        <v>369</v>
      </c>
      <c r="E74" t="s">
        <v>372</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IF(AND(S74&gt;0,V74&gt;0),(V74/((S74+T74)*10)),"")</f>
        <v>0.1038961038961039</v>
      </c>
      <c r="X74">
        <v>75</v>
      </c>
      <c r="Z74">
        <v>19.21</v>
      </c>
      <c r="AA74">
        <f>Z74-7.5</f>
        <v>11.71</v>
      </c>
      <c r="AC74">
        <v>3.96</v>
      </c>
      <c r="AE74" t="str">
        <f>CONCATENATE(VLOOKUP(AF74, 'Voxel Sizes'!$A$2:$B$18,2,FALSE),"x",INT(AB74*15), "x", INT(AC74*15))</f>
        <v>120x0x59</v>
      </c>
      <c r="AF74">
        <f>ROUND(15*((AA74*10)/256),0)</f>
        <v>7</v>
      </c>
      <c r="AG74" t="s">
        <v>540</v>
      </c>
      <c r="AH74" t="str">
        <f>CONCATENATE(VLOOKUP(AF74,'Articulated Lengths'!$A$2:$C$16,IF(AG74&lt;&gt;"", 3, 2), FALSE),IF(AG74&lt;&gt;"",CONCATENATE(",",VLOOKUP(AG74,$B$2:$AH$213,33,FALSE)),""))</f>
        <v>2,3,3,1,3,1</v>
      </c>
      <c r="AL74">
        <v>1</v>
      </c>
      <c r="AM74">
        <v>10</v>
      </c>
      <c r="AN74">
        <v>10</v>
      </c>
      <c r="AQ74" t="str">
        <f>VLOOKUP(F74,Eras!$A$2:$C$12, 2, TRUE)</f>
        <v>big4</v>
      </c>
      <c r="AR74" t="s">
        <v>434</v>
      </c>
      <c r="AS74" t="str">
        <f>CONCATENATE(AQ74,"_",AR74)</f>
        <v>big4_Mixed Traffic</v>
      </c>
      <c r="AT74" t="s">
        <v>578</v>
      </c>
    </row>
    <row r="75" spans="1:46" x14ac:dyDescent="0.25">
      <c r="A75" t="s">
        <v>33</v>
      </c>
      <c r="B75" t="s">
        <v>577</v>
      </c>
      <c r="C75" t="s">
        <v>360</v>
      </c>
      <c r="D75" t="s">
        <v>369</v>
      </c>
      <c r="E75" t="s">
        <v>372</v>
      </c>
      <c r="F75">
        <v>1937</v>
      </c>
      <c r="G75">
        <v>1948</v>
      </c>
      <c r="H75">
        <v>1964</v>
      </c>
      <c r="J75">
        <v>2500</v>
      </c>
      <c r="S75">
        <v>110</v>
      </c>
      <c r="T75">
        <v>57</v>
      </c>
      <c r="V75">
        <v>180</v>
      </c>
      <c r="W75" s="4">
        <f>IF(AND(S75&gt;0,V75&gt;0),(V75/((S75+T75)*10)),"")</f>
        <v>0.10778443113772455</v>
      </c>
      <c r="X75">
        <v>115</v>
      </c>
      <c r="Y75">
        <v>1</v>
      </c>
      <c r="Z75">
        <v>22.49</v>
      </c>
      <c r="AA75">
        <f>Z75-7.5</f>
        <v>14.989999999999998</v>
      </c>
      <c r="AC75">
        <v>4.0389999999999997</v>
      </c>
      <c r="AE75" t="str">
        <f>CONCATENATE(VLOOKUP(AF75, 'Voxel Sizes'!$A$2:$B$18,2,FALSE),"x",INT(AB75*15), "x", INT(AC75*15))</f>
        <v>152x0x60</v>
      </c>
      <c r="AF75">
        <f>ROUND(15*((AA75*10)/256),0)</f>
        <v>9</v>
      </c>
      <c r="AG75" t="s">
        <v>580</v>
      </c>
      <c r="AH75" t="str">
        <f>CONCATENATE(VLOOKUP(AF75,'Articulated Lengths'!$A$2:$C$16,IF(AG75&lt;&gt;"", 3, 2), FALSE),IF(AG75&lt;&gt;"",CONCATENATE(",",VLOOKUP(AG75,$B$2:$AH$213,33,FALSE)),""))</f>
        <v>2,5,2,1,3,1</v>
      </c>
      <c r="AL75">
        <v>1</v>
      </c>
      <c r="AM75">
        <v>10</v>
      </c>
      <c r="AN75">
        <v>10</v>
      </c>
      <c r="AQ75" t="str">
        <f>VLOOKUP(F75,Eras!$A$2:$C$12, 2, TRUE)</f>
        <v>big4</v>
      </c>
      <c r="AR75" t="s">
        <v>435</v>
      </c>
      <c r="AS75" t="str">
        <f>CONCATENATE(AQ75,"_",AR75)</f>
        <v>big4_Express</v>
      </c>
      <c r="AT75" t="s">
        <v>579</v>
      </c>
    </row>
    <row r="76" spans="1:46" x14ac:dyDescent="0.25">
      <c r="A76" t="s">
        <v>83</v>
      </c>
      <c r="B76" t="s">
        <v>313</v>
      </c>
      <c r="C76" t="s">
        <v>522</v>
      </c>
      <c r="D76" t="s">
        <v>394</v>
      </c>
      <c r="E76" t="s">
        <v>402</v>
      </c>
      <c r="F76">
        <v>1937</v>
      </c>
      <c r="G76">
        <v>1938</v>
      </c>
      <c r="H76">
        <v>1972</v>
      </c>
      <c r="I76">
        <v>4</v>
      </c>
      <c r="J76">
        <v>900</v>
      </c>
      <c r="S76">
        <v>160.80000000000001</v>
      </c>
      <c r="U76">
        <v>8</v>
      </c>
      <c r="V76">
        <v>120</v>
      </c>
      <c r="W76" s="4">
        <f>IF(AND(S76&gt;0,V76&gt;0),(V76/((S76+T76)*10)),"")</f>
        <v>7.4626865671641784E-2</v>
      </c>
      <c r="X76">
        <v>75</v>
      </c>
      <c r="Z76">
        <v>20</v>
      </c>
      <c r="AA76">
        <v>20</v>
      </c>
      <c r="AD76">
        <v>57</v>
      </c>
      <c r="AE76" t="str">
        <f>CONCATENATE(VLOOKUP(AF76, 'Voxel Sizes'!$A$2:$B$18,2,FALSE),"x",INT(AB76*15), "x", INT(AC76*15))</f>
        <v>198x0x0</v>
      </c>
      <c r="AF76">
        <f>ROUND(15*((AA76*10)/256),0)</f>
        <v>12</v>
      </c>
      <c r="AH76" t="str">
        <f>CONCATENATE(VLOOKUP(AF76,'Articulated Lengths'!$A$2:$C$16,IF(AG76&lt;&gt;"", 3, 2), FALSE),IF(AG76&lt;&gt;"",CONCATENATE(",",VLOOKUP(AG76,$B$2:$AH$213,33,FALSE)),""))</f>
        <v>3,6,3</v>
      </c>
      <c r="AI76" t="s">
        <v>584</v>
      </c>
      <c r="AJ76" t="s">
        <v>585</v>
      </c>
      <c r="AM76">
        <v>10</v>
      </c>
      <c r="AN76">
        <v>10</v>
      </c>
      <c r="AP76" t="s">
        <v>381</v>
      </c>
      <c r="AQ76" t="str">
        <f>VLOOKUP(F76,Eras!$A$2:$C$12, 2, TRUE)</f>
        <v>big4</v>
      </c>
      <c r="AR76" t="s">
        <v>440</v>
      </c>
      <c r="AS76" t="str">
        <f>CONCATENATE(AQ76,"_",AR76)</f>
        <v>big4_EMU</v>
      </c>
      <c r="AT76" t="s">
        <v>582</v>
      </c>
    </row>
    <row r="77" spans="1:46" x14ac:dyDescent="0.25">
      <c r="A77" t="s">
        <v>84</v>
      </c>
      <c r="B77" t="s">
        <v>314</v>
      </c>
      <c r="C77" t="s">
        <v>522</v>
      </c>
      <c r="D77" t="s">
        <v>394</v>
      </c>
      <c r="E77" t="s">
        <v>402</v>
      </c>
      <c r="F77">
        <v>1938</v>
      </c>
      <c r="G77">
        <v>1939</v>
      </c>
      <c r="H77">
        <v>1971</v>
      </c>
      <c r="I77">
        <v>2</v>
      </c>
      <c r="J77">
        <v>550</v>
      </c>
      <c r="S77">
        <v>77</v>
      </c>
      <c r="U77">
        <v>8</v>
      </c>
      <c r="V77">
        <v>120</v>
      </c>
      <c r="W77" s="4">
        <f>IF(AND(S77&gt;0,V77&gt;0),(V77/((S77+T77)*10)),"")</f>
        <v>0.15584415584415584</v>
      </c>
      <c r="X77">
        <v>75</v>
      </c>
      <c r="Z77">
        <v>20</v>
      </c>
      <c r="AA77">
        <v>20</v>
      </c>
      <c r="AD77">
        <f>(24+102)/2</f>
        <v>63</v>
      </c>
      <c r="AE77" t="str">
        <f>CONCATENATE(VLOOKUP(AF77, 'Voxel Sizes'!$A$2:$B$18,2,FALSE),"x",INT(AB77*15), "x", INT(AC77*15))</f>
        <v>198x0x0</v>
      </c>
      <c r="AF77">
        <f>ROUND(15*((AA77*10)/256),0)</f>
        <v>12</v>
      </c>
      <c r="AH77" t="str">
        <f>CONCATENATE(VLOOKUP(AF77,'Articulated Lengths'!$A$2:$C$16,IF(AG77&lt;&gt;"", 3, 2), FALSE),IF(AG77&lt;&gt;"",CONCATENATE(",",VLOOKUP(AG77,$B$2:$AH$213,33,FALSE)),""))</f>
        <v>3,6,3</v>
      </c>
      <c r="AI77" t="s">
        <v>586</v>
      </c>
      <c r="AJ77" t="s">
        <v>587</v>
      </c>
      <c r="AM77">
        <v>10</v>
      </c>
      <c r="AN77">
        <v>10</v>
      </c>
      <c r="AP77" t="s">
        <v>381</v>
      </c>
      <c r="AQ77" t="str">
        <f>VLOOKUP(F77,Eras!$A$2:$C$12, 2, TRUE)</f>
        <v>big4</v>
      </c>
      <c r="AR77" t="s">
        <v>440</v>
      </c>
      <c r="AS77" t="str">
        <f>CONCATENATE(AQ77,"_",AR77)</f>
        <v>big4_EMU</v>
      </c>
      <c r="AT77" t="s">
        <v>583</v>
      </c>
    </row>
    <row r="78" spans="1:46" x14ac:dyDescent="0.25">
      <c r="A78" t="s">
        <v>125</v>
      </c>
      <c r="B78" t="s">
        <v>257</v>
      </c>
      <c r="C78" t="s">
        <v>193</v>
      </c>
      <c r="E78" t="s">
        <v>372</v>
      </c>
      <c r="F78">
        <v>1938</v>
      </c>
      <c r="W78" s="4" t="str">
        <f>IF(AND(S78&gt;0,V78&gt;0),(V78/((S78+T78)*10)),"")</f>
        <v/>
      </c>
      <c r="AE78" t="str">
        <f>CONCATENATE(VLOOKUP(AF78, 'Voxel Sizes'!$A$2:$B$18,2,FALSE),"x",INT(AB78*15), "x", INT(AC78*15))</f>
        <v>0x0x0</v>
      </c>
      <c r="AF78">
        <f>ROUND(15*((AA78*10)/256),0)</f>
        <v>0</v>
      </c>
      <c r="AH78" t="str">
        <f>CONCATENATE(VLOOKUP(AF78,'Articulated Lengths'!$A$2:$C$16,IF(AG78&lt;&gt;"", 3, 2), FALSE),IF(AG78&lt;&gt;"",CONCATENATE(",",VLOOKUP(AG78,$B$2:$AH$213,33,FALSE)),""))</f>
        <v>na</v>
      </c>
      <c r="AM78">
        <v>10</v>
      </c>
      <c r="AN78">
        <v>10</v>
      </c>
      <c r="AQ78" t="str">
        <f>VLOOKUP(F78,Eras!$A$2:$C$12, 2, TRUE)</f>
        <v>big4</v>
      </c>
      <c r="AR78" t="s">
        <v>452</v>
      </c>
      <c r="AS78" t="str">
        <f>CONCATENATE(AQ78,"_",AR78)</f>
        <v>big4_LU</v>
      </c>
    </row>
    <row r="79" spans="1:46" x14ac:dyDescent="0.25">
      <c r="A79" t="s">
        <v>588</v>
      </c>
      <c r="B79" t="s">
        <v>589</v>
      </c>
      <c r="C79" t="s">
        <v>389</v>
      </c>
      <c r="E79" t="s">
        <v>372</v>
      </c>
      <c r="F79">
        <v>1941</v>
      </c>
      <c r="S79">
        <v>52</v>
      </c>
      <c r="W79" s="4" t="str">
        <f>IF(AND(S79&gt;0,V79&gt;0),(V79/((S79+T79)*10)),"")</f>
        <v/>
      </c>
      <c r="Z79">
        <v>7.64</v>
      </c>
      <c r="AA79">
        <v>8</v>
      </c>
      <c r="AE79" t="str">
        <f>CONCATENATE(VLOOKUP(AF79, 'Voxel Sizes'!$A$2:$B$18,2,FALSE),"x",INT(AB79*15), "x", INT(AC79*15))</f>
        <v>82x0x0</v>
      </c>
      <c r="AF79">
        <f>ROUND(15*((AA79*10)/256),0)</f>
        <v>5</v>
      </c>
      <c r="AH79" t="str">
        <f>CONCATENATE(VLOOKUP(AF79,'Articulated Lengths'!$A$2:$C$16,IF(AG79&lt;&gt;"", 3, 2), FALSE),IF(AG79&lt;&gt;"",CONCATENATE(",",VLOOKUP(AG79,$B$2:$AH$213,33,FALSE)),""))</f>
        <v>1,3,1</v>
      </c>
      <c r="AQ79" t="str">
        <f>VLOOKUP(F79,Eras!$A$2:$C$12, 2, TRUE)</f>
        <v>big4</v>
      </c>
      <c r="AS79" t="str">
        <f>CONCATENATE(AQ79,"_",AR79)</f>
        <v>big4_</v>
      </c>
    </row>
    <row r="80" spans="1:46" x14ac:dyDescent="0.25">
      <c r="A80" t="s">
        <v>36</v>
      </c>
      <c r="B80" t="s">
        <v>590</v>
      </c>
      <c r="C80" t="s">
        <v>360</v>
      </c>
      <c r="D80" t="s">
        <v>369</v>
      </c>
      <c r="E80" t="s">
        <v>372</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IF(AND(S80&gt;0,V80&gt;0),(V80/((S80+T80)*10)),"")</f>
        <v>0.11260957518543493</v>
      </c>
      <c r="X80">
        <v>105</v>
      </c>
      <c r="Y80">
        <v>1</v>
      </c>
      <c r="Z80">
        <v>21.23</v>
      </c>
      <c r="AA80">
        <f>Z80-7.5</f>
        <v>13.73</v>
      </c>
      <c r="AE80" t="str">
        <f>CONCATENATE(VLOOKUP(AF80, 'Voxel Sizes'!$A$2:$B$18,2,FALSE),"x",INT(AB80*15), "x", INT(AC80*15))</f>
        <v>136x0x0</v>
      </c>
      <c r="AF80">
        <f>ROUND(15*((AA80*10)/256),0)</f>
        <v>8</v>
      </c>
      <c r="AG80" t="s">
        <v>589</v>
      </c>
      <c r="AH80" t="str">
        <f>CONCATENATE(VLOOKUP(AF80,'Articulated Lengths'!$A$2:$C$16,IF(AG80&lt;&gt;"", 3, 2), FALSE),IF(AG80&lt;&gt;"",CONCATENATE(",",VLOOKUP(AG80,$B$2:$AH$213,33,FALSE)),""))</f>
        <v>2,4,3,1,3,1</v>
      </c>
      <c r="AL80">
        <v>1</v>
      </c>
      <c r="AM80">
        <v>10</v>
      </c>
      <c r="AN80">
        <v>10</v>
      </c>
      <c r="AQ80" t="str">
        <f>VLOOKUP(F80,Eras!$A$2:$C$12, 2, TRUE)</f>
        <v>big4</v>
      </c>
      <c r="AR80" t="s">
        <v>435</v>
      </c>
      <c r="AS80" t="str">
        <f>CONCATENATE(AQ80,"_",AR80)</f>
        <v>big4_Express</v>
      </c>
      <c r="AT80" t="s">
        <v>591</v>
      </c>
    </row>
    <row r="81" spans="1:46" x14ac:dyDescent="0.25">
      <c r="A81" t="s">
        <v>69</v>
      </c>
      <c r="B81" t="s">
        <v>218</v>
      </c>
      <c r="C81" t="s">
        <v>360</v>
      </c>
      <c r="D81" t="s">
        <v>394</v>
      </c>
      <c r="E81" t="s">
        <v>402</v>
      </c>
      <c r="F81">
        <v>1941</v>
      </c>
      <c r="G81">
        <v>1948</v>
      </c>
      <c r="H81">
        <v>1968</v>
      </c>
      <c r="J81">
        <v>1470</v>
      </c>
      <c r="S81">
        <v>101</v>
      </c>
      <c r="V81">
        <v>178</v>
      </c>
      <c r="W81" s="4">
        <f>IF(AND(S81&gt;0,V81&gt;0),(V81/((S81+T81)*10)),"")</f>
        <v>0.17623762376237623</v>
      </c>
      <c r="X81">
        <v>75</v>
      </c>
      <c r="Y81">
        <v>1</v>
      </c>
      <c r="Z81">
        <v>17</v>
      </c>
      <c r="AA81">
        <v>17</v>
      </c>
      <c r="AE81" t="str">
        <f>CONCATENATE(VLOOKUP(AF81, 'Voxel Sizes'!$A$2:$B$18,2,FALSE),"x",INT(AB81*15), "x", INT(AC81*15))</f>
        <v>164x0x0</v>
      </c>
      <c r="AF81">
        <f>ROUND(15*((AA81*10)/256),0)</f>
        <v>10</v>
      </c>
      <c r="AH81" t="str">
        <f>CONCATENATE(VLOOKUP(AF81,'Articulated Lengths'!$A$2:$C$16,IF(AG81&lt;&gt;"", 3, 2), FALSE),IF(AG81&lt;&gt;"",CONCATENATE(",",VLOOKUP(AG81,$B$2:$AH$213,33,FALSE)),""))</f>
        <v>3,4,3</v>
      </c>
      <c r="AM81">
        <v>10</v>
      </c>
      <c r="AN81">
        <v>10</v>
      </c>
      <c r="AQ81" t="str">
        <f>VLOOKUP(F81,Eras!$A$2:$C$12, 2, TRUE)</f>
        <v>big4</v>
      </c>
      <c r="AR81" t="s">
        <v>444</v>
      </c>
      <c r="AS81" t="str">
        <f>CONCATENATE(AQ81,"_",AR81)</f>
        <v>big4_MT (Electric)</v>
      </c>
      <c r="AT81" t="s">
        <v>592</v>
      </c>
    </row>
    <row r="82" spans="1:46" x14ac:dyDescent="0.25">
      <c r="A82" t="s">
        <v>13</v>
      </c>
      <c r="B82" t="s">
        <v>219</v>
      </c>
      <c r="C82" t="s">
        <v>193</v>
      </c>
      <c r="E82" t="s">
        <v>372</v>
      </c>
      <c r="F82">
        <v>1942</v>
      </c>
      <c r="S82">
        <v>72</v>
      </c>
      <c r="V82">
        <v>119</v>
      </c>
      <c r="W82" s="4">
        <f>IF(AND(S82&gt;0,V82&gt;0),(V82/((S82+T82)*10)),"")</f>
        <v>0.16527777777777777</v>
      </c>
      <c r="AE82" t="str">
        <f>CONCATENATE(VLOOKUP(AF82, 'Voxel Sizes'!$A$2:$B$18,2,FALSE),"x",INT(AB82*15), "x", INT(AC82*15))</f>
        <v>0x0x0</v>
      </c>
      <c r="AF82">
        <f>ROUND(15*((AA82*10)/256),0)</f>
        <v>0</v>
      </c>
      <c r="AH82" t="str">
        <f>CONCATENATE(VLOOKUP(AF82,'Articulated Lengths'!$A$2:$C$16,IF(AG82&lt;&gt;"", 3, 2), FALSE),IF(AG82&lt;&gt;"",CONCATENATE(",",VLOOKUP(AG82,$B$2:$AH$213,33,FALSE)),""))</f>
        <v>na</v>
      </c>
      <c r="AM82">
        <v>10</v>
      </c>
      <c r="AN82">
        <v>10</v>
      </c>
      <c r="AQ82" t="str">
        <f>VLOOKUP(F82,Eras!$A$2:$C$12, 2, TRUE)</f>
        <v>big4</v>
      </c>
      <c r="AS82" t="str">
        <f>CONCATENATE(AQ82,"_",AR82)</f>
        <v>big4_</v>
      </c>
    </row>
    <row r="83" spans="1:46" x14ac:dyDescent="0.25">
      <c r="A83" t="s">
        <v>596</v>
      </c>
      <c r="B83" t="s">
        <v>595</v>
      </c>
      <c r="C83" t="s">
        <v>389</v>
      </c>
      <c r="E83" t="s">
        <v>372</v>
      </c>
      <c r="F83">
        <v>1942</v>
      </c>
      <c r="S83">
        <v>52</v>
      </c>
      <c r="W83" s="4" t="str">
        <f>IF(AND(S83&gt;0,V83&gt;0),(V83/((S83+T83)*10)),"")</f>
        <v/>
      </c>
      <c r="Z83">
        <v>6</v>
      </c>
      <c r="AA83">
        <v>6</v>
      </c>
      <c r="AE83" t="str">
        <f>CONCATENATE(VLOOKUP(AF83, 'Voxel Sizes'!$A$2:$B$18,2,FALSE),"x",INT(AB83*15), "x", INT(AC83*15))</f>
        <v>60x0x0</v>
      </c>
      <c r="AF83">
        <f>ROUND(15*((AA83*10)/256),0)</f>
        <v>4</v>
      </c>
      <c r="AH83" t="str">
        <f>CONCATENATE(VLOOKUP(AF83,'Articulated Lengths'!$A$2:$C$16,IF(AG83&lt;&gt;"", 3, 2), FALSE),IF(AG83&lt;&gt;"",CONCATENATE(",",VLOOKUP(AG83,$B$2:$AH$213,33,FALSE)),""))</f>
        <v>1,2,1</v>
      </c>
      <c r="AQ83" t="str">
        <f>VLOOKUP(F83,Eras!$A$2:$C$12, 2, TRUE)</f>
        <v>big4</v>
      </c>
      <c r="AS83" t="str">
        <f>CONCATENATE(AQ83,"_",AR83)</f>
        <v>big4_</v>
      </c>
    </row>
    <row r="84" spans="1:46" x14ac:dyDescent="0.25">
      <c r="A84" t="s">
        <v>40</v>
      </c>
      <c r="B84" t="s">
        <v>593</v>
      </c>
      <c r="C84" t="s">
        <v>360</v>
      </c>
      <c r="D84" t="s">
        <v>369</v>
      </c>
      <c r="E84" t="s">
        <v>372</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IF(AND(S84&gt;0,V84&gt;0),(V84/((S84+T84)*10)),"")</f>
        <v>0.14773980154355015</v>
      </c>
      <c r="X84">
        <v>75</v>
      </c>
      <c r="Y84">
        <v>1</v>
      </c>
      <c r="Z84">
        <v>16.73</v>
      </c>
      <c r="AA84">
        <v>10</v>
      </c>
      <c r="AE84" t="str">
        <f>CONCATENATE(VLOOKUP(AF84, 'Voxel Sizes'!$A$2:$B$18,2,FALSE),"x",INT(AB84*15), "x", INT(AC84*15))</f>
        <v>102x0x0</v>
      </c>
      <c r="AF84">
        <f>ROUND(15*((AA84*10)/256),0)</f>
        <v>6</v>
      </c>
      <c r="AG84" t="s">
        <v>595</v>
      </c>
      <c r="AH84" t="str">
        <f>CONCATENATE(VLOOKUP(AF84,'Articulated Lengths'!$A$2:$C$16,IF(AG84&lt;&gt;"", 3, 2), FALSE),IF(AG84&lt;&gt;"",CONCATENATE(",",VLOOKUP(AG84,$B$2:$AH$213,33,FALSE)),""))</f>
        <v>2,2,3,1,2,1</v>
      </c>
      <c r="AL84">
        <v>1</v>
      </c>
      <c r="AM84">
        <v>10</v>
      </c>
      <c r="AN84">
        <v>10</v>
      </c>
      <c r="AQ84" t="str">
        <f>VLOOKUP(F84,Eras!$A$2:$C$12, 2, TRUE)</f>
        <v>big4</v>
      </c>
      <c r="AR84" t="s">
        <v>433</v>
      </c>
      <c r="AS84" t="str">
        <f>CONCATENATE(AQ84,"_",AR84)</f>
        <v>big4_Cheap</v>
      </c>
      <c r="AT84" t="s">
        <v>594</v>
      </c>
    </row>
    <row r="85" spans="1:46" x14ac:dyDescent="0.25">
      <c r="A85" t="s">
        <v>597</v>
      </c>
      <c r="B85" t="s">
        <v>292</v>
      </c>
      <c r="C85" t="s">
        <v>360</v>
      </c>
      <c r="D85" t="s">
        <v>369</v>
      </c>
      <c r="E85" t="s">
        <v>372</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IF(AND(S85&gt;0,V85&gt;0),(V85/((S85+T85)*10)),"")</f>
        <v>0.21632653061224491</v>
      </c>
      <c r="X85">
        <v>28</v>
      </c>
      <c r="Y85">
        <v>1</v>
      </c>
      <c r="Z85">
        <v>9.25</v>
      </c>
      <c r="AA85">
        <v>9.25</v>
      </c>
      <c r="AE85" t="str">
        <f>CONCATENATE(VLOOKUP(AF85, 'Voxel Sizes'!$A$2:$B$18,2,FALSE),"x",INT(AB85*15), "x", INT(AC85*15))</f>
        <v>82x0x0</v>
      </c>
      <c r="AF85">
        <f>ROUND(15*((AA85*10)/256),0)</f>
        <v>5</v>
      </c>
      <c r="AH85" t="str">
        <f>CONCATENATE(VLOOKUP(AF85,'Articulated Lengths'!$A$2:$C$16,IF(AG85&lt;&gt;"", 3, 2), FALSE),IF(AG85&lt;&gt;"",CONCATENATE(",",VLOOKUP(AG85,$B$2:$AH$213,33,FALSE)),""))</f>
        <v>1,3,1</v>
      </c>
      <c r="AL85">
        <v>1</v>
      </c>
      <c r="AM85">
        <v>10</v>
      </c>
      <c r="AN85">
        <v>10</v>
      </c>
      <c r="AQ85" t="str">
        <f>VLOOKUP(F85,Eras!$A$2:$C$12, 2, TRUE)</f>
        <v>big4</v>
      </c>
      <c r="AR85" t="s">
        <v>433</v>
      </c>
      <c r="AS85" t="str">
        <f>CONCATENATE(AQ85,"_",AR85)</f>
        <v>big4_Cheap</v>
      </c>
      <c r="AT85" t="s">
        <v>598</v>
      </c>
    </row>
    <row r="86" spans="1:46" x14ac:dyDescent="0.25">
      <c r="A86" t="s">
        <v>601</v>
      </c>
      <c r="B86" t="s">
        <v>602</v>
      </c>
      <c r="C86" t="s">
        <v>389</v>
      </c>
      <c r="E86" t="s">
        <v>372</v>
      </c>
      <c r="F86">
        <v>1943</v>
      </c>
      <c r="S86">
        <v>52</v>
      </c>
      <c r="W86" s="4" t="str">
        <f>IF(AND(S86&gt;0,V86&gt;0),(V86/((S86+T86)*10)),"")</f>
        <v/>
      </c>
      <c r="Z86">
        <v>6</v>
      </c>
      <c r="AA86">
        <v>6</v>
      </c>
      <c r="AE86" t="str">
        <f>CONCATENATE(VLOOKUP(AF86, 'Voxel Sizes'!$A$2:$B$18,2,FALSE),"x",INT(AB86*15), "x", INT(AC86*15))</f>
        <v>60x0x0</v>
      </c>
      <c r="AF86">
        <f>ROUND(15*((AA86*10)/256),0)</f>
        <v>4</v>
      </c>
      <c r="AH86" t="str">
        <f>CONCATENATE(VLOOKUP(AF86,'Articulated Lengths'!$A$2:$C$16,IF(AG86&lt;&gt;"", 3, 2), FALSE),IF(AG86&lt;&gt;"",CONCATENATE(",",VLOOKUP(AG86,$B$2:$AH$213,33,FALSE)),""))</f>
        <v>1,2,1</v>
      </c>
      <c r="AQ86" t="str">
        <f>VLOOKUP(F86,Eras!$A$2:$C$12, 2, TRUE)</f>
        <v>big4</v>
      </c>
      <c r="AS86" t="str">
        <f>CONCATENATE(AQ86,"_",AR86)</f>
        <v>big4_</v>
      </c>
    </row>
    <row r="87" spans="1:46" x14ac:dyDescent="0.25">
      <c r="A87" t="s">
        <v>39</v>
      </c>
      <c r="B87" t="s">
        <v>600</v>
      </c>
      <c r="C87" t="s">
        <v>360</v>
      </c>
      <c r="D87" t="s">
        <v>369</v>
      </c>
      <c r="E87" t="s">
        <v>372</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IF(AND(S87&gt;0,V87&gt;0),(V87/((S87+T87)*10)),"")</f>
        <v>0.1189358372456964</v>
      </c>
      <c r="X87">
        <v>68</v>
      </c>
      <c r="Z87">
        <v>19.350000000000001</v>
      </c>
      <c r="AA87">
        <v>11.7</v>
      </c>
      <c r="AE87" t="str">
        <f>CONCATENATE(VLOOKUP(AF87, 'Voxel Sizes'!$A$2:$B$18,2,FALSE),"x",INT(AB87*15), "x", INT(AC87*15))</f>
        <v>120x0x0</v>
      </c>
      <c r="AF87">
        <f>ROUND(15*((AA87*10)/256),0)</f>
        <v>7</v>
      </c>
      <c r="AG87" t="s">
        <v>602</v>
      </c>
      <c r="AH87" t="str">
        <f>CONCATENATE(VLOOKUP(AF87,'Articulated Lengths'!$A$2:$C$16,IF(AG87&lt;&gt;"", 3, 2), FALSE),IF(AG87&lt;&gt;"",CONCATENATE(",",VLOOKUP(AG87,$B$2:$AH$213,33,FALSE)),""))</f>
        <v>2,3,3,1,2,1</v>
      </c>
      <c r="AL87">
        <v>1</v>
      </c>
      <c r="AM87">
        <v>10</v>
      </c>
      <c r="AN87">
        <v>10</v>
      </c>
      <c r="AQ87" t="str">
        <f>VLOOKUP(F87,Eras!$A$2:$C$12, 2, TRUE)</f>
        <v>big4</v>
      </c>
      <c r="AR87" t="s">
        <v>436</v>
      </c>
      <c r="AS87" t="str">
        <f>CONCATENATE(AQ87,"_",AR87)</f>
        <v>big4_Freight</v>
      </c>
      <c r="AT87" t="s">
        <v>599</v>
      </c>
    </row>
    <row r="88" spans="1:46" x14ac:dyDescent="0.25">
      <c r="A88" t="s">
        <v>605</v>
      </c>
      <c r="B88" t="s">
        <v>319</v>
      </c>
      <c r="C88" t="s">
        <v>360</v>
      </c>
      <c r="D88" t="s">
        <v>369</v>
      </c>
      <c r="E88" t="s">
        <v>372</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IF(AND(S88&gt;0,V88&gt;0),(V88/((S88+T88)*10)),"")</f>
        <v>9.6799999999999997E-2</v>
      </c>
      <c r="X88">
        <v>85</v>
      </c>
      <c r="Z88">
        <v>19.2</v>
      </c>
      <c r="AA88">
        <v>11.7</v>
      </c>
      <c r="AC88">
        <v>4.01</v>
      </c>
      <c r="AE88" t="str">
        <f>CONCATENATE(VLOOKUP(AF88, 'Voxel Sizes'!$A$2:$B$18,2,FALSE),"x",INT(AB88*15), "x", INT(AC88*15))</f>
        <v>120x0x60</v>
      </c>
      <c r="AF88">
        <f>ROUND(15*((AA88*10)/256),0)</f>
        <v>7</v>
      </c>
      <c r="AG88" t="s">
        <v>540</v>
      </c>
      <c r="AH88" t="str">
        <f>CONCATENATE(VLOOKUP(AF88,'Articulated Lengths'!$A$2:$C$16,IF(AG88&lt;&gt;"", 3, 2), FALSE),IF(AG88&lt;&gt;"",CONCATENATE(",",VLOOKUP(AG88,$B$2:$AH$213,33,FALSE)),""))</f>
        <v>2,3,3,1,3,1</v>
      </c>
      <c r="AK88" t="s">
        <v>551</v>
      </c>
      <c r="AL88">
        <v>1</v>
      </c>
      <c r="AM88">
        <v>10</v>
      </c>
      <c r="AN88">
        <v>10</v>
      </c>
      <c r="AQ88" t="str">
        <f>VLOOKUP(F88,Eras!$A$2:$C$12, 2, TRUE)</f>
        <v>big4</v>
      </c>
      <c r="AR88" t="s">
        <v>434</v>
      </c>
      <c r="AS88" t="str">
        <f>CONCATENATE(AQ88,"_",AR88)</f>
        <v>big4_Mixed Traffic</v>
      </c>
      <c r="AT88" t="s">
        <v>604</v>
      </c>
    </row>
    <row r="89" spans="1:46" x14ac:dyDescent="0.25">
      <c r="A89" t="s">
        <v>606</v>
      </c>
      <c r="B89" t="s">
        <v>607</v>
      </c>
      <c r="C89" t="s">
        <v>360</v>
      </c>
      <c r="D89" t="s">
        <v>369</v>
      </c>
      <c r="E89" t="s">
        <v>372</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IF(AND(S89&gt;0,V89&gt;0),(V89/((S89+T89)*10)),"")</f>
        <v>0.11336982017200939</v>
      </c>
      <c r="X89">
        <v>100</v>
      </c>
      <c r="Z89">
        <v>19.21</v>
      </c>
      <c r="AA89">
        <v>11.7</v>
      </c>
      <c r="AC89">
        <v>4.08</v>
      </c>
      <c r="AE89" t="str">
        <f>CONCATENATE(VLOOKUP(AF89, 'Voxel Sizes'!$A$2:$B$18,2,FALSE),"x",INT(AB89*15), "x", INT(AC89*15))</f>
        <v>120x0x61</v>
      </c>
      <c r="AF89">
        <f>ROUND(15*((AA89*10)/256),0)</f>
        <v>7</v>
      </c>
      <c r="AG89" t="s">
        <v>540</v>
      </c>
      <c r="AH89" t="str">
        <f>CONCATENATE(VLOOKUP(AF89,'Articulated Lengths'!$A$2:$C$16,IF(AG89&lt;&gt;"", 3, 2), FALSE),IF(AG89&lt;&gt;"",CONCATENATE(",",VLOOKUP(AG89,$B$2:$AH$213,33,FALSE)),""))</f>
        <v>2,3,3,1,3,1</v>
      </c>
      <c r="AL89">
        <v>1</v>
      </c>
      <c r="AM89">
        <v>10</v>
      </c>
      <c r="AN89">
        <v>10</v>
      </c>
      <c r="AQ89" t="str">
        <f>VLOOKUP(F89,Eras!$A$2:$C$12, 2, TRUE)</f>
        <v>big4</v>
      </c>
      <c r="AR89" t="s">
        <v>435</v>
      </c>
      <c r="AS89" t="str">
        <f>CONCATENATE(AQ89,"_",AR89)</f>
        <v>big4_Express</v>
      </c>
      <c r="AT89" t="s">
        <v>608</v>
      </c>
    </row>
    <row r="90" spans="1:46" x14ac:dyDescent="0.25">
      <c r="A90" t="s">
        <v>37</v>
      </c>
      <c r="B90" t="s">
        <v>610</v>
      </c>
      <c r="C90" t="s">
        <v>360</v>
      </c>
      <c r="D90" t="s">
        <v>369</v>
      </c>
      <c r="E90" t="s">
        <v>372</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IF(AND(S90&gt;0,V90&gt;0),(V90/((S90+T90)*10)),"")</f>
        <v>0.10192023633677991</v>
      </c>
      <c r="X90">
        <v>102</v>
      </c>
      <c r="Z90">
        <v>20.54</v>
      </c>
      <c r="AA90">
        <v>13</v>
      </c>
      <c r="AE90" t="str">
        <f>CONCATENATE(VLOOKUP(AF90, 'Voxel Sizes'!$A$2:$B$18,2,FALSE),"x",INT(AB90*15), "x", INT(AC90*15))</f>
        <v>136x0x0</v>
      </c>
      <c r="AF90">
        <f>ROUND(15*((AA90*10)/256),0)</f>
        <v>8</v>
      </c>
      <c r="AG90" t="s">
        <v>589</v>
      </c>
      <c r="AH90" t="str">
        <f>CONCATENATE(VLOOKUP(AF90,'Articulated Lengths'!$A$2:$C$16,IF(AG90&lt;&gt;"", 3, 2), FALSE),IF(AG90&lt;&gt;"",CONCATENATE(",",VLOOKUP(AG90,$B$2:$AH$213,33,FALSE)),""))</f>
        <v>2,4,3,1,3,1</v>
      </c>
      <c r="AL90">
        <v>1</v>
      </c>
      <c r="AM90">
        <v>10</v>
      </c>
      <c r="AN90">
        <v>10</v>
      </c>
      <c r="AQ90" t="str">
        <f>VLOOKUP(F90,Eras!$A$2:$C$12, 2, TRUE)</f>
        <v>big4</v>
      </c>
      <c r="AR90" t="s">
        <v>434</v>
      </c>
      <c r="AS90" t="str">
        <f>CONCATENATE(AQ90,"_",AR90)</f>
        <v>big4_Mixed Traffic</v>
      </c>
      <c r="AT90" t="s">
        <v>609</v>
      </c>
    </row>
    <row r="91" spans="1:46" x14ac:dyDescent="0.25">
      <c r="A91" t="s">
        <v>41</v>
      </c>
      <c r="B91" t="s">
        <v>612</v>
      </c>
      <c r="C91" t="s">
        <v>360</v>
      </c>
      <c r="D91" t="s">
        <v>369</v>
      </c>
      <c r="E91" t="s">
        <v>372</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IF(AND(S91&gt;0,V91&gt;0),(V91/((S91+T91)*10)),"")</f>
        <v>7.6973684210526319E-2</v>
      </c>
      <c r="X91">
        <v>90</v>
      </c>
      <c r="Y91">
        <v>1</v>
      </c>
      <c r="Z91">
        <v>20.420000000000002</v>
      </c>
      <c r="AA91">
        <v>20.420000000000002</v>
      </c>
      <c r="AE91" t="str">
        <f>CONCATENATE(VLOOKUP(AF91, 'Voxel Sizes'!$A$2:$B$18,2,FALSE),"x",INT(AB91*15), "x", INT(AC91*15))</f>
        <v>198x0x0</v>
      </c>
      <c r="AF91">
        <f>ROUND(15*((AA91*10)/256),0)</f>
        <v>12</v>
      </c>
      <c r="AH91" t="str">
        <f>CONCATENATE(VLOOKUP(AF91,'Articulated Lengths'!$A$2:$C$16,IF(AG91&lt;&gt;"", 3, 2), FALSE),IF(AG91&lt;&gt;"",CONCATENATE(",",VLOOKUP(AG91,$B$2:$AH$213,33,FALSE)),""))</f>
        <v>3,6,3</v>
      </c>
      <c r="AM91">
        <v>10</v>
      </c>
      <c r="AN91">
        <v>10</v>
      </c>
      <c r="AQ91" t="str">
        <f>VLOOKUP(F91,Eras!$A$2:$C$12, 2, TRUE)</f>
        <v>big4</v>
      </c>
      <c r="AR91" t="s">
        <v>434</v>
      </c>
      <c r="AS91" t="str">
        <f>CONCATENATE(AQ91,"_",AR91)</f>
        <v>big4_Mixed Traffic</v>
      </c>
      <c r="AT91" t="s">
        <v>611</v>
      </c>
    </row>
    <row r="92" spans="1:46" x14ac:dyDescent="0.25">
      <c r="A92" t="s">
        <v>616</v>
      </c>
      <c r="B92" t="s">
        <v>615</v>
      </c>
      <c r="C92" t="s">
        <v>389</v>
      </c>
      <c r="E92" t="s">
        <v>372</v>
      </c>
      <c r="F92">
        <v>1946</v>
      </c>
      <c r="S92">
        <v>52</v>
      </c>
      <c r="W92" s="4" t="str">
        <f>IF(AND(S92&gt;0,V92&gt;0),(V92/((S92+T92)*10)),"")</f>
        <v/>
      </c>
      <c r="Z92">
        <v>6</v>
      </c>
      <c r="AA92">
        <v>6</v>
      </c>
      <c r="AE92" t="str">
        <f>CONCATENATE(VLOOKUP(AF92, 'Voxel Sizes'!$A$2:$B$18,2,FALSE),"x",INT(AB92*15), "x", INT(AC92*15))</f>
        <v>60x0x0</v>
      </c>
      <c r="AF92">
        <f>ROUND(15*((AA92*10)/256),0)</f>
        <v>4</v>
      </c>
      <c r="AH92" t="str">
        <f>CONCATENATE(VLOOKUP(AF92,'Articulated Lengths'!$A$2:$C$16,IF(AG92&lt;&gt;"", 3, 2), FALSE),IF(AG92&lt;&gt;"",CONCATENATE(",",VLOOKUP(AG92,$B$2:$AH$213,33,FALSE)),""))</f>
        <v>1,2,1</v>
      </c>
      <c r="AQ92" t="str">
        <f>VLOOKUP(F92,Eras!$A$2:$C$12, 2, TRUE)</f>
        <v>big4</v>
      </c>
      <c r="AS92" t="str">
        <f>CONCATENATE(AQ92,"_",AR92)</f>
        <v>big4_</v>
      </c>
    </row>
    <row r="93" spans="1:46" x14ac:dyDescent="0.25">
      <c r="A93" t="s">
        <v>613</v>
      </c>
      <c r="B93" t="s">
        <v>614</v>
      </c>
      <c r="C93" t="s">
        <v>360</v>
      </c>
      <c r="D93" t="s">
        <v>369</v>
      </c>
      <c r="E93" t="s">
        <v>372</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IF(AND(S93&gt;0,V93&gt;0),(V93/((S93+T93)*10)),"")</f>
        <v>8.9953271028037379E-2</v>
      </c>
      <c r="X93">
        <v>80</v>
      </c>
      <c r="Z93">
        <v>16.2</v>
      </c>
      <c r="AA93">
        <f>Z93-6</f>
        <v>10.199999999999999</v>
      </c>
      <c r="AE93" t="str">
        <f>CONCATENATE(VLOOKUP(AF93, 'Voxel Sizes'!$A$2:$B$18,2,FALSE),"x",INT(AB93*15), "x", INT(AC93*15))</f>
        <v>102x0x0</v>
      </c>
      <c r="AF93">
        <f>ROUND(15*((AA93*10)/256),0)</f>
        <v>6</v>
      </c>
      <c r="AG93" t="s">
        <v>615</v>
      </c>
      <c r="AH93" t="str">
        <f>CONCATENATE(VLOOKUP(AF93,'Articulated Lengths'!$A$2:$C$16,IF(AG93&lt;&gt;"", 3, 2), FALSE),IF(AG93&lt;&gt;"",CONCATENATE(",",VLOOKUP(AG93,$B$2:$AH$213,33,FALSE)),""))</f>
        <v>2,2,3,1,2,1</v>
      </c>
      <c r="AL93">
        <v>1</v>
      </c>
      <c r="AM93">
        <v>10</v>
      </c>
      <c r="AN93">
        <v>10</v>
      </c>
      <c r="AQ93" t="str">
        <f>VLOOKUP(F93,Eras!$A$2:$C$12, 2, TRUE)</f>
        <v>big4</v>
      </c>
      <c r="AR93" t="s">
        <v>433</v>
      </c>
      <c r="AS93" t="str">
        <f>CONCATENATE(AQ93,"_",AR93)</f>
        <v>big4_Cheap</v>
      </c>
      <c r="AT93" t="s">
        <v>617</v>
      </c>
    </row>
    <row r="94" spans="1:46" x14ac:dyDescent="0.25">
      <c r="A94" t="s">
        <v>70</v>
      </c>
      <c r="B94" t="s">
        <v>220</v>
      </c>
      <c r="C94" t="s">
        <v>360</v>
      </c>
      <c r="D94" t="s">
        <v>370</v>
      </c>
      <c r="E94" t="s">
        <v>372</v>
      </c>
      <c r="F94">
        <v>1947</v>
      </c>
      <c r="G94">
        <v>1948</v>
      </c>
      <c r="H94">
        <v>1966</v>
      </c>
      <c r="J94">
        <v>1600</v>
      </c>
      <c r="S94">
        <v>129.69999999999999</v>
      </c>
      <c r="V94">
        <v>184</v>
      </c>
      <c r="W94" s="4">
        <f>IF(AND(S94&gt;0,V94&gt;0),(V94/((S94+T94)*10)),"")</f>
        <v>0.14186584425597532</v>
      </c>
      <c r="X94">
        <v>93</v>
      </c>
      <c r="Z94">
        <v>18.64</v>
      </c>
      <c r="AA94">
        <v>18.64</v>
      </c>
      <c r="AC94">
        <v>3.95</v>
      </c>
      <c r="AE94" t="str">
        <f>CONCATENATE(VLOOKUP(AF94, 'Voxel Sizes'!$A$2:$B$18,2,FALSE),"x",INT(AB94*15), "x", INT(AC94*15))</f>
        <v>186x0x59</v>
      </c>
      <c r="AF94">
        <f>ROUND(15*((AA94*10)/256),0)</f>
        <v>11</v>
      </c>
      <c r="AH94" t="str">
        <f>CONCATENATE(VLOOKUP(AF94,'Articulated Lengths'!$A$2:$C$16,IF(AG94&lt;&gt;"", 3, 2), FALSE),IF(AG94&lt;&gt;"",CONCATENATE(",",VLOOKUP(AG94,$B$2:$AH$213,33,FALSE)),""))</f>
        <v>3,5,3</v>
      </c>
      <c r="AM94">
        <v>10</v>
      </c>
      <c r="AN94">
        <v>10</v>
      </c>
      <c r="AQ94" t="str">
        <f>VLOOKUP(F94,Eras!$A$2:$C$12, 2, TRUE)</f>
        <v>big4</v>
      </c>
      <c r="AR94" t="s">
        <v>434</v>
      </c>
      <c r="AS94" t="str">
        <f>CONCATENATE(AQ94,"_",AR94)</f>
        <v>big4_Mixed Traffic</v>
      </c>
      <c r="AT94" t="s">
        <v>618</v>
      </c>
    </row>
    <row r="95" spans="1:46" x14ac:dyDescent="0.25">
      <c r="A95" t="s">
        <v>25</v>
      </c>
      <c r="B95" t="s">
        <v>620</v>
      </c>
      <c r="C95" t="s">
        <v>360</v>
      </c>
      <c r="D95" t="s">
        <v>369</v>
      </c>
      <c r="E95" t="s">
        <v>372</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IF(AND(S95&gt;0,V95&gt;0),(V95/((S95+T95)*10)),"")</f>
        <v>9.8341232227488154E-2</v>
      </c>
      <c r="X95">
        <v>100</v>
      </c>
      <c r="Z95">
        <v>22.24</v>
      </c>
      <c r="AA95">
        <f>Z95-7.5</f>
        <v>14.739999999999998</v>
      </c>
      <c r="AC95">
        <v>3.99</v>
      </c>
      <c r="AE95" t="str">
        <f>CONCATENATE(VLOOKUP(AF95, 'Voxel Sizes'!$A$2:$B$18,2,FALSE),"x",INT(AB95*15), "x", INT(AC95*15))</f>
        <v>152x0x59</v>
      </c>
      <c r="AF95">
        <f>ROUND(15*((AA95*10)/256),0)</f>
        <v>9</v>
      </c>
      <c r="AG95" t="s">
        <v>555</v>
      </c>
      <c r="AH95" t="str">
        <f>CONCATENATE(VLOOKUP(AF95,'Articulated Lengths'!$A$2:$C$16,IF(AG95&lt;&gt;"", 3, 2), FALSE),IF(AG95&lt;&gt;"",CONCATENATE(",",VLOOKUP(AG95,$B$2:$AH$213,33,FALSE)),""))</f>
        <v>2,5,2,1,3,1</v>
      </c>
      <c r="AL95">
        <v>1</v>
      </c>
      <c r="AM95">
        <v>10</v>
      </c>
      <c r="AN95">
        <v>10</v>
      </c>
      <c r="AQ95" t="str">
        <f>VLOOKUP(F95,Eras!$A$2:$C$12, 2, TRUE)</f>
        <v>br</v>
      </c>
      <c r="AR95" t="s">
        <v>435</v>
      </c>
      <c r="AS95" t="str">
        <f>CONCATENATE(AQ95,"_",AR95)</f>
        <v>br_Express</v>
      </c>
      <c r="AT95" t="s">
        <v>619</v>
      </c>
    </row>
    <row r="96" spans="1:46" x14ac:dyDescent="0.25">
      <c r="A96" t="s">
        <v>74</v>
      </c>
      <c r="B96" t="s">
        <v>343</v>
      </c>
      <c r="C96" t="s">
        <v>360</v>
      </c>
      <c r="D96" t="s">
        <v>394</v>
      </c>
      <c r="E96" t="s">
        <v>395</v>
      </c>
      <c r="F96">
        <v>1950</v>
      </c>
      <c r="G96">
        <v>1953</v>
      </c>
      <c r="J96">
        <v>1300</v>
      </c>
      <c r="S96">
        <v>89.3</v>
      </c>
      <c r="V96">
        <v>200</v>
      </c>
      <c r="W96" s="4">
        <f>IF(AND(S96&gt;0,V96&gt;0),(V96/((S96+T96)*10)),"")</f>
        <v>0.22396416573348266</v>
      </c>
      <c r="X96">
        <v>65</v>
      </c>
      <c r="Z96">
        <v>15.34</v>
      </c>
      <c r="AA96">
        <v>15.34</v>
      </c>
      <c r="AE96" t="str">
        <f>CONCATENATE(VLOOKUP(AF96, 'Voxel Sizes'!$A$2:$B$18,2,FALSE),"x",INT(AB96*15), "x", INT(AC96*15))</f>
        <v>152x0x0</v>
      </c>
      <c r="AF96">
        <f>ROUND(15*((AA96*10)/256),0)</f>
        <v>9</v>
      </c>
      <c r="AH96" t="str">
        <f>CONCATENATE(VLOOKUP(AF96,'Articulated Lengths'!$A$2:$C$16,IF(AG96&lt;&gt;"", 3, 2), FALSE),IF(AG96&lt;&gt;"",CONCATENATE(",",VLOOKUP(AG96,$B$2:$AH$213,33,FALSE)),""))</f>
        <v>2,5,2</v>
      </c>
      <c r="AM96">
        <v>10</v>
      </c>
      <c r="AN96">
        <v>10</v>
      </c>
      <c r="AQ96" t="str">
        <f>VLOOKUP(F96,Eras!$A$2:$C$12, 2, TRUE)</f>
        <v>br</v>
      </c>
      <c r="AR96" t="s">
        <v>446</v>
      </c>
      <c r="AS96" t="str">
        <f>CONCATENATE(AQ96,"_",AR96)</f>
        <v>br_Freight (Electric)</v>
      </c>
      <c r="AT96" t="s">
        <v>462</v>
      </c>
    </row>
    <row r="97" spans="1:46" x14ac:dyDescent="0.25">
      <c r="A97" t="s">
        <v>636</v>
      </c>
      <c r="B97" t="s">
        <v>630</v>
      </c>
      <c r="C97" t="s">
        <v>360</v>
      </c>
      <c r="D97" t="s">
        <v>369</v>
      </c>
      <c r="E97" t="s">
        <v>372</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IF(AND(S97&gt;0,V97&gt;0),(V97/((S97+T97)*10)),"")</f>
        <v>0.11697027804410355</v>
      </c>
      <c r="X97">
        <v>80</v>
      </c>
      <c r="Z97">
        <v>20.96</v>
      </c>
      <c r="AA97">
        <f>Z97-7.5</f>
        <v>13.46</v>
      </c>
      <c r="AC97">
        <v>3.98</v>
      </c>
      <c r="AE97" t="str">
        <f>CONCATENATE(VLOOKUP(AF97, 'Voxel Sizes'!$A$2:$B$18,2,FALSE),"x",INT(AB97*15), "x", INT(AC97*15))</f>
        <v>136x0x59</v>
      </c>
      <c r="AF97">
        <f>ROUND(15*((AA97*10)/256),0)</f>
        <v>8</v>
      </c>
      <c r="AG97" t="s">
        <v>560</v>
      </c>
      <c r="AH97" t="str">
        <f>CONCATENATE(VLOOKUP(AF97,'Articulated Lengths'!$A$2:$C$16,IF(AG97&lt;&gt;"", 3, 2), FALSE),IF(AG97&lt;&gt;"",CONCATENATE(",",VLOOKUP(AG97,$B$2:$AH$213,33,FALSE)),""))</f>
        <v>2,4,3,1,3,1</v>
      </c>
      <c r="AL97">
        <v>1</v>
      </c>
      <c r="AM97">
        <v>10</v>
      </c>
      <c r="AN97">
        <v>10</v>
      </c>
      <c r="AQ97" t="str">
        <f>VLOOKUP(F97,Eras!$A$2:$C$12, 2, TRUE)</f>
        <v>br</v>
      </c>
      <c r="AR97" t="s">
        <v>434</v>
      </c>
      <c r="AS97" t="str">
        <f>CONCATENATE(AQ97,"_",AR97)</f>
        <v>br_Mixed Traffic</v>
      </c>
      <c r="AT97" t="s">
        <v>634</v>
      </c>
    </row>
    <row r="98" spans="1:46" x14ac:dyDescent="0.25">
      <c r="A98" t="s">
        <v>637</v>
      </c>
      <c r="B98" t="s">
        <v>631</v>
      </c>
      <c r="C98" t="s">
        <v>360</v>
      </c>
      <c r="D98" t="s">
        <v>369</v>
      </c>
      <c r="E98" t="s">
        <v>372</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IF(AND(S98&gt;0,V98&gt;0),(V98/((S98+T98)*10)),"")</f>
        <v>9.8281786941580754E-2</v>
      </c>
      <c r="X98">
        <v>90</v>
      </c>
      <c r="Z98">
        <v>20.96</v>
      </c>
      <c r="AA98">
        <f>Z98-7.5</f>
        <v>13.46</v>
      </c>
      <c r="AC98">
        <v>3.98</v>
      </c>
      <c r="AE98" t="str">
        <f>CONCATENATE(VLOOKUP(AF98, 'Voxel Sizes'!$A$2:$B$18,2,FALSE),"x",INT(AB98*15), "x", INT(AC98*15))</f>
        <v>136x0x59</v>
      </c>
      <c r="AF98">
        <f>ROUND(15*((AA98*10)/256),0)</f>
        <v>8</v>
      </c>
      <c r="AG98" t="s">
        <v>560</v>
      </c>
      <c r="AH98" t="str">
        <f>CONCATENATE(VLOOKUP(AF98,'Articulated Lengths'!$A$2:$C$16,IF(AG98&lt;&gt;"", 3, 2), FALSE),IF(AG98&lt;&gt;"",CONCATENATE(",",VLOOKUP(AG98,$B$2:$AH$213,33,FALSE)),""))</f>
        <v>2,4,3,1,3,1</v>
      </c>
      <c r="AL98">
        <v>1</v>
      </c>
      <c r="AM98">
        <v>10</v>
      </c>
      <c r="AN98">
        <v>10</v>
      </c>
      <c r="AQ98" t="str">
        <f>VLOOKUP(F98,Eras!$A$2:$C$12, 2, TRUE)</f>
        <v>br</v>
      </c>
      <c r="AR98" t="s">
        <v>434</v>
      </c>
      <c r="AS98" t="str">
        <f>CONCATENATE(AQ98,"_",AR98)</f>
        <v>br_Mixed Traffic</v>
      </c>
      <c r="AT98" t="s">
        <v>633</v>
      </c>
    </row>
    <row r="99" spans="1:46" x14ac:dyDescent="0.25">
      <c r="A99" t="s">
        <v>80</v>
      </c>
      <c r="B99" t="s">
        <v>221</v>
      </c>
      <c r="C99" t="s">
        <v>360</v>
      </c>
      <c r="D99" t="s">
        <v>370</v>
      </c>
      <c r="E99" t="s">
        <v>372</v>
      </c>
      <c r="F99">
        <v>1952</v>
      </c>
      <c r="G99">
        <v>1962</v>
      </c>
      <c r="J99">
        <v>350</v>
      </c>
      <c r="S99">
        <v>49.8</v>
      </c>
      <c r="V99">
        <v>160</v>
      </c>
      <c r="W99" s="4">
        <f>IF(AND(S99&gt;0,V99&gt;0),(V99/((S99+T99)*10)),"")</f>
        <v>0.32128514056224899</v>
      </c>
      <c r="X99">
        <v>20</v>
      </c>
      <c r="Z99">
        <v>8.92</v>
      </c>
      <c r="AA99">
        <v>9.5</v>
      </c>
      <c r="AB99">
        <v>2.59</v>
      </c>
      <c r="AC99">
        <v>3.87</v>
      </c>
      <c r="AE99" t="str">
        <f>CONCATENATE(VLOOKUP(AF99, 'Voxel Sizes'!$A$2:$B$18,2,FALSE),"x",INT(AB99*15), "x", INT(AC99*15))</f>
        <v>102x38x58</v>
      </c>
      <c r="AF99">
        <f>ROUND(15*((AA99*10)/256),0)</f>
        <v>6</v>
      </c>
      <c r="AH99" t="str">
        <f>CONCATENATE(VLOOKUP(AF99,'Articulated Lengths'!$A$2:$C$16,IF(AG99&lt;&gt;"", 3, 2), FALSE),IF(AG99&lt;&gt;"",CONCATENATE(",",VLOOKUP(AG99,$B$2:$AH$213,33,FALSE)),""))</f>
        <v>2,2,2</v>
      </c>
      <c r="AL99">
        <v>1</v>
      </c>
      <c r="AM99">
        <v>10</v>
      </c>
      <c r="AN99">
        <v>10</v>
      </c>
      <c r="AQ99" t="str">
        <f>VLOOKUP(F99,Eras!$A$2:$C$12, 2, TRUE)</f>
        <v>br</v>
      </c>
      <c r="AR99" t="s">
        <v>433</v>
      </c>
      <c r="AS99" t="str">
        <f>CONCATENATE(AQ99,"_",AR99)</f>
        <v>br_Cheap</v>
      </c>
      <c r="AT99" t="s">
        <v>463</v>
      </c>
    </row>
    <row r="100" spans="1:46" x14ac:dyDescent="0.25">
      <c r="A100" t="s">
        <v>75</v>
      </c>
      <c r="B100" t="s">
        <v>344</v>
      </c>
      <c r="C100" t="s">
        <v>360</v>
      </c>
      <c r="D100" t="s">
        <v>394</v>
      </c>
      <c r="E100" t="s">
        <v>395</v>
      </c>
      <c r="F100">
        <v>1953</v>
      </c>
      <c r="G100">
        <v>1954</v>
      </c>
      <c r="H100">
        <v>1968</v>
      </c>
      <c r="J100">
        <v>2490</v>
      </c>
      <c r="S100">
        <v>104.1</v>
      </c>
      <c r="V100">
        <v>200</v>
      </c>
      <c r="W100" s="4">
        <f>IF(AND(S100&gt;0,V100&gt;0),(V100/((S100+T100)*10)),"")</f>
        <v>0.19212295869356388</v>
      </c>
      <c r="X100">
        <v>90</v>
      </c>
      <c r="Z100">
        <v>17.98</v>
      </c>
      <c r="AA100">
        <v>17.98</v>
      </c>
      <c r="AE100" t="str">
        <f>CONCATENATE(VLOOKUP(AF100, 'Voxel Sizes'!$A$2:$B$18,2,FALSE),"x",INT(AB100*15), "x", INT(AC100*15))</f>
        <v>186x0x0</v>
      </c>
      <c r="AF100">
        <f>ROUND(15*((AA100*10)/256),0)</f>
        <v>11</v>
      </c>
      <c r="AH100" t="str">
        <f>CONCATENATE(VLOOKUP(AF100,'Articulated Lengths'!$A$2:$C$16,IF(AG100&lt;&gt;"", 3, 2), FALSE),IF(AG100&lt;&gt;"",CONCATENATE(",",VLOOKUP(AG100,$B$2:$AH$213,33,FALSE)),""))</f>
        <v>3,5,3</v>
      </c>
      <c r="AM100">
        <v>10</v>
      </c>
      <c r="AN100">
        <v>10</v>
      </c>
      <c r="AQ100" t="str">
        <f>VLOOKUP(F100,Eras!$A$2:$C$12, 2, TRUE)</f>
        <v>br</v>
      </c>
      <c r="AR100" t="s">
        <v>445</v>
      </c>
      <c r="AS100" t="str">
        <f>CONCATENATE(AQ100,"_",AR100)</f>
        <v>br_Express (Electric)</v>
      </c>
      <c r="AT100" t="s">
        <v>635</v>
      </c>
    </row>
    <row r="101" spans="1:46" x14ac:dyDescent="0.25">
      <c r="A101" t="s">
        <v>629</v>
      </c>
      <c r="B101" t="s">
        <v>632</v>
      </c>
      <c r="C101" t="s">
        <v>360</v>
      </c>
      <c r="D101" t="s">
        <v>369</v>
      </c>
      <c r="E101" t="s">
        <v>372</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IF(AND(S101&gt;0,V101&gt;0),(V101/((S101+T101)*10)),"")</f>
        <v>0.12482269503546099</v>
      </c>
      <c r="X101">
        <v>90</v>
      </c>
      <c r="Z101">
        <v>20.170000000000002</v>
      </c>
      <c r="AA101">
        <v>15</v>
      </c>
      <c r="AE101" t="str">
        <f>CONCATENATE(VLOOKUP(AF101, 'Voxel Sizes'!$A$2:$B$18,2,FALSE),"x",INT(AB101*15), "x", INT(AC101*15))</f>
        <v>152x0x0</v>
      </c>
      <c r="AF101">
        <f>ROUND(15*((AA101*10)/256),0)</f>
        <v>9</v>
      </c>
      <c r="AG101" t="s">
        <v>560</v>
      </c>
      <c r="AH101" t="str">
        <f>CONCATENATE(VLOOKUP(AF101,'Articulated Lengths'!$A$2:$C$16,IF(AG101&lt;&gt;"", 3, 2), FALSE),IF(AG101&lt;&gt;"",CONCATENATE(",",VLOOKUP(AG101,$B$2:$AH$213,33,FALSE)),""))</f>
        <v>2,5,2,1,3,1</v>
      </c>
      <c r="AL101">
        <v>1</v>
      </c>
      <c r="AM101">
        <v>10</v>
      </c>
      <c r="AN101">
        <v>10</v>
      </c>
      <c r="AQ101" t="str">
        <f>VLOOKUP(F101,Eras!$A$2:$C$12, 2, TRUE)</f>
        <v>br</v>
      </c>
      <c r="AR101" t="s">
        <v>436</v>
      </c>
      <c r="AS101" t="str">
        <f>CONCATENATE(AQ101,"_",AR101)</f>
        <v>br_Freight</v>
      </c>
      <c r="AT101" t="s">
        <v>638</v>
      </c>
    </row>
    <row r="102" spans="1:46" x14ac:dyDescent="0.25">
      <c r="A102" t="s">
        <v>49</v>
      </c>
      <c r="B102" t="s">
        <v>365</v>
      </c>
      <c r="C102" t="s">
        <v>360</v>
      </c>
      <c r="D102" t="s">
        <v>370</v>
      </c>
      <c r="E102" t="s">
        <v>372</v>
      </c>
      <c r="F102">
        <v>1955</v>
      </c>
      <c r="G102">
        <v>1962</v>
      </c>
      <c r="H102">
        <v>1982</v>
      </c>
      <c r="J102">
        <v>3300</v>
      </c>
      <c r="S102">
        <v>108</v>
      </c>
      <c r="V102">
        <v>233</v>
      </c>
      <c r="W102" s="4">
        <f>IF(AND(S102&gt;0,V102&gt;0),(V102/((S102+T102)*10)),"")</f>
        <v>0.21574074074074073</v>
      </c>
      <c r="X102">
        <v>106</v>
      </c>
      <c r="Z102">
        <v>21.18</v>
      </c>
      <c r="AA102">
        <v>21.18</v>
      </c>
      <c r="AC102">
        <v>3.91</v>
      </c>
      <c r="AE102" t="str">
        <f>CONCATENATE(VLOOKUP(AF102, 'Voxel Sizes'!$A$2:$B$18,2,FALSE),"x",INT(AB102*15), "x", INT(AC102*15))</f>
        <v>198x0x58</v>
      </c>
      <c r="AF102">
        <f>ROUND(15*((AA102*10)/256),0)</f>
        <v>12</v>
      </c>
      <c r="AH102" t="str">
        <f>CONCATENATE(VLOOKUP(AF102,'Articulated Lengths'!$A$2:$C$16,IF(AG102&lt;&gt;"", 3, 2), FALSE),IF(AG102&lt;&gt;"",CONCATENATE(",",VLOOKUP(AG102,$B$2:$AH$213,33,FALSE)),""))</f>
        <v>3,6,3</v>
      </c>
      <c r="AM102">
        <v>10</v>
      </c>
      <c r="AN102">
        <v>10</v>
      </c>
      <c r="AQ102" t="str">
        <f>VLOOKUP(F102,Eras!$A$2:$C$12, 2, TRUE)</f>
        <v>dsl</v>
      </c>
      <c r="AR102" t="s">
        <v>435</v>
      </c>
      <c r="AS102" t="str">
        <f>CONCATENATE(AQ102,"_",AR102)</f>
        <v>dsl_Express</v>
      </c>
      <c r="AT102" t="s">
        <v>639</v>
      </c>
    </row>
    <row r="103" spans="1:46" x14ac:dyDescent="0.25">
      <c r="A103" t="s">
        <v>85</v>
      </c>
      <c r="B103" t="s">
        <v>315</v>
      </c>
      <c r="C103" t="s">
        <v>522</v>
      </c>
      <c r="D103" t="s">
        <v>370</v>
      </c>
      <c r="E103" t="s">
        <v>372</v>
      </c>
      <c r="F103">
        <v>1956</v>
      </c>
      <c r="G103">
        <v>1960</v>
      </c>
      <c r="H103">
        <v>2003</v>
      </c>
      <c r="I103">
        <v>2</v>
      </c>
      <c r="J103">
        <v>600</v>
      </c>
      <c r="S103">
        <f>32.5+25</f>
        <v>57.5</v>
      </c>
      <c r="V103">
        <v>85</v>
      </c>
      <c r="W103" s="4">
        <f>IF(AND(S103&gt;0,V103&gt;0),(V103/((S103+T103)*10)),"")</f>
        <v>0.14782608695652175</v>
      </c>
      <c r="X103">
        <v>70</v>
      </c>
      <c r="Z103">
        <v>17.37</v>
      </c>
      <c r="AA103">
        <v>17.37</v>
      </c>
      <c r="AC103">
        <v>3.77</v>
      </c>
      <c r="AD103">
        <v>51</v>
      </c>
      <c r="AE103" t="str">
        <f>CONCATENATE(VLOOKUP(AF103, 'Voxel Sizes'!$A$2:$B$18,2,FALSE),"x",INT(AB103*15), "x", INT(AC103*15))</f>
        <v>164x0x56</v>
      </c>
      <c r="AF103">
        <f>ROUND(15*((AA103*10)/256),0)</f>
        <v>10</v>
      </c>
      <c r="AH103" t="str">
        <f>CONCATENATE(VLOOKUP(AF103,'Articulated Lengths'!$A$2:$C$16,IF(AG103&lt;&gt;"", 3, 2), FALSE),IF(AG103&lt;&gt;"",CONCATENATE(",",VLOOKUP(AG103,$B$2:$AH$213,33,FALSE)),""))</f>
        <v>3,4,3</v>
      </c>
      <c r="AI103" t="s">
        <v>641</v>
      </c>
      <c r="AJ103" t="s">
        <v>587</v>
      </c>
      <c r="AM103">
        <v>10</v>
      </c>
      <c r="AN103">
        <v>10</v>
      </c>
      <c r="AP103" t="s">
        <v>381</v>
      </c>
      <c r="AQ103" t="str">
        <f>VLOOKUP(F103,Eras!$A$2:$C$12, 2, TRUE)</f>
        <v>dsl</v>
      </c>
      <c r="AR103" t="s">
        <v>438</v>
      </c>
      <c r="AS103" t="str">
        <f>CONCATENATE(AQ103,"_",AR103)</f>
        <v>dsl_DMU</v>
      </c>
      <c r="AT103" t="s">
        <v>640</v>
      </c>
    </row>
    <row r="104" spans="1:46" x14ac:dyDescent="0.25">
      <c r="A104" t="s">
        <v>87</v>
      </c>
      <c r="B104" t="s">
        <v>241</v>
      </c>
      <c r="C104" t="s">
        <v>193</v>
      </c>
      <c r="E104" t="s">
        <v>372</v>
      </c>
      <c r="F104">
        <v>1956</v>
      </c>
      <c r="G104">
        <v>1959</v>
      </c>
      <c r="H104">
        <v>1988</v>
      </c>
      <c r="J104">
        <v>300</v>
      </c>
      <c r="S104">
        <f>30.5*2</f>
        <v>61</v>
      </c>
      <c r="W104" s="4" t="str">
        <f>IF(AND(S104&gt;0,V104&gt;0),(V104/((S104+T104)*10)),"")</f>
        <v/>
      </c>
      <c r="X104">
        <v>70</v>
      </c>
      <c r="Z104">
        <v>17.53</v>
      </c>
      <c r="AA104">
        <v>17.53</v>
      </c>
      <c r="AC104">
        <v>3.84</v>
      </c>
      <c r="AE104" t="str">
        <f>CONCATENATE(VLOOKUP(AF104, 'Voxel Sizes'!$A$2:$B$18,2,FALSE),"x",INT(AB104*15), "x", INT(AC104*15))</f>
        <v>164x0x57</v>
      </c>
      <c r="AF104">
        <f>ROUND(15*((AA104*10)/256),0)</f>
        <v>10</v>
      </c>
      <c r="AH104" t="str">
        <f>CONCATENATE(VLOOKUP(AF104,'Articulated Lengths'!$A$2:$C$16,IF(AG104&lt;&gt;"", 3, 2), FALSE),IF(AG104&lt;&gt;"",CONCATENATE(",",VLOOKUP(AG104,$B$2:$AH$213,33,FALSE)),""))</f>
        <v>3,4,3</v>
      </c>
      <c r="AM104">
        <v>10</v>
      </c>
      <c r="AN104">
        <v>10</v>
      </c>
      <c r="AQ104" t="str">
        <f>VLOOKUP(F104,Eras!$A$2:$C$12, 2, TRUE)</f>
        <v>dsl</v>
      </c>
      <c r="AS104" t="str">
        <f>CONCATENATE(AQ104,"_",AR104)</f>
        <v>dsl_</v>
      </c>
    </row>
    <row r="105" spans="1:46" x14ac:dyDescent="0.25">
      <c r="A105" t="s">
        <v>143</v>
      </c>
      <c r="B105" t="s">
        <v>355</v>
      </c>
      <c r="C105" t="s">
        <v>379</v>
      </c>
      <c r="E105" t="s">
        <v>372</v>
      </c>
      <c r="F105">
        <v>1956</v>
      </c>
      <c r="S105">
        <v>40</v>
      </c>
      <c r="U105">
        <v>9</v>
      </c>
      <c r="W105" s="4" t="str">
        <f>IF(AND(S105&gt;0,V105&gt;0),(V105/((S105+T105)*10)),"")</f>
        <v/>
      </c>
      <c r="X105">
        <v>110</v>
      </c>
      <c r="Z105">
        <v>19.66</v>
      </c>
      <c r="AA105">
        <v>19.66</v>
      </c>
      <c r="AB105">
        <v>2.83</v>
      </c>
      <c r="AC105">
        <v>3.79</v>
      </c>
      <c r="AD105">
        <v>57</v>
      </c>
      <c r="AE105" t="str">
        <f>CONCATENATE(VLOOKUP(AF105, 'Voxel Sizes'!$A$2:$B$18,2,FALSE),"x",INT(AB105*15), "x", INT(AC105*15))</f>
        <v>198x42x56</v>
      </c>
      <c r="AF105">
        <f>ROUND(15*((AA105*10)/256),0)</f>
        <v>12</v>
      </c>
      <c r="AH105" t="str">
        <f>CONCATENATE(VLOOKUP(AF105,'Articulated Lengths'!$A$2:$C$16,IF(AG105&lt;&gt;"", 3, 2), FALSE),IF(AG105&lt;&gt;"",CONCATENATE(",",VLOOKUP(AG105,$B$2:$AH$213,33,FALSE)),""))</f>
        <v>3,6,3</v>
      </c>
      <c r="AM105">
        <v>10</v>
      </c>
      <c r="AN105">
        <v>10</v>
      </c>
      <c r="AP105" t="s">
        <v>381</v>
      </c>
      <c r="AQ105" t="str">
        <f>VLOOKUP(F105,Eras!$A$2:$C$12, 2, TRUE)</f>
        <v>dsl</v>
      </c>
      <c r="AR105" t="s">
        <v>442</v>
      </c>
      <c r="AS105" t="str">
        <f>CONCATENATE(AQ105,"_",AR105)</f>
        <v>dsl_Carriage</v>
      </c>
      <c r="AT105" t="s">
        <v>468</v>
      </c>
    </row>
    <row r="106" spans="1:46" x14ac:dyDescent="0.25">
      <c r="A106" t="s">
        <v>643</v>
      </c>
      <c r="B106" t="s">
        <v>222</v>
      </c>
      <c r="C106" t="s">
        <v>360</v>
      </c>
      <c r="D106" t="s">
        <v>370</v>
      </c>
      <c r="E106" t="s">
        <v>372</v>
      </c>
      <c r="F106">
        <v>1957</v>
      </c>
      <c r="G106">
        <v>1962</v>
      </c>
      <c r="H106">
        <v>2017</v>
      </c>
      <c r="J106">
        <v>1250</v>
      </c>
      <c r="S106">
        <v>108.4</v>
      </c>
      <c r="V106">
        <v>160</v>
      </c>
      <c r="W106" s="4">
        <f>IF(AND(S106&gt;0,V106&gt;0),(V106/((S106+T106)*10)),"")</f>
        <v>0.14760147601476015</v>
      </c>
      <c r="X106">
        <v>80</v>
      </c>
      <c r="Z106">
        <v>17.3</v>
      </c>
      <c r="AA106">
        <v>17.3</v>
      </c>
      <c r="AC106">
        <v>3.84</v>
      </c>
      <c r="AE106" t="str">
        <f>CONCATENATE(VLOOKUP(AF106, 'Voxel Sizes'!$A$2:$B$18,2,FALSE),"x",INT(AB106*15), "x", INT(AC106*15))</f>
        <v>164x0x57</v>
      </c>
      <c r="AF106">
        <f>ROUND(15*((AA106*10)/256),0)</f>
        <v>10</v>
      </c>
      <c r="AH106" t="str">
        <f>CONCATENATE(VLOOKUP(AF106,'Articulated Lengths'!$A$2:$C$16,IF(AG106&lt;&gt;"", 3, 2), FALSE),IF(AG106&lt;&gt;"",CONCATENATE(",",VLOOKUP(AG106,$B$2:$AH$213,33,FALSE)),""))</f>
        <v>3,4,3</v>
      </c>
      <c r="AM106">
        <v>10</v>
      </c>
      <c r="AN106">
        <v>10</v>
      </c>
      <c r="AQ106" t="str">
        <f>VLOOKUP(F106,Eras!$A$2:$C$12, 2, TRUE)</f>
        <v>dsl</v>
      </c>
      <c r="AR106" t="s">
        <v>436</v>
      </c>
      <c r="AS106" t="str">
        <f>CONCATENATE(AQ106,"_",AR106)</f>
        <v>dsl_Freight</v>
      </c>
      <c r="AT106" t="s">
        <v>644</v>
      </c>
    </row>
    <row r="107" spans="1:46" x14ac:dyDescent="0.25">
      <c r="A107" t="s">
        <v>58</v>
      </c>
      <c r="B107" t="s">
        <v>363</v>
      </c>
      <c r="C107" t="s">
        <v>360</v>
      </c>
      <c r="D107" t="s">
        <v>370</v>
      </c>
      <c r="E107" t="s">
        <v>372</v>
      </c>
      <c r="F107">
        <v>1957</v>
      </c>
      <c r="G107">
        <v>1968</v>
      </c>
      <c r="J107">
        <v>1000</v>
      </c>
      <c r="S107">
        <v>73</v>
      </c>
      <c r="V107">
        <v>186</v>
      </c>
      <c r="W107" s="4">
        <f>IF(AND(S107&gt;0,V107&gt;0),(V107/((S107+T107)*10)),"")</f>
        <v>0.25479452054794521</v>
      </c>
      <c r="X107">
        <v>75</v>
      </c>
      <c r="Z107">
        <v>14.25</v>
      </c>
      <c r="AA107">
        <v>14.25</v>
      </c>
      <c r="AB107">
        <v>2.67</v>
      </c>
      <c r="AC107">
        <v>3.85</v>
      </c>
      <c r="AE107" t="str">
        <f>CONCATENATE(VLOOKUP(AF107, 'Voxel Sizes'!$A$2:$B$18,2,FALSE),"x",INT(AB107*15), "x", INT(AC107*15))</f>
        <v>136x40x57</v>
      </c>
      <c r="AF107">
        <f>ROUND(15*((AA107*10)/256),0)</f>
        <v>8</v>
      </c>
      <c r="AH107" t="str">
        <f>CONCATENATE(VLOOKUP(AF107,'Articulated Lengths'!$A$2:$C$16,IF(AG107&lt;&gt;"", 3, 2), FALSE),IF(AG107&lt;&gt;"",CONCATENATE(",",VLOOKUP(AG107,$B$2:$AH$213,33,FALSE)),""))</f>
        <v>2,4,2</v>
      </c>
      <c r="AM107">
        <v>10</v>
      </c>
      <c r="AN107">
        <v>10</v>
      </c>
      <c r="AQ107" t="str">
        <f>VLOOKUP(F107,Eras!$A$2:$C$12, 2, TRUE)</f>
        <v>dsl</v>
      </c>
      <c r="AR107" t="s">
        <v>434</v>
      </c>
      <c r="AS107" t="str">
        <f>CONCATENATE(AQ107,"_",AR107)</f>
        <v>dsl_Mixed Traffic</v>
      </c>
      <c r="AT107" t="s">
        <v>464</v>
      </c>
    </row>
    <row r="108" spans="1:46" x14ac:dyDescent="0.25">
      <c r="A108" t="s">
        <v>43</v>
      </c>
      <c r="B108" t="s">
        <v>223</v>
      </c>
      <c r="C108" t="s">
        <v>193</v>
      </c>
      <c r="E108" t="s">
        <v>372</v>
      </c>
      <c r="F108">
        <v>1958</v>
      </c>
      <c r="G108">
        <v>1961</v>
      </c>
      <c r="H108">
        <v>1966</v>
      </c>
      <c r="J108">
        <v>2750</v>
      </c>
      <c r="S108">
        <v>45</v>
      </c>
      <c r="V108">
        <v>169</v>
      </c>
      <c r="W108" s="4">
        <f>IF(AND(S108&gt;0,V108&gt;0),(V108/((S108+T108)*10)),"")</f>
        <v>0.37555555555555553</v>
      </c>
      <c r="X108">
        <v>90</v>
      </c>
      <c r="Z108">
        <v>20.74</v>
      </c>
      <c r="AA108">
        <v>20.74</v>
      </c>
      <c r="AE108" t="str">
        <f>CONCATENATE(VLOOKUP(AF108, 'Voxel Sizes'!$A$2:$B$18,2,FALSE),"x",INT(AB108*15), "x", INT(AC108*15))</f>
        <v>198x0x0</v>
      </c>
      <c r="AF108">
        <f>ROUND(15*((AA108*10)/256),0)</f>
        <v>12</v>
      </c>
      <c r="AH108" t="str">
        <f>CONCATENATE(VLOOKUP(AF108,'Articulated Lengths'!$A$2:$C$16,IF(AG108&lt;&gt;"", 3, 2), FALSE),IF(AG108&lt;&gt;"",CONCATENATE(",",VLOOKUP(AG108,$B$2:$AH$213,33,FALSE)),""))</f>
        <v>3,6,3</v>
      </c>
      <c r="AM108">
        <v>10</v>
      </c>
      <c r="AN108">
        <v>10</v>
      </c>
      <c r="AQ108" t="str">
        <f>VLOOKUP(F108,Eras!$A$2:$C$12, 2, TRUE)</f>
        <v>dsl</v>
      </c>
      <c r="AR108" t="s">
        <v>435</v>
      </c>
      <c r="AS108" t="str">
        <f>CONCATENATE(AQ108,"_",AR108)</f>
        <v>dsl_Express</v>
      </c>
      <c r="AT108" t="s">
        <v>642</v>
      </c>
    </row>
    <row r="109" spans="1:46" x14ac:dyDescent="0.25">
      <c r="A109" t="s">
        <v>47</v>
      </c>
      <c r="B109" t="s">
        <v>224</v>
      </c>
      <c r="C109" t="s">
        <v>360</v>
      </c>
      <c r="D109" t="s">
        <v>370</v>
      </c>
      <c r="E109" t="s">
        <v>372</v>
      </c>
      <c r="F109">
        <v>1958</v>
      </c>
      <c r="G109">
        <v>1961</v>
      </c>
      <c r="H109">
        <v>1972</v>
      </c>
      <c r="J109">
        <f>1035*2</f>
        <v>2070</v>
      </c>
      <c r="S109">
        <v>79.3</v>
      </c>
      <c r="V109">
        <v>214</v>
      </c>
      <c r="W109" s="4">
        <f>IF(AND(S109&gt;0,V109&gt;0),(V109/((S109+T109)*10)),"")</f>
        <v>0.26986128625472888</v>
      </c>
      <c r="X109">
        <v>90</v>
      </c>
      <c r="Z109">
        <v>18.29</v>
      </c>
      <c r="AA109">
        <v>18.29</v>
      </c>
      <c r="AC109">
        <v>3.67</v>
      </c>
      <c r="AE109" t="str">
        <f>CONCATENATE(VLOOKUP(AF109, 'Voxel Sizes'!$A$2:$B$18,2,FALSE),"x",INT(AB109*15), "x", INT(AC109*15))</f>
        <v>186x0x55</v>
      </c>
      <c r="AF109">
        <f>ROUND(15*((AA109*10)/256),0)</f>
        <v>11</v>
      </c>
      <c r="AH109" t="str">
        <f>CONCATENATE(VLOOKUP(AF109,'Articulated Lengths'!$A$2:$C$16,IF(AG109&lt;&gt;"", 3, 2), FALSE),IF(AG109&lt;&gt;"",CONCATENATE(",",VLOOKUP(AG109,$B$2:$AH$213,33,FALSE)),""))</f>
        <v>3,5,3</v>
      </c>
      <c r="AM109">
        <v>10</v>
      </c>
      <c r="AN109">
        <v>10</v>
      </c>
      <c r="AQ109" t="str">
        <f>VLOOKUP(F109,Eras!$A$2:$C$12, 2, TRUE)</f>
        <v>dsl</v>
      </c>
      <c r="AR109" t="s">
        <v>484</v>
      </c>
      <c r="AS109" t="str">
        <f>CONCATENATE(AQ109,"_",AR109)</f>
        <v>dsl_Passenger</v>
      </c>
      <c r="AT109" t="s">
        <v>645</v>
      </c>
    </row>
    <row r="110" spans="1:46" x14ac:dyDescent="0.25">
      <c r="A110" t="s">
        <v>52</v>
      </c>
      <c r="B110" t="s">
        <v>647</v>
      </c>
      <c r="C110" t="s">
        <v>360</v>
      </c>
      <c r="D110" t="s">
        <v>370</v>
      </c>
      <c r="E110" t="s">
        <v>372</v>
      </c>
      <c r="F110">
        <v>1958</v>
      </c>
      <c r="G110">
        <v>1962</v>
      </c>
      <c r="H110">
        <v>1985</v>
      </c>
      <c r="J110">
        <v>2000</v>
      </c>
      <c r="S110">
        <v>135</v>
      </c>
      <c r="V110">
        <v>231</v>
      </c>
      <c r="W110" s="4">
        <f>IF(AND(S110&gt;0,V110&gt;0),(V110/((S110+T110)*10)),"")</f>
        <v>0.1711111111111111</v>
      </c>
      <c r="X110">
        <v>90</v>
      </c>
      <c r="Z110">
        <v>21.18</v>
      </c>
      <c r="AA110">
        <v>21.18</v>
      </c>
      <c r="AC110">
        <v>3.91</v>
      </c>
      <c r="AE110" t="str">
        <f>CONCATENATE(VLOOKUP(AF110, 'Voxel Sizes'!$A$2:$B$18,2,FALSE),"x",INT(AB110*15), "x", INT(AC110*15))</f>
        <v>198x0x58</v>
      </c>
      <c r="AF110">
        <f>ROUND(15*((AA110*10)/256),0)</f>
        <v>12</v>
      </c>
      <c r="AH110" t="str">
        <f>CONCATENATE(VLOOKUP(AF110,'Articulated Lengths'!$A$2:$C$16,IF(AG110&lt;&gt;"", 3, 2), FALSE),IF(AG110&lt;&gt;"",CONCATENATE(",",VLOOKUP(AG110,$B$2:$AH$213,33,FALSE)),""))</f>
        <v>3,6,3</v>
      </c>
      <c r="AM110">
        <v>10</v>
      </c>
      <c r="AN110">
        <v>10</v>
      </c>
      <c r="AQ110" t="str">
        <f>VLOOKUP(F110,Eras!$A$2:$C$12, 2, TRUE)</f>
        <v>dsl</v>
      </c>
      <c r="AR110" t="s">
        <v>435</v>
      </c>
      <c r="AS110" t="str">
        <f>CONCATENATE(AQ110,"_",AR110)</f>
        <v>dsl_Express</v>
      </c>
      <c r="AT110" t="s">
        <v>646</v>
      </c>
    </row>
    <row r="111" spans="1:46" x14ac:dyDescent="0.25">
      <c r="A111" t="s">
        <v>53</v>
      </c>
      <c r="B111" t="s">
        <v>396</v>
      </c>
      <c r="C111" t="s">
        <v>360</v>
      </c>
      <c r="D111" t="s">
        <v>370</v>
      </c>
      <c r="E111" t="s">
        <v>372</v>
      </c>
      <c r="F111">
        <v>1958</v>
      </c>
      <c r="G111">
        <v>1959</v>
      </c>
      <c r="J111">
        <v>1200</v>
      </c>
      <c r="S111">
        <v>98.6</v>
      </c>
      <c r="V111">
        <v>222</v>
      </c>
      <c r="W111" s="4">
        <f>IF(AND(S111&gt;0,V111&gt;0),(V111/((S111+T111)*10)),"")</f>
        <v>0.22515212981744423</v>
      </c>
      <c r="X111">
        <v>75</v>
      </c>
      <c r="Z111">
        <v>17.260000000000002</v>
      </c>
      <c r="AA111">
        <v>17.260000000000002</v>
      </c>
      <c r="AC111">
        <v>3.7</v>
      </c>
      <c r="AE111" t="str">
        <f>CONCATENATE(VLOOKUP(AF111, 'Voxel Sizes'!$A$2:$B$18,2,FALSE),"x",INT(AB111*15), "x", INT(AC111*15))</f>
        <v>164x0x55</v>
      </c>
      <c r="AF111">
        <f>ROUND(15*((AA111*10)/256),0)</f>
        <v>10</v>
      </c>
      <c r="AH111" t="str">
        <f>CONCATENATE(VLOOKUP(AF111,'Articulated Lengths'!$A$2:$C$16,IF(AG111&lt;&gt;"", 3, 2), FALSE),IF(AG111&lt;&gt;"",CONCATENATE(",",VLOOKUP(AG111,$B$2:$AH$213,33,FALSE)),""))</f>
        <v>3,4,3</v>
      </c>
      <c r="AM111">
        <v>10</v>
      </c>
      <c r="AN111">
        <v>10</v>
      </c>
      <c r="AQ111" t="str">
        <f>VLOOKUP(F111,Eras!$A$2:$C$12, 2, TRUE)</f>
        <v>dsl</v>
      </c>
      <c r="AR111" t="s">
        <v>434</v>
      </c>
      <c r="AS111" t="str">
        <f>CONCATENATE(AQ111,"_",AR111)</f>
        <v>dsl_Mixed Traffic</v>
      </c>
      <c r="AT111" t="s">
        <v>465</v>
      </c>
    </row>
    <row r="112" spans="1:46" x14ac:dyDescent="0.25">
      <c r="A112" t="s">
        <v>76</v>
      </c>
      <c r="B112" t="s">
        <v>293</v>
      </c>
      <c r="C112" t="s">
        <v>360</v>
      </c>
      <c r="D112" t="s">
        <v>394</v>
      </c>
      <c r="E112" t="s">
        <v>402</v>
      </c>
      <c r="F112">
        <v>1958</v>
      </c>
      <c r="G112">
        <v>1960</v>
      </c>
      <c r="J112">
        <v>2300</v>
      </c>
      <c r="S112">
        <v>78.239999999999995</v>
      </c>
      <c r="V112">
        <v>195</v>
      </c>
      <c r="W112" s="4">
        <f>IF(AND(S112&gt;0,V112&gt;0),(V112/((S112+T112)*10)),"")</f>
        <v>0.24923312883435583</v>
      </c>
      <c r="X112">
        <v>90</v>
      </c>
      <c r="Z112">
        <v>16.36</v>
      </c>
      <c r="AA112">
        <v>16.36</v>
      </c>
      <c r="AE112" t="str">
        <f>CONCATENATE(VLOOKUP(AF112, 'Voxel Sizes'!$A$2:$B$18,2,FALSE),"x",INT(AB112*15), "x", INT(AC112*15))</f>
        <v>164x0x0</v>
      </c>
      <c r="AF112">
        <f>ROUND(15*((AA112*10)/256),0)</f>
        <v>10</v>
      </c>
      <c r="AH112" t="str">
        <f>CONCATENATE(VLOOKUP(AF112,'Articulated Lengths'!$A$2:$C$16,IF(AG112&lt;&gt;"", 3, 2), FALSE),IF(AG112&lt;&gt;"",CONCATENATE(",",VLOOKUP(AG112,$B$2:$AH$213,33,FALSE)),""))</f>
        <v>3,4,3</v>
      </c>
      <c r="AM112">
        <v>10</v>
      </c>
      <c r="AN112">
        <v>10</v>
      </c>
      <c r="AQ112" t="str">
        <f>VLOOKUP(F112,Eras!$A$2:$C$12, 2, TRUE)</f>
        <v>dsl</v>
      </c>
      <c r="AR112" t="s">
        <v>444</v>
      </c>
      <c r="AS112" t="str">
        <f>CONCATENATE(AQ112,"_",AR112)</f>
        <v>dsl_MT (Electric)</v>
      </c>
      <c r="AT112" t="s">
        <v>466</v>
      </c>
    </row>
    <row r="113" spans="1:46" x14ac:dyDescent="0.25">
      <c r="A113" t="s">
        <v>663</v>
      </c>
      <c r="B113" t="s">
        <v>665</v>
      </c>
      <c r="C113" t="s">
        <v>360</v>
      </c>
      <c r="D113" t="s">
        <v>370</v>
      </c>
      <c r="E113" t="s">
        <v>372</v>
      </c>
      <c r="F113">
        <v>1958</v>
      </c>
      <c r="G113">
        <v>1959</v>
      </c>
      <c r="H113">
        <v>1994</v>
      </c>
      <c r="J113">
        <v>1160</v>
      </c>
      <c r="S113">
        <v>78.7</v>
      </c>
      <c r="V113">
        <v>187</v>
      </c>
      <c r="W113" s="4">
        <f>IF(AND(S113&gt;0,V113&gt;0),(V113/((S113+T113)*10)),"")</f>
        <v>0.23761118170266837</v>
      </c>
      <c r="X113">
        <v>80</v>
      </c>
      <c r="Z113">
        <v>15.47</v>
      </c>
      <c r="AA113">
        <v>15.47</v>
      </c>
      <c r="AC113">
        <v>3.86</v>
      </c>
      <c r="AE113" t="str">
        <f>CONCATENATE(VLOOKUP(AF113, 'Voxel Sizes'!$A$2:$B$18,2,FALSE),"x",INT(AB113*15), "x", INT(AC113*15))</f>
        <v>152x0x57</v>
      </c>
      <c r="AF113">
        <f>ROUND(15*((AA113*10)/256),0)</f>
        <v>9</v>
      </c>
      <c r="AH113" t="str">
        <f>CONCATENATE(VLOOKUP(AF113,'Articulated Lengths'!$A$2:$C$16,IF(AG113&lt;&gt;"", 3, 2), FALSE),IF(AG113&lt;&gt;"",CONCATENATE(",",VLOOKUP(AG113,$B$2:$AH$213,33,FALSE)),""))</f>
        <v>2,5,2</v>
      </c>
      <c r="AM113">
        <v>10</v>
      </c>
      <c r="AN113">
        <v>10</v>
      </c>
      <c r="AQ113" t="str">
        <f>VLOOKUP(F113,Eras!$A$2:$C$12, 2, TRUE)</f>
        <v>dsl</v>
      </c>
      <c r="AR113" t="s">
        <v>434</v>
      </c>
      <c r="AS113" t="str">
        <f>CONCATENATE(AQ113,"_",AR113)</f>
        <v>dsl_Mixed Traffic</v>
      </c>
      <c r="AT113" t="s">
        <v>664</v>
      </c>
    </row>
    <row r="114" spans="1:46" x14ac:dyDescent="0.25">
      <c r="A114" t="s">
        <v>50</v>
      </c>
      <c r="B114" t="s">
        <v>364</v>
      </c>
      <c r="C114" t="s">
        <v>360</v>
      </c>
      <c r="D114" t="s">
        <v>370</v>
      </c>
      <c r="E114" t="s">
        <v>372</v>
      </c>
      <c r="F114">
        <v>1959</v>
      </c>
      <c r="G114">
        <v>1959</v>
      </c>
      <c r="J114">
        <v>1100</v>
      </c>
      <c r="S114">
        <v>75.2</v>
      </c>
      <c r="V114">
        <v>209</v>
      </c>
      <c r="W114" s="4">
        <f>IF(AND(S114&gt;0,V114&gt;0),(V114/((S114+T114)*10)),"")</f>
        <v>0.27792553191489361</v>
      </c>
      <c r="X114">
        <v>75</v>
      </c>
      <c r="Z114">
        <v>16</v>
      </c>
      <c r="AA114">
        <v>16</v>
      </c>
      <c r="AC114">
        <v>3.86</v>
      </c>
      <c r="AE114" t="str">
        <f>CONCATENATE(VLOOKUP(AF114, 'Voxel Sizes'!$A$2:$B$18,2,FALSE),"x",INT(AB114*15), "x", INT(AC114*15))</f>
        <v>152x0x57</v>
      </c>
      <c r="AF114">
        <f>ROUND(15*((AA114*10)/256),0)</f>
        <v>9</v>
      </c>
      <c r="AH114" t="str">
        <f>CONCATENATE(VLOOKUP(AF114,'Articulated Lengths'!$A$2:$C$16,IF(AG114&lt;&gt;"", 3, 2), FALSE),IF(AG114&lt;&gt;"",CONCATENATE(",",VLOOKUP(AG114,$B$2:$AH$213,33,FALSE)),""))</f>
        <v>2,5,2</v>
      </c>
      <c r="AM114">
        <v>10</v>
      </c>
      <c r="AN114">
        <v>10</v>
      </c>
      <c r="AQ114" t="str">
        <f>VLOOKUP(F114,Eras!$A$2:$C$12, 2, TRUE)</f>
        <v>dsl</v>
      </c>
      <c r="AR114" t="s">
        <v>434</v>
      </c>
      <c r="AS114" t="str">
        <f>CONCATENATE(AQ114,"_",AR114)</f>
        <v>dsl_Mixed Traffic</v>
      </c>
      <c r="AT114" t="s">
        <v>474</v>
      </c>
    </row>
    <row r="115" spans="1:46" x14ac:dyDescent="0.25">
      <c r="A115" t="s">
        <v>71</v>
      </c>
      <c r="B115" t="s">
        <v>294</v>
      </c>
      <c r="C115" t="s">
        <v>360</v>
      </c>
      <c r="D115" t="s">
        <v>394</v>
      </c>
      <c r="E115" t="s">
        <v>395</v>
      </c>
      <c r="F115">
        <v>1959</v>
      </c>
      <c r="G115">
        <v>1964</v>
      </c>
      <c r="H115">
        <v>1991</v>
      </c>
      <c r="J115">
        <f>4*847</f>
        <v>3388</v>
      </c>
      <c r="S115">
        <v>80.900000000000006</v>
      </c>
      <c r="V115">
        <v>222</v>
      </c>
      <c r="W115" s="4">
        <f>IF(AND(S115&gt;0,V115&gt;0),(V115/((S115+T115)*10)),"")</f>
        <v>0.27441285537700866</v>
      </c>
      <c r="X115">
        <v>100</v>
      </c>
      <c r="Z115">
        <v>17.22</v>
      </c>
      <c r="AA115">
        <v>17.22</v>
      </c>
      <c r="AC115">
        <v>3.77</v>
      </c>
      <c r="AE115" t="str">
        <f>CONCATENATE(VLOOKUP(AF115, 'Voxel Sizes'!$A$2:$B$18,2,FALSE),"x",INT(AB115*15), "x", INT(AC115*15))</f>
        <v>164x0x56</v>
      </c>
      <c r="AF115">
        <f>ROUND(15*((AA115*10)/256),0)</f>
        <v>10</v>
      </c>
      <c r="AH115" t="str">
        <f>CONCATENATE(VLOOKUP(AF115,'Articulated Lengths'!$A$2:$C$16,IF(AG115&lt;&gt;"", 3, 2), FALSE),IF(AG115&lt;&gt;"",CONCATENATE(",",VLOOKUP(AG115,$B$2:$AH$213,33,FALSE)),""))</f>
        <v>3,4,3</v>
      </c>
      <c r="AM115">
        <v>10</v>
      </c>
      <c r="AN115">
        <v>10</v>
      </c>
      <c r="AQ115" t="str">
        <f>VLOOKUP(F115,Eras!$A$2:$C$12, 2, TRUE)</f>
        <v>dsl</v>
      </c>
      <c r="AR115" t="s">
        <v>445</v>
      </c>
      <c r="AS115" t="str">
        <f>CONCATENATE(AQ115,"_",AR115)</f>
        <v>dsl_Express (Electric)</v>
      </c>
      <c r="AT115" t="s">
        <v>648</v>
      </c>
    </row>
    <row r="116" spans="1:46" x14ac:dyDescent="0.25">
      <c r="A116" t="s">
        <v>650</v>
      </c>
      <c r="B116" t="s">
        <v>651</v>
      </c>
      <c r="C116" t="s">
        <v>193</v>
      </c>
      <c r="E116" t="s">
        <v>372</v>
      </c>
      <c r="F116">
        <v>1959</v>
      </c>
      <c r="G116">
        <v>1961</v>
      </c>
      <c r="H116">
        <v>1990</v>
      </c>
      <c r="J116">
        <v>600</v>
      </c>
      <c r="S116">
        <f>36.6+30.5+36.6</f>
        <v>103.69999999999999</v>
      </c>
      <c r="W116" s="4" t="str">
        <f>IF(AND(S116&gt;0,V116&gt;0),(V116/((S116+T116)*10)),"")</f>
        <v/>
      </c>
      <c r="X116">
        <v>70</v>
      </c>
      <c r="Z116">
        <v>19.510000000000002</v>
      </c>
      <c r="AA116">
        <v>19.510000000000002</v>
      </c>
      <c r="AC116">
        <v>3.87</v>
      </c>
      <c r="AE116" t="str">
        <f>CONCATENATE(VLOOKUP(AF116, 'Voxel Sizes'!$A$2:$B$18,2,FALSE),"x",INT(AB116*15), "x", INT(AC116*15))</f>
        <v>186x0x58</v>
      </c>
      <c r="AF116">
        <f>ROUND(15*((AA116*10)/256),0)</f>
        <v>11</v>
      </c>
      <c r="AH116" t="str">
        <f>CONCATENATE(VLOOKUP(AF116,'Articulated Lengths'!$A$2:$C$16,IF(AG116&lt;&gt;"", 3, 2), FALSE),IF(AG116&lt;&gt;"",CONCATENATE(",",VLOOKUP(AG116,$B$2:$AH$213,33,FALSE)),""))</f>
        <v>3,5,3</v>
      </c>
      <c r="AM116">
        <v>10</v>
      </c>
      <c r="AN116">
        <v>10</v>
      </c>
      <c r="AQ116" t="str">
        <f>VLOOKUP(F116,Eras!$A$2:$C$12, 2, TRUE)</f>
        <v>dsl</v>
      </c>
      <c r="AR116" t="s">
        <v>438</v>
      </c>
      <c r="AS116" t="str">
        <f>CONCATENATE(AQ116,"_",AR116)</f>
        <v>dsl_DMU</v>
      </c>
    </row>
    <row r="117" spans="1:46" x14ac:dyDescent="0.25">
      <c r="A117" t="s">
        <v>126</v>
      </c>
      <c r="B117" t="s">
        <v>258</v>
      </c>
      <c r="C117" t="s">
        <v>193</v>
      </c>
      <c r="E117" t="s">
        <v>372</v>
      </c>
      <c r="F117">
        <v>1959</v>
      </c>
      <c r="W117" s="4" t="str">
        <f>IF(AND(S117&gt;0,V117&gt;0),(V117/((S117+T117)*10)),"")</f>
        <v/>
      </c>
      <c r="AE117" t="str">
        <f>CONCATENATE(VLOOKUP(AF117, 'Voxel Sizes'!$A$2:$B$18,2,FALSE),"x",INT(AB117*15), "x", INT(AC117*15))</f>
        <v>0x0x0</v>
      </c>
      <c r="AF117">
        <f>ROUND(15*((AA117*10)/256),0)</f>
        <v>0</v>
      </c>
      <c r="AH117" t="str">
        <f>CONCATENATE(VLOOKUP(AF117,'Articulated Lengths'!$A$2:$C$16,IF(AG117&lt;&gt;"", 3, 2), FALSE),IF(AG117&lt;&gt;"",CONCATENATE(",",VLOOKUP(AG117,$B$2:$AH$213,33,FALSE)),""))</f>
        <v>na</v>
      </c>
      <c r="AM117">
        <v>10</v>
      </c>
      <c r="AN117">
        <v>10</v>
      </c>
      <c r="AQ117" t="str">
        <f>VLOOKUP(F117,Eras!$A$2:$C$12, 2, TRUE)</f>
        <v>dsl</v>
      </c>
      <c r="AR117" t="s">
        <v>452</v>
      </c>
      <c r="AS117" t="str">
        <f>CONCATENATE(AQ117,"_",AR117)</f>
        <v>dsl_LU</v>
      </c>
    </row>
    <row r="118" spans="1:46" x14ac:dyDescent="0.25">
      <c r="A118" t="s">
        <v>51</v>
      </c>
      <c r="B118" t="s">
        <v>359</v>
      </c>
      <c r="C118" t="s">
        <v>360</v>
      </c>
      <c r="D118" t="s">
        <v>370</v>
      </c>
      <c r="E118" t="s">
        <v>372</v>
      </c>
      <c r="F118">
        <v>1960</v>
      </c>
      <c r="G118">
        <v>1965</v>
      </c>
      <c r="J118">
        <v>1750</v>
      </c>
      <c r="S118">
        <v>102</v>
      </c>
      <c r="V118">
        <v>247</v>
      </c>
      <c r="W118" s="4">
        <f>IF(AND(S118&gt;0,V118&gt;0),(V118/((S118+T118)*10)),"")</f>
        <v>0.24215686274509804</v>
      </c>
      <c r="X118">
        <v>90</v>
      </c>
      <c r="Z118">
        <v>18.75</v>
      </c>
      <c r="AA118">
        <v>18.75</v>
      </c>
      <c r="AB118">
        <v>2.71</v>
      </c>
      <c r="AC118">
        <v>3.89</v>
      </c>
      <c r="AE118" t="str">
        <f>CONCATENATE(VLOOKUP(AF118, 'Voxel Sizes'!$A$2:$B$18,2,FALSE),"x",INT(AB118*15), "x", INT(AC118*15))</f>
        <v>186x40x58</v>
      </c>
      <c r="AF118">
        <f>ROUND(15*((AA118*10)/256),0)</f>
        <v>11</v>
      </c>
      <c r="AH118" t="str">
        <f>CONCATENATE(VLOOKUP(AF118,'Articulated Lengths'!$A$2:$C$16,IF(AG118&lt;&gt;"", 3, 2), FALSE),IF(AG118&lt;&gt;"",CONCATENATE(",",VLOOKUP(AG118,$B$2:$AH$213,33,FALSE)),""))</f>
        <v>3,5,3</v>
      </c>
      <c r="AM118">
        <v>10</v>
      </c>
      <c r="AN118">
        <v>10</v>
      </c>
      <c r="AQ118" t="str">
        <f>VLOOKUP(F118,Eras!$A$2:$C$12, 2, TRUE)</f>
        <v>dsl</v>
      </c>
      <c r="AR118" t="s">
        <v>436</v>
      </c>
      <c r="AS118" t="str">
        <f>CONCATENATE(AQ118,"_",AR118)</f>
        <v>dsl_Freight</v>
      </c>
      <c r="AT118" t="s">
        <v>467</v>
      </c>
    </row>
    <row r="119" spans="1:46" x14ac:dyDescent="0.25">
      <c r="A119" t="s">
        <v>60</v>
      </c>
      <c r="B119" t="s">
        <v>653</v>
      </c>
      <c r="C119" t="s">
        <v>360</v>
      </c>
      <c r="D119" t="s">
        <v>370</v>
      </c>
      <c r="E119" t="s">
        <v>372</v>
      </c>
      <c r="F119">
        <v>1960</v>
      </c>
      <c r="G119">
        <v>1962</v>
      </c>
      <c r="H119">
        <v>1989</v>
      </c>
      <c r="J119">
        <v>2500</v>
      </c>
      <c r="S119">
        <v>135</v>
      </c>
      <c r="V119">
        <v>245</v>
      </c>
      <c r="W119" s="4">
        <f>IF(AND(S119&gt;0,V119&gt;0),(V119/((S119+T119)*10)),"")</f>
        <v>0.18148148148148149</v>
      </c>
      <c r="X119">
        <v>90</v>
      </c>
      <c r="Z119">
        <v>20.7</v>
      </c>
      <c r="AA119">
        <v>20.7</v>
      </c>
      <c r="AC119">
        <v>3.91</v>
      </c>
      <c r="AE119" t="str">
        <f>CONCATENATE(VLOOKUP(AF119, 'Voxel Sizes'!$A$2:$B$18,2,FALSE),"x",INT(AB119*15), "x", INT(AC119*15))</f>
        <v>198x0x58</v>
      </c>
      <c r="AF119">
        <f>ROUND(15*((AA119*10)/256),0)</f>
        <v>12</v>
      </c>
      <c r="AH119" t="str">
        <f>CONCATENATE(VLOOKUP(AF119,'Articulated Lengths'!$A$2:$C$16,IF(AG119&lt;&gt;"", 3, 2), FALSE),IF(AG119&lt;&gt;"",CONCATENATE(",",VLOOKUP(AG119,$B$2:$AH$213,33,FALSE)),""))</f>
        <v>3,6,3</v>
      </c>
      <c r="AM119">
        <v>10</v>
      </c>
      <c r="AN119">
        <v>10</v>
      </c>
      <c r="AQ119" t="str">
        <f>VLOOKUP(F119,Eras!$A$2:$C$12, 2, TRUE)</f>
        <v>dsl</v>
      </c>
      <c r="AR119" t="s">
        <v>435</v>
      </c>
      <c r="AS119" t="str">
        <f>CONCATENATE(AQ119,"_",AR119)</f>
        <v>dsl_Express</v>
      </c>
      <c r="AT119" t="s">
        <v>652</v>
      </c>
    </row>
    <row r="120" spans="1:46" x14ac:dyDescent="0.25">
      <c r="A120" t="s">
        <v>61</v>
      </c>
      <c r="B120" t="s">
        <v>655</v>
      </c>
      <c r="C120" t="s">
        <v>360</v>
      </c>
      <c r="D120" t="s">
        <v>370</v>
      </c>
      <c r="E120" t="s">
        <v>372</v>
      </c>
      <c r="F120">
        <v>1960</v>
      </c>
      <c r="G120">
        <v>1962</v>
      </c>
      <c r="J120">
        <v>1550</v>
      </c>
      <c r="S120">
        <v>74.2</v>
      </c>
      <c r="V120">
        <v>200</v>
      </c>
      <c r="W120" s="4">
        <f>IF(AND(S120&gt;0,V120&gt;0),(V120/((S120+T120)*10)),"")</f>
        <v>0.26954177897574122</v>
      </c>
      <c r="X120">
        <v>85</v>
      </c>
      <c r="Z120">
        <v>15.47</v>
      </c>
      <c r="AA120">
        <v>15.47</v>
      </c>
      <c r="AC120">
        <v>3.86</v>
      </c>
      <c r="AE120" t="str">
        <f>CONCATENATE(VLOOKUP(AF120, 'Voxel Sizes'!$A$2:$B$18,2,FALSE),"x",INT(AB120*15), "x", INT(AC120*15))</f>
        <v>152x0x57</v>
      </c>
      <c r="AF120">
        <f>ROUND(15*((AA120*10)/256),0)</f>
        <v>9</v>
      </c>
      <c r="AH120" t="str">
        <f>CONCATENATE(VLOOKUP(AF120,'Articulated Lengths'!$A$2:$C$16,IF(AG120&lt;&gt;"", 3, 2), FALSE),IF(AG120&lt;&gt;"",CONCATENATE(",",VLOOKUP(AG120,$B$2:$AH$213,33,FALSE)),""))</f>
        <v>2,5,2</v>
      </c>
      <c r="AM120">
        <v>10</v>
      </c>
      <c r="AN120">
        <v>10</v>
      </c>
      <c r="AQ120" t="str">
        <f>VLOOKUP(F120,Eras!$A$2:$C$12, 2, TRUE)</f>
        <v>dsl</v>
      </c>
      <c r="AR120" t="s">
        <v>434</v>
      </c>
      <c r="AS120" t="str">
        <f>CONCATENATE(AQ120,"_",AR120)</f>
        <v>dsl_Mixed Traffic</v>
      </c>
      <c r="AT120" t="s">
        <v>654</v>
      </c>
    </row>
    <row r="121" spans="1:46" x14ac:dyDescent="0.25">
      <c r="A121" t="s">
        <v>170</v>
      </c>
      <c r="B121" t="s">
        <v>318</v>
      </c>
      <c r="C121" t="s">
        <v>522</v>
      </c>
      <c r="D121" t="s">
        <v>370</v>
      </c>
      <c r="E121" t="s">
        <v>372</v>
      </c>
      <c r="F121">
        <v>1960</v>
      </c>
      <c r="H121">
        <v>1973</v>
      </c>
      <c r="I121">
        <v>6</v>
      </c>
      <c r="J121">
        <v>1000</v>
      </c>
      <c r="S121">
        <v>304</v>
      </c>
      <c r="V121">
        <v>155</v>
      </c>
      <c r="W121" s="4">
        <f>IF(AND(S121&gt;0,V121&gt;0),(V121/((S121+T121)*10)),"")</f>
        <v>5.0986842105263157E-2</v>
      </c>
      <c r="X121">
        <v>90</v>
      </c>
      <c r="Z121">
        <v>20.260000000000002</v>
      </c>
      <c r="AA121">
        <v>20</v>
      </c>
      <c r="AB121">
        <v>2.9</v>
      </c>
      <c r="AC121">
        <v>3.77</v>
      </c>
      <c r="AE121" t="str">
        <f>CONCATENATE(VLOOKUP(AF121, 'Voxel Sizes'!$A$2:$B$18,2,FALSE),"x",INT(AB121*15), "x", INT(AC121*15))</f>
        <v>198x43x56</v>
      </c>
      <c r="AF121">
        <f>ROUND(15*((AA121*10)/256),0)</f>
        <v>12</v>
      </c>
      <c r="AH121" t="str">
        <f>CONCATENATE(VLOOKUP(AF121,'Articulated Lengths'!$A$2:$C$16,IF(AG121&lt;&gt;"", 3, 2), FALSE),IF(AG121&lt;&gt;"",CONCATENATE(",",VLOOKUP(AG121,$B$2:$AH$213,33,FALSE)),""))</f>
        <v>3,6,3</v>
      </c>
      <c r="AI121" t="s">
        <v>656</v>
      </c>
      <c r="AJ121" t="s">
        <v>657</v>
      </c>
      <c r="AM121">
        <v>10</v>
      </c>
      <c r="AN121">
        <v>10</v>
      </c>
      <c r="AQ121" t="str">
        <f>VLOOKUP(F121,Eras!$A$2:$C$12, 2, TRUE)</f>
        <v>dsl</v>
      </c>
      <c r="AR121" t="s">
        <v>439</v>
      </c>
      <c r="AS121" t="str">
        <f>CONCATENATE(AQ121,"_",AR121)</f>
        <v>dsl_DMU (Express)</v>
      </c>
      <c r="AT121" t="s">
        <v>658</v>
      </c>
    </row>
    <row r="122" spans="1:46" x14ac:dyDescent="0.25">
      <c r="A122" t="s">
        <v>86</v>
      </c>
      <c r="B122" t="s">
        <v>295</v>
      </c>
      <c r="C122" t="s">
        <v>522</v>
      </c>
      <c r="D122" t="s">
        <v>370</v>
      </c>
      <c r="E122" t="s">
        <v>372</v>
      </c>
      <c r="F122">
        <v>1960</v>
      </c>
      <c r="H122">
        <v>2017</v>
      </c>
      <c r="I122">
        <v>1</v>
      </c>
      <c r="J122">
        <v>300</v>
      </c>
      <c r="S122">
        <v>38</v>
      </c>
      <c r="V122">
        <v>65</v>
      </c>
      <c r="W122" s="4">
        <f>IF(AND(S122&gt;0,V122&gt;0),(V122/((S122+T122)*10)),"")</f>
        <v>0.17105263157894737</v>
      </c>
      <c r="X122">
        <v>70</v>
      </c>
      <c r="Y122">
        <v>1</v>
      </c>
      <c r="Z122">
        <v>19.66</v>
      </c>
      <c r="AA122">
        <v>19.66</v>
      </c>
      <c r="AC122">
        <v>3.77</v>
      </c>
      <c r="AD122">
        <v>66</v>
      </c>
      <c r="AE122" t="str">
        <f>CONCATENATE(VLOOKUP(AF122, 'Voxel Sizes'!$A$2:$B$18,2,FALSE),"x",INT(AB122*15), "x", INT(AC122*15))</f>
        <v>198x0x56</v>
      </c>
      <c r="AF122">
        <f>ROUND(15*((AA122*10)/256),0)</f>
        <v>12</v>
      </c>
      <c r="AH122" t="str">
        <f>CONCATENATE(VLOOKUP(AF122,'Articulated Lengths'!$A$2:$C$16,IF(AG122&lt;&gt;"", 3, 2), FALSE),IF(AG122&lt;&gt;"",CONCATENATE(",",VLOOKUP(AG122,$B$2:$AH$213,33,FALSE)),""))</f>
        <v>3,6,3</v>
      </c>
      <c r="AI122" t="s">
        <v>295</v>
      </c>
      <c r="AJ122">
        <v>1</v>
      </c>
      <c r="AM122">
        <v>10</v>
      </c>
      <c r="AN122">
        <v>10</v>
      </c>
      <c r="AP122" t="s">
        <v>381</v>
      </c>
      <c r="AQ122" t="str">
        <f>VLOOKUP(F122,Eras!$A$2:$C$12, 2, TRUE)</f>
        <v>dsl</v>
      </c>
      <c r="AR122" t="s">
        <v>438</v>
      </c>
      <c r="AS122" t="str">
        <f>CONCATENATE(AQ122,"_",AR122)</f>
        <v>dsl_DMU</v>
      </c>
      <c r="AT122" t="s">
        <v>659</v>
      </c>
    </row>
    <row r="123" spans="1:46" x14ac:dyDescent="0.25">
      <c r="A123" t="s">
        <v>127</v>
      </c>
      <c r="B123" t="s">
        <v>259</v>
      </c>
      <c r="C123" t="s">
        <v>193</v>
      </c>
      <c r="E123" t="s">
        <v>372</v>
      </c>
      <c r="F123">
        <v>1960</v>
      </c>
      <c r="W123" s="4" t="str">
        <f>IF(AND(S123&gt;0,V123&gt;0),(V123/((S123+T123)*10)),"")</f>
        <v/>
      </c>
      <c r="AE123" t="str">
        <f>CONCATENATE(VLOOKUP(AF123, 'Voxel Sizes'!$A$2:$B$18,2,FALSE),"x",INT(AB123*15), "x", INT(AC123*15))</f>
        <v>0x0x0</v>
      </c>
      <c r="AF123">
        <f>ROUND(15*((AA123*10)/256),0)</f>
        <v>0</v>
      </c>
      <c r="AH123" t="str">
        <f>CONCATENATE(VLOOKUP(AF123,'Articulated Lengths'!$A$2:$C$16,IF(AG123&lt;&gt;"", 3, 2), FALSE),IF(AG123&lt;&gt;"",CONCATENATE(",",VLOOKUP(AG123,$B$2:$AH$213,33,FALSE)),""))</f>
        <v>na</v>
      </c>
      <c r="AM123">
        <v>10</v>
      </c>
      <c r="AN123">
        <v>10</v>
      </c>
      <c r="AQ123" t="str">
        <f>VLOOKUP(F123,Eras!$A$2:$C$12, 2, TRUE)</f>
        <v>dsl</v>
      </c>
      <c r="AR123" t="s">
        <v>452</v>
      </c>
      <c r="AS123" t="str">
        <f>CONCATENATE(AQ123,"_",AR123)</f>
        <v>dsl_LU</v>
      </c>
    </row>
    <row r="124" spans="1:46" x14ac:dyDescent="0.25">
      <c r="A124" t="s">
        <v>46</v>
      </c>
      <c r="B124" t="s">
        <v>225</v>
      </c>
      <c r="C124" t="s">
        <v>360</v>
      </c>
      <c r="D124" t="s">
        <v>370</v>
      </c>
      <c r="E124" t="s">
        <v>372</v>
      </c>
      <c r="F124">
        <v>1961</v>
      </c>
      <c r="G124">
        <v>1964</v>
      </c>
      <c r="H124">
        <v>1975</v>
      </c>
      <c r="J124">
        <v>1700</v>
      </c>
      <c r="S124">
        <v>76.2</v>
      </c>
      <c r="V124">
        <v>207</v>
      </c>
      <c r="W124" s="4">
        <f>IF(AND(S124&gt;0,V124&gt;0),(V124/((S124+T124)*10)),"")</f>
        <v>0.27165354330708663</v>
      </c>
      <c r="X124">
        <v>90</v>
      </c>
      <c r="Z124">
        <v>15.76</v>
      </c>
      <c r="AA124">
        <v>15.76</v>
      </c>
      <c r="AC124">
        <v>3.91</v>
      </c>
      <c r="AE124" t="str">
        <f>CONCATENATE(VLOOKUP(AF124, 'Voxel Sizes'!$A$2:$B$18,2,FALSE),"x",INT(AB124*15), "x", INT(AC124*15))</f>
        <v>152x0x58</v>
      </c>
      <c r="AF124">
        <f>ROUND(15*((AA124*10)/256),0)</f>
        <v>9</v>
      </c>
      <c r="AH124" t="str">
        <f>CONCATENATE(VLOOKUP(AF124,'Articulated Lengths'!$A$2:$C$16,IF(AG124&lt;&gt;"", 3, 2), FALSE),IF(AG124&lt;&gt;"",CONCATENATE(",",VLOOKUP(AG124,$B$2:$AH$213,33,FALSE)),""))</f>
        <v>2,5,2</v>
      </c>
      <c r="AM124">
        <v>10</v>
      </c>
      <c r="AN124">
        <v>10</v>
      </c>
      <c r="AQ124" t="str">
        <f>VLOOKUP(F124,Eras!$A$2:$C$12, 2, TRUE)</f>
        <v>dsl</v>
      </c>
      <c r="AR124" t="s">
        <v>434</v>
      </c>
      <c r="AS124" t="str">
        <f>CONCATENATE(AQ124,"_",AR124)</f>
        <v>dsl_Mixed Traffic</v>
      </c>
      <c r="AT124" t="s">
        <v>660</v>
      </c>
    </row>
    <row r="125" spans="1:46" x14ac:dyDescent="0.25">
      <c r="A125" t="s">
        <v>48</v>
      </c>
      <c r="B125" t="s">
        <v>226</v>
      </c>
      <c r="C125" t="s">
        <v>360</v>
      </c>
      <c r="D125" t="s">
        <v>370</v>
      </c>
      <c r="E125" t="s">
        <v>372</v>
      </c>
      <c r="F125">
        <v>1961</v>
      </c>
      <c r="G125">
        <v>1964</v>
      </c>
      <c r="H125">
        <v>1977</v>
      </c>
      <c r="J125">
        <v>2000</v>
      </c>
      <c r="S125">
        <v>110</v>
      </c>
      <c r="V125">
        <v>297</v>
      </c>
      <c r="W125" s="4">
        <f>IF(AND(S125&gt;0,V125&gt;0),(V125/((S125+T125)*10)),"")</f>
        <v>0.27</v>
      </c>
      <c r="X125">
        <v>90</v>
      </c>
      <c r="Z125">
        <v>20.73</v>
      </c>
      <c r="AA125">
        <v>20.73</v>
      </c>
      <c r="AC125">
        <v>3.96</v>
      </c>
      <c r="AE125" t="str">
        <f>CONCATENATE(VLOOKUP(AF125, 'Voxel Sizes'!$A$2:$B$18,2,FALSE),"x",INT(AB125*15), "x", INT(AC125*15))</f>
        <v>198x0x59</v>
      </c>
      <c r="AF125">
        <f>ROUND(15*((AA125*10)/256),0)</f>
        <v>12</v>
      </c>
      <c r="AH125" t="str">
        <f>CONCATENATE(VLOOKUP(AF125,'Articulated Lengths'!$A$2:$C$16,IF(AG125&lt;&gt;"", 3, 2), FALSE),IF(AG125&lt;&gt;"",CONCATENATE(",",VLOOKUP(AG125,$B$2:$AH$213,33,FALSE)),""))</f>
        <v>3,6,3</v>
      </c>
      <c r="AM125">
        <v>10</v>
      </c>
      <c r="AN125">
        <v>10</v>
      </c>
      <c r="AQ125" t="str">
        <f>VLOOKUP(F125,Eras!$A$2:$C$12, 2, TRUE)</f>
        <v>dsl</v>
      </c>
      <c r="AR125" t="s">
        <v>434</v>
      </c>
      <c r="AS125" t="str">
        <f>CONCATENATE(AQ125,"_",AR125)</f>
        <v>dsl_Mixed Traffic</v>
      </c>
      <c r="AT125" t="s">
        <v>661</v>
      </c>
    </row>
    <row r="126" spans="1:46" x14ac:dyDescent="0.25">
      <c r="A126" t="s">
        <v>59</v>
      </c>
      <c r="B126" t="s">
        <v>404</v>
      </c>
      <c r="C126" t="s">
        <v>360</v>
      </c>
      <c r="D126" t="s">
        <v>370</v>
      </c>
      <c r="E126" t="s">
        <v>372</v>
      </c>
      <c r="F126">
        <v>1961</v>
      </c>
      <c r="G126">
        <v>1967</v>
      </c>
      <c r="H126">
        <v>1987</v>
      </c>
      <c r="J126">
        <v>1250</v>
      </c>
      <c r="S126">
        <v>74.2</v>
      </c>
      <c r="V126">
        <v>170</v>
      </c>
      <c r="W126" s="4">
        <f>IF(AND(S126&gt;0,V126&gt;0),(V126/((S126+T126)*10)),"")</f>
        <v>0.22911051212938005</v>
      </c>
      <c r="X126">
        <v>90</v>
      </c>
      <c r="Z126">
        <v>15.39</v>
      </c>
      <c r="AA126">
        <v>15.39</v>
      </c>
      <c r="AC126">
        <v>3.86</v>
      </c>
      <c r="AE126" t="str">
        <f>CONCATENATE(VLOOKUP(AF126, 'Voxel Sizes'!$A$2:$B$18,2,FALSE),"x",INT(AB126*15), "x", INT(AC126*15))</f>
        <v>152x0x57</v>
      </c>
      <c r="AF126">
        <f>ROUND(15*((AA126*10)/256),0)</f>
        <v>9</v>
      </c>
      <c r="AH126" t="str">
        <f>CONCATENATE(VLOOKUP(AF126,'Articulated Lengths'!$A$2:$C$16,IF(AG126&lt;&gt;"", 3, 2), FALSE),IF(AG126&lt;&gt;"",CONCATENATE(",",VLOOKUP(AG126,$B$2:$AH$213,33,FALSE)),""))</f>
        <v>2,5,2</v>
      </c>
      <c r="AM126">
        <v>10</v>
      </c>
      <c r="AN126">
        <v>10</v>
      </c>
      <c r="AQ126" t="str">
        <f>VLOOKUP(F126,Eras!$A$2:$C$12, 2, TRUE)</f>
        <v>dsl</v>
      </c>
      <c r="AR126" t="s">
        <v>436</v>
      </c>
      <c r="AS126" t="str">
        <f>CONCATENATE(AQ126,"_",AR126)</f>
        <v>dsl_Freight</v>
      </c>
      <c r="AT126" t="s">
        <v>662</v>
      </c>
    </row>
    <row r="127" spans="1:46" x14ac:dyDescent="0.25">
      <c r="A127" t="s">
        <v>667</v>
      </c>
      <c r="B127" t="s">
        <v>227</v>
      </c>
      <c r="C127" t="s">
        <v>360</v>
      </c>
      <c r="D127" t="s">
        <v>370</v>
      </c>
      <c r="E127" t="s">
        <v>372</v>
      </c>
      <c r="F127">
        <v>1962</v>
      </c>
      <c r="G127">
        <v>1968</v>
      </c>
      <c r="J127">
        <v>2750</v>
      </c>
      <c r="S127">
        <v>114</v>
      </c>
      <c r="V127">
        <v>245</v>
      </c>
      <c r="W127" s="4">
        <f>IF(AND(S127&gt;0,V127&gt;0),(V127/((S127+T127)*10)),"")</f>
        <v>0.21491228070175439</v>
      </c>
      <c r="X127">
        <v>95</v>
      </c>
      <c r="Z127">
        <v>19.38</v>
      </c>
      <c r="AA127">
        <v>19.38</v>
      </c>
      <c r="AC127">
        <v>3.9</v>
      </c>
      <c r="AE127" t="str">
        <f>CONCATENATE(VLOOKUP(AF127, 'Voxel Sizes'!$A$2:$B$18,2,FALSE),"x",INT(AB127*15), "x", INT(AC127*15))</f>
        <v>186x0x58</v>
      </c>
      <c r="AF127">
        <f>ROUND(15*((AA127*10)/256),0)</f>
        <v>11</v>
      </c>
      <c r="AH127" t="str">
        <f>CONCATENATE(VLOOKUP(AF127,'Articulated Lengths'!$A$2:$C$16,IF(AG127&lt;&gt;"", 3, 2), FALSE),IF(AG127&lt;&gt;"",CONCATENATE(",",VLOOKUP(AG127,$B$2:$AH$213,33,FALSE)),""))</f>
        <v>3,5,3</v>
      </c>
      <c r="AM127">
        <v>10</v>
      </c>
      <c r="AN127">
        <v>10</v>
      </c>
      <c r="AQ127" t="str">
        <f>VLOOKUP(F127,Eras!$A$2:$C$12, 2, TRUE)</f>
        <v>dsl</v>
      </c>
      <c r="AR127" t="s">
        <v>436</v>
      </c>
      <c r="AS127" t="str">
        <f>CONCATENATE(AQ127,"_",AR127)</f>
        <v>dsl_Freight</v>
      </c>
      <c r="AT127" t="s">
        <v>666</v>
      </c>
    </row>
    <row r="128" spans="1:46" x14ac:dyDescent="0.25">
      <c r="A128" t="s">
        <v>64</v>
      </c>
      <c r="B128" t="s">
        <v>228</v>
      </c>
      <c r="C128" t="s">
        <v>360</v>
      </c>
      <c r="D128" t="s">
        <v>370</v>
      </c>
      <c r="E128" t="s">
        <v>372</v>
      </c>
      <c r="F128">
        <v>1962</v>
      </c>
      <c r="G128">
        <v>1965</v>
      </c>
      <c r="H128">
        <v>1971</v>
      </c>
      <c r="J128">
        <v>900</v>
      </c>
      <c r="S128">
        <v>69</v>
      </c>
      <c r="V128">
        <v>178</v>
      </c>
      <c r="W128" s="4">
        <f>IF(AND(S128&gt;0,V128&gt;0),(V128/((S128+T128)*10)),"")</f>
        <v>0.25797101449275361</v>
      </c>
      <c r="X128">
        <v>60</v>
      </c>
      <c r="Z128">
        <v>15.4</v>
      </c>
      <c r="AA128">
        <v>15.4</v>
      </c>
      <c r="AC128">
        <v>3.86</v>
      </c>
      <c r="AE128" t="str">
        <f>CONCATENATE(VLOOKUP(AF128, 'Voxel Sizes'!$A$2:$B$18,2,FALSE),"x",INT(AB128*15), "x", INT(AC128*15))</f>
        <v>152x0x57</v>
      </c>
      <c r="AF128">
        <f>ROUND(15*((AA128*10)/256),0)</f>
        <v>9</v>
      </c>
      <c r="AH128" t="str">
        <f>CONCATENATE(VLOOKUP(AF128,'Articulated Lengths'!$A$2:$C$16,IF(AG128&lt;&gt;"", 3, 2), FALSE),IF(AG128&lt;&gt;"",CONCATENATE(",",VLOOKUP(AG128,$B$2:$AH$213,33,FALSE)),""))</f>
        <v>2,5,2</v>
      </c>
      <c r="AM128">
        <v>10</v>
      </c>
      <c r="AN128">
        <v>10</v>
      </c>
      <c r="AQ128" t="str">
        <f>VLOOKUP(F128,Eras!$A$2:$C$12, 2, TRUE)</f>
        <v>dsl</v>
      </c>
      <c r="AR128" t="s">
        <v>433</v>
      </c>
      <c r="AS128" t="str">
        <f>CONCATENATE(AQ128,"_",AR128)</f>
        <v>dsl_Cheap</v>
      </c>
      <c r="AT128" t="s">
        <v>668</v>
      </c>
    </row>
    <row r="129" spans="1:46" x14ac:dyDescent="0.25">
      <c r="A129" t="s">
        <v>63</v>
      </c>
      <c r="B129" t="s">
        <v>669</v>
      </c>
      <c r="C129" t="s">
        <v>360</v>
      </c>
      <c r="D129" t="s">
        <v>370</v>
      </c>
      <c r="E129" t="s">
        <v>372</v>
      </c>
      <c r="F129">
        <v>1964</v>
      </c>
      <c r="G129">
        <v>1965</v>
      </c>
      <c r="H129">
        <v>1984</v>
      </c>
      <c r="J129">
        <v>650</v>
      </c>
      <c r="S129">
        <v>48.5</v>
      </c>
      <c r="V129">
        <v>137</v>
      </c>
      <c r="W129" s="4">
        <f>IF(AND(S129&gt;0,V129&gt;0),(V129/((S129+T129)*10)),"")</f>
        <v>0.28247422680412371</v>
      </c>
      <c r="X129">
        <v>40</v>
      </c>
      <c r="Z129">
        <v>10.3</v>
      </c>
      <c r="AA129">
        <v>10.3</v>
      </c>
      <c r="AE129" t="str">
        <f>CONCATENATE(VLOOKUP(AF129, 'Voxel Sizes'!$A$2:$B$18,2,FALSE),"x",INT(AB129*15), "x", INT(AC129*15))</f>
        <v>102x0x0</v>
      </c>
      <c r="AF129">
        <f>ROUND(15*((AA129*10)/256),0)</f>
        <v>6</v>
      </c>
      <c r="AH129" t="str">
        <f>CONCATENATE(VLOOKUP(AF129,'Articulated Lengths'!$A$2:$C$16,IF(AG129&lt;&gt;"", 3, 2), FALSE),IF(AG129&lt;&gt;"",CONCATENATE(",",VLOOKUP(AG129,$B$2:$AH$213,33,FALSE)),""))</f>
        <v>2,2,2</v>
      </c>
      <c r="AL129">
        <v>1</v>
      </c>
      <c r="AM129">
        <v>10</v>
      </c>
      <c r="AN129">
        <v>10</v>
      </c>
      <c r="AQ129" t="str">
        <f>VLOOKUP(F129,Eras!$A$2:$C$12, 2, TRUE)</f>
        <v>dsl</v>
      </c>
      <c r="AR129" t="s">
        <v>433</v>
      </c>
      <c r="AS129" t="str">
        <f>CONCATENATE(AQ129,"_",AR129)</f>
        <v>dsl_Cheap</v>
      </c>
      <c r="AT129" t="s">
        <v>670</v>
      </c>
    </row>
    <row r="130" spans="1:46" x14ac:dyDescent="0.25">
      <c r="A130" t="s">
        <v>65</v>
      </c>
      <c r="B130" t="s">
        <v>345</v>
      </c>
      <c r="C130" t="s">
        <v>193</v>
      </c>
      <c r="D130" t="s">
        <v>671</v>
      </c>
      <c r="E130" t="s">
        <v>372</v>
      </c>
      <c r="F130">
        <v>1965</v>
      </c>
      <c r="G130">
        <v>1967</v>
      </c>
      <c r="J130">
        <v>1420</v>
      </c>
      <c r="K130">
        <v>600</v>
      </c>
      <c r="S130">
        <v>76.3</v>
      </c>
      <c r="V130">
        <v>186</v>
      </c>
      <c r="W130" s="4">
        <f>IF(AND(S130&gt;0,V130&gt;0),(V130/((S130+T130)*10)),"")</f>
        <v>0.24377457404980341</v>
      </c>
      <c r="X130">
        <v>80</v>
      </c>
      <c r="Z130">
        <v>16.36</v>
      </c>
      <c r="AA130">
        <v>16.36</v>
      </c>
      <c r="AE130" t="str">
        <f>CONCATENATE(VLOOKUP(AF130, 'Voxel Sizes'!$A$2:$B$18,2,FALSE),"x",INT(AB130*15), "x", INT(AC130*15))</f>
        <v>164x0x0</v>
      </c>
      <c r="AF130">
        <f>ROUND(15*((AA130*10)/256),0)</f>
        <v>10</v>
      </c>
      <c r="AH130" t="str">
        <f>CONCATENATE(VLOOKUP(AF130,'Articulated Lengths'!$A$2:$C$16,IF(AG130&lt;&gt;"", 3, 2), FALSE),IF(AG130&lt;&gt;"",CONCATENATE(",",VLOOKUP(AG130,$B$2:$AH$213,33,FALSE)),""))</f>
        <v>3,4,3</v>
      </c>
      <c r="AM130">
        <v>10</v>
      </c>
      <c r="AN130">
        <v>10</v>
      </c>
      <c r="AQ130" t="str">
        <f>VLOOKUP(F130,Eras!$A$2:$C$12, 2, TRUE)</f>
        <v>gen2</v>
      </c>
      <c r="AS130" t="str">
        <f>CONCATENATE(AQ130,"_",AR130)</f>
        <v>gen2_</v>
      </c>
      <c r="AT130" t="s">
        <v>673</v>
      </c>
    </row>
    <row r="131" spans="1:46" x14ac:dyDescent="0.25">
      <c r="A131" t="s">
        <v>72</v>
      </c>
      <c r="B131" t="s">
        <v>346</v>
      </c>
      <c r="C131" t="s">
        <v>360</v>
      </c>
      <c r="D131" t="s">
        <v>394</v>
      </c>
      <c r="E131" t="s">
        <v>395</v>
      </c>
      <c r="F131">
        <v>1965</v>
      </c>
      <c r="G131">
        <v>1966</v>
      </c>
      <c r="J131">
        <v>3600</v>
      </c>
      <c r="S131">
        <v>82</v>
      </c>
      <c r="V131">
        <v>267</v>
      </c>
      <c r="W131" s="4">
        <f>IF(AND(S131&gt;0,V131&gt;0),(V131/((S131+T131)*10)),"")</f>
        <v>0.32560975609756099</v>
      </c>
      <c r="X131">
        <v>100</v>
      </c>
      <c r="Z131">
        <v>17.829999999999998</v>
      </c>
      <c r="AA131">
        <v>17.829999999999998</v>
      </c>
      <c r="AC131">
        <v>3.77</v>
      </c>
      <c r="AE131" t="str">
        <f>CONCATENATE(VLOOKUP(AF131, 'Voxel Sizes'!$A$2:$B$18,2,FALSE),"x",INT(AB131*15), "x", INT(AC131*15))</f>
        <v>164x0x56</v>
      </c>
      <c r="AF131">
        <f>ROUND(15*((AA131*10)/256),0)</f>
        <v>10</v>
      </c>
      <c r="AH131" t="str">
        <f>CONCATENATE(VLOOKUP(AF131,'Articulated Lengths'!$A$2:$C$16,IF(AG131&lt;&gt;"", 3, 2), FALSE),IF(AG131&lt;&gt;"",CONCATENATE(",",VLOOKUP(AG131,$B$2:$AH$213,33,FALSE)),""))</f>
        <v>3,4,3</v>
      </c>
      <c r="AM131">
        <v>10</v>
      </c>
      <c r="AN131">
        <v>10</v>
      </c>
      <c r="AQ131" t="str">
        <f>VLOOKUP(F131,Eras!$A$2:$C$12, 2, TRUE)</f>
        <v>gen2</v>
      </c>
      <c r="AR131" t="s">
        <v>445</v>
      </c>
      <c r="AS131" t="str">
        <f>CONCATENATE(AQ131,"_",AR131)</f>
        <v>gen2_Express (Electric)</v>
      </c>
      <c r="AT131" t="s">
        <v>649</v>
      </c>
    </row>
    <row r="132" spans="1:46" x14ac:dyDescent="0.25">
      <c r="A132" t="s">
        <v>54</v>
      </c>
      <c r="B132" t="s">
        <v>229</v>
      </c>
      <c r="C132" t="s">
        <v>193</v>
      </c>
      <c r="E132" t="s">
        <v>372</v>
      </c>
      <c r="F132">
        <v>1967</v>
      </c>
      <c r="G132">
        <v>1968</v>
      </c>
      <c r="J132">
        <v>2700</v>
      </c>
      <c r="S132">
        <v>117</v>
      </c>
      <c r="V132">
        <v>216</v>
      </c>
      <c r="W132" s="4">
        <f>IF(AND(S132&gt;0,V132&gt;0),(V132/((S132+T132)*10)),"")</f>
        <v>0.18461538461538463</v>
      </c>
      <c r="X132">
        <v>100</v>
      </c>
      <c r="Z132">
        <v>20.88</v>
      </c>
      <c r="AA132">
        <v>20.88</v>
      </c>
      <c r="AC132">
        <v>3.89</v>
      </c>
      <c r="AE132" t="str">
        <f>CONCATENATE(VLOOKUP(AF132, 'Voxel Sizes'!$A$2:$B$18,2,FALSE),"x",INT(AB132*15), "x", INT(AC132*15))</f>
        <v>198x0x58</v>
      </c>
      <c r="AF132">
        <f>ROUND(15*((AA132*10)/256),0)</f>
        <v>12</v>
      </c>
      <c r="AH132" t="str">
        <f>CONCATENATE(VLOOKUP(AF132,'Articulated Lengths'!$A$2:$C$16,IF(AG132&lt;&gt;"", 3, 2), FALSE),IF(AG132&lt;&gt;"",CONCATENATE(",",VLOOKUP(AG132,$B$2:$AH$213,33,FALSE)),""))</f>
        <v>3,6,3</v>
      </c>
      <c r="AM132">
        <v>10</v>
      </c>
      <c r="AN132">
        <v>10</v>
      </c>
      <c r="AQ132" t="str">
        <f>VLOOKUP(F132,Eras!$A$2:$C$12, 2, TRUE)</f>
        <v>gen2</v>
      </c>
      <c r="AS132" t="str">
        <f>CONCATENATE(AQ132,"_",AR132)</f>
        <v>gen2_</v>
      </c>
    </row>
    <row r="133" spans="1:46" x14ac:dyDescent="0.25">
      <c r="A133" t="s">
        <v>128</v>
      </c>
      <c r="B133" t="s">
        <v>260</v>
      </c>
      <c r="C133" t="s">
        <v>193</v>
      </c>
      <c r="E133" t="s">
        <v>372</v>
      </c>
      <c r="F133">
        <v>1967</v>
      </c>
      <c r="W133" s="4" t="str">
        <f>IF(AND(S133&gt;0,V133&gt;0),(V133/((S133+T133)*10)),"")</f>
        <v/>
      </c>
      <c r="AE133" t="str">
        <f>CONCATENATE(VLOOKUP(AF133, 'Voxel Sizes'!$A$2:$B$18,2,FALSE),"x",INT(AB133*15), "x", INT(AC133*15))</f>
        <v>0x0x0</v>
      </c>
      <c r="AF133">
        <f>ROUND(15*((AA133*10)/256),0)</f>
        <v>0</v>
      </c>
      <c r="AH133" t="str">
        <f>CONCATENATE(VLOOKUP(AF133,'Articulated Lengths'!$A$2:$C$16,IF(AG133&lt;&gt;"", 3, 2), FALSE),IF(AG133&lt;&gt;"",CONCATENATE(",",VLOOKUP(AG133,$B$2:$AH$213,33,FALSE)),""))</f>
        <v>na</v>
      </c>
      <c r="AM133">
        <v>10</v>
      </c>
      <c r="AN133">
        <v>10</v>
      </c>
      <c r="AQ133" t="str">
        <f>VLOOKUP(F133,Eras!$A$2:$C$12, 2, TRUE)</f>
        <v>gen2</v>
      </c>
      <c r="AR133" t="s">
        <v>452</v>
      </c>
      <c r="AS133" t="str">
        <f>CONCATENATE(AQ133,"_",AR133)</f>
        <v>gen2_LU</v>
      </c>
    </row>
    <row r="134" spans="1:46" x14ac:dyDescent="0.25">
      <c r="A134" t="s">
        <v>129</v>
      </c>
      <c r="B134" t="s">
        <v>261</v>
      </c>
      <c r="C134" t="s">
        <v>193</v>
      </c>
      <c r="E134" t="s">
        <v>372</v>
      </c>
      <c r="F134">
        <v>1969</v>
      </c>
      <c r="W134" s="4" t="str">
        <f>IF(AND(S134&gt;0,V134&gt;0),(V134/((S134+T134)*10)),"")</f>
        <v/>
      </c>
      <c r="AE134" t="str">
        <f>CONCATENATE(VLOOKUP(AF134, 'Voxel Sizes'!$A$2:$B$18,2,FALSE),"x",INT(AB134*15), "x", INT(AC134*15))</f>
        <v>0x0x0</v>
      </c>
      <c r="AF134">
        <f>ROUND(15*((AA134*10)/256),0)</f>
        <v>0</v>
      </c>
      <c r="AH134" t="str">
        <f>CONCATENATE(VLOOKUP(AF134,'Articulated Lengths'!$A$2:$C$16,IF(AG134&lt;&gt;"", 3, 2), FALSE),IF(AG134&lt;&gt;"",CONCATENATE(",",VLOOKUP(AG134,$B$2:$AH$213,33,FALSE)),""))</f>
        <v>na</v>
      </c>
      <c r="AM134">
        <v>10</v>
      </c>
      <c r="AN134">
        <v>10</v>
      </c>
      <c r="AQ134" t="str">
        <f>VLOOKUP(F134,Eras!$A$2:$C$12, 2, TRUE)</f>
        <v>gen2</v>
      </c>
      <c r="AR134" t="s">
        <v>452</v>
      </c>
      <c r="AS134" t="str">
        <f>CONCATENATE(AQ134,"_",AR134)</f>
        <v>gen2_LU</v>
      </c>
    </row>
    <row r="135" spans="1:46" x14ac:dyDescent="0.25">
      <c r="A135" t="s">
        <v>73</v>
      </c>
      <c r="B135" t="s">
        <v>230</v>
      </c>
      <c r="C135" t="s">
        <v>193</v>
      </c>
      <c r="E135" t="s">
        <v>372</v>
      </c>
      <c r="F135">
        <v>1973</v>
      </c>
      <c r="G135">
        <v>1975</v>
      </c>
      <c r="J135">
        <v>5000</v>
      </c>
      <c r="S135">
        <v>81</v>
      </c>
      <c r="V135">
        <v>258</v>
      </c>
      <c r="W135" s="4">
        <f>IF(AND(S135&gt;0,V135&gt;0),(V135/((S135+T135)*10)),"")</f>
        <v>0.31851851851851853</v>
      </c>
      <c r="X135">
        <v>110</v>
      </c>
      <c r="Z135">
        <v>17.829999999999998</v>
      </c>
      <c r="AA135">
        <v>17.829999999999998</v>
      </c>
      <c r="AC135">
        <v>3.77</v>
      </c>
      <c r="AE135" t="str">
        <f>CONCATENATE(VLOOKUP(AF135, 'Voxel Sizes'!$A$2:$B$18,2,FALSE),"x",INT(AB135*15), "x", INT(AC135*15))</f>
        <v>164x0x56</v>
      </c>
      <c r="AF135">
        <f>ROUND(15*((AA135*10)/256),0)</f>
        <v>10</v>
      </c>
      <c r="AH135" t="str">
        <f>CONCATENATE(VLOOKUP(AF135,'Articulated Lengths'!$A$2:$C$16,IF(AG135&lt;&gt;"", 3, 2), FALSE),IF(AG135&lt;&gt;"",CONCATENATE(",",VLOOKUP(AG135,$B$2:$AH$213,33,FALSE)),""))</f>
        <v>3,4,3</v>
      </c>
      <c r="AM135">
        <v>10</v>
      </c>
      <c r="AN135">
        <v>10</v>
      </c>
      <c r="AQ135" t="str">
        <f>VLOOKUP(F135,Eras!$A$2:$C$12, 2, TRUE)</f>
        <v>gen2</v>
      </c>
      <c r="AS135" t="str">
        <f>CONCATENATE(AQ135,"_",AR135)</f>
        <v>gen2_</v>
      </c>
    </row>
    <row r="136" spans="1:46" x14ac:dyDescent="0.25">
      <c r="A136" t="s">
        <v>130</v>
      </c>
      <c r="B136" t="s">
        <v>262</v>
      </c>
      <c r="C136" t="s">
        <v>193</v>
      </c>
      <c r="E136" t="s">
        <v>372</v>
      </c>
      <c r="F136">
        <v>1973</v>
      </c>
      <c r="W136" s="4" t="str">
        <f>IF(AND(S136&gt;0,V136&gt;0),(V136/((S136+T136)*10)),"")</f>
        <v/>
      </c>
      <c r="AE136" t="str">
        <f>CONCATENATE(VLOOKUP(AF136, 'Voxel Sizes'!$A$2:$B$18,2,FALSE),"x",INT(AB136*15), "x", INT(AC136*15))</f>
        <v>0x0x0</v>
      </c>
      <c r="AF136">
        <f>ROUND(15*((AA136*10)/256),0)</f>
        <v>0</v>
      </c>
      <c r="AH136" t="str">
        <f>CONCATENATE(VLOOKUP(AF136,'Articulated Lengths'!$A$2:$C$16,IF(AG136&lt;&gt;"", 3, 2), FALSE),IF(AG136&lt;&gt;"",CONCATENATE(",",VLOOKUP(AG136,$B$2:$AH$213,33,FALSE)),""))</f>
        <v>na</v>
      </c>
      <c r="AM136">
        <v>10</v>
      </c>
      <c r="AN136">
        <v>10</v>
      </c>
      <c r="AQ136" t="str">
        <f>VLOOKUP(F136,Eras!$A$2:$C$12, 2, TRUE)</f>
        <v>gen2</v>
      </c>
      <c r="AR136" t="s">
        <v>452</v>
      </c>
      <c r="AS136" t="str">
        <f>CONCATENATE(AQ136,"_",AR136)</f>
        <v>gen2_LU</v>
      </c>
    </row>
    <row r="137" spans="1:46" x14ac:dyDescent="0.25">
      <c r="A137" t="s">
        <v>45</v>
      </c>
      <c r="B137" t="s">
        <v>405</v>
      </c>
      <c r="C137" t="s">
        <v>360</v>
      </c>
      <c r="D137" t="s">
        <v>370</v>
      </c>
      <c r="E137" t="s">
        <v>372</v>
      </c>
      <c r="F137">
        <v>1975</v>
      </c>
      <c r="G137">
        <v>1982</v>
      </c>
      <c r="J137">
        <v>1770</v>
      </c>
      <c r="S137">
        <v>70.25</v>
      </c>
      <c r="V137">
        <v>160</v>
      </c>
      <c r="W137" s="4">
        <f>IF(AND(S137&gt;0,V137&gt;0),(V137/((S137+T137)*10)),"")</f>
        <v>0.22775800711743771</v>
      </c>
      <c r="X137">
        <v>125</v>
      </c>
      <c r="Z137">
        <v>17.79</v>
      </c>
      <c r="AA137">
        <v>17.79</v>
      </c>
      <c r="AE137" t="str">
        <f>CONCATENATE(VLOOKUP(AF137, 'Voxel Sizes'!$A$2:$B$18,2,FALSE),"x",INT(AB137*15), "x", INT(AC137*15))</f>
        <v>164x0x0</v>
      </c>
      <c r="AF137">
        <f>ROUND(15*((AA137*10)/256),0)</f>
        <v>10</v>
      </c>
      <c r="AH137" t="str">
        <f>CONCATENATE(VLOOKUP(AF137,'Articulated Lengths'!$A$2:$C$16,IF(AG137&lt;&gt;"", 3, 2), FALSE),IF(AG137&lt;&gt;"",CONCATENATE(",",VLOOKUP(AG137,$B$2:$AH$213,33,FALSE)),""))</f>
        <v>3,4,3</v>
      </c>
      <c r="AM137">
        <v>10</v>
      </c>
      <c r="AN137">
        <v>10</v>
      </c>
      <c r="AO137">
        <v>1</v>
      </c>
      <c r="AQ137" t="str">
        <f>VLOOKUP(F137,Eras!$A$2:$C$12, 2, TRUE)</f>
        <v>gen3</v>
      </c>
      <c r="AR137" t="s">
        <v>435</v>
      </c>
      <c r="AS137" t="str">
        <f>CONCATENATE(AQ137,"_",AR137)</f>
        <v>gen3_Express</v>
      </c>
      <c r="AT137" t="s">
        <v>473</v>
      </c>
    </row>
    <row r="138" spans="1:46" x14ac:dyDescent="0.25">
      <c r="A138" t="s">
        <v>144</v>
      </c>
      <c r="B138" t="s">
        <v>357</v>
      </c>
      <c r="C138" t="s">
        <v>379</v>
      </c>
      <c r="E138" t="s">
        <v>372</v>
      </c>
      <c r="F138">
        <v>1975</v>
      </c>
      <c r="S138">
        <v>34</v>
      </c>
      <c r="U138">
        <v>9</v>
      </c>
      <c r="W138" s="4" t="str">
        <f>IF(AND(S138&gt;0,V138&gt;0),(V138/((S138+T138)*10)),"")</f>
        <v/>
      </c>
      <c r="X138">
        <v>125</v>
      </c>
      <c r="Z138">
        <v>23</v>
      </c>
      <c r="AA138">
        <v>23</v>
      </c>
      <c r="AB138">
        <v>2.82</v>
      </c>
      <c r="AC138">
        <v>3.79</v>
      </c>
      <c r="AD138">
        <v>72</v>
      </c>
      <c r="AE138" t="str">
        <f>CONCATENATE(VLOOKUP(AF138, 'Voxel Sizes'!$A$2:$B$18,2,FALSE),"x",INT(AB138*15), "x", INT(AC138*15))</f>
        <v>221x42x56</v>
      </c>
      <c r="AF138">
        <f>ROUND(15*((AA138*10)/256),0)</f>
        <v>13</v>
      </c>
      <c r="AH138" t="str">
        <f>CONCATENATE(VLOOKUP(AF138,'Articulated Lengths'!$A$2:$C$16,IF(AG138&lt;&gt;"", 3, 2), FALSE),IF(AG138&lt;&gt;"",CONCATENATE(",",VLOOKUP(AG138,$B$2:$AH$213,33,FALSE)),""))</f>
        <v>4,5,4</v>
      </c>
      <c r="AM138">
        <v>10</v>
      </c>
      <c r="AN138">
        <v>10</v>
      </c>
      <c r="AP138" t="s">
        <v>381</v>
      </c>
      <c r="AQ138" t="str">
        <f>VLOOKUP(F138,Eras!$A$2:$C$12, 2, TRUE)</f>
        <v>gen3</v>
      </c>
      <c r="AR138" t="s">
        <v>442</v>
      </c>
      <c r="AS138" t="str">
        <f>CONCATENATE(AQ138,"_",AR138)</f>
        <v>gen3_Carriage</v>
      </c>
      <c r="AT138" t="s">
        <v>469</v>
      </c>
    </row>
    <row r="139" spans="1:46" x14ac:dyDescent="0.25">
      <c r="A139" t="s">
        <v>166</v>
      </c>
      <c r="B139" t="s">
        <v>231</v>
      </c>
      <c r="C139" t="s">
        <v>193</v>
      </c>
      <c r="E139" t="s">
        <v>372</v>
      </c>
      <c r="F139">
        <v>1976</v>
      </c>
      <c r="G139">
        <v>1984</v>
      </c>
      <c r="J139">
        <v>3250</v>
      </c>
      <c r="S139">
        <v>125</v>
      </c>
      <c r="V139">
        <v>275</v>
      </c>
      <c r="W139" s="4">
        <f>IF(AND(S139&gt;0,V139&gt;0),(V139/((S139+T139)*10)),"")</f>
        <v>0.22</v>
      </c>
      <c r="X139">
        <v>80</v>
      </c>
      <c r="Z139">
        <v>19.350000000000001</v>
      </c>
      <c r="AA139">
        <v>19.350000000000001</v>
      </c>
      <c r="AC139">
        <v>3.89</v>
      </c>
      <c r="AE139" t="str">
        <f>CONCATENATE(VLOOKUP(AF139, 'Voxel Sizes'!$A$2:$B$18,2,FALSE),"x",INT(AB139*15), "x", INT(AC139*15))</f>
        <v>186x0x58</v>
      </c>
      <c r="AF139">
        <f>ROUND(15*((AA139*10)/256),0)</f>
        <v>11</v>
      </c>
      <c r="AH139" t="str">
        <f>CONCATENATE(VLOOKUP(AF139,'Articulated Lengths'!$A$2:$C$16,IF(AG139&lt;&gt;"", 3, 2), FALSE),IF(AG139&lt;&gt;"",CONCATENATE(",",VLOOKUP(AG139,$B$2:$AH$213,33,FALSE)),""))</f>
        <v>3,5,3</v>
      </c>
      <c r="AM139">
        <v>10</v>
      </c>
      <c r="AN139">
        <v>10</v>
      </c>
      <c r="AQ139" t="str">
        <f>VLOOKUP(F139,Eras!$A$2:$C$12, 2, TRUE)</f>
        <v>gen3</v>
      </c>
      <c r="AS139" t="str">
        <f>CONCATENATE(AQ139,"_",AR139)</f>
        <v>gen3_</v>
      </c>
    </row>
    <row r="140" spans="1:46" x14ac:dyDescent="0.25">
      <c r="A140" t="s">
        <v>94</v>
      </c>
      <c r="B140" t="s">
        <v>244</v>
      </c>
      <c r="C140" t="s">
        <v>193</v>
      </c>
      <c r="E140" t="s">
        <v>372</v>
      </c>
      <c r="F140">
        <v>1976</v>
      </c>
      <c r="G140">
        <v>1977</v>
      </c>
      <c r="H140" t="s">
        <v>176</v>
      </c>
      <c r="I140">
        <v>3</v>
      </c>
      <c r="J140">
        <v>880</v>
      </c>
      <c r="S140">
        <v>104.5</v>
      </c>
      <c r="W140" s="4" t="str">
        <f>IF(AND(S140&gt;0,V140&gt;0),(V140/((S140+T140)*10)),"")</f>
        <v/>
      </c>
      <c r="X140">
        <v>75</v>
      </c>
      <c r="Z140">
        <v>20.329999999999998</v>
      </c>
      <c r="AA140">
        <v>20.329999999999998</v>
      </c>
      <c r="AC140">
        <v>3.58</v>
      </c>
      <c r="AD140">
        <v>232</v>
      </c>
      <c r="AE140" t="str">
        <f>CONCATENATE(VLOOKUP(AF140, 'Voxel Sizes'!$A$2:$B$18,2,FALSE),"x",INT(AB140*15), "x", INT(AC140*15))</f>
        <v>198x0x53</v>
      </c>
      <c r="AF140">
        <f>ROUND(15*((AA140*10)/256),0)</f>
        <v>12</v>
      </c>
      <c r="AH140" t="str">
        <f>CONCATENATE(VLOOKUP(AF140,'Articulated Lengths'!$A$2:$C$16,IF(AG140&lt;&gt;"", 3, 2), FALSE),IF(AG140&lt;&gt;"",CONCATENATE(",",VLOOKUP(AG140,$B$2:$AH$213,33,FALSE)),""))</f>
        <v>3,6,3</v>
      </c>
      <c r="AM140">
        <v>10</v>
      </c>
      <c r="AN140">
        <v>10</v>
      </c>
      <c r="AQ140" t="str">
        <f>VLOOKUP(F140,Eras!$A$2:$C$12, 2, TRUE)</f>
        <v>gen3</v>
      </c>
      <c r="AR140" t="s">
        <v>440</v>
      </c>
      <c r="AS140" t="str">
        <f>CONCATENATE(AQ140,"_",AR140)</f>
        <v>gen3_EMU</v>
      </c>
    </row>
    <row r="141" spans="1:46" x14ac:dyDescent="0.25">
      <c r="A141" t="s">
        <v>131</v>
      </c>
      <c r="B141" t="s">
        <v>263</v>
      </c>
      <c r="C141" t="s">
        <v>193</v>
      </c>
      <c r="E141" t="s">
        <v>372</v>
      </c>
      <c r="F141">
        <v>1978</v>
      </c>
      <c r="W141" s="4" t="str">
        <f>IF(AND(S141&gt;0,V141&gt;0),(V141/((S141+T141)*10)),"")</f>
        <v/>
      </c>
      <c r="AE141" t="str">
        <f>CONCATENATE(VLOOKUP(AF141, 'Voxel Sizes'!$A$2:$B$18,2,FALSE),"x",INT(AB141*15), "x", INT(AC141*15))</f>
        <v>0x0x0</v>
      </c>
      <c r="AF141">
        <f>ROUND(15*((AA141*10)/256),0)</f>
        <v>0</v>
      </c>
      <c r="AH141" t="str">
        <f>CONCATENATE(VLOOKUP(AF141,'Articulated Lengths'!$A$2:$C$16,IF(AG141&lt;&gt;"", 3, 2), FALSE),IF(AG141&lt;&gt;"",CONCATENATE(",",VLOOKUP(AG141,$B$2:$AH$213,33,FALSE)),""))</f>
        <v>na</v>
      </c>
      <c r="AM141">
        <v>10</v>
      </c>
      <c r="AN141">
        <v>10</v>
      </c>
      <c r="AQ141" t="str">
        <f>VLOOKUP(F141,Eras!$A$2:$C$12, 2, TRUE)</f>
        <v>gen3</v>
      </c>
      <c r="AR141" t="s">
        <v>452</v>
      </c>
      <c r="AS141" t="str">
        <f>CONCATENATE(AQ141,"_",AR141)</f>
        <v>gen3_LU</v>
      </c>
    </row>
    <row r="142" spans="1:46" x14ac:dyDescent="0.25">
      <c r="A142" t="s">
        <v>93</v>
      </c>
      <c r="B142" t="s">
        <v>243</v>
      </c>
      <c r="C142" t="s">
        <v>193</v>
      </c>
      <c r="E142" t="s">
        <v>372</v>
      </c>
      <c r="F142">
        <v>1980</v>
      </c>
      <c r="G142">
        <v>1981</v>
      </c>
      <c r="H142" t="s">
        <v>176</v>
      </c>
      <c r="I142">
        <v>4</v>
      </c>
      <c r="J142">
        <v>880</v>
      </c>
      <c r="S142">
        <v>127.5</v>
      </c>
      <c r="W142" s="4" t="str">
        <f>IF(AND(S142&gt;0,V142&gt;0),(V142/((S142+T142)*10)),"")</f>
        <v/>
      </c>
      <c r="X142">
        <v>75</v>
      </c>
      <c r="Z142">
        <v>19.8</v>
      </c>
      <c r="AA142">
        <v>19.8</v>
      </c>
      <c r="AC142">
        <v>3.58</v>
      </c>
      <c r="AD142">
        <v>318</v>
      </c>
      <c r="AE142" t="str">
        <f>CONCATENATE(VLOOKUP(AF142, 'Voxel Sizes'!$A$2:$B$18,2,FALSE),"x",INT(AB142*15), "x", INT(AC142*15))</f>
        <v>198x0x53</v>
      </c>
      <c r="AF142">
        <f>ROUND(15*((AA142*10)/256),0)</f>
        <v>12</v>
      </c>
      <c r="AH142" t="str">
        <f>CONCATENATE(VLOOKUP(AF142,'Articulated Lengths'!$A$2:$C$16,IF(AG142&lt;&gt;"", 3, 2), FALSE),IF(AG142&lt;&gt;"",CONCATENATE(",",VLOOKUP(AG142,$B$2:$AH$213,33,FALSE)),""))</f>
        <v>3,6,3</v>
      </c>
      <c r="AM142">
        <v>10</v>
      </c>
      <c r="AN142">
        <v>10</v>
      </c>
      <c r="AQ142" t="str">
        <f>VLOOKUP(F142,Eras!$A$2:$C$12, 2, TRUE)</f>
        <v>gen3</v>
      </c>
      <c r="AR142" t="s">
        <v>440</v>
      </c>
      <c r="AS142" t="str">
        <f>CONCATENATE(AQ142,"_",AR142)</f>
        <v>gen3_EMU</v>
      </c>
    </row>
    <row r="143" spans="1:46" x14ac:dyDescent="0.25">
      <c r="A143" t="s">
        <v>55</v>
      </c>
      <c r="B143" t="s">
        <v>232</v>
      </c>
      <c r="C143" t="s">
        <v>193</v>
      </c>
      <c r="E143" t="s">
        <v>372</v>
      </c>
      <c r="F143">
        <v>1983</v>
      </c>
      <c r="G143">
        <v>1987</v>
      </c>
      <c r="J143">
        <v>3300</v>
      </c>
      <c r="S143">
        <v>130</v>
      </c>
      <c r="V143">
        <v>267</v>
      </c>
      <c r="W143" s="4">
        <f>IF(AND(S143&gt;0,V143&gt;0),(V143/((S143+T143)*10)),"")</f>
        <v>0.20538461538461539</v>
      </c>
      <c r="X143">
        <v>80</v>
      </c>
      <c r="Z143">
        <v>19.13</v>
      </c>
      <c r="AA143">
        <v>19.13</v>
      </c>
      <c r="AC143">
        <v>3.91</v>
      </c>
      <c r="AE143" t="str">
        <f>CONCATENATE(VLOOKUP(AF143, 'Voxel Sizes'!$A$2:$B$18,2,FALSE),"x",INT(AB143*15), "x", INT(AC143*15))</f>
        <v>186x0x58</v>
      </c>
      <c r="AF143">
        <f>ROUND(15*((AA143*10)/256),0)</f>
        <v>11</v>
      </c>
      <c r="AH143" t="str">
        <f>CONCATENATE(VLOOKUP(AF143,'Articulated Lengths'!$A$2:$C$16,IF(AG143&lt;&gt;"", 3, 2), FALSE),IF(AG143&lt;&gt;"",CONCATENATE(",",VLOOKUP(AG143,$B$2:$AH$213,33,FALSE)),""))</f>
        <v>3,5,3</v>
      </c>
      <c r="AM143">
        <v>10</v>
      </c>
      <c r="AN143">
        <v>10</v>
      </c>
      <c r="AQ143" t="str">
        <f>VLOOKUP(F143,Eras!$A$2:$C$12, 2, TRUE)</f>
        <v>gen3</v>
      </c>
      <c r="AS143" t="str">
        <f>CONCATENATE(AQ143,"_",AR143)</f>
        <v>gen3_</v>
      </c>
    </row>
    <row r="144" spans="1:46" x14ac:dyDescent="0.25">
      <c r="A144" t="s">
        <v>132</v>
      </c>
      <c r="B144" t="s">
        <v>264</v>
      </c>
      <c r="C144" t="s">
        <v>193</v>
      </c>
      <c r="E144" t="s">
        <v>372</v>
      </c>
      <c r="F144">
        <v>1983</v>
      </c>
      <c r="W144" s="4" t="str">
        <f>IF(AND(S144&gt;0,V144&gt;0),(V144/((S144+T144)*10)),"")</f>
        <v/>
      </c>
      <c r="AE144" t="str">
        <f>CONCATENATE(VLOOKUP(AF144, 'Voxel Sizes'!$A$2:$B$18,2,FALSE),"x",INT(AB144*15), "x", INT(AC144*15))</f>
        <v>0x0x0</v>
      </c>
      <c r="AF144">
        <f>ROUND(15*((AA144*10)/256),0)</f>
        <v>0</v>
      </c>
      <c r="AH144" t="str">
        <f>CONCATENATE(VLOOKUP(AF144,'Articulated Lengths'!$A$2:$C$16,IF(AG144&lt;&gt;"", 3, 2), FALSE),IF(AG144&lt;&gt;"",CONCATENATE(",",VLOOKUP(AG144,$B$2:$AH$213,33,FALSE)),""))</f>
        <v>na</v>
      </c>
      <c r="AM144">
        <v>10</v>
      </c>
      <c r="AN144">
        <v>10</v>
      </c>
      <c r="AQ144" t="str">
        <f>VLOOKUP(F144,Eras!$A$2:$C$12, 2, TRUE)</f>
        <v>gen3</v>
      </c>
      <c r="AR144" t="s">
        <v>452</v>
      </c>
      <c r="AS144" t="str">
        <f>CONCATENATE(AQ144,"_",AR144)</f>
        <v>gen3_LU</v>
      </c>
    </row>
    <row r="145" spans="1:45" x14ac:dyDescent="0.25">
      <c r="A145" t="s">
        <v>44</v>
      </c>
      <c r="B145" t="s">
        <v>233</v>
      </c>
      <c r="C145" t="s">
        <v>193</v>
      </c>
      <c r="E145" t="s">
        <v>372</v>
      </c>
      <c r="F145">
        <v>1985</v>
      </c>
      <c r="G145">
        <v>1995</v>
      </c>
      <c r="J145">
        <v>3300</v>
      </c>
      <c r="S145">
        <v>126</v>
      </c>
      <c r="V145">
        <v>508</v>
      </c>
      <c r="W145" s="4">
        <f>IF(AND(S145&gt;0,V145&gt;0),(V145/((S145+T145)*10)),"")</f>
        <v>0.40317460317460319</v>
      </c>
      <c r="X145">
        <v>75</v>
      </c>
      <c r="Z145">
        <v>21.4</v>
      </c>
      <c r="AA145">
        <v>21.4</v>
      </c>
      <c r="AC145">
        <v>3.91</v>
      </c>
      <c r="AE145" t="str">
        <f>CONCATENATE(VLOOKUP(AF145, 'Voxel Sizes'!$A$2:$B$18,2,FALSE),"x",INT(AB145*15), "x", INT(AC145*15))</f>
        <v>221x0x58</v>
      </c>
      <c r="AF145">
        <f>ROUND(15*((AA145*10)/256),0)</f>
        <v>13</v>
      </c>
      <c r="AH145" t="str">
        <f>CONCATENATE(VLOOKUP(AF145,'Articulated Lengths'!$A$2:$C$16,IF(AG145&lt;&gt;"", 3, 2), FALSE),IF(AG145&lt;&gt;"",CONCATENATE(",",VLOOKUP(AG145,$B$2:$AH$213,33,FALSE)),""))</f>
        <v>4,5,4</v>
      </c>
      <c r="AM145">
        <v>10</v>
      </c>
      <c r="AN145">
        <v>10</v>
      </c>
      <c r="AQ145" t="str">
        <f>VLOOKUP(F145,Eras!$A$2:$C$12, 2, TRUE)</f>
        <v>gen4</v>
      </c>
      <c r="AS145" t="str">
        <f>CONCATENATE(AQ145,"_",AR145)</f>
        <v>gen4_</v>
      </c>
    </row>
    <row r="146" spans="1:45" x14ac:dyDescent="0.25">
      <c r="A146" t="s">
        <v>79</v>
      </c>
      <c r="B146" t="s">
        <v>234</v>
      </c>
      <c r="C146" t="s">
        <v>193</v>
      </c>
      <c r="E146" t="s">
        <v>372</v>
      </c>
      <c r="F146">
        <v>1987</v>
      </c>
      <c r="G146">
        <v>1990</v>
      </c>
      <c r="J146">
        <v>5000</v>
      </c>
      <c r="S146">
        <v>84.5</v>
      </c>
      <c r="V146">
        <v>258</v>
      </c>
      <c r="W146" s="4">
        <f>IF(AND(S146&gt;0,V146&gt;0),(V146/((S146+T146)*10)),"")</f>
        <v>0.30532544378698223</v>
      </c>
      <c r="X146">
        <v>110</v>
      </c>
      <c r="Z146">
        <v>18.75</v>
      </c>
      <c r="AA146">
        <v>18.75</v>
      </c>
      <c r="AC146">
        <v>3.96</v>
      </c>
      <c r="AE146" t="str">
        <f>CONCATENATE(VLOOKUP(AF146, 'Voxel Sizes'!$A$2:$B$18,2,FALSE),"x",INT(AB146*15), "x", INT(AC146*15))</f>
        <v>186x0x59</v>
      </c>
      <c r="AF146">
        <f>ROUND(15*((AA146*10)/256),0)</f>
        <v>11</v>
      </c>
      <c r="AH146" t="str">
        <f>CONCATENATE(VLOOKUP(AF146,'Articulated Lengths'!$A$2:$C$16,IF(AG146&lt;&gt;"", 3, 2), FALSE),IF(AG146&lt;&gt;"",CONCATENATE(",",VLOOKUP(AG146,$B$2:$AH$213,33,FALSE)),""))</f>
        <v>3,5,3</v>
      </c>
      <c r="AM146">
        <v>10</v>
      </c>
      <c r="AN146">
        <v>10</v>
      </c>
      <c r="AQ146" t="str">
        <f>VLOOKUP(F146,Eras!$A$2:$C$12, 2, TRUE)</f>
        <v>gen4</v>
      </c>
      <c r="AS146" t="str">
        <f>CONCATENATE(AQ146,"_",AR146)</f>
        <v>gen4_</v>
      </c>
    </row>
    <row r="147" spans="1:45" x14ac:dyDescent="0.25">
      <c r="A147" t="s">
        <v>92</v>
      </c>
      <c r="B147" t="s">
        <v>242</v>
      </c>
      <c r="C147" t="s">
        <v>193</v>
      </c>
      <c r="E147" t="s">
        <v>372</v>
      </c>
      <c r="F147">
        <v>1987</v>
      </c>
      <c r="G147">
        <v>1990</v>
      </c>
      <c r="I147">
        <v>4</v>
      </c>
      <c r="J147">
        <f>4*332</f>
        <v>1328</v>
      </c>
      <c r="S147">
        <v>140.30000000000001</v>
      </c>
      <c r="W147" s="4" t="str">
        <f>IF(AND(S147&gt;0,V147&gt;0),(V147/((S147+T147)*10)),"")</f>
        <v/>
      </c>
      <c r="X147">
        <v>100</v>
      </c>
      <c r="Z147">
        <v>19.829999999999998</v>
      </c>
      <c r="AA147">
        <v>19.829999999999998</v>
      </c>
      <c r="AC147">
        <v>3.58</v>
      </c>
      <c r="AE147" t="str">
        <f>CONCATENATE(VLOOKUP(AF147, 'Voxel Sizes'!$A$2:$B$18,2,FALSE),"x",INT(AB147*15), "x", INT(AC147*15))</f>
        <v>198x0x53</v>
      </c>
      <c r="AF147">
        <f>ROUND(15*((AA147*10)/256),0)</f>
        <v>12</v>
      </c>
      <c r="AH147" t="str">
        <f>CONCATENATE(VLOOKUP(AF147,'Articulated Lengths'!$A$2:$C$16,IF(AG147&lt;&gt;"", 3, 2), FALSE),IF(AG147&lt;&gt;"",CONCATENATE(",",VLOOKUP(AG147,$B$2:$AH$213,33,FALSE)),""))</f>
        <v>3,6,3</v>
      </c>
      <c r="AM147">
        <v>10</v>
      </c>
      <c r="AN147">
        <v>10</v>
      </c>
      <c r="AQ147" t="str">
        <f>VLOOKUP(F147,Eras!$A$2:$C$12, 2, TRUE)</f>
        <v>gen4</v>
      </c>
      <c r="AR147" t="s">
        <v>440</v>
      </c>
      <c r="AS147" t="str">
        <f>CONCATENATE(AQ147,"_",AR147)</f>
        <v>gen4_EMU</v>
      </c>
    </row>
    <row r="148" spans="1:45" x14ac:dyDescent="0.25">
      <c r="A148" t="s">
        <v>77</v>
      </c>
      <c r="B148" t="s">
        <v>317</v>
      </c>
      <c r="C148" t="s">
        <v>193</v>
      </c>
      <c r="E148" t="s">
        <v>372</v>
      </c>
      <c r="F148">
        <v>1988</v>
      </c>
      <c r="G148">
        <v>1991</v>
      </c>
      <c r="J148">
        <v>6480</v>
      </c>
      <c r="S148">
        <v>81.5</v>
      </c>
      <c r="V148">
        <v>190</v>
      </c>
      <c r="W148" s="4">
        <f>IF(AND(S148&gt;0,V148&gt;0),(V148/((S148+T148)*10)),"")</f>
        <v>0.23312883435582821</v>
      </c>
      <c r="X148">
        <v>140</v>
      </c>
      <c r="Z148">
        <v>19.399999999999999</v>
      </c>
      <c r="AA148">
        <v>19.399999999999999</v>
      </c>
      <c r="AE148" t="str">
        <f>CONCATENATE(VLOOKUP(AF148, 'Voxel Sizes'!$A$2:$B$18,2,FALSE),"x",INT(AB148*15), "x", INT(AC148*15))</f>
        <v>186x0x0</v>
      </c>
      <c r="AF148">
        <f>ROUND(15*((AA148*10)/256),0)</f>
        <v>11</v>
      </c>
      <c r="AH148" t="str">
        <f>CONCATENATE(VLOOKUP(AF148,'Articulated Lengths'!$A$2:$C$16,IF(AG148&lt;&gt;"", 3, 2), FALSE),IF(AG148&lt;&gt;"",CONCATENATE(",",VLOOKUP(AG148,$B$2:$AH$213,33,FALSE)),""))</f>
        <v>3,5,3</v>
      </c>
      <c r="AM148">
        <v>10</v>
      </c>
      <c r="AN148">
        <v>10</v>
      </c>
      <c r="AQ148" t="str">
        <f>VLOOKUP(F148,Eras!$A$2:$C$12, 2, TRUE)</f>
        <v>gen4</v>
      </c>
      <c r="AR148" t="s">
        <v>445</v>
      </c>
      <c r="AS148" t="str">
        <f>CONCATENATE(AQ148,"_",AR148)</f>
        <v>gen4_Express (Electric)</v>
      </c>
    </row>
    <row r="149" spans="1:45" x14ac:dyDescent="0.25">
      <c r="A149" t="s">
        <v>89</v>
      </c>
      <c r="B149" t="s">
        <v>324</v>
      </c>
      <c r="C149" t="s">
        <v>193</v>
      </c>
      <c r="E149" t="s">
        <v>372</v>
      </c>
      <c r="F149">
        <v>1992</v>
      </c>
      <c r="G149">
        <v>1994</v>
      </c>
      <c r="H149" t="s">
        <v>176</v>
      </c>
      <c r="J149">
        <v>1608</v>
      </c>
      <c r="S149">
        <v>136</v>
      </c>
      <c r="W149" s="4" t="str">
        <f>IF(AND(S149&gt;0,V149&gt;0),(V149/((S149+T149)*10)),"")</f>
        <v/>
      </c>
      <c r="X149">
        <v>75</v>
      </c>
      <c r="Z149">
        <v>20.89</v>
      </c>
      <c r="AA149">
        <v>20.89</v>
      </c>
      <c r="AC149">
        <v>3.77</v>
      </c>
      <c r="AD149">
        <v>348</v>
      </c>
      <c r="AE149" t="str">
        <f>CONCATENATE(VLOOKUP(AF149, 'Voxel Sizes'!$A$2:$B$18,2,FALSE),"x",INT(AB149*15), "x", INT(AC149*15))</f>
        <v>198x0x56</v>
      </c>
      <c r="AF149">
        <f>ROUND(15*((AA149*10)/256),0)</f>
        <v>12</v>
      </c>
      <c r="AH149" t="str">
        <f>CONCATENATE(VLOOKUP(AF149,'Articulated Lengths'!$A$2:$C$16,IF(AG149&lt;&gt;"", 3, 2), FALSE),IF(AG149&lt;&gt;"",CONCATENATE(",",VLOOKUP(AG149,$B$2:$AH$213,33,FALSE)),""))</f>
        <v>3,6,3</v>
      </c>
      <c r="AM149">
        <v>10</v>
      </c>
      <c r="AN149">
        <v>10</v>
      </c>
      <c r="AQ149" t="str">
        <f>VLOOKUP(F149,Eras!$A$2:$C$12, 2, TRUE)</f>
        <v>gen4</v>
      </c>
      <c r="AS149" t="str">
        <f>CONCATENATE(AQ149,"_",AR149)</f>
        <v>gen4_</v>
      </c>
    </row>
    <row r="150" spans="1:45" x14ac:dyDescent="0.25">
      <c r="A150" t="s">
        <v>133</v>
      </c>
      <c r="B150" t="s">
        <v>265</v>
      </c>
      <c r="C150" t="s">
        <v>193</v>
      </c>
      <c r="E150" t="s">
        <v>372</v>
      </c>
      <c r="F150">
        <v>1992</v>
      </c>
      <c r="W150" s="4" t="str">
        <f>IF(AND(S150&gt;0,V150&gt;0),(V150/((S150+T150)*10)),"")</f>
        <v/>
      </c>
      <c r="AE150" t="str">
        <f>CONCATENATE(VLOOKUP(AF150, 'Voxel Sizes'!$A$2:$B$18,2,FALSE),"x",INT(AB150*15), "x", INT(AC150*15))</f>
        <v>0x0x0</v>
      </c>
      <c r="AF150">
        <f>ROUND(15*((AA150*10)/256),0)</f>
        <v>0</v>
      </c>
      <c r="AH150" t="str">
        <f>CONCATENATE(VLOOKUP(AF150,'Articulated Lengths'!$A$2:$C$16,IF(AG150&lt;&gt;"", 3, 2), FALSE),IF(AG150&lt;&gt;"",CONCATENATE(",",VLOOKUP(AG150,$B$2:$AH$213,33,FALSE)),""))</f>
        <v>na</v>
      </c>
      <c r="AM150">
        <v>10</v>
      </c>
      <c r="AN150">
        <v>10</v>
      </c>
      <c r="AQ150" t="str">
        <f>VLOOKUP(F150,Eras!$A$2:$C$12, 2, TRUE)</f>
        <v>gen4</v>
      </c>
      <c r="AR150" t="s">
        <v>452</v>
      </c>
      <c r="AS150" t="str">
        <f>CONCATENATE(AQ150,"_",AR150)</f>
        <v>gen4_LU</v>
      </c>
    </row>
    <row r="151" spans="1:45" x14ac:dyDescent="0.25">
      <c r="A151" t="s">
        <v>78</v>
      </c>
      <c r="B151" t="s">
        <v>235</v>
      </c>
      <c r="C151" t="s">
        <v>193</v>
      </c>
      <c r="E151" t="s">
        <v>372</v>
      </c>
      <c r="F151">
        <v>1993</v>
      </c>
      <c r="G151">
        <v>1996</v>
      </c>
      <c r="J151">
        <v>6760</v>
      </c>
      <c r="S151">
        <v>126</v>
      </c>
      <c r="V151">
        <v>360</v>
      </c>
      <c r="W151" s="4">
        <f>IF(AND(S151&gt;0,V151&gt;0),(V151/((S151+T151)*10)),"")</f>
        <v>0.2857142857142857</v>
      </c>
      <c r="X151">
        <v>87</v>
      </c>
      <c r="Z151">
        <v>21.36</v>
      </c>
      <c r="AA151">
        <v>21.36</v>
      </c>
      <c r="AE151" t="str">
        <f>CONCATENATE(VLOOKUP(AF151, 'Voxel Sizes'!$A$2:$B$18,2,FALSE),"x",INT(AB151*15), "x", INT(AC151*15))</f>
        <v>221x0x0</v>
      </c>
      <c r="AF151">
        <f>ROUND(15*((AA151*10)/256),0)</f>
        <v>13</v>
      </c>
      <c r="AH151" t="str">
        <f>CONCATENATE(VLOOKUP(AF151,'Articulated Lengths'!$A$2:$C$16,IF(AG151&lt;&gt;"", 3, 2), FALSE),IF(AG151&lt;&gt;"",CONCATENATE(",",VLOOKUP(AG151,$B$2:$AH$213,33,FALSE)),""))</f>
        <v>4,5,4</v>
      </c>
      <c r="AM151">
        <v>10</v>
      </c>
      <c r="AN151">
        <v>10</v>
      </c>
      <c r="AQ151" t="str">
        <f>VLOOKUP(F151,Eras!$A$2:$C$12, 2, TRUE)</f>
        <v>gen4</v>
      </c>
      <c r="AS151" t="str">
        <f>CONCATENATE(AQ151,"_",AR151)</f>
        <v>gen4_</v>
      </c>
    </row>
    <row r="152" spans="1:45" x14ac:dyDescent="0.25">
      <c r="A152" t="s">
        <v>134</v>
      </c>
      <c r="B152" t="s">
        <v>309</v>
      </c>
      <c r="C152" t="s">
        <v>193</v>
      </c>
      <c r="E152" t="s">
        <v>372</v>
      </c>
      <c r="F152">
        <v>1995</v>
      </c>
      <c r="W152" s="4" t="str">
        <f>IF(AND(S152&gt;0,V152&gt;0),(V152/((S152+T152)*10)),"")</f>
        <v/>
      </c>
      <c r="AE152" t="str">
        <f>CONCATENATE(VLOOKUP(AF152, 'Voxel Sizes'!$A$2:$B$18,2,FALSE),"x",INT(AB152*15), "x", INT(AC152*15))</f>
        <v>0x0x0</v>
      </c>
      <c r="AF152">
        <f>ROUND(15*((AA152*10)/256),0)</f>
        <v>0</v>
      </c>
      <c r="AH152" t="str">
        <f>CONCATENATE(VLOOKUP(AF152,'Articulated Lengths'!$A$2:$C$16,IF(AG152&lt;&gt;"", 3, 2), FALSE),IF(AG152&lt;&gt;"",CONCATENATE(",",VLOOKUP(AG152,$B$2:$AH$213,33,FALSE)),""))</f>
        <v>na</v>
      </c>
      <c r="AM152">
        <v>10</v>
      </c>
      <c r="AN152">
        <v>10</v>
      </c>
      <c r="AQ152" t="str">
        <f>VLOOKUP(F152,Eras!$A$2:$C$12, 2, TRUE)</f>
        <v>prv</v>
      </c>
      <c r="AR152" t="s">
        <v>452</v>
      </c>
      <c r="AS152" t="str">
        <f>CONCATENATE(AQ152,"_",AR152)</f>
        <v>prv_LU</v>
      </c>
    </row>
    <row r="153" spans="1:45" x14ac:dyDescent="0.25">
      <c r="A153" t="s">
        <v>56</v>
      </c>
      <c r="B153" t="s">
        <v>236</v>
      </c>
      <c r="C153" t="s">
        <v>193</v>
      </c>
      <c r="E153" t="s">
        <v>372</v>
      </c>
      <c r="F153">
        <v>1998</v>
      </c>
      <c r="G153">
        <v>2015</v>
      </c>
      <c r="J153">
        <v>3300</v>
      </c>
      <c r="S153">
        <v>129.6</v>
      </c>
      <c r="V153">
        <v>409</v>
      </c>
      <c r="W153" s="4">
        <f>IF(AND(S153&gt;0,V153&gt;0),(V153/((S153+T153)*10)),"")</f>
        <v>0.31558641975308643</v>
      </c>
      <c r="X153">
        <v>75</v>
      </c>
      <c r="Z153">
        <v>21.4</v>
      </c>
      <c r="AA153">
        <v>21.4</v>
      </c>
      <c r="AC153">
        <v>3.9</v>
      </c>
      <c r="AE153" t="str">
        <f>CONCATENATE(VLOOKUP(AF153, 'Voxel Sizes'!$A$2:$B$18,2,FALSE),"x",INT(AB153*15), "x", INT(AC153*15))</f>
        <v>221x0x58</v>
      </c>
      <c r="AF153">
        <f>ROUND(15*((AA153*10)/256),0)</f>
        <v>13</v>
      </c>
      <c r="AH153" t="str">
        <f>CONCATENATE(VLOOKUP(AF153,'Articulated Lengths'!$A$2:$C$16,IF(AG153&lt;&gt;"", 3, 2), FALSE),IF(AG153&lt;&gt;"",CONCATENATE(",",VLOOKUP(AG153,$B$2:$AH$213,33,FALSE)),""))</f>
        <v>4,5,4</v>
      </c>
      <c r="AM153">
        <v>10</v>
      </c>
      <c r="AN153">
        <v>10</v>
      </c>
      <c r="AQ153" t="str">
        <f>VLOOKUP(F153,Eras!$A$2:$C$12, 2, TRUE)</f>
        <v>prv</v>
      </c>
      <c r="AS153" t="str">
        <f>CONCATENATE(AQ153,"_",AR153)</f>
        <v>prv_</v>
      </c>
    </row>
    <row r="154" spans="1:45" x14ac:dyDescent="0.25">
      <c r="A154" t="s">
        <v>172</v>
      </c>
      <c r="B154" t="s">
        <v>316</v>
      </c>
      <c r="C154" t="s">
        <v>193</v>
      </c>
      <c r="E154" t="s">
        <v>372</v>
      </c>
      <c r="F154">
        <v>1998</v>
      </c>
      <c r="G154">
        <v>2004</v>
      </c>
      <c r="J154">
        <v>3000</v>
      </c>
      <c r="S154">
        <v>120.6</v>
      </c>
      <c r="V154">
        <v>250</v>
      </c>
      <c r="W154" s="4">
        <f>IF(AND(S154&gt;0,V154&gt;0),(V154/((S154+T154)*10)),"")</f>
        <v>0.20729684908789386</v>
      </c>
      <c r="X154">
        <v>95</v>
      </c>
      <c r="Z154">
        <v>19.38</v>
      </c>
      <c r="AA154">
        <v>19.38</v>
      </c>
      <c r="AC154">
        <v>3.9</v>
      </c>
      <c r="AE154" t="str">
        <f>CONCATENATE(VLOOKUP(AF154, 'Voxel Sizes'!$A$2:$B$18,2,FALSE),"x",INT(AB154*15), "x", INT(AC154*15))</f>
        <v>186x0x58</v>
      </c>
      <c r="AF154">
        <f>ROUND(15*((AA154*10)/256),0)</f>
        <v>11</v>
      </c>
      <c r="AH154" t="str">
        <f>CONCATENATE(VLOOKUP(AF154,'Articulated Lengths'!$A$2:$C$16,IF(AG154&lt;&gt;"", 3, 2), FALSE),IF(AG154&lt;&gt;"",CONCATENATE(",",VLOOKUP(AG154,$B$2:$AH$213,33,FALSE)),""))</f>
        <v>3,5,3</v>
      </c>
      <c r="AM154">
        <v>10</v>
      </c>
      <c r="AN154">
        <v>10</v>
      </c>
      <c r="AQ154" t="str">
        <f>VLOOKUP(F154,Eras!$A$2:$C$12, 2, TRUE)</f>
        <v>prv</v>
      </c>
      <c r="AR154" t="s">
        <v>436</v>
      </c>
      <c r="AS154" t="str">
        <f>CONCATENATE(AQ154,"_",AR154)</f>
        <v>prv_Freight</v>
      </c>
    </row>
    <row r="155" spans="1:45" x14ac:dyDescent="0.25">
      <c r="A155" t="s">
        <v>57</v>
      </c>
      <c r="B155" t="s">
        <v>237</v>
      </c>
      <c r="C155" t="s">
        <v>193</v>
      </c>
      <c r="E155" t="s">
        <v>372</v>
      </c>
      <c r="F155">
        <v>1999</v>
      </c>
      <c r="G155">
        <v>2000</v>
      </c>
      <c r="J155">
        <v>3200</v>
      </c>
      <c r="S155">
        <v>88</v>
      </c>
      <c r="V155">
        <v>144</v>
      </c>
      <c r="W155" s="4">
        <f>IF(AND(S155&gt;0,V155&gt;0),(V155/((S155+T155)*10)),"")</f>
        <v>0.16363636363636364</v>
      </c>
      <c r="X155">
        <v>125</v>
      </c>
      <c r="Z155">
        <v>19.71</v>
      </c>
      <c r="AA155">
        <v>19.71</v>
      </c>
      <c r="AC155">
        <v>3.93</v>
      </c>
      <c r="AE155" t="str">
        <f>CONCATENATE(VLOOKUP(AF155, 'Voxel Sizes'!$A$2:$B$18,2,FALSE),"x",INT(AB155*15), "x", INT(AC155*15))</f>
        <v>198x0x58</v>
      </c>
      <c r="AF155">
        <f>ROUND(15*((AA155*10)/256),0)</f>
        <v>12</v>
      </c>
      <c r="AH155" t="str">
        <f>CONCATENATE(VLOOKUP(AF155,'Articulated Lengths'!$A$2:$C$16,IF(AG155&lt;&gt;"", 3, 2), FALSE),IF(AG155&lt;&gt;"",CONCATENATE(",",VLOOKUP(AG155,$B$2:$AH$213,33,FALSE)),""))</f>
        <v>3,6,3</v>
      </c>
      <c r="AM155">
        <v>10</v>
      </c>
      <c r="AN155">
        <v>10</v>
      </c>
      <c r="AQ155" t="str">
        <f>VLOOKUP(F155,Eras!$A$2:$C$12, 2, TRUE)</f>
        <v>prv</v>
      </c>
      <c r="AS155" t="str">
        <f>CONCATENATE(AQ155,"_",AR155)</f>
        <v>prv_</v>
      </c>
    </row>
    <row r="156" spans="1:45" x14ac:dyDescent="0.25">
      <c r="A156" t="s">
        <v>90</v>
      </c>
      <c r="B156" t="s">
        <v>325</v>
      </c>
      <c r="C156" t="s">
        <v>193</v>
      </c>
      <c r="E156" t="s">
        <v>372</v>
      </c>
      <c r="F156">
        <v>2000</v>
      </c>
      <c r="G156">
        <v>2001</v>
      </c>
      <c r="H156">
        <v>2012</v>
      </c>
      <c r="I156">
        <v>8</v>
      </c>
      <c r="J156">
        <v>3620</v>
      </c>
      <c r="W156" s="4" t="str">
        <f>IF(AND(S156&gt;0,V156&gt;0),(V156/((S156+T156)*10)),"")</f>
        <v/>
      </c>
      <c r="X156">
        <v>100</v>
      </c>
      <c r="AE156" t="str">
        <f>CONCATENATE(VLOOKUP(AF156, 'Voxel Sizes'!$A$2:$B$18,2,FALSE),"x",INT(AB156*15), "x", INT(AC156*15))</f>
        <v>0x0x0</v>
      </c>
      <c r="AF156">
        <f>ROUND(15*((AA156*10)/256),0)</f>
        <v>0</v>
      </c>
      <c r="AH156" t="str">
        <f>CONCATENATE(VLOOKUP(AF156,'Articulated Lengths'!$A$2:$C$16,IF(AG156&lt;&gt;"", 3, 2), FALSE),IF(AG156&lt;&gt;"",CONCATENATE(",",VLOOKUP(AG156,$B$2:$AH$213,33,FALSE)),""))</f>
        <v>na</v>
      </c>
      <c r="AM156">
        <v>10</v>
      </c>
      <c r="AN156">
        <v>10</v>
      </c>
      <c r="AQ156" t="str">
        <f>VLOOKUP(F156,Eras!$A$2:$C$12, 2, TRUE)</f>
        <v>prv</v>
      </c>
      <c r="AR156" t="s">
        <v>441</v>
      </c>
      <c r="AS156" t="str">
        <f>CONCATENATE(AQ156,"_",AR156)</f>
        <v>prv_EMU (Express)</v>
      </c>
    </row>
    <row r="157" spans="1:45" x14ac:dyDescent="0.25">
      <c r="A157" t="s">
        <v>88</v>
      </c>
      <c r="B157" t="s">
        <v>296</v>
      </c>
      <c r="C157" t="s">
        <v>193</v>
      </c>
      <c r="E157" t="s">
        <v>372</v>
      </c>
      <c r="F157">
        <v>2003</v>
      </c>
      <c r="J157">
        <v>1600</v>
      </c>
      <c r="S157">
        <v>173.6</v>
      </c>
      <c r="W157" s="4" t="str">
        <f>IF(AND(S157&gt;0,V157&gt;0),(V157/((S157+T157)*10)),"")</f>
        <v/>
      </c>
      <c r="X157">
        <v>100</v>
      </c>
      <c r="Z157">
        <v>20.399999999999999</v>
      </c>
      <c r="AA157">
        <v>20.399999999999999</v>
      </c>
      <c r="AC157">
        <v>3.78</v>
      </c>
      <c r="AE157" t="str">
        <f>CONCATENATE(VLOOKUP(AF157, 'Voxel Sizes'!$A$2:$B$18,2,FALSE),"x",INT(AB157*15), "x", INT(AC157*15))</f>
        <v>198x0x56</v>
      </c>
      <c r="AF157">
        <f>ROUND(15*((AA157*10)/256),0)</f>
        <v>12</v>
      </c>
      <c r="AH157" t="str">
        <f>CONCATENATE(VLOOKUP(AF157,'Articulated Lengths'!$A$2:$C$16,IF(AG157&lt;&gt;"", 3, 2), FALSE),IF(AG157&lt;&gt;"",CONCATENATE(",",VLOOKUP(AG157,$B$2:$AH$213,33,FALSE)),""))</f>
        <v>3,6,3</v>
      </c>
      <c r="AM157">
        <v>10</v>
      </c>
      <c r="AN157">
        <v>10</v>
      </c>
      <c r="AQ157" t="str">
        <f>VLOOKUP(F157,Eras!$A$2:$C$12, 2, TRUE)</f>
        <v>prv</v>
      </c>
      <c r="AR157" t="s">
        <v>440</v>
      </c>
      <c r="AS157" t="str">
        <f>CONCATENATE(AQ157,"_",AR157)</f>
        <v>prv_EMU</v>
      </c>
    </row>
    <row r="158" spans="1:45" x14ac:dyDescent="0.25">
      <c r="A158" t="s">
        <v>91</v>
      </c>
      <c r="B158" t="s">
        <v>326</v>
      </c>
      <c r="C158" t="s">
        <v>193</v>
      </c>
      <c r="E158" t="s">
        <v>372</v>
      </c>
      <c r="F158">
        <v>2007</v>
      </c>
      <c r="G158">
        <v>2009</v>
      </c>
      <c r="H158" t="s">
        <v>176</v>
      </c>
      <c r="J158">
        <f>16*280</f>
        <v>4480</v>
      </c>
      <c r="S158">
        <v>265</v>
      </c>
      <c r="W158" s="4" t="str">
        <f>IF(AND(S158&gt;0,V158&gt;0),(V158/((S158+T158)*10)),"")</f>
        <v/>
      </c>
      <c r="X158">
        <v>157</v>
      </c>
      <c r="Z158">
        <v>20.88</v>
      </c>
      <c r="AA158">
        <v>20.88</v>
      </c>
      <c r="AC158">
        <v>3.82</v>
      </c>
      <c r="AD158">
        <v>352</v>
      </c>
      <c r="AE158" t="str">
        <f>CONCATENATE(VLOOKUP(AF158, 'Voxel Sizes'!$A$2:$B$18,2,FALSE),"x",INT(AB158*15), "x", INT(AC158*15))</f>
        <v>198x0x57</v>
      </c>
      <c r="AF158">
        <f>ROUND(15*((AA158*10)/256),0)</f>
        <v>12</v>
      </c>
      <c r="AH158" t="str">
        <f>CONCATENATE(VLOOKUP(AF158,'Articulated Lengths'!$A$2:$C$16,IF(AG158&lt;&gt;"", 3, 2), FALSE),IF(AG158&lt;&gt;"",CONCATENATE(",",VLOOKUP(AG158,$B$2:$AH$213,33,FALSE)),""))</f>
        <v>3,6,3</v>
      </c>
      <c r="AM158">
        <v>10</v>
      </c>
      <c r="AN158">
        <v>10</v>
      </c>
      <c r="AQ158" t="str">
        <f>VLOOKUP(F158,Eras!$A$2:$C$12, 2, TRUE)</f>
        <v>mod</v>
      </c>
      <c r="AR158" t="s">
        <v>441</v>
      </c>
      <c r="AS158" t="str">
        <f>CONCATENATE(AQ158,"_",AR158)</f>
        <v>mod_EMU (Express)</v>
      </c>
    </row>
    <row r="159" spans="1:45" x14ac:dyDescent="0.25">
      <c r="A159" t="s">
        <v>62</v>
      </c>
      <c r="B159" t="s">
        <v>238</v>
      </c>
      <c r="C159" t="s">
        <v>193</v>
      </c>
      <c r="E159" t="s">
        <v>372</v>
      </c>
      <c r="F159">
        <v>2008</v>
      </c>
      <c r="G159">
        <v>2017</v>
      </c>
      <c r="J159">
        <v>3690</v>
      </c>
      <c r="S159">
        <v>129</v>
      </c>
      <c r="V159">
        <v>534</v>
      </c>
      <c r="W159" s="4">
        <f>IF(AND(S159&gt;0,V159&gt;0),(V159/((S159+T159)*10)),"")</f>
        <v>0.413953488372093</v>
      </c>
      <c r="X159">
        <v>75</v>
      </c>
      <c r="Z159">
        <v>21.27</v>
      </c>
      <c r="AA159">
        <v>21.27</v>
      </c>
      <c r="AC159">
        <v>3.91</v>
      </c>
      <c r="AE159" t="str">
        <f>CONCATENATE(VLOOKUP(AF159, 'Voxel Sizes'!$A$2:$B$18,2,FALSE),"x",INT(AB159*15), "x", INT(AC159*15))</f>
        <v>198x0x58</v>
      </c>
      <c r="AF159">
        <f>ROUND(15*((AA159*10)/256),0)</f>
        <v>12</v>
      </c>
      <c r="AH159" t="str">
        <f>CONCATENATE(VLOOKUP(AF159,'Articulated Lengths'!$A$2:$C$16,IF(AG159&lt;&gt;"", 3, 2), FALSE),IF(AG159&lt;&gt;"",CONCATENATE(",",VLOOKUP(AG159,$B$2:$AH$213,33,FALSE)),""))</f>
        <v>3,6,3</v>
      </c>
      <c r="AM159">
        <v>10</v>
      </c>
      <c r="AN159">
        <v>10</v>
      </c>
      <c r="AQ159" t="str">
        <f>VLOOKUP(F159,Eras!$A$2:$C$12, 2, TRUE)</f>
        <v>mod</v>
      </c>
      <c r="AS159" t="str">
        <f>CONCATENATE(AQ159,"_",AR159)</f>
        <v>mod_</v>
      </c>
    </row>
    <row r="160" spans="1:45" x14ac:dyDescent="0.25">
      <c r="A160" t="s">
        <v>135</v>
      </c>
      <c r="B160" t="s">
        <v>266</v>
      </c>
      <c r="C160" t="s">
        <v>193</v>
      </c>
      <c r="E160" t="s">
        <v>372</v>
      </c>
      <c r="F160">
        <v>2009</v>
      </c>
      <c r="W160" s="4" t="str">
        <f>IF(AND(S160&gt;0,V160&gt;0),(V160/((S160+T160)*10)),"")</f>
        <v/>
      </c>
      <c r="AE160" t="str">
        <f>CONCATENATE(VLOOKUP(AF160, 'Voxel Sizes'!$A$2:$B$18,2,FALSE),"x",INT(AB160*15), "x", INT(AC160*15))</f>
        <v>0x0x0</v>
      </c>
      <c r="AF160">
        <f>ROUND(15*((AA160*10)/256),0)</f>
        <v>0</v>
      </c>
      <c r="AH160" t="str">
        <f>CONCATENATE(VLOOKUP(AF160,'Articulated Lengths'!$A$2:$C$16,IF(AG160&lt;&gt;"", 3, 2), FALSE),IF(AG160&lt;&gt;"",CONCATENATE(",",VLOOKUP(AG160,$B$2:$AH$213,33,FALSE)),""))</f>
        <v>na</v>
      </c>
      <c r="AM160">
        <v>10</v>
      </c>
      <c r="AN160">
        <v>10</v>
      </c>
      <c r="AQ160" t="str">
        <f>VLOOKUP(F160,Eras!$A$2:$C$12, 2, TRUE)</f>
        <v>mod</v>
      </c>
      <c r="AR160" t="s">
        <v>452</v>
      </c>
      <c r="AS160" t="str">
        <f>CONCATENATE(AQ160,"_",AR160)</f>
        <v>mod_LU</v>
      </c>
    </row>
    <row r="161" spans="1:45" x14ac:dyDescent="0.25">
      <c r="A161" t="s">
        <v>136</v>
      </c>
      <c r="B161" t="s">
        <v>267</v>
      </c>
      <c r="C161" t="s">
        <v>193</v>
      </c>
      <c r="E161" t="s">
        <v>372</v>
      </c>
      <c r="F161">
        <v>2010</v>
      </c>
      <c r="W161" s="4" t="str">
        <f>IF(AND(S161&gt;0,V161&gt;0),(V161/((S161+T161)*10)),"")</f>
        <v/>
      </c>
      <c r="AE161" t="str">
        <f>CONCATENATE(VLOOKUP(AF161, 'Voxel Sizes'!$A$2:$B$18,2,FALSE),"x",INT(AB161*15), "x", INT(AC161*15))</f>
        <v>0x0x0</v>
      </c>
      <c r="AF161">
        <f>ROUND(15*((AA161*10)/256),0)</f>
        <v>0</v>
      </c>
      <c r="AH161" t="str">
        <f>CONCATENATE(VLOOKUP(AF161,'Articulated Lengths'!$A$2:$C$16,IF(AG161&lt;&gt;"", 3, 2), FALSE),IF(AG161&lt;&gt;"",CONCATENATE(",",VLOOKUP(AG161,$B$2:$AH$213,33,FALSE)),""))</f>
        <v>na</v>
      </c>
      <c r="AM161">
        <v>10</v>
      </c>
      <c r="AN161">
        <v>10</v>
      </c>
      <c r="AQ161" t="str">
        <f>VLOOKUP(F161,Eras!$A$2:$C$12, 2, TRUE)</f>
        <v>mod</v>
      </c>
      <c r="AR161" t="s">
        <v>452</v>
      </c>
      <c r="AS161" t="str">
        <f>CONCATENATE(AQ161,"_",AR161)</f>
        <v>mod_LU</v>
      </c>
    </row>
    <row r="162" spans="1:45" x14ac:dyDescent="0.25">
      <c r="A162" t="s">
        <v>66</v>
      </c>
      <c r="B162" t="s">
        <v>239</v>
      </c>
      <c r="C162" t="s">
        <v>193</v>
      </c>
      <c r="E162" t="s">
        <v>372</v>
      </c>
      <c r="F162">
        <v>2015</v>
      </c>
      <c r="G162">
        <v>2016</v>
      </c>
      <c r="J162">
        <v>5400</v>
      </c>
      <c r="S162">
        <v>86</v>
      </c>
      <c r="V162">
        <v>317</v>
      </c>
      <c r="W162" s="4">
        <f>IF(AND(S162&gt;0,V162&gt;0),(V162/((S162+T162)*10)),"")</f>
        <v>0.36860465116279068</v>
      </c>
      <c r="X162">
        <v>100</v>
      </c>
      <c r="AE162" t="str">
        <f>CONCATENATE(VLOOKUP(AF162, 'Voxel Sizes'!$A$2:$B$18,2,FALSE),"x",INT(AB162*15), "x", INT(AC162*15))</f>
        <v>0x0x0</v>
      </c>
      <c r="AF162">
        <f>ROUND(15*((AA162*10)/256),0)</f>
        <v>0</v>
      </c>
      <c r="AH162" t="str">
        <f>CONCATENATE(VLOOKUP(AF162,'Articulated Lengths'!$A$2:$C$16,IF(AG162&lt;&gt;"", 3, 2), FALSE),IF(AG162&lt;&gt;"",CONCATENATE(",",VLOOKUP(AG162,$B$2:$AH$213,33,FALSE)),""))</f>
        <v>na</v>
      </c>
      <c r="AM162">
        <v>10</v>
      </c>
      <c r="AN162">
        <v>10</v>
      </c>
      <c r="AQ162" t="str">
        <f>VLOOKUP(F162,Eras!$A$2:$C$12, 2, TRUE)</f>
        <v>mod</v>
      </c>
      <c r="AS162" t="str">
        <f>CONCATENATE(AQ162,"_",AR162)</f>
        <v>mod_</v>
      </c>
    </row>
    <row r="163" spans="1:45" x14ac:dyDescent="0.25">
      <c r="A163" t="s">
        <v>95</v>
      </c>
      <c r="B163" t="s">
        <v>297</v>
      </c>
      <c r="C163" t="s">
        <v>193</v>
      </c>
      <c r="E163" t="s">
        <v>372</v>
      </c>
      <c r="W163" s="4" t="str">
        <f>IF(AND(S163&gt;0,V163&gt;0),(V163/((S163+T163)*10)),"")</f>
        <v/>
      </c>
      <c r="AE163" t="str">
        <f>CONCATENATE(VLOOKUP(AF163, 'Voxel Sizes'!$A$2:$B$18,2,FALSE),"x",INT(AB163*15), "x", INT(AC163*15))</f>
        <v>0x0x0</v>
      </c>
      <c r="AF163">
        <f>ROUND(15*((AA163*10)/256),0)</f>
        <v>0</v>
      </c>
      <c r="AH163" t="str">
        <f>CONCATENATE(VLOOKUP(AF163,'Articulated Lengths'!$A$2:$C$16,IF(AG163&lt;&gt;"", 3, 2), FALSE),IF(AG163&lt;&gt;"",CONCATENATE(",",VLOOKUP(AG163,$B$2:$AH$213,33,FALSE)),""))</f>
        <v>na</v>
      </c>
      <c r="AM163">
        <v>10</v>
      </c>
      <c r="AN163">
        <v>10</v>
      </c>
      <c r="AQ163" t="e">
        <f>VLOOKUP(F163,Eras!$A$2:$C$12, 2, TRUE)</f>
        <v>#N/A</v>
      </c>
      <c r="AS163" t="e">
        <f>CONCATENATE(AQ163,"_",AR163)</f>
        <v>#N/A</v>
      </c>
    </row>
    <row r="164" spans="1:45" x14ac:dyDescent="0.25">
      <c r="A164" t="s">
        <v>96</v>
      </c>
      <c r="B164" t="s">
        <v>298</v>
      </c>
      <c r="C164" t="s">
        <v>193</v>
      </c>
      <c r="E164" t="s">
        <v>372</v>
      </c>
      <c r="W164" s="4" t="str">
        <f>IF(AND(S164&gt;0,V164&gt;0),(V164/((S164+T164)*10)),"")</f>
        <v/>
      </c>
      <c r="AE164" t="str">
        <f>CONCATENATE(VLOOKUP(AF164, 'Voxel Sizes'!$A$2:$B$18,2,FALSE),"x",INT(AB164*15), "x", INT(AC164*15))</f>
        <v>0x0x0</v>
      </c>
      <c r="AF164">
        <f>ROUND(15*((AA164*10)/256),0)</f>
        <v>0</v>
      </c>
      <c r="AH164" t="str">
        <f>CONCATENATE(VLOOKUP(AF164,'Articulated Lengths'!$A$2:$C$16,IF(AG164&lt;&gt;"", 3, 2), FALSE),IF(AG164&lt;&gt;"",CONCATENATE(",",VLOOKUP(AG164,$B$2:$AH$213,33,FALSE)),""))</f>
        <v>na</v>
      </c>
      <c r="AM164">
        <v>10</v>
      </c>
      <c r="AN164">
        <v>10</v>
      </c>
      <c r="AQ164" t="e">
        <f>VLOOKUP(F164,Eras!$A$2:$C$12, 2, TRUE)</f>
        <v>#N/A</v>
      </c>
      <c r="AS164" t="e">
        <f>CONCATENATE(AQ164,"_",AR164)</f>
        <v>#N/A</v>
      </c>
    </row>
    <row r="165" spans="1:45" x14ac:dyDescent="0.25">
      <c r="A165" t="s">
        <v>97</v>
      </c>
      <c r="B165" t="s">
        <v>299</v>
      </c>
      <c r="C165" t="s">
        <v>193</v>
      </c>
      <c r="E165" t="s">
        <v>372</v>
      </c>
      <c r="W165" s="4" t="str">
        <f>IF(AND(S165&gt;0,V165&gt;0),(V165/((S165+T165)*10)),"")</f>
        <v/>
      </c>
      <c r="AE165" t="str">
        <f>CONCATENATE(VLOOKUP(AF165, 'Voxel Sizes'!$A$2:$B$18,2,FALSE),"x",INT(AB165*15), "x", INT(AC165*15))</f>
        <v>0x0x0</v>
      </c>
      <c r="AF165">
        <f>ROUND(15*((AA165*10)/256),0)</f>
        <v>0</v>
      </c>
      <c r="AH165" t="str">
        <f>CONCATENATE(VLOOKUP(AF165,'Articulated Lengths'!$A$2:$C$16,IF(AG165&lt;&gt;"", 3, 2), FALSE),IF(AG165&lt;&gt;"",CONCATENATE(",",VLOOKUP(AG165,$B$2:$AH$213,33,FALSE)),""))</f>
        <v>na</v>
      </c>
      <c r="AM165">
        <v>10</v>
      </c>
      <c r="AN165">
        <v>10</v>
      </c>
      <c r="AQ165" t="e">
        <f>VLOOKUP(F165,Eras!$A$2:$C$12, 2, TRUE)</f>
        <v>#N/A</v>
      </c>
      <c r="AS165" t="e">
        <f>CONCATENATE(AQ165,"_",AR165)</f>
        <v>#N/A</v>
      </c>
    </row>
    <row r="166" spans="1:45" x14ac:dyDescent="0.25">
      <c r="A166" t="s">
        <v>98</v>
      </c>
      <c r="B166" t="s">
        <v>300</v>
      </c>
      <c r="C166" t="s">
        <v>193</v>
      </c>
      <c r="E166" t="s">
        <v>372</v>
      </c>
      <c r="W166" s="4" t="str">
        <f>IF(AND(S166&gt;0,V166&gt;0),(V166/((S166+T166)*10)),"")</f>
        <v/>
      </c>
      <c r="AE166" t="str">
        <f>CONCATENATE(VLOOKUP(AF166, 'Voxel Sizes'!$A$2:$B$18,2,FALSE),"x",INT(AB166*15), "x", INT(AC166*15))</f>
        <v>0x0x0</v>
      </c>
      <c r="AF166">
        <f>ROUND(15*((AA166*10)/256),0)</f>
        <v>0</v>
      </c>
      <c r="AH166" t="str">
        <f>CONCATENATE(VLOOKUP(AF166,'Articulated Lengths'!$A$2:$C$16,IF(AG166&lt;&gt;"", 3, 2), FALSE),IF(AG166&lt;&gt;"",CONCATENATE(",",VLOOKUP(AG166,$B$2:$AH$213,33,FALSE)),""))</f>
        <v>na</v>
      </c>
      <c r="AM166">
        <v>10</v>
      </c>
      <c r="AN166">
        <v>10</v>
      </c>
      <c r="AQ166" t="e">
        <f>VLOOKUP(F166,Eras!$A$2:$C$12, 2, TRUE)</f>
        <v>#N/A</v>
      </c>
      <c r="AS166" t="e">
        <f>CONCATENATE(AQ166,"_",AR166)</f>
        <v>#N/A</v>
      </c>
    </row>
    <row r="167" spans="1:45" x14ac:dyDescent="0.25">
      <c r="A167" t="s">
        <v>99</v>
      </c>
      <c r="B167" t="s">
        <v>245</v>
      </c>
      <c r="C167" t="s">
        <v>193</v>
      </c>
      <c r="E167" t="s">
        <v>372</v>
      </c>
      <c r="W167" s="4" t="str">
        <f>IF(AND(S167&gt;0,V167&gt;0),(V167/((S167+T167)*10)),"")</f>
        <v/>
      </c>
      <c r="AE167" t="str">
        <f>CONCATENATE(VLOOKUP(AF167, 'Voxel Sizes'!$A$2:$B$18,2,FALSE),"x",INT(AB167*15), "x", INT(AC167*15))</f>
        <v>0x0x0</v>
      </c>
      <c r="AF167">
        <f>ROUND(15*((AA167*10)/256),0)</f>
        <v>0</v>
      </c>
      <c r="AH167" t="str">
        <f>CONCATENATE(VLOOKUP(AF167,'Articulated Lengths'!$A$2:$C$16,IF(AG167&lt;&gt;"", 3, 2), FALSE),IF(AG167&lt;&gt;"",CONCATENATE(",",VLOOKUP(AG167,$B$2:$AH$213,33,FALSE)),""))</f>
        <v>na</v>
      </c>
      <c r="AM167">
        <v>10</v>
      </c>
      <c r="AN167">
        <v>10</v>
      </c>
      <c r="AQ167" t="e">
        <f>VLOOKUP(F167,Eras!$A$2:$C$12, 2, TRUE)</f>
        <v>#N/A</v>
      </c>
      <c r="AS167" t="e">
        <f>CONCATENATE(AQ167,"_",AR167)</f>
        <v>#N/A</v>
      </c>
    </row>
    <row r="168" spans="1:45" x14ac:dyDescent="0.25">
      <c r="A168" t="s">
        <v>100</v>
      </c>
      <c r="B168" t="s">
        <v>246</v>
      </c>
      <c r="C168" t="s">
        <v>193</v>
      </c>
      <c r="E168" t="s">
        <v>372</v>
      </c>
      <c r="W168" s="4" t="str">
        <f>IF(AND(S168&gt;0,V168&gt;0),(V168/((S168+T168)*10)),"")</f>
        <v/>
      </c>
      <c r="AE168" t="str">
        <f>CONCATENATE(VLOOKUP(AF168, 'Voxel Sizes'!$A$2:$B$18,2,FALSE),"x",INT(AB168*15), "x", INT(AC168*15))</f>
        <v>0x0x0</v>
      </c>
      <c r="AF168">
        <f>ROUND(15*((AA168*10)/256),0)</f>
        <v>0</v>
      </c>
      <c r="AH168" t="str">
        <f>CONCATENATE(VLOOKUP(AF168,'Articulated Lengths'!$A$2:$C$16,IF(AG168&lt;&gt;"", 3, 2), FALSE),IF(AG168&lt;&gt;"",CONCATENATE(",",VLOOKUP(AG168,$B$2:$AH$213,33,FALSE)),""))</f>
        <v>na</v>
      </c>
      <c r="AM168">
        <v>10</v>
      </c>
      <c r="AN168">
        <v>10</v>
      </c>
      <c r="AQ168" t="e">
        <f>VLOOKUP(F168,Eras!$A$2:$C$12, 2, TRUE)</f>
        <v>#N/A</v>
      </c>
      <c r="AS168" t="e">
        <f>CONCATENATE(AQ168,"_",AR168)</f>
        <v>#N/A</v>
      </c>
    </row>
    <row r="169" spans="1:45" x14ac:dyDescent="0.25">
      <c r="A169" t="s">
        <v>101</v>
      </c>
      <c r="B169" t="s">
        <v>247</v>
      </c>
      <c r="C169" t="s">
        <v>193</v>
      </c>
      <c r="E169" t="s">
        <v>372</v>
      </c>
      <c r="W169" s="4" t="str">
        <f>IF(AND(S169&gt;0,V169&gt;0),(V169/((S169+T169)*10)),"")</f>
        <v/>
      </c>
      <c r="AE169" t="str">
        <f>CONCATENATE(VLOOKUP(AF169, 'Voxel Sizes'!$A$2:$B$18,2,FALSE),"x",INT(AB169*15), "x", INT(AC169*15))</f>
        <v>0x0x0</v>
      </c>
      <c r="AF169">
        <f>ROUND(15*((AA169*10)/256),0)</f>
        <v>0</v>
      </c>
      <c r="AH169" t="str">
        <f>CONCATENATE(VLOOKUP(AF169,'Articulated Lengths'!$A$2:$C$16,IF(AG169&lt;&gt;"", 3, 2), FALSE),IF(AG169&lt;&gt;"",CONCATENATE(",",VLOOKUP(AG169,$B$2:$AH$213,33,FALSE)),""))</f>
        <v>na</v>
      </c>
      <c r="AM169">
        <v>10</v>
      </c>
      <c r="AN169">
        <v>10</v>
      </c>
      <c r="AQ169" t="e">
        <f>VLOOKUP(F169,Eras!$A$2:$C$12, 2, TRUE)</f>
        <v>#N/A</v>
      </c>
      <c r="AS169" t="e">
        <f>CONCATENATE(AQ169,"_",AR169)</f>
        <v>#N/A</v>
      </c>
    </row>
    <row r="170" spans="1:45" x14ac:dyDescent="0.25">
      <c r="A170" t="s">
        <v>102</v>
      </c>
      <c r="B170" t="s">
        <v>347</v>
      </c>
      <c r="C170" t="s">
        <v>193</v>
      </c>
      <c r="E170" t="s">
        <v>372</v>
      </c>
      <c r="W170" s="4" t="str">
        <f>IF(AND(S170&gt;0,V170&gt;0),(V170/((S170+T170)*10)),"")</f>
        <v/>
      </c>
      <c r="AE170" t="str">
        <f>CONCATENATE(VLOOKUP(AF170, 'Voxel Sizes'!$A$2:$B$18,2,FALSE),"x",INT(AB170*15), "x", INT(AC170*15))</f>
        <v>0x0x0</v>
      </c>
      <c r="AF170">
        <f>ROUND(15*((AA170*10)/256),0)</f>
        <v>0</v>
      </c>
      <c r="AH170" t="str">
        <f>CONCATENATE(VLOOKUP(AF170,'Articulated Lengths'!$A$2:$C$16,IF(AG170&lt;&gt;"", 3, 2), FALSE),IF(AG170&lt;&gt;"",CONCATENATE(",",VLOOKUP(AG170,$B$2:$AH$213,33,FALSE)),""))</f>
        <v>na</v>
      </c>
      <c r="AM170">
        <v>10</v>
      </c>
      <c r="AN170">
        <v>10</v>
      </c>
      <c r="AQ170" t="e">
        <f>VLOOKUP(F170,Eras!$A$2:$C$12, 2, TRUE)</f>
        <v>#N/A</v>
      </c>
      <c r="AS170" t="e">
        <f>CONCATENATE(AQ170,"_",AR170)</f>
        <v>#N/A</v>
      </c>
    </row>
    <row r="171" spans="1:45" x14ac:dyDescent="0.25">
      <c r="A171" t="s">
        <v>103</v>
      </c>
      <c r="B171" t="s">
        <v>248</v>
      </c>
      <c r="C171" t="s">
        <v>193</v>
      </c>
      <c r="E171" t="s">
        <v>372</v>
      </c>
      <c r="W171" s="4" t="str">
        <f>IF(AND(S171&gt;0,V171&gt;0),(V171/((S171+T171)*10)),"")</f>
        <v/>
      </c>
      <c r="AE171" t="str">
        <f>CONCATENATE(VLOOKUP(AF171, 'Voxel Sizes'!$A$2:$B$18,2,FALSE),"x",INT(AB171*15), "x", INT(AC171*15))</f>
        <v>0x0x0</v>
      </c>
      <c r="AF171">
        <f>ROUND(15*((AA171*10)/256),0)</f>
        <v>0</v>
      </c>
      <c r="AH171" t="str">
        <f>CONCATENATE(VLOOKUP(AF171,'Articulated Lengths'!$A$2:$C$16,IF(AG171&lt;&gt;"", 3, 2), FALSE),IF(AG171&lt;&gt;"",CONCATENATE(",",VLOOKUP(AG171,$B$2:$AH$213,33,FALSE)),""))</f>
        <v>na</v>
      </c>
      <c r="AM171">
        <v>10</v>
      </c>
      <c r="AN171">
        <v>10</v>
      </c>
      <c r="AQ171" t="e">
        <f>VLOOKUP(F171,Eras!$A$2:$C$12, 2, TRUE)</f>
        <v>#N/A</v>
      </c>
      <c r="AS171" t="e">
        <f>CONCATENATE(AQ171,"_",AR171)</f>
        <v>#N/A</v>
      </c>
    </row>
    <row r="172" spans="1:45" x14ac:dyDescent="0.25">
      <c r="A172" t="s">
        <v>104</v>
      </c>
      <c r="B172" t="s">
        <v>349</v>
      </c>
      <c r="C172" t="s">
        <v>193</v>
      </c>
      <c r="E172" t="s">
        <v>372</v>
      </c>
      <c r="W172" s="4" t="str">
        <f>IF(AND(S172&gt;0,V172&gt;0),(V172/((S172+T172)*10)),"")</f>
        <v/>
      </c>
      <c r="AE172" t="str">
        <f>CONCATENATE(VLOOKUP(AF172, 'Voxel Sizes'!$A$2:$B$18,2,FALSE),"x",INT(AB172*15), "x", INT(AC172*15))</f>
        <v>0x0x0</v>
      </c>
      <c r="AF172">
        <f>ROUND(15*((AA172*10)/256),0)</f>
        <v>0</v>
      </c>
      <c r="AH172" t="str">
        <f>CONCATENATE(VLOOKUP(AF172,'Articulated Lengths'!$A$2:$C$16,IF(AG172&lt;&gt;"", 3, 2), FALSE),IF(AG172&lt;&gt;"",CONCATENATE(",",VLOOKUP(AG172,$B$2:$AH$213,33,FALSE)),""))</f>
        <v>na</v>
      </c>
      <c r="AM172">
        <v>10</v>
      </c>
      <c r="AN172">
        <v>10</v>
      </c>
      <c r="AQ172" t="e">
        <f>VLOOKUP(F172,Eras!$A$2:$C$12, 2, TRUE)</f>
        <v>#N/A</v>
      </c>
      <c r="AS172" t="e">
        <f>CONCATENATE(AQ172,"_",AR172)</f>
        <v>#N/A</v>
      </c>
    </row>
    <row r="173" spans="1:45" x14ac:dyDescent="0.25">
      <c r="A173" t="s">
        <v>105</v>
      </c>
      <c r="B173" t="s">
        <v>249</v>
      </c>
      <c r="C173" t="s">
        <v>193</v>
      </c>
      <c r="E173" t="s">
        <v>372</v>
      </c>
      <c r="W173" s="4" t="str">
        <f>IF(AND(S173&gt;0,V173&gt;0),(V173/((S173+T173)*10)),"")</f>
        <v/>
      </c>
      <c r="AE173" t="str">
        <f>CONCATENATE(VLOOKUP(AF173, 'Voxel Sizes'!$A$2:$B$18,2,FALSE),"x",INT(AB173*15), "x", INT(AC173*15))</f>
        <v>0x0x0</v>
      </c>
      <c r="AF173">
        <f>ROUND(15*((AA173*10)/256),0)</f>
        <v>0</v>
      </c>
      <c r="AH173" t="str">
        <f>CONCATENATE(VLOOKUP(AF173,'Articulated Lengths'!$A$2:$C$16,IF(AG173&lt;&gt;"", 3, 2), FALSE),IF(AG173&lt;&gt;"",CONCATENATE(",",VLOOKUP(AG173,$B$2:$AH$213,33,FALSE)),""))</f>
        <v>na</v>
      </c>
      <c r="AM173">
        <v>10</v>
      </c>
      <c r="AN173">
        <v>10</v>
      </c>
      <c r="AQ173" t="e">
        <f>VLOOKUP(F173,Eras!$A$2:$C$12, 2, TRUE)</f>
        <v>#N/A</v>
      </c>
      <c r="AS173" t="e">
        <f>CONCATENATE(AQ173,"_",AR173)</f>
        <v>#N/A</v>
      </c>
    </row>
    <row r="174" spans="1:45" x14ac:dyDescent="0.25">
      <c r="A174" t="s">
        <v>106</v>
      </c>
      <c r="B174" t="s">
        <v>303</v>
      </c>
      <c r="C174" t="s">
        <v>193</v>
      </c>
      <c r="E174" t="s">
        <v>372</v>
      </c>
      <c r="W174" s="4" t="str">
        <f>IF(AND(S174&gt;0,V174&gt;0),(V174/((S174+T174)*10)),"")</f>
        <v/>
      </c>
      <c r="AE174" t="str">
        <f>CONCATENATE(VLOOKUP(AF174, 'Voxel Sizes'!$A$2:$B$18,2,FALSE),"x",INT(AB174*15), "x", INT(AC174*15))</f>
        <v>0x0x0</v>
      </c>
      <c r="AF174">
        <f>ROUND(15*((AA174*10)/256),0)</f>
        <v>0</v>
      </c>
      <c r="AH174" t="str">
        <f>CONCATENATE(VLOOKUP(AF174,'Articulated Lengths'!$A$2:$C$16,IF(AG174&lt;&gt;"", 3, 2), FALSE),IF(AG174&lt;&gt;"",CONCATENATE(",",VLOOKUP(AG174,$B$2:$AH$213,33,FALSE)),""))</f>
        <v>na</v>
      </c>
      <c r="AM174">
        <v>10</v>
      </c>
      <c r="AN174">
        <v>10</v>
      </c>
      <c r="AQ174" t="e">
        <f>VLOOKUP(F174,Eras!$A$2:$C$12, 2, TRUE)</f>
        <v>#N/A</v>
      </c>
      <c r="AS174" t="e">
        <f>CONCATENATE(AQ174,"_",AR174)</f>
        <v>#N/A</v>
      </c>
    </row>
    <row r="175" spans="1:45" x14ac:dyDescent="0.25">
      <c r="A175" t="s">
        <v>107</v>
      </c>
      <c r="B175" t="s">
        <v>304</v>
      </c>
      <c r="C175" t="s">
        <v>193</v>
      </c>
      <c r="E175" t="s">
        <v>372</v>
      </c>
      <c r="W175" s="4" t="str">
        <f>IF(AND(S175&gt;0,V175&gt;0),(V175/((S175+T175)*10)),"")</f>
        <v/>
      </c>
      <c r="AE175" t="str">
        <f>CONCATENATE(VLOOKUP(AF175, 'Voxel Sizes'!$A$2:$B$18,2,FALSE),"x",INT(AB175*15), "x", INT(AC175*15))</f>
        <v>0x0x0</v>
      </c>
      <c r="AF175">
        <f>ROUND(15*((AA175*10)/256),0)</f>
        <v>0</v>
      </c>
      <c r="AH175" t="str">
        <f>CONCATENATE(VLOOKUP(AF175,'Articulated Lengths'!$A$2:$C$16,IF(AG175&lt;&gt;"", 3, 2), FALSE),IF(AG175&lt;&gt;"",CONCATENATE(",",VLOOKUP(AG175,$B$2:$AH$213,33,FALSE)),""))</f>
        <v>na</v>
      </c>
      <c r="AM175">
        <v>10</v>
      </c>
      <c r="AN175">
        <v>10</v>
      </c>
      <c r="AQ175" t="e">
        <f>VLOOKUP(F175,Eras!$A$2:$C$12, 2, TRUE)</f>
        <v>#N/A</v>
      </c>
      <c r="AS175" t="e">
        <f>CONCATENATE(AQ175,"_",AR175)</f>
        <v>#N/A</v>
      </c>
    </row>
    <row r="176" spans="1:45" x14ac:dyDescent="0.25">
      <c r="A176" t="s">
        <v>108</v>
      </c>
      <c r="B176" t="s">
        <v>305</v>
      </c>
      <c r="C176" t="s">
        <v>193</v>
      </c>
      <c r="E176" t="s">
        <v>372</v>
      </c>
      <c r="W176" s="4" t="str">
        <f>IF(AND(S176&gt;0,V176&gt;0),(V176/((S176+T176)*10)),"")</f>
        <v/>
      </c>
      <c r="AE176" t="str">
        <f>CONCATENATE(VLOOKUP(AF176, 'Voxel Sizes'!$A$2:$B$18,2,FALSE),"x",INT(AB176*15), "x", INT(AC176*15))</f>
        <v>0x0x0</v>
      </c>
      <c r="AF176">
        <f>ROUND(15*((AA176*10)/256),0)</f>
        <v>0</v>
      </c>
      <c r="AH176" t="str">
        <f>CONCATENATE(VLOOKUP(AF176,'Articulated Lengths'!$A$2:$C$16,IF(AG176&lt;&gt;"", 3, 2), FALSE),IF(AG176&lt;&gt;"",CONCATENATE(",",VLOOKUP(AG176,$B$2:$AH$213,33,FALSE)),""))</f>
        <v>na</v>
      </c>
      <c r="AM176">
        <v>10</v>
      </c>
      <c r="AN176">
        <v>10</v>
      </c>
      <c r="AQ176" t="e">
        <f>VLOOKUP(F176,Eras!$A$2:$C$12, 2, TRUE)</f>
        <v>#N/A</v>
      </c>
      <c r="AS176" t="e">
        <f>CONCATENATE(AQ176,"_",AR176)</f>
        <v>#N/A</v>
      </c>
    </row>
    <row r="177" spans="1:45" x14ac:dyDescent="0.25">
      <c r="A177" t="s">
        <v>109</v>
      </c>
      <c r="B177" t="s">
        <v>306</v>
      </c>
      <c r="C177" t="s">
        <v>193</v>
      </c>
      <c r="E177" t="s">
        <v>372</v>
      </c>
      <c r="W177" s="4" t="str">
        <f>IF(AND(S177&gt;0,V177&gt;0),(V177/((S177+T177)*10)),"")</f>
        <v/>
      </c>
      <c r="AE177" t="str">
        <f>CONCATENATE(VLOOKUP(AF177, 'Voxel Sizes'!$A$2:$B$18,2,FALSE),"x",INT(AB177*15), "x", INT(AC177*15))</f>
        <v>0x0x0</v>
      </c>
      <c r="AF177">
        <f>ROUND(15*((AA177*10)/256),0)</f>
        <v>0</v>
      </c>
      <c r="AH177" t="str">
        <f>CONCATENATE(VLOOKUP(AF177,'Articulated Lengths'!$A$2:$C$16,IF(AG177&lt;&gt;"", 3, 2), FALSE),IF(AG177&lt;&gt;"",CONCATENATE(",",VLOOKUP(AG177,$B$2:$AH$213,33,FALSE)),""))</f>
        <v>na</v>
      </c>
      <c r="AM177">
        <v>10</v>
      </c>
      <c r="AN177">
        <v>10</v>
      </c>
      <c r="AQ177" t="e">
        <f>VLOOKUP(F177,Eras!$A$2:$C$12, 2, TRUE)</f>
        <v>#N/A</v>
      </c>
      <c r="AS177" t="e">
        <f>CONCATENATE(AQ177,"_",AR177)</f>
        <v>#N/A</v>
      </c>
    </row>
    <row r="178" spans="1:45" x14ac:dyDescent="0.25">
      <c r="A178" t="s">
        <v>110</v>
      </c>
      <c r="B178" t="s">
        <v>250</v>
      </c>
      <c r="C178" t="s">
        <v>193</v>
      </c>
      <c r="E178" t="s">
        <v>372</v>
      </c>
      <c r="W178" s="4" t="str">
        <f>IF(AND(S178&gt;0,V178&gt;0),(V178/((S178+T178)*10)),"")</f>
        <v/>
      </c>
      <c r="AE178" t="str">
        <f>CONCATENATE(VLOOKUP(AF178, 'Voxel Sizes'!$A$2:$B$18,2,FALSE),"x",INT(AB178*15), "x", INT(AC178*15))</f>
        <v>0x0x0</v>
      </c>
      <c r="AF178">
        <f>ROUND(15*((AA178*10)/256),0)</f>
        <v>0</v>
      </c>
      <c r="AH178" t="str">
        <f>CONCATENATE(VLOOKUP(AF178,'Articulated Lengths'!$A$2:$C$16,IF(AG178&lt;&gt;"", 3, 2), FALSE),IF(AG178&lt;&gt;"",CONCATENATE(",",VLOOKUP(AG178,$B$2:$AH$213,33,FALSE)),""))</f>
        <v>na</v>
      </c>
      <c r="AM178">
        <v>10</v>
      </c>
      <c r="AN178">
        <v>10</v>
      </c>
      <c r="AQ178" t="e">
        <f>VLOOKUP(F178,Eras!$A$2:$C$12, 2, TRUE)</f>
        <v>#N/A</v>
      </c>
      <c r="AS178" t="e">
        <f>CONCATENATE(AQ178,"_",AR178)</f>
        <v>#N/A</v>
      </c>
    </row>
    <row r="179" spans="1:45" x14ac:dyDescent="0.25">
      <c r="A179" t="s">
        <v>111</v>
      </c>
      <c r="B179" t="s">
        <v>251</v>
      </c>
      <c r="C179" t="s">
        <v>193</v>
      </c>
      <c r="E179" t="s">
        <v>372</v>
      </c>
      <c r="W179" s="4" t="str">
        <f>IF(AND(S179&gt;0,V179&gt;0),(V179/((S179+T179)*10)),"")</f>
        <v/>
      </c>
      <c r="AE179" t="str">
        <f>CONCATENATE(VLOOKUP(AF179, 'Voxel Sizes'!$A$2:$B$18,2,FALSE),"x",INT(AB179*15), "x", INT(AC179*15))</f>
        <v>0x0x0</v>
      </c>
      <c r="AF179">
        <f>ROUND(15*((AA179*10)/256),0)</f>
        <v>0</v>
      </c>
      <c r="AH179" t="str">
        <f>CONCATENATE(VLOOKUP(AF179,'Articulated Lengths'!$A$2:$C$16,IF(AG179&lt;&gt;"", 3, 2), FALSE),IF(AG179&lt;&gt;"",CONCATENATE(",",VLOOKUP(AG179,$B$2:$AH$213,33,FALSE)),""))</f>
        <v>na</v>
      </c>
      <c r="AM179">
        <v>10</v>
      </c>
      <c r="AN179">
        <v>10</v>
      </c>
      <c r="AQ179" t="e">
        <f>VLOOKUP(F179,Eras!$A$2:$C$12, 2, TRUE)</f>
        <v>#N/A</v>
      </c>
      <c r="AS179" t="e">
        <f>CONCATENATE(AQ179,"_",AR179)</f>
        <v>#N/A</v>
      </c>
    </row>
    <row r="180" spans="1:45" x14ac:dyDescent="0.25">
      <c r="A180" t="s">
        <v>112</v>
      </c>
      <c r="B180" t="s">
        <v>252</v>
      </c>
      <c r="C180" t="s">
        <v>193</v>
      </c>
      <c r="E180" t="s">
        <v>372</v>
      </c>
      <c r="W180" s="4" t="str">
        <f>IF(AND(S180&gt;0,V180&gt;0),(V180/((S180+T180)*10)),"")</f>
        <v/>
      </c>
      <c r="AE180" t="str">
        <f>CONCATENATE(VLOOKUP(AF180, 'Voxel Sizes'!$A$2:$B$18,2,FALSE),"x",INT(AB180*15), "x", INT(AC180*15))</f>
        <v>0x0x0</v>
      </c>
      <c r="AF180">
        <f>ROUND(15*((AA180*10)/256),0)</f>
        <v>0</v>
      </c>
      <c r="AH180" t="str">
        <f>CONCATENATE(VLOOKUP(AF180,'Articulated Lengths'!$A$2:$C$16,IF(AG180&lt;&gt;"", 3, 2), FALSE),IF(AG180&lt;&gt;"",CONCATENATE(",",VLOOKUP(AG180,$B$2:$AH$213,33,FALSE)),""))</f>
        <v>na</v>
      </c>
      <c r="AM180">
        <v>10</v>
      </c>
      <c r="AN180">
        <v>10</v>
      </c>
      <c r="AQ180" t="e">
        <f>VLOOKUP(F180,Eras!$A$2:$C$12, 2, TRUE)</f>
        <v>#N/A</v>
      </c>
      <c r="AS180" t="e">
        <f>CONCATENATE(AQ180,"_",AR180)</f>
        <v>#N/A</v>
      </c>
    </row>
    <row r="181" spans="1:45" x14ac:dyDescent="0.25">
      <c r="A181" t="s">
        <v>113</v>
      </c>
      <c r="B181" t="s">
        <v>307</v>
      </c>
      <c r="C181" t="s">
        <v>193</v>
      </c>
      <c r="E181" t="s">
        <v>372</v>
      </c>
      <c r="W181" s="4" t="str">
        <f>IF(AND(S181&gt;0,V181&gt;0),(V181/((S181+T181)*10)),"")</f>
        <v/>
      </c>
      <c r="AE181" t="str">
        <f>CONCATENATE(VLOOKUP(AF181, 'Voxel Sizes'!$A$2:$B$18,2,FALSE),"x",INT(AB181*15), "x", INT(AC181*15))</f>
        <v>0x0x0</v>
      </c>
      <c r="AF181">
        <f>ROUND(15*((AA181*10)/256),0)</f>
        <v>0</v>
      </c>
      <c r="AH181" t="str">
        <f>CONCATENATE(VLOOKUP(AF181,'Articulated Lengths'!$A$2:$C$16,IF(AG181&lt;&gt;"", 3, 2), FALSE),IF(AG181&lt;&gt;"",CONCATENATE(",",VLOOKUP(AG181,$B$2:$AH$213,33,FALSE)),""))</f>
        <v>na</v>
      </c>
      <c r="AM181">
        <v>10</v>
      </c>
      <c r="AN181">
        <v>10</v>
      </c>
      <c r="AQ181" t="e">
        <f>VLOOKUP(F181,Eras!$A$2:$C$12, 2, TRUE)</f>
        <v>#N/A</v>
      </c>
      <c r="AS181" t="e">
        <f>CONCATENATE(AQ181,"_",AR181)</f>
        <v>#N/A</v>
      </c>
    </row>
    <row r="182" spans="1:45" x14ac:dyDescent="0.25">
      <c r="A182" t="s">
        <v>114</v>
      </c>
      <c r="B182" t="s">
        <v>302</v>
      </c>
      <c r="C182" t="s">
        <v>193</v>
      </c>
      <c r="E182" t="s">
        <v>372</v>
      </c>
      <c r="W182" s="4" t="str">
        <f>IF(AND(S182&gt;0,V182&gt;0),(V182/((S182+T182)*10)),"")</f>
        <v/>
      </c>
      <c r="AE182" t="str">
        <f>CONCATENATE(VLOOKUP(AF182, 'Voxel Sizes'!$A$2:$B$18,2,FALSE),"x",INT(AB182*15), "x", INT(AC182*15))</f>
        <v>0x0x0</v>
      </c>
      <c r="AF182">
        <f>ROUND(15*((AA182*10)/256),0)</f>
        <v>0</v>
      </c>
      <c r="AH182" t="str">
        <f>CONCATENATE(VLOOKUP(AF182,'Articulated Lengths'!$A$2:$C$16,IF(AG182&lt;&gt;"", 3, 2), FALSE),IF(AG182&lt;&gt;"",CONCATENATE(",",VLOOKUP(AG182,$B$2:$AH$213,33,FALSE)),""))</f>
        <v>na</v>
      </c>
      <c r="AM182">
        <v>10</v>
      </c>
      <c r="AN182">
        <v>10</v>
      </c>
      <c r="AQ182" t="e">
        <f>VLOOKUP(F182,Eras!$A$2:$C$12, 2, TRUE)</f>
        <v>#N/A</v>
      </c>
      <c r="AS182" t="e">
        <f>CONCATENATE(AQ182,"_",AR182)</f>
        <v>#N/A</v>
      </c>
    </row>
    <row r="183" spans="1:45" x14ac:dyDescent="0.25">
      <c r="A183" t="s">
        <v>115</v>
      </c>
      <c r="B183" t="s">
        <v>301</v>
      </c>
      <c r="C183" t="s">
        <v>193</v>
      </c>
      <c r="E183" t="s">
        <v>372</v>
      </c>
      <c r="W183" s="4" t="str">
        <f>IF(AND(S183&gt;0,V183&gt;0),(V183/((S183+T183)*10)),"")</f>
        <v/>
      </c>
      <c r="AE183" t="str">
        <f>CONCATENATE(VLOOKUP(AF183, 'Voxel Sizes'!$A$2:$B$18,2,FALSE),"x",INT(AB183*15), "x", INT(AC183*15))</f>
        <v>0x0x0</v>
      </c>
      <c r="AF183">
        <f>ROUND(15*((AA183*10)/256),0)</f>
        <v>0</v>
      </c>
      <c r="AH183" t="str">
        <f>CONCATENATE(VLOOKUP(AF183,'Articulated Lengths'!$A$2:$C$16,IF(AG183&lt;&gt;"", 3, 2), FALSE),IF(AG183&lt;&gt;"",CONCATENATE(",",VLOOKUP(AG183,$B$2:$AH$213,33,FALSE)),""))</f>
        <v>na</v>
      </c>
      <c r="AM183">
        <v>10</v>
      </c>
      <c r="AN183">
        <v>10</v>
      </c>
      <c r="AQ183" t="e">
        <f>VLOOKUP(F183,Eras!$A$2:$C$12, 2, TRUE)</f>
        <v>#N/A</v>
      </c>
      <c r="AS183" t="e">
        <f>CONCATENATE(AQ183,"_",AR183)</f>
        <v>#N/A</v>
      </c>
    </row>
    <row r="184" spans="1:45" x14ac:dyDescent="0.25">
      <c r="A184" t="s">
        <v>116</v>
      </c>
      <c r="B184" t="s">
        <v>311</v>
      </c>
      <c r="C184" t="s">
        <v>193</v>
      </c>
      <c r="E184" t="s">
        <v>372</v>
      </c>
      <c r="W184" s="4" t="str">
        <f>IF(AND(S184&gt;0,V184&gt;0),(V184/((S184+T184)*10)),"")</f>
        <v/>
      </c>
      <c r="AE184" t="str">
        <f>CONCATENATE(VLOOKUP(AF184, 'Voxel Sizes'!$A$2:$B$18,2,FALSE),"x",INT(AB184*15), "x", INT(AC184*15))</f>
        <v>0x0x0</v>
      </c>
      <c r="AF184">
        <f>ROUND(15*((AA184*10)/256),0)</f>
        <v>0</v>
      </c>
      <c r="AH184" t="str">
        <f>CONCATENATE(VLOOKUP(AF184,'Articulated Lengths'!$A$2:$C$16,IF(AG184&lt;&gt;"", 3, 2), FALSE),IF(AG184&lt;&gt;"",CONCATENATE(",",VLOOKUP(AG184,$B$2:$AH$213,33,FALSE)),""))</f>
        <v>na</v>
      </c>
      <c r="AM184">
        <v>10</v>
      </c>
      <c r="AN184">
        <v>10</v>
      </c>
      <c r="AQ184" t="e">
        <f>VLOOKUP(F184,Eras!$A$2:$C$12, 2, TRUE)</f>
        <v>#N/A</v>
      </c>
      <c r="AS184" t="e">
        <f>CONCATENATE(AQ184,"_",AR184)</f>
        <v>#N/A</v>
      </c>
    </row>
    <row r="185" spans="1:45" x14ac:dyDescent="0.25">
      <c r="A185" t="s">
        <v>117</v>
      </c>
      <c r="B185" t="s">
        <v>350</v>
      </c>
      <c r="C185" t="s">
        <v>193</v>
      </c>
      <c r="E185" t="s">
        <v>372</v>
      </c>
      <c r="W185" s="4" t="str">
        <f>IF(AND(S185&gt;0,V185&gt;0),(V185/((S185+T185)*10)),"")</f>
        <v/>
      </c>
      <c r="AE185" t="str">
        <f>CONCATENATE(VLOOKUP(AF185, 'Voxel Sizes'!$A$2:$B$18,2,FALSE),"x",INT(AB185*15), "x", INT(AC185*15))</f>
        <v>0x0x0</v>
      </c>
      <c r="AF185">
        <f>ROUND(15*((AA185*10)/256),0)</f>
        <v>0</v>
      </c>
      <c r="AH185" t="str">
        <f>CONCATENATE(VLOOKUP(AF185,'Articulated Lengths'!$A$2:$C$16,IF(AG185&lt;&gt;"", 3, 2), FALSE),IF(AG185&lt;&gt;"",CONCATENATE(",",VLOOKUP(AG185,$B$2:$AH$213,33,FALSE)),""))</f>
        <v>na</v>
      </c>
      <c r="AM185">
        <v>10</v>
      </c>
      <c r="AN185">
        <v>10</v>
      </c>
      <c r="AQ185" t="e">
        <f>VLOOKUP(F185,Eras!$A$2:$C$12, 2, TRUE)</f>
        <v>#N/A</v>
      </c>
      <c r="AS185" t="e">
        <f>CONCATENATE(AQ185,"_",AR185)</f>
        <v>#N/A</v>
      </c>
    </row>
    <row r="186" spans="1:45" x14ac:dyDescent="0.25">
      <c r="A186" t="s">
        <v>118</v>
      </c>
      <c r="B186" t="s">
        <v>310</v>
      </c>
      <c r="C186" t="s">
        <v>193</v>
      </c>
      <c r="E186" t="s">
        <v>372</v>
      </c>
      <c r="W186" s="4" t="str">
        <f>IF(AND(S186&gt;0,V186&gt;0),(V186/((S186+T186)*10)),"")</f>
        <v/>
      </c>
      <c r="AE186" t="str">
        <f>CONCATENATE(VLOOKUP(AF186, 'Voxel Sizes'!$A$2:$B$18,2,FALSE),"x",INT(AB186*15), "x", INT(AC186*15))</f>
        <v>0x0x0</v>
      </c>
      <c r="AF186">
        <f>ROUND(15*((AA186*10)/256),0)</f>
        <v>0</v>
      </c>
      <c r="AH186" t="str">
        <f>CONCATENATE(VLOOKUP(AF186,'Articulated Lengths'!$A$2:$C$16,IF(AG186&lt;&gt;"", 3, 2), FALSE),IF(AG186&lt;&gt;"",CONCATENATE(",",VLOOKUP(AG186,$B$2:$AH$213,33,FALSE)),""))</f>
        <v>na</v>
      </c>
      <c r="AM186">
        <v>10</v>
      </c>
      <c r="AN186">
        <v>10</v>
      </c>
      <c r="AQ186" t="e">
        <f>VLOOKUP(F186,Eras!$A$2:$C$12, 2, TRUE)</f>
        <v>#N/A</v>
      </c>
      <c r="AS186" t="e">
        <f>CONCATENATE(AQ186,"_",AR186)</f>
        <v>#N/A</v>
      </c>
    </row>
    <row r="187" spans="1:45" x14ac:dyDescent="0.25">
      <c r="A187" t="s">
        <v>120</v>
      </c>
      <c r="B187" t="s">
        <v>254</v>
      </c>
      <c r="C187" t="s">
        <v>193</v>
      </c>
      <c r="E187" t="s">
        <v>372</v>
      </c>
      <c r="W187" s="4" t="str">
        <f>IF(AND(S187&gt;0,V187&gt;0),(V187/((S187+T187)*10)),"")</f>
        <v/>
      </c>
      <c r="AE187" t="str">
        <f>CONCATENATE(VLOOKUP(AF187, 'Voxel Sizes'!$A$2:$B$18,2,FALSE),"x",INT(AB187*15), "x", INT(AC187*15))</f>
        <v>0x0x0</v>
      </c>
      <c r="AF187">
        <f>ROUND(15*((AA187*10)/256),0)</f>
        <v>0</v>
      </c>
      <c r="AH187" t="str">
        <f>CONCATENATE(VLOOKUP(AF187,'Articulated Lengths'!$A$2:$C$16,IF(AG187&lt;&gt;"", 3, 2), FALSE),IF(AG187&lt;&gt;"",CONCATENATE(",",VLOOKUP(AG187,$B$2:$AH$213,33,FALSE)),""))</f>
        <v>na</v>
      </c>
      <c r="AM187">
        <v>10</v>
      </c>
      <c r="AN187">
        <v>10</v>
      </c>
      <c r="AQ187" t="e">
        <f>VLOOKUP(F187,Eras!$A$2:$C$12, 2, TRUE)</f>
        <v>#N/A</v>
      </c>
      <c r="AS187" t="e">
        <f>CONCATENATE(AQ187,"_",AR187)</f>
        <v>#N/A</v>
      </c>
    </row>
    <row r="188" spans="1:45" x14ac:dyDescent="0.25">
      <c r="A188" t="s">
        <v>121</v>
      </c>
      <c r="B188" t="s">
        <v>255</v>
      </c>
      <c r="C188" t="s">
        <v>193</v>
      </c>
      <c r="E188" t="s">
        <v>372</v>
      </c>
      <c r="W188" s="4" t="str">
        <f>IF(AND(S188&gt;0,V188&gt;0),(V188/((S188+T188)*10)),"")</f>
        <v/>
      </c>
      <c r="AE188" t="str">
        <f>CONCATENATE(VLOOKUP(AF188, 'Voxel Sizes'!$A$2:$B$18,2,FALSE),"x",INT(AB188*15), "x", INT(AC188*15))</f>
        <v>0x0x0</v>
      </c>
      <c r="AF188">
        <f>ROUND(15*((AA188*10)/256),0)</f>
        <v>0</v>
      </c>
      <c r="AH188" t="str">
        <f>CONCATENATE(VLOOKUP(AF188,'Articulated Lengths'!$A$2:$C$16,IF(AG188&lt;&gt;"", 3, 2), FALSE),IF(AG188&lt;&gt;"",CONCATENATE(",",VLOOKUP(AG188,$B$2:$AH$213,33,FALSE)),""))</f>
        <v>na</v>
      </c>
      <c r="AM188">
        <v>10</v>
      </c>
      <c r="AN188">
        <v>10</v>
      </c>
      <c r="AQ188" t="e">
        <f>VLOOKUP(F188,Eras!$A$2:$C$12, 2, TRUE)</f>
        <v>#N/A</v>
      </c>
      <c r="AS188" t="e">
        <f>CONCATENATE(AQ188,"_",AR188)</f>
        <v>#N/A</v>
      </c>
    </row>
    <row r="189" spans="1:45" x14ac:dyDescent="0.25">
      <c r="A189" t="s">
        <v>122</v>
      </c>
      <c r="B189" t="s">
        <v>308</v>
      </c>
      <c r="C189" t="s">
        <v>193</v>
      </c>
      <c r="E189" t="s">
        <v>372</v>
      </c>
      <c r="W189" s="4" t="str">
        <f>IF(AND(S189&gt;0,V189&gt;0),(V189/((S189+T189)*10)),"")</f>
        <v/>
      </c>
      <c r="AE189" t="str">
        <f>CONCATENATE(VLOOKUP(AF189, 'Voxel Sizes'!$A$2:$B$18,2,FALSE),"x",INT(AB189*15), "x", INT(AC189*15))</f>
        <v>0x0x0</v>
      </c>
      <c r="AF189">
        <f>ROUND(15*((AA189*10)/256),0)</f>
        <v>0</v>
      </c>
      <c r="AH189" t="str">
        <f>CONCATENATE(VLOOKUP(AF189,'Articulated Lengths'!$A$2:$C$16,IF(AG189&lt;&gt;"", 3, 2), FALSE),IF(AG189&lt;&gt;"",CONCATENATE(",",VLOOKUP(AG189,$B$2:$AH$213,33,FALSE)),""))</f>
        <v>na</v>
      </c>
      <c r="AM189">
        <v>10</v>
      </c>
      <c r="AN189">
        <v>10</v>
      </c>
      <c r="AQ189" t="e">
        <f>VLOOKUP(F189,Eras!$A$2:$C$12, 2, TRUE)</f>
        <v>#N/A</v>
      </c>
      <c r="AS189" t="e">
        <f>CONCATENATE(AQ189,"_",AR189)</f>
        <v>#N/A</v>
      </c>
    </row>
    <row r="190" spans="1:45" x14ac:dyDescent="0.25">
      <c r="A190" t="s">
        <v>123</v>
      </c>
      <c r="B190" t="s">
        <v>348</v>
      </c>
      <c r="C190" t="s">
        <v>193</v>
      </c>
      <c r="E190" t="s">
        <v>372</v>
      </c>
      <c r="W190" s="4" t="str">
        <f>IF(AND(S190&gt;0,V190&gt;0),(V190/((S190+T190)*10)),"")</f>
        <v/>
      </c>
      <c r="AE190" t="str">
        <f>CONCATENATE(VLOOKUP(AF190, 'Voxel Sizes'!$A$2:$B$18,2,FALSE),"x",INT(AB190*15), "x", INT(AC190*15))</f>
        <v>0x0x0</v>
      </c>
      <c r="AF190">
        <f>ROUND(15*((AA190*10)/256),0)</f>
        <v>0</v>
      </c>
      <c r="AH190" t="str">
        <f>CONCATENATE(VLOOKUP(AF190,'Articulated Lengths'!$A$2:$C$16,IF(AG190&lt;&gt;"", 3, 2), FALSE),IF(AG190&lt;&gt;"",CONCATENATE(",",VLOOKUP(AG190,$B$2:$AH$213,33,FALSE)),""))</f>
        <v>na</v>
      </c>
      <c r="AM190">
        <v>10</v>
      </c>
      <c r="AN190">
        <v>10</v>
      </c>
      <c r="AQ190" t="e">
        <f>VLOOKUP(F190,Eras!$A$2:$C$12, 2, TRUE)</f>
        <v>#N/A</v>
      </c>
      <c r="AR190" t="s">
        <v>452</v>
      </c>
      <c r="AS190" t="e">
        <f>CONCATENATE(AQ190,"_",AR190)</f>
        <v>#N/A</v>
      </c>
    </row>
    <row r="191" spans="1:45" x14ac:dyDescent="0.25">
      <c r="A191" t="s">
        <v>124</v>
      </c>
      <c r="B191" t="s">
        <v>256</v>
      </c>
      <c r="C191" t="s">
        <v>193</v>
      </c>
      <c r="E191" t="s">
        <v>372</v>
      </c>
      <c r="W191" s="4" t="str">
        <f>IF(AND(S191&gt;0,V191&gt;0),(V191/((S191+T191)*10)),"")</f>
        <v/>
      </c>
      <c r="AE191" t="str">
        <f>CONCATENATE(VLOOKUP(AF191, 'Voxel Sizes'!$A$2:$B$18,2,FALSE),"x",INT(AB191*15), "x", INT(AC191*15))</f>
        <v>0x0x0</v>
      </c>
      <c r="AF191">
        <f>ROUND(15*((AA191*10)/256),0)</f>
        <v>0</v>
      </c>
      <c r="AH191" t="str">
        <f>CONCATENATE(VLOOKUP(AF191,'Articulated Lengths'!$A$2:$C$16,IF(AG191&lt;&gt;"", 3, 2), FALSE),IF(AG191&lt;&gt;"",CONCATENATE(",",VLOOKUP(AG191,$B$2:$AH$213,33,FALSE)),""))</f>
        <v>na</v>
      </c>
      <c r="AM191">
        <v>10</v>
      </c>
      <c r="AN191">
        <v>10</v>
      </c>
      <c r="AQ191" t="e">
        <f>VLOOKUP(F191,Eras!$A$2:$C$12, 2, TRUE)</f>
        <v>#N/A</v>
      </c>
      <c r="AR191" t="s">
        <v>452</v>
      </c>
      <c r="AS191" t="e">
        <f>CONCATENATE(AQ191,"_",AR191)</f>
        <v>#N/A</v>
      </c>
    </row>
    <row r="192" spans="1:45" x14ac:dyDescent="0.25">
      <c r="A192" t="s">
        <v>137</v>
      </c>
      <c r="B192" t="s">
        <v>351</v>
      </c>
      <c r="C192" t="s">
        <v>193</v>
      </c>
      <c r="E192" t="s">
        <v>372</v>
      </c>
      <c r="W192" s="4" t="str">
        <f>IF(AND(S192&gt;0,V192&gt;0),(V192/((S192+T192)*10)),"")</f>
        <v/>
      </c>
      <c r="AE192" t="str">
        <f>CONCATENATE(VLOOKUP(AF192, 'Voxel Sizes'!$A$2:$B$18,2,FALSE),"x",INT(AB192*15), "x", INT(AC192*15))</f>
        <v>0x0x0</v>
      </c>
      <c r="AF192">
        <f>ROUND(15*((AA192*10)/256),0)</f>
        <v>0</v>
      </c>
      <c r="AH192" t="str">
        <f>CONCATENATE(VLOOKUP(AF192,'Articulated Lengths'!$A$2:$C$16,IF(AG192&lt;&gt;"", 3, 2), FALSE),IF(AG192&lt;&gt;"",CONCATENATE(",",VLOOKUP(AG192,$B$2:$AH$213,33,FALSE)),""))</f>
        <v>na</v>
      </c>
      <c r="AM192">
        <v>10</v>
      </c>
      <c r="AN192">
        <v>10</v>
      </c>
      <c r="AQ192" t="e">
        <f>VLOOKUP(F192,Eras!$A$2:$C$12, 2, TRUE)</f>
        <v>#N/A</v>
      </c>
      <c r="AS192" t="e">
        <f>CONCATENATE(AQ192,"_",AR192)</f>
        <v>#N/A</v>
      </c>
    </row>
    <row r="193" spans="1:45" x14ac:dyDescent="0.25">
      <c r="A193" t="s">
        <v>138</v>
      </c>
      <c r="B193" t="s">
        <v>352</v>
      </c>
      <c r="C193" t="s">
        <v>193</v>
      </c>
      <c r="E193" t="s">
        <v>372</v>
      </c>
      <c r="W193" s="4" t="str">
        <f>IF(AND(S193&gt;0,V193&gt;0),(V193/((S193+T193)*10)),"")</f>
        <v/>
      </c>
      <c r="AE193" t="str">
        <f>CONCATENATE(VLOOKUP(AF193, 'Voxel Sizes'!$A$2:$B$18,2,FALSE),"x",INT(AB193*15), "x", INT(AC193*15))</f>
        <v>0x0x0</v>
      </c>
      <c r="AF193">
        <f>ROUND(15*((AA193*10)/256),0)</f>
        <v>0</v>
      </c>
      <c r="AH193" t="str">
        <f>CONCATENATE(VLOOKUP(AF193,'Articulated Lengths'!$A$2:$C$16,IF(AG193&lt;&gt;"", 3, 2), FALSE),IF(AG193&lt;&gt;"",CONCATENATE(",",VLOOKUP(AG193,$B$2:$AH$213,33,FALSE)),""))</f>
        <v>na</v>
      </c>
      <c r="AM193">
        <v>10</v>
      </c>
      <c r="AN193">
        <v>10</v>
      </c>
      <c r="AQ193" t="e">
        <f>VLOOKUP(F193,Eras!$A$2:$C$12, 2, TRUE)</f>
        <v>#N/A</v>
      </c>
      <c r="AS193" t="e">
        <f>CONCATENATE(AQ193,"_",AR193)</f>
        <v>#N/A</v>
      </c>
    </row>
    <row r="194" spans="1:45" x14ac:dyDescent="0.25">
      <c r="A194" t="s">
        <v>139</v>
      </c>
      <c r="B194" t="s">
        <v>268</v>
      </c>
      <c r="C194" t="s">
        <v>193</v>
      </c>
      <c r="E194" t="s">
        <v>372</v>
      </c>
      <c r="W194" s="4" t="str">
        <f>IF(AND(S194&gt;0,V194&gt;0),(V194/((S194+T194)*10)),"")</f>
        <v/>
      </c>
      <c r="AE194" t="str">
        <f>CONCATENATE(VLOOKUP(AF194, 'Voxel Sizes'!$A$2:$B$18,2,FALSE),"x",INT(AB194*15), "x", INT(AC194*15))</f>
        <v>0x0x0</v>
      </c>
      <c r="AF194">
        <f>ROUND(15*((AA194*10)/256),0)</f>
        <v>0</v>
      </c>
      <c r="AH194" t="str">
        <f>CONCATENATE(VLOOKUP(AF194,'Articulated Lengths'!$A$2:$C$16,IF(AG194&lt;&gt;"", 3, 2), FALSE),IF(AG194&lt;&gt;"",CONCATENATE(",",VLOOKUP(AG194,$B$2:$AH$213,33,FALSE)),""))</f>
        <v>na</v>
      </c>
      <c r="AM194">
        <v>10</v>
      </c>
      <c r="AN194">
        <v>10</v>
      </c>
      <c r="AQ194" t="e">
        <f>VLOOKUP(F194,Eras!$A$2:$C$12, 2, TRUE)</f>
        <v>#N/A</v>
      </c>
      <c r="AS194" t="e">
        <f>CONCATENATE(AQ194,"_",AR194)</f>
        <v>#N/A</v>
      </c>
    </row>
    <row r="195" spans="1:45" x14ac:dyDescent="0.25">
      <c r="A195" t="s">
        <v>141</v>
      </c>
      <c r="B195" t="s">
        <v>269</v>
      </c>
      <c r="C195" t="s">
        <v>193</v>
      </c>
      <c r="E195" t="s">
        <v>372</v>
      </c>
      <c r="W195" s="4" t="str">
        <f>IF(AND(S195&gt;0,V195&gt;0),(V195/((S195+T195)*10)),"")</f>
        <v/>
      </c>
      <c r="AE195" t="str">
        <f>CONCATENATE(VLOOKUP(AF195, 'Voxel Sizes'!$A$2:$B$18,2,FALSE),"x",INT(AB195*15), "x", INT(AC195*15))</f>
        <v>0x0x0</v>
      </c>
      <c r="AF195">
        <f>ROUND(15*((AA195*10)/256),0)</f>
        <v>0</v>
      </c>
      <c r="AH195" t="str">
        <f>CONCATENATE(VLOOKUP(AF195,'Articulated Lengths'!$A$2:$C$16,IF(AG195&lt;&gt;"", 3, 2), FALSE),IF(AG195&lt;&gt;"",CONCATENATE(",",VLOOKUP(AG195,$B$2:$AH$213,33,FALSE)),""))</f>
        <v>na</v>
      </c>
      <c r="AM195">
        <v>10</v>
      </c>
      <c r="AN195">
        <v>10</v>
      </c>
      <c r="AQ195" t="e">
        <f>VLOOKUP(F195,Eras!$A$2:$C$12, 2, TRUE)</f>
        <v>#N/A</v>
      </c>
      <c r="AS195" t="e">
        <f>CONCATENATE(AQ195,"_",AR195)</f>
        <v>#N/A</v>
      </c>
    </row>
    <row r="196" spans="1:45" x14ac:dyDescent="0.25">
      <c r="A196" t="s">
        <v>142</v>
      </c>
      <c r="B196" t="s">
        <v>356</v>
      </c>
      <c r="C196" t="s">
        <v>193</v>
      </c>
      <c r="E196" t="s">
        <v>372</v>
      </c>
      <c r="U196">
        <v>9</v>
      </c>
      <c r="W196" s="4" t="str">
        <f>IF(AND(S196&gt;0,V196&gt;0),(V196/((S196+T196)*10)),"")</f>
        <v/>
      </c>
      <c r="AE196" t="str">
        <f>CONCATENATE(VLOOKUP(AF196, 'Voxel Sizes'!$A$2:$B$18,2,FALSE),"x",INT(AB196*15), "x", INT(AC196*15))</f>
        <v>0x0x0</v>
      </c>
      <c r="AF196">
        <f>ROUND(15*((AA196*10)/256),0)</f>
        <v>0</v>
      </c>
      <c r="AH196" t="str">
        <f>CONCATENATE(VLOOKUP(AF196,'Articulated Lengths'!$A$2:$C$16,IF(AG196&lt;&gt;"", 3, 2), FALSE),IF(AG196&lt;&gt;"",CONCATENATE(",",VLOOKUP(AG196,$B$2:$AH$213,33,FALSE)),""))</f>
        <v>na</v>
      </c>
      <c r="AM196">
        <v>10</v>
      </c>
      <c r="AN196">
        <v>10</v>
      </c>
      <c r="AQ196" t="e">
        <f>VLOOKUP(F196,Eras!$A$2:$C$12, 2, TRUE)</f>
        <v>#N/A</v>
      </c>
      <c r="AS196" t="e">
        <f>CONCATENATE(AQ196,"_",AR196)</f>
        <v>#N/A</v>
      </c>
    </row>
    <row r="197" spans="1:45" x14ac:dyDescent="0.25">
      <c r="A197" t="s">
        <v>145</v>
      </c>
      <c r="B197" t="s">
        <v>358</v>
      </c>
      <c r="C197" t="s">
        <v>193</v>
      </c>
      <c r="E197" t="s">
        <v>372</v>
      </c>
      <c r="W197" s="4" t="str">
        <f>IF(AND(S197&gt;0,V197&gt;0),(V197/((S197+T197)*10)),"")</f>
        <v/>
      </c>
      <c r="AE197" t="str">
        <f>CONCATENATE(VLOOKUP(AF197, 'Voxel Sizes'!$A$2:$B$18,2,FALSE),"x",INT(AB197*15), "x", INT(AC197*15))</f>
        <v>0x0x0</v>
      </c>
      <c r="AF197">
        <f>ROUND(15*((AA197*10)/256),0)</f>
        <v>0</v>
      </c>
      <c r="AH197" t="str">
        <f>CONCATENATE(VLOOKUP(AF197,'Articulated Lengths'!$A$2:$C$16,IF(AG197&lt;&gt;"", 3, 2), FALSE),IF(AG197&lt;&gt;"",CONCATENATE(",",VLOOKUP(AG197,$B$2:$AH$213,33,FALSE)),""))</f>
        <v>na</v>
      </c>
      <c r="AM197">
        <v>10</v>
      </c>
      <c r="AN197">
        <v>10</v>
      </c>
      <c r="AQ197" t="e">
        <f>VLOOKUP(F197,Eras!$A$2:$C$12, 2, TRUE)</f>
        <v>#N/A</v>
      </c>
      <c r="AS197" t="e">
        <f>CONCATENATE(AQ197,"_",AR197)</f>
        <v>#N/A</v>
      </c>
    </row>
    <row r="198" spans="1:45" x14ac:dyDescent="0.25">
      <c r="A198" t="s">
        <v>146</v>
      </c>
      <c r="B198" t="s">
        <v>270</v>
      </c>
      <c r="C198" t="s">
        <v>193</v>
      </c>
      <c r="E198" t="s">
        <v>372</v>
      </c>
      <c r="W198" s="4" t="str">
        <f>IF(AND(S198&gt;0,V198&gt;0),(V198/((S198+T198)*10)),"")</f>
        <v/>
      </c>
      <c r="AE198" t="str">
        <f>CONCATENATE(VLOOKUP(AF198, 'Voxel Sizes'!$A$2:$B$18,2,FALSE),"x",INT(AB198*15), "x", INT(AC198*15))</f>
        <v>0x0x0</v>
      </c>
      <c r="AF198">
        <f>ROUND(15*((AA198*10)/256),0)</f>
        <v>0</v>
      </c>
      <c r="AH198" t="str">
        <f>CONCATENATE(VLOOKUP(AF198,'Articulated Lengths'!$A$2:$C$16,IF(AG198&lt;&gt;"", 3, 2), FALSE),IF(AG198&lt;&gt;"",CONCATENATE(",",VLOOKUP(AG198,$B$2:$AH$213,33,FALSE)),""))</f>
        <v>na</v>
      </c>
      <c r="AM198">
        <v>10</v>
      </c>
      <c r="AN198">
        <v>10</v>
      </c>
      <c r="AQ198" t="e">
        <f>VLOOKUP(F198,Eras!$A$2:$C$12, 2, TRUE)</f>
        <v>#N/A</v>
      </c>
      <c r="AS198" t="e">
        <f>CONCATENATE(AQ198,"_",AR198)</f>
        <v>#N/A</v>
      </c>
    </row>
    <row r="199" spans="1:45" x14ac:dyDescent="0.25">
      <c r="A199" t="s">
        <v>147</v>
      </c>
      <c r="B199" t="s">
        <v>271</v>
      </c>
      <c r="C199" t="s">
        <v>193</v>
      </c>
      <c r="E199" t="s">
        <v>372</v>
      </c>
      <c r="W199" s="4" t="str">
        <f>IF(AND(S199&gt;0,V199&gt;0),(V199/((S199+T199)*10)),"")</f>
        <v/>
      </c>
      <c r="AE199" t="str">
        <f>CONCATENATE(VLOOKUP(AF199, 'Voxel Sizes'!$A$2:$B$18,2,FALSE),"x",INT(AB199*15), "x", INT(AC199*15))</f>
        <v>0x0x0</v>
      </c>
      <c r="AF199">
        <f>ROUND(15*((AA199*10)/256),0)</f>
        <v>0</v>
      </c>
      <c r="AH199" t="str">
        <f>CONCATENATE(VLOOKUP(AF199,'Articulated Lengths'!$A$2:$C$16,IF(AG199&lt;&gt;"", 3, 2), FALSE),IF(AG199&lt;&gt;"",CONCATENATE(",",VLOOKUP(AG199,$B$2:$AH$213,33,FALSE)),""))</f>
        <v>na</v>
      </c>
      <c r="AM199">
        <v>10</v>
      </c>
      <c r="AN199">
        <v>10</v>
      </c>
      <c r="AQ199" t="e">
        <f>VLOOKUP(F199,Eras!$A$2:$C$12, 2, TRUE)</f>
        <v>#N/A</v>
      </c>
      <c r="AS199" t="e">
        <f>CONCATENATE(AQ199,"_",AR199)</f>
        <v>#N/A</v>
      </c>
    </row>
    <row r="200" spans="1:45" x14ac:dyDescent="0.25">
      <c r="A200" t="s">
        <v>148</v>
      </c>
      <c r="B200" t="s">
        <v>272</v>
      </c>
      <c r="C200" t="s">
        <v>193</v>
      </c>
      <c r="E200" t="s">
        <v>372</v>
      </c>
      <c r="W200" s="4" t="str">
        <f>IF(AND(S200&gt;0,V200&gt;0),(V200/((S200+T200)*10)),"")</f>
        <v/>
      </c>
      <c r="AE200" t="str">
        <f>CONCATENATE(VLOOKUP(AF200, 'Voxel Sizes'!$A$2:$B$18,2,FALSE),"x",INT(AB200*15), "x", INT(AC200*15))</f>
        <v>0x0x0</v>
      </c>
      <c r="AF200">
        <f>ROUND(15*((AA200*10)/256),0)</f>
        <v>0</v>
      </c>
      <c r="AH200" t="str">
        <f>CONCATENATE(VLOOKUP(AF200,'Articulated Lengths'!$A$2:$C$16,IF(AG200&lt;&gt;"", 3, 2), FALSE),IF(AG200&lt;&gt;"",CONCATENATE(",",VLOOKUP(AG200,$B$2:$AH$213,33,FALSE)),""))</f>
        <v>na</v>
      </c>
      <c r="AM200">
        <v>10</v>
      </c>
      <c r="AN200">
        <v>10</v>
      </c>
      <c r="AQ200" t="e">
        <f>VLOOKUP(F200,Eras!$A$2:$C$12, 2, TRUE)</f>
        <v>#N/A</v>
      </c>
      <c r="AS200" t="e">
        <f>CONCATENATE(AQ200,"_",AR200)</f>
        <v>#N/A</v>
      </c>
    </row>
    <row r="201" spans="1:45" x14ac:dyDescent="0.25">
      <c r="A201" t="s">
        <v>151</v>
      </c>
      <c r="B201" t="s">
        <v>273</v>
      </c>
      <c r="C201" t="s">
        <v>193</v>
      </c>
      <c r="E201" t="s">
        <v>372</v>
      </c>
      <c r="W201" s="4" t="str">
        <f>IF(AND(S201&gt;0,V201&gt;0),(V201/((S201+T201)*10)),"")</f>
        <v/>
      </c>
      <c r="AE201" t="str">
        <f>CONCATENATE(VLOOKUP(AF201, 'Voxel Sizes'!$A$2:$B$18,2,FALSE),"x",INT(AB201*15), "x", INT(AC201*15))</f>
        <v>0x0x0</v>
      </c>
      <c r="AF201">
        <f>ROUND(15*((AA201*10)/256),0)</f>
        <v>0</v>
      </c>
      <c r="AH201" t="str">
        <f>CONCATENATE(VLOOKUP(AF201,'Articulated Lengths'!$A$2:$C$16,IF(AG201&lt;&gt;"", 3, 2), FALSE),IF(AG201&lt;&gt;"",CONCATENATE(",",VLOOKUP(AG201,$B$2:$AH$213,33,FALSE)),""))</f>
        <v>na</v>
      </c>
      <c r="AM201">
        <v>10</v>
      </c>
      <c r="AN201">
        <v>10</v>
      </c>
      <c r="AQ201" t="e">
        <f>VLOOKUP(F201,Eras!$A$2:$C$12, 2, TRUE)</f>
        <v>#N/A</v>
      </c>
      <c r="AS201" t="e">
        <f>CONCATENATE(AQ201,"_",AR201)</f>
        <v>#N/A</v>
      </c>
    </row>
    <row r="202" spans="1:45" x14ac:dyDescent="0.25">
      <c r="A202" t="s">
        <v>152</v>
      </c>
      <c r="B202" t="s">
        <v>274</v>
      </c>
      <c r="C202" t="s">
        <v>193</v>
      </c>
      <c r="E202" t="s">
        <v>372</v>
      </c>
      <c r="W202" s="4" t="str">
        <f>IF(AND(S202&gt;0,V202&gt;0),(V202/((S202+T202)*10)),"")</f>
        <v/>
      </c>
      <c r="AE202" t="str">
        <f>CONCATENATE(VLOOKUP(AF202, 'Voxel Sizes'!$A$2:$B$18,2,FALSE),"x",INT(AB202*15), "x", INT(AC202*15))</f>
        <v>0x0x0</v>
      </c>
      <c r="AF202">
        <f>ROUND(15*((AA202*10)/256),0)</f>
        <v>0</v>
      </c>
      <c r="AH202" t="str">
        <f>CONCATENATE(VLOOKUP(AF202,'Articulated Lengths'!$A$2:$C$16,IF(AG202&lt;&gt;"", 3, 2), FALSE),IF(AG202&lt;&gt;"",CONCATENATE(",",VLOOKUP(AG202,$B$2:$AH$213,33,FALSE)),""))</f>
        <v>na</v>
      </c>
      <c r="AM202">
        <v>10</v>
      </c>
      <c r="AN202">
        <v>10</v>
      </c>
      <c r="AQ202" t="e">
        <f>VLOOKUP(F202,Eras!$A$2:$C$12, 2, TRUE)</f>
        <v>#N/A</v>
      </c>
      <c r="AS202" t="e">
        <f>CONCATENATE(AQ202,"_",AR202)</f>
        <v>#N/A</v>
      </c>
    </row>
    <row r="203" spans="1:45" x14ac:dyDescent="0.25">
      <c r="A203" t="s">
        <v>155</v>
      </c>
      <c r="B203" t="s">
        <v>275</v>
      </c>
      <c r="C203" t="s">
        <v>193</v>
      </c>
      <c r="E203" t="s">
        <v>372</v>
      </c>
      <c r="W203" s="4" t="str">
        <f>IF(AND(S203&gt;0,V203&gt;0),(V203/((S203+T203)*10)),"")</f>
        <v/>
      </c>
      <c r="AE203" t="str">
        <f>CONCATENATE(VLOOKUP(AF203, 'Voxel Sizes'!$A$2:$B$18,2,FALSE),"x",INT(AB203*15), "x", INT(AC203*15))</f>
        <v>0x0x0</v>
      </c>
      <c r="AF203">
        <f>ROUND(15*((AA203*10)/256),0)</f>
        <v>0</v>
      </c>
      <c r="AH203" t="str">
        <f>CONCATENATE(VLOOKUP(AF203,'Articulated Lengths'!$A$2:$C$16,IF(AG203&lt;&gt;"", 3, 2), FALSE),IF(AG203&lt;&gt;"",CONCATENATE(",",VLOOKUP(AG203,$B$2:$AH$213,33,FALSE)),""))</f>
        <v>na</v>
      </c>
      <c r="AM203">
        <v>10</v>
      </c>
      <c r="AN203">
        <v>10</v>
      </c>
      <c r="AQ203" t="e">
        <f>VLOOKUP(F203,Eras!$A$2:$C$12, 2, TRUE)</f>
        <v>#N/A</v>
      </c>
      <c r="AS203" t="e">
        <f>CONCATENATE(AQ203,"_",AR203)</f>
        <v>#N/A</v>
      </c>
    </row>
    <row r="204" spans="1:45" x14ac:dyDescent="0.25">
      <c r="A204" t="s">
        <v>156</v>
      </c>
      <c r="B204" t="s">
        <v>276</v>
      </c>
      <c r="C204" t="s">
        <v>193</v>
      </c>
      <c r="E204" t="s">
        <v>372</v>
      </c>
      <c r="W204" s="4" t="str">
        <f>IF(AND(S204&gt;0,V204&gt;0),(V204/((S204+T204)*10)),"")</f>
        <v/>
      </c>
      <c r="AE204" t="str">
        <f>CONCATENATE(VLOOKUP(AF204, 'Voxel Sizes'!$A$2:$B$18,2,FALSE),"x",INT(AB204*15), "x", INT(AC204*15))</f>
        <v>0x0x0</v>
      </c>
      <c r="AF204">
        <f>ROUND(15*((AA204*10)/256),0)</f>
        <v>0</v>
      </c>
      <c r="AH204" t="str">
        <f>CONCATENATE(VLOOKUP(AF204,'Articulated Lengths'!$A$2:$C$16,IF(AG204&lt;&gt;"", 3, 2), FALSE),IF(AG204&lt;&gt;"",CONCATENATE(",",VLOOKUP(AG204,$B$2:$AH$213,33,FALSE)),""))</f>
        <v>na</v>
      </c>
      <c r="AM204">
        <v>10</v>
      </c>
      <c r="AN204">
        <v>10</v>
      </c>
      <c r="AQ204" t="e">
        <f>VLOOKUP(F204,Eras!$A$2:$C$12, 2, TRUE)</f>
        <v>#N/A</v>
      </c>
      <c r="AS204" t="e">
        <f>CONCATENATE(AQ204,"_",AR204)</f>
        <v>#N/A</v>
      </c>
    </row>
    <row r="205" spans="1:45" x14ac:dyDescent="0.25">
      <c r="A205" t="s">
        <v>157</v>
      </c>
      <c r="B205" t="s">
        <v>277</v>
      </c>
      <c r="C205" t="s">
        <v>193</v>
      </c>
      <c r="E205" t="s">
        <v>372</v>
      </c>
      <c r="W205" s="4" t="str">
        <f>IF(AND(S205&gt;0,V205&gt;0),(V205/((S205+T205)*10)),"")</f>
        <v/>
      </c>
      <c r="AE205" t="str">
        <f>CONCATENATE(VLOOKUP(AF205, 'Voxel Sizes'!$A$2:$B$18,2,FALSE),"x",INT(AB205*15), "x", INT(AC205*15))</f>
        <v>0x0x0</v>
      </c>
      <c r="AF205">
        <f>ROUND(15*((AA205*10)/256),0)</f>
        <v>0</v>
      </c>
      <c r="AH205" t="str">
        <f>CONCATENATE(VLOOKUP(AF205,'Articulated Lengths'!$A$2:$C$16,IF(AG205&lt;&gt;"", 3, 2), FALSE),IF(AG205&lt;&gt;"",CONCATENATE(",",VLOOKUP(AG205,$B$2:$AH$213,33,FALSE)),""))</f>
        <v>na</v>
      </c>
      <c r="AM205">
        <v>10</v>
      </c>
      <c r="AN205">
        <v>10</v>
      </c>
      <c r="AQ205" t="e">
        <f>VLOOKUP(F205,Eras!$A$2:$C$12, 2, TRUE)</f>
        <v>#N/A</v>
      </c>
      <c r="AS205" t="e">
        <f>CONCATENATE(AQ205,"_",AR205)</f>
        <v>#N/A</v>
      </c>
    </row>
    <row r="206" spans="1:45" x14ac:dyDescent="0.25">
      <c r="A206" t="s">
        <v>158</v>
      </c>
      <c r="B206" t="s">
        <v>278</v>
      </c>
      <c r="C206" t="s">
        <v>193</v>
      </c>
      <c r="E206" t="s">
        <v>372</v>
      </c>
      <c r="W206" s="4" t="str">
        <f>IF(AND(S206&gt;0,V206&gt;0),(V206/((S206+T206)*10)),"")</f>
        <v/>
      </c>
      <c r="AE206" t="str">
        <f>CONCATENATE(VLOOKUP(AF206, 'Voxel Sizes'!$A$2:$B$18,2,FALSE),"x",INT(AB206*15), "x", INT(AC206*15))</f>
        <v>0x0x0</v>
      </c>
      <c r="AF206">
        <f>ROUND(15*((AA206*10)/256),0)</f>
        <v>0</v>
      </c>
      <c r="AH206" t="str">
        <f>CONCATENATE(VLOOKUP(AF206,'Articulated Lengths'!$A$2:$C$16,IF(AG206&lt;&gt;"", 3, 2), FALSE),IF(AG206&lt;&gt;"",CONCATENATE(",",VLOOKUP(AG206,$B$2:$AH$213,33,FALSE)),""))</f>
        <v>na</v>
      </c>
      <c r="AM206">
        <v>10</v>
      </c>
      <c r="AN206">
        <v>10</v>
      </c>
      <c r="AQ206" t="e">
        <f>VLOOKUP(F206,Eras!$A$2:$C$12, 2, TRUE)</f>
        <v>#N/A</v>
      </c>
      <c r="AS206" t="e">
        <f>CONCATENATE(AQ206,"_",AR206)</f>
        <v>#N/A</v>
      </c>
    </row>
    <row r="207" spans="1:45" x14ac:dyDescent="0.25">
      <c r="A207" t="s">
        <v>159</v>
      </c>
      <c r="B207" t="s">
        <v>279</v>
      </c>
      <c r="C207" t="s">
        <v>193</v>
      </c>
      <c r="E207" t="s">
        <v>372</v>
      </c>
      <c r="W207" s="4" t="str">
        <f>IF(AND(S207&gt;0,V207&gt;0),(V207/((S207+T207)*10)),"")</f>
        <v/>
      </c>
      <c r="AE207" t="str">
        <f>CONCATENATE(VLOOKUP(AF207, 'Voxel Sizes'!$A$2:$B$18,2,FALSE),"x",INT(AB207*15), "x", INT(AC207*15))</f>
        <v>0x0x0</v>
      </c>
      <c r="AF207">
        <f>ROUND(15*((AA207*10)/256),0)</f>
        <v>0</v>
      </c>
      <c r="AH207" t="str">
        <f>CONCATENATE(VLOOKUP(AF207,'Articulated Lengths'!$A$2:$C$16,IF(AG207&lt;&gt;"", 3, 2), FALSE),IF(AG207&lt;&gt;"",CONCATENATE(",",VLOOKUP(AG207,$B$2:$AH$213,33,FALSE)),""))</f>
        <v>na</v>
      </c>
      <c r="AM207">
        <v>10</v>
      </c>
      <c r="AN207">
        <v>10</v>
      </c>
      <c r="AQ207" t="e">
        <f>VLOOKUP(F207,Eras!$A$2:$C$12, 2, TRUE)</f>
        <v>#N/A</v>
      </c>
      <c r="AS207" t="e">
        <f>CONCATENATE(AQ207,"_",AR207)</f>
        <v>#N/A</v>
      </c>
    </row>
    <row r="208" spans="1:45" x14ac:dyDescent="0.25">
      <c r="A208" t="s">
        <v>160</v>
      </c>
      <c r="B208" t="s">
        <v>280</v>
      </c>
      <c r="C208" t="s">
        <v>193</v>
      </c>
      <c r="E208" t="s">
        <v>372</v>
      </c>
      <c r="W208" s="4" t="str">
        <f>IF(AND(S208&gt;0,V208&gt;0),(V208/((S208+T208)*10)),"")</f>
        <v/>
      </c>
      <c r="AE208" t="str">
        <f>CONCATENATE(VLOOKUP(AF208, 'Voxel Sizes'!$A$2:$B$18,2,FALSE),"x",INT(AB208*15), "x", INT(AC208*15))</f>
        <v>0x0x0</v>
      </c>
      <c r="AF208">
        <f>ROUND(15*((AA208*10)/256),0)</f>
        <v>0</v>
      </c>
      <c r="AH208" t="str">
        <f>CONCATENATE(VLOOKUP(AF208,'Articulated Lengths'!$A$2:$C$16,IF(AG208&lt;&gt;"", 3, 2), FALSE),IF(AG208&lt;&gt;"",CONCATENATE(",",VLOOKUP(AG208,$B$2:$AH$213,33,FALSE)),""))</f>
        <v>na</v>
      </c>
      <c r="AM208">
        <v>10</v>
      </c>
      <c r="AN208">
        <v>10</v>
      </c>
      <c r="AQ208" t="e">
        <f>VLOOKUP(F208,Eras!$A$2:$C$12, 2, TRUE)</f>
        <v>#N/A</v>
      </c>
      <c r="AS208" t="e">
        <f>CONCATENATE(AQ208,"_",AR208)</f>
        <v>#N/A</v>
      </c>
    </row>
    <row r="209" spans="1:45" x14ac:dyDescent="0.25">
      <c r="A209" t="s">
        <v>161</v>
      </c>
      <c r="B209" t="s">
        <v>281</v>
      </c>
      <c r="C209" t="s">
        <v>193</v>
      </c>
      <c r="E209" t="s">
        <v>372</v>
      </c>
      <c r="W209" s="4" t="str">
        <f>IF(AND(S209&gt;0,V209&gt;0),(V209/((S209+T209)*10)),"")</f>
        <v/>
      </c>
      <c r="AE209" t="str">
        <f>CONCATENATE(VLOOKUP(AF209, 'Voxel Sizes'!$A$2:$B$18,2,FALSE),"x",INT(AB209*15), "x", INT(AC209*15))</f>
        <v>0x0x0</v>
      </c>
      <c r="AF209">
        <f>ROUND(15*((AA209*10)/256),0)</f>
        <v>0</v>
      </c>
      <c r="AH209" t="str">
        <f>CONCATENATE(VLOOKUP(AF209,'Articulated Lengths'!$A$2:$C$16,IF(AG209&lt;&gt;"", 3, 2), FALSE),IF(AG209&lt;&gt;"",CONCATENATE(",",VLOOKUP(AG209,$B$2:$AH$213,33,FALSE)),""))</f>
        <v>na</v>
      </c>
      <c r="AM209">
        <v>10</v>
      </c>
      <c r="AN209">
        <v>10</v>
      </c>
      <c r="AQ209" t="e">
        <f>VLOOKUP(F209,Eras!$A$2:$C$12, 2, TRUE)</f>
        <v>#N/A</v>
      </c>
      <c r="AS209" t="e">
        <f>CONCATENATE(AQ209,"_",AR209)</f>
        <v>#N/A</v>
      </c>
    </row>
    <row r="210" spans="1:45" x14ac:dyDescent="0.25">
      <c r="A210" t="s">
        <v>162</v>
      </c>
      <c r="B210" t="s">
        <v>282</v>
      </c>
      <c r="C210" t="s">
        <v>193</v>
      </c>
      <c r="E210" t="s">
        <v>372</v>
      </c>
      <c r="W210" s="4" t="str">
        <f>IF(AND(S210&gt;0,V210&gt;0),(V210/((S210+T210)*10)),"")</f>
        <v/>
      </c>
      <c r="AE210" t="str">
        <f>CONCATENATE(VLOOKUP(AF210, 'Voxel Sizes'!$A$2:$B$18,2,FALSE),"x",INT(AB210*15), "x", INT(AC210*15))</f>
        <v>0x0x0</v>
      </c>
      <c r="AF210">
        <f>ROUND(15*((AA210*10)/256),0)</f>
        <v>0</v>
      </c>
      <c r="AH210" t="str">
        <f>CONCATENATE(VLOOKUP(AF210,'Articulated Lengths'!$A$2:$C$16,IF(AG210&lt;&gt;"", 3, 2), FALSE),IF(AG210&lt;&gt;"",CONCATENATE(",",VLOOKUP(AG210,$B$2:$AH$213,33,FALSE)),""))</f>
        <v>na</v>
      </c>
      <c r="AM210">
        <v>10</v>
      </c>
      <c r="AN210">
        <v>10</v>
      </c>
      <c r="AQ210" t="e">
        <f>VLOOKUP(F210,Eras!$A$2:$C$12, 2, TRUE)</f>
        <v>#N/A</v>
      </c>
      <c r="AS210" t="e">
        <f>CONCATENATE(AQ210,"_",AR210)</f>
        <v>#N/A</v>
      </c>
    </row>
    <row r="211" spans="1:45" x14ac:dyDescent="0.25">
      <c r="A211" t="s">
        <v>163</v>
      </c>
      <c r="B211" t="s">
        <v>283</v>
      </c>
      <c r="C211" t="s">
        <v>193</v>
      </c>
      <c r="E211" t="s">
        <v>372</v>
      </c>
      <c r="W211" s="4" t="str">
        <f>IF(AND(S211&gt;0,V211&gt;0),(V211/((S211+T211)*10)),"")</f>
        <v/>
      </c>
      <c r="AE211" t="str">
        <f>CONCATENATE(VLOOKUP(AF211, 'Voxel Sizes'!$A$2:$B$18,2,FALSE),"x",INT(AB211*15), "x", INT(AC211*15))</f>
        <v>0x0x0</v>
      </c>
      <c r="AF211">
        <f>ROUND(15*((AA211*10)/256),0)</f>
        <v>0</v>
      </c>
      <c r="AH211" t="str">
        <f>CONCATENATE(VLOOKUP(AF211,'Articulated Lengths'!$A$2:$C$16,IF(AG211&lt;&gt;"", 3, 2), FALSE),IF(AG211&lt;&gt;"",CONCATENATE(",",VLOOKUP(AG211,$B$2:$AH$213,33,FALSE)),""))</f>
        <v>na</v>
      </c>
      <c r="AM211">
        <v>10</v>
      </c>
      <c r="AN211">
        <v>10</v>
      </c>
      <c r="AQ211" t="e">
        <f>VLOOKUP(F211,Eras!$A$2:$C$12, 2, TRUE)</f>
        <v>#N/A</v>
      </c>
      <c r="AS211" t="e">
        <f>CONCATENATE(AQ211,"_",AR211)</f>
        <v>#N/A</v>
      </c>
    </row>
    <row r="212" spans="1:45" x14ac:dyDescent="0.25">
      <c r="A212" t="s">
        <v>164</v>
      </c>
      <c r="B212" t="s">
        <v>284</v>
      </c>
      <c r="C212" t="s">
        <v>193</v>
      </c>
      <c r="E212" t="s">
        <v>372</v>
      </c>
      <c r="W212" s="4" t="str">
        <f>IF(AND(S212&gt;0,V212&gt;0),(V212/((S212+T212)*10)),"")</f>
        <v/>
      </c>
      <c r="AE212" t="str">
        <f>CONCATENATE(VLOOKUP(AF212, 'Voxel Sizes'!$A$2:$B$18,2,FALSE),"x",INT(AB212*15), "x", INT(AC212*15))</f>
        <v>0x0x0</v>
      </c>
      <c r="AF212">
        <f>ROUND(15*((AA212*10)/256),0)</f>
        <v>0</v>
      </c>
      <c r="AH212" t="str">
        <f>CONCATENATE(VLOOKUP(AF212,'Articulated Lengths'!$A$2:$C$16,IF(AG212&lt;&gt;"", 3, 2), FALSE),IF(AG212&lt;&gt;"",CONCATENATE(",",VLOOKUP(AG212,$B$2:$AH$213,33,FALSE)),""))</f>
        <v>na</v>
      </c>
      <c r="AM212">
        <v>10</v>
      </c>
      <c r="AN212">
        <v>10</v>
      </c>
      <c r="AQ212" t="e">
        <f>VLOOKUP(F212,Eras!$A$2:$C$12, 2, TRUE)</f>
        <v>#N/A</v>
      </c>
      <c r="AS212" t="e">
        <f>CONCATENATE(AQ212,"_",AR212)</f>
        <v>#N/A</v>
      </c>
    </row>
    <row r="213" spans="1:45" x14ac:dyDescent="0.25">
      <c r="A213" t="s">
        <v>165</v>
      </c>
      <c r="B213" t="s">
        <v>285</v>
      </c>
      <c r="C213" t="s">
        <v>193</v>
      </c>
      <c r="E213" t="s">
        <v>372</v>
      </c>
      <c r="W213" s="4" t="str">
        <f>IF(AND(S213&gt;0,V213&gt;0),(V213/((S213+T213)*10)),"")</f>
        <v/>
      </c>
      <c r="AE213" t="str">
        <f>CONCATENATE(VLOOKUP(AF213, 'Voxel Sizes'!$A$2:$B$18,2,FALSE),"x",INT(AB213*15), "x", INT(AC213*15))</f>
        <v>0x0x0</v>
      </c>
      <c r="AF213">
        <f>ROUND(15*((AA213*10)/256),0)</f>
        <v>0</v>
      </c>
      <c r="AH213" t="str">
        <f>CONCATENATE(VLOOKUP(AF213,'Articulated Lengths'!$A$2:$C$16,IF(AG213&lt;&gt;"", 3, 2), FALSE),IF(AG213&lt;&gt;"",CONCATENATE(",",VLOOKUP(AG213,$B$2:$AH$213,33,FALSE)),""))</f>
        <v>na</v>
      </c>
      <c r="AM213">
        <v>10</v>
      </c>
      <c r="AN213">
        <v>10</v>
      </c>
      <c r="AQ213" t="e">
        <f>VLOOKUP(F213,Eras!$A$2:$C$12, 2, TRUE)</f>
        <v>#N/A</v>
      </c>
      <c r="AS213" t="e">
        <f>CONCATENATE(AQ213,"_",AR213)</f>
        <v>#N/A</v>
      </c>
    </row>
    <row r="214" spans="1:45" x14ac:dyDescent="0.25">
      <c r="A214" t="s">
        <v>494</v>
      </c>
      <c r="B214" t="s">
        <v>501</v>
      </c>
      <c r="C214" t="s">
        <v>193</v>
      </c>
      <c r="W214" s="4" t="str">
        <f>IF(AND(S214&gt;0,V214&gt;0),(V214/((S214+T214)*10)),"")</f>
        <v/>
      </c>
      <c r="AH214" t="str">
        <f>CONCATENATE(VLOOKUP(AF214,'Articulated Lengths'!$A$2:$C$16,IF(AG214&lt;&gt;"", 3, 2), FALSE),IF(AG214&lt;&gt;"",CONCATENATE(",",VLOOKUP(AG214,$B$2:$AH$213,33,FALSE)),""))</f>
        <v>na</v>
      </c>
    </row>
    <row r="215" spans="1:45" x14ac:dyDescent="0.25">
      <c r="A215" t="s">
        <v>495</v>
      </c>
      <c r="B215" t="s">
        <v>502</v>
      </c>
      <c r="C215" t="s">
        <v>193</v>
      </c>
      <c r="W215" s="4" t="str">
        <f>IF(AND(S215&gt;0,V215&gt;0),(V215/((S215+T215)*10)),"")</f>
        <v/>
      </c>
      <c r="AH215" t="str">
        <f>CONCATENATE(VLOOKUP(AF215,'Articulated Lengths'!$A$2:$C$16,IF(AG215&lt;&gt;"", 3, 2), FALSE),IF(AG215&lt;&gt;"",CONCATENATE(",",VLOOKUP(AG215,$B$2:$AH$213,33,FALSE)),""))</f>
        <v>na</v>
      </c>
    </row>
    <row r="216" spans="1:45" x14ac:dyDescent="0.25">
      <c r="A216" t="s">
        <v>496</v>
      </c>
      <c r="B216" t="s">
        <v>503</v>
      </c>
      <c r="C216" t="s">
        <v>193</v>
      </c>
      <c r="W216" s="4" t="str">
        <f>IF(AND(S216&gt;0,V216&gt;0),(V216/((S216+T216)*10)),"")</f>
        <v/>
      </c>
      <c r="AH216" t="str">
        <f>CONCATENATE(VLOOKUP(AF216,'Articulated Lengths'!$A$2:$C$16,IF(AG216&lt;&gt;"", 3, 2), FALSE),IF(AG216&lt;&gt;"",CONCATENATE(",",VLOOKUP(AG216,$B$2:$AH$213,33,FALSE)),""))</f>
        <v>na</v>
      </c>
    </row>
    <row r="217" spans="1:45" x14ac:dyDescent="0.25">
      <c r="A217" t="s">
        <v>497</v>
      </c>
      <c r="B217" t="s">
        <v>504</v>
      </c>
      <c r="C217" t="s">
        <v>193</v>
      </c>
      <c r="W217" s="4" t="str">
        <f>IF(AND(S217&gt;0,V217&gt;0),(V217/((S217+T217)*10)),"")</f>
        <v/>
      </c>
      <c r="AH217" t="str">
        <f>CONCATENATE(VLOOKUP(AF217,'Articulated Lengths'!$A$2:$C$16,IF(AG217&lt;&gt;"", 3, 2), FALSE),IF(AG217&lt;&gt;"",CONCATENATE(",",VLOOKUP(AG217,$B$2:$AH$213,33,FALSE)),""))</f>
        <v>na</v>
      </c>
    </row>
    <row r="218" spans="1:45" x14ac:dyDescent="0.25">
      <c r="A218" t="s">
        <v>498</v>
      </c>
      <c r="B218" t="s">
        <v>505</v>
      </c>
      <c r="C218" t="s">
        <v>193</v>
      </c>
      <c r="W218" s="4" t="str">
        <f>IF(AND(S218&gt;0,V218&gt;0),(V218/((S218+T218)*10)),"")</f>
        <v/>
      </c>
      <c r="AH218" t="str">
        <f>CONCATENATE(VLOOKUP(AF218,'Articulated Lengths'!$A$2:$C$16,IF(AG218&lt;&gt;"", 3, 2), FALSE),IF(AG218&lt;&gt;"",CONCATENATE(",",VLOOKUP(AG218,$B$2:$AH$213,33,FALSE)),""))</f>
        <v>na</v>
      </c>
    </row>
  </sheetData>
  <autoFilter ref="C1:C218" xr:uid="{D34CCCC1-AB37-4E0B-B050-DEA7C9B2F128}"/>
  <sortState xmlns:xlrd2="http://schemas.microsoft.com/office/spreadsheetml/2017/richdata2" ref="A2:AT218">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AR1:AR1048576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484</v>
      </c>
      <c r="D1" s="1" t="s">
        <v>434</v>
      </c>
      <c r="E1" s="1" t="s">
        <v>433</v>
      </c>
      <c r="F1" s="1" t="s">
        <v>435</v>
      </c>
      <c r="G1" s="1" t="s">
        <v>436</v>
      </c>
      <c r="H1" s="1" t="s">
        <v>444</v>
      </c>
      <c r="I1" s="1" t="s">
        <v>445</v>
      </c>
      <c r="J1" s="1" t="s">
        <v>446</v>
      </c>
      <c r="K1" s="1" t="s">
        <v>437</v>
      </c>
      <c r="L1" s="1" t="s">
        <v>438</v>
      </c>
      <c r="M1" s="1" t="s">
        <v>439</v>
      </c>
      <c r="N1" s="1" t="s">
        <v>440</v>
      </c>
      <c r="O1" s="1" t="s">
        <v>441</v>
      </c>
      <c r="P1" s="1" t="s">
        <v>452</v>
      </c>
      <c r="Q1" s="1" t="s">
        <v>442</v>
      </c>
      <c r="R1" s="1" t="s">
        <v>443</v>
      </c>
      <c r="S1" s="1" t="s">
        <v>447</v>
      </c>
      <c r="T1" s="1" t="s">
        <v>448</v>
      </c>
      <c r="U1" s="1" t="s">
        <v>449</v>
      </c>
      <c r="V1" s="1" t="s">
        <v>450</v>
      </c>
    </row>
    <row r="2" spans="1:22" x14ac:dyDescent="0.25">
      <c r="A2" s="1" t="s">
        <v>431</v>
      </c>
      <c r="B2" s="1" t="s">
        <v>432</v>
      </c>
    </row>
    <row r="3" spans="1:22" x14ac:dyDescent="0.25">
      <c r="A3" t="s">
        <v>420</v>
      </c>
      <c r="B3" t="str">
        <f>VLOOKUP(A3, Eras!$B$2:$C$12, 2, FALSE)</f>
        <v>Early (1800-1850)</v>
      </c>
      <c r="C3">
        <f>COUNTIF(Table!$AS:$AS,CONCATENATE($A3,"_",C$1))</f>
        <v>0</v>
      </c>
      <c r="D3">
        <f>COUNTIF(Table!$AS:$AS,CONCATENATE($A3,"_",D$1))</f>
        <v>4</v>
      </c>
      <c r="E3">
        <f>COUNTIF(Table!$AS:$AS,CONCATENATE($A3,"_",E$1))</f>
        <v>0</v>
      </c>
      <c r="F3">
        <f>COUNTIF(Table!$AS:$AS,CONCATENATE($A3,"_",F$1))</f>
        <v>1</v>
      </c>
      <c r="G3">
        <f>COUNTIF(Table!$AS:$AS,CONCATENATE($A3,"_",G$1))</f>
        <v>0</v>
      </c>
      <c r="H3">
        <f>COUNTIF(Table!$AS:$AS,CONCATENATE($A3,"_",H$1))</f>
        <v>0</v>
      </c>
      <c r="I3">
        <f>COUNTIF(Table!$AS:$AS,CONCATENATE($A3,"_",I$1))</f>
        <v>0</v>
      </c>
      <c r="J3">
        <f>COUNTIF(Table!$AS:$AS,CONCATENATE($A3,"_",J$1))</f>
        <v>0</v>
      </c>
      <c r="K3">
        <f>COUNTIF(Table!$AS:$AS,CONCATENATE($A3,"_",K$1))</f>
        <v>0</v>
      </c>
      <c r="L3">
        <f>COUNTIF(Table!$AS:$AS,CONCATENATE($A3,"_",L$1))</f>
        <v>0</v>
      </c>
      <c r="M3">
        <f>COUNTIF(Table!$AS:$AS,CONCATENATE($A3,"_",M$1))</f>
        <v>0</v>
      </c>
      <c r="N3">
        <f>COUNTIF(Table!$AS:$AS,CONCATENATE($A3,"_",N$1))</f>
        <v>0</v>
      </c>
      <c r="O3">
        <f>COUNTIF(Table!$AS:$AS,CONCATENATE($A3,"_",O$1))</f>
        <v>0</v>
      </c>
      <c r="P3">
        <f>COUNTIF(Table!$AS:$AS,CONCATENATE($A3,"_",P$1))</f>
        <v>0</v>
      </c>
      <c r="Q3">
        <f>COUNTIF(Table!$AS:$AS,CONCATENATE($A3,"_",Q$1))</f>
        <v>0</v>
      </c>
      <c r="R3">
        <f>COUNTIF(Table!$AS:$AS,CONCATENATE($A3,"_",R$1))</f>
        <v>0</v>
      </c>
      <c r="S3">
        <f>COUNTIF(Table!$AS:$AS,CONCATENATE($A3,"_",S$1))</f>
        <v>1</v>
      </c>
      <c r="T3">
        <f>COUNTIF(Table!$AS:$AS,CONCATENATE($A3,"_",T$1))</f>
        <v>0</v>
      </c>
      <c r="U3">
        <f>COUNTIF(Table!$AS:$AS,CONCATENATE($A3,"_",U$1))</f>
        <v>0</v>
      </c>
      <c r="V3">
        <f>COUNTIF(Table!$AS:$AS,CONCATENATE($A3,"_",V$1))</f>
        <v>0</v>
      </c>
    </row>
    <row r="4" spans="1:22" x14ac:dyDescent="0.25">
      <c r="A4" t="s">
        <v>491</v>
      </c>
      <c r="B4" t="str">
        <f>VLOOKUP(A4, Eras!$B$2:$C$12, 2, FALSE)</f>
        <v>Victorian (1850-1900)</v>
      </c>
      <c r="C4">
        <f>COUNTIF(Table!$AS:$AS,CONCATENATE($A4,"_",C$1))</f>
        <v>0</v>
      </c>
      <c r="D4">
        <f>COUNTIF(Table!$AS:$AS,CONCATENATE($A4,"_",D$1))</f>
        <v>0</v>
      </c>
      <c r="E4">
        <f>COUNTIF(Table!$AS:$AS,CONCATENATE($A4,"_",E$1))</f>
        <v>0</v>
      </c>
      <c r="F4">
        <f>COUNTIF(Table!$AS:$AS,CONCATENATE($A4,"_",F$1))</f>
        <v>1</v>
      </c>
      <c r="G4">
        <f>COUNTIF(Table!$AS:$AS,CONCATENATE($A4,"_",G$1))</f>
        <v>0</v>
      </c>
      <c r="H4">
        <f>COUNTIF(Table!$AS:$AS,CONCATENATE($A4,"_",H$1))</f>
        <v>0</v>
      </c>
      <c r="I4">
        <f>COUNTIF(Table!$AS:$AS,CONCATENATE($A4,"_",I$1))</f>
        <v>0</v>
      </c>
      <c r="J4">
        <f>COUNTIF(Table!$AS:$AS,CONCATENATE($A4,"_",J$1))</f>
        <v>0</v>
      </c>
      <c r="K4">
        <f>COUNTIF(Table!$AS:$AS,CONCATENATE($A4,"_",K$1))</f>
        <v>0</v>
      </c>
      <c r="L4">
        <f>COUNTIF(Table!$AS:$AS,CONCATENATE($A4,"_",L$1))</f>
        <v>0</v>
      </c>
      <c r="M4">
        <f>COUNTIF(Table!$AS:$AS,CONCATENATE($A4,"_",M$1))</f>
        <v>0</v>
      </c>
      <c r="N4">
        <f>COUNTIF(Table!$AS:$AS,CONCATENATE($A4,"_",N$1))</f>
        <v>0</v>
      </c>
      <c r="O4">
        <f>COUNTIF(Table!$AS:$AS,CONCATENATE($A4,"_",O$1))</f>
        <v>0</v>
      </c>
      <c r="P4">
        <f>COUNTIF(Table!$AS:$AS,CONCATENATE($A4,"_",P$1))</f>
        <v>0</v>
      </c>
      <c r="Q4">
        <f>COUNTIF(Table!$AS:$AS,CONCATENATE($A4,"_",Q$1))</f>
        <v>0</v>
      </c>
      <c r="R4">
        <f>COUNTIF(Table!$AS:$AS,CONCATENATE($A4,"_",R$1))</f>
        <v>0</v>
      </c>
      <c r="S4">
        <f>COUNTIF(Table!$AS:$AS,CONCATENATE($A4,"_",S$1))</f>
        <v>0</v>
      </c>
      <c r="T4">
        <f>COUNTIF(Table!$AS:$AS,CONCATENATE($A4,"_",T$1))</f>
        <v>0</v>
      </c>
      <c r="U4">
        <f>COUNTIF(Table!$AS:$AS,CONCATENATE($A4,"_",U$1))</f>
        <v>0</v>
      </c>
      <c r="V4">
        <f>COUNTIF(Table!$AS:$AS,CONCATENATE($A4,"_",V$1))</f>
        <v>1</v>
      </c>
    </row>
    <row r="5" spans="1:22" x14ac:dyDescent="0.25">
      <c r="A5" t="s">
        <v>421</v>
      </c>
      <c r="B5" t="str">
        <f>VLOOKUP(A5, Eras!$B$2:$C$12, 2, FALSE)</f>
        <v>Edwardian (1900-1920)</v>
      </c>
      <c r="C5">
        <f>COUNTIF(Table!$AS:$AS,CONCATENATE($A5,"_",C$1))</f>
        <v>2</v>
      </c>
      <c r="D5">
        <f>COUNTIF(Table!$AS:$AS,CONCATENATE($A5,"_",D$1))</f>
        <v>1</v>
      </c>
      <c r="E5">
        <f>COUNTIF(Table!$AS:$AS,CONCATENATE($A5,"_",E$1))</f>
        <v>1</v>
      </c>
      <c r="F5">
        <f>COUNTIF(Table!$AS:$AS,CONCATENATE($A5,"_",F$1))</f>
        <v>1</v>
      </c>
      <c r="G5">
        <f>COUNTIF(Table!$AS:$AS,CONCATENATE($A5,"_",G$1))</f>
        <v>2</v>
      </c>
      <c r="H5">
        <f>COUNTIF(Table!$AS:$AS,CONCATENATE($A5,"_",H$1))</f>
        <v>0</v>
      </c>
      <c r="I5">
        <f>COUNTIF(Table!$AS:$AS,CONCATENATE($A5,"_",I$1))</f>
        <v>0</v>
      </c>
      <c r="J5">
        <f>COUNTIF(Table!$AS:$AS,CONCATENATE($A5,"_",J$1))</f>
        <v>2</v>
      </c>
      <c r="K5">
        <f>COUNTIF(Table!$AS:$AS,CONCATENATE($A5,"_",K$1))</f>
        <v>1</v>
      </c>
      <c r="L5">
        <f>COUNTIF(Table!$AS:$AS,CONCATENATE($A5,"_",L$1))</f>
        <v>0</v>
      </c>
      <c r="M5">
        <f>COUNTIF(Table!$AS:$AS,CONCATENATE($A5,"_",M$1))</f>
        <v>0</v>
      </c>
      <c r="N5">
        <f>COUNTIF(Table!$AS:$AS,CONCATENATE($A5,"_",N$1))</f>
        <v>1</v>
      </c>
      <c r="O5">
        <f>COUNTIF(Table!$AS:$AS,CONCATENATE($A5,"_",O$1))</f>
        <v>0</v>
      </c>
      <c r="P5">
        <f>COUNTIF(Table!$AS:$AS,CONCATENATE($A5,"_",P$1))</f>
        <v>1</v>
      </c>
      <c r="Q5">
        <f>COUNTIF(Table!$AS:$AS,CONCATENATE($A5,"_",Q$1))</f>
        <v>1</v>
      </c>
      <c r="R5">
        <f>COUNTIF(Table!$AS:$AS,CONCATENATE($A5,"_",R$1))</f>
        <v>0</v>
      </c>
      <c r="S5">
        <f>COUNTIF(Table!$AS:$AS,CONCATENATE($A5,"_",S$1))</f>
        <v>1</v>
      </c>
      <c r="T5">
        <f>COUNTIF(Table!$AS:$AS,CONCATENATE($A5,"_",T$1))</f>
        <v>1</v>
      </c>
      <c r="U5">
        <f>COUNTIF(Table!$AS:$AS,CONCATENATE($A5,"_",U$1))</f>
        <v>1</v>
      </c>
      <c r="V5">
        <f>COUNTIF(Table!$AS:$AS,CONCATENATE($A5,"_",V$1))</f>
        <v>1</v>
      </c>
    </row>
    <row r="6" spans="1:22" x14ac:dyDescent="0.25">
      <c r="A6" t="s">
        <v>422</v>
      </c>
      <c r="B6" t="str">
        <f>VLOOKUP(A6, Eras!$B$2:$C$12, 2, FALSE)</f>
        <v>Big Four (1923-1948)</v>
      </c>
      <c r="C6">
        <f>COUNTIF(Table!$AS:$AS,CONCATENATE($A6,"_",C$1))</f>
        <v>1</v>
      </c>
      <c r="D6">
        <f>COUNTIF(Table!$AS:$AS,CONCATENATE($A6,"_",D$1))</f>
        <v>11</v>
      </c>
      <c r="E6">
        <f>COUNTIF(Table!$AS:$AS,CONCATENATE($A6,"_",E$1))</f>
        <v>6</v>
      </c>
      <c r="F6">
        <f>COUNTIF(Table!$AS:$AS,CONCATENATE($A6,"_",F$1))</f>
        <v>10</v>
      </c>
      <c r="G6">
        <f>COUNTIF(Table!$AS:$AS,CONCATENATE($A6,"_",G$1))</f>
        <v>2</v>
      </c>
      <c r="H6">
        <f>COUNTIF(Table!$AS:$AS,CONCATENATE($A6,"_",H$1))</f>
        <v>1</v>
      </c>
      <c r="I6">
        <f>COUNTIF(Table!$AS:$AS,CONCATENATE($A6,"_",I$1))</f>
        <v>0</v>
      </c>
      <c r="J6">
        <f>COUNTIF(Table!$AS:$AS,CONCATENATE($A6,"_",J$1))</f>
        <v>0</v>
      </c>
      <c r="K6">
        <f>COUNTIF(Table!$AS:$AS,CONCATENATE($A6,"_",K$1))</f>
        <v>1</v>
      </c>
      <c r="L6">
        <f>COUNTIF(Table!$AS:$AS,CONCATENATE($A6,"_",L$1))</f>
        <v>0</v>
      </c>
      <c r="M6">
        <f>COUNTIF(Table!$AS:$AS,CONCATENATE($A6,"_",M$1))</f>
        <v>0</v>
      </c>
      <c r="N6">
        <f>COUNTIF(Table!$AS:$AS,CONCATENATE($A6,"_",N$1))</f>
        <v>2</v>
      </c>
      <c r="O6">
        <f>COUNTIF(Table!$AS:$AS,CONCATENATE($A6,"_",O$1))</f>
        <v>1</v>
      </c>
      <c r="P6">
        <f>COUNTIF(Table!$AS:$AS,CONCATENATE($A6,"_",P$1))</f>
        <v>1</v>
      </c>
      <c r="Q6">
        <f>COUNTIF(Table!$AS:$AS,CONCATENATE($A6,"_",Q$1))</f>
        <v>1</v>
      </c>
      <c r="R6">
        <f>COUNTIF(Table!$AS:$AS,CONCATENATE($A6,"_",R$1))</f>
        <v>0</v>
      </c>
      <c r="S6">
        <f>COUNTIF(Table!$AS:$AS,CONCATENATE($A6,"_",S$1))</f>
        <v>0</v>
      </c>
      <c r="T6">
        <f>COUNTIF(Table!$AS:$AS,CONCATENATE($A6,"_",T$1))</f>
        <v>0</v>
      </c>
      <c r="U6">
        <f>COUNTIF(Table!$AS:$AS,CONCATENATE($A6,"_",U$1))</f>
        <v>0</v>
      </c>
      <c r="V6">
        <f>COUNTIF(Table!$AS:$AS,CONCATENATE($A6,"_",V$1))</f>
        <v>1</v>
      </c>
    </row>
    <row r="7" spans="1:22" x14ac:dyDescent="0.25">
      <c r="A7" t="s">
        <v>423</v>
      </c>
      <c r="B7" t="str">
        <f>VLOOKUP(A7, Eras!$B$2:$C$12, 2, FALSE)</f>
        <v>Early BR (1948-1955)</v>
      </c>
      <c r="C7">
        <f>COUNTIF(Table!$AS:$AS,CONCATENATE($A7,"_",C$1))</f>
        <v>0</v>
      </c>
      <c r="D7">
        <f>COUNTIF(Table!$AS:$AS,CONCATENATE($A7,"_",D$1))</f>
        <v>2</v>
      </c>
      <c r="E7">
        <f>COUNTIF(Table!$AS:$AS,CONCATENATE($A7,"_",E$1))</f>
        <v>1</v>
      </c>
      <c r="F7">
        <f>COUNTIF(Table!$AS:$AS,CONCATENATE($A7,"_",F$1))</f>
        <v>1</v>
      </c>
      <c r="G7">
        <f>COUNTIF(Table!$AS:$AS,CONCATENATE($A7,"_",G$1))</f>
        <v>1</v>
      </c>
      <c r="H7">
        <f>COUNTIF(Table!$AS:$AS,CONCATENATE($A7,"_",H$1))</f>
        <v>0</v>
      </c>
      <c r="I7">
        <f>COUNTIF(Table!$AS:$AS,CONCATENATE($A7,"_",I$1))</f>
        <v>1</v>
      </c>
      <c r="J7">
        <f>COUNTIF(Table!$AS:$AS,CONCATENATE($A7,"_",J$1))</f>
        <v>1</v>
      </c>
      <c r="K7">
        <f>COUNTIF(Table!$AS:$AS,CONCATENATE($A7,"_",K$1))</f>
        <v>0</v>
      </c>
      <c r="L7">
        <f>COUNTIF(Table!$AS:$AS,CONCATENATE($A7,"_",L$1))</f>
        <v>0</v>
      </c>
      <c r="M7">
        <f>COUNTIF(Table!$AS:$AS,CONCATENATE($A7,"_",M$1))</f>
        <v>0</v>
      </c>
      <c r="N7">
        <f>COUNTIF(Table!$AS:$AS,CONCATENATE($A7,"_",N$1))</f>
        <v>0</v>
      </c>
      <c r="O7">
        <f>COUNTIF(Table!$AS:$AS,CONCATENATE($A7,"_",O$1))</f>
        <v>0</v>
      </c>
      <c r="P7">
        <f>COUNTIF(Table!$AS:$AS,CONCATENATE($A7,"_",P$1))</f>
        <v>0</v>
      </c>
      <c r="Q7">
        <f>COUNTIF(Table!$AS:$AS,CONCATENATE($A7,"_",Q$1))</f>
        <v>0</v>
      </c>
      <c r="R7">
        <f>COUNTIF(Table!$AS:$AS,CONCATENATE($A7,"_",R$1))</f>
        <v>0</v>
      </c>
      <c r="S7">
        <f>COUNTIF(Table!$AS:$AS,CONCATENATE($A7,"_",S$1))</f>
        <v>0</v>
      </c>
      <c r="T7">
        <f>COUNTIF(Table!$AS:$AS,CONCATENATE($A7,"_",T$1))</f>
        <v>0</v>
      </c>
      <c r="U7">
        <f>COUNTIF(Table!$AS:$AS,CONCATENATE($A7,"_",U$1))</f>
        <v>0</v>
      </c>
      <c r="V7">
        <f>COUNTIF(Table!$AS:$AS,CONCATENATE($A7,"_",V$1))</f>
        <v>0</v>
      </c>
    </row>
    <row r="8" spans="1:22" x14ac:dyDescent="0.25">
      <c r="A8" t="s">
        <v>424</v>
      </c>
      <c r="B8" t="str">
        <f>VLOOKUP(A8, Eras!$B$2:$C$12, 2, FALSE)</f>
        <v>Dieselisation (1955-1965)</v>
      </c>
      <c r="C8">
        <f>COUNTIF(Table!$AS:$AS,CONCATENATE($A8,"_",C$1))</f>
        <v>1</v>
      </c>
      <c r="D8">
        <f>COUNTIF(Table!$AS:$AS,CONCATENATE($A8,"_",D$1))</f>
        <v>7</v>
      </c>
      <c r="E8">
        <f>COUNTIF(Table!$AS:$AS,CONCATENATE($A8,"_",E$1))</f>
        <v>2</v>
      </c>
      <c r="F8">
        <f>COUNTIF(Table!$AS:$AS,CONCATENATE($A8,"_",F$1))</f>
        <v>4</v>
      </c>
      <c r="G8">
        <f>COUNTIF(Table!$AS:$AS,CONCATENATE($A8,"_",G$1))</f>
        <v>4</v>
      </c>
      <c r="H8">
        <f>COUNTIF(Table!$AS:$AS,CONCATENATE($A8,"_",H$1))</f>
        <v>1</v>
      </c>
      <c r="I8">
        <f>COUNTIF(Table!$AS:$AS,CONCATENATE($A8,"_",I$1))</f>
        <v>1</v>
      </c>
      <c r="J8">
        <f>COUNTIF(Table!$AS:$AS,CONCATENATE($A8,"_",J$1))</f>
        <v>0</v>
      </c>
      <c r="K8">
        <f>COUNTIF(Table!$AS:$AS,CONCATENATE($A8,"_",K$1))</f>
        <v>0</v>
      </c>
      <c r="L8">
        <f>COUNTIF(Table!$AS:$AS,CONCATENATE($A8,"_",L$1))</f>
        <v>3</v>
      </c>
      <c r="M8">
        <f>COUNTIF(Table!$AS:$AS,CONCATENATE($A8,"_",M$1))</f>
        <v>1</v>
      </c>
      <c r="N8">
        <f>COUNTIF(Table!$AS:$AS,CONCATENATE($A8,"_",N$1))</f>
        <v>0</v>
      </c>
      <c r="O8">
        <f>COUNTIF(Table!$AS:$AS,CONCATENATE($A8,"_",O$1))</f>
        <v>0</v>
      </c>
      <c r="P8">
        <f>COUNTIF(Table!$AS:$AS,CONCATENATE($A8,"_",P$1))</f>
        <v>2</v>
      </c>
      <c r="Q8">
        <f>COUNTIF(Table!$AS:$AS,CONCATENATE($A8,"_",Q$1))</f>
        <v>1</v>
      </c>
      <c r="R8">
        <f>COUNTIF(Table!$AS:$AS,CONCATENATE($A8,"_",R$1))</f>
        <v>0</v>
      </c>
      <c r="S8">
        <f>COUNTIF(Table!$AS:$AS,CONCATENATE($A8,"_",S$1))</f>
        <v>0</v>
      </c>
      <c r="T8">
        <f>COUNTIF(Table!$AS:$AS,CONCATENATE($A8,"_",T$1))</f>
        <v>0</v>
      </c>
      <c r="U8">
        <f>COUNTIF(Table!$AS:$AS,CONCATENATE($A8,"_",U$1))</f>
        <v>0</v>
      </c>
      <c r="V8">
        <f>COUNTIF(Table!$AS:$AS,CONCATENATE($A8,"_",V$1))</f>
        <v>0</v>
      </c>
    </row>
    <row r="9" spans="1:22" x14ac:dyDescent="0.25">
      <c r="A9" t="s">
        <v>425</v>
      </c>
      <c r="B9" t="str">
        <f>VLOOKUP(A9, Eras!$B$2:$C$12, 2, FALSE)</f>
        <v>Second Generation (1965-1975)</v>
      </c>
      <c r="C9">
        <f>COUNTIF(Table!$AS:$AS,CONCATENATE($A9,"_",C$1))</f>
        <v>0</v>
      </c>
      <c r="D9">
        <f>COUNTIF(Table!$AS:$AS,CONCATENATE($A9,"_",D$1))</f>
        <v>0</v>
      </c>
      <c r="E9">
        <f>COUNTIF(Table!$AS:$AS,CONCATENATE($A9,"_",E$1))</f>
        <v>0</v>
      </c>
      <c r="F9">
        <f>COUNTIF(Table!$AS:$AS,CONCATENATE($A9,"_",F$1))</f>
        <v>0</v>
      </c>
      <c r="G9">
        <f>COUNTIF(Table!$AS:$AS,CONCATENATE($A9,"_",G$1))</f>
        <v>0</v>
      </c>
      <c r="H9">
        <f>COUNTIF(Table!$AS:$AS,CONCATENATE($A9,"_",H$1))</f>
        <v>0</v>
      </c>
      <c r="I9">
        <f>COUNTIF(Table!$AS:$AS,CONCATENATE($A9,"_",I$1))</f>
        <v>1</v>
      </c>
      <c r="J9">
        <f>COUNTIF(Table!$AS:$AS,CONCATENATE($A9,"_",J$1))</f>
        <v>0</v>
      </c>
      <c r="K9">
        <f>COUNTIF(Table!$AS:$AS,CONCATENATE($A9,"_",K$1))</f>
        <v>0</v>
      </c>
      <c r="L9">
        <f>COUNTIF(Table!$AS:$AS,CONCATENATE($A9,"_",L$1))</f>
        <v>0</v>
      </c>
      <c r="M9">
        <f>COUNTIF(Table!$AS:$AS,CONCATENATE($A9,"_",M$1))</f>
        <v>0</v>
      </c>
      <c r="N9">
        <f>COUNTIF(Table!$AS:$AS,CONCATENATE($A9,"_",N$1))</f>
        <v>0</v>
      </c>
      <c r="O9">
        <f>COUNTIF(Table!$AS:$AS,CONCATENATE($A9,"_",O$1))</f>
        <v>0</v>
      </c>
      <c r="P9">
        <f>COUNTIF(Table!$AS:$AS,CONCATENATE($A9,"_",P$1))</f>
        <v>3</v>
      </c>
      <c r="Q9">
        <f>COUNTIF(Table!$AS:$AS,CONCATENATE($A9,"_",Q$1))</f>
        <v>0</v>
      </c>
      <c r="R9">
        <f>COUNTIF(Table!$AS:$AS,CONCATENATE($A9,"_",R$1))</f>
        <v>0</v>
      </c>
      <c r="S9">
        <f>COUNTIF(Table!$AS:$AS,CONCATENATE($A9,"_",S$1))</f>
        <v>0</v>
      </c>
      <c r="T9">
        <f>COUNTIF(Table!$AS:$AS,CONCATENATE($A9,"_",T$1))</f>
        <v>0</v>
      </c>
      <c r="U9">
        <f>COUNTIF(Table!$AS:$AS,CONCATENATE($A9,"_",U$1))</f>
        <v>0</v>
      </c>
      <c r="V9">
        <f>COUNTIF(Table!$AS:$AS,CONCATENATE($A9,"_",V$1))</f>
        <v>0</v>
      </c>
    </row>
    <row r="10" spans="1:22" x14ac:dyDescent="0.25">
      <c r="A10" t="s">
        <v>426</v>
      </c>
      <c r="B10" t="str">
        <f>VLOOKUP(A10, Eras!$B$2:$C$12, 2, FALSE)</f>
        <v>Third Generation (1975-1985)</v>
      </c>
      <c r="C10">
        <f>COUNTIF(Table!$AS:$AS,CONCATENATE($A10,"_",C$1))</f>
        <v>0</v>
      </c>
      <c r="D10">
        <f>COUNTIF(Table!$AS:$AS,CONCATENATE($A10,"_",D$1))</f>
        <v>0</v>
      </c>
      <c r="E10">
        <f>COUNTIF(Table!$AS:$AS,CONCATENATE($A10,"_",E$1))</f>
        <v>0</v>
      </c>
      <c r="F10">
        <f>COUNTIF(Table!$AS:$AS,CONCATENATE($A10,"_",F$1))</f>
        <v>1</v>
      </c>
      <c r="G10">
        <f>COUNTIF(Table!$AS:$AS,CONCATENATE($A10,"_",G$1))</f>
        <v>0</v>
      </c>
      <c r="H10">
        <f>COUNTIF(Table!$AS:$AS,CONCATENATE($A10,"_",H$1))</f>
        <v>0</v>
      </c>
      <c r="I10">
        <f>COUNTIF(Table!$AS:$AS,CONCATENATE($A10,"_",I$1))</f>
        <v>0</v>
      </c>
      <c r="J10">
        <f>COUNTIF(Table!$AS:$AS,CONCATENATE($A10,"_",J$1))</f>
        <v>0</v>
      </c>
      <c r="K10">
        <f>COUNTIF(Table!$AS:$AS,CONCATENATE($A10,"_",K$1))</f>
        <v>0</v>
      </c>
      <c r="L10">
        <f>COUNTIF(Table!$AS:$AS,CONCATENATE($A10,"_",L$1))</f>
        <v>0</v>
      </c>
      <c r="M10">
        <f>COUNTIF(Table!$AS:$AS,CONCATENATE($A10,"_",M$1))</f>
        <v>0</v>
      </c>
      <c r="N10">
        <f>COUNTIF(Table!$AS:$AS,CONCATENATE($A10,"_",N$1))</f>
        <v>2</v>
      </c>
      <c r="O10">
        <f>COUNTIF(Table!$AS:$AS,CONCATENATE($A10,"_",O$1))</f>
        <v>0</v>
      </c>
      <c r="P10">
        <f>COUNTIF(Table!$AS:$AS,CONCATENATE($A10,"_",P$1))</f>
        <v>2</v>
      </c>
      <c r="Q10">
        <f>COUNTIF(Table!$AS:$AS,CONCATENATE($A10,"_",Q$1))</f>
        <v>1</v>
      </c>
      <c r="R10">
        <f>COUNTIF(Table!$AS:$AS,CONCATENATE($A10,"_",R$1))</f>
        <v>0</v>
      </c>
      <c r="S10">
        <f>COUNTIF(Table!$AS:$AS,CONCATENATE($A10,"_",S$1))</f>
        <v>0</v>
      </c>
      <c r="T10">
        <f>COUNTIF(Table!$AS:$AS,CONCATENATE($A10,"_",T$1))</f>
        <v>0</v>
      </c>
      <c r="U10">
        <f>COUNTIF(Table!$AS:$AS,CONCATENATE($A10,"_",U$1))</f>
        <v>0</v>
      </c>
      <c r="V10">
        <f>COUNTIF(Table!$AS:$AS,CONCATENATE($A10,"_",V$1))</f>
        <v>0</v>
      </c>
    </row>
    <row r="11" spans="1:22" x14ac:dyDescent="0.25">
      <c r="A11" t="s">
        <v>427</v>
      </c>
      <c r="B11" t="str">
        <f>VLOOKUP(A11, Eras!$B$2:$C$12, 2, FALSE)</f>
        <v>Fourth Genertion (1985-1995)</v>
      </c>
      <c r="C11">
        <f>COUNTIF(Table!$AS:$AS,CONCATENATE($A11,"_",C$1))</f>
        <v>0</v>
      </c>
      <c r="D11">
        <f>COUNTIF(Table!$AS:$AS,CONCATENATE($A11,"_",D$1))</f>
        <v>0</v>
      </c>
      <c r="E11">
        <f>COUNTIF(Table!$AS:$AS,CONCATENATE($A11,"_",E$1))</f>
        <v>0</v>
      </c>
      <c r="F11">
        <f>COUNTIF(Table!$AS:$AS,CONCATENATE($A11,"_",F$1))</f>
        <v>0</v>
      </c>
      <c r="G11">
        <f>COUNTIF(Table!$AS:$AS,CONCATENATE($A11,"_",G$1))</f>
        <v>0</v>
      </c>
      <c r="H11">
        <f>COUNTIF(Table!$AS:$AS,CONCATENATE($A11,"_",H$1))</f>
        <v>0</v>
      </c>
      <c r="I11">
        <f>COUNTIF(Table!$AS:$AS,CONCATENATE($A11,"_",I$1))</f>
        <v>1</v>
      </c>
      <c r="J11">
        <f>COUNTIF(Table!$AS:$AS,CONCATENATE($A11,"_",J$1))</f>
        <v>0</v>
      </c>
      <c r="K11">
        <f>COUNTIF(Table!$AS:$AS,CONCATENATE($A11,"_",K$1))</f>
        <v>0</v>
      </c>
      <c r="L11">
        <f>COUNTIF(Table!$AS:$AS,CONCATENATE($A11,"_",L$1))</f>
        <v>0</v>
      </c>
      <c r="M11">
        <f>COUNTIF(Table!$AS:$AS,CONCATENATE($A11,"_",M$1))</f>
        <v>0</v>
      </c>
      <c r="N11">
        <f>COUNTIF(Table!$AS:$AS,CONCATENATE($A11,"_",N$1))</f>
        <v>1</v>
      </c>
      <c r="O11">
        <f>COUNTIF(Table!$AS:$AS,CONCATENATE($A11,"_",O$1))</f>
        <v>0</v>
      </c>
      <c r="P11">
        <f>COUNTIF(Table!$AS:$AS,CONCATENATE($A11,"_",P$1))</f>
        <v>1</v>
      </c>
      <c r="Q11">
        <f>COUNTIF(Table!$AS:$AS,CONCATENATE($A11,"_",Q$1))</f>
        <v>0</v>
      </c>
      <c r="R11">
        <f>COUNTIF(Table!$AS:$AS,CONCATENATE($A11,"_",R$1))</f>
        <v>0</v>
      </c>
      <c r="S11">
        <f>COUNTIF(Table!$AS:$AS,CONCATENATE($A11,"_",S$1))</f>
        <v>0</v>
      </c>
      <c r="T11">
        <f>COUNTIF(Table!$AS:$AS,CONCATENATE($A11,"_",T$1))</f>
        <v>0</v>
      </c>
      <c r="U11">
        <f>COUNTIF(Table!$AS:$AS,CONCATENATE($A11,"_",U$1))</f>
        <v>0</v>
      </c>
      <c r="V11">
        <f>COUNTIF(Table!$AS:$AS,CONCATENATE($A11,"_",V$1))</f>
        <v>0</v>
      </c>
    </row>
    <row r="12" spans="1:22" x14ac:dyDescent="0.25">
      <c r="A12" t="s">
        <v>428</v>
      </c>
      <c r="B12" t="str">
        <f>VLOOKUP(A12, Eras!$B$2:$C$12, 2, FALSE)</f>
        <v>Privatisation (1995-2005)</v>
      </c>
      <c r="C12">
        <f>COUNTIF(Table!$AS:$AS,CONCATENATE($A12,"_",C$1))</f>
        <v>0</v>
      </c>
      <c r="D12">
        <f>COUNTIF(Table!$AS:$AS,CONCATENATE($A12,"_",D$1))</f>
        <v>0</v>
      </c>
      <c r="E12">
        <f>COUNTIF(Table!$AS:$AS,CONCATENATE($A12,"_",E$1))</f>
        <v>0</v>
      </c>
      <c r="F12">
        <f>COUNTIF(Table!$AS:$AS,CONCATENATE($A12,"_",F$1))</f>
        <v>0</v>
      </c>
      <c r="G12">
        <f>COUNTIF(Table!$AS:$AS,CONCATENATE($A12,"_",G$1))</f>
        <v>1</v>
      </c>
      <c r="H12">
        <f>COUNTIF(Table!$AS:$AS,CONCATENATE($A12,"_",H$1))</f>
        <v>0</v>
      </c>
      <c r="I12">
        <f>COUNTIF(Table!$AS:$AS,CONCATENATE($A12,"_",I$1))</f>
        <v>0</v>
      </c>
      <c r="J12">
        <f>COUNTIF(Table!$AS:$AS,CONCATENATE($A12,"_",J$1))</f>
        <v>0</v>
      </c>
      <c r="K12">
        <f>COUNTIF(Table!$AS:$AS,CONCATENATE($A12,"_",K$1))</f>
        <v>0</v>
      </c>
      <c r="L12">
        <f>COUNTIF(Table!$AS:$AS,CONCATENATE($A12,"_",L$1))</f>
        <v>0</v>
      </c>
      <c r="M12">
        <f>COUNTIF(Table!$AS:$AS,CONCATENATE($A12,"_",M$1))</f>
        <v>0</v>
      </c>
      <c r="N12">
        <f>COUNTIF(Table!$AS:$AS,CONCATENATE($A12,"_",N$1))</f>
        <v>1</v>
      </c>
      <c r="O12">
        <f>COUNTIF(Table!$AS:$AS,CONCATENATE($A12,"_",O$1))</f>
        <v>1</v>
      </c>
      <c r="P12">
        <f>COUNTIF(Table!$AS:$AS,CONCATENATE($A12,"_",P$1))</f>
        <v>1</v>
      </c>
      <c r="Q12">
        <f>COUNTIF(Table!$AS:$AS,CONCATENATE($A12,"_",Q$1))</f>
        <v>0</v>
      </c>
      <c r="R12">
        <f>COUNTIF(Table!$AS:$AS,CONCATENATE($A12,"_",R$1))</f>
        <v>0</v>
      </c>
      <c r="S12">
        <f>COUNTIF(Table!$AS:$AS,CONCATENATE($A12,"_",S$1))</f>
        <v>0</v>
      </c>
      <c r="T12">
        <f>COUNTIF(Table!$AS:$AS,CONCATENATE($A12,"_",T$1))</f>
        <v>0</v>
      </c>
      <c r="U12">
        <f>COUNTIF(Table!$AS:$AS,CONCATENATE($A12,"_",U$1))</f>
        <v>0</v>
      </c>
      <c r="V12">
        <f>COUNTIF(Table!$AS:$AS,CONCATENATE($A12,"_",V$1))</f>
        <v>0</v>
      </c>
    </row>
    <row r="13" spans="1:22" x14ac:dyDescent="0.25">
      <c r="A13" t="s">
        <v>429</v>
      </c>
      <c r="B13" t="str">
        <f>VLOOKUP(A13, Eras!$B$2:$C$12, 2, FALSE)</f>
        <v>Modern (2005-)</v>
      </c>
      <c r="C13">
        <f>COUNTIF(Table!$AS:$AS,CONCATENATE($A13,"_",C$1))</f>
        <v>0</v>
      </c>
      <c r="D13">
        <f>COUNTIF(Table!$AS:$AS,CONCATENATE($A13,"_",D$1))</f>
        <v>0</v>
      </c>
      <c r="E13">
        <f>COUNTIF(Table!$AS:$AS,CONCATENATE($A13,"_",E$1))</f>
        <v>0</v>
      </c>
      <c r="F13">
        <f>COUNTIF(Table!$AS:$AS,CONCATENATE($A13,"_",F$1))</f>
        <v>0</v>
      </c>
      <c r="G13">
        <f>COUNTIF(Table!$AS:$AS,CONCATENATE($A13,"_",G$1))</f>
        <v>0</v>
      </c>
      <c r="H13">
        <f>COUNTIF(Table!$AS:$AS,CONCATENATE($A13,"_",H$1))</f>
        <v>0</v>
      </c>
      <c r="I13">
        <f>COUNTIF(Table!$AS:$AS,CONCATENATE($A13,"_",I$1))</f>
        <v>0</v>
      </c>
      <c r="J13">
        <f>COUNTIF(Table!$AS:$AS,CONCATENATE($A13,"_",J$1))</f>
        <v>0</v>
      </c>
      <c r="K13">
        <f>COUNTIF(Table!$AS:$AS,CONCATENATE($A13,"_",K$1))</f>
        <v>0</v>
      </c>
      <c r="L13">
        <f>COUNTIF(Table!$AS:$AS,CONCATENATE($A13,"_",L$1))</f>
        <v>0</v>
      </c>
      <c r="M13">
        <f>COUNTIF(Table!$AS:$AS,CONCATENATE($A13,"_",M$1))</f>
        <v>0</v>
      </c>
      <c r="N13">
        <f>COUNTIF(Table!$AS:$AS,CONCATENATE($A13,"_",N$1))</f>
        <v>0</v>
      </c>
      <c r="O13">
        <f>COUNTIF(Table!$AS:$AS,CONCATENATE($A13,"_",O$1))</f>
        <v>1</v>
      </c>
      <c r="P13">
        <f>COUNTIF(Table!$AS:$AS,CONCATENATE($A13,"_",P$1))</f>
        <v>2</v>
      </c>
      <c r="Q13">
        <f>COUNTIF(Table!$AS:$AS,CONCATENATE($A13,"_",Q$1))</f>
        <v>0</v>
      </c>
      <c r="R13">
        <f>COUNTIF(Table!$AS:$AS,CONCATENATE($A13,"_",R$1))</f>
        <v>0</v>
      </c>
      <c r="S13">
        <f>COUNTIF(Table!$AS:$AS,CONCATENATE($A13,"_",S$1))</f>
        <v>0</v>
      </c>
      <c r="T13">
        <f>COUNTIF(Table!$AS:$AS,CONCATENATE($A13,"_",T$1))</f>
        <v>0</v>
      </c>
      <c r="U13">
        <f>COUNTIF(Table!$AS:$AS,CONCATENATE($A13,"_",U$1))</f>
        <v>0</v>
      </c>
      <c r="V13">
        <f>COUNTIF(Table!$AS:$AS,CONCATENATE($A13,"_",V$1))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409</v>
      </c>
      <c r="B1" s="1" t="s">
        <v>419</v>
      </c>
      <c r="C1" s="1" t="s">
        <v>410</v>
      </c>
    </row>
    <row r="2" spans="1:3" x14ac:dyDescent="0.25">
      <c r="A2">
        <v>1800</v>
      </c>
      <c r="B2" t="s">
        <v>420</v>
      </c>
      <c r="C2" t="s">
        <v>490</v>
      </c>
    </row>
    <row r="3" spans="1:3" x14ac:dyDescent="0.25">
      <c r="A3">
        <v>1850</v>
      </c>
      <c r="B3" t="s">
        <v>491</v>
      </c>
      <c r="C3" t="s">
        <v>489</v>
      </c>
    </row>
    <row r="4" spans="1:3" x14ac:dyDescent="0.25">
      <c r="A4">
        <v>1900</v>
      </c>
      <c r="B4" t="s">
        <v>421</v>
      </c>
      <c r="C4" t="s">
        <v>411</v>
      </c>
    </row>
    <row r="5" spans="1:3" x14ac:dyDescent="0.25">
      <c r="A5">
        <v>1923</v>
      </c>
      <c r="B5" t="s">
        <v>422</v>
      </c>
      <c r="C5" t="s">
        <v>535</v>
      </c>
    </row>
    <row r="6" spans="1:3" x14ac:dyDescent="0.25">
      <c r="A6">
        <v>1948</v>
      </c>
      <c r="B6" t="s">
        <v>423</v>
      </c>
      <c r="C6" t="s">
        <v>412</v>
      </c>
    </row>
    <row r="7" spans="1:3" x14ac:dyDescent="0.25">
      <c r="A7">
        <v>1955</v>
      </c>
      <c r="B7" t="s">
        <v>424</v>
      </c>
      <c r="C7" t="s">
        <v>413</v>
      </c>
    </row>
    <row r="8" spans="1:3" x14ac:dyDescent="0.25">
      <c r="A8">
        <v>1965</v>
      </c>
      <c r="B8" t="s">
        <v>425</v>
      </c>
      <c r="C8" t="s">
        <v>414</v>
      </c>
    </row>
    <row r="9" spans="1:3" x14ac:dyDescent="0.25">
      <c r="A9">
        <v>1975</v>
      </c>
      <c r="B9" t="s">
        <v>426</v>
      </c>
      <c r="C9" t="s">
        <v>415</v>
      </c>
    </row>
    <row r="10" spans="1:3" x14ac:dyDescent="0.25">
      <c r="A10">
        <v>1985</v>
      </c>
      <c r="B10" t="s">
        <v>427</v>
      </c>
      <c r="C10" t="s">
        <v>416</v>
      </c>
    </row>
    <row r="11" spans="1:3" x14ac:dyDescent="0.25">
      <c r="A11">
        <v>1995</v>
      </c>
      <c r="B11" t="s">
        <v>428</v>
      </c>
      <c r="C11" t="s">
        <v>417</v>
      </c>
    </row>
    <row r="12" spans="1:3" x14ac:dyDescent="0.25">
      <c r="A12">
        <v>2005</v>
      </c>
      <c r="B12" t="s">
        <v>429</v>
      </c>
      <c r="C12" t="s">
        <v>418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329</v>
      </c>
      <c r="B1" s="1" t="s">
        <v>330</v>
      </c>
      <c r="C1" s="1" t="s">
        <v>621</v>
      </c>
    </row>
    <row r="2" spans="1:3" x14ac:dyDescent="0.25">
      <c r="A2" s="2">
        <v>0</v>
      </c>
      <c r="B2" s="2" t="s">
        <v>193</v>
      </c>
    </row>
    <row r="3" spans="1:3" x14ac:dyDescent="0.25">
      <c r="A3">
        <v>3</v>
      </c>
      <c r="B3" t="s">
        <v>390</v>
      </c>
      <c r="C3" t="s">
        <v>624</v>
      </c>
    </row>
    <row r="4" spans="1:3" x14ac:dyDescent="0.25">
      <c r="A4">
        <v>4</v>
      </c>
      <c r="B4" t="s">
        <v>331</v>
      </c>
      <c r="C4" t="s">
        <v>625</v>
      </c>
    </row>
    <row r="5" spans="1:3" x14ac:dyDescent="0.25">
      <c r="A5">
        <v>5</v>
      </c>
      <c r="B5" t="s">
        <v>332</v>
      </c>
      <c r="C5" t="s">
        <v>626</v>
      </c>
    </row>
    <row r="6" spans="1:3" x14ac:dyDescent="0.25">
      <c r="A6">
        <v>6</v>
      </c>
      <c r="B6" t="s">
        <v>403</v>
      </c>
      <c r="C6" t="s">
        <v>622</v>
      </c>
    </row>
    <row r="7" spans="1:3" x14ac:dyDescent="0.25">
      <c r="A7">
        <v>7</v>
      </c>
      <c r="B7" t="s">
        <v>333</v>
      </c>
      <c r="C7" t="s">
        <v>627</v>
      </c>
    </row>
    <row r="8" spans="1:3" x14ac:dyDescent="0.25">
      <c r="A8">
        <v>8</v>
      </c>
      <c r="B8" t="s">
        <v>334</v>
      </c>
      <c r="C8" t="s">
        <v>623</v>
      </c>
    </row>
    <row r="9" spans="1:3" x14ac:dyDescent="0.25">
      <c r="A9">
        <v>9</v>
      </c>
      <c r="B9" t="s">
        <v>337</v>
      </c>
      <c r="C9" t="s">
        <v>337</v>
      </c>
    </row>
    <row r="10" spans="1:3" x14ac:dyDescent="0.25">
      <c r="A10">
        <v>10</v>
      </c>
      <c r="B10" t="s">
        <v>335</v>
      </c>
      <c r="C10" t="s">
        <v>628</v>
      </c>
    </row>
    <row r="11" spans="1:3" x14ac:dyDescent="0.25">
      <c r="A11">
        <v>11</v>
      </c>
      <c r="B11" t="s">
        <v>336</v>
      </c>
      <c r="C11" t="s">
        <v>336</v>
      </c>
    </row>
    <row r="12" spans="1:3" x14ac:dyDescent="0.25">
      <c r="A12">
        <v>12</v>
      </c>
      <c r="B12" t="s">
        <v>338</v>
      </c>
      <c r="C12" t="s">
        <v>338</v>
      </c>
    </row>
    <row r="13" spans="1:3" x14ac:dyDescent="0.25">
      <c r="A13">
        <v>13</v>
      </c>
      <c r="B13" t="s">
        <v>339</v>
      </c>
      <c r="C13" t="s">
        <v>339</v>
      </c>
    </row>
    <row r="14" spans="1:3" x14ac:dyDescent="0.25">
      <c r="A14">
        <v>14</v>
      </c>
      <c r="B14" t="s">
        <v>340</v>
      </c>
      <c r="C14" t="s">
        <v>340</v>
      </c>
    </row>
    <row r="15" spans="1:3" x14ac:dyDescent="0.25">
      <c r="A15">
        <v>15</v>
      </c>
      <c r="B15" t="s">
        <v>341</v>
      </c>
      <c r="C15" t="s">
        <v>341</v>
      </c>
    </row>
    <row r="16" spans="1:3" x14ac:dyDescent="0.25">
      <c r="A16">
        <v>16</v>
      </c>
      <c r="B16" t="s">
        <v>342</v>
      </c>
      <c r="C16" t="s">
        <v>342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397</v>
      </c>
      <c r="B1" s="1" t="s">
        <v>398</v>
      </c>
      <c r="C1" s="1" t="s">
        <v>399</v>
      </c>
      <c r="D1" s="1" t="s">
        <v>400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2020-06-24T22:14:37Z</dcterms:modified>
</cp:coreProperties>
</file>