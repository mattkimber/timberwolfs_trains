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CAC9DC32-7172-4151-8098-FBE84330E19B}" xr6:coauthVersionLast="45" xr6:coauthVersionMax="45" xr10:uidLastSave="{00000000-0000-0000-0000-000000000000}"/>
  <bookViews>
    <workbookView xWindow="2880" yWindow="2445" windowWidth="15000" windowHeight="1284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102" i="1" l="1"/>
  <c r="AG103" i="1"/>
  <c r="AG104" i="1"/>
  <c r="AG105" i="1"/>
  <c r="AG106" i="1"/>
  <c r="AG107" i="1"/>
  <c r="AG108" i="1"/>
  <c r="AG109" i="1"/>
  <c r="AG110" i="1"/>
  <c r="AG111" i="1"/>
  <c r="AG112" i="1"/>
  <c r="AG113" i="1"/>
  <c r="AG114" i="1"/>
  <c r="AG115" i="1"/>
  <c r="AG116" i="1"/>
  <c r="AG117" i="1"/>
  <c r="AG118" i="1"/>
  <c r="AG119"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AG195" i="1"/>
  <c r="AG196" i="1"/>
  <c r="AG197" i="1"/>
  <c r="AG198" i="1"/>
  <c r="AG199" i="1"/>
  <c r="AG200" i="1"/>
  <c r="AG201" i="1"/>
  <c r="AG202" i="1"/>
  <c r="AG203" i="1"/>
  <c r="AG204" i="1"/>
  <c r="AG205" i="1"/>
  <c r="AG206" i="1"/>
  <c r="AG207" i="1"/>
  <c r="AG208" i="1"/>
  <c r="AG209" i="1"/>
  <c r="AG210" i="1"/>
  <c r="AG211" i="1"/>
  <c r="AG212" i="1"/>
  <c r="AG213" i="1"/>
  <c r="AG3" i="1"/>
  <c r="AG4" i="1"/>
  <c r="AG5" i="1"/>
  <c r="AG6" i="1"/>
  <c r="AG7" i="1"/>
  <c r="AG8" i="1"/>
  <c r="AG9" i="1"/>
  <c r="AG10" i="1"/>
  <c r="AG11" i="1"/>
  <c r="AG12" i="1"/>
  <c r="AG13" i="1"/>
  <c r="AG14" i="1"/>
  <c r="AG15" i="1"/>
  <c r="AG16" i="1"/>
  <c r="AG17" i="1"/>
  <c r="AG18" i="1"/>
  <c r="AG19" i="1"/>
  <c r="AG20" i="1"/>
  <c r="AG21" i="1"/>
  <c r="AG22" i="1"/>
  <c r="AG23" i="1"/>
  <c r="AG24" i="1"/>
  <c r="AG25" i="1"/>
  <c r="AG52" i="1" s="1"/>
  <c r="AG26" i="1"/>
  <c r="AG51" i="1" s="1"/>
  <c r="AG27" i="1"/>
  <c r="AG72" i="1" s="1"/>
  <c r="AG28" i="1"/>
  <c r="AG59" i="1" s="1"/>
  <c r="AG29" i="1"/>
  <c r="AG75" i="1" s="1"/>
  <c r="AG30" i="1"/>
  <c r="AG31" i="1"/>
  <c r="AG33" i="1"/>
  <c r="AG34" i="1"/>
  <c r="AG35" i="1"/>
  <c r="AG36" i="1"/>
  <c r="AG37" i="1"/>
  <c r="AG38" i="1"/>
  <c r="AG39" i="1"/>
  <c r="AG40" i="1"/>
  <c r="AG41" i="1"/>
  <c r="AG42" i="1"/>
  <c r="AG43" i="1"/>
  <c r="AG44" i="1"/>
  <c r="AG46" i="1"/>
  <c r="AG47" i="1"/>
  <c r="AG48" i="1"/>
  <c r="AG49" i="1"/>
  <c r="AG50" i="1"/>
  <c r="AG53" i="1"/>
  <c r="AG54" i="1"/>
  <c r="AG55" i="1"/>
  <c r="AG97" i="1" s="1"/>
  <c r="AG56" i="1"/>
  <c r="AG58" i="1" s="1"/>
  <c r="AG57" i="1"/>
  <c r="AG71" i="1" s="1"/>
  <c r="AG61" i="1"/>
  <c r="AG64" i="1"/>
  <c r="AG66" i="1"/>
  <c r="AG67" i="1"/>
  <c r="AG68" i="1"/>
  <c r="AG76" i="1"/>
  <c r="AG77" i="1"/>
  <c r="AG78" i="1"/>
  <c r="AG79" i="1"/>
  <c r="AG80" i="1" s="1"/>
  <c r="AG81" i="1"/>
  <c r="AG82" i="1"/>
  <c r="AG83" i="1"/>
  <c r="AG84" i="1" s="1"/>
  <c r="AG85" i="1"/>
  <c r="AG86" i="1"/>
  <c r="AG87" i="1" s="1"/>
  <c r="AG91" i="1"/>
  <c r="AG92" i="1"/>
  <c r="AG93" i="1" s="1"/>
  <c r="AG94" i="1"/>
  <c r="AG96" i="1"/>
  <c r="AG99" i="1"/>
  <c r="AG100" i="1"/>
  <c r="AG101" i="1" l="1"/>
  <c r="AG90" i="1"/>
  <c r="AG95" i="1"/>
  <c r="AG65" i="1"/>
  <c r="AG98" i="1"/>
  <c r="AG63" i="1"/>
  <c r="AG73" i="1"/>
  <c r="AG70" i="1"/>
  <c r="AG62" i="1"/>
  <c r="AG89" i="1"/>
  <c r="AG74" i="1"/>
  <c r="AG69" i="1"/>
  <c r="AG45" i="1"/>
  <c r="AG88" i="1"/>
  <c r="AG60" i="1"/>
  <c r="AG32" i="1"/>
  <c r="Q101" i="1"/>
  <c r="O101" i="1"/>
  <c r="O97" i="1" l="1"/>
  <c r="Q97" i="1" s="1"/>
  <c r="Z97" i="1"/>
  <c r="Z98" i="1"/>
  <c r="Q98" i="1"/>
  <c r="O98" i="1"/>
  <c r="AE95" i="1" l="1"/>
  <c r="Z95" i="1"/>
  <c r="AP92" i="1"/>
  <c r="AR92" i="1" s="1"/>
  <c r="AE92" i="1"/>
  <c r="V92" i="1"/>
  <c r="Z93" i="1"/>
  <c r="O93" i="1"/>
  <c r="Q93" i="1" s="1"/>
  <c r="O91" i="1"/>
  <c r="Q91" i="1" s="1"/>
  <c r="AD92" i="1" l="1"/>
  <c r="O90" i="1"/>
  <c r="Q90" i="1" s="1"/>
  <c r="O89" i="1"/>
  <c r="Q89" i="1" s="1"/>
  <c r="O88" i="1"/>
  <c r="Q88" i="1" s="1"/>
  <c r="AP86" i="1"/>
  <c r="AR86" i="1" s="1"/>
  <c r="AE86" i="1"/>
  <c r="V86" i="1"/>
  <c r="O87" i="1"/>
  <c r="Q87" i="1" s="1"/>
  <c r="O53" i="1"/>
  <c r="Q53" i="1" s="1"/>
  <c r="O85" i="1"/>
  <c r="Q85" i="1" s="1"/>
  <c r="AD86" i="1" l="1"/>
  <c r="AP83" i="1"/>
  <c r="AR83" i="1" s="1"/>
  <c r="AE83" i="1"/>
  <c r="V83" i="1"/>
  <c r="S84" i="1"/>
  <c r="O84" i="1"/>
  <c r="Q84" i="1" s="1"/>
  <c r="AD83" i="1" l="1"/>
  <c r="AP79" i="1"/>
  <c r="AR79" i="1" s="1"/>
  <c r="AE79" i="1"/>
  <c r="V79" i="1"/>
  <c r="Z80" i="1"/>
  <c r="O80" i="1"/>
  <c r="Q80" i="1" s="1"/>
  <c r="AC77" i="1"/>
  <c r="AD79" i="1" l="1"/>
  <c r="AP29" i="1"/>
  <c r="AR29" i="1" s="1"/>
  <c r="AE29" i="1"/>
  <c r="V29" i="1"/>
  <c r="Z75" i="1"/>
  <c r="Z74" i="1"/>
  <c r="O74" i="1"/>
  <c r="Q74" i="1" s="1"/>
  <c r="AD29" i="1" l="1"/>
  <c r="Z73" i="1"/>
  <c r="O73" i="1"/>
  <c r="Q73" i="1" s="1"/>
  <c r="V74" i="1"/>
  <c r="V75" i="1"/>
  <c r="V76" i="1"/>
  <c r="V77" i="1"/>
  <c r="V78" i="1"/>
  <c r="V80" i="1"/>
  <c r="V81" i="1"/>
  <c r="V82" i="1"/>
  <c r="V84" i="1"/>
  <c r="V85" i="1"/>
  <c r="V87" i="1"/>
  <c r="V88" i="1"/>
  <c r="V89" i="1"/>
  <c r="V90" i="1"/>
  <c r="V91"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 i="1"/>
  <c r="V3" i="1"/>
  <c r="V4" i="1"/>
  <c r="V5" i="1"/>
  <c r="V6" i="1"/>
  <c r="V7" i="1"/>
  <c r="V8" i="1"/>
  <c r="V9" i="1"/>
  <c r="V10" i="1"/>
  <c r="V11" i="1"/>
  <c r="V12" i="1"/>
  <c r="V13" i="1"/>
  <c r="V14" i="1"/>
  <c r="V15" i="1"/>
  <c r="V16" i="1"/>
  <c r="V17" i="1"/>
  <c r="V18" i="1"/>
  <c r="V19" i="1"/>
  <c r="V20" i="1"/>
  <c r="V21" i="1"/>
  <c r="V22" i="1"/>
  <c r="V23" i="1"/>
  <c r="V24" i="1"/>
  <c r="V25" i="1"/>
  <c r="V26" i="1"/>
  <c r="V27" i="1"/>
  <c r="V28"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Z72" i="1"/>
  <c r="Z71" i="1" l="1"/>
  <c r="O66" i="1" l="1"/>
  <c r="Q66" i="1" s="1"/>
  <c r="AP55" i="1"/>
  <c r="AR55" i="1" s="1"/>
  <c r="AE55" i="1"/>
  <c r="O65" i="1"/>
  <c r="Q65" i="1" s="1"/>
  <c r="Z65" i="1"/>
  <c r="AD55" i="1" l="1"/>
  <c r="O64" i="1"/>
  <c r="Q64" i="1" s="1"/>
  <c r="AP27" i="1" l="1"/>
  <c r="AR27" i="1" s="1"/>
  <c r="AE27" i="1"/>
  <c r="O63" i="1"/>
  <c r="Q63" i="1" s="1"/>
  <c r="Z63" i="1"/>
  <c r="O62" i="1"/>
  <c r="Q62" i="1" s="1"/>
  <c r="Z62" i="1"/>
  <c r="O61" i="1"/>
  <c r="Q61" i="1" s="1"/>
  <c r="Z60" i="1"/>
  <c r="O60" i="1"/>
  <c r="Q60" i="1" s="1"/>
  <c r="Z59" i="1"/>
  <c r="O59" i="1"/>
  <c r="Q59" i="1" s="1"/>
  <c r="O58" i="1"/>
  <c r="Q58" i="1" s="1"/>
  <c r="Z52" i="1"/>
  <c r="AP25" i="1"/>
  <c r="AR25" i="1" s="1"/>
  <c r="AE25" i="1"/>
  <c r="AD25" i="1"/>
  <c r="O52" i="1"/>
  <c r="Q52" i="1" s="1"/>
  <c r="O51" i="1"/>
  <c r="Q51" i="1" s="1"/>
  <c r="AP36" i="1"/>
  <c r="AR36" i="1" s="1"/>
  <c r="AE36" i="1"/>
  <c r="AP37" i="1"/>
  <c r="AR37" i="1" s="1"/>
  <c r="AP38" i="1"/>
  <c r="AR38" i="1" s="1"/>
  <c r="AE37" i="1"/>
  <c r="AE38" i="1"/>
  <c r="AD27" i="1" l="1"/>
  <c r="AD38" i="1"/>
  <c r="AD36" i="1"/>
  <c r="AD37" i="1"/>
  <c r="AP31" i="1"/>
  <c r="AR31" i="1" s="1"/>
  <c r="AE31" i="1"/>
  <c r="AD31" i="1" s="1"/>
  <c r="O31" i="1"/>
  <c r="Q31" i="1" s="1"/>
  <c r="AP40" i="1"/>
  <c r="AR40" i="1" s="1"/>
  <c r="AE40" i="1"/>
  <c r="AD40" i="1" l="1"/>
  <c r="AP28" i="1"/>
  <c r="AR28" i="1" s="1"/>
  <c r="AE28" i="1"/>
  <c r="O45" i="1"/>
  <c r="Q45" i="1" s="1"/>
  <c r="O46" i="1"/>
  <c r="Q46" i="1" s="1"/>
  <c r="AD28" i="1" l="1"/>
  <c r="O44" i="1"/>
  <c r="Q44" i="1" s="1"/>
  <c r="O43" i="1"/>
  <c r="Q43" i="1" s="1"/>
  <c r="N32" i="1" l="1"/>
  <c r="O32" i="1"/>
  <c r="O42" i="1"/>
  <c r="Q42" i="1" s="1"/>
  <c r="O95" i="1"/>
  <c r="Q95" i="1" s="1"/>
  <c r="Q32" i="1" l="1"/>
  <c r="B4" i="4"/>
  <c r="B5" i="4"/>
  <c r="B6" i="4"/>
  <c r="B7" i="4"/>
  <c r="B8" i="4"/>
  <c r="B9" i="4"/>
  <c r="B10" i="4"/>
  <c r="B11" i="4"/>
  <c r="B12" i="4"/>
  <c r="B13" i="4"/>
  <c r="B3" i="4"/>
  <c r="AP16" i="1"/>
  <c r="AR16" i="1" s="1"/>
  <c r="AP17" i="1"/>
  <c r="AR17" i="1" s="1"/>
  <c r="AP18" i="1"/>
  <c r="AR18" i="1" s="1"/>
  <c r="AP19" i="1"/>
  <c r="AR19" i="1" s="1"/>
  <c r="AP20" i="1"/>
  <c r="AR20" i="1" s="1"/>
  <c r="AP21" i="1"/>
  <c r="AR21" i="1" s="1"/>
  <c r="AP22" i="1"/>
  <c r="AR22" i="1" s="1"/>
  <c r="AP23" i="1"/>
  <c r="AR23" i="1" s="1"/>
  <c r="AP32" i="1"/>
  <c r="AR32" i="1" s="1"/>
  <c r="AP34" i="1"/>
  <c r="AR34" i="1" s="1"/>
  <c r="AP35" i="1"/>
  <c r="AR35" i="1" s="1"/>
  <c r="AP42" i="1"/>
  <c r="AR42" i="1" s="1"/>
  <c r="AP43" i="1"/>
  <c r="AR43" i="1" s="1"/>
  <c r="AP44" i="1"/>
  <c r="AR44" i="1" s="1"/>
  <c r="AP45" i="1"/>
  <c r="AR45" i="1" s="1"/>
  <c r="AP46" i="1"/>
  <c r="AR46" i="1" s="1"/>
  <c r="AP47" i="1"/>
  <c r="AR47" i="1" s="1"/>
  <c r="AP49" i="1"/>
  <c r="AR49" i="1" s="1"/>
  <c r="AP50" i="1"/>
  <c r="AR50" i="1" s="1"/>
  <c r="AP51" i="1"/>
  <c r="AR51" i="1" s="1"/>
  <c r="AP52" i="1"/>
  <c r="AR52" i="1" s="1"/>
  <c r="AP24" i="1"/>
  <c r="AR24" i="1" s="1"/>
  <c r="AP53" i="1"/>
  <c r="AR53" i="1" s="1"/>
  <c r="AP54" i="1"/>
  <c r="AR54" i="1" s="1"/>
  <c r="AP58" i="1"/>
  <c r="AR58" i="1" s="1"/>
  <c r="AP59" i="1"/>
  <c r="AR59" i="1" s="1"/>
  <c r="AP60" i="1"/>
  <c r="AR60" i="1" s="1"/>
  <c r="AP61" i="1"/>
  <c r="AR61" i="1" s="1"/>
  <c r="AP62" i="1"/>
  <c r="AR62" i="1" s="1"/>
  <c r="AP63" i="1"/>
  <c r="AR63" i="1" s="1"/>
  <c r="AP64" i="1"/>
  <c r="AR64" i="1" s="1"/>
  <c r="AP65" i="1"/>
  <c r="AR65" i="1" s="1"/>
  <c r="AP66" i="1"/>
  <c r="AR66" i="1" s="1"/>
  <c r="AP69" i="1"/>
  <c r="AR69" i="1" s="1"/>
  <c r="AP70" i="1"/>
  <c r="AR70" i="1" s="1"/>
  <c r="AP71" i="1"/>
  <c r="AR71" i="1" s="1"/>
  <c r="AP72" i="1"/>
  <c r="AR72" i="1" s="1"/>
  <c r="AP73" i="1"/>
  <c r="AR73" i="1" s="1"/>
  <c r="AP74" i="1"/>
  <c r="AR74" i="1" s="1"/>
  <c r="AP75" i="1"/>
  <c r="AR75" i="1" s="1"/>
  <c r="AP80" i="1"/>
  <c r="AR80" i="1" s="1"/>
  <c r="AP81" i="1"/>
  <c r="AR81" i="1" s="1"/>
  <c r="AP82" i="1"/>
  <c r="AR82" i="1" s="1"/>
  <c r="AP84" i="1"/>
  <c r="AR84" i="1" s="1"/>
  <c r="AP85" i="1"/>
  <c r="AR85" i="1" s="1"/>
  <c r="AP87" i="1"/>
  <c r="AR87" i="1" s="1"/>
  <c r="AP88" i="1"/>
  <c r="AR88" i="1" s="1"/>
  <c r="AP89" i="1"/>
  <c r="AR89" i="1" s="1"/>
  <c r="AP90" i="1"/>
  <c r="AR90" i="1" s="1"/>
  <c r="AP91" i="1"/>
  <c r="AR91" i="1" s="1"/>
  <c r="AP93" i="1"/>
  <c r="AR93" i="1" s="1"/>
  <c r="AP94" i="1"/>
  <c r="AR94" i="1" s="1"/>
  <c r="AP95" i="1"/>
  <c r="AR95" i="1" s="1"/>
  <c r="AP96" i="1"/>
  <c r="AR96" i="1" s="1"/>
  <c r="AP97" i="1"/>
  <c r="AR97" i="1" s="1"/>
  <c r="AP98" i="1"/>
  <c r="AR98" i="1" s="1"/>
  <c r="AP99" i="1"/>
  <c r="AR99" i="1" s="1"/>
  <c r="AP100" i="1"/>
  <c r="AR100" i="1" s="1"/>
  <c r="AP101" i="1"/>
  <c r="AR101" i="1" s="1"/>
  <c r="AP102" i="1"/>
  <c r="AR102" i="1" s="1"/>
  <c r="AP106" i="1"/>
  <c r="AR106" i="1" s="1"/>
  <c r="AP107" i="1"/>
  <c r="AR107" i="1" s="1"/>
  <c r="AP108" i="1"/>
  <c r="AR108" i="1" s="1"/>
  <c r="AP109" i="1"/>
  <c r="AR109" i="1" s="1"/>
  <c r="AP110" i="1"/>
  <c r="AR110" i="1" s="1"/>
  <c r="AP111" i="1"/>
  <c r="AR111" i="1" s="1"/>
  <c r="AP112" i="1"/>
  <c r="AR112" i="1" s="1"/>
  <c r="AP113" i="1"/>
  <c r="AR113" i="1" s="1"/>
  <c r="AP114" i="1"/>
  <c r="AR114" i="1" s="1"/>
  <c r="AP117" i="1"/>
  <c r="AR117" i="1" s="1"/>
  <c r="AP118" i="1"/>
  <c r="AR118" i="1" s="1"/>
  <c r="AP119" i="1"/>
  <c r="AR119" i="1" s="1"/>
  <c r="AP120" i="1"/>
  <c r="AR120" i="1" s="1"/>
  <c r="AP123" i="1"/>
  <c r="AR123" i="1" s="1"/>
  <c r="AP124" i="1"/>
  <c r="AR124" i="1" s="1"/>
  <c r="AP125" i="1"/>
  <c r="AR125" i="1" s="1"/>
  <c r="AP126" i="1"/>
  <c r="AR126" i="1" s="1"/>
  <c r="AP127" i="1"/>
  <c r="AR127" i="1" s="1"/>
  <c r="AP128" i="1"/>
  <c r="AR128" i="1" s="1"/>
  <c r="AP129" i="1"/>
  <c r="AR129" i="1" s="1"/>
  <c r="AP130" i="1"/>
  <c r="AR130" i="1" s="1"/>
  <c r="AP131" i="1"/>
  <c r="AR131" i="1" s="1"/>
  <c r="AP132" i="1"/>
  <c r="AR132" i="1" s="1"/>
  <c r="AP135" i="1"/>
  <c r="AR135" i="1" s="1"/>
  <c r="AP137" i="1"/>
  <c r="AR137" i="1" s="1"/>
  <c r="AP139" i="1"/>
  <c r="AR139" i="1" s="1"/>
  <c r="AP143" i="1"/>
  <c r="AR143" i="1" s="1"/>
  <c r="AP145" i="1"/>
  <c r="AR145" i="1" s="1"/>
  <c r="AP146" i="1"/>
  <c r="AR146" i="1" s="1"/>
  <c r="AP148" i="1"/>
  <c r="AR148" i="1" s="1"/>
  <c r="AP151" i="1"/>
  <c r="AR151" i="1" s="1"/>
  <c r="AP153" i="1"/>
  <c r="AR153" i="1" s="1"/>
  <c r="AP154" i="1"/>
  <c r="AR154" i="1" s="1"/>
  <c r="AP155" i="1"/>
  <c r="AR155" i="1" s="1"/>
  <c r="AP159" i="1"/>
  <c r="AR159" i="1" s="1"/>
  <c r="AP162" i="1"/>
  <c r="AR162" i="1" s="1"/>
  <c r="AP68" i="1"/>
  <c r="AR68" i="1" s="1"/>
  <c r="AP48" i="1"/>
  <c r="AR48" i="1" s="1"/>
  <c r="AP67" i="1"/>
  <c r="AR67" i="1" s="1"/>
  <c r="AP76" i="1"/>
  <c r="AR76" i="1" s="1"/>
  <c r="AP77" i="1"/>
  <c r="AR77" i="1" s="1"/>
  <c r="AP103" i="1"/>
  <c r="AR103" i="1" s="1"/>
  <c r="AP115" i="1"/>
  <c r="AR115" i="1" s="1"/>
  <c r="AP121" i="1"/>
  <c r="AR121" i="1" s="1"/>
  <c r="AP104" i="1"/>
  <c r="AR104" i="1" s="1"/>
  <c r="AP157" i="1"/>
  <c r="AR157" i="1" s="1"/>
  <c r="AP149" i="1"/>
  <c r="AR149" i="1" s="1"/>
  <c r="AP156" i="1"/>
  <c r="AR156" i="1" s="1"/>
  <c r="AP158" i="1"/>
  <c r="AR158" i="1" s="1"/>
  <c r="AP147" i="1"/>
  <c r="AR147" i="1" s="1"/>
  <c r="AP142" i="1"/>
  <c r="AR142" i="1" s="1"/>
  <c r="AP140" i="1"/>
  <c r="AR140" i="1" s="1"/>
  <c r="AP163" i="1"/>
  <c r="AR163" i="1" s="1"/>
  <c r="AP164" i="1"/>
  <c r="AR164" i="1" s="1"/>
  <c r="AP165" i="1"/>
  <c r="AR165" i="1" s="1"/>
  <c r="AP166" i="1"/>
  <c r="AR166" i="1" s="1"/>
  <c r="AP167" i="1"/>
  <c r="AR167" i="1" s="1"/>
  <c r="AP168" i="1"/>
  <c r="AR168" i="1" s="1"/>
  <c r="AP169" i="1"/>
  <c r="AR169" i="1" s="1"/>
  <c r="AP170" i="1"/>
  <c r="AR170" i="1" s="1"/>
  <c r="AP171" i="1"/>
  <c r="AR171" i="1" s="1"/>
  <c r="AP172" i="1"/>
  <c r="AR172" i="1" s="1"/>
  <c r="AP173" i="1"/>
  <c r="AR173" i="1" s="1"/>
  <c r="AP174" i="1"/>
  <c r="AR174" i="1" s="1"/>
  <c r="AP175" i="1"/>
  <c r="AR175" i="1" s="1"/>
  <c r="AP176" i="1"/>
  <c r="AR176" i="1" s="1"/>
  <c r="AP177" i="1"/>
  <c r="AR177" i="1" s="1"/>
  <c r="AP178" i="1"/>
  <c r="AR178" i="1" s="1"/>
  <c r="AP179" i="1"/>
  <c r="AR179" i="1" s="1"/>
  <c r="AP180" i="1"/>
  <c r="AR180" i="1" s="1"/>
  <c r="AP181" i="1"/>
  <c r="AR181" i="1" s="1"/>
  <c r="AP182" i="1"/>
  <c r="AR182" i="1" s="1"/>
  <c r="AP183" i="1"/>
  <c r="AR183" i="1" s="1"/>
  <c r="AP184" i="1"/>
  <c r="AR184" i="1" s="1"/>
  <c r="AP185" i="1"/>
  <c r="AR185" i="1" s="1"/>
  <c r="AP186" i="1"/>
  <c r="AR186" i="1" s="1"/>
  <c r="AP30" i="1"/>
  <c r="AR30" i="1" s="1"/>
  <c r="AP187" i="1"/>
  <c r="AR187" i="1" s="1"/>
  <c r="AP188" i="1"/>
  <c r="AR188" i="1" s="1"/>
  <c r="AP189" i="1"/>
  <c r="AR189" i="1" s="1"/>
  <c r="AP190" i="1"/>
  <c r="AR190" i="1" s="1"/>
  <c r="AP191" i="1"/>
  <c r="AR191" i="1" s="1"/>
  <c r="AP78" i="1"/>
  <c r="AR78" i="1" s="1"/>
  <c r="AP116" i="1"/>
  <c r="AR116" i="1" s="1"/>
  <c r="AP122" i="1"/>
  <c r="AR122" i="1" s="1"/>
  <c r="AP133" i="1"/>
  <c r="AR133" i="1" s="1"/>
  <c r="AP134" i="1"/>
  <c r="AR134" i="1" s="1"/>
  <c r="AP136" i="1"/>
  <c r="AR136" i="1" s="1"/>
  <c r="AP141" i="1"/>
  <c r="AR141" i="1" s="1"/>
  <c r="AP144" i="1"/>
  <c r="AR144" i="1" s="1"/>
  <c r="AP150" i="1"/>
  <c r="AR150" i="1" s="1"/>
  <c r="AP152" i="1"/>
  <c r="AR152" i="1" s="1"/>
  <c r="AP160" i="1"/>
  <c r="AR160" i="1" s="1"/>
  <c r="AP161" i="1"/>
  <c r="AR161" i="1" s="1"/>
  <c r="AP192" i="1"/>
  <c r="AR192" i="1" s="1"/>
  <c r="AP193" i="1"/>
  <c r="AR193" i="1" s="1"/>
  <c r="AP194" i="1"/>
  <c r="AR194" i="1" s="1"/>
  <c r="AP41" i="1"/>
  <c r="AR41" i="1" s="1"/>
  <c r="AP195" i="1"/>
  <c r="AR195" i="1" s="1"/>
  <c r="AP196" i="1"/>
  <c r="AR196" i="1" s="1"/>
  <c r="AP105" i="1"/>
  <c r="AR105" i="1" s="1"/>
  <c r="AP138" i="1"/>
  <c r="AR138" i="1" s="1"/>
  <c r="AP197" i="1"/>
  <c r="AR197" i="1" s="1"/>
  <c r="AP198" i="1"/>
  <c r="AR198" i="1" s="1"/>
  <c r="AP199" i="1"/>
  <c r="AR199" i="1" s="1"/>
  <c r="AP200" i="1"/>
  <c r="AR200" i="1" s="1"/>
  <c r="AP14" i="1"/>
  <c r="AR14" i="1" s="1"/>
  <c r="AP39" i="1"/>
  <c r="AR39" i="1" s="1"/>
  <c r="AP201" i="1"/>
  <c r="AR201" i="1" s="1"/>
  <c r="AP202" i="1"/>
  <c r="AR202" i="1" s="1"/>
  <c r="AP2" i="1"/>
  <c r="AR2" i="1" s="1"/>
  <c r="AP33" i="1"/>
  <c r="AR33" i="1" s="1"/>
  <c r="AP203" i="1"/>
  <c r="AR203" i="1" s="1"/>
  <c r="AP204" i="1"/>
  <c r="AR204" i="1" s="1"/>
  <c r="AP205" i="1"/>
  <c r="AR205" i="1" s="1"/>
  <c r="AP206" i="1"/>
  <c r="AR206" i="1" s="1"/>
  <c r="AP207" i="1"/>
  <c r="AR207" i="1" s="1"/>
  <c r="AP208" i="1"/>
  <c r="AR208" i="1" s="1"/>
  <c r="AP209" i="1"/>
  <c r="AR209" i="1" s="1"/>
  <c r="AP210" i="1"/>
  <c r="AR210" i="1" s="1"/>
  <c r="AP211" i="1"/>
  <c r="AR211" i="1" s="1"/>
  <c r="AP212" i="1"/>
  <c r="AR212" i="1" s="1"/>
  <c r="AP213" i="1"/>
  <c r="AR213" i="1" s="1"/>
  <c r="AP57" i="1"/>
  <c r="AR57" i="1" s="1"/>
  <c r="AP26" i="1"/>
  <c r="AR26" i="1" s="1"/>
  <c r="AP3" i="1"/>
  <c r="AR3" i="1" s="1"/>
  <c r="AP4" i="1"/>
  <c r="AR4" i="1" s="1"/>
  <c r="AP5" i="1"/>
  <c r="AR5" i="1" s="1"/>
  <c r="AP6" i="1"/>
  <c r="AR6" i="1" s="1"/>
  <c r="AP7" i="1"/>
  <c r="AR7" i="1" s="1"/>
  <c r="AP8" i="1"/>
  <c r="AR8" i="1" s="1"/>
  <c r="AP9" i="1"/>
  <c r="AR9" i="1" s="1"/>
  <c r="AP10" i="1"/>
  <c r="AR10" i="1" s="1"/>
  <c r="AP11" i="1"/>
  <c r="AR11" i="1" s="1"/>
  <c r="AP12" i="1"/>
  <c r="AR12" i="1" s="1"/>
  <c r="AP13" i="1"/>
  <c r="AR13" i="1" s="1"/>
  <c r="AP15" i="1"/>
  <c r="AR15" i="1" s="1"/>
  <c r="AP56" i="1"/>
  <c r="AR56"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Z32" i="1"/>
  <c r="AE26" i="1"/>
  <c r="C2" i="3" l="1"/>
  <c r="B2" i="3" s="1"/>
  <c r="B7" i="3"/>
  <c r="B8" i="3"/>
  <c r="B9" i="3"/>
  <c r="B10" i="3"/>
  <c r="B11" i="3"/>
  <c r="B12" i="3"/>
  <c r="B13" i="3"/>
  <c r="B14" i="3"/>
  <c r="C4" i="3"/>
  <c r="B4" i="3" s="1"/>
  <c r="C5" i="3"/>
  <c r="B5" i="3" s="1"/>
  <c r="C6" i="3"/>
  <c r="B6" i="3" s="1"/>
  <c r="AD26" i="1" s="1"/>
  <c r="C7" i="3"/>
  <c r="C8" i="3"/>
  <c r="C9" i="3"/>
  <c r="C10" i="3"/>
  <c r="C11" i="3"/>
  <c r="C12" i="3"/>
  <c r="C13" i="3"/>
  <c r="C14" i="3"/>
  <c r="C15" i="3"/>
  <c r="B15" i="3" s="1"/>
  <c r="C16" i="3"/>
  <c r="B16" i="3" s="1"/>
  <c r="C17" i="3"/>
  <c r="B17" i="3" s="1"/>
  <c r="C18" i="3"/>
  <c r="B18" i="3" s="1"/>
  <c r="C3" i="3"/>
  <c r="B3" i="3" s="1"/>
  <c r="AE100" i="1" l="1"/>
  <c r="AE101" i="1"/>
  <c r="AE57" i="1"/>
  <c r="AE3" i="1"/>
  <c r="AE4" i="1"/>
  <c r="AE5" i="1"/>
  <c r="AE6" i="1"/>
  <c r="AE7" i="1"/>
  <c r="AE8" i="1"/>
  <c r="AE9" i="1"/>
  <c r="AE10" i="1"/>
  <c r="AE11" i="1"/>
  <c r="AE12" i="1"/>
  <c r="AE13" i="1"/>
  <c r="AE15" i="1"/>
  <c r="AE16" i="1"/>
  <c r="AE17" i="1"/>
  <c r="AE18" i="1"/>
  <c r="AE19" i="1"/>
  <c r="AE20" i="1"/>
  <c r="AE21" i="1"/>
  <c r="AE22" i="1"/>
  <c r="AE23" i="1"/>
  <c r="AE32" i="1"/>
  <c r="AE34" i="1"/>
  <c r="AE35" i="1"/>
  <c r="AE42" i="1"/>
  <c r="AE43" i="1"/>
  <c r="AE44" i="1"/>
  <c r="AE45" i="1"/>
  <c r="AE46" i="1"/>
  <c r="AE47" i="1"/>
  <c r="AE49" i="1"/>
  <c r="AE50" i="1"/>
  <c r="AE51" i="1"/>
  <c r="AE52" i="1"/>
  <c r="AE24" i="1"/>
  <c r="AE53" i="1"/>
  <c r="AE54" i="1"/>
  <c r="AE58" i="1"/>
  <c r="AD58" i="1" s="1"/>
  <c r="AE59" i="1"/>
  <c r="AE60" i="1"/>
  <c r="AE61" i="1"/>
  <c r="AE62" i="1"/>
  <c r="AE63" i="1"/>
  <c r="AE64" i="1"/>
  <c r="AE65" i="1"/>
  <c r="AE66" i="1"/>
  <c r="AE69" i="1"/>
  <c r="AD69" i="1" s="1"/>
  <c r="AE70" i="1"/>
  <c r="AD70" i="1" s="1"/>
  <c r="AE71" i="1"/>
  <c r="AE72" i="1"/>
  <c r="AE73" i="1"/>
  <c r="AE74" i="1"/>
  <c r="AE75" i="1"/>
  <c r="AE80" i="1"/>
  <c r="AE81" i="1"/>
  <c r="AE82" i="1"/>
  <c r="AE84" i="1"/>
  <c r="AE85" i="1"/>
  <c r="AE87" i="1"/>
  <c r="AE88" i="1"/>
  <c r="AE89" i="1"/>
  <c r="AE90" i="1"/>
  <c r="AE91" i="1"/>
  <c r="AE93" i="1"/>
  <c r="AE94" i="1"/>
  <c r="AE96" i="1"/>
  <c r="AE97" i="1"/>
  <c r="AE98" i="1"/>
  <c r="AE99" i="1"/>
  <c r="AE102" i="1"/>
  <c r="AE106" i="1"/>
  <c r="AE107" i="1"/>
  <c r="AE108" i="1"/>
  <c r="AE109" i="1"/>
  <c r="AE110" i="1"/>
  <c r="AE111" i="1"/>
  <c r="AE112" i="1"/>
  <c r="AE113" i="1"/>
  <c r="AE114" i="1"/>
  <c r="AE117" i="1"/>
  <c r="AE118" i="1"/>
  <c r="AE119" i="1"/>
  <c r="AE120" i="1"/>
  <c r="AG120" i="1" s="1"/>
  <c r="AE123" i="1"/>
  <c r="AE124" i="1"/>
  <c r="AE125" i="1"/>
  <c r="AE126" i="1"/>
  <c r="AE127" i="1"/>
  <c r="AE128" i="1"/>
  <c r="AE129" i="1"/>
  <c r="AE130" i="1"/>
  <c r="AE131" i="1"/>
  <c r="AE132" i="1"/>
  <c r="AE135" i="1"/>
  <c r="AE137" i="1"/>
  <c r="AE139" i="1"/>
  <c r="AE143" i="1"/>
  <c r="AE145" i="1"/>
  <c r="AE146" i="1"/>
  <c r="AE148" i="1"/>
  <c r="AE151" i="1"/>
  <c r="AE153" i="1"/>
  <c r="AE154" i="1"/>
  <c r="AE155" i="1"/>
  <c r="AE159" i="1"/>
  <c r="AE162" i="1"/>
  <c r="AE68" i="1"/>
  <c r="AE48" i="1"/>
  <c r="AE67" i="1"/>
  <c r="AE76" i="1"/>
  <c r="AE77" i="1"/>
  <c r="AE103" i="1"/>
  <c r="AE115" i="1"/>
  <c r="AE121" i="1"/>
  <c r="AE104" i="1"/>
  <c r="AE157" i="1"/>
  <c r="AE149" i="1"/>
  <c r="AE156" i="1"/>
  <c r="AE158" i="1"/>
  <c r="AE147" i="1"/>
  <c r="AE142" i="1"/>
  <c r="AE140" i="1"/>
  <c r="AE163" i="1"/>
  <c r="AE164" i="1"/>
  <c r="AE165" i="1"/>
  <c r="AE166" i="1"/>
  <c r="AE167" i="1"/>
  <c r="AE168" i="1"/>
  <c r="AE169" i="1"/>
  <c r="AE170" i="1"/>
  <c r="AE171" i="1"/>
  <c r="AE172" i="1"/>
  <c r="AE173" i="1"/>
  <c r="AE174" i="1"/>
  <c r="AE175" i="1"/>
  <c r="AE176" i="1"/>
  <c r="AE177" i="1"/>
  <c r="AE178" i="1"/>
  <c r="AE179" i="1"/>
  <c r="AE180" i="1"/>
  <c r="AE181" i="1"/>
  <c r="AE182" i="1"/>
  <c r="AE183" i="1"/>
  <c r="AE184" i="1"/>
  <c r="AE185" i="1"/>
  <c r="AE186" i="1"/>
  <c r="AE30" i="1"/>
  <c r="AE187" i="1"/>
  <c r="AE188" i="1"/>
  <c r="AE189" i="1"/>
  <c r="AE190" i="1"/>
  <c r="AE191" i="1"/>
  <c r="AE78" i="1"/>
  <c r="AE116" i="1"/>
  <c r="AE122" i="1"/>
  <c r="AE133" i="1"/>
  <c r="AE134" i="1"/>
  <c r="AE136" i="1"/>
  <c r="AE141" i="1"/>
  <c r="AE144" i="1"/>
  <c r="AE150" i="1"/>
  <c r="AE152" i="1"/>
  <c r="AE160" i="1"/>
  <c r="AE161" i="1"/>
  <c r="AE192" i="1"/>
  <c r="AE193" i="1"/>
  <c r="AE194" i="1"/>
  <c r="AE41" i="1"/>
  <c r="AE195" i="1"/>
  <c r="AE196" i="1"/>
  <c r="AE105" i="1"/>
  <c r="AE138" i="1"/>
  <c r="AE197" i="1"/>
  <c r="AE198" i="1"/>
  <c r="AE199" i="1"/>
  <c r="AE200" i="1"/>
  <c r="AE14" i="1"/>
  <c r="AE39" i="1"/>
  <c r="AE201" i="1"/>
  <c r="AE202" i="1"/>
  <c r="AE2" i="1"/>
  <c r="AE33" i="1"/>
  <c r="AE203" i="1"/>
  <c r="AE204" i="1"/>
  <c r="AE205" i="1"/>
  <c r="AE206" i="1"/>
  <c r="AE207" i="1"/>
  <c r="AE208" i="1"/>
  <c r="AE209" i="1"/>
  <c r="AE210" i="1"/>
  <c r="AE211" i="1"/>
  <c r="AE212" i="1"/>
  <c r="AE213" i="1"/>
  <c r="AE56" i="1"/>
  <c r="AD56" i="1" l="1"/>
  <c r="AD52" i="1"/>
  <c r="AD47" i="1"/>
  <c r="AD43" i="1"/>
  <c r="AD32" i="1"/>
  <c r="AD20" i="1"/>
  <c r="AD16" i="1"/>
  <c r="AD11" i="1"/>
  <c r="AD7" i="1"/>
  <c r="AD3" i="1"/>
  <c r="AD208" i="1"/>
  <c r="AD200" i="1"/>
  <c r="AD41" i="1"/>
  <c r="AD144" i="1"/>
  <c r="AD184" i="1"/>
  <c r="AD172" i="1"/>
  <c r="AD147" i="1"/>
  <c r="AD155" i="1"/>
  <c r="AD131" i="1"/>
  <c r="AD117" i="1"/>
  <c r="AD98" i="1"/>
  <c r="AD89" i="1"/>
  <c r="AD72" i="1"/>
  <c r="AD201" i="1"/>
  <c r="AD141" i="1"/>
  <c r="AD183" i="1"/>
  <c r="AD171" i="1"/>
  <c r="AD163" i="1"/>
  <c r="AD77" i="1"/>
  <c r="AD146" i="1"/>
  <c r="AD126" i="1"/>
  <c r="AD110" i="1"/>
  <c r="AD97" i="1"/>
  <c r="AD88" i="1"/>
  <c r="AD82" i="1"/>
  <c r="AD71" i="1"/>
  <c r="AD61" i="1"/>
  <c r="AD54" i="1"/>
  <c r="AD51" i="1"/>
  <c r="AD42" i="1"/>
  <c r="AD23" i="1"/>
  <c r="AD19" i="1"/>
  <c r="AD15" i="1"/>
  <c r="AD10" i="1"/>
  <c r="AD6" i="1"/>
  <c r="AD57" i="1"/>
  <c r="AD212" i="1"/>
  <c r="AD202" i="1"/>
  <c r="AD133" i="1"/>
  <c r="AD187" i="1"/>
  <c r="AD176" i="1"/>
  <c r="AD164" i="1"/>
  <c r="AD103" i="1"/>
  <c r="AD148" i="1"/>
  <c r="AD127" i="1"/>
  <c r="AD111" i="1"/>
  <c r="AD94" i="1"/>
  <c r="AD75" i="1"/>
  <c r="AD66" i="1"/>
  <c r="AD211" i="1"/>
  <c r="AD203" i="1"/>
  <c r="AD199" i="1"/>
  <c r="AD194" i="1"/>
  <c r="AD122" i="1"/>
  <c r="AD30" i="1"/>
  <c r="AD179" i="1"/>
  <c r="AD167" i="1"/>
  <c r="AD104" i="1"/>
  <c r="AD154" i="1"/>
  <c r="AD137" i="1"/>
  <c r="AD130" i="1"/>
  <c r="AD114" i="1"/>
  <c r="AD106" i="1"/>
  <c r="AD93" i="1"/>
  <c r="AD74" i="1"/>
  <c r="AD65" i="1"/>
  <c r="AD210" i="1"/>
  <c r="AD206" i="1"/>
  <c r="AD39" i="1"/>
  <c r="AD196" i="1"/>
  <c r="AD193" i="1"/>
  <c r="AD152" i="1"/>
  <c r="AD136" i="1"/>
  <c r="AD116" i="1"/>
  <c r="AD189" i="1"/>
  <c r="AD186" i="1"/>
  <c r="AD182" i="1"/>
  <c r="AD178" i="1"/>
  <c r="AD174" i="1"/>
  <c r="AD170" i="1"/>
  <c r="AD166" i="1"/>
  <c r="AD140" i="1"/>
  <c r="AD156" i="1"/>
  <c r="AD121" i="1"/>
  <c r="AD76" i="1"/>
  <c r="AD162" i="1"/>
  <c r="AD153" i="1"/>
  <c r="AD145" i="1"/>
  <c r="AD135" i="1"/>
  <c r="AD129" i="1"/>
  <c r="AD125" i="1"/>
  <c r="AD119" i="1"/>
  <c r="AD113" i="1"/>
  <c r="AD109" i="1"/>
  <c r="AD102" i="1"/>
  <c r="AD96" i="1"/>
  <c r="AD91" i="1"/>
  <c r="AD87" i="1"/>
  <c r="AD81" i="1"/>
  <c r="AD73" i="1"/>
  <c r="AD64" i="1"/>
  <c r="AD60" i="1"/>
  <c r="AD53" i="1"/>
  <c r="AD50" i="1"/>
  <c r="AD35" i="1"/>
  <c r="AD22" i="1"/>
  <c r="AD18" i="1"/>
  <c r="AD13" i="1"/>
  <c r="AD9" i="1"/>
  <c r="AD5" i="1"/>
  <c r="AD101" i="1"/>
  <c r="AD204" i="1"/>
  <c r="AD138" i="1"/>
  <c r="AD161" i="1"/>
  <c r="AD191" i="1"/>
  <c r="AD180" i="1"/>
  <c r="AD168" i="1"/>
  <c r="AD157" i="1"/>
  <c r="AD48" i="1"/>
  <c r="AD139" i="1"/>
  <c r="AD123" i="1"/>
  <c r="AD107" i="1"/>
  <c r="AD84" i="1"/>
  <c r="AD62" i="1"/>
  <c r="AD207" i="1"/>
  <c r="AD105" i="1"/>
  <c r="AD160" i="1"/>
  <c r="AD190" i="1"/>
  <c r="AD175" i="1"/>
  <c r="AD158" i="1"/>
  <c r="AD68" i="1"/>
  <c r="AD120" i="1"/>
  <c r="AD33" i="1"/>
  <c r="AD198" i="1"/>
  <c r="AD213" i="1"/>
  <c r="AD209" i="1"/>
  <c r="AD205" i="1"/>
  <c r="AD2" i="1"/>
  <c r="AG2" i="1"/>
  <c r="AD14" i="1"/>
  <c r="AD197" i="1"/>
  <c r="AD195" i="1"/>
  <c r="AD192" i="1"/>
  <c r="AD150" i="1"/>
  <c r="AD134" i="1"/>
  <c r="AD78" i="1"/>
  <c r="AD188" i="1"/>
  <c r="AD185" i="1"/>
  <c r="AD181" i="1"/>
  <c r="AD177" i="1"/>
  <c r="AD173" i="1"/>
  <c r="AD169" i="1"/>
  <c r="AD165" i="1"/>
  <c r="AD142" i="1"/>
  <c r="AD149" i="1"/>
  <c r="AD115" i="1"/>
  <c r="AD67" i="1"/>
  <c r="AD159" i="1"/>
  <c r="AD151" i="1"/>
  <c r="AD143" i="1"/>
  <c r="AD132" i="1"/>
  <c r="AD128" i="1"/>
  <c r="AD124" i="1"/>
  <c r="AD118" i="1"/>
  <c r="AD112" i="1"/>
  <c r="AD108" i="1"/>
  <c r="AD99" i="1"/>
  <c r="AD95" i="1"/>
  <c r="AD90" i="1"/>
  <c r="AD85" i="1"/>
  <c r="AD80" i="1"/>
  <c r="AD63" i="1"/>
  <c r="AD59" i="1"/>
  <c r="AD24" i="1"/>
  <c r="AD49" i="1"/>
  <c r="AD44" i="1"/>
  <c r="AD34" i="1"/>
  <c r="AD21" i="1"/>
  <c r="AD17" i="1"/>
  <c r="AD12" i="1"/>
  <c r="AD8" i="1"/>
  <c r="AD4" i="1"/>
  <c r="AD100" i="1"/>
  <c r="AD46" i="1"/>
  <c r="AD45" i="1"/>
  <c r="J147" i="1" l="1"/>
  <c r="J158" i="1"/>
  <c r="R104" i="1"/>
  <c r="R115" i="1" l="1"/>
  <c r="R103" i="1"/>
  <c r="J114" i="1" l="1"/>
  <c r="J109" i="1"/>
  <c r="R51" i="1" l="1"/>
  <c r="R17" i="1"/>
</calcChain>
</file>

<file path=xl/sharedStrings.xml><?xml version="1.0" encoding="utf-8"?>
<sst xmlns="http://schemas.openxmlformats.org/spreadsheetml/2006/main" count="1332" uniqueCount="664">
  <si>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</si>
  <si>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</si>
  <si>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</si>
  <si>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</si>
  <si>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</si>
  <si>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</si>
  <si>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</si>
  <si>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</si>
  <si>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</si>
  <si>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</si>
  <si>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</si>
  <si>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</si>
  <si>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</si>
  <si>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</si>
  <si>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</si>
  <si>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</si>
  <si>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</si>
  <si>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</si>
  <si>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</si>
  <si>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</si>
  <si>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</si>
  <si>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</si>
  <si>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</si>
  <si>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</si>
  <si>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</si>
  <si>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</si>
  <si>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</si>
  <si>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</si>
  <si>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</si>
  <si>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</si>
  <si>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</si>
  <si>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</si>
  <si>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</si>
  <si>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</si>
  <si>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</si>
  <si>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</si>
  <si>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</si>
  <si>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</si>
  <si>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</si>
  <si>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</si>
  <si>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</si>
  <si>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</si>
  <si>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</si>
  <si>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</si>
  <si>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</si>
  <si>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</si>
  <si>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</si>
  <si>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</si>
  <si>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</si>
  <si>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</si>
  <si>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</si>
  <si>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</si>
  <si>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</si>
  <si>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</si>
  <si>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</si>
  <si>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Brush Class 47</t>
  </si>
  <si>
    <t>BREL Class 58 "Bone"</t>
  </si>
  <si>
    <t>EMD Class 66</t>
  </si>
  <si>
    <t>EMD Class 67</t>
  </si>
  <si>
    <t>EE Class 20 "Chopper"</t>
  </si>
  <si>
    <t>Sulzer Class 25 "Rat"</t>
  </si>
  <si>
    <t>Sulzer Class 45 "Peak"</t>
  </si>
  <si>
    <t>BRCW Class 33 "Crompton"</t>
  </si>
  <si>
    <t>BRCW Class 27</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</si>
  <si>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</si>
  <si>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</si>
  <si>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</si>
  <si>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</si>
  <si>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</si>
  <si>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</si>
  <si>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</si>
  <si>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</si>
  <si>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</si>
  <si>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</si>
  <si>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</si>
  <si>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</si>
  <si>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</si>
  <si>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</si>
  <si>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</si>
  <si>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</si>
  <si>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</si>
  <si>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</si>
  <si>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</si>
  <si>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</si>
  <si>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</si>
  <si>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</si>
  <si>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</si>
  <si>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</si>
  <si>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</si>
  <si>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</si>
  <si>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</si>
  <si>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</si>
  <si>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</si>
  <si>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</si>
  <si>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</si>
  <si>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</si>
  <si>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</si>
  <si>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</si>
  <si>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</si>
  <si>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</si>
  <si>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</si>
  <si>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</si>
  <si>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</si>
  <si>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</si>
  <si>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</si>
  <si>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</si>
  <si>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</si>
  <si>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</si>
  <si>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</si>
  <si>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</si>
  <si>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</si>
  <si>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</si>
  <si>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</si>
  <si>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</si>
  <si>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</si>
  <si>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</si>
  <si>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</si>
  <si>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</si>
  <si>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</si>
  <si>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</si>
  <si>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</si>
  <si>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</si>
  <si>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</si>
  <si>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</si>
  <si>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</si>
  <si>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</si>
  <si>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</si>
  <si>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</si>
  <si>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</si>
  <si>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</si>
  <si>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</si>
  <si>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</si>
  <si>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</si>
  <si>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</si>
  <si>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</si>
  <si>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</si>
  <si>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</si>
  <si>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</si>
  <si>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</si>
  <si>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</si>
  <si>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</si>
  <si>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</si>
  <si>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</si>
  <si>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</si>
  <si>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</si>
  <si>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</si>
  <si>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</si>
  <si>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</si>
  <si>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</si>
  <si>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</si>
  <si>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</si>
  <si>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</si>
  <si>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</si>
  <si>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</si>
  <si>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</si>
  <si>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</si>
  <si>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</si>
  <si>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</si>
  <si>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</si>
  <si>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</si>
  <si>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</si>
  <si>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</si>
  <si>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</si>
  <si>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</si>
  <si>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</si>
  <si>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</si>
  <si>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</si>
  <si>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</si>
  <si>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</si>
  <si>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</si>
  <si>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</si>
  <si>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</si>
  <si>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</si>
  <si>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</si>
  <si>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</si>
  <si>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</si>
  <si>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</si>
  <si>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</si>
  <si>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</si>
  <si>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</si>
  <si>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</si>
  <si>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</si>
  <si>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</si>
  <si>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</si>
  <si>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</si>
  <si>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</si>
  <si>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</si>
  <si>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</si>
  <si>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</si>
  <si>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</si>
  <si>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</si>
  <si>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</si>
  <si>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</si>
  <si>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</si>
  <si>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</si>
  <si>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</si>
  <si>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</si>
  <si>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</si>
  <si>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</si>
  <si>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</si>
  <si>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</si>
  <si>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</si>
  <si>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</si>
  <si>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</si>
  <si>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</si>
  <si>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</si>
  <si>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</si>
  <si>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</si>
  <si>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</si>
  <si>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</si>
  <si>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</si>
  <si>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</si>
  <si>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</si>
  <si>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</si>
  <si>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</si>
  <si>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</si>
  <si>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</si>
  <si>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</si>
  <si>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</si>
  <si>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</si>
  <si>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</si>
  <si>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</si>
  <si>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</si>
  <si>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</si>
  <si>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</si>
  <si>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</si>
  <si>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</si>
  <si>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</si>
  <si>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</si>
  <si>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brcw_class_27</t>
  </si>
  <si>
    <t>brush_class_47</t>
  </si>
  <si>
    <t>clayton_class_17</t>
  </si>
  <si>
    <t>br_class_14_teddy_bear</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</si>
  <si>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</si>
  <si>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</si>
  <si>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</si>
  <si>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</si>
  <si>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</si>
  <si>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</si>
  <si>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</si>
  <si>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</si>
  <si>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</si>
  <si>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</si>
  <si>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</si>
  <si>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</si>
  <si>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</si>
  <si>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</si>
  <si>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</si>
  <si>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</si>
  <si>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</si>
  <si>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</si>
  <si>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</si>
  <si>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</si>
  <si>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</si>
  <si>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</si>
  <si>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</si>
  <si>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</si>
  <si>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</si>
  <si>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</si>
  <si>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</si>
  <si>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</si>
  <si>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</si>
  <si>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</si>
  <si>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</si>
  <si>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</si>
  <si>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</si>
  <si>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</si>
  <si>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</si>
  <si>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</si>
  <si>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</si>
  <si>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</si>
  <si>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</si>
  <si>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</si>
  <si>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</si>
  <si>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</si>
  <si>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</si>
  <si>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</si>
  <si>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</si>
  <si>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</si>
  <si>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</si>
  <si>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</si>
  <si>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</si>
  <si>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</si>
  <si>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</si>
  <si>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</si>
  <si>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</si>
  <si>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</si>
  <si>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</si>
  <si>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</si>
  <si>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</si>
  <si>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</si>
  <si>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</si>
  <si>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</si>
  <si>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</si>
  <si>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</si>
  <si>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</si>
  <si>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</si>
  <si>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</si>
  <si>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</si>
  <si>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</si>
  <si>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</si>
  <si>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</si>
  <si>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</si>
  <si>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</si>
  <si>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</si>
  <si>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</si>
  <si>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</si>
  <si>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</si>
  <si>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</si>
  <si>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</si>
  <si>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</si>
  <si>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</si>
  <si>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</si>
  <si>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</si>
  <si>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</si>
  <si>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</si>
  <si>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</si>
  <si>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</si>
  <si>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</si>
  <si>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</si>
  <si>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</si>
  <si>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</si>
  <si>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</si>
  <si>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</si>
  <si>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</si>
  <si>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</si>
  <si>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</si>
  <si>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</si>
  <si>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</si>
  <si>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</si>
  <si>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</si>
  <si>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</si>
  <si>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</si>
  <si>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</si>
  <si>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</si>
  <si>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</si>
  <si>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</si>
  <si>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</si>
  <si>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</si>
  <si>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</si>
  <si>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</si>
  <si>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</si>
  <si>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</si>
  <si>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</si>
  <si>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</si>
  <si>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</si>
  <si>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</si>
  <si>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</si>
  <si>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</si>
  <si>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</si>
  <si>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</si>
  <si>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</si>
  <si>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</si>
  <si>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</si>
  <si>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</si>
  <si>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</si>
  <si>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</si>
  <si>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</si>
  <si>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</si>
  <si>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</si>
  <si>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</si>
  <si>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</si>
  <si>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</si>
  <si>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</si>
  <si>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</si>
  <si>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</si>
  <si>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</si>
  <si>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</si>
  <si>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</si>
  <si>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</si>
  <si>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</si>
  <si>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</si>
  <si>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</si>
  <si>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</si>
  <si>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</si>
  <si>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</si>
  <si>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</si>
  <si>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</si>
  <si>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</si>
  <si>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</si>
  <si>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</si>
  <si>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</si>
  <si>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</si>
  <si>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</si>
  <si>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</si>
  <si>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</si>
  <si>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</si>
  <si>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</si>
  <si>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</si>
  <si>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</si>
  <si>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</si>
  <si>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</si>
  <si>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</si>
  <si>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</si>
  <si>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</si>
  <si>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</si>
  <si>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</si>
  <si>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</si>
  <si>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</si>
  <si>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</si>
  <si>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</si>
  <si>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</si>
  <si>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</si>
  <si>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</si>
  <si>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</si>
  <si>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</si>
  <si>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</si>
  <si>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</si>
  <si>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</si>
  <si>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</si>
  <si>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</si>
  <si>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</si>
  <si>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</si>
  <si>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</si>
  <si>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</si>
  <si>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</si>
  <si>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</si>
  <si>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</si>
  <si>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</si>
  <si>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</si>
  <si>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</si>
  <si>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</si>
  <si>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</si>
  <si>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</si>
  <si>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</si>
  <si>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</si>
  <si>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</si>
  <si>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</si>
  <si>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</si>
  <si>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</si>
  <si>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</si>
  <si>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</si>
  <si>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</si>
  <si>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</si>
  <si>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</si>
  <si>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</si>
  <si>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</si>
  <si>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</si>
  <si>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</si>
  <si>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</si>
  <si>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</si>
  <si>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</si>
  <si>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</si>
  <si>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</si>
  <si>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</si>
  <si>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</si>
  <si>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</si>
  <si>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</si>
  <si>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</si>
  <si>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</si>
  <si>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</si>
  <si>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</si>
  <si>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</si>
  <si>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</si>
  <si>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</si>
  <si>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</si>
  <si>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</si>
  <si>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</si>
  <si>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</si>
  <si>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</si>
  <si>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</si>
  <si>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</si>
  <si>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</si>
  <si>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</si>
  <si>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</si>
  <si>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</si>
  <si>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</si>
  <si>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</si>
  <si>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</si>
  <si>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</si>
  <si>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</si>
  <si>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</si>
  <si>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</si>
  <si>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</si>
  <si>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</si>
  <si>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</si>
  <si>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</si>
  <si>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</si>
  <si>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</si>
  <si>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</si>
  <si>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</si>
  <si>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</si>
  <si>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</si>
  <si>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</si>
  <si>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</si>
  <si>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</si>
  <si>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</si>
  <si>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</si>
  <si>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</si>
  <si>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</si>
  <si>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</si>
  <si>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</si>
  <si>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</si>
  <si>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</si>
  <si>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</si>
  <si>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</si>
  <si>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</si>
  <si>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</si>
  <si>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</si>
  <si>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</si>
  <si>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</si>
  <si>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</si>
  <si>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</si>
  <si>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</si>
  <si>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</si>
  <si>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</si>
  <si>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</si>
  <si>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</si>
  <si>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</si>
  <si>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</si>
  <si>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</si>
  <si>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</si>
  <si>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</si>
  <si>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</si>
  <si>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</si>
  <si>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</si>
  <si>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</si>
  <si>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</si>
  <si>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</si>
  <si>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</si>
  <si>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</si>
  <si>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</si>
  <si>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</si>
  <si>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</si>
  <si>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</si>
  <si>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</si>
  <si>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</si>
  <si>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</si>
  <si>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</si>
  <si>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</si>
  <si>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</si>
  <si>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</si>
  <si>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</si>
  <si>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</si>
  <si>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</si>
  <si>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</si>
  <si>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</si>
  <si>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</si>
  <si>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</si>
  <si>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</si>
  <si>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</si>
  <si>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</si>
  <si>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</si>
  <si>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</si>
  <si>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</si>
  <si>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</si>
  <si>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</si>
  <si>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</si>
  <si>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</si>
  <si>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</si>
  <si>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</si>
  <si>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</si>
  <si>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</si>
  <si>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</si>
  <si>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</si>
  <si>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</si>
  <si>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</si>
  <si>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</si>
  <si>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</si>
  <si>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</si>
  <si>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</si>
  <si>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</si>
  <si>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</si>
  <si>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</si>
  <si>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</si>
  <si>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</si>
  <si>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</si>
  <si>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</si>
  <si>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</si>
  <si>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</si>
  <si>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</si>
  <si>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</si>
  <si>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</si>
  <si>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</si>
  <si>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</si>
  <si>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</si>
  <si>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</si>
  <si>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</si>
  <si>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</si>
  <si>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</si>
  <si>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</si>
  <si>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</si>
  <si>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</si>
  <si>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</si>
  <si>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</si>
  <si>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</si>
  <si>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</si>
  <si>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</si>
  <si>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</si>
  <si>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</si>
  <si>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</si>
  <si>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</si>
  <si>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</si>
  <si>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</si>
  <si>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</si>
  <si>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</si>
  <si>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</si>
  <si>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</si>
  <si>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</si>
  <si>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</si>
  <si>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</si>
  <si>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</si>
  <si>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</si>
  <si>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</si>
  <si>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</si>
  <si>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</si>
  <si>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</si>
  <si>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</si>
  <si>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</si>
  <si>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</si>
  <si>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</si>
  <si>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</si>
  <si>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</si>
  <si>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</si>
  <si>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</si>
  <si>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</si>
  <si>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</si>
  <si>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</si>
  <si>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</si>
  <si>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</si>
  <si>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</si>
  <si>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</si>
  <si>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</si>
  <si>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</si>
  <si>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</si>
  <si>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</si>
  <si>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</si>
  <si>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2,4,3</t>
  </si>
  <si>
    <t>1,1,2</t>
  </si>
  <si>
    <t>1,2,2</t>
  </si>
  <si>
    <t>1,3,2</t>
  </si>
  <si>
    <t>2,3,3</t>
  </si>
  <si>
    <t>3,4,4</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</si>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</sst>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S218"/>
  <sheetViews>
    <sheetView tabSelected="1" workbookViewId="0">
      <pane xSplit="1" ySplit="1" topLeftCell="AG100" activePane="bottomRight" state="frozenSplit"/>
      <selection pane="topRight" activeCell="B1" sqref="B1"/>
      <selection pane="bottomLeft" activeCell="A2" sqref="A2"/>
      <selection pane="bottomRight" activeCell="AK121" sqref="AK121"/>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5.140625" bestFit="1" customWidth="1"/>
    <col min="12" max="12" width="7.28515625" bestFit="1" customWidth="1"/>
    <col min="13" max="13" width="5.5703125" bestFit="1" customWidth="1"/>
    <col min="14" max="14" width="10" bestFit="1" customWidth="1"/>
    <col min="15" max="15" width="4.5703125" bestFit="1" customWidth="1"/>
    <col min="16" max="16" width="8.7109375" bestFit="1" customWidth="1"/>
    <col min="17" max="17" width="7.7109375" customWidth="1"/>
    <col min="18" max="18" width="10" bestFit="1" customWidth="1"/>
    <col min="19" max="20" width="10" customWidth="1"/>
    <col min="21" max="21" width="18" bestFit="1" customWidth="1"/>
    <col min="22" max="22" width="8.42578125" style="4" bestFit="1" customWidth="1"/>
    <col min="23" max="23" width="12.42578125" bestFit="1" customWidth="1"/>
    <col min="24" max="24" width="12.42578125" customWidth="1"/>
    <col min="25" max="25" width="10.5703125" bestFit="1" customWidth="1"/>
    <col min="26" max="26" width="9.28515625" bestFit="1" customWidth="1"/>
    <col min="27" max="27" width="10.5703125" customWidth="1"/>
    <col min="28" max="28" width="10.42578125" bestFit="1" customWidth="1"/>
    <col min="30" max="30" width="10.28515625" bestFit="1" customWidth="1"/>
    <col min="31" max="31" width="10.28515625" customWidth="1"/>
    <col min="32" max="32" width="26.85546875" customWidth="1"/>
    <col min="33" max="33" width="18.42578125" bestFit="1" customWidth="1"/>
    <col min="34" max="34" width="7.85546875" customWidth="1"/>
    <col min="35" max="35" width="11.85546875" bestFit="1" customWidth="1"/>
    <col min="36" max="36" width="13.140625" bestFit="1" customWidth="1"/>
    <col min="37" max="37" width="9.42578125" bestFit="1" customWidth="1"/>
    <col min="43" max="43" width="15.7109375" bestFit="1" customWidth="1"/>
    <col min="44" max="44" width="21.7109375" bestFit="1" customWidth="1"/>
  </cols>
  <sheetData>
    <row r="1" spans="1:45" s="1" customFormat="1" x14ac:dyDescent="0.25">
      <c r="A1" s="1" t="s">
        <v>181</v>
      </c>
      <c r="B1" s="1" t="s">
        <v>182</v>
      </c>
      <c r="C1" s="1" t="s">
        <v>180</v>
      </c>
      <c r="D1" s="1" t="s">
        <v>372</v>
      </c>
      <c r="E1" s="1" t="s">
        <v>375</v>
      </c>
      <c r="F1" s="1" t="s">
        <v>184</v>
      </c>
      <c r="G1" s="1" t="s">
        <v>185</v>
      </c>
      <c r="H1" s="1" t="s">
        <v>186</v>
      </c>
      <c r="I1" s="1" t="s">
        <v>187</v>
      </c>
      <c r="J1" s="1" t="s">
        <v>188</v>
      </c>
      <c r="K1" s="1" t="s">
        <v>486</v>
      </c>
      <c r="L1" s="1" t="s">
        <v>483</v>
      </c>
      <c r="M1" s="1" t="s">
        <v>484</v>
      </c>
      <c r="N1" s="1" t="s">
        <v>481</v>
      </c>
      <c r="O1" s="1" t="s">
        <v>482</v>
      </c>
      <c r="P1" s="1" t="s">
        <v>487</v>
      </c>
      <c r="Q1" s="1" t="s">
        <v>485</v>
      </c>
      <c r="R1" s="1" t="s">
        <v>189</v>
      </c>
      <c r="S1" s="1" t="s">
        <v>190</v>
      </c>
      <c r="T1" s="1" t="s">
        <v>378</v>
      </c>
      <c r="U1" s="1" t="s">
        <v>191</v>
      </c>
      <c r="V1" s="3" t="s">
        <v>366</v>
      </c>
      <c r="W1" s="1" t="s">
        <v>192</v>
      </c>
      <c r="X1" s="1" t="s">
        <v>491</v>
      </c>
      <c r="Y1" s="1" t="s">
        <v>193</v>
      </c>
      <c r="Z1" s="1" t="s">
        <v>387</v>
      </c>
      <c r="AA1" s="1" t="s">
        <v>331</v>
      </c>
      <c r="AB1" s="1" t="s">
        <v>194</v>
      </c>
      <c r="AC1" s="1" t="s">
        <v>365</v>
      </c>
      <c r="AD1" s="1" t="s">
        <v>183</v>
      </c>
      <c r="AE1" s="1" t="s">
        <v>370</v>
      </c>
      <c r="AF1" s="1" t="s">
        <v>393</v>
      </c>
      <c r="AG1" s="1" t="s">
        <v>332</v>
      </c>
      <c r="AH1" s="1" t="s">
        <v>523</v>
      </c>
      <c r="AI1" s="1" t="s">
        <v>524</v>
      </c>
      <c r="AJ1" s="1" t="s">
        <v>607</v>
      </c>
      <c r="AK1" s="1" t="s">
        <v>371</v>
      </c>
      <c r="AL1" s="1" t="s">
        <v>379</v>
      </c>
      <c r="AM1" s="1" t="s">
        <v>380</v>
      </c>
      <c r="AN1" s="1" t="s">
        <v>410</v>
      </c>
      <c r="AO1" s="1" t="s">
        <v>384</v>
      </c>
      <c r="AP1" s="1" t="s">
        <v>434</v>
      </c>
      <c r="AQ1" s="1" t="s">
        <v>455</v>
      </c>
      <c r="AR1" s="1" t="s">
        <v>457</v>
      </c>
      <c r="AS1" s="1" t="s">
        <v>458</v>
      </c>
    </row>
    <row r="2" spans="1:45" x14ac:dyDescent="0.25">
      <c r="A2" t="s">
        <v>155</v>
      </c>
      <c r="B2" t="s">
        <v>357</v>
      </c>
      <c r="C2" t="s">
        <v>383</v>
      </c>
      <c r="E2" t="s">
        <v>405</v>
      </c>
      <c r="F2">
        <v>1800</v>
      </c>
      <c r="R2">
        <v>5</v>
      </c>
      <c r="T2">
        <v>5</v>
      </c>
      <c r="V2" s="4" t="str">
        <f t="shared" ref="V2:V66" si="0">IF(AND(R2&gt;0,U2&gt;0),(U2/((R2+S2)*10)),"")</f>
        <v/>
      </c>
      <c r="W2">
        <v>35</v>
      </c>
      <c r="Y2">
        <v>4.9000000000000004</v>
      </c>
      <c r="Z2">
        <v>6</v>
      </c>
      <c r="AC2">
        <v>15</v>
      </c>
      <c r="AD2" t="str">
        <f>CONCATENATE(VLOOKUP(AE2, 'Voxel Sizes'!$A$2:$B$18,2,FALSE),"x",INT(AA2*15), "x", INT(AB2*15))</f>
        <v>60x0x0</v>
      </c>
      <c r="AE2">
        <f t="shared" ref="AE2:AE68" si="1">ROUND(15*((Z2*10)/256),0)</f>
        <v>4</v>
      </c>
      <c r="AG2" t="str">
        <f>CONCATENATE(VLOOKUP(AE2,'Articulated Lengths'!$A$2:$B$16, 2, FALSE),IF(AF2&lt;&gt;"",CONCATENATE(",",VLOOKUP(AF2,$B$2:$AG$213,32,FALSE)),""))</f>
        <v>1,2,1</v>
      </c>
      <c r="AL2">
        <v>10</v>
      </c>
      <c r="AM2">
        <v>10</v>
      </c>
      <c r="AO2" t="s">
        <v>388</v>
      </c>
      <c r="AP2" t="str">
        <f>VLOOKUP(F2,Eras!$A$2:$C$12, 2, TRUE)</f>
        <v>early</v>
      </c>
      <c r="AQ2" t="s">
        <v>451</v>
      </c>
      <c r="AR2" t="str">
        <f t="shared" ref="AR2:AR35" si="2">CONCATENATE(AP2,"_",AQ2)</f>
        <v>early_Open Wagon</v>
      </c>
      <c r="AS2" t="s">
        <v>475</v>
      </c>
    </row>
    <row r="3" spans="1:45" x14ac:dyDescent="0.25">
      <c r="A3" t="s">
        <v>177</v>
      </c>
      <c r="B3" t="s">
        <v>290</v>
      </c>
      <c r="C3" t="s">
        <v>195</v>
      </c>
      <c r="E3" t="s">
        <v>377</v>
      </c>
      <c r="F3">
        <v>1802</v>
      </c>
      <c r="R3">
        <v>5</v>
      </c>
      <c r="V3" s="4" t="str">
        <f t="shared" si="0"/>
        <v/>
      </c>
      <c r="W3">
        <v>5</v>
      </c>
      <c r="AD3" t="str">
        <f>CONCATENATE(VLOOKUP(AE3, 'Voxel Sizes'!$A$2:$B$18,2,FALSE),"x",INT(AA3*15), "x", INT(AB3*15))</f>
        <v>0x0x0</v>
      </c>
      <c r="AE3">
        <f t="shared" si="1"/>
        <v>0</v>
      </c>
      <c r="AG3" t="str">
        <f>CONCATENATE(VLOOKUP(AE3,'Articulated Lengths'!$A$2:$C$16,IF(AF3&lt;&gt;"", 3, 2), FALSE),IF(AF3&lt;&gt;"",CONCATENATE(",",VLOOKUP(AF3,$B$2:$AG$213,32,FALSE)),""))</f>
        <v>na</v>
      </c>
      <c r="AL3">
        <v>10</v>
      </c>
      <c r="AM3">
        <v>10</v>
      </c>
      <c r="AP3" t="str">
        <f>VLOOKUP(F3,Eras!$A$2:$C$12, 2, TRUE)</f>
        <v>early</v>
      </c>
      <c r="AQ3" t="s">
        <v>438</v>
      </c>
      <c r="AR3" t="str">
        <f t="shared" si="2"/>
        <v>early_Mixed Traffic</v>
      </c>
    </row>
    <row r="4" spans="1:45" x14ac:dyDescent="0.25">
      <c r="A4" t="s">
        <v>0</v>
      </c>
      <c r="B4" t="s">
        <v>196</v>
      </c>
      <c r="C4" t="s">
        <v>195</v>
      </c>
      <c r="E4" t="s">
        <v>376</v>
      </c>
      <c r="F4">
        <v>1812</v>
      </c>
      <c r="R4">
        <v>5</v>
      </c>
      <c r="V4" s="4" t="str">
        <f t="shared" si="0"/>
        <v/>
      </c>
      <c r="AD4" t="str">
        <f>CONCATENATE(VLOOKUP(AE4, 'Voxel Sizes'!$A$2:$B$18,2,FALSE),"x",INT(AA4*15), "x", INT(AB4*15))</f>
        <v>0x0x0</v>
      </c>
      <c r="AE4">
        <f t="shared" si="1"/>
        <v>0</v>
      </c>
      <c r="AG4" t="str">
        <f>CONCATENATE(VLOOKUP(AE4,'Articulated Lengths'!$A$2:$C$16,IF(AF4&lt;&gt;"", 3, 2), FALSE),IF(AF4&lt;&gt;"",CONCATENATE(",",VLOOKUP(AF4,$B$2:$AG$213,32,FALSE)),""))</f>
        <v>na</v>
      </c>
      <c r="AL4">
        <v>10</v>
      </c>
      <c r="AM4">
        <v>10</v>
      </c>
      <c r="AP4" t="str">
        <f>VLOOKUP(F4,Eras!$A$2:$C$12, 2, TRUE)</f>
        <v>early</v>
      </c>
      <c r="AR4" t="str">
        <f t="shared" si="2"/>
        <v>early_</v>
      </c>
    </row>
    <row r="5" spans="1:45" x14ac:dyDescent="0.25">
      <c r="A5" t="s">
        <v>1</v>
      </c>
      <c r="B5" t="s">
        <v>197</v>
      </c>
      <c r="C5" t="s">
        <v>195</v>
      </c>
      <c r="E5" t="s">
        <v>376</v>
      </c>
      <c r="F5">
        <v>1825</v>
      </c>
      <c r="R5">
        <v>7</v>
      </c>
      <c r="U5">
        <v>8.5</v>
      </c>
      <c r="V5" s="4">
        <f t="shared" si="0"/>
        <v>0.12142857142857143</v>
      </c>
      <c r="W5">
        <v>15</v>
      </c>
      <c r="AD5" t="str">
        <f>CONCATENATE(VLOOKUP(AE5, 'Voxel Sizes'!$A$2:$B$18,2,FALSE),"x",INT(AA5*15), "x", INT(AB5*15))</f>
        <v>0x0x0</v>
      </c>
      <c r="AE5">
        <f t="shared" si="1"/>
        <v>0</v>
      </c>
      <c r="AG5" t="str">
        <f>CONCATENATE(VLOOKUP(AE5,'Articulated Lengths'!$A$2:$C$16,IF(AF5&lt;&gt;"", 3, 2), FALSE),IF(AF5&lt;&gt;"",CONCATENATE(",",VLOOKUP(AF5,$B$2:$AG$213,32,FALSE)),""))</f>
        <v>na</v>
      </c>
      <c r="AL5">
        <v>10</v>
      </c>
      <c r="AM5">
        <v>10</v>
      </c>
      <c r="AP5" t="str">
        <f>VLOOKUP(F5,Eras!$A$2:$C$12, 2, TRUE)</f>
        <v>early</v>
      </c>
      <c r="AQ5" t="s">
        <v>438</v>
      </c>
      <c r="AR5" t="str">
        <f t="shared" si="2"/>
        <v>early_Mixed Traffic</v>
      </c>
    </row>
    <row r="6" spans="1:45" x14ac:dyDescent="0.25">
      <c r="A6" t="s">
        <v>2</v>
      </c>
      <c r="B6" t="s">
        <v>198</v>
      </c>
      <c r="C6" t="s">
        <v>195</v>
      </c>
      <c r="E6" t="s">
        <v>376</v>
      </c>
      <c r="F6">
        <v>1830</v>
      </c>
      <c r="R6">
        <v>4.3</v>
      </c>
      <c r="V6" s="4" t="str">
        <f t="shared" si="0"/>
        <v/>
      </c>
      <c r="AD6" t="str">
        <f>CONCATENATE(VLOOKUP(AE6, 'Voxel Sizes'!$A$2:$B$18,2,FALSE),"x",INT(AA6*15), "x", INT(AB6*15))</f>
        <v>0x0x0</v>
      </c>
      <c r="AE6">
        <f t="shared" si="1"/>
        <v>0</v>
      </c>
      <c r="AG6" t="str">
        <f>CONCATENATE(VLOOKUP(AE6,'Articulated Lengths'!$A$2:$C$16,IF(AF6&lt;&gt;"", 3, 2), FALSE),IF(AF6&lt;&gt;"",CONCATENATE(",",VLOOKUP(AF6,$B$2:$AG$213,32,FALSE)),""))</f>
        <v>na</v>
      </c>
      <c r="AL6">
        <v>10</v>
      </c>
      <c r="AM6">
        <v>10</v>
      </c>
      <c r="AP6" t="str">
        <f>VLOOKUP(F6,Eras!$A$2:$C$12, 2, TRUE)</f>
        <v>early</v>
      </c>
      <c r="AQ6" t="s">
        <v>438</v>
      </c>
      <c r="AR6" t="str">
        <f t="shared" si="2"/>
        <v>early_Mixed Traffic</v>
      </c>
    </row>
    <row r="7" spans="1:45" x14ac:dyDescent="0.25">
      <c r="A7" t="s">
        <v>169</v>
      </c>
      <c r="B7" t="s">
        <v>291</v>
      </c>
      <c r="C7" t="s">
        <v>195</v>
      </c>
      <c r="E7" t="s">
        <v>376</v>
      </c>
      <c r="F7">
        <v>1838</v>
      </c>
      <c r="U7">
        <v>9.6</v>
      </c>
      <c r="V7" s="4" t="str">
        <f t="shared" si="0"/>
        <v/>
      </c>
      <c r="W7">
        <v>45</v>
      </c>
      <c r="AD7" t="str">
        <f>CONCATENATE(VLOOKUP(AE7, 'Voxel Sizes'!$A$2:$B$18,2,FALSE),"x",INT(AA7*15), "x", INT(AB7*15))</f>
        <v>0x0x0</v>
      </c>
      <c r="AE7">
        <f t="shared" si="1"/>
        <v>0</v>
      </c>
      <c r="AG7" t="str">
        <f>CONCATENATE(VLOOKUP(AE7,'Articulated Lengths'!$A$2:$C$16,IF(AF7&lt;&gt;"", 3, 2), FALSE),IF(AF7&lt;&gt;"",CONCATENATE(",",VLOOKUP(AF7,$B$2:$AG$213,32,FALSE)),""))</f>
        <v>na</v>
      </c>
      <c r="AL7">
        <v>10</v>
      </c>
      <c r="AM7">
        <v>10</v>
      </c>
      <c r="AP7" t="str">
        <f>VLOOKUP(F7,Eras!$A$2:$C$12, 2, TRUE)</f>
        <v>early</v>
      </c>
      <c r="AQ7" t="s">
        <v>438</v>
      </c>
      <c r="AR7" t="str">
        <f t="shared" si="2"/>
        <v>early_Mixed Traffic</v>
      </c>
    </row>
    <row r="8" spans="1:45" x14ac:dyDescent="0.25">
      <c r="A8" t="s">
        <v>170</v>
      </c>
      <c r="B8" t="s">
        <v>292</v>
      </c>
      <c r="C8" t="s">
        <v>195</v>
      </c>
      <c r="E8" t="s">
        <v>376</v>
      </c>
      <c r="F8">
        <v>1838</v>
      </c>
      <c r="V8" s="4" t="str">
        <f t="shared" si="0"/>
        <v/>
      </c>
      <c r="AD8" t="str">
        <f>CONCATENATE(VLOOKUP(AE8, 'Voxel Sizes'!$A$2:$B$18,2,FALSE),"x",INT(AA8*15), "x", INT(AB8*15))</f>
        <v>0x0x0</v>
      </c>
      <c r="AE8">
        <f t="shared" si="1"/>
        <v>0</v>
      </c>
      <c r="AG8" t="str">
        <f>CONCATENATE(VLOOKUP(AE8,'Articulated Lengths'!$A$2:$C$16,IF(AF8&lt;&gt;"", 3, 2), FALSE),IF(AF8&lt;&gt;"",CONCATENATE(",",VLOOKUP(AF8,$B$2:$AG$213,32,FALSE)),""))</f>
        <v>na</v>
      </c>
      <c r="AL8">
        <v>10</v>
      </c>
      <c r="AM8">
        <v>10</v>
      </c>
      <c r="AP8" t="str">
        <f>VLOOKUP(F8,Eras!$A$2:$C$12, 2, TRUE)</f>
        <v>early</v>
      </c>
      <c r="AQ8" t="s">
        <v>439</v>
      </c>
      <c r="AR8" t="str">
        <f t="shared" si="2"/>
        <v>early_Express</v>
      </c>
    </row>
    <row r="9" spans="1:45" x14ac:dyDescent="0.25">
      <c r="A9" t="s">
        <v>3</v>
      </c>
      <c r="B9" t="s">
        <v>199</v>
      </c>
      <c r="C9" t="s">
        <v>195</v>
      </c>
      <c r="E9" t="s">
        <v>376</v>
      </c>
      <c r="F9">
        <v>1846</v>
      </c>
      <c r="R9">
        <v>19</v>
      </c>
      <c r="U9">
        <v>34</v>
      </c>
      <c r="V9" s="4">
        <f t="shared" si="0"/>
        <v>0.17894736842105263</v>
      </c>
      <c r="AD9" t="str">
        <f>CONCATENATE(VLOOKUP(AE9, 'Voxel Sizes'!$A$2:$B$18,2,FALSE),"x",INT(AA9*15), "x", INT(AB9*15))</f>
        <v>0x0x0</v>
      </c>
      <c r="AE9">
        <f t="shared" si="1"/>
        <v>0</v>
      </c>
      <c r="AG9" t="str">
        <f>CONCATENATE(VLOOKUP(AE9,'Articulated Lengths'!$A$2:$C$16,IF(AF9&lt;&gt;"", 3, 2), FALSE),IF(AF9&lt;&gt;"",CONCATENATE(",",VLOOKUP(AF9,$B$2:$AG$213,32,FALSE)),""))</f>
        <v>na</v>
      </c>
      <c r="AL9">
        <v>10</v>
      </c>
      <c r="AM9">
        <v>10</v>
      </c>
      <c r="AP9" t="str">
        <f>VLOOKUP(F9,Eras!$A$2:$C$12, 2, TRUE)</f>
        <v>early</v>
      </c>
      <c r="AR9" t="str">
        <f t="shared" si="2"/>
        <v>early_</v>
      </c>
    </row>
    <row r="10" spans="1:45" x14ac:dyDescent="0.25">
      <c r="A10" t="s">
        <v>6</v>
      </c>
      <c r="B10" t="s">
        <v>293</v>
      </c>
      <c r="C10" t="s">
        <v>195</v>
      </c>
      <c r="E10" t="s">
        <v>376</v>
      </c>
      <c r="F10">
        <v>1846</v>
      </c>
      <c r="R10">
        <v>42</v>
      </c>
      <c r="V10" s="4" t="str">
        <f t="shared" si="0"/>
        <v/>
      </c>
      <c r="Y10">
        <v>6</v>
      </c>
      <c r="Z10">
        <v>6</v>
      </c>
      <c r="AD10" t="str">
        <f>CONCATENATE(VLOOKUP(AE10, 'Voxel Sizes'!$A$2:$B$18,2,FALSE),"x",INT(AA10*15), "x", INT(AB10*15))</f>
        <v>60x0x0</v>
      </c>
      <c r="AE10">
        <f t="shared" si="1"/>
        <v>4</v>
      </c>
      <c r="AG10" t="str">
        <f>CONCATENATE(VLOOKUP(AE10,'Articulated Lengths'!$A$2:$C$16,IF(AF10&lt;&gt;"", 3, 2), FALSE),IF(AF10&lt;&gt;"",CONCATENATE(",",VLOOKUP(AF10,$B$2:$AG$213,32,FALSE)),""))</f>
        <v>1,2,1</v>
      </c>
      <c r="AL10">
        <v>10</v>
      </c>
      <c r="AM10">
        <v>10</v>
      </c>
      <c r="AP10" t="str">
        <f>VLOOKUP(F10,Eras!$A$2:$C$12, 2, TRUE)</f>
        <v>early</v>
      </c>
      <c r="AR10" t="str">
        <f t="shared" si="2"/>
        <v>early_</v>
      </c>
    </row>
    <row r="11" spans="1:45" x14ac:dyDescent="0.25">
      <c r="A11" t="s">
        <v>4</v>
      </c>
      <c r="B11" t="s">
        <v>200</v>
      </c>
      <c r="C11" t="s">
        <v>195</v>
      </c>
      <c r="E11" t="s">
        <v>376</v>
      </c>
      <c r="F11">
        <v>1847</v>
      </c>
      <c r="V11" s="4" t="str">
        <f t="shared" si="0"/>
        <v/>
      </c>
      <c r="W11">
        <v>60</v>
      </c>
      <c r="AD11" t="str">
        <f>CONCATENATE(VLOOKUP(AE11, 'Voxel Sizes'!$A$2:$B$18,2,FALSE),"x",INT(AA11*15), "x", INT(AB11*15))</f>
        <v>0x0x0</v>
      </c>
      <c r="AE11">
        <f t="shared" si="1"/>
        <v>0</v>
      </c>
      <c r="AG11" t="str">
        <f>CONCATENATE(VLOOKUP(AE11,'Articulated Lengths'!$A$2:$C$16,IF(AF11&lt;&gt;"", 3, 2), FALSE),IF(AF11&lt;&gt;"",CONCATENATE(",",VLOOKUP(AF11,$B$2:$AG$213,32,FALSE)),""))</f>
        <v>na</v>
      </c>
      <c r="AL11">
        <v>10</v>
      </c>
      <c r="AM11">
        <v>10</v>
      </c>
      <c r="AP11" t="str">
        <f>VLOOKUP(F11,Eras!$A$2:$C$12, 2, TRUE)</f>
        <v>early</v>
      </c>
      <c r="AR11" t="str">
        <f t="shared" si="2"/>
        <v>early_</v>
      </c>
    </row>
    <row r="12" spans="1:45" x14ac:dyDescent="0.25">
      <c r="A12" t="s">
        <v>5</v>
      </c>
      <c r="B12" t="s">
        <v>201</v>
      </c>
      <c r="C12" t="s">
        <v>195</v>
      </c>
      <c r="E12" t="s">
        <v>376</v>
      </c>
      <c r="F12">
        <v>1852</v>
      </c>
      <c r="R12">
        <v>64</v>
      </c>
      <c r="U12">
        <v>65</v>
      </c>
      <c r="V12" s="4">
        <f t="shared" si="0"/>
        <v>0.1015625</v>
      </c>
      <c r="AD12" t="str">
        <f>CONCATENATE(VLOOKUP(AE12, 'Voxel Sizes'!$A$2:$B$18,2,FALSE),"x",INT(AA12*15), "x", INT(AB12*15))</f>
        <v>0x0x0</v>
      </c>
      <c r="AE12">
        <f t="shared" si="1"/>
        <v>0</v>
      </c>
      <c r="AG12" t="str">
        <f>CONCATENATE(VLOOKUP(AE12,'Articulated Lengths'!$A$2:$C$16,IF(AF12&lt;&gt;"", 3, 2), FALSE),IF(AF12&lt;&gt;"",CONCATENATE(",",VLOOKUP(AF12,$B$2:$AG$213,32,FALSE)),""))</f>
        <v>na</v>
      </c>
      <c r="AL12">
        <v>10</v>
      </c>
      <c r="AM12">
        <v>10</v>
      </c>
      <c r="AP12" t="str">
        <f>VLOOKUP(F12,Eras!$A$2:$C$12, 2, TRUE)</f>
        <v>vct</v>
      </c>
      <c r="AR12" t="str">
        <f t="shared" si="2"/>
        <v>vct_</v>
      </c>
    </row>
    <row r="13" spans="1:45" x14ac:dyDescent="0.25">
      <c r="A13" t="s">
        <v>7</v>
      </c>
      <c r="B13" t="s">
        <v>294</v>
      </c>
      <c r="C13" t="s">
        <v>195</v>
      </c>
      <c r="E13" t="s">
        <v>376</v>
      </c>
      <c r="F13">
        <v>1859</v>
      </c>
      <c r="R13">
        <v>27.4</v>
      </c>
      <c r="V13" s="4" t="str">
        <f t="shared" si="0"/>
        <v/>
      </c>
      <c r="W13">
        <v>70</v>
      </c>
      <c r="AD13" t="str">
        <f>CONCATENATE(VLOOKUP(AE13, 'Voxel Sizes'!$A$2:$B$18,2,FALSE),"x",INT(AA13*15), "x", INT(AB13*15))</f>
        <v>0x0x0</v>
      </c>
      <c r="AE13">
        <f t="shared" si="1"/>
        <v>0</v>
      </c>
      <c r="AG13" t="str">
        <f>CONCATENATE(VLOOKUP(AE13,'Articulated Lengths'!$A$2:$C$16,IF(AF13&lt;&gt;"", 3, 2), FALSE),IF(AF13&lt;&gt;"",CONCATENATE(",",VLOOKUP(AF13,$B$2:$AG$213,32,FALSE)),""))</f>
        <v>na</v>
      </c>
      <c r="AL13">
        <v>10</v>
      </c>
      <c r="AM13">
        <v>10</v>
      </c>
      <c r="AP13" t="str">
        <f>VLOOKUP(F13,Eras!$A$2:$C$12, 2, TRUE)</f>
        <v>vct</v>
      </c>
      <c r="AR13" t="str">
        <f t="shared" si="2"/>
        <v>vct_</v>
      </c>
    </row>
    <row r="14" spans="1:45" x14ac:dyDescent="0.25">
      <c r="A14" t="s">
        <v>151</v>
      </c>
      <c r="B14" t="s">
        <v>381</v>
      </c>
      <c r="C14" t="s">
        <v>383</v>
      </c>
      <c r="E14" t="s">
        <v>376</v>
      </c>
      <c r="F14">
        <v>1862</v>
      </c>
      <c r="R14">
        <v>5</v>
      </c>
      <c r="T14">
        <v>5</v>
      </c>
      <c r="V14" s="4" t="str">
        <f t="shared" si="0"/>
        <v/>
      </c>
      <c r="W14">
        <v>35</v>
      </c>
      <c r="Y14">
        <v>4.9000000000000004</v>
      </c>
      <c r="Z14">
        <v>6</v>
      </c>
      <c r="AC14">
        <v>15</v>
      </c>
      <c r="AD14" t="str">
        <f>CONCATENATE(VLOOKUP(AE14, 'Voxel Sizes'!$A$2:$B$18,2,FALSE),"x",INT(AA14*15), "x", INT(AB14*15))</f>
        <v>60x0x0</v>
      </c>
      <c r="AE14">
        <f t="shared" si="1"/>
        <v>4</v>
      </c>
      <c r="AG14" t="str">
        <f>CONCATENATE(VLOOKUP(AE14,'Articulated Lengths'!$A$2:$C$16,IF(AF14&lt;&gt;"", 3, 2), FALSE),IF(AF14&lt;&gt;"",CONCATENATE(",",VLOOKUP(AF14,$B$2:$AG$213,32,FALSE)),""))</f>
        <v>1,2,1</v>
      </c>
      <c r="AL14">
        <v>10</v>
      </c>
      <c r="AM14">
        <v>10</v>
      </c>
      <c r="AO14" t="s">
        <v>386</v>
      </c>
      <c r="AP14" t="str">
        <f>VLOOKUP(F14,Eras!$A$2:$C$12, 2, TRUE)</f>
        <v>vct</v>
      </c>
      <c r="AQ14" t="s">
        <v>454</v>
      </c>
      <c r="AR14" t="str">
        <f t="shared" si="2"/>
        <v>vct_Tanker</v>
      </c>
      <c r="AS14" t="s">
        <v>474</v>
      </c>
    </row>
    <row r="15" spans="1:45" x14ac:dyDescent="0.25">
      <c r="A15" t="s">
        <v>19</v>
      </c>
      <c r="B15" t="s">
        <v>202</v>
      </c>
      <c r="C15" t="s">
        <v>195</v>
      </c>
      <c r="E15" t="s">
        <v>376</v>
      </c>
      <c r="F15">
        <v>1868</v>
      </c>
      <c r="R15">
        <v>35.799999999999997</v>
      </c>
      <c r="U15">
        <v>65</v>
      </c>
      <c r="V15" s="4">
        <f t="shared" si="0"/>
        <v>0.18156424581005587</v>
      </c>
      <c r="Y15">
        <v>8.65</v>
      </c>
      <c r="Z15">
        <v>8.65</v>
      </c>
      <c r="AB15">
        <v>3.7</v>
      </c>
      <c r="AD15" t="str">
        <f>CONCATENATE(VLOOKUP(AE15, 'Voxel Sizes'!$A$2:$B$18,2,FALSE),"x",INT(AA15*15), "x", INT(AB15*15))</f>
        <v>82x0x55</v>
      </c>
      <c r="AE15">
        <f t="shared" si="1"/>
        <v>5</v>
      </c>
      <c r="AG15" t="str">
        <f>CONCATENATE(VLOOKUP(AE15,'Articulated Lengths'!$A$2:$C$16,IF(AF15&lt;&gt;"", 3, 2), FALSE),IF(AF15&lt;&gt;"",CONCATENATE(",",VLOOKUP(AF15,$B$2:$AG$213,32,FALSE)),""))</f>
        <v>1,3,1</v>
      </c>
      <c r="AL15">
        <v>10</v>
      </c>
      <c r="AM15">
        <v>10</v>
      </c>
      <c r="AP15" t="str">
        <f>VLOOKUP(F15,Eras!$A$2:$C$12, 2, TRUE)</f>
        <v>vct</v>
      </c>
      <c r="AR15" t="str">
        <f t="shared" si="2"/>
        <v>vct_</v>
      </c>
    </row>
    <row r="16" spans="1:45" x14ac:dyDescent="0.25">
      <c r="A16" t="s">
        <v>42</v>
      </c>
      <c r="B16" t="s">
        <v>295</v>
      </c>
      <c r="C16" t="s">
        <v>195</v>
      </c>
      <c r="E16" t="s">
        <v>376</v>
      </c>
      <c r="F16">
        <v>1872</v>
      </c>
      <c r="G16">
        <v>1880</v>
      </c>
      <c r="R16">
        <v>28</v>
      </c>
      <c r="U16">
        <v>34</v>
      </c>
      <c r="V16" s="4">
        <f t="shared" si="0"/>
        <v>0.12142857142857143</v>
      </c>
      <c r="W16">
        <v>45</v>
      </c>
      <c r="Y16">
        <v>7.94</v>
      </c>
      <c r="Z16">
        <v>7.94</v>
      </c>
      <c r="AD16" t="str">
        <f>CONCATENATE(VLOOKUP(AE16, 'Voxel Sizes'!$A$2:$B$18,2,FALSE),"x",INT(AA16*15), "x", INT(AB16*15))</f>
        <v>82x0x0</v>
      </c>
      <c r="AE16">
        <f t="shared" si="1"/>
        <v>5</v>
      </c>
      <c r="AG16" t="str">
        <f>CONCATENATE(VLOOKUP(AE16,'Articulated Lengths'!$A$2:$C$16,IF(AF16&lt;&gt;"", 3, 2), FALSE),IF(AF16&lt;&gt;"",CONCATENATE(",",VLOOKUP(AF16,$B$2:$AG$213,32,FALSE)),""))</f>
        <v>1,3,1</v>
      </c>
      <c r="AL16">
        <v>10</v>
      </c>
      <c r="AM16">
        <v>10</v>
      </c>
      <c r="AP16" t="str">
        <f>VLOOKUP(F16,Eras!$A$2:$C$12, 2, TRUE)</f>
        <v>vct</v>
      </c>
      <c r="AR16" t="str">
        <f t="shared" si="2"/>
        <v>vct_</v>
      </c>
    </row>
    <row r="17" spans="1:45" x14ac:dyDescent="0.25">
      <c r="A17" t="s">
        <v>9</v>
      </c>
      <c r="B17" t="s">
        <v>203</v>
      </c>
      <c r="C17" t="s">
        <v>195</v>
      </c>
      <c r="E17" t="s">
        <v>376</v>
      </c>
      <c r="F17">
        <v>1883</v>
      </c>
      <c r="R17">
        <f>41.6+34.3</f>
        <v>75.900000000000006</v>
      </c>
      <c r="U17">
        <v>75.400000000000006</v>
      </c>
      <c r="V17" s="4">
        <f t="shared" si="0"/>
        <v>9.9341238471673268E-2</v>
      </c>
      <c r="AD17" t="str">
        <f>CONCATENATE(VLOOKUP(AE17, 'Voxel Sizes'!$A$2:$B$18,2,FALSE),"x",INT(AA17*15), "x", INT(AB17*15))</f>
        <v>0x0x0</v>
      </c>
      <c r="AE17">
        <f t="shared" si="1"/>
        <v>0</v>
      </c>
      <c r="AG17" t="str">
        <f>CONCATENATE(VLOOKUP(AE17,'Articulated Lengths'!$A$2:$C$16,IF(AF17&lt;&gt;"", 3, 2), FALSE),IF(AF17&lt;&gt;"",CONCATENATE(",",VLOOKUP(AF17,$B$2:$AG$213,32,FALSE)),""))</f>
        <v>na</v>
      </c>
      <c r="AL17">
        <v>10</v>
      </c>
      <c r="AM17">
        <v>10</v>
      </c>
      <c r="AP17" t="str">
        <f>VLOOKUP(F17,Eras!$A$2:$C$12, 2, TRUE)</f>
        <v>vct</v>
      </c>
      <c r="AR17" t="str">
        <f t="shared" si="2"/>
        <v>vct_</v>
      </c>
    </row>
    <row r="18" spans="1:45" x14ac:dyDescent="0.25">
      <c r="A18" t="s">
        <v>171</v>
      </c>
      <c r="B18" t="s">
        <v>204</v>
      </c>
      <c r="C18" t="s">
        <v>195</v>
      </c>
      <c r="E18" t="s">
        <v>376</v>
      </c>
      <c r="F18">
        <v>1883</v>
      </c>
      <c r="R18">
        <v>41.2</v>
      </c>
      <c r="U18">
        <v>76</v>
      </c>
      <c r="V18" s="4">
        <f t="shared" si="0"/>
        <v>0.18446601941747573</v>
      </c>
      <c r="Y18">
        <v>14.4</v>
      </c>
      <c r="Z18">
        <v>14.4</v>
      </c>
      <c r="AD18" t="str">
        <f>CONCATENATE(VLOOKUP(AE18, 'Voxel Sizes'!$A$2:$B$18,2,FALSE),"x",INT(AA18*15), "x", INT(AB18*15))</f>
        <v>136x0x0</v>
      </c>
      <c r="AE18">
        <f t="shared" si="1"/>
        <v>8</v>
      </c>
      <c r="AG18" t="str">
        <f>CONCATENATE(VLOOKUP(AE18,'Articulated Lengths'!$A$2:$C$16,IF(AF18&lt;&gt;"", 3, 2), FALSE),IF(AF18&lt;&gt;"",CONCATENATE(",",VLOOKUP(AF18,$B$2:$AG$213,32,FALSE)),""))</f>
        <v>2,4,2</v>
      </c>
      <c r="AL18">
        <v>10</v>
      </c>
      <c r="AM18">
        <v>10</v>
      </c>
      <c r="AP18" t="str">
        <f>VLOOKUP(F18,Eras!$A$2:$C$12, 2, TRUE)</f>
        <v>vct</v>
      </c>
      <c r="AR18" t="str">
        <f t="shared" si="2"/>
        <v>vct_</v>
      </c>
    </row>
    <row r="19" spans="1:45" x14ac:dyDescent="0.25">
      <c r="A19" t="s">
        <v>15</v>
      </c>
      <c r="B19" t="s">
        <v>205</v>
      </c>
      <c r="C19" t="s">
        <v>195</v>
      </c>
      <c r="E19" t="s">
        <v>376</v>
      </c>
      <c r="F19">
        <v>1888</v>
      </c>
      <c r="R19">
        <v>42.6</v>
      </c>
      <c r="U19">
        <v>88</v>
      </c>
      <c r="V19" s="4">
        <f t="shared" si="0"/>
        <v>0.20657276995305165</v>
      </c>
      <c r="Y19">
        <v>14.99</v>
      </c>
      <c r="Z19">
        <v>14.99</v>
      </c>
      <c r="AD19" t="str">
        <f>CONCATENATE(VLOOKUP(AE19, 'Voxel Sizes'!$A$2:$B$18,2,FALSE),"x",INT(AA19*15), "x", INT(AB19*15))</f>
        <v>152x0x0</v>
      </c>
      <c r="AE19">
        <f t="shared" si="1"/>
        <v>9</v>
      </c>
      <c r="AG19" t="str">
        <f>CONCATENATE(VLOOKUP(AE19,'Articulated Lengths'!$A$2:$C$16,IF(AF19&lt;&gt;"", 3, 2), FALSE),IF(AF19&lt;&gt;"",CONCATENATE(",",VLOOKUP(AF19,$B$2:$AG$213,32,FALSE)),""))</f>
        <v>2,5,2</v>
      </c>
      <c r="AL19">
        <v>10</v>
      </c>
      <c r="AM19">
        <v>10</v>
      </c>
      <c r="AP19" t="str">
        <f>VLOOKUP(F19,Eras!$A$2:$C$12, 2, TRUE)</f>
        <v>vct</v>
      </c>
      <c r="AR19" t="str">
        <f t="shared" si="2"/>
        <v>vct_</v>
      </c>
    </row>
    <row r="20" spans="1:45" x14ac:dyDescent="0.25">
      <c r="A20" t="s">
        <v>8</v>
      </c>
      <c r="B20" t="s">
        <v>206</v>
      </c>
      <c r="C20" t="s">
        <v>195</v>
      </c>
      <c r="E20" t="s">
        <v>376</v>
      </c>
      <c r="F20">
        <v>1891</v>
      </c>
      <c r="V20" s="4" t="str">
        <f t="shared" si="0"/>
        <v/>
      </c>
      <c r="AD20" t="str">
        <f>CONCATENATE(VLOOKUP(AE20, 'Voxel Sizes'!$A$2:$B$18,2,FALSE),"x",INT(AA20*15), "x", INT(AB20*15))</f>
        <v>0x0x0</v>
      </c>
      <c r="AE20">
        <f t="shared" si="1"/>
        <v>0</v>
      </c>
      <c r="AG20" t="str">
        <f>CONCATENATE(VLOOKUP(AE20,'Articulated Lengths'!$A$2:$C$16,IF(AF20&lt;&gt;"", 3, 2), FALSE),IF(AF20&lt;&gt;"",CONCATENATE(",",VLOOKUP(AF20,$B$2:$AG$213,32,FALSE)),""))</f>
        <v>na</v>
      </c>
      <c r="AL20">
        <v>10</v>
      </c>
      <c r="AM20">
        <v>10</v>
      </c>
      <c r="AP20" t="str">
        <f>VLOOKUP(F20,Eras!$A$2:$C$12, 2, TRUE)</f>
        <v>vct</v>
      </c>
      <c r="AQ20" t="s">
        <v>439</v>
      </c>
      <c r="AR20" t="str">
        <f t="shared" si="2"/>
        <v>vct_Express</v>
      </c>
    </row>
    <row r="21" spans="1:45" x14ac:dyDescent="0.25">
      <c r="A21" t="s">
        <v>17</v>
      </c>
      <c r="B21" t="s">
        <v>327</v>
      </c>
      <c r="C21" t="s">
        <v>195</v>
      </c>
      <c r="E21" t="s">
        <v>376</v>
      </c>
      <c r="F21">
        <v>1896</v>
      </c>
      <c r="R21">
        <v>48</v>
      </c>
      <c r="U21">
        <v>68</v>
      </c>
      <c r="V21" s="4">
        <f t="shared" si="0"/>
        <v>0.14166666666666666</v>
      </c>
      <c r="W21">
        <v>90</v>
      </c>
      <c r="AD21" t="str">
        <f>CONCATENATE(VLOOKUP(AE21, 'Voxel Sizes'!$A$2:$B$18,2,FALSE),"x",INT(AA21*15), "x", INT(AB21*15))</f>
        <v>0x0x0</v>
      </c>
      <c r="AE21">
        <f t="shared" si="1"/>
        <v>0</v>
      </c>
      <c r="AG21" t="str">
        <f>CONCATENATE(VLOOKUP(AE21,'Articulated Lengths'!$A$2:$C$16,IF(AF21&lt;&gt;"", 3, 2), FALSE),IF(AF21&lt;&gt;"",CONCATENATE(",",VLOOKUP(AF21,$B$2:$AG$213,32,FALSE)),""))</f>
        <v>na</v>
      </c>
      <c r="AL21">
        <v>10</v>
      </c>
      <c r="AM21">
        <v>10</v>
      </c>
      <c r="AP21" t="str">
        <f>VLOOKUP(F21,Eras!$A$2:$C$12, 2, TRUE)</f>
        <v>vct</v>
      </c>
      <c r="AR21" t="str">
        <f t="shared" si="2"/>
        <v>vct_</v>
      </c>
    </row>
    <row r="22" spans="1:45" x14ac:dyDescent="0.25">
      <c r="A22" t="s">
        <v>179</v>
      </c>
      <c r="B22" t="s">
        <v>207</v>
      </c>
      <c r="C22" t="s">
        <v>195</v>
      </c>
      <c r="E22" t="s">
        <v>376</v>
      </c>
      <c r="F22">
        <v>1897</v>
      </c>
      <c r="G22">
        <v>1911</v>
      </c>
      <c r="U22">
        <v>87</v>
      </c>
      <c r="V22" s="4" t="str">
        <f t="shared" si="0"/>
        <v/>
      </c>
      <c r="Y22">
        <v>10.5</v>
      </c>
      <c r="Z22">
        <v>10.5</v>
      </c>
      <c r="AD22" t="str">
        <f>CONCATENATE(VLOOKUP(AE22, 'Voxel Sizes'!$A$2:$B$18,2,FALSE),"x",INT(AA22*15), "x", INT(AB22*15))</f>
        <v>102x0x0</v>
      </c>
      <c r="AE22">
        <f t="shared" si="1"/>
        <v>6</v>
      </c>
      <c r="AG22" t="str">
        <f>CONCATENATE(VLOOKUP(AE22,'Articulated Lengths'!$A$2:$C$16,IF(AF22&lt;&gt;"", 3, 2), FALSE),IF(AF22&lt;&gt;"",CONCATENATE(",",VLOOKUP(AF22,$B$2:$AG$213,32,FALSE)),""))</f>
        <v>2,2,2</v>
      </c>
      <c r="AL22">
        <v>10</v>
      </c>
      <c r="AM22">
        <v>10</v>
      </c>
      <c r="AP22" t="str">
        <f>VLOOKUP(F22,Eras!$A$2:$C$12, 2, TRUE)</f>
        <v>vct</v>
      </c>
      <c r="AR22" t="str">
        <f t="shared" si="2"/>
        <v>vct_</v>
      </c>
    </row>
    <row r="23" spans="1:45" x14ac:dyDescent="0.25">
      <c r="A23" t="s">
        <v>12</v>
      </c>
      <c r="B23" t="s">
        <v>326</v>
      </c>
      <c r="C23" t="s">
        <v>195</v>
      </c>
      <c r="E23" t="s">
        <v>376</v>
      </c>
      <c r="F23">
        <v>1899</v>
      </c>
      <c r="V23" s="4" t="str">
        <f t="shared" si="0"/>
        <v/>
      </c>
      <c r="AD23" t="str">
        <f>CONCATENATE(VLOOKUP(AE23, 'Voxel Sizes'!$A$2:$B$18,2,FALSE),"x",INT(AA23*15), "x", INT(AB23*15))</f>
        <v>0x0x0</v>
      </c>
      <c r="AE23">
        <f t="shared" si="1"/>
        <v>0</v>
      </c>
      <c r="AG23" t="str">
        <f>CONCATENATE(VLOOKUP(AE23,'Articulated Lengths'!$A$2:$C$16,IF(AF23&lt;&gt;"", 3, 2), FALSE),IF(AF23&lt;&gt;"",CONCATENATE(",",VLOOKUP(AF23,$B$2:$AG$213,32,FALSE)),""))</f>
        <v>na</v>
      </c>
      <c r="AL23">
        <v>10</v>
      </c>
      <c r="AM23">
        <v>10</v>
      </c>
      <c r="AP23" t="str">
        <f>VLOOKUP(F23,Eras!$A$2:$C$12, 2, TRUE)</f>
        <v>vct</v>
      </c>
      <c r="AR23" t="str">
        <f t="shared" si="2"/>
        <v>vct_</v>
      </c>
    </row>
    <row r="24" spans="1:45" x14ac:dyDescent="0.25">
      <c r="A24" t="s">
        <v>175</v>
      </c>
      <c r="B24" t="s">
        <v>324</v>
      </c>
      <c r="C24" t="s">
        <v>195</v>
      </c>
      <c r="E24" t="s">
        <v>376</v>
      </c>
      <c r="F24">
        <v>1899</v>
      </c>
      <c r="G24">
        <v>1902</v>
      </c>
      <c r="R24">
        <v>49.5</v>
      </c>
      <c r="U24">
        <v>92</v>
      </c>
      <c r="V24" s="4">
        <f t="shared" si="0"/>
        <v>0.18585858585858586</v>
      </c>
      <c r="AD24" t="str">
        <f>CONCATENATE(VLOOKUP(AE24, 'Voxel Sizes'!$A$2:$B$18,2,FALSE),"x",INT(AA24*15), "x", INT(AB24*15))</f>
        <v>0x0x0</v>
      </c>
      <c r="AE24">
        <f t="shared" si="1"/>
        <v>0</v>
      </c>
      <c r="AG24" t="str">
        <f>CONCATENATE(VLOOKUP(AE24,'Articulated Lengths'!$A$2:$C$16,IF(AF24&lt;&gt;"", 3, 2), FALSE),IF(AF24&lt;&gt;"",CONCATENATE(",",VLOOKUP(AF24,$B$2:$AG$213,32,FALSE)),""))</f>
        <v>na</v>
      </c>
      <c r="AL24">
        <v>10</v>
      </c>
      <c r="AM24">
        <v>10</v>
      </c>
      <c r="AP24" t="str">
        <f>VLOOKUP(F24,Eras!$A$2:$C$12, 2, TRUE)</f>
        <v>vct</v>
      </c>
      <c r="AR24" t="str">
        <f t="shared" si="2"/>
        <v>vct_</v>
      </c>
    </row>
    <row r="25" spans="1:45" x14ac:dyDescent="0.25">
      <c r="A25" t="s">
        <v>543</v>
      </c>
      <c r="B25" t="s">
        <v>544</v>
      </c>
      <c r="C25" t="s">
        <v>393</v>
      </c>
      <c r="E25" t="s">
        <v>376</v>
      </c>
      <c r="F25">
        <v>1900</v>
      </c>
      <c r="R25">
        <v>42</v>
      </c>
      <c r="V25" s="4" t="str">
        <f t="shared" si="0"/>
        <v/>
      </c>
      <c r="Y25">
        <v>7.5</v>
      </c>
      <c r="Z25">
        <v>8</v>
      </c>
      <c r="AD25" t="str">
        <f>CONCATENATE(VLOOKUP(AE25, 'Voxel Sizes'!$A$2:$B$18,2,FALSE),"x",INT(AA25*15), "x", INT(AB25*15))</f>
        <v>82x0x0</v>
      </c>
      <c r="AE25">
        <f t="shared" si="1"/>
        <v>5</v>
      </c>
      <c r="AG25" t="str">
        <f>CONCATENATE(VLOOKUP(AE25,'Articulated Lengths'!$A$2:$C$16,IF(AF25&lt;&gt;"", 3, 2), FALSE),IF(AF25&lt;&gt;"",CONCATENATE(",",VLOOKUP(AF25,$B$2:$AG$213,32,FALSE)),""))</f>
        <v>1,3,1</v>
      </c>
      <c r="AL25">
        <v>10</v>
      </c>
      <c r="AM25">
        <v>10</v>
      </c>
      <c r="AP25" t="str">
        <f>VLOOKUP(F25,Eras!$A$2:$C$12, 2, TRUE)</f>
        <v>edw</v>
      </c>
      <c r="AR25" t="str">
        <f t="shared" si="2"/>
        <v>edw_</v>
      </c>
    </row>
    <row r="26" spans="1:45" x14ac:dyDescent="0.25">
      <c r="A26" t="s">
        <v>411</v>
      </c>
      <c r="B26" t="s">
        <v>412</v>
      </c>
      <c r="C26" t="s">
        <v>393</v>
      </c>
      <c r="E26" t="s">
        <v>376</v>
      </c>
      <c r="F26">
        <v>1900</v>
      </c>
      <c r="R26">
        <v>42</v>
      </c>
      <c r="V26" s="4" t="str">
        <f t="shared" si="0"/>
        <v/>
      </c>
      <c r="Y26">
        <v>7.5</v>
      </c>
      <c r="Z26">
        <v>8</v>
      </c>
      <c r="AD26" t="str">
        <f>CONCATENATE(VLOOKUP(AE26, 'Voxel Sizes'!$A$2:$B$18,2,FALSE),"x",INT(AA26*15), "x", INT(AB26*15))</f>
        <v>82x0x0</v>
      </c>
      <c r="AE26">
        <f t="shared" si="1"/>
        <v>5</v>
      </c>
      <c r="AG26" t="str">
        <f>CONCATENATE(VLOOKUP(AE26,'Articulated Lengths'!$A$2:$C$16,IF(AF26&lt;&gt;"", 3, 2), FALSE),IF(AF26&lt;&gt;"",CONCATENATE(",",VLOOKUP(AF26,$B$2:$AG$213,32,FALSE)),""))</f>
        <v>1,3,1</v>
      </c>
      <c r="AL26">
        <v>10</v>
      </c>
      <c r="AM26">
        <v>10</v>
      </c>
      <c r="AP26" t="str">
        <f>VLOOKUP(F26,Eras!$A$2:$C$12, 2, TRUE)</f>
        <v>edw</v>
      </c>
      <c r="AR26" t="str">
        <f t="shared" si="2"/>
        <v>edw_</v>
      </c>
    </row>
    <row r="27" spans="1:45" x14ac:dyDescent="0.25">
      <c r="A27" t="s">
        <v>558</v>
      </c>
      <c r="B27" t="s">
        <v>559</v>
      </c>
      <c r="C27" t="s">
        <v>393</v>
      </c>
      <c r="E27" t="s">
        <v>376</v>
      </c>
      <c r="F27">
        <v>1927</v>
      </c>
      <c r="R27">
        <v>53</v>
      </c>
      <c r="V27" s="4" t="str">
        <f t="shared" si="0"/>
        <v/>
      </c>
      <c r="Y27">
        <v>7.5</v>
      </c>
      <c r="Z27">
        <v>8</v>
      </c>
      <c r="AD27" t="str">
        <f>CONCATENATE(VLOOKUP(AE27, 'Voxel Sizes'!$A$2:$B$18,2,FALSE),"x",INT(AA27*15), "x", INT(AB27*15))</f>
        <v>82x0x0</v>
      </c>
      <c r="AE27">
        <f t="shared" si="1"/>
        <v>5</v>
      </c>
      <c r="AG27" t="str">
        <f>CONCATENATE(VLOOKUP(AE27,'Articulated Lengths'!$A$2:$C$16,IF(AF27&lt;&gt;"", 3, 2), FALSE),IF(AF27&lt;&gt;"",CONCATENATE(",",VLOOKUP(AF27,$B$2:$AG$213,32,FALSE)),""))</f>
        <v>1,3,1</v>
      </c>
      <c r="AL27">
        <v>10</v>
      </c>
      <c r="AM27">
        <v>10</v>
      </c>
      <c r="AP27" t="str">
        <f>VLOOKUP(F27,Eras!$A$2:$C$12, 2, TRUE)</f>
        <v>big4</v>
      </c>
      <c r="AR27" t="str">
        <f t="shared" si="2"/>
        <v>big4_</v>
      </c>
    </row>
    <row r="28" spans="1:45" x14ac:dyDescent="0.25">
      <c r="A28" t="s">
        <v>511</v>
      </c>
      <c r="B28" t="s">
        <v>512</v>
      </c>
      <c r="C28" t="s">
        <v>393</v>
      </c>
      <c r="E28" t="s">
        <v>376</v>
      </c>
      <c r="F28">
        <v>1900</v>
      </c>
      <c r="R28">
        <v>42</v>
      </c>
      <c r="V28" s="4" t="str">
        <f t="shared" si="0"/>
        <v/>
      </c>
      <c r="Y28">
        <v>7.5</v>
      </c>
      <c r="Z28">
        <v>8</v>
      </c>
      <c r="AD28" t="str">
        <f>CONCATENATE(VLOOKUP(AE28, 'Voxel Sizes'!$A$2:$B$18,2,FALSE),"x",INT(AA28*15), "x", INT(AB28*15))</f>
        <v>82x0x0</v>
      </c>
      <c r="AE28">
        <f t="shared" si="1"/>
        <v>5</v>
      </c>
      <c r="AG28" t="str">
        <f>CONCATENATE(VLOOKUP(AE28,'Articulated Lengths'!$A$2:$C$16,IF(AF28&lt;&gt;"", 3, 2), FALSE),IF(AF28&lt;&gt;"",CONCATENATE(",",VLOOKUP(AF28,$B$2:$AG$213,32,FALSE)),""))</f>
        <v>1,3,1</v>
      </c>
      <c r="AL28">
        <v>10</v>
      </c>
      <c r="AM28">
        <v>10</v>
      </c>
      <c r="AP28" t="str">
        <f>VLOOKUP(F28,Eras!$A$2:$C$12, 2, TRUE)</f>
        <v>edw</v>
      </c>
      <c r="AR28" t="str">
        <f t="shared" si="2"/>
        <v>edw_</v>
      </c>
    </row>
    <row r="29" spans="1:45" x14ac:dyDescent="0.25">
      <c r="A29" t="s">
        <v>585</v>
      </c>
      <c r="B29" t="s">
        <v>584</v>
      </c>
      <c r="C29" t="s">
        <v>393</v>
      </c>
      <c r="E29" t="s">
        <v>376</v>
      </c>
      <c r="F29">
        <v>1935</v>
      </c>
      <c r="R29">
        <v>42</v>
      </c>
      <c r="V29" s="4" t="str">
        <f t="shared" ref="V29" si="3">IF(AND(R29&gt;0,U29&gt;0),(U29/((R29+S29)*10)),"")</f>
        <v/>
      </c>
      <c r="Y29">
        <v>7.5</v>
      </c>
      <c r="Z29">
        <v>8</v>
      </c>
      <c r="AD29" t="str">
        <f>CONCATENATE(VLOOKUP(AE29, 'Voxel Sizes'!$A$2:$B$18,2,FALSE),"x",INT(AA29*15), "x", INT(AB29*15))</f>
        <v>82x0x0</v>
      </c>
      <c r="AE29">
        <f t="shared" ref="AE29" si="4">ROUND(15*((Z29*10)/256),0)</f>
        <v>5</v>
      </c>
      <c r="AG29" t="str">
        <f>CONCATENATE(VLOOKUP(AE29,'Articulated Lengths'!$A$2:$C$16,IF(AF29&lt;&gt;"", 3, 2), FALSE),IF(AF29&lt;&gt;"",CONCATENATE(",",VLOOKUP(AF29,$B$2:$AG$213,32,FALSE)),""))</f>
        <v>1,3,1</v>
      </c>
      <c r="AL29">
        <v>10</v>
      </c>
      <c r="AM29">
        <v>10</v>
      </c>
      <c r="AP29" t="str">
        <f>VLOOKUP(F29,Eras!$A$2:$C$12, 2, TRUE)</f>
        <v>big4</v>
      </c>
      <c r="AR29" t="str">
        <f t="shared" ref="AR29" si="5">CONCATENATE(AP29,"_",AQ29)</f>
        <v>big4_</v>
      </c>
    </row>
    <row r="30" spans="1:45" x14ac:dyDescent="0.25">
      <c r="A30" t="s">
        <v>121</v>
      </c>
      <c r="B30" t="s">
        <v>257</v>
      </c>
      <c r="C30" t="s">
        <v>195</v>
      </c>
      <c r="E30" t="s">
        <v>376</v>
      </c>
      <c r="F30">
        <v>1900</v>
      </c>
      <c r="V30" s="4" t="str">
        <f t="shared" si="0"/>
        <v/>
      </c>
      <c r="AD30" t="str">
        <f>CONCATENATE(VLOOKUP(AE30, 'Voxel Sizes'!$A$2:$B$18,2,FALSE),"x",INT(AA30*15), "x", INT(AB30*15))</f>
        <v>0x0x0</v>
      </c>
      <c r="AE30">
        <f t="shared" si="1"/>
        <v>0</v>
      </c>
      <c r="AG30" t="str">
        <f>CONCATENATE(VLOOKUP(AE30,'Articulated Lengths'!$A$2:$C$16,IF(AF30&lt;&gt;"", 3, 2), FALSE),IF(AF30&lt;&gt;"",CONCATENATE(",",VLOOKUP(AF30,$B$2:$AG$213,32,FALSE)),""))</f>
        <v>na</v>
      </c>
      <c r="AL30">
        <v>10</v>
      </c>
      <c r="AM30">
        <v>10</v>
      </c>
      <c r="AP30" t="str">
        <f>VLOOKUP(F30,Eras!$A$2:$C$12, 2, TRUE)</f>
        <v>edw</v>
      </c>
      <c r="AQ30" t="s">
        <v>456</v>
      </c>
      <c r="AR30" t="str">
        <f t="shared" si="2"/>
        <v>edw_LU</v>
      </c>
    </row>
    <row r="31" spans="1:45" x14ac:dyDescent="0.25">
      <c r="A31" t="s">
        <v>520</v>
      </c>
      <c r="B31" t="s">
        <v>521</v>
      </c>
      <c r="C31" t="s">
        <v>364</v>
      </c>
      <c r="D31" t="s">
        <v>373</v>
      </c>
      <c r="E31" t="s">
        <v>376</v>
      </c>
      <c r="F31">
        <v>1901</v>
      </c>
      <c r="G31">
        <v>1914</v>
      </c>
      <c r="H31">
        <v>1955</v>
      </c>
      <c r="J31">
        <v>350</v>
      </c>
      <c r="K31">
        <v>14</v>
      </c>
      <c r="L31">
        <v>20</v>
      </c>
      <c r="M31">
        <v>2</v>
      </c>
      <c r="N31">
        <v>160</v>
      </c>
      <c r="O31" s="5">
        <f>((($W31/2)/60)*5280)/($P31*3.2*PI())</f>
        <v>145.89203116757074</v>
      </c>
      <c r="P31">
        <v>0.9</v>
      </c>
      <c r="Q31">
        <f>((($K31*$K31/4)*PI())*($L31/12)*$M31*$N31*$O31)/(33000*1.1)</f>
        <v>329.96632996632997</v>
      </c>
      <c r="R31">
        <v>23</v>
      </c>
      <c r="U31">
        <v>49</v>
      </c>
      <c r="V31" s="4">
        <f t="shared" si="0"/>
        <v>0.21304347826086956</v>
      </c>
      <c r="W31">
        <v>30</v>
      </c>
      <c r="Y31">
        <v>6.12</v>
      </c>
      <c r="Z31">
        <v>6.12</v>
      </c>
      <c r="AD31" t="str">
        <f>CONCATENATE(VLOOKUP(AE31, 'Voxel Sizes'!$A$2:$B$18,2,FALSE),"x",INT(AA31*15), "x", INT(AB31*15))</f>
        <v>60x0x0</v>
      </c>
      <c r="AE31">
        <f t="shared" si="1"/>
        <v>4</v>
      </c>
      <c r="AG31" t="str">
        <f>CONCATENATE(VLOOKUP(AE31,'Articulated Lengths'!$A$2:$C$16,IF(AF31&lt;&gt;"", 3, 2), FALSE),IF(AF31&lt;&gt;"",CONCATENATE(",",VLOOKUP(AF31,$B$2:$AG$213,32,FALSE)),""))</f>
        <v>1,2,1</v>
      </c>
      <c r="AK31">
        <v>1</v>
      </c>
      <c r="AL31">
        <v>10</v>
      </c>
      <c r="AM31">
        <v>10</v>
      </c>
      <c r="AP31" t="str">
        <f>VLOOKUP(F31,Eras!$A$2:$C$12, 2, TRUE)</f>
        <v>edw</v>
      </c>
      <c r="AQ31" t="s">
        <v>437</v>
      </c>
      <c r="AR31" t="str">
        <f t="shared" si="2"/>
        <v>edw_Cheap</v>
      </c>
      <c r="AS31" t="s">
        <v>522</v>
      </c>
    </row>
    <row r="32" spans="1:45" x14ac:dyDescent="0.25">
      <c r="A32" t="s">
        <v>16</v>
      </c>
      <c r="B32" t="s">
        <v>325</v>
      </c>
      <c r="C32" t="s">
        <v>364</v>
      </c>
      <c r="D32" t="s">
        <v>373</v>
      </c>
      <c r="E32" t="s">
        <v>376</v>
      </c>
      <c r="F32">
        <v>1902</v>
      </c>
      <c r="J32">
        <v>950</v>
      </c>
      <c r="K32">
        <v>20.3</v>
      </c>
      <c r="L32">
        <v>26</v>
      </c>
      <c r="M32">
        <v>3</v>
      </c>
      <c r="N32">
        <f>220*0.5</f>
        <v>110</v>
      </c>
      <c r="O32" s="5">
        <f>((($W32/2)/60)*5280)/($P32*3.2*PI())</f>
        <v>166.73374990579512</v>
      </c>
      <c r="P32">
        <v>2.1</v>
      </c>
      <c r="Q32">
        <f>((($K32*$K32/4)*PI())*($L32/12)*$M32*$N32*$O32)/(33000*1.1)</f>
        <v>1062.9305555555557</v>
      </c>
      <c r="R32">
        <v>62</v>
      </c>
      <c r="S32">
        <v>42</v>
      </c>
      <c r="U32">
        <v>97</v>
      </c>
      <c r="V32" s="4">
        <f t="shared" si="0"/>
        <v>9.3269230769230771E-2</v>
      </c>
      <c r="W32">
        <v>80</v>
      </c>
      <c r="Y32">
        <v>17.268999999999998</v>
      </c>
      <c r="Z32">
        <f>Y32-7.5</f>
        <v>9.7689999999999984</v>
      </c>
      <c r="AD32" t="str">
        <f>CONCATENATE(VLOOKUP(AE32, 'Voxel Sizes'!$A$2:$B$18,2,FALSE),"x",INT(AA32*15), "x", INT(AB32*15))</f>
        <v>102x0x0</v>
      </c>
      <c r="AE32">
        <f t="shared" si="1"/>
        <v>6</v>
      </c>
      <c r="AF32" t="s">
        <v>412</v>
      </c>
      <c r="AG32" t="str">
        <f>CONCATENATE(VLOOKUP(AE32,'Articulated Lengths'!$A$2:$C$16,IF(AF32&lt;&gt;"", 3, 2), FALSE),IF(AF32&lt;&gt;"",CONCATENATE(",",VLOOKUP(AF32,$B$2:$AG$213,32,FALSE)),""))</f>
        <v>2,2,3,1,3,1</v>
      </c>
      <c r="AK32">
        <v>1</v>
      </c>
      <c r="AL32">
        <v>10</v>
      </c>
      <c r="AM32">
        <v>10</v>
      </c>
      <c r="AP32" t="str">
        <f>VLOOKUP(F32,Eras!$A$2:$C$12, 2, TRUE)</f>
        <v>edw</v>
      </c>
      <c r="AQ32" t="s">
        <v>439</v>
      </c>
      <c r="AR32" t="str">
        <f t="shared" si="2"/>
        <v>edw_Express</v>
      </c>
      <c r="AS32" t="s">
        <v>459</v>
      </c>
    </row>
    <row r="33" spans="1:45" x14ac:dyDescent="0.25">
      <c r="A33" t="s">
        <v>156</v>
      </c>
      <c r="B33" t="s">
        <v>358</v>
      </c>
      <c r="C33" t="s">
        <v>383</v>
      </c>
      <c r="E33" t="s">
        <v>376</v>
      </c>
      <c r="F33">
        <v>1902</v>
      </c>
      <c r="R33">
        <v>8</v>
      </c>
      <c r="T33">
        <v>5</v>
      </c>
      <c r="V33" s="4" t="str">
        <f t="shared" si="0"/>
        <v/>
      </c>
      <c r="W33">
        <v>55</v>
      </c>
      <c r="Y33">
        <v>4.9000000000000004</v>
      </c>
      <c r="Z33">
        <v>6</v>
      </c>
      <c r="AC33">
        <v>21</v>
      </c>
      <c r="AD33" t="str">
        <f>CONCATENATE(VLOOKUP(AE33, 'Voxel Sizes'!$A$2:$B$18,2,FALSE),"x",INT(AA33*15), "x", INT(AB33*15))</f>
        <v>60x0x0</v>
      </c>
      <c r="AE33">
        <f t="shared" si="1"/>
        <v>4</v>
      </c>
      <c r="AG33" t="str">
        <f>CONCATENATE(VLOOKUP(AE33,'Articulated Lengths'!$A$2:$C$16,IF(AF33&lt;&gt;"", 3, 2), FALSE),IF(AF33&lt;&gt;"",CONCATENATE(",",VLOOKUP(AF33,$B$2:$AG$213,32,FALSE)),""))</f>
        <v>1,2,1</v>
      </c>
      <c r="AL33">
        <v>10</v>
      </c>
      <c r="AM33">
        <v>10</v>
      </c>
      <c r="AO33" t="s">
        <v>388</v>
      </c>
      <c r="AP33" t="str">
        <f>VLOOKUP(F33,Eras!$A$2:$C$12, 2, TRUE)</f>
        <v>edw</v>
      </c>
      <c r="AQ33" t="s">
        <v>451</v>
      </c>
      <c r="AR33" t="str">
        <f t="shared" si="2"/>
        <v>edw_Open Wagon</v>
      </c>
      <c r="AS33" t="s">
        <v>476</v>
      </c>
    </row>
    <row r="34" spans="1:45" x14ac:dyDescent="0.25">
      <c r="A34" t="s">
        <v>69</v>
      </c>
      <c r="B34" t="s">
        <v>208</v>
      </c>
      <c r="C34" t="s">
        <v>364</v>
      </c>
      <c r="D34" t="s">
        <v>398</v>
      </c>
      <c r="E34" t="s">
        <v>399</v>
      </c>
      <c r="F34">
        <v>1903</v>
      </c>
      <c r="G34">
        <v>1904</v>
      </c>
      <c r="J34">
        <v>640</v>
      </c>
      <c r="R34">
        <v>57</v>
      </c>
      <c r="U34">
        <v>111</v>
      </c>
      <c r="V34" s="4">
        <f t="shared" si="0"/>
        <v>0.19473684210526315</v>
      </c>
      <c r="W34">
        <v>27</v>
      </c>
      <c r="Y34">
        <v>11.56</v>
      </c>
      <c r="Z34">
        <v>11.56</v>
      </c>
      <c r="AB34">
        <v>3.93</v>
      </c>
      <c r="AD34" t="str">
        <f>CONCATENATE(VLOOKUP(AE34, 'Voxel Sizes'!$A$2:$B$18,2,FALSE),"x",INT(AA34*15), "x", INT(AB34*15))</f>
        <v>120x0x58</v>
      </c>
      <c r="AE34">
        <f t="shared" si="1"/>
        <v>7</v>
      </c>
      <c r="AG34" t="str">
        <f>CONCATENATE(VLOOKUP(AE34,'Articulated Lengths'!$A$2:$C$16,IF(AF34&lt;&gt;"", 3, 2), FALSE),IF(AF34&lt;&gt;"",CONCATENATE(",",VLOOKUP(AF34,$B$2:$AG$213,32,FALSE)),""))</f>
        <v>2,3,2</v>
      </c>
      <c r="AL34">
        <v>10</v>
      </c>
      <c r="AM34">
        <v>10</v>
      </c>
      <c r="AP34" t="str">
        <f>VLOOKUP(F34,Eras!$A$2:$C$12, 2, TRUE)</f>
        <v>edw</v>
      </c>
      <c r="AQ34" t="s">
        <v>450</v>
      </c>
      <c r="AR34" t="str">
        <f t="shared" si="2"/>
        <v>edw_Freight (Electric)</v>
      </c>
      <c r="AS34" t="s">
        <v>461</v>
      </c>
    </row>
    <row r="35" spans="1:45" x14ac:dyDescent="0.25">
      <c r="A35" t="s">
        <v>176</v>
      </c>
      <c r="B35" t="s">
        <v>209</v>
      </c>
      <c r="C35" t="s">
        <v>364</v>
      </c>
      <c r="D35" t="s">
        <v>374</v>
      </c>
      <c r="E35" t="s">
        <v>376</v>
      </c>
      <c r="F35">
        <v>1903</v>
      </c>
      <c r="J35">
        <v>85</v>
      </c>
      <c r="R35">
        <v>35</v>
      </c>
      <c r="U35">
        <v>45</v>
      </c>
      <c r="V35" s="4">
        <f t="shared" si="0"/>
        <v>0.12857142857142856</v>
      </c>
      <c r="W35">
        <v>40</v>
      </c>
      <c r="Y35">
        <v>16.7</v>
      </c>
      <c r="Z35">
        <v>16.7</v>
      </c>
      <c r="AA35">
        <v>2.59</v>
      </c>
      <c r="AB35">
        <v>3.98</v>
      </c>
      <c r="AC35">
        <v>48</v>
      </c>
      <c r="AD35" t="str">
        <f>CONCATENATE(VLOOKUP(AE35, 'Voxel Sizes'!$A$2:$B$18,2,FALSE),"x",INT(AA35*15), "x", INT(AB35*15))</f>
        <v>164x38x59</v>
      </c>
      <c r="AE35">
        <f t="shared" si="1"/>
        <v>10</v>
      </c>
      <c r="AG35" t="str">
        <f>CONCATENATE(VLOOKUP(AE35,'Articulated Lengths'!$A$2:$C$16,IF(AF35&lt;&gt;"", 3, 2), FALSE),IF(AF35&lt;&gt;"",CONCATENATE(",",VLOOKUP(AF35,$B$2:$AG$213,32,FALSE)),""))</f>
        <v>3,4,3</v>
      </c>
      <c r="AL35">
        <v>10</v>
      </c>
      <c r="AM35">
        <v>10</v>
      </c>
      <c r="AO35" t="s">
        <v>385</v>
      </c>
      <c r="AP35" t="str">
        <f>VLOOKUP(F35,Eras!$A$2:$C$12, 2, TRUE)</f>
        <v>edw</v>
      </c>
      <c r="AQ35" t="s">
        <v>441</v>
      </c>
      <c r="AR35" t="str">
        <f t="shared" si="2"/>
        <v>edw_DMU (Cheap)</v>
      </c>
      <c r="AS35" t="s">
        <v>460</v>
      </c>
    </row>
    <row r="36" spans="1:45" x14ac:dyDescent="0.25">
      <c r="A36" t="s">
        <v>537</v>
      </c>
      <c r="B36" t="s">
        <v>538</v>
      </c>
      <c r="C36" t="s">
        <v>383</v>
      </c>
      <c r="E36" t="s">
        <v>376</v>
      </c>
      <c r="F36">
        <v>1902</v>
      </c>
      <c r="R36">
        <v>7</v>
      </c>
      <c r="T36">
        <v>5</v>
      </c>
      <c r="V36" s="4" t="str">
        <f t="shared" si="0"/>
        <v/>
      </c>
      <c r="W36">
        <v>60</v>
      </c>
      <c r="Y36">
        <v>8</v>
      </c>
      <c r="Z36">
        <v>8</v>
      </c>
      <c r="AC36">
        <v>24</v>
      </c>
      <c r="AD36" t="str">
        <f>CONCATENATE(VLOOKUP(AE36, 'Voxel Sizes'!$A$2:$B$18,2,FALSE),"x",INT(AA36*15), "x", INT(AB36*15))</f>
        <v>82x0x0</v>
      </c>
      <c r="AE36">
        <f t="shared" si="1"/>
        <v>5</v>
      </c>
      <c r="AG36" t="str">
        <f>CONCATENATE(VLOOKUP(AE36,'Articulated Lengths'!$A$2:$C$16,IF(AF36&lt;&gt;"", 3, 2), FALSE),IF(AF36&lt;&gt;"",CONCATENATE(",",VLOOKUP(AF36,$B$2:$AG$213,32,FALSE)),""))</f>
        <v>1,3,1</v>
      </c>
      <c r="AL36">
        <v>10</v>
      </c>
      <c r="AM36">
        <v>10</v>
      </c>
      <c r="AO36" t="s">
        <v>388</v>
      </c>
      <c r="AP36" t="str">
        <f>VLOOKUP(F36,Eras!$A$2:$C$12, 2, TRUE)</f>
        <v>edw</v>
      </c>
      <c r="AQ36" t="s">
        <v>453</v>
      </c>
      <c r="AR36" t="str">
        <f t="shared" ref="AR36" si="6">CONCATENATE(AP36,"_",AQ36)</f>
        <v>edw_Van</v>
      </c>
      <c r="AS36" t="s">
        <v>536</v>
      </c>
    </row>
    <row r="37" spans="1:45" x14ac:dyDescent="0.25">
      <c r="A37" t="s">
        <v>532</v>
      </c>
      <c r="B37" t="s">
        <v>533</v>
      </c>
      <c r="C37" t="s">
        <v>383</v>
      </c>
      <c r="E37" t="s">
        <v>376</v>
      </c>
      <c r="F37">
        <v>1906</v>
      </c>
      <c r="R37">
        <v>7</v>
      </c>
      <c r="T37">
        <v>5</v>
      </c>
      <c r="V37" s="4" t="str">
        <f t="shared" si="0"/>
        <v/>
      </c>
      <c r="W37">
        <v>55</v>
      </c>
      <c r="Y37">
        <v>8</v>
      </c>
      <c r="Z37">
        <v>8</v>
      </c>
      <c r="AC37">
        <v>24</v>
      </c>
      <c r="AD37" t="str">
        <f>CONCATENATE(VLOOKUP(AE37, 'Voxel Sizes'!$A$2:$B$18,2,FALSE),"x",INT(AA37*15), "x", INT(AB37*15))</f>
        <v>82x0x0</v>
      </c>
      <c r="AE37">
        <f t="shared" si="1"/>
        <v>5</v>
      </c>
      <c r="AG37" t="str">
        <f>CONCATENATE(VLOOKUP(AE37,'Articulated Lengths'!$A$2:$C$16,IF(AF37&lt;&gt;"", 3, 2), FALSE),IF(AF37&lt;&gt;"",CONCATENATE(",",VLOOKUP(AF37,$B$2:$AG$213,32,FALSE)),""))</f>
        <v>1,3,1</v>
      </c>
      <c r="AL37">
        <v>10</v>
      </c>
      <c r="AM37">
        <v>10</v>
      </c>
      <c r="AO37" t="s">
        <v>534</v>
      </c>
      <c r="AP37" t="str">
        <f>VLOOKUP(F37,Eras!$A$2:$C$12, 2, TRUE)</f>
        <v>edw</v>
      </c>
      <c r="AQ37" t="s">
        <v>452</v>
      </c>
      <c r="AR37" t="str">
        <f t="shared" ref="AR37:AR38" si="7">CONCATENATE(AP37,"_",AQ37)</f>
        <v>edw_Flat Wagon</v>
      </c>
      <c r="AS37" t="s">
        <v>535</v>
      </c>
    </row>
    <row r="38" spans="1:45" ht="14.25" customHeight="1" x14ac:dyDescent="0.25">
      <c r="A38" t="s">
        <v>529</v>
      </c>
      <c r="B38" t="s">
        <v>530</v>
      </c>
      <c r="C38" t="s">
        <v>383</v>
      </c>
      <c r="E38" t="s">
        <v>376</v>
      </c>
      <c r="F38">
        <v>1901</v>
      </c>
      <c r="R38">
        <v>14</v>
      </c>
      <c r="T38">
        <v>5</v>
      </c>
      <c r="V38" s="4" t="str">
        <f t="shared" si="0"/>
        <v/>
      </c>
      <c r="W38">
        <v>55</v>
      </c>
      <c r="Y38">
        <v>8</v>
      </c>
      <c r="Z38">
        <v>8</v>
      </c>
      <c r="AC38">
        <v>21</v>
      </c>
      <c r="AD38" t="str">
        <f>CONCATENATE(VLOOKUP(AE38, 'Voxel Sizes'!$A$2:$B$18,2,FALSE),"x",INT(AA38*15), "x", INT(AB38*15))</f>
        <v>82x0x0</v>
      </c>
      <c r="AE38">
        <f t="shared" si="1"/>
        <v>5</v>
      </c>
      <c r="AG38" t="str">
        <f>CONCATENATE(VLOOKUP(AE38,'Articulated Lengths'!$A$2:$C$16,IF(AF38&lt;&gt;"", 3, 2), FALSE),IF(AF38&lt;&gt;"",CONCATENATE(",",VLOOKUP(AF38,$B$2:$AG$213,32,FALSE)),""))</f>
        <v>1,3,1</v>
      </c>
      <c r="AL38">
        <v>10</v>
      </c>
      <c r="AM38">
        <v>10</v>
      </c>
      <c r="AO38" t="s">
        <v>386</v>
      </c>
      <c r="AP38" t="str">
        <f>VLOOKUP(F38,Eras!$A$2:$C$12, 2, TRUE)</f>
        <v>edw</v>
      </c>
      <c r="AQ38" t="s">
        <v>454</v>
      </c>
      <c r="AR38" t="str">
        <f t="shared" si="7"/>
        <v>edw_Tanker</v>
      </c>
      <c r="AS38" t="s">
        <v>531</v>
      </c>
    </row>
    <row r="39" spans="1:45" x14ac:dyDescent="0.25">
      <c r="A39" t="s">
        <v>152</v>
      </c>
      <c r="B39" t="s">
        <v>382</v>
      </c>
      <c r="C39" t="s">
        <v>195</v>
      </c>
      <c r="E39" t="s">
        <v>376</v>
      </c>
      <c r="F39">
        <v>1923</v>
      </c>
      <c r="R39">
        <v>16</v>
      </c>
      <c r="T39">
        <v>5</v>
      </c>
      <c r="V39" s="4" t="str">
        <f t="shared" si="0"/>
        <v/>
      </c>
      <c r="W39">
        <v>60</v>
      </c>
      <c r="Y39">
        <v>8</v>
      </c>
      <c r="Z39">
        <v>8</v>
      </c>
      <c r="AC39">
        <v>24</v>
      </c>
      <c r="AD39" t="str">
        <f>CONCATENATE(VLOOKUP(AE39, 'Voxel Sizes'!$A$2:$B$18,2,FALSE),"x",INT(AA39*15), "x", INT(AB39*15))</f>
        <v>82x0x0</v>
      </c>
      <c r="AE39">
        <f t="shared" si="1"/>
        <v>5</v>
      </c>
      <c r="AG39" t="str">
        <f>CONCATENATE(VLOOKUP(AE39,'Articulated Lengths'!$A$2:$C$16,IF(AF39&lt;&gt;"", 3, 2), FALSE),IF(AF39&lt;&gt;"",CONCATENATE(",",VLOOKUP(AF39,$B$2:$AG$213,32,FALSE)),""))</f>
        <v>1,3,1</v>
      </c>
      <c r="AL39">
        <v>10</v>
      </c>
      <c r="AM39">
        <v>10</v>
      </c>
      <c r="AO39" t="s">
        <v>386</v>
      </c>
      <c r="AP39" t="str">
        <f>VLOOKUP(F39,Eras!$A$2:$C$12, 2, TRUE)</f>
        <v>big4</v>
      </c>
      <c r="AQ39" t="s">
        <v>454</v>
      </c>
      <c r="AR39" t="str">
        <f t="shared" ref="AR39:AR72" si="8">CONCATENATE(AP39,"_",AQ39)</f>
        <v>big4_Tanker</v>
      </c>
      <c r="AS39" t="s">
        <v>528</v>
      </c>
    </row>
    <row r="40" spans="1:45" x14ac:dyDescent="0.25">
      <c r="A40" t="s">
        <v>517</v>
      </c>
      <c r="B40" t="s">
        <v>518</v>
      </c>
      <c r="C40" t="s">
        <v>383</v>
      </c>
      <c r="E40" t="s">
        <v>376</v>
      </c>
      <c r="F40">
        <v>1904</v>
      </c>
      <c r="R40">
        <v>34</v>
      </c>
      <c r="T40">
        <v>8</v>
      </c>
      <c r="V40" s="4" t="str">
        <f t="shared" si="0"/>
        <v/>
      </c>
      <c r="W40">
        <v>80</v>
      </c>
      <c r="Y40">
        <v>17.7</v>
      </c>
      <c r="Z40">
        <v>17.7</v>
      </c>
      <c r="AA40">
        <v>2.83</v>
      </c>
      <c r="AB40">
        <v>3.79</v>
      </c>
      <c r="AC40">
        <v>48</v>
      </c>
      <c r="AD40" t="str">
        <f>CONCATENATE(VLOOKUP(AE40, 'Voxel Sizes'!$A$2:$B$18,2,FALSE),"x",INT(AA40*15), "x", INT(AB40*15))</f>
        <v>164x42x56</v>
      </c>
      <c r="AE40">
        <f t="shared" si="1"/>
        <v>10</v>
      </c>
      <c r="AG40" t="str">
        <f>CONCATENATE(VLOOKUP(AE40,'Articulated Lengths'!$A$2:$C$16,IF(AF40&lt;&gt;"", 3, 2), FALSE),IF(AF40&lt;&gt;"",CONCATENATE(",",VLOOKUP(AF40,$B$2:$AG$213,32,FALSE)),""))</f>
        <v>3,4,3</v>
      </c>
      <c r="AL40">
        <v>10</v>
      </c>
      <c r="AM40">
        <v>10</v>
      </c>
      <c r="AO40" t="s">
        <v>385</v>
      </c>
      <c r="AP40" t="str">
        <f>VLOOKUP(F40,Eras!$A$2:$C$12, 2, TRUE)</f>
        <v>edw</v>
      </c>
      <c r="AQ40" t="s">
        <v>446</v>
      </c>
      <c r="AR40" t="str">
        <f t="shared" si="8"/>
        <v>edw_Carriage</v>
      </c>
      <c r="AS40" t="s">
        <v>519</v>
      </c>
    </row>
    <row r="41" spans="1:45" x14ac:dyDescent="0.25">
      <c r="A41" t="s">
        <v>142</v>
      </c>
      <c r="B41" t="s">
        <v>570</v>
      </c>
      <c r="C41" t="s">
        <v>383</v>
      </c>
      <c r="E41" t="s">
        <v>376</v>
      </c>
      <c r="F41">
        <v>1928</v>
      </c>
      <c r="R41">
        <v>40</v>
      </c>
      <c r="T41">
        <v>6</v>
      </c>
      <c r="V41" s="4" t="str">
        <f t="shared" si="0"/>
        <v/>
      </c>
      <c r="W41">
        <v>95</v>
      </c>
      <c r="Y41">
        <v>20</v>
      </c>
      <c r="Z41">
        <v>20</v>
      </c>
      <c r="AC41">
        <v>48</v>
      </c>
      <c r="AD41" t="str">
        <f>CONCATENATE(VLOOKUP(AE41, 'Voxel Sizes'!$A$2:$B$18,2,FALSE),"x",INT(AA41*15), "x", INT(AB41*15))</f>
        <v>198x0x0</v>
      </c>
      <c r="AE41">
        <f>ROUND(15*((Z41*10)/256),0)</f>
        <v>12</v>
      </c>
      <c r="AG41" t="str">
        <f>CONCATENATE(VLOOKUP(AE41,'Articulated Lengths'!$A$2:$C$16,IF(AF41&lt;&gt;"", 3, 2), FALSE),IF(AF41&lt;&gt;"",CONCATENATE(",",VLOOKUP(AF41,$B$2:$AG$213,32,FALSE)),""))</f>
        <v>3,6,3</v>
      </c>
      <c r="AL41">
        <v>10</v>
      </c>
      <c r="AM41">
        <v>10</v>
      </c>
      <c r="AO41" t="s">
        <v>385</v>
      </c>
      <c r="AP41" t="str">
        <f>VLOOKUP(F41,Eras!$A$2:$C$12, 2, TRUE)</f>
        <v>big4</v>
      </c>
      <c r="AQ41" t="s">
        <v>446</v>
      </c>
      <c r="AR41" t="str">
        <f>CONCATENATE(AP41,"_",AQ41)</f>
        <v>big4_Carriage</v>
      </c>
      <c r="AS41" t="s">
        <v>571</v>
      </c>
    </row>
    <row r="42" spans="1:45" x14ac:dyDescent="0.25">
      <c r="A42" t="s">
        <v>18</v>
      </c>
      <c r="B42" t="s">
        <v>210</v>
      </c>
      <c r="C42" t="s">
        <v>364</v>
      </c>
      <c r="D42" t="s">
        <v>373</v>
      </c>
      <c r="E42" t="s">
        <v>376</v>
      </c>
      <c r="F42">
        <v>1904</v>
      </c>
      <c r="H42">
        <v>1962</v>
      </c>
      <c r="J42">
        <v>730</v>
      </c>
      <c r="K42">
        <v>18</v>
      </c>
      <c r="L42">
        <v>26</v>
      </c>
      <c r="M42">
        <v>2</v>
      </c>
      <c r="N42">
        <v>160</v>
      </c>
      <c r="O42" s="5">
        <f>((($W42/2)/60)*5280)/($P42*3.2*PI())</f>
        <v>150.4511571415573</v>
      </c>
      <c r="P42">
        <v>1.6</v>
      </c>
      <c r="Q42">
        <f>((($K42*$K42/4)*PI())*($L42/12)*$M42*$N42*$O42)/(33000*1.1)</f>
        <v>731.24999999999977</v>
      </c>
      <c r="R42">
        <v>55</v>
      </c>
      <c r="U42">
        <v>77</v>
      </c>
      <c r="V42" s="4">
        <f t="shared" si="0"/>
        <v>0.14000000000000001</v>
      </c>
      <c r="W42">
        <v>55</v>
      </c>
      <c r="Y42">
        <v>10.02</v>
      </c>
      <c r="Z42">
        <v>10.02</v>
      </c>
      <c r="AD42" t="str">
        <f>CONCATENATE(VLOOKUP(AE42, 'Voxel Sizes'!$A$2:$B$18,2,FALSE),"x",INT(AA42*15), "x", INT(AB42*15))</f>
        <v>102x0x0</v>
      </c>
      <c r="AE42">
        <f t="shared" si="1"/>
        <v>6</v>
      </c>
      <c r="AG42" t="str">
        <f>CONCATENATE(VLOOKUP(AE42,'Articulated Lengths'!$A$2:$C$16,IF(AF42&lt;&gt;"", 3, 2), FALSE),IF(AF42&lt;&gt;"",CONCATENATE(",",VLOOKUP(AF42,$B$2:$AG$213,32,FALSE)),""))</f>
        <v>2,2,2</v>
      </c>
      <c r="AK42">
        <v>1</v>
      </c>
      <c r="AL42">
        <v>10</v>
      </c>
      <c r="AM42">
        <v>10</v>
      </c>
      <c r="AP42" t="str">
        <f>VLOOKUP(F42,Eras!$A$2:$C$12, 2, TRUE)</f>
        <v>edw</v>
      </c>
      <c r="AQ42" t="s">
        <v>488</v>
      </c>
      <c r="AR42" t="str">
        <f t="shared" si="8"/>
        <v>edw_Passenger</v>
      </c>
      <c r="AS42" t="s">
        <v>480</v>
      </c>
    </row>
    <row r="43" spans="1:45" x14ac:dyDescent="0.25">
      <c r="A43" t="s">
        <v>20</v>
      </c>
      <c r="B43" t="s">
        <v>490</v>
      </c>
      <c r="C43" t="s">
        <v>364</v>
      </c>
      <c r="D43" t="s">
        <v>373</v>
      </c>
      <c r="E43" t="s">
        <v>376</v>
      </c>
      <c r="F43">
        <v>1904</v>
      </c>
      <c r="G43">
        <v>1914</v>
      </c>
      <c r="J43">
        <v>850</v>
      </c>
      <c r="K43">
        <v>17</v>
      </c>
      <c r="L43">
        <v>24</v>
      </c>
      <c r="M43">
        <v>2</v>
      </c>
      <c r="N43">
        <v>180</v>
      </c>
      <c r="O43" s="5">
        <f>((($W43/2)/60)*5280)/($P43*3.2*PI())</f>
        <v>192.57748114119337</v>
      </c>
      <c r="P43">
        <v>1.25</v>
      </c>
      <c r="Q43">
        <f>((($K43*$K43/4)*PI())*($L43/12)*$M43*$N43*$O43)/(33000*1.1)</f>
        <v>867</v>
      </c>
      <c r="R43">
        <v>63.4</v>
      </c>
      <c r="U43">
        <v>95</v>
      </c>
      <c r="V43" s="4">
        <f t="shared" si="0"/>
        <v>0.14984227129337541</v>
      </c>
      <c r="W43">
        <v>55</v>
      </c>
      <c r="Y43">
        <v>11.5</v>
      </c>
      <c r="Z43">
        <v>11.5</v>
      </c>
      <c r="AD43" t="str">
        <f>CONCATENATE(VLOOKUP(AE43, 'Voxel Sizes'!$A$2:$B$18,2,FALSE),"x",INT(AA43*15), "x", INT(AB43*15))</f>
        <v>120x0x0</v>
      </c>
      <c r="AE43">
        <f t="shared" si="1"/>
        <v>7</v>
      </c>
      <c r="AG43" t="str">
        <f>CONCATENATE(VLOOKUP(AE43,'Articulated Lengths'!$A$2:$C$16,IF(AF43&lt;&gt;"", 3, 2), FALSE),IF(AF43&lt;&gt;"",CONCATENATE(",",VLOOKUP(AF43,$B$2:$AG$213,32,FALSE)),""))</f>
        <v>2,3,2</v>
      </c>
      <c r="AK43">
        <v>1</v>
      </c>
      <c r="AL43">
        <v>10</v>
      </c>
      <c r="AM43">
        <v>10</v>
      </c>
      <c r="AP43" t="str">
        <f>VLOOKUP(F43,Eras!$A$2:$C$12, 2, TRUE)</f>
        <v>edw</v>
      </c>
      <c r="AQ43" t="s">
        <v>438</v>
      </c>
      <c r="AR43" t="str">
        <f t="shared" si="8"/>
        <v>edw_Mixed Traffic</v>
      </c>
      <c r="AS43" t="s">
        <v>489</v>
      </c>
    </row>
    <row r="44" spans="1:45" x14ac:dyDescent="0.25">
      <c r="A44" t="s">
        <v>28</v>
      </c>
      <c r="B44" t="s">
        <v>211</v>
      </c>
      <c r="C44" t="s">
        <v>364</v>
      </c>
      <c r="D44" t="s">
        <v>373</v>
      </c>
      <c r="E44" t="s">
        <v>376</v>
      </c>
      <c r="F44">
        <v>1911</v>
      </c>
      <c r="G44">
        <v>1926</v>
      </c>
      <c r="H44">
        <v>1960</v>
      </c>
      <c r="J44">
        <v>850</v>
      </c>
      <c r="K44">
        <v>20</v>
      </c>
      <c r="L44">
        <v>26</v>
      </c>
      <c r="M44">
        <v>2</v>
      </c>
      <c r="N44">
        <v>180</v>
      </c>
      <c r="O44" s="5">
        <f>((($W44/2)/60)*5280)/($P44*3.2*PI())</f>
        <v>128.72826279491534</v>
      </c>
      <c r="P44">
        <v>1.7</v>
      </c>
      <c r="Q44">
        <f>((($K44*$K44/4)*PI())*($L44/12)*$M44*$N44*$O44)/(33000*1.1)</f>
        <v>868.98395721925135</v>
      </c>
      <c r="R44">
        <v>87</v>
      </c>
      <c r="U44">
        <v>106</v>
      </c>
      <c r="V44" s="4">
        <f t="shared" si="0"/>
        <v>0.12183908045977011</v>
      </c>
      <c r="W44">
        <v>50</v>
      </c>
      <c r="Y44">
        <v>13.1</v>
      </c>
      <c r="Z44">
        <v>13.1</v>
      </c>
      <c r="AD44" t="str">
        <f>CONCATENATE(VLOOKUP(AE44, 'Voxel Sizes'!$A$2:$B$18,2,FALSE),"x",INT(AA44*15), "x", INT(AB44*15))</f>
        <v>136x0x0</v>
      </c>
      <c r="AE44">
        <f t="shared" si="1"/>
        <v>8</v>
      </c>
      <c r="AG44" t="str">
        <f>CONCATENATE(VLOOKUP(AE44,'Articulated Lengths'!$A$2:$C$16,IF(AF44&lt;&gt;"", 3, 2), FALSE),IF(AF44&lt;&gt;"",CONCATENATE(",",VLOOKUP(AF44,$B$2:$AG$213,32,FALSE)),""))</f>
        <v>2,4,2</v>
      </c>
      <c r="AK44">
        <v>1</v>
      </c>
      <c r="AL44">
        <v>10</v>
      </c>
      <c r="AM44">
        <v>10</v>
      </c>
      <c r="AP44" t="str">
        <f>VLOOKUP(F44,Eras!$A$2:$C$12, 2, TRUE)</f>
        <v>edw</v>
      </c>
      <c r="AQ44" t="s">
        <v>488</v>
      </c>
      <c r="AR44" t="str">
        <f t="shared" si="8"/>
        <v>edw_Passenger</v>
      </c>
      <c r="AS44" t="s">
        <v>492</v>
      </c>
    </row>
    <row r="45" spans="1:45" x14ac:dyDescent="0.25">
      <c r="A45" t="s">
        <v>29</v>
      </c>
      <c r="B45" t="s">
        <v>496</v>
      </c>
      <c r="C45" t="s">
        <v>364</v>
      </c>
      <c r="D45" t="s">
        <v>373</v>
      </c>
      <c r="E45" t="s">
        <v>376</v>
      </c>
      <c r="F45">
        <v>1911</v>
      </c>
      <c r="G45">
        <v>1914</v>
      </c>
      <c r="J45">
        <v>1250</v>
      </c>
      <c r="K45">
        <v>21</v>
      </c>
      <c r="L45">
        <v>26</v>
      </c>
      <c r="M45">
        <v>2</v>
      </c>
      <c r="N45">
        <v>180</v>
      </c>
      <c r="O45" s="5">
        <f>((($W45/2)/60)*5280)/($P45*3.2*PI())</f>
        <v>123.28904042329923</v>
      </c>
      <c r="P45">
        <v>1.42</v>
      </c>
      <c r="Q45">
        <f>((($K45*$K45/4)*PI())*($L45/12)*$M45*$N45*$O45)/(33000*1.1)</f>
        <v>917.57362355953899</v>
      </c>
      <c r="R45">
        <v>75</v>
      </c>
      <c r="S45">
        <v>42</v>
      </c>
      <c r="U45">
        <v>139</v>
      </c>
      <c r="V45" s="4">
        <f t="shared" si="0"/>
        <v>0.1188034188034188</v>
      </c>
      <c r="W45">
        <v>40</v>
      </c>
      <c r="Y45">
        <v>18.809999999999999</v>
      </c>
      <c r="Z45">
        <v>11.31</v>
      </c>
      <c r="AD45" t="str">
        <f>CONCATENATE(VLOOKUP(AE45, 'Voxel Sizes'!$A$2:$B$18,2,FALSE),"x",INT(AA45*15), "x", INT(AB45*15))</f>
        <v>120x0x0</v>
      </c>
      <c r="AE45">
        <f t="shared" si="1"/>
        <v>7</v>
      </c>
      <c r="AF45" t="s">
        <v>412</v>
      </c>
      <c r="AG45" t="str">
        <f>CONCATENATE(VLOOKUP(AE45,'Articulated Lengths'!$A$2:$C$16,IF(AF45&lt;&gt;"", 3, 2), FALSE),IF(AF45&lt;&gt;"",CONCATENATE(",",VLOOKUP(AF45,$B$2:$AG$213,32,FALSE)),""))</f>
        <v>2,3,3,1,3,1</v>
      </c>
      <c r="AK45">
        <v>1</v>
      </c>
      <c r="AL45">
        <v>10</v>
      </c>
      <c r="AM45">
        <v>10</v>
      </c>
      <c r="AP45" t="str">
        <f>VLOOKUP(F45,Eras!$A$2:$C$12, 2, TRUE)</f>
        <v>edw</v>
      </c>
      <c r="AQ45" t="s">
        <v>440</v>
      </c>
      <c r="AR45" t="str">
        <f t="shared" si="8"/>
        <v>edw_Freight</v>
      </c>
      <c r="AS45" t="s">
        <v>497</v>
      </c>
    </row>
    <row r="46" spans="1:45" x14ac:dyDescent="0.25">
      <c r="A46" t="s">
        <v>504</v>
      </c>
      <c r="B46" t="s">
        <v>510</v>
      </c>
      <c r="C46" t="s">
        <v>364</v>
      </c>
      <c r="D46" t="s">
        <v>373</v>
      </c>
      <c r="E46" t="s">
        <v>376</v>
      </c>
      <c r="F46">
        <v>1912</v>
      </c>
      <c r="J46">
        <v>1050</v>
      </c>
      <c r="K46">
        <v>20</v>
      </c>
      <c r="L46">
        <v>26</v>
      </c>
      <c r="M46">
        <v>2</v>
      </c>
      <c r="N46">
        <v>180</v>
      </c>
      <c r="O46" s="5">
        <f>((($W46/2)/60)*5280)/($P46*3.2*PI())</f>
        <v>115.85543651542379</v>
      </c>
      <c r="P46">
        <v>1.7</v>
      </c>
      <c r="Q46">
        <f>((($K46*$K46/4)*PI())*($L46/12)*$M46*$N46*$O46)/(33000*1.1)</f>
        <v>782.08556149732613</v>
      </c>
      <c r="R46">
        <v>61</v>
      </c>
      <c r="U46">
        <v>104</v>
      </c>
      <c r="V46" s="4">
        <f t="shared" si="0"/>
        <v>0.17049180327868851</v>
      </c>
      <c r="W46">
        <v>45</v>
      </c>
      <c r="Y46">
        <v>14.4</v>
      </c>
      <c r="Z46">
        <v>10</v>
      </c>
      <c r="AD46" t="str">
        <f>CONCATENATE(VLOOKUP(AE46, 'Voxel Sizes'!$A$2:$B$18,2,FALSE),"x",INT(AA46*15), "x", INT(AB46*15))</f>
        <v>102x0x0</v>
      </c>
      <c r="AE46">
        <f t="shared" si="1"/>
        <v>6</v>
      </c>
      <c r="AF46" t="s">
        <v>512</v>
      </c>
      <c r="AG46" t="str">
        <f>CONCATENATE(VLOOKUP(AE46,'Articulated Lengths'!$A$2:$C$16,IF(AF46&lt;&gt;"", 3, 2), FALSE),IF(AF46&lt;&gt;"",CONCATENATE(",",VLOOKUP(AF46,$B$2:$AG$213,32,FALSE)),""))</f>
        <v>2,2,3,1,3,1</v>
      </c>
      <c r="AK46">
        <v>1</v>
      </c>
      <c r="AL46">
        <v>10</v>
      </c>
      <c r="AM46">
        <v>10</v>
      </c>
      <c r="AP46" t="str">
        <f>VLOOKUP(F46,Eras!$A$2:$C$12, 2, TRUE)</f>
        <v>edw</v>
      </c>
      <c r="AQ46" t="s">
        <v>440</v>
      </c>
      <c r="AR46" t="str">
        <f t="shared" si="8"/>
        <v>edw_Freight</v>
      </c>
      <c r="AS46" t="s">
        <v>503</v>
      </c>
    </row>
    <row r="47" spans="1:45" x14ac:dyDescent="0.25">
      <c r="A47" t="s">
        <v>70</v>
      </c>
      <c r="B47" t="s">
        <v>212</v>
      </c>
      <c r="C47" t="s">
        <v>364</v>
      </c>
      <c r="D47" t="s">
        <v>398</v>
      </c>
      <c r="E47" t="s">
        <v>376</v>
      </c>
      <c r="F47">
        <v>1914</v>
      </c>
      <c r="G47">
        <v>1919</v>
      </c>
      <c r="H47">
        <v>1950</v>
      </c>
      <c r="J47">
        <v>1100</v>
      </c>
      <c r="R47">
        <v>76</v>
      </c>
      <c r="U47">
        <v>140</v>
      </c>
      <c r="V47" s="4">
        <f t="shared" si="0"/>
        <v>0.18421052631578946</v>
      </c>
      <c r="W47">
        <v>35</v>
      </c>
      <c r="Y47">
        <v>12</v>
      </c>
      <c r="Z47">
        <v>12</v>
      </c>
      <c r="AD47" t="str">
        <f>CONCATENATE(VLOOKUP(AE47, 'Voxel Sizes'!$A$2:$B$18,2,FALSE),"x",INT(AA47*15), "x", INT(AB47*15))</f>
        <v>120x0x0</v>
      </c>
      <c r="AE47">
        <f t="shared" si="1"/>
        <v>7</v>
      </c>
      <c r="AG47" t="str">
        <f>CONCATENATE(VLOOKUP(AE47,'Articulated Lengths'!$A$2:$C$16,IF(AF47&lt;&gt;"", 3, 2), FALSE),IF(AF47&lt;&gt;"",CONCATENATE(",",VLOOKUP(AF47,$B$2:$AG$213,32,FALSE)),""))</f>
        <v>2,3,2</v>
      </c>
      <c r="AL47">
        <v>10</v>
      </c>
      <c r="AM47">
        <v>10</v>
      </c>
      <c r="AP47" t="str">
        <f>VLOOKUP(F47,Eras!$A$2:$C$12, 2, TRUE)</f>
        <v>edw</v>
      </c>
      <c r="AQ47" t="s">
        <v>450</v>
      </c>
      <c r="AR47" t="str">
        <f t="shared" si="8"/>
        <v>edw_Freight (Electric)</v>
      </c>
      <c r="AS47" t="s">
        <v>513</v>
      </c>
    </row>
    <row r="48" spans="1:45" x14ac:dyDescent="0.25">
      <c r="A48" t="s">
        <v>514</v>
      </c>
      <c r="B48" t="s">
        <v>516</v>
      </c>
      <c r="C48" t="s">
        <v>526</v>
      </c>
      <c r="D48" t="s">
        <v>398</v>
      </c>
      <c r="E48" t="s">
        <v>406</v>
      </c>
      <c r="F48">
        <v>1914</v>
      </c>
      <c r="H48">
        <v>1960</v>
      </c>
      <c r="I48">
        <v>3</v>
      </c>
      <c r="J48">
        <v>1000</v>
      </c>
      <c r="R48">
        <v>117</v>
      </c>
      <c r="U48">
        <v>112</v>
      </c>
      <c r="V48" s="4">
        <f t="shared" si="0"/>
        <v>9.5726495726495733E-2</v>
      </c>
      <c r="W48">
        <v>60</v>
      </c>
      <c r="Z48">
        <v>17.7</v>
      </c>
      <c r="AC48">
        <v>45</v>
      </c>
      <c r="AD48" t="str">
        <f>CONCATENATE(VLOOKUP(AE48, 'Voxel Sizes'!$A$2:$B$18,2,FALSE),"x",INT(AA48*15), "x", INT(AB48*15))</f>
        <v>164x0x0</v>
      </c>
      <c r="AE48">
        <f t="shared" si="1"/>
        <v>10</v>
      </c>
      <c r="AG48" t="str">
        <f>CONCATENATE(VLOOKUP(AE48,'Articulated Lengths'!$A$2:$C$16,IF(AF48&lt;&gt;"", 3, 2), FALSE),IF(AF48&lt;&gt;"",CONCATENATE(",",VLOOKUP(AF48,$B$2:$AG$213,32,FALSE)),""))</f>
        <v>3,4,3</v>
      </c>
      <c r="AH48" t="s">
        <v>527</v>
      </c>
      <c r="AI48" t="s">
        <v>525</v>
      </c>
      <c r="AL48">
        <v>10</v>
      </c>
      <c r="AM48">
        <v>10</v>
      </c>
      <c r="AO48" t="s">
        <v>385</v>
      </c>
      <c r="AP48" t="str">
        <f>VLOOKUP(F48,Eras!$A$2:$C$12, 2, TRUE)</f>
        <v>edw</v>
      </c>
      <c r="AQ48" t="s">
        <v>444</v>
      </c>
      <c r="AR48" t="str">
        <f t="shared" si="8"/>
        <v>edw_EMU</v>
      </c>
      <c r="AS48" t="s">
        <v>515</v>
      </c>
    </row>
    <row r="49" spans="1:45" x14ac:dyDescent="0.25">
      <c r="A49" t="s">
        <v>38</v>
      </c>
      <c r="B49" t="s">
        <v>213</v>
      </c>
      <c r="C49" t="s">
        <v>195</v>
      </c>
      <c r="E49" t="s">
        <v>376</v>
      </c>
      <c r="F49">
        <v>1921</v>
      </c>
      <c r="G49">
        <v>1922</v>
      </c>
      <c r="R49">
        <v>63</v>
      </c>
      <c r="S49">
        <v>41</v>
      </c>
      <c r="U49">
        <v>125</v>
      </c>
      <c r="V49" s="4">
        <f t="shared" si="0"/>
        <v>0.1201923076923077</v>
      </c>
      <c r="AD49" t="str">
        <f>CONCATENATE(VLOOKUP(AE49, 'Voxel Sizes'!$A$2:$B$18,2,FALSE),"x",INT(AA49*15), "x", INT(AB49*15))</f>
        <v>0x0x0</v>
      </c>
      <c r="AE49">
        <f t="shared" si="1"/>
        <v>0</v>
      </c>
      <c r="AG49" t="str">
        <f>CONCATENATE(VLOOKUP(AE49,'Articulated Lengths'!$A$2:$C$16,IF(AF49&lt;&gt;"", 3, 2), FALSE),IF(AF49&lt;&gt;"",CONCATENATE(",",VLOOKUP(AF49,$B$2:$AG$213,32,FALSE)),""))</f>
        <v>na</v>
      </c>
      <c r="AL49">
        <v>10</v>
      </c>
      <c r="AM49">
        <v>10</v>
      </c>
      <c r="AP49" t="str">
        <f>VLOOKUP(F49,Eras!$A$2:$C$12, 2, TRUE)</f>
        <v>edw</v>
      </c>
      <c r="AR49" t="str">
        <f t="shared" si="8"/>
        <v>edw_</v>
      </c>
    </row>
    <row r="50" spans="1:45" x14ac:dyDescent="0.25">
      <c r="A50" t="s">
        <v>24</v>
      </c>
      <c r="B50" t="s">
        <v>214</v>
      </c>
      <c r="C50" t="s">
        <v>195</v>
      </c>
      <c r="E50" t="s">
        <v>376</v>
      </c>
      <c r="F50">
        <v>1922</v>
      </c>
      <c r="G50">
        <v>1924</v>
      </c>
      <c r="U50">
        <v>119</v>
      </c>
      <c r="V50" s="4" t="str">
        <f t="shared" si="0"/>
        <v/>
      </c>
      <c r="AD50" t="str">
        <f>CONCATENATE(VLOOKUP(AE50, 'Voxel Sizes'!$A$2:$B$18,2,FALSE),"x",INT(AA50*15), "x", INT(AB50*15))</f>
        <v>0x0x0</v>
      </c>
      <c r="AE50">
        <f t="shared" si="1"/>
        <v>0</v>
      </c>
      <c r="AG50" t="str">
        <f>CONCATENATE(VLOOKUP(AE50,'Articulated Lengths'!$A$2:$C$16,IF(AF50&lt;&gt;"", 3, 2), FALSE),IF(AF50&lt;&gt;"",CONCATENATE(",",VLOOKUP(AF50,$B$2:$AG$213,32,FALSE)),""))</f>
        <v>na</v>
      </c>
      <c r="AL50">
        <v>10</v>
      </c>
      <c r="AM50">
        <v>10</v>
      </c>
      <c r="AP50" t="str">
        <f>VLOOKUP(F50,Eras!$A$2:$C$12, 2, TRUE)</f>
        <v>edw</v>
      </c>
      <c r="AR50" t="str">
        <f t="shared" si="8"/>
        <v>edw_</v>
      </c>
    </row>
    <row r="51" spans="1:45" x14ac:dyDescent="0.25">
      <c r="A51" t="s">
        <v>11</v>
      </c>
      <c r="B51" t="s">
        <v>215</v>
      </c>
      <c r="C51" t="s">
        <v>364</v>
      </c>
      <c r="D51" t="s">
        <v>373</v>
      </c>
      <c r="E51" t="s">
        <v>376</v>
      </c>
      <c r="F51">
        <v>1923</v>
      </c>
      <c r="H51">
        <v>1966</v>
      </c>
      <c r="J51">
        <v>950</v>
      </c>
      <c r="K51">
        <v>20</v>
      </c>
      <c r="L51">
        <v>26</v>
      </c>
      <c r="M51">
        <v>2</v>
      </c>
      <c r="N51">
        <v>175</v>
      </c>
      <c r="O51" s="5">
        <f>((($W51/2)/60)*5280)/($P51*3.2*PI())</f>
        <v>150.4511571415573</v>
      </c>
      <c r="P51">
        <v>1.6</v>
      </c>
      <c r="Q51">
        <f>((($K51*$K51/4)*PI())*($L51/12)*$M51*$N51*$O51)/(33000*1.1)</f>
        <v>987.41319444444446</v>
      </c>
      <c r="R51">
        <f>49.5+41.8</f>
        <v>91.3</v>
      </c>
      <c r="U51">
        <v>109</v>
      </c>
      <c r="V51" s="4">
        <f t="shared" si="0"/>
        <v>0.11938663745892661</v>
      </c>
      <c r="W51">
        <v>55</v>
      </c>
      <c r="Y51">
        <v>15.8</v>
      </c>
      <c r="Z51">
        <v>10</v>
      </c>
      <c r="AD51" t="str">
        <f>CONCATENATE(VLOOKUP(AE51, 'Voxel Sizes'!$A$2:$B$18,2,FALSE),"x",INT(AA51*15), "x", INT(AB51*15))</f>
        <v>102x0x0</v>
      </c>
      <c r="AE51">
        <f t="shared" si="1"/>
        <v>6</v>
      </c>
      <c r="AF51" t="s">
        <v>412</v>
      </c>
      <c r="AG51" t="str">
        <f>CONCATENATE(VLOOKUP(AE51,'Articulated Lengths'!$A$2:$C$16,IF(AF51&lt;&gt;"", 3, 2), FALSE),IF(AF51&lt;&gt;"",CONCATENATE(",",VLOOKUP(AF51,$B$2:$AG$213,32,FALSE)),""))</f>
        <v>2,2,3,1,3,1</v>
      </c>
      <c r="AK51">
        <v>1</v>
      </c>
      <c r="AL51">
        <v>10</v>
      </c>
      <c r="AM51">
        <v>10</v>
      </c>
      <c r="AP51" t="str">
        <f>VLOOKUP(F51,Eras!$A$2:$C$12, 2, TRUE)</f>
        <v>big4</v>
      </c>
      <c r="AQ51" t="s">
        <v>438</v>
      </c>
      <c r="AR51" t="str">
        <f t="shared" si="8"/>
        <v>big4_Mixed Traffic</v>
      </c>
      <c r="AS51" t="s">
        <v>540</v>
      </c>
    </row>
    <row r="52" spans="1:45" x14ac:dyDescent="0.25">
      <c r="A52" t="s">
        <v>541</v>
      </c>
      <c r="B52" t="s">
        <v>542</v>
      </c>
      <c r="C52" t="s">
        <v>364</v>
      </c>
      <c r="D52" t="s">
        <v>373</v>
      </c>
      <c r="E52" t="s">
        <v>376</v>
      </c>
      <c r="F52">
        <v>1923</v>
      </c>
      <c r="G52">
        <v>1950</v>
      </c>
      <c r="H52">
        <v>1950</v>
      </c>
      <c r="J52">
        <v>1900</v>
      </c>
      <c r="K52">
        <v>16</v>
      </c>
      <c r="L52">
        <v>26</v>
      </c>
      <c r="M52">
        <v>4</v>
      </c>
      <c r="N52">
        <v>225</v>
      </c>
      <c r="O52" s="5">
        <f>((($W52/2)/60)*5280)/($P52*3.2*PI())</f>
        <v>223.21480768638321</v>
      </c>
      <c r="P52">
        <v>2</v>
      </c>
      <c r="Q52">
        <f>((($K52*$K52/4)*PI())*($L52/12)*$M52*$N52*$O52)/(33000*1.1)</f>
        <v>2410.9090909090905</v>
      </c>
      <c r="R52">
        <v>81.099999999999994</v>
      </c>
      <c r="S52">
        <v>48</v>
      </c>
      <c r="U52">
        <v>141</v>
      </c>
      <c r="V52" s="4">
        <f t="shared" si="0"/>
        <v>0.10921766072811774</v>
      </c>
      <c r="W52">
        <v>102</v>
      </c>
      <c r="X52">
        <v>1</v>
      </c>
      <c r="Y52">
        <v>19.86</v>
      </c>
      <c r="Z52">
        <f>Y52-7.64</f>
        <v>12.219999999999999</v>
      </c>
      <c r="AB52">
        <v>4.07</v>
      </c>
      <c r="AD52" t="str">
        <f>CONCATENATE(VLOOKUP(AE52, 'Voxel Sizes'!$A$2:$B$18,2,FALSE),"x",INT(AA52*15), "x", INT(AB52*15))</f>
        <v>120x0x61</v>
      </c>
      <c r="AE52">
        <f t="shared" si="1"/>
        <v>7</v>
      </c>
      <c r="AF52" t="s">
        <v>544</v>
      </c>
      <c r="AG52" t="str">
        <f>CONCATENATE(VLOOKUP(AE52,'Articulated Lengths'!$A$2:$C$16,IF(AF52&lt;&gt;"", 3, 2), FALSE),IF(AF52&lt;&gt;"",CONCATENATE(",",VLOOKUP(AF52,$B$2:$AG$213,32,FALSE)),""))</f>
        <v>2,3,3,1,3,1</v>
      </c>
      <c r="AK52">
        <v>1</v>
      </c>
      <c r="AL52">
        <v>10</v>
      </c>
      <c r="AM52">
        <v>10</v>
      </c>
      <c r="AP52" t="str">
        <f>VLOOKUP(F52,Eras!$A$2:$C$12, 2, TRUE)</f>
        <v>big4</v>
      </c>
      <c r="AQ52" t="s">
        <v>439</v>
      </c>
      <c r="AR52" t="str">
        <f t="shared" si="8"/>
        <v>big4_Express</v>
      </c>
      <c r="AS52" t="s">
        <v>545</v>
      </c>
    </row>
    <row r="53" spans="1:45" x14ac:dyDescent="0.25">
      <c r="A53" t="s">
        <v>10</v>
      </c>
      <c r="B53" t="s">
        <v>216</v>
      </c>
      <c r="C53" t="s">
        <v>364</v>
      </c>
      <c r="D53" t="s">
        <v>373</v>
      </c>
      <c r="E53" t="s">
        <v>376</v>
      </c>
      <c r="F53">
        <v>1924</v>
      </c>
      <c r="J53">
        <v>650</v>
      </c>
      <c r="K53">
        <v>18</v>
      </c>
      <c r="L53">
        <v>26</v>
      </c>
      <c r="M53">
        <v>2</v>
      </c>
      <c r="N53">
        <v>160</v>
      </c>
      <c r="O53" s="5">
        <f>((($W53/2)/60)*5280)/($P53*3.2*PI())</f>
        <v>140.68160148301465</v>
      </c>
      <c r="P53">
        <v>1.4</v>
      </c>
      <c r="Q53">
        <f>((($K53*$K53/4)*PI())*($L53/12)*$M53*$N53*$O53)/(33000*1.1)</f>
        <v>683.76623376623365</v>
      </c>
      <c r="R53">
        <v>50.2</v>
      </c>
      <c r="U53">
        <v>93</v>
      </c>
      <c r="V53" s="4">
        <f t="shared" si="0"/>
        <v>0.1852589641434263</v>
      </c>
      <c r="W53">
        <v>45</v>
      </c>
      <c r="Y53">
        <v>9.57</v>
      </c>
      <c r="Z53">
        <v>9.57</v>
      </c>
      <c r="AD53" t="str">
        <f>CONCATENATE(VLOOKUP(AE53, 'Voxel Sizes'!$A$2:$B$18,2,FALSE),"x",INT(AA53*15), "x", INT(AB53*15))</f>
        <v>102x0x0</v>
      </c>
      <c r="AE53">
        <f t="shared" si="1"/>
        <v>6</v>
      </c>
      <c r="AG53" t="str">
        <f>CONCATENATE(VLOOKUP(AE53,'Articulated Lengths'!$A$2:$C$16,IF(AF53&lt;&gt;"", 3, 2), FALSE),IF(AF53&lt;&gt;"",CONCATENATE(",",VLOOKUP(AF53,$B$2:$AG$213,32,FALSE)),""))</f>
        <v>2,2,2</v>
      </c>
      <c r="AK53">
        <v>1</v>
      </c>
      <c r="AL53">
        <v>10</v>
      </c>
      <c r="AM53">
        <v>10</v>
      </c>
      <c r="AP53" t="str">
        <f>VLOOKUP(F53,Eras!$A$2:$C$12, 2, TRUE)</f>
        <v>big4</v>
      </c>
      <c r="AQ53" t="s">
        <v>437</v>
      </c>
      <c r="AR53" t="str">
        <f t="shared" si="8"/>
        <v>big4_Cheap</v>
      </c>
      <c r="AS53" t="s">
        <v>462</v>
      </c>
    </row>
    <row r="54" spans="1:45" x14ac:dyDescent="0.25">
      <c r="A54" t="s">
        <v>21</v>
      </c>
      <c r="B54" t="s">
        <v>217</v>
      </c>
      <c r="C54" t="s">
        <v>364</v>
      </c>
      <c r="D54" t="s">
        <v>373</v>
      </c>
      <c r="E54" t="s">
        <v>376</v>
      </c>
      <c r="F54">
        <v>1924</v>
      </c>
      <c r="G54">
        <v>1928</v>
      </c>
      <c r="J54">
        <v>900</v>
      </c>
      <c r="R54">
        <v>62</v>
      </c>
      <c r="U54">
        <v>115</v>
      </c>
      <c r="V54" s="4">
        <f t="shared" si="0"/>
        <v>0.18548387096774194</v>
      </c>
      <c r="W54">
        <v>50</v>
      </c>
      <c r="Y54">
        <v>11.43</v>
      </c>
      <c r="Z54">
        <v>11.43</v>
      </c>
      <c r="AD54" t="str">
        <f>CONCATENATE(VLOOKUP(AE54, 'Voxel Sizes'!$A$2:$B$18,2,FALSE),"x",INT(AA54*15), "x", INT(AB54*15))</f>
        <v>120x0x0</v>
      </c>
      <c r="AE54">
        <f t="shared" si="1"/>
        <v>7</v>
      </c>
      <c r="AG54" t="str">
        <f>CONCATENATE(VLOOKUP(AE54,'Articulated Lengths'!$A$2:$C$16,IF(AF54&lt;&gt;"", 3, 2), FALSE),IF(AF54&lt;&gt;"",CONCATENATE(",",VLOOKUP(AF54,$B$2:$AG$213,32,FALSE)),""))</f>
        <v>2,3,2</v>
      </c>
      <c r="AK54">
        <v>1</v>
      </c>
      <c r="AL54">
        <v>10</v>
      </c>
      <c r="AM54">
        <v>10</v>
      </c>
      <c r="AP54" t="str">
        <f>VLOOKUP(F54,Eras!$A$2:$C$12, 2, TRUE)</f>
        <v>big4</v>
      </c>
      <c r="AQ54" t="s">
        <v>438</v>
      </c>
      <c r="AR54" t="str">
        <f t="shared" si="8"/>
        <v>big4_Mixed Traffic</v>
      </c>
      <c r="AS54" t="s">
        <v>463</v>
      </c>
    </row>
    <row r="55" spans="1:45" x14ac:dyDescent="0.25">
      <c r="A55" t="s">
        <v>563</v>
      </c>
      <c r="B55" t="s">
        <v>564</v>
      </c>
      <c r="C55" t="s">
        <v>393</v>
      </c>
      <c r="E55" t="s">
        <v>376</v>
      </c>
      <c r="F55">
        <v>1925</v>
      </c>
      <c r="R55">
        <v>52</v>
      </c>
      <c r="V55" s="4" t="str">
        <f t="shared" si="0"/>
        <v/>
      </c>
      <c r="Y55">
        <v>7.64</v>
      </c>
      <c r="Z55">
        <v>8</v>
      </c>
      <c r="AD55" t="str">
        <f>CONCATENATE(VLOOKUP(AE55, 'Voxel Sizes'!$A$2:$B$18,2,FALSE),"x",INT(AA55*15), "x", INT(AB55*15))</f>
        <v>82x0x0</v>
      </c>
      <c r="AE55">
        <f t="shared" ref="AE55" si="9">ROUND(15*((Z55*10)/256),0)</f>
        <v>5</v>
      </c>
      <c r="AG55" t="str">
        <f>CONCATENATE(VLOOKUP(AE55,'Articulated Lengths'!$A$2:$C$16,IF(AF55&lt;&gt;"", 3, 2), FALSE),IF(AF55&lt;&gt;"",CONCATENATE(",",VLOOKUP(AF55,$B$2:$AG$213,32,FALSE)),""))</f>
        <v>1,3,1</v>
      </c>
      <c r="AP55" t="str">
        <f>VLOOKUP(F55,Eras!$A$2:$C$12, 2, TRUE)</f>
        <v>big4</v>
      </c>
      <c r="AR55" t="str">
        <f t="shared" ref="AR55" si="10">CONCATENATE(AP55,"_",AQ55)</f>
        <v>big4_</v>
      </c>
    </row>
    <row r="56" spans="1:45" x14ac:dyDescent="0.25">
      <c r="A56" t="s">
        <v>392</v>
      </c>
      <c r="B56" t="s">
        <v>391</v>
      </c>
      <c r="C56" t="s">
        <v>393</v>
      </c>
      <c r="E56" t="s">
        <v>376</v>
      </c>
      <c r="F56">
        <v>1925</v>
      </c>
      <c r="R56">
        <v>52</v>
      </c>
      <c r="V56" s="4" t="str">
        <f t="shared" si="0"/>
        <v/>
      </c>
      <c r="Y56">
        <v>7.64</v>
      </c>
      <c r="Z56">
        <v>8</v>
      </c>
      <c r="AD56" t="str">
        <f>CONCATENATE(VLOOKUP(AE56, 'Voxel Sizes'!$A$2:$B$18,2,FALSE),"x",INT(AA56*15), "x", INT(AB56*15))</f>
        <v>82x0x0</v>
      </c>
      <c r="AE56">
        <f t="shared" si="1"/>
        <v>5</v>
      </c>
      <c r="AG56" t="str">
        <f>CONCATENATE(VLOOKUP(AE56,'Articulated Lengths'!$A$2:$C$16,IF(AF56&lt;&gt;"", 3, 2), FALSE),IF(AF56&lt;&gt;"",CONCATENATE(",",VLOOKUP(AF56,$B$2:$AG$213,32,FALSE)),""))</f>
        <v>1,3,1</v>
      </c>
      <c r="AP56" t="str">
        <f>VLOOKUP(F56,Eras!$A$2:$C$12, 2, TRUE)</f>
        <v>big4</v>
      </c>
      <c r="AR56" t="str">
        <f t="shared" si="8"/>
        <v>big4_</v>
      </c>
    </row>
    <row r="57" spans="1:45" x14ac:dyDescent="0.25">
      <c r="A57" t="s">
        <v>395</v>
      </c>
      <c r="B57" t="s">
        <v>396</v>
      </c>
      <c r="C57" t="s">
        <v>393</v>
      </c>
      <c r="E57" t="s">
        <v>376</v>
      </c>
      <c r="F57">
        <v>1925</v>
      </c>
      <c r="R57">
        <v>52</v>
      </c>
      <c r="V57" s="4" t="str">
        <f t="shared" si="0"/>
        <v/>
      </c>
      <c r="Y57">
        <v>7.64</v>
      </c>
      <c r="Z57">
        <v>8</v>
      </c>
      <c r="AD57" t="str">
        <f>CONCATENATE(VLOOKUP(AE57, 'Voxel Sizes'!$A$2:$B$18,2,FALSE),"x",INT(AA57*15), "x", INT(AB57*15))</f>
        <v>82x0x0</v>
      </c>
      <c r="AE57">
        <f t="shared" si="1"/>
        <v>5</v>
      </c>
      <c r="AG57" t="str">
        <f>CONCATENATE(VLOOKUP(AE57,'Articulated Lengths'!$A$2:$C$16,IF(AF57&lt;&gt;"", 3, 2), FALSE),IF(AF57&lt;&gt;"",CONCATENATE(",",VLOOKUP(AF57,$B$2:$AG$213,32,FALSE)),""))</f>
        <v>1,3,1</v>
      </c>
      <c r="AP57" t="str">
        <f>VLOOKUP(F57,Eras!$A$2:$C$12, 2, TRUE)</f>
        <v>big4</v>
      </c>
      <c r="AR57" t="str">
        <f t="shared" si="8"/>
        <v>big4_</v>
      </c>
    </row>
    <row r="58" spans="1:45" x14ac:dyDescent="0.25">
      <c r="A58" t="s">
        <v>31</v>
      </c>
      <c r="B58" t="s">
        <v>397</v>
      </c>
      <c r="C58" t="s">
        <v>364</v>
      </c>
      <c r="D58" t="s">
        <v>373</v>
      </c>
      <c r="E58" t="s">
        <v>376</v>
      </c>
      <c r="F58">
        <v>1926</v>
      </c>
      <c r="G58">
        <v>1932</v>
      </c>
      <c r="J58">
        <v>1400</v>
      </c>
      <c r="K58">
        <v>21</v>
      </c>
      <c r="L58">
        <v>26</v>
      </c>
      <c r="M58">
        <v>2</v>
      </c>
      <c r="N58">
        <v>180</v>
      </c>
      <c r="O58" s="5">
        <f t="shared" ref="O58:O66" si="11">((($W58/2)/60)*5280)/($P58*3.2*PI())</f>
        <v>191.48329090743655</v>
      </c>
      <c r="P58">
        <v>1.6</v>
      </c>
      <c r="Q58">
        <f t="shared" ref="Q58:Q66" si="12">((($K58*$K58/4)*PI())*($L58/12)*$M58*$N58*$O58)/(33000*1.1)</f>
        <v>1425.1065340909088</v>
      </c>
      <c r="R58">
        <v>67</v>
      </c>
      <c r="S58">
        <v>46</v>
      </c>
      <c r="U58">
        <v>118</v>
      </c>
      <c r="V58" s="4">
        <f t="shared" si="0"/>
        <v>0.10442477876106195</v>
      </c>
      <c r="W58">
        <v>70</v>
      </c>
      <c r="Y58">
        <v>10.44</v>
      </c>
      <c r="Z58">
        <v>10.44</v>
      </c>
      <c r="AD58" t="str">
        <f>CONCATENATE(VLOOKUP(AE58, 'Voxel Sizes'!$A$2:$B$18,2,FALSE),"x",INT(AA58*15), "x", INT(AB58*15))</f>
        <v>102x0x0</v>
      </c>
      <c r="AE58">
        <f t="shared" si="1"/>
        <v>6</v>
      </c>
      <c r="AF58" t="s">
        <v>391</v>
      </c>
      <c r="AG58" t="str">
        <f>CONCATENATE(VLOOKUP(AE58,'Articulated Lengths'!$A$2:$C$16,IF(AF58&lt;&gt;"", 3, 2), FALSE),IF(AF58&lt;&gt;"",CONCATENATE(",",VLOOKUP(AF58,$B$2:$AG$213,32,FALSE)),""))</f>
        <v>2,2,3,1,3,1</v>
      </c>
      <c r="AK58">
        <v>1</v>
      </c>
      <c r="AL58">
        <v>10</v>
      </c>
      <c r="AM58">
        <v>10</v>
      </c>
      <c r="AP58" t="str">
        <f>VLOOKUP(F58,Eras!$A$2:$C$12, 2, TRUE)</f>
        <v>big4</v>
      </c>
      <c r="AQ58" t="s">
        <v>439</v>
      </c>
      <c r="AR58" t="str">
        <f t="shared" si="8"/>
        <v>big4_Express</v>
      </c>
      <c r="AS58" t="s">
        <v>464</v>
      </c>
    </row>
    <row r="59" spans="1:45" x14ac:dyDescent="0.25">
      <c r="A59" t="s">
        <v>173</v>
      </c>
      <c r="B59" t="s">
        <v>547</v>
      </c>
      <c r="C59" t="s">
        <v>364</v>
      </c>
      <c r="D59" t="s">
        <v>373</v>
      </c>
      <c r="E59" t="s">
        <v>376</v>
      </c>
      <c r="F59">
        <v>1927</v>
      </c>
      <c r="H59">
        <v>1961</v>
      </c>
      <c r="J59">
        <v>1200</v>
      </c>
      <c r="K59">
        <v>17</v>
      </c>
      <c r="L59">
        <v>26</v>
      </c>
      <c r="M59">
        <v>3</v>
      </c>
      <c r="N59">
        <v>180</v>
      </c>
      <c r="O59" s="5">
        <f t="shared" si="11"/>
        <v>164.12853506351706</v>
      </c>
      <c r="P59">
        <v>2</v>
      </c>
      <c r="Q59">
        <f t="shared" si="12"/>
        <v>1200.7457386363637</v>
      </c>
      <c r="R59">
        <v>66</v>
      </c>
      <c r="S59">
        <v>53</v>
      </c>
      <c r="U59">
        <v>96</v>
      </c>
      <c r="V59" s="4">
        <f t="shared" si="0"/>
        <v>8.067226890756303E-2</v>
      </c>
      <c r="W59">
        <v>75</v>
      </c>
      <c r="Y59">
        <v>17.899999999999999</v>
      </c>
      <c r="Z59">
        <f>Y59-7.5</f>
        <v>10.399999999999999</v>
      </c>
      <c r="AD59" t="str">
        <f>CONCATENATE(VLOOKUP(AE59, 'Voxel Sizes'!$A$2:$B$18,2,FALSE),"x",INT(AA59*15), "x", INT(AB59*15))</f>
        <v>102x0x0</v>
      </c>
      <c r="AE59">
        <f t="shared" si="1"/>
        <v>6</v>
      </c>
      <c r="AF59" t="s">
        <v>512</v>
      </c>
      <c r="AG59" t="str">
        <f>CONCATENATE(VLOOKUP(AE59,'Articulated Lengths'!$A$2:$C$16,IF(AF59&lt;&gt;"", 3, 2), FALSE),IF(AF59&lt;&gt;"",CONCATENATE(",",VLOOKUP(AF59,$B$2:$AG$213,32,FALSE)),""))</f>
        <v>2,2,3,1,3,1</v>
      </c>
      <c r="AK59">
        <v>1</v>
      </c>
      <c r="AL59">
        <v>10</v>
      </c>
      <c r="AM59">
        <v>10</v>
      </c>
      <c r="AP59" t="str">
        <f>VLOOKUP(F59,Eras!$A$2:$C$12, 2, TRUE)</f>
        <v>big4</v>
      </c>
      <c r="AQ59" t="s">
        <v>488</v>
      </c>
      <c r="AR59" t="str">
        <f t="shared" si="8"/>
        <v>big4_Passenger</v>
      </c>
      <c r="AS59" t="s">
        <v>546</v>
      </c>
    </row>
    <row r="60" spans="1:45" x14ac:dyDescent="0.25">
      <c r="A60" t="s">
        <v>549</v>
      </c>
      <c r="B60" t="s">
        <v>548</v>
      </c>
      <c r="C60" t="s">
        <v>364</v>
      </c>
      <c r="D60" t="s">
        <v>373</v>
      </c>
      <c r="E60" t="s">
        <v>376</v>
      </c>
      <c r="F60">
        <v>1927</v>
      </c>
      <c r="G60">
        <v>1936</v>
      </c>
      <c r="H60">
        <v>1962</v>
      </c>
      <c r="J60">
        <v>2300</v>
      </c>
      <c r="K60">
        <v>16.25</v>
      </c>
      <c r="L60">
        <v>28</v>
      </c>
      <c r="M60">
        <v>4</v>
      </c>
      <c r="N60">
        <v>250</v>
      </c>
      <c r="O60" s="5">
        <f t="shared" si="11"/>
        <v>232.10095867568069</v>
      </c>
      <c r="P60">
        <v>1.98</v>
      </c>
      <c r="Q60">
        <f t="shared" si="12"/>
        <v>3094.166690580043</v>
      </c>
      <c r="R60">
        <v>90.4</v>
      </c>
      <c r="U60">
        <v>179</v>
      </c>
      <c r="V60" s="4">
        <f t="shared" si="0"/>
        <v>0.19800884955752213</v>
      </c>
      <c r="W60">
        <v>105</v>
      </c>
      <c r="Y60">
        <v>20.78</v>
      </c>
      <c r="Z60">
        <f>Y60-7.5</f>
        <v>13.280000000000001</v>
      </c>
      <c r="AB60">
        <v>4.08</v>
      </c>
      <c r="AD60" t="str">
        <f>CONCATENATE(VLOOKUP(AE60, 'Voxel Sizes'!$A$2:$B$18,2,FALSE),"x",INT(AA60*15), "x", INT(AB60*15))</f>
        <v>136x0x61</v>
      </c>
      <c r="AE60">
        <f t="shared" si="1"/>
        <v>8</v>
      </c>
      <c r="AF60" t="s">
        <v>544</v>
      </c>
      <c r="AG60" t="str">
        <f>CONCATENATE(VLOOKUP(AE60,'Articulated Lengths'!$A$2:$C$16,IF(AF60&lt;&gt;"", 3, 2), FALSE),IF(AF60&lt;&gt;"",CONCATENATE(",",VLOOKUP(AF60,$B$2:$AG$213,32,FALSE)),""))</f>
        <v>2,4,3,1,3,1</v>
      </c>
      <c r="AK60">
        <v>1</v>
      </c>
      <c r="AL60">
        <v>10</v>
      </c>
      <c r="AM60">
        <v>10</v>
      </c>
      <c r="AP60" t="str">
        <f>VLOOKUP(F60,Eras!$A$2:$C$12, 2, TRUE)</f>
        <v>big4</v>
      </c>
      <c r="AQ60" t="s">
        <v>439</v>
      </c>
      <c r="AR60" t="str">
        <f t="shared" si="8"/>
        <v>big4_Express</v>
      </c>
      <c r="AS60" t="s">
        <v>550</v>
      </c>
    </row>
    <row r="61" spans="1:45" x14ac:dyDescent="0.25">
      <c r="A61" t="s">
        <v>34</v>
      </c>
      <c r="B61" t="s">
        <v>552</v>
      </c>
      <c r="C61" t="s">
        <v>364</v>
      </c>
      <c r="D61" t="s">
        <v>373</v>
      </c>
      <c r="E61" t="s">
        <v>376</v>
      </c>
      <c r="F61">
        <v>1927</v>
      </c>
      <c r="G61">
        <v>1934</v>
      </c>
      <c r="H61">
        <v>1966</v>
      </c>
      <c r="J61">
        <v>950</v>
      </c>
      <c r="K61">
        <v>19</v>
      </c>
      <c r="L61">
        <v>26</v>
      </c>
      <c r="M61">
        <v>2</v>
      </c>
      <c r="N61">
        <v>200</v>
      </c>
      <c r="O61" s="5">
        <f t="shared" si="11"/>
        <v>205.96522047186451</v>
      </c>
      <c r="P61">
        <v>1.7</v>
      </c>
      <c r="Q61">
        <f t="shared" si="12"/>
        <v>1394.2364824717758</v>
      </c>
      <c r="R61">
        <v>87.6</v>
      </c>
      <c r="U61">
        <v>102</v>
      </c>
      <c r="V61" s="4">
        <f t="shared" si="0"/>
        <v>0.11643835616438356</v>
      </c>
      <c r="W61">
        <v>80</v>
      </c>
      <c r="Y61">
        <v>14.4</v>
      </c>
      <c r="Z61">
        <v>14.4</v>
      </c>
      <c r="AD61" t="str">
        <f>CONCATENATE(VLOOKUP(AE61, 'Voxel Sizes'!$A$2:$B$18,2,FALSE),"x",INT(AA61*15), "x", INT(AB61*15))</f>
        <v>136x0x0</v>
      </c>
      <c r="AE61">
        <f t="shared" si="1"/>
        <v>8</v>
      </c>
      <c r="AG61" t="str">
        <f>CONCATENATE(VLOOKUP(AE61,'Articulated Lengths'!$A$2:$C$16,IF(AF61&lt;&gt;"", 3, 2), FALSE),IF(AF61&lt;&gt;"",CONCATENATE(",",VLOOKUP(AF61,$B$2:$AG$213,32,FALSE)),""))</f>
        <v>2,4,2</v>
      </c>
      <c r="AK61">
        <v>1</v>
      </c>
      <c r="AL61">
        <v>10</v>
      </c>
      <c r="AM61">
        <v>10</v>
      </c>
      <c r="AP61" t="str">
        <f>VLOOKUP(F61,Eras!$A$2:$C$12, 2, TRUE)</f>
        <v>big4</v>
      </c>
      <c r="AQ61" t="s">
        <v>438</v>
      </c>
      <c r="AR61" t="str">
        <f t="shared" si="8"/>
        <v>big4_Mixed Traffic</v>
      </c>
      <c r="AS61" t="s">
        <v>551</v>
      </c>
    </row>
    <row r="62" spans="1:45" x14ac:dyDescent="0.25">
      <c r="A62" t="s">
        <v>553</v>
      </c>
      <c r="B62" t="s">
        <v>555</v>
      </c>
      <c r="C62" t="s">
        <v>364</v>
      </c>
      <c r="D62" t="s">
        <v>373</v>
      </c>
      <c r="E62" t="s">
        <v>376</v>
      </c>
      <c r="F62">
        <v>1928</v>
      </c>
      <c r="G62">
        <v>1943</v>
      </c>
      <c r="H62">
        <v>1965</v>
      </c>
      <c r="J62">
        <v>1600</v>
      </c>
      <c r="K62">
        <v>18.5</v>
      </c>
      <c r="L62">
        <v>30</v>
      </c>
      <c r="M62">
        <v>2</v>
      </c>
      <c r="N62">
        <v>225</v>
      </c>
      <c r="O62" s="5">
        <f t="shared" si="11"/>
        <v>194.52270822342763</v>
      </c>
      <c r="P62">
        <v>1.8</v>
      </c>
      <c r="Q62">
        <f t="shared" si="12"/>
        <v>1620.501893939394</v>
      </c>
      <c r="R62">
        <v>76.2</v>
      </c>
      <c r="S62">
        <v>47</v>
      </c>
      <c r="U62">
        <v>121</v>
      </c>
      <c r="V62" s="4">
        <f t="shared" si="0"/>
        <v>9.8214285714285712E-2</v>
      </c>
      <c r="W62">
        <v>80</v>
      </c>
      <c r="Y62">
        <v>19.2</v>
      </c>
      <c r="Z62">
        <f>Y62-7.5</f>
        <v>11.7</v>
      </c>
      <c r="AB62">
        <v>4.04</v>
      </c>
      <c r="AD62" t="str">
        <f>CONCATENATE(VLOOKUP(AE62, 'Voxel Sizes'!$A$2:$B$18,2,FALSE),"x",INT(AA62*15), "x", INT(AB62*15))</f>
        <v>120x0x60</v>
      </c>
      <c r="AE62">
        <f t="shared" si="1"/>
        <v>7</v>
      </c>
      <c r="AF62" t="s">
        <v>544</v>
      </c>
      <c r="AG62" t="str">
        <f>CONCATENATE(VLOOKUP(AE62,'Articulated Lengths'!$A$2:$C$16,IF(AF62&lt;&gt;"", 3, 2), FALSE),IF(AF62&lt;&gt;"",CONCATENATE(",",VLOOKUP(AF62,$B$2:$AG$213,32,FALSE)),""))</f>
        <v>2,3,3,1,3,1</v>
      </c>
      <c r="AK62">
        <v>1</v>
      </c>
      <c r="AL62">
        <v>10</v>
      </c>
      <c r="AM62">
        <v>10</v>
      </c>
      <c r="AP62" t="str">
        <f>VLOOKUP(F62,Eras!$A$2:$C$12, 2, TRUE)</f>
        <v>big4</v>
      </c>
      <c r="AQ62" t="s">
        <v>438</v>
      </c>
      <c r="AR62" t="str">
        <f t="shared" si="8"/>
        <v>big4_Mixed Traffic</v>
      </c>
      <c r="AS62" t="s">
        <v>554</v>
      </c>
    </row>
    <row r="63" spans="1:45" x14ac:dyDescent="0.25">
      <c r="A63" t="s">
        <v>26</v>
      </c>
      <c r="B63" t="s">
        <v>557</v>
      </c>
      <c r="C63" t="s">
        <v>364</v>
      </c>
      <c r="D63" t="s">
        <v>373</v>
      </c>
      <c r="E63" t="s">
        <v>376</v>
      </c>
      <c r="F63">
        <v>1928</v>
      </c>
      <c r="G63">
        <v>1935</v>
      </c>
      <c r="H63">
        <v>1966</v>
      </c>
      <c r="J63">
        <v>2100</v>
      </c>
      <c r="K63">
        <v>19</v>
      </c>
      <c r="L63">
        <v>26</v>
      </c>
      <c r="M63">
        <v>3</v>
      </c>
      <c r="N63">
        <v>220</v>
      </c>
      <c r="O63" s="5">
        <f t="shared" si="11"/>
        <v>236.34509049146459</v>
      </c>
      <c r="P63">
        <v>2</v>
      </c>
      <c r="Q63">
        <f t="shared" si="12"/>
        <v>2639.8124999999995</v>
      </c>
      <c r="R63">
        <v>92.8</v>
      </c>
      <c r="S63">
        <v>54</v>
      </c>
      <c r="U63">
        <v>146</v>
      </c>
      <c r="V63" s="4">
        <f t="shared" si="0"/>
        <v>9.9455040871934602E-2</v>
      </c>
      <c r="W63">
        <v>108</v>
      </c>
      <c r="X63">
        <v>1</v>
      </c>
      <c r="Y63">
        <v>21.46</v>
      </c>
      <c r="Z63">
        <f>Y63-7.5</f>
        <v>13.96</v>
      </c>
      <c r="AD63" t="str">
        <f>CONCATENATE(VLOOKUP(AE63, 'Voxel Sizes'!$A$2:$B$18,2,FALSE),"x",INT(AA63*15), "x", INT(AB63*15))</f>
        <v>136x0x0</v>
      </c>
      <c r="AE63">
        <f t="shared" si="1"/>
        <v>8</v>
      </c>
      <c r="AF63" t="s">
        <v>559</v>
      </c>
      <c r="AG63" t="str">
        <f>CONCATENATE(VLOOKUP(AE63,'Articulated Lengths'!$A$2:$C$16,IF(AF63&lt;&gt;"", 3, 2), FALSE),IF(AF63&lt;&gt;"",CONCATENATE(",",VLOOKUP(AF63,$B$2:$AG$213,32,FALSE)),""))</f>
        <v>2,4,3,1,3,1</v>
      </c>
      <c r="AK63">
        <v>1</v>
      </c>
      <c r="AL63">
        <v>10</v>
      </c>
      <c r="AM63">
        <v>10</v>
      </c>
      <c r="AP63" t="str">
        <f>VLOOKUP(F63,Eras!$A$2:$C$12, 2, TRUE)</f>
        <v>big4</v>
      </c>
      <c r="AQ63" t="s">
        <v>439</v>
      </c>
      <c r="AR63" t="str">
        <f t="shared" si="8"/>
        <v>big4_Express</v>
      </c>
      <c r="AS63" t="s">
        <v>556</v>
      </c>
    </row>
    <row r="64" spans="1:45" x14ac:dyDescent="0.25">
      <c r="A64" t="s">
        <v>22</v>
      </c>
      <c r="B64" t="s">
        <v>561</v>
      </c>
      <c r="C64" t="s">
        <v>364</v>
      </c>
      <c r="D64" t="s">
        <v>373</v>
      </c>
      <c r="E64" t="s">
        <v>376</v>
      </c>
      <c r="F64">
        <v>1929</v>
      </c>
      <c r="G64">
        <v>1950</v>
      </c>
      <c r="H64">
        <v>1971</v>
      </c>
      <c r="J64">
        <v>750</v>
      </c>
      <c r="K64">
        <v>17.5</v>
      </c>
      <c r="L64">
        <v>24</v>
      </c>
      <c r="M64">
        <v>2</v>
      </c>
      <c r="N64">
        <v>200</v>
      </c>
      <c r="O64" s="5">
        <f t="shared" si="11"/>
        <v>187.57546864401954</v>
      </c>
      <c r="P64">
        <v>1.4</v>
      </c>
      <c r="Q64">
        <f t="shared" si="12"/>
        <v>994.31818181818198</v>
      </c>
      <c r="R64">
        <v>48.3</v>
      </c>
      <c r="U64">
        <v>100</v>
      </c>
      <c r="V64" s="4">
        <f t="shared" si="0"/>
        <v>0.20703933747412009</v>
      </c>
      <c r="W64">
        <v>60</v>
      </c>
      <c r="X64">
        <v>1</v>
      </c>
      <c r="Y64">
        <v>9.5</v>
      </c>
      <c r="Z64">
        <v>9.5</v>
      </c>
      <c r="AB64">
        <v>3.7349999999999999</v>
      </c>
      <c r="AD64" t="str">
        <f>CONCATENATE(VLOOKUP(AE64, 'Voxel Sizes'!$A$2:$B$18,2,FALSE),"x",INT(AA64*15), "x", INT(AB64*15))</f>
        <v>102x0x56</v>
      </c>
      <c r="AE64">
        <f t="shared" si="1"/>
        <v>6</v>
      </c>
      <c r="AG64" t="str">
        <f>CONCATENATE(VLOOKUP(AE64,'Articulated Lengths'!$A$2:$C$16,IF(AF64&lt;&gt;"", 3, 2), FALSE),IF(AF64&lt;&gt;"",CONCATENATE(",",VLOOKUP(AF64,$B$2:$AG$213,32,FALSE)),""))</f>
        <v>2,2,2</v>
      </c>
      <c r="AK64">
        <v>1</v>
      </c>
      <c r="AL64">
        <v>10</v>
      </c>
      <c r="AM64">
        <v>10</v>
      </c>
      <c r="AP64" t="str">
        <f>VLOOKUP(F64,Eras!$A$2:$C$12, 2, TRUE)</f>
        <v>big4</v>
      </c>
      <c r="AQ64" t="s">
        <v>437</v>
      </c>
      <c r="AR64" t="str">
        <f t="shared" si="8"/>
        <v>big4_Cheap</v>
      </c>
      <c r="AS64" t="s">
        <v>560</v>
      </c>
    </row>
    <row r="65" spans="1:45" x14ac:dyDescent="0.25">
      <c r="A65" t="s">
        <v>35</v>
      </c>
      <c r="B65" t="s">
        <v>218</v>
      </c>
      <c r="C65" t="s">
        <v>364</v>
      </c>
      <c r="D65" t="s">
        <v>373</v>
      </c>
      <c r="E65" t="s">
        <v>376</v>
      </c>
      <c r="F65">
        <v>1930</v>
      </c>
      <c r="G65">
        <v>1935</v>
      </c>
      <c r="H65">
        <v>1961</v>
      </c>
      <c r="J65">
        <v>1750</v>
      </c>
      <c r="K65">
        <v>16.5</v>
      </c>
      <c r="L65">
        <v>26</v>
      </c>
      <c r="M65">
        <v>3</v>
      </c>
      <c r="N65">
        <v>220</v>
      </c>
      <c r="O65" s="5">
        <f t="shared" si="11"/>
        <v>207.89614441378828</v>
      </c>
      <c r="P65">
        <v>2</v>
      </c>
      <c r="Q65">
        <f t="shared" si="12"/>
        <v>1751.19140625</v>
      </c>
      <c r="R65">
        <v>68.2</v>
      </c>
      <c r="S65">
        <v>43.1</v>
      </c>
      <c r="U65">
        <v>111</v>
      </c>
      <c r="V65" s="4">
        <f t="shared" si="0"/>
        <v>9.9730458221024262E-2</v>
      </c>
      <c r="W65">
        <v>95</v>
      </c>
      <c r="Y65">
        <v>17.93</v>
      </c>
      <c r="Z65">
        <f>Y65-7.5</f>
        <v>10.43</v>
      </c>
      <c r="AB65">
        <v>3.96</v>
      </c>
      <c r="AD65" t="str">
        <f>CONCATENATE(VLOOKUP(AE65, 'Voxel Sizes'!$A$2:$B$18,2,FALSE),"x",INT(AA65*15), "x", INT(AB65*15))</f>
        <v>102x0x59</v>
      </c>
      <c r="AE65">
        <f t="shared" si="1"/>
        <v>6</v>
      </c>
      <c r="AF65" t="s">
        <v>564</v>
      </c>
      <c r="AG65" t="str">
        <f>CONCATENATE(VLOOKUP(AE65,'Articulated Lengths'!$A$2:$C$16,IF(AF65&lt;&gt;"", 3, 2), FALSE),IF(AF65&lt;&gt;"",CONCATENATE(",",VLOOKUP(AF65,$B$2:$AG$213,32,FALSE)),""))</f>
        <v>2,2,3,1,3,1</v>
      </c>
      <c r="AK65">
        <v>1</v>
      </c>
      <c r="AL65">
        <v>10</v>
      </c>
      <c r="AM65">
        <v>10</v>
      </c>
      <c r="AP65" t="str">
        <f>VLOOKUP(F65,Eras!$A$2:$C$12, 2, TRUE)</f>
        <v>big4</v>
      </c>
      <c r="AQ65" t="s">
        <v>439</v>
      </c>
      <c r="AR65" t="str">
        <f t="shared" si="8"/>
        <v>big4_Express</v>
      </c>
      <c r="AS65" t="s">
        <v>562</v>
      </c>
    </row>
    <row r="66" spans="1:45" x14ac:dyDescent="0.25">
      <c r="A66" t="s">
        <v>565</v>
      </c>
      <c r="B66" t="s">
        <v>567</v>
      </c>
      <c r="C66" t="s">
        <v>364</v>
      </c>
      <c r="D66" t="s">
        <v>373</v>
      </c>
      <c r="E66" t="s">
        <v>376</v>
      </c>
      <c r="F66">
        <v>1932</v>
      </c>
      <c r="G66">
        <v>1936</v>
      </c>
      <c r="H66">
        <v>1965</v>
      </c>
      <c r="J66">
        <v>600</v>
      </c>
      <c r="K66">
        <v>16</v>
      </c>
      <c r="L66">
        <v>24</v>
      </c>
      <c r="M66">
        <v>2</v>
      </c>
      <c r="N66">
        <v>165</v>
      </c>
      <c r="O66" s="5">
        <f t="shared" si="11"/>
        <v>218.83804675135607</v>
      </c>
      <c r="P66">
        <v>1.6</v>
      </c>
      <c r="Q66">
        <f t="shared" si="12"/>
        <v>799.99999999999977</v>
      </c>
      <c r="R66">
        <v>43</v>
      </c>
      <c r="U66">
        <v>62</v>
      </c>
      <c r="V66" s="4">
        <f t="shared" si="0"/>
        <v>0.14418604651162792</v>
      </c>
      <c r="W66">
        <v>80</v>
      </c>
      <c r="Y66">
        <v>9.1199999999999992</v>
      </c>
      <c r="Z66">
        <v>9.1199999999999992</v>
      </c>
      <c r="AB66">
        <v>3.82</v>
      </c>
      <c r="AD66" t="str">
        <f>CONCATENATE(VLOOKUP(AE66, 'Voxel Sizes'!$A$2:$B$18,2,FALSE),"x",INT(AA66*15), "x", INT(AB66*15))</f>
        <v>82x0x57</v>
      </c>
      <c r="AE66">
        <f t="shared" si="1"/>
        <v>5</v>
      </c>
      <c r="AG66" t="str">
        <f>CONCATENATE(VLOOKUP(AE66,'Articulated Lengths'!$A$2:$C$16,IF(AF66&lt;&gt;"", 3, 2), FALSE),IF(AF66&lt;&gt;"",CONCATENATE(",",VLOOKUP(AF66,$B$2:$AG$213,32,FALSE)),""))</f>
        <v>1,3,1</v>
      </c>
      <c r="AK66">
        <v>1</v>
      </c>
      <c r="AL66">
        <v>10</v>
      </c>
      <c r="AM66">
        <v>10</v>
      </c>
      <c r="AP66" t="str">
        <f>VLOOKUP(F66,Eras!$A$2:$C$12, 2, TRUE)</f>
        <v>big4</v>
      </c>
      <c r="AQ66" t="s">
        <v>437</v>
      </c>
      <c r="AR66" t="str">
        <f t="shared" si="8"/>
        <v>big4_Cheap</v>
      </c>
      <c r="AS66" t="s">
        <v>566</v>
      </c>
    </row>
    <row r="67" spans="1:45" x14ac:dyDescent="0.25">
      <c r="A67" t="s">
        <v>84</v>
      </c>
      <c r="B67" t="s">
        <v>316</v>
      </c>
      <c r="C67" t="s">
        <v>526</v>
      </c>
      <c r="D67" t="s">
        <v>398</v>
      </c>
      <c r="E67" t="s">
        <v>406</v>
      </c>
      <c r="F67">
        <v>1932</v>
      </c>
      <c r="H67">
        <v>1972</v>
      </c>
      <c r="I67">
        <v>5</v>
      </c>
      <c r="J67">
        <v>1800</v>
      </c>
      <c r="R67">
        <v>253</v>
      </c>
      <c r="U67">
        <v>145</v>
      </c>
      <c r="V67" s="4">
        <f t="shared" ref="V67:V72" si="13">IF(AND(R67&gt;0,U67&gt;0),(U67/((R67+S67)*10)),"")</f>
        <v>5.731225296442688E-2</v>
      </c>
      <c r="W67">
        <v>75</v>
      </c>
      <c r="Y67">
        <v>20.11</v>
      </c>
      <c r="Z67">
        <v>20.11</v>
      </c>
      <c r="AC67">
        <v>33</v>
      </c>
      <c r="AD67" t="str">
        <f>CONCATENATE(VLOOKUP(AE67, 'Voxel Sizes'!$A$2:$B$18,2,FALSE),"x",INT(AA67*15), "x", INT(AB67*15))</f>
        <v>198x0x0</v>
      </c>
      <c r="AE67">
        <f t="shared" si="1"/>
        <v>12</v>
      </c>
      <c r="AG67" t="str">
        <f>CONCATENATE(VLOOKUP(AE67,'Articulated Lengths'!$A$2:$C$16,IF(AF67&lt;&gt;"", 3, 2), FALSE),IF(AF67&lt;&gt;"",CONCATENATE(",",VLOOKUP(AF67,$B$2:$AG$213,32,FALSE)),""))</f>
        <v>3,6,3</v>
      </c>
      <c r="AH67" t="s">
        <v>569</v>
      </c>
      <c r="AI67" t="s">
        <v>572</v>
      </c>
      <c r="AL67">
        <v>10</v>
      </c>
      <c r="AM67">
        <v>10</v>
      </c>
      <c r="AO67" t="s">
        <v>385</v>
      </c>
      <c r="AP67" t="str">
        <f>VLOOKUP(F67,Eras!$A$2:$C$12, 2, TRUE)</f>
        <v>big4</v>
      </c>
      <c r="AQ67" t="s">
        <v>445</v>
      </c>
      <c r="AR67" t="str">
        <f t="shared" si="8"/>
        <v>big4_EMU (Express)</v>
      </c>
      <c r="AS67" t="s">
        <v>568</v>
      </c>
    </row>
    <row r="68" spans="1:45" x14ac:dyDescent="0.25">
      <c r="A68" t="s">
        <v>83</v>
      </c>
      <c r="B68" t="s">
        <v>244</v>
      </c>
      <c r="C68" t="s">
        <v>364</v>
      </c>
      <c r="D68" t="s">
        <v>374</v>
      </c>
      <c r="E68" t="s">
        <v>376</v>
      </c>
      <c r="F68">
        <v>1933</v>
      </c>
      <c r="G68">
        <v>1942</v>
      </c>
      <c r="H68">
        <v>1962</v>
      </c>
      <c r="J68">
        <v>260</v>
      </c>
      <c r="R68">
        <v>35</v>
      </c>
      <c r="U68">
        <v>55</v>
      </c>
      <c r="V68" s="4">
        <f t="shared" si="13"/>
        <v>0.15714285714285714</v>
      </c>
      <c r="W68">
        <v>63</v>
      </c>
      <c r="Y68">
        <v>18.399999999999999</v>
      </c>
      <c r="Z68">
        <v>17</v>
      </c>
      <c r="AC68">
        <v>69</v>
      </c>
      <c r="AD68" t="str">
        <f>CONCATENATE(VLOOKUP(AE68, 'Voxel Sizes'!$A$2:$B$18,2,FALSE),"x",INT(AA68*15), "x", INT(AB68*15))</f>
        <v>164x0x0</v>
      </c>
      <c r="AE68">
        <f t="shared" si="1"/>
        <v>10</v>
      </c>
      <c r="AG68" t="str">
        <f>CONCATENATE(VLOOKUP(AE68,'Articulated Lengths'!$A$2:$C$16,IF(AF68&lt;&gt;"", 3, 2), FALSE),IF(AF68&lt;&gt;"",CONCATENATE(",",VLOOKUP(AF68,$B$2:$AG$213,32,FALSE)),""))</f>
        <v>3,4,3</v>
      </c>
      <c r="AL68">
        <v>10</v>
      </c>
      <c r="AM68">
        <v>10</v>
      </c>
      <c r="AO68" t="s">
        <v>385</v>
      </c>
      <c r="AP68" t="str">
        <f>VLOOKUP(F68,Eras!$A$2:$C$12, 2, TRUE)</f>
        <v>big4</v>
      </c>
      <c r="AQ68" t="s">
        <v>441</v>
      </c>
      <c r="AR68" t="str">
        <f t="shared" si="8"/>
        <v>big4_DMU (Cheap)</v>
      </c>
      <c r="AS68" t="s">
        <v>573</v>
      </c>
    </row>
    <row r="69" spans="1:45" x14ac:dyDescent="0.25">
      <c r="A69" t="s">
        <v>30</v>
      </c>
      <c r="B69" t="s">
        <v>390</v>
      </c>
      <c r="C69" t="s">
        <v>364</v>
      </c>
      <c r="D69" t="s">
        <v>373</v>
      </c>
      <c r="E69" t="s">
        <v>376</v>
      </c>
      <c r="F69">
        <v>1934</v>
      </c>
      <c r="G69">
        <v>1951</v>
      </c>
      <c r="H69">
        <v>1967</v>
      </c>
      <c r="J69">
        <v>1250</v>
      </c>
      <c r="R69">
        <v>73.400000000000006</v>
      </c>
      <c r="S69">
        <v>46</v>
      </c>
      <c r="U69">
        <v>113</v>
      </c>
      <c r="V69" s="4">
        <f t="shared" si="13"/>
        <v>9.4639865996649919E-2</v>
      </c>
      <c r="W69">
        <v>92</v>
      </c>
      <c r="X69">
        <v>1</v>
      </c>
      <c r="Y69">
        <v>11.76</v>
      </c>
      <c r="Z69">
        <v>11.76</v>
      </c>
      <c r="AD69" t="str">
        <f>CONCATENATE(VLOOKUP(AE69, 'Voxel Sizes'!$A$2:$B$18,2,FALSE),"x",INT(AA69*15), "x", INT(AB69*15))</f>
        <v>120x0x0</v>
      </c>
      <c r="AE69">
        <f t="shared" ref="AE69:AE135" si="14">ROUND(15*((Z69*10)/256),0)</f>
        <v>7</v>
      </c>
      <c r="AF69" t="s">
        <v>396</v>
      </c>
      <c r="AG69" t="str">
        <f>CONCATENATE(VLOOKUP(AE69,'Articulated Lengths'!$A$2:$C$16,IF(AF69&lt;&gt;"", 3, 2), FALSE),IF(AF69&lt;&gt;"",CONCATENATE(",",VLOOKUP(AF69,$B$2:$AG$213,32,FALSE)),""))</f>
        <v>2,3,3,1,3,1</v>
      </c>
      <c r="AK69">
        <v>1</v>
      </c>
      <c r="AL69">
        <v>10</v>
      </c>
      <c r="AM69">
        <v>10</v>
      </c>
      <c r="AP69" t="str">
        <f>VLOOKUP(F69,Eras!$A$2:$C$12, 2, TRUE)</f>
        <v>big4</v>
      </c>
      <c r="AQ69" t="s">
        <v>438</v>
      </c>
      <c r="AR69" t="str">
        <f t="shared" si="8"/>
        <v>big4_Mixed Traffic</v>
      </c>
      <c r="AS69" t="s">
        <v>479</v>
      </c>
    </row>
    <row r="70" spans="1:45" x14ac:dyDescent="0.25">
      <c r="A70" t="s">
        <v>32</v>
      </c>
      <c r="B70" t="s">
        <v>389</v>
      </c>
      <c r="C70" t="s">
        <v>364</v>
      </c>
      <c r="D70" t="s">
        <v>373</v>
      </c>
      <c r="E70" t="s">
        <v>376</v>
      </c>
      <c r="F70">
        <v>1934</v>
      </c>
      <c r="G70">
        <v>1936</v>
      </c>
      <c r="H70">
        <v>1967</v>
      </c>
      <c r="J70">
        <v>1375</v>
      </c>
      <c r="R70">
        <v>80.8</v>
      </c>
      <c r="S70">
        <v>52</v>
      </c>
      <c r="U70">
        <v>118</v>
      </c>
      <c r="V70" s="4">
        <f t="shared" si="13"/>
        <v>8.8855421686746983E-2</v>
      </c>
      <c r="W70">
        <v>95</v>
      </c>
      <c r="X70">
        <v>1</v>
      </c>
      <c r="Y70">
        <v>12.09</v>
      </c>
      <c r="Z70">
        <v>12.09</v>
      </c>
      <c r="AD70" t="str">
        <f>CONCATENATE(VLOOKUP(AE70, 'Voxel Sizes'!$A$2:$B$18,2,FALSE),"x",INT(AA70*15), "x", INT(AB70*15))</f>
        <v>120x0x0</v>
      </c>
      <c r="AE70">
        <f t="shared" si="14"/>
        <v>7</v>
      </c>
      <c r="AF70" t="s">
        <v>391</v>
      </c>
      <c r="AG70" t="str">
        <f>CONCATENATE(VLOOKUP(AE70,'Articulated Lengths'!$A$2:$C$16,IF(AF70&lt;&gt;"", 3, 2), FALSE),IF(AF70&lt;&gt;"",CONCATENATE(",",VLOOKUP(AF70,$B$2:$AG$213,32,FALSE)),""))</f>
        <v>2,3,3,1,3,1</v>
      </c>
      <c r="AK70">
        <v>1</v>
      </c>
      <c r="AL70">
        <v>10</v>
      </c>
      <c r="AM70">
        <v>10</v>
      </c>
      <c r="AP70" t="str">
        <f>VLOOKUP(F70,Eras!$A$2:$C$12, 2, TRUE)</f>
        <v>big4</v>
      </c>
      <c r="AQ70" t="s">
        <v>439</v>
      </c>
      <c r="AR70" t="str">
        <f t="shared" si="8"/>
        <v>big4_Express</v>
      </c>
      <c r="AS70" t="s">
        <v>465</v>
      </c>
    </row>
    <row r="71" spans="1:45" x14ac:dyDescent="0.25">
      <c r="A71" t="s">
        <v>574</v>
      </c>
      <c r="B71" t="s">
        <v>219</v>
      </c>
      <c r="C71" t="s">
        <v>364</v>
      </c>
      <c r="D71" t="s">
        <v>373</v>
      </c>
      <c r="E71" t="s">
        <v>376</v>
      </c>
      <c r="F71">
        <v>1935</v>
      </c>
      <c r="H71">
        <v>1968</v>
      </c>
      <c r="J71">
        <v>1300</v>
      </c>
      <c r="R71">
        <v>73</v>
      </c>
      <c r="S71">
        <v>46</v>
      </c>
      <c r="U71">
        <v>144</v>
      </c>
      <c r="V71" s="4">
        <f t="shared" si="13"/>
        <v>0.12100840336134454</v>
      </c>
      <c r="W71">
        <v>70</v>
      </c>
      <c r="Y71">
        <v>19.22</v>
      </c>
      <c r="Z71">
        <f>19.22-7.46</f>
        <v>11.759999999999998</v>
      </c>
      <c r="AD71" t="str">
        <f>CONCATENATE(VLOOKUP(AE71, 'Voxel Sizes'!$A$2:$B$18,2,FALSE),"x",INT(AA71*15), "x", INT(AB71*15))</f>
        <v>120x0x0</v>
      </c>
      <c r="AE71">
        <f t="shared" si="14"/>
        <v>7</v>
      </c>
      <c r="AF71" t="s">
        <v>396</v>
      </c>
      <c r="AG71" t="str">
        <f>CONCATENATE(VLOOKUP(AE71,'Articulated Lengths'!$A$2:$C$16,IF(AF71&lt;&gt;"", 3, 2), FALSE),IF(AF71&lt;&gt;"",CONCATENATE(",",VLOOKUP(AF71,$B$2:$AG$213,32,FALSE)),""))</f>
        <v>2,3,3,1,3,1</v>
      </c>
      <c r="AK71">
        <v>1</v>
      </c>
      <c r="AL71">
        <v>10</v>
      </c>
      <c r="AM71">
        <v>10</v>
      </c>
      <c r="AP71" t="str">
        <f>VLOOKUP(F71,Eras!$A$2:$C$12, 2, TRUE)</f>
        <v>big4</v>
      </c>
      <c r="AQ71" t="s">
        <v>440</v>
      </c>
      <c r="AR71" t="str">
        <f t="shared" si="8"/>
        <v>big4_Freight</v>
      </c>
      <c r="AS71" t="s">
        <v>575</v>
      </c>
    </row>
    <row r="72" spans="1:45" x14ac:dyDescent="0.25">
      <c r="A72" t="s">
        <v>27</v>
      </c>
      <c r="B72" t="s">
        <v>577</v>
      </c>
      <c r="C72" t="s">
        <v>364</v>
      </c>
      <c r="D72" t="s">
        <v>373</v>
      </c>
      <c r="E72" t="s">
        <v>376</v>
      </c>
      <c r="F72">
        <v>1935</v>
      </c>
      <c r="G72">
        <v>1938</v>
      </c>
      <c r="H72">
        <v>1966</v>
      </c>
      <c r="J72">
        <v>2450</v>
      </c>
      <c r="R72">
        <v>104.6</v>
      </c>
      <c r="S72">
        <v>64</v>
      </c>
      <c r="U72">
        <v>157</v>
      </c>
      <c r="V72" s="4">
        <f t="shared" si="13"/>
        <v>9.3119810201660741E-2</v>
      </c>
      <c r="W72">
        <v>126</v>
      </c>
      <c r="X72">
        <v>1</v>
      </c>
      <c r="Y72">
        <v>21.65</v>
      </c>
      <c r="Z72">
        <f>Y72-7.5</f>
        <v>14.149999999999999</v>
      </c>
      <c r="AB72">
        <v>3.99</v>
      </c>
      <c r="AD72" t="str">
        <f>CONCATENATE(VLOOKUP(AE72, 'Voxel Sizes'!$A$2:$B$18,2,FALSE),"x",INT(AA72*15), "x", INT(AB72*15))</f>
        <v>136x0x59</v>
      </c>
      <c r="AE72">
        <f t="shared" si="14"/>
        <v>8</v>
      </c>
      <c r="AF72" t="s">
        <v>559</v>
      </c>
      <c r="AG72" t="str">
        <f>CONCATENATE(VLOOKUP(AE72,'Articulated Lengths'!$A$2:$C$16,IF(AF72&lt;&gt;"", 3, 2), FALSE),IF(AF72&lt;&gt;"",CONCATENATE(",",VLOOKUP(AF72,$B$2:$AG$213,32,FALSE)),""))</f>
        <v>2,4,3,1,3,1</v>
      </c>
      <c r="AK72">
        <v>1</v>
      </c>
      <c r="AL72">
        <v>10</v>
      </c>
      <c r="AM72">
        <v>10</v>
      </c>
      <c r="AP72" t="str">
        <f>VLOOKUP(F72,Eras!$A$2:$C$12, 2, TRUE)</f>
        <v>big4</v>
      </c>
      <c r="AQ72" t="s">
        <v>439</v>
      </c>
      <c r="AR72" t="str">
        <f t="shared" si="8"/>
        <v>big4_Express</v>
      </c>
      <c r="AS72" t="s">
        <v>576</v>
      </c>
    </row>
    <row r="73" spans="1:45" x14ac:dyDescent="0.25">
      <c r="A73" t="s">
        <v>14</v>
      </c>
      <c r="B73" t="s">
        <v>578</v>
      </c>
      <c r="C73" t="s">
        <v>364</v>
      </c>
      <c r="D73" t="s">
        <v>373</v>
      </c>
      <c r="E73" t="s">
        <v>376</v>
      </c>
      <c r="F73">
        <v>1936</v>
      </c>
      <c r="G73">
        <v>1944</v>
      </c>
      <c r="H73">
        <v>1966</v>
      </c>
      <c r="J73">
        <v>1900</v>
      </c>
      <c r="K73">
        <v>18.5</v>
      </c>
      <c r="L73">
        <v>26</v>
      </c>
      <c r="M73">
        <v>3</v>
      </c>
      <c r="N73">
        <v>220</v>
      </c>
      <c r="O73" s="5">
        <f t="shared" ref="O73:O74" si="15">((($W73/2)/60)*5280)/($P73*3.2*PI())</f>
        <v>216.509982424214</v>
      </c>
      <c r="P73">
        <v>1.88</v>
      </c>
      <c r="Q73">
        <f t="shared" ref="Q73:Q74" si="16">((($K73*$K73/4)*PI())*($L73/12)*$M73*$N73*$O73)/(33000*1.1)</f>
        <v>2292.6653922872338</v>
      </c>
      <c r="R73">
        <v>91</v>
      </c>
      <c r="S73">
        <v>54</v>
      </c>
      <c r="U73">
        <v>150</v>
      </c>
      <c r="V73" s="4">
        <f>IF(AND(R73&gt;0,U73&gt;0),(U73/((R73+S73)*10)),"")</f>
        <v>0.10344827586206896</v>
      </c>
      <c r="W73">
        <v>93</v>
      </c>
      <c r="X73">
        <v>1</v>
      </c>
      <c r="Y73">
        <v>20.239999999999998</v>
      </c>
      <c r="Z73">
        <f>Y73-7.5</f>
        <v>12.739999999999998</v>
      </c>
      <c r="AD73" t="str">
        <f>CONCATENATE(VLOOKUP(AE73, 'Voxel Sizes'!$A$2:$B$18,2,FALSE),"x",INT(AA73*15), "x", INT(AB73*15))</f>
        <v>120x0x0</v>
      </c>
      <c r="AE73">
        <f t="shared" si="14"/>
        <v>7</v>
      </c>
      <c r="AF73" t="s">
        <v>559</v>
      </c>
      <c r="AG73" t="str">
        <f>CONCATENATE(VLOOKUP(AE73,'Articulated Lengths'!$A$2:$C$16,IF(AF73&lt;&gt;"", 3, 2), FALSE),IF(AF73&lt;&gt;"",CONCATENATE(",",VLOOKUP(AF73,$B$2:$AG$213,32,FALSE)),""))</f>
        <v>2,3,3,1,3,1</v>
      </c>
      <c r="AK73">
        <v>1</v>
      </c>
      <c r="AL73">
        <v>10</v>
      </c>
      <c r="AM73">
        <v>10</v>
      </c>
      <c r="AP73" t="str">
        <f>VLOOKUP(F73,Eras!$A$2:$C$12, 2, TRUE)</f>
        <v>big4</v>
      </c>
      <c r="AQ73" t="s">
        <v>438</v>
      </c>
      <c r="AR73" t="str">
        <f t="shared" ref="AR73:AR107" si="17">CONCATENATE(AP73,"_",AQ73)</f>
        <v>big4_Mixed Traffic</v>
      </c>
      <c r="AS73" t="s">
        <v>579</v>
      </c>
    </row>
    <row r="74" spans="1:45" x14ac:dyDescent="0.25">
      <c r="A74" t="s">
        <v>23</v>
      </c>
      <c r="B74" t="s">
        <v>580</v>
      </c>
      <c r="C74" t="s">
        <v>364</v>
      </c>
      <c r="D74" t="s">
        <v>373</v>
      </c>
      <c r="E74" t="s">
        <v>376</v>
      </c>
      <c r="F74">
        <v>1936</v>
      </c>
      <c r="G74">
        <v>1939</v>
      </c>
      <c r="H74">
        <v>1965</v>
      </c>
      <c r="J74">
        <v>1600</v>
      </c>
      <c r="K74">
        <v>18.5</v>
      </c>
      <c r="L74">
        <v>30</v>
      </c>
      <c r="M74">
        <v>2</v>
      </c>
      <c r="N74">
        <v>225</v>
      </c>
      <c r="O74" s="5">
        <f t="shared" si="15"/>
        <v>193.09239419237301</v>
      </c>
      <c r="P74">
        <v>1.7</v>
      </c>
      <c r="Q74">
        <f t="shared" si="16"/>
        <v>1608.5864388368984</v>
      </c>
      <c r="R74">
        <v>75.2</v>
      </c>
      <c r="S74">
        <v>48</v>
      </c>
      <c r="U74">
        <v>128</v>
      </c>
      <c r="V74" s="4">
        <f t="shared" ref="V74:V141" si="18">IF(AND(R74&gt;0,U74&gt;0),(U74/((R74+S74)*10)),"")</f>
        <v>0.1038961038961039</v>
      </c>
      <c r="W74">
        <v>75</v>
      </c>
      <c r="Y74">
        <v>19.21</v>
      </c>
      <c r="Z74">
        <f>Y74-7.5</f>
        <v>11.71</v>
      </c>
      <c r="AB74">
        <v>3.96</v>
      </c>
      <c r="AD74" t="str">
        <f>CONCATENATE(VLOOKUP(AE74, 'Voxel Sizes'!$A$2:$B$18,2,FALSE),"x",INT(AA74*15), "x", INT(AB74*15))</f>
        <v>120x0x59</v>
      </c>
      <c r="AE74">
        <f t="shared" si="14"/>
        <v>7</v>
      </c>
      <c r="AF74" t="s">
        <v>544</v>
      </c>
      <c r="AG74" t="str">
        <f>CONCATENATE(VLOOKUP(AE74,'Articulated Lengths'!$A$2:$C$16,IF(AF74&lt;&gt;"", 3, 2), FALSE),IF(AF74&lt;&gt;"",CONCATENATE(",",VLOOKUP(AF74,$B$2:$AG$213,32,FALSE)),""))</f>
        <v>2,3,3,1,3,1</v>
      </c>
      <c r="AK74">
        <v>1</v>
      </c>
      <c r="AL74">
        <v>10</v>
      </c>
      <c r="AM74">
        <v>10</v>
      </c>
      <c r="AP74" t="str">
        <f>VLOOKUP(F74,Eras!$A$2:$C$12, 2, TRUE)</f>
        <v>big4</v>
      </c>
      <c r="AQ74" t="s">
        <v>438</v>
      </c>
      <c r="AR74" t="str">
        <f t="shared" si="17"/>
        <v>big4_Mixed Traffic</v>
      </c>
      <c r="AS74" t="s">
        <v>582</v>
      </c>
    </row>
    <row r="75" spans="1:45" x14ac:dyDescent="0.25">
      <c r="A75" t="s">
        <v>33</v>
      </c>
      <c r="B75" t="s">
        <v>581</v>
      </c>
      <c r="C75" t="s">
        <v>364</v>
      </c>
      <c r="D75" t="s">
        <v>373</v>
      </c>
      <c r="E75" t="s">
        <v>376</v>
      </c>
      <c r="F75">
        <v>1937</v>
      </c>
      <c r="G75">
        <v>1948</v>
      </c>
      <c r="H75">
        <v>1964</v>
      </c>
      <c r="J75">
        <v>2500</v>
      </c>
      <c r="R75">
        <v>110</v>
      </c>
      <c r="S75">
        <v>57</v>
      </c>
      <c r="U75">
        <v>180</v>
      </c>
      <c r="V75" s="4">
        <f t="shared" si="18"/>
        <v>0.10778443113772455</v>
      </c>
      <c r="W75">
        <v>115</v>
      </c>
      <c r="X75">
        <v>1</v>
      </c>
      <c r="Y75">
        <v>22.49</v>
      </c>
      <c r="Z75">
        <f>Y75-7.5</f>
        <v>14.989999999999998</v>
      </c>
      <c r="AB75">
        <v>4.0389999999999997</v>
      </c>
      <c r="AD75" t="str">
        <f>CONCATENATE(VLOOKUP(AE75, 'Voxel Sizes'!$A$2:$B$18,2,FALSE),"x",INT(AA75*15), "x", INT(AB75*15))</f>
        <v>152x0x60</v>
      </c>
      <c r="AE75">
        <f t="shared" si="14"/>
        <v>9</v>
      </c>
      <c r="AF75" t="s">
        <v>584</v>
      </c>
      <c r="AG75" t="str">
        <f>CONCATENATE(VLOOKUP(AE75,'Articulated Lengths'!$A$2:$C$16,IF(AF75&lt;&gt;"", 3, 2), FALSE),IF(AF75&lt;&gt;"",CONCATENATE(",",VLOOKUP(AF75,$B$2:$AG$213,32,FALSE)),""))</f>
        <v>2,5,2,1,3,1</v>
      </c>
      <c r="AK75">
        <v>1</v>
      </c>
      <c r="AL75">
        <v>10</v>
      </c>
      <c r="AM75">
        <v>10</v>
      </c>
      <c r="AP75" t="str">
        <f>VLOOKUP(F75,Eras!$A$2:$C$12, 2, TRUE)</f>
        <v>big4</v>
      </c>
      <c r="AQ75" t="s">
        <v>439</v>
      </c>
      <c r="AR75" t="str">
        <f t="shared" si="17"/>
        <v>big4_Express</v>
      </c>
      <c r="AS75" t="s">
        <v>583</v>
      </c>
    </row>
    <row r="76" spans="1:45" x14ac:dyDescent="0.25">
      <c r="A76" t="s">
        <v>85</v>
      </c>
      <c r="B76" t="s">
        <v>317</v>
      </c>
      <c r="C76" t="s">
        <v>526</v>
      </c>
      <c r="D76" t="s">
        <v>398</v>
      </c>
      <c r="E76" t="s">
        <v>406</v>
      </c>
      <c r="F76">
        <v>1937</v>
      </c>
      <c r="G76">
        <v>1938</v>
      </c>
      <c r="H76">
        <v>1972</v>
      </c>
      <c r="I76">
        <v>4</v>
      </c>
      <c r="J76">
        <v>900</v>
      </c>
      <c r="R76">
        <v>160.80000000000001</v>
      </c>
      <c r="T76">
        <v>8</v>
      </c>
      <c r="U76">
        <v>120</v>
      </c>
      <c r="V76" s="4">
        <f t="shared" si="18"/>
        <v>7.4626865671641784E-2</v>
      </c>
      <c r="W76">
        <v>75</v>
      </c>
      <c r="Y76">
        <v>20</v>
      </c>
      <c r="Z76">
        <v>20</v>
      </c>
      <c r="AC76">
        <v>57</v>
      </c>
      <c r="AD76" t="str">
        <f>CONCATENATE(VLOOKUP(AE76, 'Voxel Sizes'!$A$2:$B$18,2,FALSE),"x",INT(AA76*15), "x", INT(AB76*15))</f>
        <v>198x0x0</v>
      </c>
      <c r="AE76">
        <f t="shared" si="14"/>
        <v>12</v>
      </c>
      <c r="AG76" t="str">
        <f>CONCATENATE(VLOOKUP(AE76,'Articulated Lengths'!$A$2:$C$16,IF(AF76&lt;&gt;"", 3, 2), FALSE),IF(AF76&lt;&gt;"",CONCATENATE(",",VLOOKUP(AF76,$B$2:$AG$213,32,FALSE)),""))</f>
        <v>3,6,3</v>
      </c>
      <c r="AH76" t="s">
        <v>588</v>
      </c>
      <c r="AI76" t="s">
        <v>589</v>
      </c>
      <c r="AL76">
        <v>10</v>
      </c>
      <c r="AM76">
        <v>10</v>
      </c>
      <c r="AO76" t="s">
        <v>385</v>
      </c>
      <c r="AP76" t="str">
        <f>VLOOKUP(F76,Eras!$A$2:$C$12, 2, TRUE)</f>
        <v>big4</v>
      </c>
      <c r="AQ76" t="s">
        <v>444</v>
      </c>
      <c r="AR76" t="str">
        <f t="shared" si="17"/>
        <v>big4_EMU</v>
      </c>
      <c r="AS76" t="s">
        <v>586</v>
      </c>
    </row>
    <row r="77" spans="1:45" x14ac:dyDescent="0.25">
      <c r="A77" t="s">
        <v>86</v>
      </c>
      <c r="B77" t="s">
        <v>318</v>
      </c>
      <c r="C77" t="s">
        <v>526</v>
      </c>
      <c r="D77" t="s">
        <v>398</v>
      </c>
      <c r="E77" t="s">
        <v>406</v>
      </c>
      <c r="F77">
        <v>1938</v>
      </c>
      <c r="G77">
        <v>1939</v>
      </c>
      <c r="H77">
        <v>1971</v>
      </c>
      <c r="I77">
        <v>2</v>
      </c>
      <c r="J77">
        <v>550</v>
      </c>
      <c r="R77">
        <v>77</v>
      </c>
      <c r="T77">
        <v>8</v>
      </c>
      <c r="U77">
        <v>120</v>
      </c>
      <c r="V77" s="4">
        <f t="shared" si="18"/>
        <v>0.15584415584415584</v>
      </c>
      <c r="W77">
        <v>75</v>
      </c>
      <c r="Y77">
        <v>20</v>
      </c>
      <c r="Z77">
        <v>20</v>
      </c>
      <c r="AC77">
        <f>(24+102)/2</f>
        <v>63</v>
      </c>
      <c r="AD77" t="str">
        <f>CONCATENATE(VLOOKUP(AE77, 'Voxel Sizes'!$A$2:$B$18,2,FALSE),"x",INT(AA77*15), "x", INT(AB77*15))</f>
        <v>198x0x0</v>
      </c>
      <c r="AE77">
        <f t="shared" si="14"/>
        <v>12</v>
      </c>
      <c r="AG77" t="str">
        <f>CONCATENATE(VLOOKUP(AE77,'Articulated Lengths'!$A$2:$C$16,IF(AF77&lt;&gt;"", 3, 2), FALSE),IF(AF77&lt;&gt;"",CONCATENATE(",",VLOOKUP(AF77,$B$2:$AG$213,32,FALSE)),""))</f>
        <v>3,6,3</v>
      </c>
      <c r="AH77" t="s">
        <v>590</v>
      </c>
      <c r="AI77" t="s">
        <v>591</v>
      </c>
      <c r="AL77">
        <v>10</v>
      </c>
      <c r="AM77">
        <v>10</v>
      </c>
      <c r="AO77" t="s">
        <v>385</v>
      </c>
      <c r="AP77" t="str">
        <f>VLOOKUP(F77,Eras!$A$2:$C$12, 2, TRUE)</f>
        <v>big4</v>
      </c>
      <c r="AQ77" t="s">
        <v>444</v>
      </c>
      <c r="AR77" t="str">
        <f t="shared" si="17"/>
        <v>big4_EMU</v>
      </c>
      <c r="AS77" t="s">
        <v>587</v>
      </c>
    </row>
    <row r="78" spans="1:45" x14ac:dyDescent="0.25">
      <c r="A78" t="s">
        <v>127</v>
      </c>
      <c r="B78" t="s">
        <v>261</v>
      </c>
      <c r="C78" t="s">
        <v>195</v>
      </c>
      <c r="E78" t="s">
        <v>376</v>
      </c>
      <c r="F78">
        <v>1938</v>
      </c>
      <c r="V78" s="4" t="str">
        <f t="shared" si="18"/>
        <v/>
      </c>
      <c r="AD78" t="str">
        <f>CONCATENATE(VLOOKUP(AE78, 'Voxel Sizes'!$A$2:$B$18,2,FALSE),"x",INT(AA78*15), "x", INT(AB78*15))</f>
        <v>0x0x0</v>
      </c>
      <c r="AE78">
        <f t="shared" si="14"/>
        <v>0</v>
      </c>
      <c r="AG78" t="str">
        <f>CONCATENATE(VLOOKUP(AE78,'Articulated Lengths'!$A$2:$C$16,IF(AF78&lt;&gt;"", 3, 2), FALSE),IF(AF78&lt;&gt;"",CONCATENATE(",",VLOOKUP(AF78,$B$2:$AG$213,32,FALSE)),""))</f>
        <v>na</v>
      </c>
      <c r="AL78">
        <v>10</v>
      </c>
      <c r="AM78">
        <v>10</v>
      </c>
      <c r="AP78" t="str">
        <f>VLOOKUP(F78,Eras!$A$2:$C$12, 2, TRUE)</f>
        <v>big4</v>
      </c>
      <c r="AQ78" t="s">
        <v>456</v>
      </c>
      <c r="AR78" t="str">
        <f t="shared" si="17"/>
        <v>big4_LU</v>
      </c>
    </row>
    <row r="79" spans="1:45" x14ac:dyDescent="0.25">
      <c r="A79" t="s">
        <v>592</v>
      </c>
      <c r="B79" t="s">
        <v>593</v>
      </c>
      <c r="C79" t="s">
        <v>393</v>
      </c>
      <c r="E79" t="s">
        <v>376</v>
      </c>
      <c r="F79">
        <v>1941</v>
      </c>
      <c r="R79">
        <v>52</v>
      </c>
      <c r="V79" s="4" t="str">
        <f t="shared" si="18"/>
        <v/>
      </c>
      <c r="Y79">
        <v>7.64</v>
      </c>
      <c r="Z79">
        <v>8</v>
      </c>
      <c r="AD79" t="str">
        <f>CONCATENATE(VLOOKUP(AE79, 'Voxel Sizes'!$A$2:$B$18,2,FALSE),"x",INT(AA79*15), "x", INT(AB79*15))</f>
        <v>82x0x0</v>
      </c>
      <c r="AE79">
        <f t="shared" si="14"/>
        <v>5</v>
      </c>
      <c r="AG79" t="str">
        <f>CONCATENATE(VLOOKUP(AE79,'Articulated Lengths'!$A$2:$C$16,IF(AF79&lt;&gt;"", 3, 2), FALSE),IF(AF79&lt;&gt;"",CONCATENATE(",",VLOOKUP(AF79,$B$2:$AG$213,32,FALSE)),""))</f>
        <v>1,3,1</v>
      </c>
      <c r="AP79" t="str">
        <f>VLOOKUP(F79,Eras!$A$2:$C$12, 2, TRUE)</f>
        <v>big4</v>
      </c>
      <c r="AR79" t="str">
        <f t="shared" si="17"/>
        <v>big4_</v>
      </c>
    </row>
    <row r="80" spans="1:45" x14ac:dyDescent="0.25">
      <c r="A80" t="s">
        <v>36</v>
      </c>
      <c r="B80" t="s">
        <v>594</v>
      </c>
      <c r="C80" t="s">
        <v>364</v>
      </c>
      <c r="D80" t="s">
        <v>373</v>
      </c>
      <c r="E80" t="s">
        <v>376</v>
      </c>
      <c r="F80">
        <v>1941</v>
      </c>
      <c r="G80">
        <v>1949</v>
      </c>
      <c r="H80">
        <v>1967</v>
      </c>
      <c r="J80">
        <v>2100</v>
      </c>
      <c r="K80">
        <v>18</v>
      </c>
      <c r="L80">
        <v>24</v>
      </c>
      <c r="M80">
        <v>3</v>
      </c>
      <c r="N80">
        <v>250</v>
      </c>
      <c r="O80" s="5">
        <f t="shared" ref="O80" si="19">((($W80/2)/60)*5280)/($P80*3.2*PI())</f>
        <v>241.87363061991991</v>
      </c>
      <c r="P80">
        <v>1.9</v>
      </c>
      <c r="Q80">
        <f t="shared" ref="Q80" si="20">((($K80*$K80/4)*PI())*($L80/12)*$M80*$N80*$O80)/(33000*1.1)</f>
        <v>2543.3612440191391</v>
      </c>
      <c r="R80">
        <v>96.3</v>
      </c>
      <c r="S80">
        <v>52</v>
      </c>
      <c r="U80">
        <v>167</v>
      </c>
      <c r="V80" s="4">
        <f t="shared" si="18"/>
        <v>0.11260957518543493</v>
      </c>
      <c r="W80">
        <v>105</v>
      </c>
      <c r="X80">
        <v>1</v>
      </c>
      <c r="Y80">
        <v>21.23</v>
      </c>
      <c r="Z80">
        <f>Y80-7.5</f>
        <v>13.73</v>
      </c>
      <c r="AD80" t="str">
        <f>CONCATENATE(VLOOKUP(AE80, 'Voxel Sizes'!$A$2:$B$18,2,FALSE),"x",INT(AA80*15), "x", INT(AB80*15))</f>
        <v>136x0x0</v>
      </c>
      <c r="AE80">
        <f t="shared" si="14"/>
        <v>8</v>
      </c>
      <c r="AF80" t="s">
        <v>593</v>
      </c>
      <c r="AG80" t="str">
        <f>CONCATENATE(VLOOKUP(AE80,'Articulated Lengths'!$A$2:$C$16,IF(AF80&lt;&gt;"", 3, 2), FALSE),IF(AF80&lt;&gt;"",CONCATENATE(",",VLOOKUP(AF80,$B$2:$AG$213,32,FALSE)),""))</f>
        <v>2,4,3,1,3,1</v>
      </c>
      <c r="AK80">
        <v>1</v>
      </c>
      <c r="AL80">
        <v>10</v>
      </c>
      <c r="AM80">
        <v>10</v>
      </c>
      <c r="AP80" t="str">
        <f>VLOOKUP(F80,Eras!$A$2:$C$12, 2, TRUE)</f>
        <v>big4</v>
      </c>
      <c r="AQ80" t="s">
        <v>439</v>
      </c>
      <c r="AR80" t="str">
        <f t="shared" si="17"/>
        <v>big4_Express</v>
      </c>
      <c r="AS80" t="s">
        <v>595</v>
      </c>
    </row>
    <row r="81" spans="1:45" x14ac:dyDescent="0.25">
      <c r="A81" t="s">
        <v>71</v>
      </c>
      <c r="B81" t="s">
        <v>220</v>
      </c>
      <c r="C81" t="s">
        <v>364</v>
      </c>
      <c r="D81" t="s">
        <v>398</v>
      </c>
      <c r="E81" t="s">
        <v>406</v>
      </c>
      <c r="F81">
        <v>1941</v>
      </c>
      <c r="G81">
        <v>1948</v>
      </c>
      <c r="H81">
        <v>1968</v>
      </c>
      <c r="J81">
        <v>1470</v>
      </c>
      <c r="R81">
        <v>101</v>
      </c>
      <c r="U81">
        <v>178</v>
      </c>
      <c r="V81" s="4">
        <f t="shared" si="18"/>
        <v>0.17623762376237623</v>
      </c>
      <c r="W81">
        <v>75</v>
      </c>
      <c r="X81">
        <v>1</v>
      </c>
      <c r="Y81">
        <v>17</v>
      </c>
      <c r="Z81">
        <v>17</v>
      </c>
      <c r="AD81" t="str">
        <f>CONCATENATE(VLOOKUP(AE81, 'Voxel Sizes'!$A$2:$B$18,2,FALSE),"x",INT(AA81*15), "x", INT(AB81*15))</f>
        <v>164x0x0</v>
      </c>
      <c r="AE81">
        <f t="shared" si="14"/>
        <v>10</v>
      </c>
      <c r="AG81" t="str">
        <f>CONCATENATE(VLOOKUP(AE81,'Articulated Lengths'!$A$2:$C$16,IF(AF81&lt;&gt;"", 3, 2), FALSE),IF(AF81&lt;&gt;"",CONCATENATE(",",VLOOKUP(AF81,$B$2:$AG$213,32,FALSE)),""))</f>
        <v>3,4,3</v>
      </c>
      <c r="AL81">
        <v>10</v>
      </c>
      <c r="AM81">
        <v>10</v>
      </c>
      <c r="AP81" t="str">
        <f>VLOOKUP(F81,Eras!$A$2:$C$12, 2, TRUE)</f>
        <v>big4</v>
      </c>
      <c r="AQ81" t="s">
        <v>448</v>
      </c>
      <c r="AR81" t="str">
        <f t="shared" si="17"/>
        <v>big4_MT (Electric)</v>
      </c>
      <c r="AS81" t="s">
        <v>596</v>
      </c>
    </row>
    <row r="82" spans="1:45" x14ac:dyDescent="0.25">
      <c r="A82" t="s">
        <v>13</v>
      </c>
      <c r="B82" t="s">
        <v>221</v>
      </c>
      <c r="C82" t="s">
        <v>195</v>
      </c>
      <c r="E82" t="s">
        <v>376</v>
      </c>
      <c r="F82">
        <v>1942</v>
      </c>
      <c r="R82">
        <v>72</v>
      </c>
      <c r="U82">
        <v>119</v>
      </c>
      <c r="V82" s="4">
        <f t="shared" si="18"/>
        <v>0.16527777777777777</v>
      </c>
      <c r="AD82" t="str">
        <f>CONCATENATE(VLOOKUP(AE82, 'Voxel Sizes'!$A$2:$B$18,2,FALSE),"x",INT(AA82*15), "x", INT(AB82*15))</f>
        <v>0x0x0</v>
      </c>
      <c r="AE82">
        <f t="shared" si="14"/>
        <v>0</v>
      </c>
      <c r="AG82" t="str">
        <f>CONCATENATE(VLOOKUP(AE82,'Articulated Lengths'!$A$2:$C$16,IF(AF82&lt;&gt;"", 3, 2), FALSE),IF(AF82&lt;&gt;"",CONCATENATE(",",VLOOKUP(AF82,$B$2:$AG$213,32,FALSE)),""))</f>
        <v>na</v>
      </c>
      <c r="AL82">
        <v>10</v>
      </c>
      <c r="AM82">
        <v>10</v>
      </c>
      <c r="AP82" t="str">
        <f>VLOOKUP(F82,Eras!$A$2:$C$12, 2, TRUE)</f>
        <v>big4</v>
      </c>
      <c r="AR82" t="str">
        <f t="shared" si="17"/>
        <v>big4_</v>
      </c>
    </row>
    <row r="83" spans="1:45" x14ac:dyDescent="0.25">
      <c r="A83" t="s">
        <v>600</v>
      </c>
      <c r="B83" t="s">
        <v>599</v>
      </c>
      <c r="C83" t="s">
        <v>393</v>
      </c>
      <c r="E83" t="s">
        <v>376</v>
      </c>
      <c r="F83">
        <v>1942</v>
      </c>
      <c r="R83">
        <v>52</v>
      </c>
      <c r="V83" s="4" t="str">
        <f t="shared" ref="V83" si="21">IF(AND(R83&gt;0,U83&gt;0),(U83/((R83+S83)*10)),"")</f>
        <v/>
      </c>
      <c r="Y83">
        <v>6</v>
      </c>
      <c r="Z83">
        <v>6</v>
      </c>
      <c r="AD83" t="str">
        <f>CONCATENATE(VLOOKUP(AE83, 'Voxel Sizes'!$A$2:$B$18,2,FALSE),"x",INT(AA83*15), "x", INT(AB83*15))</f>
        <v>60x0x0</v>
      </c>
      <c r="AE83">
        <f t="shared" ref="AE83" si="22">ROUND(15*((Z83*10)/256),0)</f>
        <v>4</v>
      </c>
      <c r="AG83" t="str">
        <f>CONCATENATE(VLOOKUP(AE83,'Articulated Lengths'!$A$2:$C$16,IF(AF83&lt;&gt;"", 3, 2), FALSE),IF(AF83&lt;&gt;"",CONCATENATE(",",VLOOKUP(AF83,$B$2:$AG$213,32,FALSE)),""))</f>
        <v>1,2,1</v>
      </c>
      <c r="AP83" t="str">
        <f>VLOOKUP(F83,Eras!$A$2:$C$12, 2, TRUE)</f>
        <v>big4</v>
      </c>
      <c r="AR83" t="str">
        <f t="shared" ref="AR83" si="23">CONCATENATE(AP83,"_",AQ83)</f>
        <v>big4_</v>
      </c>
    </row>
    <row r="84" spans="1:45" x14ac:dyDescent="0.25">
      <c r="A84" t="s">
        <v>40</v>
      </c>
      <c r="B84" t="s">
        <v>597</v>
      </c>
      <c r="C84" t="s">
        <v>364</v>
      </c>
      <c r="D84" t="s">
        <v>373</v>
      </c>
      <c r="E84" t="s">
        <v>376</v>
      </c>
      <c r="F84">
        <v>1942</v>
      </c>
      <c r="G84">
        <v>1942</v>
      </c>
      <c r="H84">
        <v>1966</v>
      </c>
      <c r="J84">
        <v>1600</v>
      </c>
      <c r="K84">
        <v>19</v>
      </c>
      <c r="L84">
        <v>26</v>
      </c>
      <c r="M84">
        <v>2</v>
      </c>
      <c r="N84">
        <v>230</v>
      </c>
      <c r="O84" s="5">
        <f t="shared" ref="O84:O93" si="24">((($W84/2)/60)*5280)/($P84*3.2*PI())</f>
        <v>218.83804675135607</v>
      </c>
      <c r="P84">
        <v>1.5</v>
      </c>
      <c r="Q84">
        <f t="shared" ref="Q84:Q93" si="25">((($K84*$K84/4)*PI())*($L84/12)*$M84*$N84*$O84)/(33000*1.1)</f>
        <v>1703.5827020202014</v>
      </c>
      <c r="R84">
        <v>50.3</v>
      </c>
      <c r="S84">
        <f>90.7-R84</f>
        <v>40.400000000000006</v>
      </c>
      <c r="U84">
        <v>134</v>
      </c>
      <c r="V84" s="4">
        <f t="shared" si="18"/>
        <v>0.14773980154355015</v>
      </c>
      <c r="W84">
        <v>75</v>
      </c>
      <c r="X84">
        <v>1</v>
      </c>
      <c r="Y84">
        <v>16.73</v>
      </c>
      <c r="Z84">
        <v>10</v>
      </c>
      <c r="AD84" t="str">
        <f>CONCATENATE(VLOOKUP(AE84, 'Voxel Sizes'!$A$2:$B$18,2,FALSE),"x",INT(AA84*15), "x", INT(AB84*15))</f>
        <v>102x0x0</v>
      </c>
      <c r="AE84">
        <f t="shared" si="14"/>
        <v>6</v>
      </c>
      <c r="AF84" t="s">
        <v>599</v>
      </c>
      <c r="AG84" t="str">
        <f>CONCATENATE(VLOOKUP(AE84,'Articulated Lengths'!$A$2:$C$16,IF(AF84&lt;&gt;"", 3, 2), FALSE),IF(AF84&lt;&gt;"",CONCATENATE(",",VLOOKUP(AF84,$B$2:$AG$213,32,FALSE)),""))</f>
        <v>2,2,3,1,2,1</v>
      </c>
      <c r="AK84">
        <v>1</v>
      </c>
      <c r="AL84">
        <v>10</v>
      </c>
      <c r="AM84">
        <v>10</v>
      </c>
      <c r="AP84" t="str">
        <f>VLOOKUP(F84,Eras!$A$2:$C$12, 2, TRUE)</f>
        <v>big4</v>
      </c>
      <c r="AQ84" t="s">
        <v>437</v>
      </c>
      <c r="AR84" t="str">
        <f t="shared" si="17"/>
        <v>big4_Cheap</v>
      </c>
      <c r="AS84" t="s">
        <v>598</v>
      </c>
    </row>
    <row r="85" spans="1:45" x14ac:dyDescent="0.25">
      <c r="A85" t="s">
        <v>601</v>
      </c>
      <c r="B85" t="s">
        <v>296</v>
      </c>
      <c r="C85" t="s">
        <v>364</v>
      </c>
      <c r="D85" t="s">
        <v>373</v>
      </c>
      <c r="E85" t="s">
        <v>376</v>
      </c>
      <c r="F85">
        <v>1943</v>
      </c>
      <c r="G85">
        <v>1964</v>
      </c>
      <c r="H85">
        <v>1967</v>
      </c>
      <c r="J85">
        <v>500</v>
      </c>
      <c r="K85">
        <v>18</v>
      </c>
      <c r="L85">
        <v>26</v>
      </c>
      <c r="M85">
        <v>2</v>
      </c>
      <c r="N85">
        <v>170</v>
      </c>
      <c r="O85" s="5">
        <f t="shared" si="24"/>
        <v>94.268697062122627</v>
      </c>
      <c r="P85">
        <v>1.3</v>
      </c>
      <c r="Q85">
        <f t="shared" si="25"/>
        <v>486.8181818181817</v>
      </c>
      <c r="R85">
        <v>49</v>
      </c>
      <c r="U85">
        <v>106</v>
      </c>
      <c r="V85" s="4">
        <f t="shared" si="18"/>
        <v>0.21632653061224491</v>
      </c>
      <c r="W85">
        <v>28</v>
      </c>
      <c r="X85">
        <v>1</v>
      </c>
      <c r="Y85">
        <v>9.25</v>
      </c>
      <c r="Z85">
        <v>9.25</v>
      </c>
      <c r="AD85" t="str">
        <f>CONCATENATE(VLOOKUP(AE85, 'Voxel Sizes'!$A$2:$B$18,2,FALSE),"x",INT(AA85*15), "x", INT(AB85*15))</f>
        <v>82x0x0</v>
      </c>
      <c r="AE85">
        <f t="shared" si="14"/>
        <v>5</v>
      </c>
      <c r="AG85" t="str">
        <f>CONCATENATE(VLOOKUP(AE85,'Articulated Lengths'!$A$2:$C$16,IF(AF85&lt;&gt;"", 3, 2), FALSE),IF(AF85&lt;&gt;"",CONCATENATE(",",VLOOKUP(AF85,$B$2:$AG$213,32,FALSE)),""))</f>
        <v>1,3,1</v>
      </c>
      <c r="AK85">
        <v>1</v>
      </c>
      <c r="AL85">
        <v>10</v>
      </c>
      <c r="AM85">
        <v>10</v>
      </c>
      <c r="AP85" t="str">
        <f>VLOOKUP(F85,Eras!$A$2:$C$12, 2, TRUE)</f>
        <v>big4</v>
      </c>
      <c r="AQ85" t="s">
        <v>437</v>
      </c>
      <c r="AR85" t="str">
        <f t="shared" si="17"/>
        <v>big4_Cheap</v>
      </c>
      <c r="AS85" t="s">
        <v>602</v>
      </c>
    </row>
    <row r="86" spans="1:45" x14ac:dyDescent="0.25">
      <c r="A86" t="s">
        <v>605</v>
      </c>
      <c r="B86" t="s">
        <v>606</v>
      </c>
      <c r="C86" t="s">
        <v>393</v>
      </c>
      <c r="E86" t="s">
        <v>376</v>
      </c>
      <c r="F86">
        <v>1943</v>
      </c>
      <c r="R86">
        <v>52</v>
      </c>
      <c r="V86" s="4" t="str">
        <f t="shared" si="18"/>
        <v/>
      </c>
      <c r="Y86">
        <v>6</v>
      </c>
      <c r="Z86">
        <v>6</v>
      </c>
      <c r="AD86" t="str">
        <f>CONCATENATE(VLOOKUP(AE86, 'Voxel Sizes'!$A$2:$B$18,2,FALSE),"x",INT(AA86*15), "x", INT(AB86*15))</f>
        <v>60x0x0</v>
      </c>
      <c r="AE86">
        <f t="shared" si="14"/>
        <v>4</v>
      </c>
      <c r="AG86" t="str">
        <f>CONCATENATE(VLOOKUP(AE86,'Articulated Lengths'!$A$2:$C$16,IF(AF86&lt;&gt;"", 3, 2), FALSE),IF(AF86&lt;&gt;"",CONCATENATE(",",VLOOKUP(AF86,$B$2:$AG$213,32,FALSE)),""))</f>
        <v>1,2,1</v>
      </c>
      <c r="AP86" t="str">
        <f>VLOOKUP(F86,Eras!$A$2:$C$12, 2, TRUE)</f>
        <v>big4</v>
      </c>
      <c r="AR86" t="str">
        <f t="shared" si="17"/>
        <v>big4_</v>
      </c>
    </row>
    <row r="87" spans="1:45" x14ac:dyDescent="0.25">
      <c r="A87" t="s">
        <v>39</v>
      </c>
      <c r="B87" t="s">
        <v>604</v>
      </c>
      <c r="C87" t="s">
        <v>364</v>
      </c>
      <c r="D87" t="s">
        <v>373</v>
      </c>
      <c r="E87" t="s">
        <v>376</v>
      </c>
      <c r="F87">
        <v>1943</v>
      </c>
      <c r="G87">
        <v>1945</v>
      </c>
      <c r="H87">
        <v>1962</v>
      </c>
      <c r="J87">
        <v>1200</v>
      </c>
      <c r="K87">
        <v>19</v>
      </c>
      <c r="L87">
        <v>28</v>
      </c>
      <c r="M87">
        <v>2</v>
      </c>
      <c r="N87">
        <v>225</v>
      </c>
      <c r="O87" s="5">
        <f t="shared" si="24"/>
        <v>212.58553112988881</v>
      </c>
      <c r="P87">
        <v>1.4</v>
      </c>
      <c r="Q87">
        <f t="shared" si="25"/>
        <v>1743.4659090909092</v>
      </c>
      <c r="R87">
        <v>71.400000000000006</v>
      </c>
      <c r="S87">
        <v>56.4</v>
      </c>
      <c r="U87">
        <v>152</v>
      </c>
      <c r="V87" s="4">
        <f t="shared" si="18"/>
        <v>0.1189358372456964</v>
      </c>
      <c r="W87">
        <v>68</v>
      </c>
      <c r="Y87">
        <v>19.350000000000001</v>
      </c>
      <c r="Z87">
        <v>11.7</v>
      </c>
      <c r="AD87" t="str">
        <f>CONCATENATE(VLOOKUP(AE87, 'Voxel Sizes'!$A$2:$B$18,2,FALSE),"x",INT(AA87*15), "x", INT(AB87*15))</f>
        <v>120x0x0</v>
      </c>
      <c r="AE87">
        <f t="shared" si="14"/>
        <v>7</v>
      </c>
      <c r="AF87" t="s">
        <v>606</v>
      </c>
      <c r="AG87" t="str">
        <f>CONCATENATE(VLOOKUP(AE87,'Articulated Lengths'!$A$2:$C$16,IF(AF87&lt;&gt;"", 3, 2), FALSE),IF(AF87&lt;&gt;"",CONCATENATE(",",VLOOKUP(AF87,$B$2:$AG$213,32,FALSE)),""))</f>
        <v>2,3,3,1,2,1</v>
      </c>
      <c r="AK87">
        <v>1</v>
      </c>
      <c r="AL87">
        <v>10</v>
      </c>
      <c r="AM87">
        <v>10</v>
      </c>
      <c r="AP87" t="str">
        <f>VLOOKUP(F87,Eras!$A$2:$C$12, 2, TRUE)</f>
        <v>big4</v>
      </c>
      <c r="AQ87" t="s">
        <v>440</v>
      </c>
      <c r="AR87" t="str">
        <f t="shared" si="17"/>
        <v>big4_Freight</v>
      </c>
      <c r="AS87" t="s">
        <v>603</v>
      </c>
    </row>
    <row r="88" spans="1:45" x14ac:dyDescent="0.25">
      <c r="A88" t="s">
        <v>609</v>
      </c>
      <c r="B88" t="s">
        <v>323</v>
      </c>
      <c r="C88" t="s">
        <v>364</v>
      </c>
      <c r="D88" t="s">
        <v>373</v>
      </c>
      <c r="E88" t="s">
        <v>376</v>
      </c>
      <c r="F88">
        <v>1944</v>
      </c>
      <c r="G88">
        <v>1950</v>
      </c>
      <c r="H88">
        <v>1965</v>
      </c>
      <c r="J88">
        <v>1700</v>
      </c>
      <c r="K88">
        <v>18.5</v>
      </c>
      <c r="L88">
        <v>30</v>
      </c>
      <c r="M88">
        <v>2</v>
      </c>
      <c r="N88">
        <v>225</v>
      </c>
      <c r="O88" s="5">
        <f t="shared" si="24"/>
        <v>206.68037748739187</v>
      </c>
      <c r="P88">
        <v>1.8</v>
      </c>
      <c r="Q88">
        <f t="shared" si="25"/>
        <v>1721.7832623106062</v>
      </c>
      <c r="R88">
        <v>77</v>
      </c>
      <c r="S88">
        <v>48</v>
      </c>
      <c r="U88">
        <v>121</v>
      </c>
      <c r="V88" s="4">
        <f t="shared" si="18"/>
        <v>9.6799999999999997E-2</v>
      </c>
      <c r="W88">
        <v>85</v>
      </c>
      <c r="Y88">
        <v>19.2</v>
      </c>
      <c r="Z88">
        <v>11.7</v>
      </c>
      <c r="AB88">
        <v>4.01</v>
      </c>
      <c r="AD88" t="str">
        <f>CONCATENATE(VLOOKUP(AE88, 'Voxel Sizes'!$A$2:$B$18,2,FALSE),"x",INT(AA88*15), "x", INT(AB88*15))</f>
        <v>120x0x60</v>
      </c>
      <c r="AE88">
        <f t="shared" si="14"/>
        <v>7</v>
      </c>
      <c r="AF88" t="s">
        <v>544</v>
      </c>
      <c r="AG88" t="str">
        <f>CONCATENATE(VLOOKUP(AE88,'Articulated Lengths'!$A$2:$C$16,IF(AF88&lt;&gt;"", 3, 2), FALSE),IF(AF88&lt;&gt;"",CONCATENATE(",",VLOOKUP(AF88,$B$2:$AG$213,32,FALSE)),""))</f>
        <v>2,3,3,1,3,1</v>
      </c>
      <c r="AJ88" t="s">
        <v>555</v>
      </c>
      <c r="AK88">
        <v>1</v>
      </c>
      <c r="AL88">
        <v>10</v>
      </c>
      <c r="AM88">
        <v>10</v>
      </c>
      <c r="AP88" t="str">
        <f>VLOOKUP(F88,Eras!$A$2:$C$12, 2, TRUE)</f>
        <v>big4</v>
      </c>
      <c r="AQ88" t="s">
        <v>438</v>
      </c>
      <c r="AR88" t="str">
        <f t="shared" si="17"/>
        <v>big4_Mixed Traffic</v>
      </c>
      <c r="AS88" t="s">
        <v>608</v>
      </c>
    </row>
    <row r="89" spans="1:45" x14ac:dyDescent="0.25">
      <c r="A89" t="s">
        <v>610</v>
      </c>
      <c r="B89" t="s">
        <v>611</v>
      </c>
      <c r="C89" t="s">
        <v>364</v>
      </c>
      <c r="D89" t="s">
        <v>373</v>
      </c>
      <c r="E89" t="s">
        <v>376</v>
      </c>
      <c r="F89">
        <v>1945</v>
      </c>
      <c r="G89">
        <v>1947</v>
      </c>
      <c r="H89">
        <v>1964</v>
      </c>
      <c r="J89">
        <v>2200</v>
      </c>
      <c r="K89">
        <v>18.5</v>
      </c>
      <c r="L89">
        <v>30</v>
      </c>
      <c r="M89">
        <v>2</v>
      </c>
      <c r="N89">
        <v>280</v>
      </c>
      <c r="O89" s="5">
        <f t="shared" si="24"/>
        <v>230.35583868563802</v>
      </c>
      <c r="P89">
        <v>1.9</v>
      </c>
      <c r="Q89">
        <f t="shared" si="25"/>
        <v>2388.1080542264754</v>
      </c>
      <c r="R89">
        <v>78.099999999999994</v>
      </c>
      <c r="S89">
        <v>49.8</v>
      </c>
      <c r="U89">
        <v>145</v>
      </c>
      <c r="V89" s="4">
        <f t="shared" si="18"/>
        <v>0.11336982017200939</v>
      </c>
      <c r="W89">
        <v>100</v>
      </c>
      <c r="Y89">
        <v>19.21</v>
      </c>
      <c r="Z89">
        <v>11.7</v>
      </c>
      <c r="AB89">
        <v>4.08</v>
      </c>
      <c r="AD89" t="str">
        <f>CONCATENATE(VLOOKUP(AE89, 'Voxel Sizes'!$A$2:$B$18,2,FALSE),"x",INT(AA89*15), "x", INT(AB89*15))</f>
        <v>120x0x61</v>
      </c>
      <c r="AE89">
        <f t="shared" si="14"/>
        <v>7</v>
      </c>
      <c r="AF89" t="s">
        <v>544</v>
      </c>
      <c r="AG89" t="str">
        <f>CONCATENATE(VLOOKUP(AE89,'Articulated Lengths'!$A$2:$C$16,IF(AF89&lt;&gt;"", 3, 2), FALSE),IF(AF89&lt;&gt;"",CONCATENATE(",",VLOOKUP(AF89,$B$2:$AG$213,32,FALSE)),""))</f>
        <v>2,3,3,1,3,1</v>
      </c>
      <c r="AK89">
        <v>1</v>
      </c>
      <c r="AL89">
        <v>10</v>
      </c>
      <c r="AM89">
        <v>10</v>
      </c>
      <c r="AP89" t="str">
        <f>VLOOKUP(F89,Eras!$A$2:$C$12, 2, TRUE)</f>
        <v>big4</v>
      </c>
      <c r="AQ89" t="s">
        <v>439</v>
      </c>
      <c r="AR89" t="str">
        <f t="shared" si="17"/>
        <v>big4_Express</v>
      </c>
      <c r="AS89" t="s">
        <v>612</v>
      </c>
    </row>
    <row r="90" spans="1:45" x14ac:dyDescent="0.25">
      <c r="A90" t="s">
        <v>37</v>
      </c>
      <c r="B90" t="s">
        <v>614</v>
      </c>
      <c r="C90" t="s">
        <v>364</v>
      </c>
      <c r="D90" t="s">
        <v>373</v>
      </c>
      <c r="E90" t="s">
        <v>376</v>
      </c>
      <c r="F90">
        <v>1945</v>
      </c>
      <c r="G90">
        <v>1951</v>
      </c>
      <c r="H90">
        <v>1967</v>
      </c>
      <c r="J90">
        <v>1800</v>
      </c>
      <c r="K90">
        <v>16.375</v>
      </c>
      <c r="L90">
        <v>24</v>
      </c>
      <c r="M90">
        <v>3</v>
      </c>
      <c r="N90">
        <v>280</v>
      </c>
      <c r="O90" s="5">
        <f t="shared" si="24"/>
        <v>234.96295545935078</v>
      </c>
      <c r="P90">
        <v>1.9</v>
      </c>
      <c r="Q90">
        <f t="shared" si="25"/>
        <v>2290.1005532296649</v>
      </c>
      <c r="R90">
        <v>87.4</v>
      </c>
      <c r="S90">
        <v>48</v>
      </c>
      <c r="U90">
        <v>138</v>
      </c>
      <c r="V90" s="4">
        <f t="shared" si="18"/>
        <v>0.10192023633677991</v>
      </c>
      <c r="W90">
        <v>102</v>
      </c>
      <c r="Y90">
        <v>20.54</v>
      </c>
      <c r="Z90">
        <v>13</v>
      </c>
      <c r="AD90" t="str">
        <f>CONCATENATE(VLOOKUP(AE90, 'Voxel Sizes'!$A$2:$B$18,2,FALSE),"x",INT(AA90*15), "x", INT(AB90*15))</f>
        <v>136x0x0</v>
      </c>
      <c r="AE90">
        <f t="shared" si="14"/>
        <v>8</v>
      </c>
      <c r="AF90" t="s">
        <v>593</v>
      </c>
      <c r="AG90" t="str">
        <f>CONCATENATE(VLOOKUP(AE90,'Articulated Lengths'!$A$2:$C$16,IF(AF90&lt;&gt;"", 3, 2), FALSE),IF(AF90&lt;&gt;"",CONCATENATE(",",VLOOKUP(AF90,$B$2:$AG$213,32,FALSE)),""))</f>
        <v>2,4,3,1,3,1</v>
      </c>
      <c r="AK90">
        <v>1</v>
      </c>
      <c r="AL90">
        <v>10</v>
      </c>
      <c r="AM90">
        <v>10</v>
      </c>
      <c r="AP90" t="str">
        <f>VLOOKUP(F90,Eras!$A$2:$C$12, 2, TRUE)</f>
        <v>big4</v>
      </c>
      <c r="AQ90" t="s">
        <v>438</v>
      </c>
      <c r="AR90" t="str">
        <f t="shared" si="17"/>
        <v>big4_Mixed Traffic</v>
      </c>
      <c r="AS90" t="s">
        <v>613</v>
      </c>
    </row>
    <row r="91" spans="1:45" x14ac:dyDescent="0.25">
      <c r="A91" t="s">
        <v>41</v>
      </c>
      <c r="B91" t="s">
        <v>616</v>
      </c>
      <c r="C91" t="s">
        <v>364</v>
      </c>
      <c r="D91" t="s">
        <v>373</v>
      </c>
      <c r="E91" t="s">
        <v>376</v>
      </c>
      <c r="F91">
        <v>1946</v>
      </c>
      <c r="G91">
        <v>1949</v>
      </c>
      <c r="H91">
        <v>1951</v>
      </c>
      <c r="J91">
        <v>1800</v>
      </c>
      <c r="K91">
        <v>12.25</v>
      </c>
      <c r="L91">
        <v>15</v>
      </c>
      <c r="M91">
        <v>6</v>
      </c>
      <c r="N91">
        <v>280</v>
      </c>
      <c r="O91" s="5">
        <f t="shared" si="24"/>
        <v>262.60565610162729</v>
      </c>
      <c r="P91">
        <v>1.5</v>
      </c>
      <c r="Q91">
        <f t="shared" si="25"/>
        <v>1790.518465909091</v>
      </c>
      <c r="R91">
        <v>152</v>
      </c>
      <c r="U91">
        <v>117</v>
      </c>
      <c r="V91" s="4">
        <f t="shared" si="18"/>
        <v>7.6973684210526319E-2</v>
      </c>
      <c r="W91">
        <v>90</v>
      </c>
      <c r="X91">
        <v>1</v>
      </c>
      <c r="Y91">
        <v>20.420000000000002</v>
      </c>
      <c r="Z91">
        <v>20.420000000000002</v>
      </c>
      <c r="AD91" t="str">
        <f>CONCATENATE(VLOOKUP(AE91, 'Voxel Sizes'!$A$2:$B$18,2,FALSE),"x",INT(AA91*15), "x", INT(AB91*15))</f>
        <v>198x0x0</v>
      </c>
      <c r="AE91">
        <f t="shared" si="14"/>
        <v>12</v>
      </c>
      <c r="AG91" t="str">
        <f>CONCATENATE(VLOOKUP(AE91,'Articulated Lengths'!$A$2:$C$16,IF(AF91&lt;&gt;"", 3, 2), FALSE),IF(AF91&lt;&gt;"",CONCATENATE(",",VLOOKUP(AF91,$B$2:$AG$213,32,FALSE)),""))</f>
        <v>3,6,3</v>
      </c>
      <c r="AL91">
        <v>10</v>
      </c>
      <c r="AM91">
        <v>10</v>
      </c>
      <c r="AP91" t="str">
        <f>VLOOKUP(F91,Eras!$A$2:$C$12, 2, TRUE)</f>
        <v>big4</v>
      </c>
      <c r="AQ91" t="s">
        <v>438</v>
      </c>
      <c r="AR91" t="str">
        <f t="shared" si="17"/>
        <v>big4_Mixed Traffic</v>
      </c>
      <c r="AS91" t="s">
        <v>615</v>
      </c>
    </row>
    <row r="92" spans="1:45" x14ac:dyDescent="0.25">
      <c r="A92" t="s">
        <v>620</v>
      </c>
      <c r="B92" t="s">
        <v>619</v>
      </c>
      <c r="C92" t="s">
        <v>393</v>
      </c>
      <c r="E92" t="s">
        <v>376</v>
      </c>
      <c r="F92">
        <v>1946</v>
      </c>
      <c r="R92">
        <v>52</v>
      </c>
      <c r="V92" s="4" t="str">
        <f t="shared" si="18"/>
        <v/>
      </c>
      <c r="Y92">
        <v>6</v>
      </c>
      <c r="Z92">
        <v>6</v>
      </c>
      <c r="AD92" t="str">
        <f>CONCATENATE(VLOOKUP(AE92, 'Voxel Sizes'!$A$2:$B$18,2,FALSE),"x",INT(AA92*15), "x", INT(AB92*15))</f>
        <v>60x0x0</v>
      </c>
      <c r="AE92">
        <f t="shared" si="14"/>
        <v>4</v>
      </c>
      <c r="AG92" t="str">
        <f>CONCATENATE(VLOOKUP(AE92,'Articulated Lengths'!$A$2:$C$16,IF(AF92&lt;&gt;"", 3, 2), FALSE),IF(AF92&lt;&gt;"",CONCATENATE(",",VLOOKUP(AF92,$B$2:$AG$213,32,FALSE)),""))</f>
        <v>1,2,1</v>
      </c>
      <c r="AP92" t="str">
        <f>VLOOKUP(F92,Eras!$A$2:$C$12, 2, TRUE)</f>
        <v>big4</v>
      </c>
      <c r="AR92" t="str">
        <f t="shared" si="17"/>
        <v>big4_</v>
      </c>
    </row>
    <row r="93" spans="1:45" x14ac:dyDescent="0.25">
      <c r="A93" t="s">
        <v>617</v>
      </c>
      <c r="B93" t="s">
        <v>618</v>
      </c>
      <c r="C93" t="s">
        <v>364</v>
      </c>
      <c r="D93" t="s">
        <v>373</v>
      </c>
      <c r="E93" t="s">
        <v>376</v>
      </c>
      <c r="F93">
        <v>1946</v>
      </c>
      <c r="G93">
        <v>1953</v>
      </c>
      <c r="H93">
        <v>1967</v>
      </c>
      <c r="J93">
        <v>1000</v>
      </c>
      <c r="K93">
        <v>16</v>
      </c>
      <c r="L93">
        <v>24</v>
      </c>
      <c r="M93">
        <v>2</v>
      </c>
      <c r="N93">
        <v>200</v>
      </c>
      <c r="O93" s="5">
        <f t="shared" si="24"/>
        <v>233.42724986811314</v>
      </c>
      <c r="P93">
        <v>1.5</v>
      </c>
      <c r="Q93">
        <f t="shared" si="25"/>
        <v>1034.3434343434342</v>
      </c>
      <c r="R93">
        <v>47.9</v>
      </c>
      <c r="S93">
        <v>37.700000000000003</v>
      </c>
      <c r="U93">
        <v>77</v>
      </c>
      <c r="V93" s="4">
        <f t="shared" si="18"/>
        <v>8.9953271028037379E-2</v>
      </c>
      <c r="W93">
        <v>80</v>
      </c>
      <c r="Y93">
        <v>16.2</v>
      </c>
      <c r="Z93">
        <f>Y93-6</f>
        <v>10.199999999999999</v>
      </c>
      <c r="AD93" t="str">
        <f>CONCATENATE(VLOOKUP(AE93, 'Voxel Sizes'!$A$2:$B$18,2,FALSE),"x",INT(AA93*15), "x", INT(AB93*15))</f>
        <v>102x0x0</v>
      </c>
      <c r="AE93">
        <f t="shared" si="14"/>
        <v>6</v>
      </c>
      <c r="AF93" t="s">
        <v>619</v>
      </c>
      <c r="AG93" t="str">
        <f>CONCATENATE(VLOOKUP(AE93,'Articulated Lengths'!$A$2:$C$16,IF(AF93&lt;&gt;"", 3, 2), FALSE),IF(AF93&lt;&gt;"",CONCATENATE(",",VLOOKUP(AF93,$B$2:$AG$213,32,FALSE)),""))</f>
        <v>2,2,3,1,2,1</v>
      </c>
      <c r="AK93">
        <v>1</v>
      </c>
      <c r="AL93">
        <v>10</v>
      </c>
      <c r="AM93">
        <v>10</v>
      </c>
      <c r="AP93" t="str">
        <f>VLOOKUP(F93,Eras!$A$2:$C$12, 2, TRUE)</f>
        <v>big4</v>
      </c>
      <c r="AQ93" t="s">
        <v>437</v>
      </c>
      <c r="AR93" t="str">
        <f t="shared" si="17"/>
        <v>big4_Cheap</v>
      </c>
      <c r="AS93" t="s">
        <v>621</v>
      </c>
    </row>
    <row r="94" spans="1:45" x14ac:dyDescent="0.25">
      <c r="A94" t="s">
        <v>72</v>
      </c>
      <c r="B94" t="s">
        <v>222</v>
      </c>
      <c r="C94" t="s">
        <v>364</v>
      </c>
      <c r="D94" t="s">
        <v>374</v>
      </c>
      <c r="E94" t="s">
        <v>376</v>
      </c>
      <c r="F94">
        <v>1947</v>
      </c>
      <c r="G94">
        <v>1948</v>
      </c>
      <c r="H94">
        <v>1966</v>
      </c>
      <c r="J94">
        <v>1600</v>
      </c>
      <c r="R94">
        <v>129.69999999999999</v>
      </c>
      <c r="U94">
        <v>184</v>
      </c>
      <c r="V94" s="4">
        <f t="shared" si="18"/>
        <v>0.14186584425597532</v>
      </c>
      <c r="W94">
        <v>93</v>
      </c>
      <c r="Y94">
        <v>18.64</v>
      </c>
      <c r="Z94">
        <v>18.64</v>
      </c>
      <c r="AB94">
        <v>3.95</v>
      </c>
      <c r="AD94" t="str">
        <f>CONCATENATE(VLOOKUP(AE94, 'Voxel Sizes'!$A$2:$B$18,2,FALSE),"x",INT(AA94*15), "x", INT(AB94*15))</f>
        <v>186x0x59</v>
      </c>
      <c r="AE94">
        <f t="shared" si="14"/>
        <v>11</v>
      </c>
      <c r="AG94" t="str">
        <f>CONCATENATE(VLOOKUP(AE94,'Articulated Lengths'!$A$2:$C$16,IF(AF94&lt;&gt;"", 3, 2), FALSE),IF(AF94&lt;&gt;"",CONCATENATE(",",VLOOKUP(AF94,$B$2:$AG$213,32,FALSE)),""))</f>
        <v>3,5,3</v>
      </c>
      <c r="AL94">
        <v>10</v>
      </c>
      <c r="AM94">
        <v>10</v>
      </c>
      <c r="AP94" t="str">
        <f>VLOOKUP(F94,Eras!$A$2:$C$12, 2, TRUE)</f>
        <v>big4</v>
      </c>
      <c r="AQ94" t="s">
        <v>438</v>
      </c>
      <c r="AR94" t="str">
        <f t="shared" si="17"/>
        <v>big4_Mixed Traffic</v>
      </c>
      <c r="AS94" t="s">
        <v>622</v>
      </c>
    </row>
    <row r="95" spans="1:45" x14ac:dyDescent="0.25">
      <c r="A95" t="s">
        <v>25</v>
      </c>
      <c r="B95" t="s">
        <v>624</v>
      </c>
      <c r="C95" t="s">
        <v>364</v>
      </c>
      <c r="D95" t="s">
        <v>373</v>
      </c>
      <c r="E95" t="s">
        <v>376</v>
      </c>
      <c r="F95">
        <v>1948</v>
      </c>
      <c r="G95">
        <v>1949</v>
      </c>
      <c r="H95">
        <v>1966</v>
      </c>
      <c r="J95">
        <v>2700</v>
      </c>
      <c r="K95">
        <v>19</v>
      </c>
      <c r="L95">
        <v>26</v>
      </c>
      <c r="M95">
        <v>3</v>
      </c>
      <c r="N95">
        <v>250</v>
      </c>
      <c r="O95" s="5">
        <f>((($W95/2)/60)*5280)/($P95*3.2*PI())</f>
        <v>215.60398694714888</v>
      </c>
      <c r="P95">
        <v>2.0299999999999998</v>
      </c>
      <c r="Q95">
        <f>((($K95*$K95/4)*PI())*($L95/12)*$M95*$N95*$O95)/(33000*1.1)</f>
        <v>2736.5325048514705</v>
      </c>
      <c r="R95">
        <v>106.9</v>
      </c>
      <c r="S95">
        <v>61.9</v>
      </c>
      <c r="U95">
        <v>166</v>
      </c>
      <c r="V95" s="4">
        <f t="shared" si="18"/>
        <v>9.8341232227488154E-2</v>
      </c>
      <c r="W95">
        <v>100</v>
      </c>
      <c r="Y95">
        <v>22.24</v>
      </c>
      <c r="Z95">
        <f>Y95-7.5</f>
        <v>14.739999999999998</v>
      </c>
      <c r="AB95">
        <v>3.99</v>
      </c>
      <c r="AD95" t="str">
        <f>CONCATENATE(VLOOKUP(AE95, 'Voxel Sizes'!$A$2:$B$18,2,FALSE),"x",INT(AA95*15), "x", INT(AB95*15))</f>
        <v>152x0x59</v>
      </c>
      <c r="AE95">
        <f t="shared" si="14"/>
        <v>9</v>
      </c>
      <c r="AF95" t="s">
        <v>559</v>
      </c>
      <c r="AG95" t="str">
        <f>CONCATENATE(VLOOKUP(AE95,'Articulated Lengths'!$A$2:$C$16,IF(AF95&lt;&gt;"", 3, 2), FALSE),IF(AF95&lt;&gt;"",CONCATENATE(",",VLOOKUP(AF95,$B$2:$AG$213,32,FALSE)),""))</f>
        <v>2,5,2,1,3,1</v>
      </c>
      <c r="AK95">
        <v>1</v>
      </c>
      <c r="AL95">
        <v>10</v>
      </c>
      <c r="AM95">
        <v>10</v>
      </c>
      <c r="AP95" t="str">
        <f>VLOOKUP(F95,Eras!$A$2:$C$12, 2, TRUE)</f>
        <v>br</v>
      </c>
      <c r="AQ95" t="s">
        <v>439</v>
      </c>
      <c r="AR95" t="str">
        <f t="shared" si="17"/>
        <v>br_Express</v>
      </c>
      <c r="AS95" t="s">
        <v>623</v>
      </c>
    </row>
    <row r="96" spans="1:45" x14ac:dyDescent="0.25">
      <c r="A96" t="s">
        <v>76</v>
      </c>
      <c r="B96" t="s">
        <v>347</v>
      </c>
      <c r="C96" t="s">
        <v>364</v>
      </c>
      <c r="D96" t="s">
        <v>398</v>
      </c>
      <c r="E96" t="s">
        <v>399</v>
      </c>
      <c r="F96">
        <v>1950</v>
      </c>
      <c r="G96">
        <v>1953</v>
      </c>
      <c r="J96">
        <v>1300</v>
      </c>
      <c r="R96">
        <v>89.3</v>
      </c>
      <c r="U96">
        <v>200</v>
      </c>
      <c r="V96" s="4">
        <f t="shared" si="18"/>
        <v>0.22396416573348266</v>
      </c>
      <c r="W96">
        <v>65</v>
      </c>
      <c r="Y96">
        <v>15.34</v>
      </c>
      <c r="Z96">
        <v>15.34</v>
      </c>
      <c r="AD96" t="str">
        <f>CONCATENATE(VLOOKUP(AE96, 'Voxel Sizes'!$A$2:$B$18,2,FALSE),"x",INT(AA96*15), "x", INT(AB96*15))</f>
        <v>152x0x0</v>
      </c>
      <c r="AE96">
        <f t="shared" si="14"/>
        <v>9</v>
      </c>
      <c r="AG96" t="str">
        <f>CONCATENATE(VLOOKUP(AE96,'Articulated Lengths'!$A$2:$C$16,IF(AF96&lt;&gt;"", 3, 2), FALSE),IF(AF96&lt;&gt;"",CONCATENATE(",",VLOOKUP(AF96,$B$2:$AG$213,32,FALSE)),""))</f>
        <v>2,5,2</v>
      </c>
      <c r="AL96">
        <v>10</v>
      </c>
      <c r="AM96">
        <v>10</v>
      </c>
      <c r="AP96" t="str">
        <f>VLOOKUP(F96,Eras!$A$2:$C$12, 2, TRUE)</f>
        <v>br</v>
      </c>
      <c r="AQ96" t="s">
        <v>450</v>
      </c>
      <c r="AR96" t="str">
        <f t="shared" si="17"/>
        <v>br_Freight (Electric)</v>
      </c>
      <c r="AS96" t="s">
        <v>466</v>
      </c>
    </row>
    <row r="97" spans="1:45" x14ac:dyDescent="0.25">
      <c r="A97" t="s">
        <v>640</v>
      </c>
      <c r="B97" t="s">
        <v>634</v>
      </c>
      <c r="C97" t="s">
        <v>364</v>
      </c>
      <c r="D97" t="s">
        <v>373</v>
      </c>
      <c r="E97" t="s">
        <v>376</v>
      </c>
      <c r="F97">
        <v>1951</v>
      </c>
      <c r="G97">
        <v>1952</v>
      </c>
      <c r="H97">
        <v>1966</v>
      </c>
      <c r="J97">
        <v>1500</v>
      </c>
      <c r="K97">
        <v>19.5</v>
      </c>
      <c r="L97">
        <v>28</v>
      </c>
      <c r="M97">
        <v>2</v>
      </c>
      <c r="N97">
        <v>225</v>
      </c>
      <c r="O97" s="5">
        <f>((($W97/2)/60)*5280)/($P97*3.2*PI())</f>
        <v>184.28467094851041</v>
      </c>
      <c r="P97">
        <v>1.9</v>
      </c>
      <c r="Q97">
        <f>((($K97*$K97/4)*PI())*($L97/12)*$M97*$N97*$O97)/(33000*1.1)</f>
        <v>1591.9557416267944</v>
      </c>
      <c r="R97">
        <v>89.92</v>
      </c>
      <c r="S97">
        <v>14.38</v>
      </c>
      <c r="U97">
        <v>122</v>
      </c>
      <c r="V97" s="4">
        <f t="shared" si="18"/>
        <v>0.11697027804410355</v>
      </c>
      <c r="W97">
        <v>80</v>
      </c>
      <c r="Y97">
        <v>20.96</v>
      </c>
      <c r="Z97">
        <f>Y97-7.5</f>
        <v>13.46</v>
      </c>
      <c r="AB97">
        <v>3.98</v>
      </c>
      <c r="AD97" t="str">
        <f>CONCATENATE(VLOOKUP(AE97, 'Voxel Sizes'!$A$2:$B$18,2,FALSE),"x",INT(AA97*15), "x", INT(AB97*15))</f>
        <v>136x0x59</v>
      </c>
      <c r="AE97">
        <f t="shared" si="14"/>
        <v>8</v>
      </c>
      <c r="AF97" t="s">
        <v>564</v>
      </c>
      <c r="AG97" t="str">
        <f>CONCATENATE(VLOOKUP(AE97,'Articulated Lengths'!$A$2:$C$16,IF(AF97&lt;&gt;"", 3, 2), FALSE),IF(AF97&lt;&gt;"",CONCATENATE(",",VLOOKUP(AF97,$B$2:$AG$213,32,FALSE)),""))</f>
        <v>2,4,3,1,3,1</v>
      </c>
      <c r="AK97">
        <v>1</v>
      </c>
      <c r="AL97">
        <v>10</v>
      </c>
      <c r="AM97">
        <v>10</v>
      </c>
      <c r="AP97" t="str">
        <f>VLOOKUP(F97,Eras!$A$2:$C$12, 2, TRUE)</f>
        <v>br</v>
      </c>
      <c r="AQ97" t="s">
        <v>438</v>
      </c>
      <c r="AR97" t="str">
        <f t="shared" si="17"/>
        <v>br_Mixed Traffic</v>
      </c>
      <c r="AS97" t="s">
        <v>638</v>
      </c>
    </row>
    <row r="98" spans="1:45" x14ac:dyDescent="0.25">
      <c r="A98" t="s">
        <v>641</v>
      </c>
      <c r="B98" t="s">
        <v>635</v>
      </c>
      <c r="C98" t="s">
        <v>364</v>
      </c>
      <c r="D98" t="s">
        <v>373</v>
      </c>
      <c r="E98" t="s">
        <v>376</v>
      </c>
      <c r="F98">
        <v>1951</v>
      </c>
      <c r="G98">
        <v>1954</v>
      </c>
      <c r="H98">
        <v>1968</v>
      </c>
      <c r="J98">
        <v>2000</v>
      </c>
      <c r="K98">
        <v>20</v>
      </c>
      <c r="L98">
        <v>28</v>
      </c>
      <c r="M98">
        <v>2</v>
      </c>
      <c r="N98">
        <v>250</v>
      </c>
      <c r="O98" s="5">
        <f>((($W98/2)/60)*5280)/($P98*3.2*PI())</f>
        <v>207.32025481707421</v>
      </c>
      <c r="P98">
        <v>1.9</v>
      </c>
      <c r="Q98">
        <f>((($K98*$K98/4)*PI())*($L98/12)*$M98*$N98*$O98)/(33000*1.1)</f>
        <v>2093.3014354066986</v>
      </c>
      <c r="R98">
        <v>95.5</v>
      </c>
      <c r="S98">
        <v>50</v>
      </c>
      <c r="U98">
        <v>143</v>
      </c>
      <c r="V98" s="4">
        <f t="shared" si="18"/>
        <v>9.8281786941580754E-2</v>
      </c>
      <c r="W98">
        <v>90</v>
      </c>
      <c r="Y98">
        <v>20.96</v>
      </c>
      <c r="Z98">
        <f>Y98-7.5</f>
        <v>13.46</v>
      </c>
      <c r="AB98">
        <v>3.98</v>
      </c>
      <c r="AD98" t="str">
        <f>CONCATENATE(VLOOKUP(AE98, 'Voxel Sizes'!$A$2:$B$18,2,FALSE),"x",INT(AA98*15), "x", INT(AB98*15))</f>
        <v>136x0x59</v>
      </c>
      <c r="AE98">
        <f t="shared" si="14"/>
        <v>8</v>
      </c>
      <c r="AF98" t="s">
        <v>564</v>
      </c>
      <c r="AG98" t="str">
        <f>CONCATENATE(VLOOKUP(AE98,'Articulated Lengths'!$A$2:$C$16,IF(AF98&lt;&gt;"", 3, 2), FALSE),IF(AF98&lt;&gt;"",CONCATENATE(",",VLOOKUP(AF98,$B$2:$AG$213,32,FALSE)),""))</f>
        <v>2,4,3,1,3,1</v>
      </c>
      <c r="AK98">
        <v>1</v>
      </c>
      <c r="AL98">
        <v>10</v>
      </c>
      <c r="AM98">
        <v>10</v>
      </c>
      <c r="AP98" t="str">
        <f>VLOOKUP(F98,Eras!$A$2:$C$12, 2, TRUE)</f>
        <v>br</v>
      </c>
      <c r="AQ98" t="s">
        <v>438</v>
      </c>
      <c r="AR98" t="str">
        <f t="shared" si="17"/>
        <v>br_Mixed Traffic</v>
      </c>
      <c r="AS98" t="s">
        <v>637</v>
      </c>
    </row>
    <row r="99" spans="1:45" x14ac:dyDescent="0.25">
      <c r="A99" t="s">
        <v>82</v>
      </c>
      <c r="B99" t="s">
        <v>223</v>
      </c>
      <c r="C99" t="s">
        <v>364</v>
      </c>
      <c r="D99" t="s">
        <v>374</v>
      </c>
      <c r="E99" t="s">
        <v>376</v>
      </c>
      <c r="F99">
        <v>1952</v>
      </c>
      <c r="G99">
        <v>1962</v>
      </c>
      <c r="J99">
        <v>350</v>
      </c>
      <c r="R99">
        <v>49.8</v>
      </c>
      <c r="U99">
        <v>160</v>
      </c>
      <c r="V99" s="4">
        <f t="shared" si="18"/>
        <v>0.32128514056224899</v>
      </c>
      <c r="W99">
        <v>20</v>
      </c>
      <c r="Y99">
        <v>8.92</v>
      </c>
      <c r="Z99">
        <v>9.5</v>
      </c>
      <c r="AA99">
        <v>2.59</v>
      </c>
      <c r="AB99">
        <v>3.87</v>
      </c>
      <c r="AD99" t="str">
        <f>CONCATENATE(VLOOKUP(AE99, 'Voxel Sizes'!$A$2:$B$18,2,FALSE),"x",INT(AA99*15), "x", INT(AB99*15))</f>
        <v>102x38x58</v>
      </c>
      <c r="AE99">
        <f t="shared" si="14"/>
        <v>6</v>
      </c>
      <c r="AG99" t="str">
        <f>CONCATENATE(VLOOKUP(AE99,'Articulated Lengths'!$A$2:$C$16,IF(AF99&lt;&gt;"", 3, 2), FALSE),IF(AF99&lt;&gt;"",CONCATENATE(",",VLOOKUP(AF99,$B$2:$AG$213,32,FALSE)),""))</f>
        <v>2,2,2</v>
      </c>
      <c r="AK99">
        <v>1</v>
      </c>
      <c r="AL99">
        <v>10</v>
      </c>
      <c r="AM99">
        <v>10</v>
      </c>
      <c r="AP99" t="str">
        <f>VLOOKUP(F99,Eras!$A$2:$C$12, 2, TRUE)</f>
        <v>br</v>
      </c>
      <c r="AQ99" t="s">
        <v>437</v>
      </c>
      <c r="AR99" t="str">
        <f t="shared" si="17"/>
        <v>br_Cheap</v>
      </c>
      <c r="AS99" t="s">
        <v>467</v>
      </c>
    </row>
    <row r="100" spans="1:45" x14ac:dyDescent="0.25">
      <c r="A100" t="s">
        <v>77</v>
      </c>
      <c r="B100" t="s">
        <v>348</v>
      </c>
      <c r="C100" t="s">
        <v>364</v>
      </c>
      <c r="D100" t="s">
        <v>398</v>
      </c>
      <c r="E100" t="s">
        <v>399</v>
      </c>
      <c r="F100">
        <v>1953</v>
      </c>
      <c r="G100">
        <v>1954</v>
      </c>
      <c r="H100">
        <v>1968</v>
      </c>
      <c r="J100">
        <v>2490</v>
      </c>
      <c r="R100">
        <v>104.1</v>
      </c>
      <c r="U100">
        <v>200</v>
      </c>
      <c r="V100" s="4">
        <f t="shared" si="18"/>
        <v>0.19212295869356388</v>
      </c>
      <c r="W100">
        <v>90</v>
      </c>
      <c r="Y100">
        <v>17.98</v>
      </c>
      <c r="Z100">
        <v>17.98</v>
      </c>
      <c r="AD100" t="str">
        <f>CONCATENATE(VLOOKUP(AE100, 'Voxel Sizes'!$A$2:$B$18,2,FALSE),"x",INT(AA100*15), "x", INT(AB100*15))</f>
        <v>186x0x0</v>
      </c>
      <c r="AE100">
        <f t="shared" si="14"/>
        <v>11</v>
      </c>
      <c r="AG100" t="str">
        <f>CONCATENATE(VLOOKUP(AE100,'Articulated Lengths'!$A$2:$C$16,IF(AF100&lt;&gt;"", 3, 2), FALSE),IF(AF100&lt;&gt;"",CONCATENATE(",",VLOOKUP(AF100,$B$2:$AG$213,32,FALSE)),""))</f>
        <v>3,5,3</v>
      </c>
      <c r="AL100">
        <v>10</v>
      </c>
      <c r="AM100">
        <v>10</v>
      </c>
      <c r="AP100" t="str">
        <f>VLOOKUP(F100,Eras!$A$2:$C$12, 2, TRUE)</f>
        <v>br</v>
      </c>
      <c r="AQ100" t="s">
        <v>449</v>
      </c>
      <c r="AR100" t="str">
        <f t="shared" si="17"/>
        <v>br_Express (Electric)</v>
      </c>
      <c r="AS100" t="s">
        <v>639</v>
      </c>
    </row>
    <row r="101" spans="1:45" x14ac:dyDescent="0.25">
      <c r="A101" t="s">
        <v>633</v>
      </c>
      <c r="B101" t="s">
        <v>636</v>
      </c>
      <c r="C101" t="s">
        <v>364</v>
      </c>
      <c r="D101" t="s">
        <v>373</v>
      </c>
      <c r="E101" t="s">
        <v>376</v>
      </c>
      <c r="F101">
        <v>1954</v>
      </c>
      <c r="G101">
        <v>1960</v>
      </c>
      <c r="H101">
        <v>1968</v>
      </c>
      <c r="J101">
        <v>2500</v>
      </c>
      <c r="K101">
        <v>20</v>
      </c>
      <c r="L101">
        <v>28</v>
      </c>
      <c r="M101">
        <v>2</v>
      </c>
      <c r="N101">
        <v>250</v>
      </c>
      <c r="O101" s="5">
        <f>((($W101/2)/60)*5280)/($P101*3.2*PI())</f>
        <v>262.60565610162729</v>
      </c>
      <c r="P101">
        <v>1.5</v>
      </c>
      <c r="Q101">
        <f>((($K101*$K101/4)*PI())*($L101/12)*$M101*$N101*$O101)/(33000*1.1)</f>
        <v>2651.515151515151</v>
      </c>
      <c r="R101">
        <v>90</v>
      </c>
      <c r="S101">
        <v>51</v>
      </c>
      <c r="U101">
        <v>176</v>
      </c>
      <c r="V101" s="4">
        <f t="shared" si="18"/>
        <v>0.12482269503546099</v>
      </c>
      <c r="W101">
        <v>90</v>
      </c>
      <c r="Y101">
        <v>20.170000000000002</v>
      </c>
      <c r="Z101">
        <v>15</v>
      </c>
      <c r="AD101" t="str">
        <f>CONCATENATE(VLOOKUP(AE101, 'Voxel Sizes'!$A$2:$B$18,2,FALSE),"x",INT(AA101*15), "x", INT(AB101*15))</f>
        <v>152x0x0</v>
      </c>
      <c r="AE101">
        <f t="shared" si="14"/>
        <v>9</v>
      </c>
      <c r="AF101" t="s">
        <v>564</v>
      </c>
      <c r="AG101" t="str">
        <f>CONCATENATE(VLOOKUP(AE101,'Articulated Lengths'!$A$2:$C$16,IF(AF101&lt;&gt;"", 3, 2), FALSE),IF(AF101&lt;&gt;"",CONCATENATE(",",VLOOKUP(AF101,$B$2:$AG$213,32,FALSE)),""))</f>
        <v>2,5,2,1,3,1</v>
      </c>
      <c r="AK101">
        <v>1</v>
      </c>
      <c r="AL101">
        <v>10</v>
      </c>
      <c r="AM101">
        <v>10</v>
      </c>
      <c r="AP101" t="str">
        <f>VLOOKUP(F101,Eras!$A$2:$C$12, 2, TRUE)</f>
        <v>br</v>
      </c>
      <c r="AQ101" t="s">
        <v>440</v>
      </c>
      <c r="AR101" t="str">
        <f t="shared" si="17"/>
        <v>br_Freight</v>
      </c>
      <c r="AS101" t="s">
        <v>642</v>
      </c>
    </row>
    <row r="102" spans="1:45" x14ac:dyDescent="0.25">
      <c r="A102" t="s">
        <v>49</v>
      </c>
      <c r="B102" t="s">
        <v>369</v>
      </c>
      <c r="C102" t="s">
        <v>364</v>
      </c>
      <c r="D102" t="s">
        <v>374</v>
      </c>
      <c r="E102" t="s">
        <v>376</v>
      </c>
      <c r="F102">
        <v>1955</v>
      </c>
      <c r="G102">
        <v>1962</v>
      </c>
      <c r="H102">
        <v>1982</v>
      </c>
      <c r="J102">
        <v>3300</v>
      </c>
      <c r="R102">
        <v>108</v>
      </c>
      <c r="U102">
        <v>233</v>
      </c>
      <c r="V102" s="4">
        <f t="shared" si="18"/>
        <v>0.21574074074074073</v>
      </c>
      <c r="W102">
        <v>106</v>
      </c>
      <c r="Y102">
        <v>21.18</v>
      </c>
      <c r="Z102">
        <v>21.18</v>
      </c>
      <c r="AB102">
        <v>3.91</v>
      </c>
      <c r="AD102" t="str">
        <f>CONCATENATE(VLOOKUP(AE102, 'Voxel Sizes'!$A$2:$B$18,2,FALSE),"x",INT(AA102*15), "x", INT(AB102*15))</f>
        <v>198x0x58</v>
      </c>
      <c r="AE102">
        <f t="shared" si="14"/>
        <v>12</v>
      </c>
      <c r="AG102" t="str">
        <f>CONCATENATE(VLOOKUP(AE102,'Articulated Lengths'!$A$2:$C$16,IF(AF102&lt;&gt;"", 3, 2), FALSE),IF(AF102&lt;&gt;"",CONCATENATE(",",VLOOKUP(AF102,$B$2:$AG$213,32,FALSE)),""))</f>
        <v>3,6,3</v>
      </c>
      <c r="AL102">
        <v>10</v>
      </c>
      <c r="AM102">
        <v>10</v>
      </c>
      <c r="AP102" t="str">
        <f>VLOOKUP(F102,Eras!$A$2:$C$12, 2, TRUE)</f>
        <v>dsl</v>
      </c>
      <c r="AQ102" t="s">
        <v>439</v>
      </c>
      <c r="AR102" t="str">
        <f t="shared" si="17"/>
        <v>dsl_Express</v>
      </c>
      <c r="AS102" t="s">
        <v>643</v>
      </c>
    </row>
    <row r="103" spans="1:45" x14ac:dyDescent="0.25">
      <c r="A103" t="s">
        <v>87</v>
      </c>
      <c r="B103" t="s">
        <v>319</v>
      </c>
      <c r="C103" t="s">
        <v>526</v>
      </c>
      <c r="D103" t="s">
        <v>374</v>
      </c>
      <c r="E103" t="s">
        <v>376</v>
      </c>
      <c r="F103">
        <v>1956</v>
      </c>
      <c r="G103">
        <v>1960</v>
      </c>
      <c r="H103">
        <v>2003</v>
      </c>
      <c r="I103">
        <v>2</v>
      </c>
      <c r="J103">
        <v>600</v>
      </c>
      <c r="R103">
        <f>32.5+25</f>
        <v>57.5</v>
      </c>
      <c r="U103">
        <v>85</v>
      </c>
      <c r="V103" s="4">
        <f t="shared" si="18"/>
        <v>0.14782608695652175</v>
      </c>
      <c r="W103">
        <v>70</v>
      </c>
      <c r="Y103">
        <v>17.37</v>
      </c>
      <c r="Z103">
        <v>17.37</v>
      </c>
      <c r="AB103">
        <v>3.77</v>
      </c>
      <c r="AC103">
        <v>51</v>
      </c>
      <c r="AD103" t="str">
        <f>CONCATENATE(VLOOKUP(AE103, 'Voxel Sizes'!$A$2:$B$18,2,FALSE),"x",INT(AA103*15), "x", INT(AB103*15))</f>
        <v>164x0x56</v>
      </c>
      <c r="AE103">
        <f t="shared" si="14"/>
        <v>10</v>
      </c>
      <c r="AG103" t="str">
        <f>CONCATENATE(VLOOKUP(AE103,'Articulated Lengths'!$A$2:$C$16,IF(AF103&lt;&gt;"", 3, 2), FALSE),IF(AF103&lt;&gt;"",CONCATENATE(",",VLOOKUP(AF103,$B$2:$AG$213,32,FALSE)),""))</f>
        <v>3,4,3</v>
      </c>
      <c r="AH103" t="s">
        <v>645</v>
      </c>
      <c r="AI103" t="s">
        <v>591</v>
      </c>
      <c r="AL103">
        <v>10</v>
      </c>
      <c r="AM103">
        <v>10</v>
      </c>
      <c r="AO103" t="s">
        <v>385</v>
      </c>
      <c r="AP103" t="str">
        <f>VLOOKUP(F103,Eras!$A$2:$C$12, 2, TRUE)</f>
        <v>dsl</v>
      </c>
      <c r="AQ103" t="s">
        <v>442</v>
      </c>
      <c r="AR103" t="str">
        <f t="shared" si="17"/>
        <v>dsl_DMU</v>
      </c>
      <c r="AS103" t="s">
        <v>644</v>
      </c>
    </row>
    <row r="104" spans="1:45" x14ac:dyDescent="0.25">
      <c r="A104" t="s">
        <v>89</v>
      </c>
      <c r="B104" t="s">
        <v>245</v>
      </c>
      <c r="C104" t="s">
        <v>195</v>
      </c>
      <c r="E104" t="s">
        <v>376</v>
      </c>
      <c r="F104">
        <v>1956</v>
      </c>
      <c r="G104">
        <v>1959</v>
      </c>
      <c r="H104">
        <v>1988</v>
      </c>
      <c r="J104">
        <v>300</v>
      </c>
      <c r="R104">
        <f>30.5*2</f>
        <v>61</v>
      </c>
      <c r="V104" s="4" t="str">
        <f t="shared" si="18"/>
        <v/>
      </c>
      <c r="W104">
        <v>70</v>
      </c>
      <c r="Y104">
        <v>17.53</v>
      </c>
      <c r="Z104">
        <v>17.53</v>
      </c>
      <c r="AB104">
        <v>3.84</v>
      </c>
      <c r="AD104" t="str">
        <f>CONCATENATE(VLOOKUP(AE104, 'Voxel Sizes'!$A$2:$B$18,2,FALSE),"x",INT(AA104*15), "x", INT(AB104*15))</f>
        <v>164x0x57</v>
      </c>
      <c r="AE104">
        <f t="shared" si="14"/>
        <v>10</v>
      </c>
      <c r="AG104" t="str">
        <f>CONCATENATE(VLOOKUP(AE104,'Articulated Lengths'!$A$2:$C$16,IF(AF104&lt;&gt;"", 3, 2), FALSE),IF(AF104&lt;&gt;"",CONCATENATE(",",VLOOKUP(AF104,$B$2:$AG$213,32,FALSE)),""))</f>
        <v>3,4,3</v>
      </c>
      <c r="AL104">
        <v>10</v>
      </c>
      <c r="AM104">
        <v>10</v>
      </c>
      <c r="AP104" t="str">
        <f>VLOOKUP(F104,Eras!$A$2:$C$12, 2, TRUE)</f>
        <v>dsl</v>
      </c>
      <c r="AR104" t="str">
        <f t="shared" si="17"/>
        <v>dsl_</v>
      </c>
    </row>
    <row r="105" spans="1:45" x14ac:dyDescent="0.25">
      <c r="A105" t="s">
        <v>145</v>
      </c>
      <c r="B105" t="s">
        <v>359</v>
      </c>
      <c r="C105" t="s">
        <v>383</v>
      </c>
      <c r="E105" t="s">
        <v>376</v>
      </c>
      <c r="F105">
        <v>1956</v>
      </c>
      <c r="R105">
        <v>40</v>
      </c>
      <c r="T105">
        <v>9</v>
      </c>
      <c r="V105" s="4" t="str">
        <f t="shared" si="18"/>
        <v/>
      </c>
      <c r="W105">
        <v>110</v>
      </c>
      <c r="Y105">
        <v>19.66</v>
      </c>
      <c r="Z105">
        <v>19.66</v>
      </c>
      <c r="AA105">
        <v>2.83</v>
      </c>
      <c r="AB105">
        <v>3.79</v>
      </c>
      <c r="AC105">
        <v>57</v>
      </c>
      <c r="AD105" t="str">
        <f>CONCATENATE(VLOOKUP(AE105, 'Voxel Sizes'!$A$2:$B$18,2,FALSE),"x",INT(AA105*15), "x", INT(AB105*15))</f>
        <v>198x42x56</v>
      </c>
      <c r="AE105">
        <f t="shared" si="14"/>
        <v>12</v>
      </c>
      <c r="AG105" t="str">
        <f>CONCATENATE(VLOOKUP(AE105,'Articulated Lengths'!$A$2:$C$16,IF(AF105&lt;&gt;"", 3, 2), FALSE),IF(AF105&lt;&gt;"",CONCATENATE(",",VLOOKUP(AF105,$B$2:$AG$213,32,FALSE)),""))</f>
        <v>3,6,3</v>
      </c>
      <c r="AL105">
        <v>10</v>
      </c>
      <c r="AM105">
        <v>10</v>
      </c>
      <c r="AO105" t="s">
        <v>385</v>
      </c>
      <c r="AP105" t="str">
        <f>VLOOKUP(F105,Eras!$A$2:$C$12, 2, TRUE)</f>
        <v>dsl</v>
      </c>
      <c r="AQ105" t="s">
        <v>446</v>
      </c>
      <c r="AR105" t="str">
        <f t="shared" si="17"/>
        <v>dsl_Carriage</v>
      </c>
      <c r="AS105" t="s">
        <v>472</v>
      </c>
    </row>
    <row r="106" spans="1:45" x14ac:dyDescent="0.25">
      <c r="A106" t="s">
        <v>647</v>
      </c>
      <c r="B106" t="s">
        <v>224</v>
      </c>
      <c r="C106" t="s">
        <v>364</v>
      </c>
      <c r="D106" t="s">
        <v>374</v>
      </c>
      <c r="E106" t="s">
        <v>376</v>
      </c>
      <c r="F106">
        <v>1957</v>
      </c>
      <c r="G106">
        <v>1962</v>
      </c>
      <c r="H106">
        <v>2017</v>
      </c>
      <c r="J106">
        <v>1250</v>
      </c>
      <c r="R106">
        <v>108.4</v>
      </c>
      <c r="U106">
        <v>160</v>
      </c>
      <c r="V106" s="4">
        <f t="shared" si="18"/>
        <v>0.14760147601476015</v>
      </c>
      <c r="W106">
        <v>80</v>
      </c>
      <c r="Y106">
        <v>17.3</v>
      </c>
      <c r="Z106">
        <v>17.3</v>
      </c>
      <c r="AB106">
        <v>3.84</v>
      </c>
      <c r="AD106" t="str">
        <f>CONCATENATE(VLOOKUP(AE106, 'Voxel Sizes'!$A$2:$B$18,2,FALSE),"x",INT(AA106*15), "x", INT(AB106*15))</f>
        <v>164x0x57</v>
      </c>
      <c r="AE106">
        <f t="shared" si="14"/>
        <v>10</v>
      </c>
      <c r="AG106" t="str">
        <f>CONCATENATE(VLOOKUP(AE106,'Articulated Lengths'!$A$2:$C$16,IF(AF106&lt;&gt;"", 3, 2), FALSE),IF(AF106&lt;&gt;"",CONCATENATE(",",VLOOKUP(AF106,$B$2:$AG$213,32,FALSE)),""))</f>
        <v>3,4,3</v>
      </c>
      <c r="AL106">
        <v>10</v>
      </c>
      <c r="AM106">
        <v>10</v>
      </c>
      <c r="AP106" t="str">
        <f>VLOOKUP(F106,Eras!$A$2:$C$12, 2, TRUE)</f>
        <v>dsl</v>
      </c>
      <c r="AQ106" t="s">
        <v>440</v>
      </c>
      <c r="AR106" t="str">
        <f t="shared" si="17"/>
        <v>dsl_Freight</v>
      </c>
      <c r="AS106" t="s">
        <v>648</v>
      </c>
    </row>
    <row r="107" spans="1:45" x14ac:dyDescent="0.25">
      <c r="A107" t="s">
        <v>59</v>
      </c>
      <c r="B107" t="s">
        <v>367</v>
      </c>
      <c r="C107" t="s">
        <v>364</v>
      </c>
      <c r="D107" t="s">
        <v>374</v>
      </c>
      <c r="E107" t="s">
        <v>376</v>
      </c>
      <c r="F107">
        <v>1957</v>
      </c>
      <c r="G107">
        <v>1968</v>
      </c>
      <c r="J107">
        <v>1000</v>
      </c>
      <c r="R107">
        <v>73</v>
      </c>
      <c r="U107">
        <v>186</v>
      </c>
      <c r="V107" s="4">
        <f t="shared" si="18"/>
        <v>0.25479452054794521</v>
      </c>
      <c r="W107">
        <v>75</v>
      </c>
      <c r="Y107">
        <v>14.25</v>
      </c>
      <c r="Z107">
        <v>14.25</v>
      </c>
      <c r="AA107">
        <v>2.67</v>
      </c>
      <c r="AB107">
        <v>3.85</v>
      </c>
      <c r="AD107" t="str">
        <f>CONCATENATE(VLOOKUP(AE107, 'Voxel Sizes'!$A$2:$B$18,2,FALSE),"x",INT(AA107*15), "x", INT(AB107*15))</f>
        <v>136x40x57</v>
      </c>
      <c r="AE107">
        <f t="shared" si="14"/>
        <v>8</v>
      </c>
      <c r="AG107" t="str">
        <f>CONCATENATE(VLOOKUP(AE107,'Articulated Lengths'!$A$2:$C$16,IF(AF107&lt;&gt;"", 3, 2), FALSE),IF(AF107&lt;&gt;"",CONCATENATE(",",VLOOKUP(AF107,$B$2:$AG$213,32,FALSE)),""))</f>
        <v>2,4,2</v>
      </c>
      <c r="AL107">
        <v>10</v>
      </c>
      <c r="AM107">
        <v>10</v>
      </c>
      <c r="AP107" t="str">
        <f>VLOOKUP(F107,Eras!$A$2:$C$12, 2, TRUE)</f>
        <v>dsl</v>
      </c>
      <c r="AQ107" t="s">
        <v>438</v>
      </c>
      <c r="AR107" t="str">
        <f t="shared" si="17"/>
        <v>dsl_Mixed Traffic</v>
      </c>
      <c r="AS107" t="s">
        <v>468</v>
      </c>
    </row>
    <row r="108" spans="1:45" x14ac:dyDescent="0.25">
      <c r="A108" t="s">
        <v>43</v>
      </c>
      <c r="B108" t="s">
        <v>225</v>
      </c>
      <c r="C108" t="s">
        <v>195</v>
      </c>
      <c r="E108" t="s">
        <v>376</v>
      </c>
      <c r="F108">
        <v>1958</v>
      </c>
      <c r="G108">
        <v>1961</v>
      </c>
      <c r="H108">
        <v>1966</v>
      </c>
      <c r="J108">
        <v>2750</v>
      </c>
      <c r="R108">
        <v>45</v>
      </c>
      <c r="U108">
        <v>169</v>
      </c>
      <c r="V108" s="4">
        <f t="shared" si="18"/>
        <v>0.37555555555555553</v>
      </c>
      <c r="W108">
        <v>90</v>
      </c>
      <c r="Y108">
        <v>20.74</v>
      </c>
      <c r="Z108">
        <v>20.74</v>
      </c>
      <c r="AD108" t="str">
        <f>CONCATENATE(VLOOKUP(AE108, 'Voxel Sizes'!$A$2:$B$18,2,FALSE),"x",INT(AA108*15), "x", INT(AB108*15))</f>
        <v>198x0x0</v>
      </c>
      <c r="AE108">
        <f t="shared" si="14"/>
        <v>12</v>
      </c>
      <c r="AG108" t="str">
        <f>CONCATENATE(VLOOKUP(AE108,'Articulated Lengths'!$A$2:$C$16,IF(AF108&lt;&gt;"", 3, 2), FALSE),IF(AF108&lt;&gt;"",CONCATENATE(",",VLOOKUP(AF108,$B$2:$AG$213,32,FALSE)),""))</f>
        <v>3,6,3</v>
      </c>
      <c r="AL108">
        <v>10</v>
      </c>
      <c r="AM108">
        <v>10</v>
      </c>
      <c r="AP108" t="str">
        <f>VLOOKUP(F108,Eras!$A$2:$C$12, 2, TRUE)</f>
        <v>dsl</v>
      </c>
      <c r="AQ108" t="s">
        <v>439</v>
      </c>
      <c r="AR108" t="str">
        <f t="shared" ref="AR108:AR139" si="26">CONCATENATE(AP108,"_",AQ108)</f>
        <v>dsl_Express</v>
      </c>
      <c r="AS108" t="s">
        <v>646</v>
      </c>
    </row>
    <row r="109" spans="1:45" x14ac:dyDescent="0.25">
      <c r="A109" t="s">
        <v>47</v>
      </c>
      <c r="B109" t="s">
        <v>226</v>
      </c>
      <c r="C109" t="s">
        <v>364</v>
      </c>
      <c r="D109" t="s">
        <v>374</v>
      </c>
      <c r="E109" t="s">
        <v>376</v>
      </c>
      <c r="F109">
        <v>1958</v>
      </c>
      <c r="G109">
        <v>1961</v>
      </c>
      <c r="H109">
        <v>1972</v>
      </c>
      <c r="J109">
        <f>1035*2</f>
        <v>2070</v>
      </c>
      <c r="R109">
        <v>79.3</v>
      </c>
      <c r="U109">
        <v>214</v>
      </c>
      <c r="V109" s="4">
        <f t="shared" si="18"/>
        <v>0.26986128625472888</v>
      </c>
      <c r="W109">
        <v>90</v>
      </c>
      <c r="Y109">
        <v>18.29</v>
      </c>
      <c r="Z109">
        <v>18.29</v>
      </c>
      <c r="AB109">
        <v>3.67</v>
      </c>
      <c r="AD109" t="str">
        <f>CONCATENATE(VLOOKUP(AE109, 'Voxel Sizes'!$A$2:$B$18,2,FALSE),"x",INT(AA109*15), "x", INT(AB109*15))</f>
        <v>186x0x55</v>
      </c>
      <c r="AE109">
        <f t="shared" si="14"/>
        <v>11</v>
      </c>
      <c r="AG109" t="str">
        <f>CONCATENATE(VLOOKUP(AE109,'Articulated Lengths'!$A$2:$C$16,IF(AF109&lt;&gt;"", 3, 2), FALSE),IF(AF109&lt;&gt;"",CONCATENATE(",",VLOOKUP(AF109,$B$2:$AG$213,32,FALSE)),""))</f>
        <v>3,5,3</v>
      </c>
      <c r="AL109">
        <v>10</v>
      </c>
      <c r="AM109">
        <v>10</v>
      </c>
      <c r="AP109" t="str">
        <f>VLOOKUP(F109,Eras!$A$2:$C$12, 2, TRUE)</f>
        <v>dsl</v>
      </c>
      <c r="AQ109" t="s">
        <v>488</v>
      </c>
      <c r="AR109" t="str">
        <f t="shared" si="26"/>
        <v>dsl_Passenger</v>
      </c>
      <c r="AS109" t="s">
        <v>649</v>
      </c>
    </row>
    <row r="110" spans="1:45" x14ac:dyDescent="0.25">
      <c r="A110" t="s">
        <v>52</v>
      </c>
      <c r="B110" t="s">
        <v>651</v>
      </c>
      <c r="C110" t="s">
        <v>364</v>
      </c>
      <c r="D110" t="s">
        <v>374</v>
      </c>
      <c r="E110" t="s">
        <v>376</v>
      </c>
      <c r="F110">
        <v>1958</v>
      </c>
      <c r="G110">
        <v>1962</v>
      </c>
      <c r="H110">
        <v>1985</v>
      </c>
      <c r="J110">
        <v>2000</v>
      </c>
      <c r="R110">
        <v>135</v>
      </c>
      <c r="U110">
        <v>231</v>
      </c>
      <c r="V110" s="4">
        <f t="shared" si="18"/>
        <v>0.1711111111111111</v>
      </c>
      <c r="W110">
        <v>90</v>
      </c>
      <c r="Y110">
        <v>21.18</v>
      </c>
      <c r="Z110">
        <v>21.18</v>
      </c>
      <c r="AB110">
        <v>3.91</v>
      </c>
      <c r="AD110" t="str">
        <f>CONCATENATE(VLOOKUP(AE110, 'Voxel Sizes'!$A$2:$B$18,2,FALSE),"x",INT(AA110*15), "x", INT(AB110*15))</f>
        <v>198x0x58</v>
      </c>
      <c r="AE110">
        <f t="shared" si="14"/>
        <v>12</v>
      </c>
      <c r="AG110" t="str">
        <f>CONCATENATE(VLOOKUP(AE110,'Articulated Lengths'!$A$2:$C$16,IF(AF110&lt;&gt;"", 3, 2), FALSE),IF(AF110&lt;&gt;"",CONCATENATE(",",VLOOKUP(AF110,$B$2:$AG$213,32,FALSE)),""))</f>
        <v>3,6,3</v>
      </c>
      <c r="AL110">
        <v>10</v>
      </c>
      <c r="AM110">
        <v>10</v>
      </c>
      <c r="AP110" t="str">
        <f>VLOOKUP(F110,Eras!$A$2:$C$12, 2, TRUE)</f>
        <v>dsl</v>
      </c>
      <c r="AQ110" t="s">
        <v>439</v>
      </c>
      <c r="AR110" t="str">
        <f t="shared" si="26"/>
        <v>dsl_Express</v>
      </c>
      <c r="AS110" t="s">
        <v>650</v>
      </c>
    </row>
    <row r="111" spans="1:45" x14ac:dyDescent="0.25">
      <c r="A111" t="s">
        <v>53</v>
      </c>
      <c r="B111" t="s">
        <v>400</v>
      </c>
      <c r="C111" t="s">
        <v>364</v>
      </c>
      <c r="D111" t="s">
        <v>374</v>
      </c>
      <c r="E111" t="s">
        <v>376</v>
      </c>
      <c r="F111">
        <v>1958</v>
      </c>
      <c r="G111">
        <v>1959</v>
      </c>
      <c r="J111">
        <v>1200</v>
      </c>
      <c r="R111">
        <v>98.6</v>
      </c>
      <c r="U111">
        <v>222</v>
      </c>
      <c r="V111" s="4">
        <f t="shared" si="18"/>
        <v>0.22515212981744423</v>
      </c>
      <c r="W111">
        <v>75</v>
      </c>
      <c r="Y111">
        <v>17.260000000000002</v>
      </c>
      <c r="Z111">
        <v>17.260000000000002</v>
      </c>
      <c r="AB111">
        <v>3.7</v>
      </c>
      <c r="AD111" t="str">
        <f>CONCATENATE(VLOOKUP(AE111, 'Voxel Sizes'!$A$2:$B$18,2,FALSE),"x",INT(AA111*15), "x", INT(AB111*15))</f>
        <v>164x0x55</v>
      </c>
      <c r="AE111">
        <f t="shared" si="14"/>
        <v>10</v>
      </c>
      <c r="AG111" t="str">
        <f>CONCATENATE(VLOOKUP(AE111,'Articulated Lengths'!$A$2:$C$16,IF(AF111&lt;&gt;"", 3, 2), FALSE),IF(AF111&lt;&gt;"",CONCATENATE(",",VLOOKUP(AF111,$B$2:$AG$213,32,FALSE)),""))</f>
        <v>3,4,3</v>
      </c>
      <c r="AL111">
        <v>10</v>
      </c>
      <c r="AM111">
        <v>10</v>
      </c>
      <c r="AP111" t="str">
        <f>VLOOKUP(F111,Eras!$A$2:$C$12, 2, TRUE)</f>
        <v>dsl</v>
      </c>
      <c r="AQ111" t="s">
        <v>438</v>
      </c>
      <c r="AR111" t="str">
        <f t="shared" si="26"/>
        <v>dsl_Mixed Traffic</v>
      </c>
      <c r="AS111" t="s">
        <v>469</v>
      </c>
    </row>
    <row r="112" spans="1:45" x14ac:dyDescent="0.25">
      <c r="A112" t="s">
        <v>78</v>
      </c>
      <c r="B112" t="s">
        <v>297</v>
      </c>
      <c r="C112" t="s">
        <v>364</v>
      </c>
      <c r="D112" t="s">
        <v>398</v>
      </c>
      <c r="E112" t="s">
        <v>406</v>
      </c>
      <c r="F112">
        <v>1958</v>
      </c>
      <c r="G112">
        <v>1960</v>
      </c>
      <c r="J112">
        <v>2300</v>
      </c>
      <c r="R112">
        <v>78.239999999999995</v>
      </c>
      <c r="U112">
        <v>195</v>
      </c>
      <c r="V112" s="4">
        <f t="shared" si="18"/>
        <v>0.24923312883435583</v>
      </c>
      <c r="W112">
        <v>90</v>
      </c>
      <c r="Y112">
        <v>16.36</v>
      </c>
      <c r="Z112">
        <v>16.36</v>
      </c>
      <c r="AD112" t="str">
        <f>CONCATENATE(VLOOKUP(AE112, 'Voxel Sizes'!$A$2:$B$18,2,FALSE),"x",INT(AA112*15), "x", INT(AB112*15))</f>
        <v>164x0x0</v>
      </c>
      <c r="AE112">
        <f t="shared" si="14"/>
        <v>10</v>
      </c>
      <c r="AG112" t="str">
        <f>CONCATENATE(VLOOKUP(AE112,'Articulated Lengths'!$A$2:$C$16,IF(AF112&lt;&gt;"", 3, 2), FALSE),IF(AF112&lt;&gt;"",CONCATENATE(",",VLOOKUP(AF112,$B$2:$AG$213,32,FALSE)),""))</f>
        <v>3,4,3</v>
      </c>
      <c r="AL112">
        <v>10</v>
      </c>
      <c r="AM112">
        <v>10</v>
      </c>
      <c r="AP112" t="str">
        <f>VLOOKUP(F112,Eras!$A$2:$C$12, 2, TRUE)</f>
        <v>dsl</v>
      </c>
      <c r="AQ112" t="s">
        <v>448</v>
      </c>
      <c r="AR112" t="str">
        <f t="shared" si="26"/>
        <v>dsl_MT (Electric)</v>
      </c>
      <c r="AS112" t="s">
        <v>470</v>
      </c>
    </row>
    <row r="113" spans="1:45" x14ac:dyDescent="0.25">
      <c r="A113" t="s">
        <v>50</v>
      </c>
      <c r="B113" t="s">
        <v>368</v>
      </c>
      <c r="C113" t="s">
        <v>364</v>
      </c>
      <c r="D113" t="s">
        <v>374</v>
      </c>
      <c r="E113" t="s">
        <v>376</v>
      </c>
      <c r="F113">
        <v>1959</v>
      </c>
      <c r="G113">
        <v>1959</v>
      </c>
      <c r="J113">
        <v>1100</v>
      </c>
      <c r="R113">
        <v>75.2</v>
      </c>
      <c r="U113">
        <v>209</v>
      </c>
      <c r="V113" s="4">
        <f t="shared" si="18"/>
        <v>0.27792553191489361</v>
      </c>
      <c r="W113">
        <v>75</v>
      </c>
      <c r="Y113">
        <v>16</v>
      </c>
      <c r="Z113">
        <v>16</v>
      </c>
      <c r="AB113">
        <v>3.86</v>
      </c>
      <c r="AD113" t="str">
        <f>CONCATENATE(VLOOKUP(AE113, 'Voxel Sizes'!$A$2:$B$18,2,FALSE),"x",INT(AA113*15), "x", INT(AB113*15))</f>
        <v>152x0x57</v>
      </c>
      <c r="AE113">
        <f t="shared" si="14"/>
        <v>9</v>
      </c>
      <c r="AG113" t="str">
        <f>CONCATENATE(VLOOKUP(AE113,'Articulated Lengths'!$A$2:$C$16,IF(AF113&lt;&gt;"", 3, 2), FALSE),IF(AF113&lt;&gt;"",CONCATENATE(",",VLOOKUP(AF113,$B$2:$AG$213,32,FALSE)),""))</f>
        <v>2,5,2</v>
      </c>
      <c r="AL113">
        <v>10</v>
      </c>
      <c r="AM113">
        <v>10</v>
      </c>
      <c r="AP113" t="str">
        <f>VLOOKUP(F113,Eras!$A$2:$C$12, 2, TRUE)</f>
        <v>dsl</v>
      </c>
      <c r="AQ113" t="s">
        <v>438</v>
      </c>
      <c r="AR113" t="str">
        <f t="shared" si="26"/>
        <v>dsl_Mixed Traffic</v>
      </c>
      <c r="AS113" t="s">
        <v>478</v>
      </c>
    </row>
    <row r="114" spans="1:45" x14ac:dyDescent="0.25">
      <c r="A114" t="s">
        <v>73</v>
      </c>
      <c r="B114" t="s">
        <v>298</v>
      </c>
      <c r="C114" t="s">
        <v>364</v>
      </c>
      <c r="D114" t="s">
        <v>398</v>
      </c>
      <c r="E114" t="s">
        <v>399</v>
      </c>
      <c r="F114">
        <v>1959</v>
      </c>
      <c r="G114">
        <v>1964</v>
      </c>
      <c r="H114">
        <v>1991</v>
      </c>
      <c r="J114">
        <f>4*847</f>
        <v>3388</v>
      </c>
      <c r="R114">
        <v>80.900000000000006</v>
      </c>
      <c r="U114">
        <v>222</v>
      </c>
      <c r="V114" s="4">
        <f t="shared" si="18"/>
        <v>0.27441285537700866</v>
      </c>
      <c r="W114">
        <v>100</v>
      </c>
      <c r="Y114">
        <v>17.22</v>
      </c>
      <c r="Z114">
        <v>17.22</v>
      </c>
      <c r="AB114">
        <v>3.77</v>
      </c>
      <c r="AD114" t="str">
        <f>CONCATENATE(VLOOKUP(AE114, 'Voxel Sizes'!$A$2:$B$18,2,FALSE),"x",INT(AA114*15), "x", INT(AB114*15))</f>
        <v>164x0x56</v>
      </c>
      <c r="AE114">
        <f t="shared" si="14"/>
        <v>10</v>
      </c>
      <c r="AG114" t="str">
        <f>CONCATENATE(VLOOKUP(AE114,'Articulated Lengths'!$A$2:$C$16,IF(AF114&lt;&gt;"", 3, 2), FALSE),IF(AF114&lt;&gt;"",CONCATENATE(",",VLOOKUP(AF114,$B$2:$AG$213,32,FALSE)),""))</f>
        <v>3,4,3</v>
      </c>
      <c r="AL114">
        <v>10</v>
      </c>
      <c r="AM114">
        <v>10</v>
      </c>
      <c r="AP114" t="str">
        <f>VLOOKUP(F114,Eras!$A$2:$C$12, 2, TRUE)</f>
        <v>dsl</v>
      </c>
      <c r="AQ114" t="s">
        <v>449</v>
      </c>
      <c r="AR114" t="str">
        <f t="shared" si="26"/>
        <v>dsl_Express (Electric)</v>
      </c>
      <c r="AS114" t="s">
        <v>652</v>
      </c>
    </row>
    <row r="115" spans="1:45" x14ac:dyDescent="0.25">
      <c r="A115" t="s">
        <v>654</v>
      </c>
      <c r="B115" t="s">
        <v>655</v>
      </c>
      <c r="C115" t="s">
        <v>195</v>
      </c>
      <c r="E115" t="s">
        <v>376</v>
      </c>
      <c r="F115">
        <v>1959</v>
      </c>
      <c r="G115">
        <v>1961</v>
      </c>
      <c r="H115">
        <v>1990</v>
      </c>
      <c r="J115">
        <v>600</v>
      </c>
      <c r="R115">
        <f>36.6+30.5+36.6</f>
        <v>103.69999999999999</v>
      </c>
      <c r="V115" s="4" t="str">
        <f t="shared" si="18"/>
        <v/>
      </c>
      <c r="W115">
        <v>70</v>
      </c>
      <c r="Y115">
        <v>19.510000000000002</v>
      </c>
      <c r="Z115">
        <v>19.510000000000002</v>
      </c>
      <c r="AB115">
        <v>3.87</v>
      </c>
      <c r="AD115" t="str">
        <f>CONCATENATE(VLOOKUP(AE115, 'Voxel Sizes'!$A$2:$B$18,2,FALSE),"x",INT(AA115*15), "x", INT(AB115*15))</f>
        <v>186x0x58</v>
      </c>
      <c r="AE115">
        <f t="shared" si="14"/>
        <v>11</v>
      </c>
      <c r="AG115" t="str">
        <f>CONCATENATE(VLOOKUP(AE115,'Articulated Lengths'!$A$2:$C$16,IF(AF115&lt;&gt;"", 3, 2), FALSE),IF(AF115&lt;&gt;"",CONCATENATE(",",VLOOKUP(AF115,$B$2:$AG$213,32,FALSE)),""))</f>
        <v>3,5,3</v>
      </c>
      <c r="AL115">
        <v>10</v>
      </c>
      <c r="AM115">
        <v>10</v>
      </c>
      <c r="AP115" t="str">
        <f>VLOOKUP(F115,Eras!$A$2:$C$12, 2, TRUE)</f>
        <v>dsl</v>
      </c>
      <c r="AQ115" t="s">
        <v>442</v>
      </c>
      <c r="AR115" t="str">
        <f t="shared" si="26"/>
        <v>dsl_DMU</v>
      </c>
    </row>
    <row r="116" spans="1:45" x14ac:dyDescent="0.25">
      <c r="A116" t="s">
        <v>128</v>
      </c>
      <c r="B116" t="s">
        <v>262</v>
      </c>
      <c r="C116" t="s">
        <v>195</v>
      </c>
      <c r="E116" t="s">
        <v>376</v>
      </c>
      <c r="F116">
        <v>1959</v>
      </c>
      <c r="V116" s="4" t="str">
        <f t="shared" si="18"/>
        <v/>
      </c>
      <c r="AD116" t="str">
        <f>CONCATENATE(VLOOKUP(AE116, 'Voxel Sizes'!$A$2:$B$18,2,FALSE),"x",INT(AA116*15), "x", INT(AB116*15))</f>
        <v>0x0x0</v>
      </c>
      <c r="AE116">
        <f t="shared" si="14"/>
        <v>0</v>
      </c>
      <c r="AG116" t="str">
        <f>CONCATENATE(VLOOKUP(AE116,'Articulated Lengths'!$A$2:$C$16,IF(AF116&lt;&gt;"", 3, 2), FALSE),IF(AF116&lt;&gt;"",CONCATENATE(",",VLOOKUP(AF116,$B$2:$AG$213,32,FALSE)),""))</f>
        <v>na</v>
      </c>
      <c r="AL116">
        <v>10</v>
      </c>
      <c r="AM116">
        <v>10</v>
      </c>
      <c r="AP116" t="str">
        <f>VLOOKUP(F116,Eras!$A$2:$C$12, 2, TRUE)</f>
        <v>dsl</v>
      </c>
      <c r="AQ116" t="s">
        <v>456</v>
      </c>
      <c r="AR116" t="str">
        <f t="shared" si="26"/>
        <v>dsl_LU</v>
      </c>
    </row>
    <row r="117" spans="1:45" x14ac:dyDescent="0.25">
      <c r="A117" t="s">
        <v>51</v>
      </c>
      <c r="B117" t="s">
        <v>363</v>
      </c>
      <c r="C117" t="s">
        <v>364</v>
      </c>
      <c r="D117" t="s">
        <v>374</v>
      </c>
      <c r="E117" t="s">
        <v>376</v>
      </c>
      <c r="F117">
        <v>1960</v>
      </c>
      <c r="G117">
        <v>1965</v>
      </c>
      <c r="J117">
        <v>1750</v>
      </c>
      <c r="R117">
        <v>102</v>
      </c>
      <c r="U117">
        <v>247</v>
      </c>
      <c r="V117" s="4">
        <f t="shared" si="18"/>
        <v>0.24215686274509804</v>
      </c>
      <c r="W117">
        <v>90</v>
      </c>
      <c r="Y117">
        <v>18.75</v>
      </c>
      <c r="Z117">
        <v>18.75</v>
      </c>
      <c r="AA117">
        <v>2.71</v>
      </c>
      <c r="AB117">
        <v>3.89</v>
      </c>
      <c r="AD117" t="str">
        <f>CONCATENATE(VLOOKUP(AE117, 'Voxel Sizes'!$A$2:$B$18,2,FALSE),"x",INT(AA117*15), "x", INT(AB117*15))</f>
        <v>186x40x58</v>
      </c>
      <c r="AE117">
        <f t="shared" si="14"/>
        <v>11</v>
      </c>
      <c r="AG117" t="str">
        <f>CONCATENATE(VLOOKUP(AE117,'Articulated Lengths'!$A$2:$C$16,IF(AF117&lt;&gt;"", 3, 2), FALSE),IF(AF117&lt;&gt;"",CONCATENATE(",",VLOOKUP(AF117,$B$2:$AG$213,32,FALSE)),""))</f>
        <v>3,5,3</v>
      </c>
      <c r="AL117">
        <v>10</v>
      </c>
      <c r="AM117">
        <v>10</v>
      </c>
      <c r="AP117" t="str">
        <f>VLOOKUP(F117,Eras!$A$2:$C$12, 2, TRUE)</f>
        <v>dsl</v>
      </c>
      <c r="AQ117" t="s">
        <v>440</v>
      </c>
      <c r="AR117" t="str">
        <f t="shared" si="26"/>
        <v>dsl_Freight</v>
      </c>
      <c r="AS117" t="s">
        <v>471</v>
      </c>
    </row>
    <row r="118" spans="1:45" x14ac:dyDescent="0.25">
      <c r="A118" t="s">
        <v>61</v>
      </c>
      <c r="B118" t="s">
        <v>657</v>
      </c>
      <c r="C118" t="s">
        <v>364</v>
      </c>
      <c r="D118" t="s">
        <v>374</v>
      </c>
      <c r="E118" t="s">
        <v>376</v>
      </c>
      <c r="F118">
        <v>1960</v>
      </c>
      <c r="G118">
        <v>1962</v>
      </c>
      <c r="H118">
        <v>1989</v>
      </c>
      <c r="J118">
        <v>2500</v>
      </c>
      <c r="R118">
        <v>135</v>
      </c>
      <c r="U118">
        <v>245</v>
      </c>
      <c r="V118" s="4">
        <f t="shared" si="18"/>
        <v>0.18148148148148149</v>
      </c>
      <c r="W118">
        <v>90</v>
      </c>
      <c r="Y118">
        <v>20.7</v>
      </c>
      <c r="Z118">
        <v>20.7</v>
      </c>
      <c r="AB118">
        <v>3.91</v>
      </c>
      <c r="AD118" t="str">
        <f>CONCATENATE(VLOOKUP(AE118, 'Voxel Sizes'!$A$2:$B$18,2,FALSE),"x",INT(AA118*15), "x", INT(AB118*15))</f>
        <v>198x0x58</v>
      </c>
      <c r="AE118">
        <f t="shared" si="14"/>
        <v>12</v>
      </c>
      <c r="AG118" t="str">
        <f>CONCATENATE(VLOOKUP(AE118,'Articulated Lengths'!$A$2:$C$16,IF(AF118&lt;&gt;"", 3, 2), FALSE),IF(AF118&lt;&gt;"",CONCATENATE(",",VLOOKUP(AF118,$B$2:$AG$213,32,FALSE)),""))</f>
        <v>3,6,3</v>
      </c>
      <c r="AL118">
        <v>10</v>
      </c>
      <c r="AM118">
        <v>10</v>
      </c>
      <c r="AP118" t="str">
        <f>VLOOKUP(F118,Eras!$A$2:$C$12, 2, TRUE)</f>
        <v>dsl</v>
      </c>
      <c r="AQ118" t="s">
        <v>439</v>
      </c>
      <c r="AR118" t="str">
        <f t="shared" si="26"/>
        <v>dsl_Express</v>
      </c>
      <c r="AS118" t="s">
        <v>656</v>
      </c>
    </row>
    <row r="119" spans="1:45" x14ac:dyDescent="0.25">
      <c r="A119" t="s">
        <v>62</v>
      </c>
      <c r="B119" t="s">
        <v>659</v>
      </c>
      <c r="C119" t="s">
        <v>364</v>
      </c>
      <c r="D119" t="s">
        <v>374</v>
      </c>
      <c r="E119" t="s">
        <v>376</v>
      </c>
      <c r="F119">
        <v>1960</v>
      </c>
      <c r="G119">
        <v>1962</v>
      </c>
      <c r="J119">
        <v>1550</v>
      </c>
      <c r="R119">
        <v>74.2</v>
      </c>
      <c r="U119">
        <v>200</v>
      </c>
      <c r="V119" s="4">
        <f t="shared" si="18"/>
        <v>0.26954177897574122</v>
      </c>
      <c r="W119">
        <v>85</v>
      </c>
      <c r="Y119">
        <v>15.47</v>
      </c>
      <c r="Z119">
        <v>15.47</v>
      </c>
      <c r="AB119">
        <v>3.86</v>
      </c>
      <c r="AD119" t="str">
        <f>CONCATENATE(VLOOKUP(AE119, 'Voxel Sizes'!$A$2:$B$18,2,FALSE),"x",INT(AA119*15), "x", INT(AB119*15))</f>
        <v>152x0x57</v>
      </c>
      <c r="AE119">
        <f t="shared" si="14"/>
        <v>9</v>
      </c>
      <c r="AG119" t="str">
        <f>CONCATENATE(VLOOKUP(AE119,'Articulated Lengths'!$A$2:$C$16,IF(AF119&lt;&gt;"", 3, 2), FALSE),IF(AF119&lt;&gt;"",CONCATENATE(",",VLOOKUP(AF119,$B$2:$AG$213,32,FALSE)),""))</f>
        <v>2,5,2</v>
      </c>
      <c r="AL119">
        <v>10</v>
      </c>
      <c r="AM119">
        <v>10</v>
      </c>
      <c r="AP119" t="str">
        <f>VLOOKUP(F119,Eras!$A$2:$C$12, 2, TRUE)</f>
        <v>dsl</v>
      </c>
      <c r="AQ119" t="s">
        <v>438</v>
      </c>
      <c r="AR119" t="str">
        <f t="shared" si="26"/>
        <v>dsl_Mixed Traffic</v>
      </c>
      <c r="AS119" t="s">
        <v>658</v>
      </c>
    </row>
    <row r="120" spans="1:45" x14ac:dyDescent="0.25">
      <c r="A120" t="s">
        <v>172</v>
      </c>
      <c r="B120" t="s">
        <v>322</v>
      </c>
      <c r="C120" t="s">
        <v>526</v>
      </c>
      <c r="D120" t="s">
        <v>374</v>
      </c>
      <c r="E120" t="s">
        <v>376</v>
      </c>
      <c r="F120">
        <v>1960</v>
      </c>
      <c r="H120">
        <v>1973</v>
      </c>
      <c r="I120">
        <v>6</v>
      </c>
      <c r="J120">
        <v>1000</v>
      </c>
      <c r="R120">
        <v>304</v>
      </c>
      <c r="U120">
        <v>155</v>
      </c>
      <c r="V120" s="4">
        <f t="shared" si="18"/>
        <v>5.0986842105263157E-2</v>
      </c>
      <c r="W120">
        <v>90</v>
      </c>
      <c r="Y120">
        <v>20.260000000000002</v>
      </c>
      <c r="Z120">
        <v>20</v>
      </c>
      <c r="AA120">
        <v>2.9</v>
      </c>
      <c r="AB120">
        <v>3.77</v>
      </c>
      <c r="AD120" t="str">
        <f>CONCATENATE(VLOOKUP(AE120, 'Voxel Sizes'!$A$2:$B$18,2,FALSE),"x",INT(AA120*15), "x", INT(AB120*15))</f>
        <v>198x43x56</v>
      </c>
      <c r="AE120">
        <f t="shared" si="14"/>
        <v>12</v>
      </c>
      <c r="AG120" t="str">
        <f>CONCATENATE(VLOOKUP(AE120,'Articulated Lengths'!$A$2:$C$16,IF(AF120&lt;&gt;"", 3, 2), FALSE),IF(AF120&lt;&gt;"",CONCATENATE(",",VLOOKUP(AF120,$B$2:$AG$213,32,FALSE)),""))</f>
        <v>3,6,3</v>
      </c>
      <c r="AH120" t="s">
        <v>660</v>
      </c>
      <c r="AI120" t="s">
        <v>661</v>
      </c>
      <c r="AL120">
        <v>10</v>
      </c>
      <c r="AM120">
        <v>10</v>
      </c>
      <c r="AP120" t="str">
        <f>VLOOKUP(F120,Eras!$A$2:$C$12, 2, TRUE)</f>
        <v>dsl</v>
      </c>
      <c r="AQ120" t="s">
        <v>443</v>
      </c>
      <c r="AR120" t="str">
        <f t="shared" si="26"/>
        <v>dsl_DMU (Express)</v>
      </c>
      <c r="AS120" t="s">
        <v>662</v>
      </c>
    </row>
    <row r="121" spans="1:45" x14ac:dyDescent="0.25">
      <c r="A121" t="s">
        <v>88</v>
      </c>
      <c r="B121" t="s">
        <v>299</v>
      </c>
      <c r="C121" t="s">
        <v>526</v>
      </c>
      <c r="D121" t="s">
        <v>374</v>
      </c>
      <c r="E121" t="s">
        <v>376</v>
      </c>
      <c r="F121">
        <v>1960</v>
      </c>
      <c r="H121">
        <v>2017</v>
      </c>
      <c r="I121">
        <v>1</v>
      </c>
      <c r="J121">
        <v>300</v>
      </c>
      <c r="R121">
        <v>38</v>
      </c>
      <c r="U121">
        <v>65</v>
      </c>
      <c r="V121" s="4">
        <f t="shared" si="18"/>
        <v>0.17105263157894737</v>
      </c>
      <c r="W121">
        <v>70</v>
      </c>
      <c r="X121">
        <v>1</v>
      </c>
      <c r="Y121">
        <v>19.66</v>
      </c>
      <c r="Z121">
        <v>19.66</v>
      </c>
      <c r="AB121">
        <v>3.77</v>
      </c>
      <c r="AC121">
        <v>66</v>
      </c>
      <c r="AD121" t="str">
        <f>CONCATENATE(VLOOKUP(AE121, 'Voxel Sizes'!$A$2:$B$18,2,FALSE),"x",INT(AA121*15), "x", INT(AB121*15))</f>
        <v>198x0x56</v>
      </c>
      <c r="AE121">
        <f t="shared" si="14"/>
        <v>12</v>
      </c>
      <c r="AG121" t="str">
        <f>CONCATENATE(VLOOKUP(AE121,'Articulated Lengths'!$A$2:$C$16,IF(AF121&lt;&gt;"", 3, 2), FALSE),IF(AF121&lt;&gt;"",CONCATENATE(",",VLOOKUP(AF121,$B$2:$AG$213,32,FALSE)),""))</f>
        <v>3,6,3</v>
      </c>
      <c r="AH121" t="s">
        <v>299</v>
      </c>
      <c r="AI121">
        <v>1</v>
      </c>
      <c r="AL121">
        <v>10</v>
      </c>
      <c r="AM121">
        <v>10</v>
      </c>
      <c r="AO121" t="s">
        <v>385</v>
      </c>
      <c r="AP121" t="str">
        <f>VLOOKUP(F121,Eras!$A$2:$C$12, 2, TRUE)</f>
        <v>dsl</v>
      </c>
      <c r="AQ121" t="s">
        <v>442</v>
      </c>
      <c r="AR121" t="str">
        <f t="shared" si="26"/>
        <v>dsl_DMU</v>
      </c>
      <c r="AS121" t="s">
        <v>663</v>
      </c>
    </row>
    <row r="122" spans="1:45" x14ac:dyDescent="0.25">
      <c r="A122" t="s">
        <v>129</v>
      </c>
      <c r="B122" t="s">
        <v>263</v>
      </c>
      <c r="C122" t="s">
        <v>195</v>
      </c>
      <c r="E122" t="s">
        <v>376</v>
      </c>
      <c r="F122">
        <v>1960</v>
      </c>
      <c r="V122" s="4" t="str">
        <f t="shared" si="18"/>
        <v/>
      </c>
      <c r="AD122" t="str">
        <f>CONCATENATE(VLOOKUP(AE122, 'Voxel Sizes'!$A$2:$B$18,2,FALSE),"x",INT(AA122*15), "x", INT(AB122*15))</f>
        <v>0x0x0</v>
      </c>
      <c r="AE122">
        <f t="shared" si="14"/>
        <v>0</v>
      </c>
      <c r="AG122" t="str">
        <f>CONCATENATE(VLOOKUP(AE122,'Articulated Lengths'!$A$2:$C$16,IF(AF122&lt;&gt;"", 3, 2), FALSE),IF(AF122&lt;&gt;"",CONCATENATE(",",VLOOKUP(AF122,$B$2:$AG$213,32,FALSE)),""))</f>
        <v>na</v>
      </c>
      <c r="AL122">
        <v>10</v>
      </c>
      <c r="AM122">
        <v>10</v>
      </c>
      <c r="AP122" t="str">
        <f>VLOOKUP(F122,Eras!$A$2:$C$12, 2, TRUE)</f>
        <v>dsl</v>
      </c>
      <c r="AQ122" t="s">
        <v>456</v>
      </c>
      <c r="AR122" t="str">
        <f t="shared" si="26"/>
        <v>dsl_LU</v>
      </c>
    </row>
    <row r="123" spans="1:45" x14ac:dyDescent="0.25">
      <c r="A123" t="s">
        <v>46</v>
      </c>
      <c r="B123" t="s">
        <v>227</v>
      </c>
      <c r="C123" t="s">
        <v>195</v>
      </c>
      <c r="E123" t="s">
        <v>376</v>
      </c>
      <c r="F123">
        <v>1961</v>
      </c>
      <c r="G123">
        <v>1964</v>
      </c>
      <c r="J123">
        <v>1700</v>
      </c>
      <c r="R123">
        <v>76.2</v>
      </c>
      <c r="U123">
        <v>207</v>
      </c>
      <c r="V123" s="4">
        <f t="shared" si="18"/>
        <v>0.27165354330708663</v>
      </c>
      <c r="W123">
        <v>90</v>
      </c>
      <c r="Y123">
        <v>15.76</v>
      </c>
      <c r="Z123">
        <v>15.76</v>
      </c>
      <c r="AB123">
        <v>3.91</v>
      </c>
      <c r="AD123" t="str">
        <f>CONCATENATE(VLOOKUP(AE123, 'Voxel Sizes'!$A$2:$B$18,2,FALSE),"x",INT(AA123*15), "x", INT(AB123*15))</f>
        <v>152x0x58</v>
      </c>
      <c r="AE123">
        <f t="shared" si="14"/>
        <v>9</v>
      </c>
      <c r="AG123" t="str">
        <f>CONCATENATE(VLOOKUP(AE123,'Articulated Lengths'!$A$2:$C$16,IF(AF123&lt;&gt;"", 3, 2), FALSE),IF(AF123&lt;&gt;"",CONCATENATE(",",VLOOKUP(AF123,$B$2:$AG$213,32,FALSE)),""))</f>
        <v>2,5,2</v>
      </c>
      <c r="AL123">
        <v>10</v>
      </c>
      <c r="AM123">
        <v>10</v>
      </c>
      <c r="AP123" t="str">
        <f>VLOOKUP(F123,Eras!$A$2:$C$12, 2, TRUE)</f>
        <v>dsl</v>
      </c>
      <c r="AR123" t="str">
        <f t="shared" si="26"/>
        <v>dsl_</v>
      </c>
    </row>
    <row r="124" spans="1:45" x14ac:dyDescent="0.25">
      <c r="A124" t="s">
        <v>48</v>
      </c>
      <c r="B124" t="s">
        <v>228</v>
      </c>
      <c r="C124" t="s">
        <v>195</v>
      </c>
      <c r="E124" t="s">
        <v>376</v>
      </c>
      <c r="F124">
        <v>1961</v>
      </c>
      <c r="G124">
        <v>1964</v>
      </c>
      <c r="J124">
        <v>2000</v>
      </c>
      <c r="R124">
        <v>110</v>
      </c>
      <c r="U124">
        <v>297</v>
      </c>
      <c r="V124" s="4">
        <f t="shared" si="18"/>
        <v>0.27</v>
      </c>
      <c r="W124">
        <v>90</v>
      </c>
      <c r="Y124">
        <v>20.73</v>
      </c>
      <c r="Z124">
        <v>20.73</v>
      </c>
      <c r="AB124">
        <v>3.96</v>
      </c>
      <c r="AD124" t="str">
        <f>CONCATENATE(VLOOKUP(AE124, 'Voxel Sizes'!$A$2:$B$18,2,FALSE),"x",INT(AA124*15), "x", INT(AB124*15))</f>
        <v>198x0x59</v>
      </c>
      <c r="AE124">
        <f t="shared" si="14"/>
        <v>12</v>
      </c>
      <c r="AG124" t="str">
        <f>CONCATENATE(VLOOKUP(AE124,'Articulated Lengths'!$A$2:$C$16,IF(AF124&lt;&gt;"", 3, 2), FALSE),IF(AF124&lt;&gt;"",CONCATENATE(",",VLOOKUP(AF124,$B$2:$AG$213,32,FALSE)),""))</f>
        <v>3,6,3</v>
      </c>
      <c r="AL124">
        <v>10</v>
      </c>
      <c r="AM124">
        <v>10</v>
      </c>
      <c r="AP124" t="str">
        <f>VLOOKUP(F124,Eras!$A$2:$C$12, 2, TRUE)</f>
        <v>dsl</v>
      </c>
      <c r="AR124" t="str">
        <f t="shared" si="26"/>
        <v>dsl_</v>
      </c>
    </row>
    <row r="125" spans="1:45" x14ac:dyDescent="0.25">
      <c r="A125" t="s">
        <v>60</v>
      </c>
      <c r="B125" t="s">
        <v>408</v>
      </c>
      <c r="C125" t="s">
        <v>195</v>
      </c>
      <c r="E125" t="s">
        <v>376</v>
      </c>
      <c r="F125">
        <v>1961</v>
      </c>
      <c r="G125">
        <v>1967</v>
      </c>
      <c r="J125">
        <v>1250</v>
      </c>
      <c r="R125">
        <v>74.2</v>
      </c>
      <c r="U125">
        <v>170</v>
      </c>
      <c r="V125" s="4">
        <f t="shared" si="18"/>
        <v>0.22911051212938005</v>
      </c>
      <c r="W125">
        <v>90</v>
      </c>
      <c r="Y125">
        <v>15.39</v>
      </c>
      <c r="Z125">
        <v>15.39</v>
      </c>
      <c r="AB125">
        <v>3.86</v>
      </c>
      <c r="AD125" t="str">
        <f>CONCATENATE(VLOOKUP(AE125, 'Voxel Sizes'!$A$2:$B$18,2,FALSE),"x",INT(AA125*15), "x", INT(AB125*15))</f>
        <v>152x0x57</v>
      </c>
      <c r="AE125">
        <f t="shared" si="14"/>
        <v>9</v>
      </c>
      <c r="AG125" t="str">
        <f>CONCATENATE(VLOOKUP(AE125,'Articulated Lengths'!$A$2:$C$16,IF(AF125&lt;&gt;"", 3, 2), FALSE),IF(AF125&lt;&gt;"",CONCATENATE(",",VLOOKUP(AF125,$B$2:$AG$213,32,FALSE)),""))</f>
        <v>2,5,2</v>
      </c>
      <c r="AL125">
        <v>10</v>
      </c>
      <c r="AM125">
        <v>10</v>
      </c>
      <c r="AP125" t="str">
        <f>VLOOKUP(F125,Eras!$A$2:$C$12, 2, TRUE)</f>
        <v>dsl</v>
      </c>
      <c r="AR125" t="str">
        <f t="shared" si="26"/>
        <v>dsl_</v>
      </c>
    </row>
    <row r="126" spans="1:45" x14ac:dyDescent="0.25">
      <c r="A126" t="s">
        <v>63</v>
      </c>
      <c r="B126" t="s">
        <v>229</v>
      </c>
      <c r="C126" t="s">
        <v>195</v>
      </c>
      <c r="E126" t="s">
        <v>376</v>
      </c>
      <c r="F126">
        <v>1961</v>
      </c>
      <c r="G126">
        <v>1962</v>
      </c>
      <c r="J126">
        <v>1250</v>
      </c>
      <c r="R126">
        <v>73.7</v>
      </c>
      <c r="U126">
        <v>187</v>
      </c>
      <c r="V126" s="4">
        <f t="shared" si="18"/>
        <v>0.2537313432835821</v>
      </c>
      <c r="W126">
        <v>90</v>
      </c>
      <c r="Y126">
        <v>15.47</v>
      </c>
      <c r="Z126">
        <v>15.47</v>
      </c>
      <c r="AB126">
        <v>3.86</v>
      </c>
      <c r="AD126" t="str">
        <f>CONCATENATE(VLOOKUP(AE126, 'Voxel Sizes'!$A$2:$B$18,2,FALSE),"x",INT(AA126*15), "x", INT(AB126*15))</f>
        <v>152x0x57</v>
      </c>
      <c r="AE126">
        <f t="shared" si="14"/>
        <v>9</v>
      </c>
      <c r="AG126" t="str">
        <f>CONCATENATE(VLOOKUP(AE126,'Articulated Lengths'!$A$2:$C$16,IF(AF126&lt;&gt;"", 3, 2), FALSE),IF(AF126&lt;&gt;"",CONCATENATE(",",VLOOKUP(AF126,$B$2:$AG$213,32,FALSE)),""))</f>
        <v>2,5,2</v>
      </c>
      <c r="AL126">
        <v>10</v>
      </c>
      <c r="AM126">
        <v>10</v>
      </c>
      <c r="AP126" t="str">
        <f>VLOOKUP(F126,Eras!$A$2:$C$12, 2, TRUE)</f>
        <v>dsl</v>
      </c>
      <c r="AR126" t="str">
        <f t="shared" si="26"/>
        <v>dsl_</v>
      </c>
    </row>
    <row r="127" spans="1:45" x14ac:dyDescent="0.25">
      <c r="A127" t="s">
        <v>55</v>
      </c>
      <c r="B127" t="s">
        <v>230</v>
      </c>
      <c r="C127" t="s">
        <v>195</v>
      </c>
      <c r="E127" t="s">
        <v>376</v>
      </c>
      <c r="F127">
        <v>1962</v>
      </c>
      <c r="G127">
        <v>1968</v>
      </c>
      <c r="J127">
        <v>2750</v>
      </c>
      <c r="R127">
        <v>114</v>
      </c>
      <c r="U127">
        <v>245</v>
      </c>
      <c r="V127" s="4">
        <f t="shared" si="18"/>
        <v>0.21491228070175439</v>
      </c>
      <c r="W127">
        <v>95</v>
      </c>
      <c r="Y127">
        <v>19.38</v>
      </c>
      <c r="Z127">
        <v>19.38</v>
      </c>
      <c r="AB127">
        <v>3.9</v>
      </c>
      <c r="AD127" t="str">
        <f>CONCATENATE(VLOOKUP(AE127, 'Voxel Sizes'!$A$2:$B$18,2,FALSE),"x",INT(AA127*15), "x", INT(AB127*15))</f>
        <v>186x0x58</v>
      </c>
      <c r="AE127">
        <f t="shared" si="14"/>
        <v>11</v>
      </c>
      <c r="AG127" t="str">
        <f>CONCATENATE(VLOOKUP(AE127,'Articulated Lengths'!$A$2:$C$16,IF(AF127&lt;&gt;"", 3, 2), FALSE),IF(AF127&lt;&gt;"",CONCATENATE(",",VLOOKUP(AF127,$B$2:$AG$213,32,FALSE)),""))</f>
        <v>3,5,3</v>
      </c>
      <c r="AL127">
        <v>10</v>
      </c>
      <c r="AM127">
        <v>10</v>
      </c>
      <c r="AP127" t="str">
        <f>VLOOKUP(F127,Eras!$A$2:$C$12, 2, TRUE)</f>
        <v>dsl</v>
      </c>
      <c r="AR127" t="str">
        <f t="shared" si="26"/>
        <v>dsl_</v>
      </c>
    </row>
    <row r="128" spans="1:45" x14ac:dyDescent="0.25">
      <c r="A128" t="s">
        <v>66</v>
      </c>
      <c r="B128" t="s">
        <v>231</v>
      </c>
      <c r="C128" t="s">
        <v>195</v>
      </c>
      <c r="E128" t="s">
        <v>376</v>
      </c>
      <c r="F128">
        <v>1962</v>
      </c>
      <c r="G128">
        <v>1965</v>
      </c>
      <c r="J128">
        <v>900</v>
      </c>
      <c r="R128">
        <v>69</v>
      </c>
      <c r="U128">
        <v>178</v>
      </c>
      <c r="V128" s="4">
        <f t="shared" si="18"/>
        <v>0.25797101449275361</v>
      </c>
      <c r="W128">
        <v>60</v>
      </c>
      <c r="Y128">
        <v>15.4</v>
      </c>
      <c r="Z128">
        <v>15.4</v>
      </c>
      <c r="AB128">
        <v>3.86</v>
      </c>
      <c r="AD128" t="str">
        <f>CONCATENATE(VLOOKUP(AE128, 'Voxel Sizes'!$A$2:$B$18,2,FALSE),"x",INT(AA128*15), "x", INT(AB128*15))</f>
        <v>152x0x57</v>
      </c>
      <c r="AE128">
        <f t="shared" si="14"/>
        <v>9</v>
      </c>
      <c r="AG128" t="str">
        <f>CONCATENATE(VLOOKUP(AE128,'Articulated Lengths'!$A$2:$C$16,IF(AF128&lt;&gt;"", 3, 2), FALSE),IF(AF128&lt;&gt;"",CONCATENATE(",",VLOOKUP(AF128,$B$2:$AG$213,32,FALSE)),""))</f>
        <v>2,5,2</v>
      </c>
      <c r="AL128">
        <v>10</v>
      </c>
      <c r="AM128">
        <v>10</v>
      </c>
      <c r="AP128" t="str">
        <f>VLOOKUP(F128,Eras!$A$2:$C$12, 2, TRUE)</f>
        <v>dsl</v>
      </c>
      <c r="AR128" t="str">
        <f t="shared" si="26"/>
        <v>dsl_</v>
      </c>
    </row>
    <row r="129" spans="1:45" x14ac:dyDescent="0.25">
      <c r="A129" t="s">
        <v>65</v>
      </c>
      <c r="B129" t="s">
        <v>232</v>
      </c>
      <c r="C129" t="s">
        <v>195</v>
      </c>
      <c r="E129" t="s">
        <v>376</v>
      </c>
      <c r="F129">
        <v>1964</v>
      </c>
      <c r="G129">
        <v>1965</v>
      </c>
      <c r="J129">
        <v>650</v>
      </c>
      <c r="R129">
        <v>48.5</v>
      </c>
      <c r="U129">
        <v>137</v>
      </c>
      <c r="V129" s="4">
        <f t="shared" si="18"/>
        <v>0.28247422680412371</v>
      </c>
      <c r="W129">
        <v>40</v>
      </c>
      <c r="Y129">
        <v>10.3</v>
      </c>
      <c r="Z129">
        <v>10.3</v>
      </c>
      <c r="AD129" t="str">
        <f>CONCATENATE(VLOOKUP(AE129, 'Voxel Sizes'!$A$2:$B$18,2,FALSE),"x",INT(AA129*15), "x", INT(AB129*15))</f>
        <v>102x0x0</v>
      </c>
      <c r="AE129">
        <f t="shared" si="14"/>
        <v>6</v>
      </c>
      <c r="AG129" t="str">
        <f>CONCATENATE(VLOOKUP(AE129,'Articulated Lengths'!$A$2:$C$16,IF(AF129&lt;&gt;"", 3, 2), FALSE),IF(AF129&lt;&gt;"",CONCATENATE(",",VLOOKUP(AF129,$B$2:$AG$213,32,FALSE)),""))</f>
        <v>2,2,2</v>
      </c>
      <c r="AL129">
        <v>10</v>
      </c>
      <c r="AM129">
        <v>10</v>
      </c>
      <c r="AP129" t="str">
        <f>VLOOKUP(F129,Eras!$A$2:$C$12, 2, TRUE)</f>
        <v>dsl</v>
      </c>
      <c r="AR129" t="str">
        <f t="shared" si="26"/>
        <v>dsl_</v>
      </c>
    </row>
    <row r="130" spans="1:45" x14ac:dyDescent="0.25">
      <c r="A130" t="s">
        <v>67</v>
      </c>
      <c r="B130" t="s">
        <v>349</v>
      </c>
      <c r="C130" t="s">
        <v>195</v>
      </c>
      <c r="E130" t="s">
        <v>376</v>
      </c>
      <c r="F130">
        <v>1965</v>
      </c>
      <c r="G130">
        <v>1967</v>
      </c>
      <c r="J130">
        <v>1420</v>
      </c>
      <c r="R130">
        <v>76.3</v>
      </c>
      <c r="U130">
        <v>186</v>
      </c>
      <c r="V130" s="4">
        <f t="shared" si="18"/>
        <v>0.24377457404980341</v>
      </c>
      <c r="W130">
        <v>80</v>
      </c>
      <c r="Y130">
        <v>16.36</v>
      </c>
      <c r="Z130">
        <v>16.36</v>
      </c>
      <c r="AD130" t="str">
        <f>CONCATENATE(VLOOKUP(AE130, 'Voxel Sizes'!$A$2:$B$18,2,FALSE),"x",INT(AA130*15), "x", INT(AB130*15))</f>
        <v>164x0x0</v>
      </c>
      <c r="AE130">
        <f t="shared" si="14"/>
        <v>10</v>
      </c>
      <c r="AG130" t="str">
        <f>CONCATENATE(VLOOKUP(AE130,'Articulated Lengths'!$A$2:$C$16,IF(AF130&lt;&gt;"", 3, 2), FALSE),IF(AF130&lt;&gt;"",CONCATENATE(",",VLOOKUP(AF130,$B$2:$AG$213,32,FALSE)),""))</f>
        <v>3,4,3</v>
      </c>
      <c r="AL130">
        <v>10</v>
      </c>
      <c r="AM130">
        <v>10</v>
      </c>
      <c r="AP130" t="str">
        <f>VLOOKUP(F130,Eras!$A$2:$C$12, 2, TRUE)</f>
        <v>gen2</v>
      </c>
      <c r="AR130" t="str">
        <f t="shared" si="26"/>
        <v>gen2_</v>
      </c>
    </row>
    <row r="131" spans="1:45" x14ac:dyDescent="0.25">
      <c r="A131" t="s">
        <v>74</v>
      </c>
      <c r="B131" t="s">
        <v>350</v>
      </c>
      <c r="C131" t="s">
        <v>364</v>
      </c>
      <c r="D131" t="s">
        <v>398</v>
      </c>
      <c r="E131" t="s">
        <v>399</v>
      </c>
      <c r="F131">
        <v>1965</v>
      </c>
      <c r="G131">
        <v>1966</v>
      </c>
      <c r="J131">
        <v>3600</v>
      </c>
      <c r="R131">
        <v>82</v>
      </c>
      <c r="U131">
        <v>267</v>
      </c>
      <c r="V131" s="4">
        <f t="shared" si="18"/>
        <v>0.32560975609756099</v>
      </c>
      <c r="W131">
        <v>100</v>
      </c>
      <c r="Y131">
        <v>17.829999999999998</v>
      </c>
      <c r="Z131">
        <v>17.829999999999998</v>
      </c>
      <c r="AB131">
        <v>3.77</v>
      </c>
      <c r="AD131" t="str">
        <f>CONCATENATE(VLOOKUP(AE131, 'Voxel Sizes'!$A$2:$B$18,2,FALSE),"x",INT(AA131*15), "x", INT(AB131*15))</f>
        <v>164x0x56</v>
      </c>
      <c r="AE131">
        <f t="shared" si="14"/>
        <v>10</v>
      </c>
      <c r="AG131" t="str">
        <f>CONCATENATE(VLOOKUP(AE131,'Articulated Lengths'!$A$2:$C$16,IF(AF131&lt;&gt;"", 3, 2), FALSE),IF(AF131&lt;&gt;"",CONCATENATE(",",VLOOKUP(AF131,$B$2:$AG$213,32,FALSE)),""))</f>
        <v>3,4,3</v>
      </c>
      <c r="AL131">
        <v>10</v>
      </c>
      <c r="AM131">
        <v>10</v>
      </c>
      <c r="AP131" t="str">
        <f>VLOOKUP(F131,Eras!$A$2:$C$12, 2, TRUE)</f>
        <v>gen2</v>
      </c>
      <c r="AQ131" t="s">
        <v>449</v>
      </c>
      <c r="AR131" t="str">
        <f t="shared" si="26"/>
        <v>gen2_Express (Electric)</v>
      </c>
      <c r="AS131" t="s">
        <v>653</v>
      </c>
    </row>
    <row r="132" spans="1:45" x14ac:dyDescent="0.25">
      <c r="A132" t="s">
        <v>54</v>
      </c>
      <c r="B132" t="s">
        <v>233</v>
      </c>
      <c r="C132" t="s">
        <v>195</v>
      </c>
      <c r="E132" t="s">
        <v>376</v>
      </c>
      <c r="F132">
        <v>1967</v>
      </c>
      <c r="G132">
        <v>1968</v>
      </c>
      <c r="J132">
        <v>2700</v>
      </c>
      <c r="R132">
        <v>117</v>
      </c>
      <c r="U132">
        <v>216</v>
      </c>
      <c r="V132" s="4">
        <f t="shared" si="18"/>
        <v>0.18461538461538463</v>
      </c>
      <c r="W132">
        <v>100</v>
      </c>
      <c r="Y132">
        <v>20.88</v>
      </c>
      <c r="Z132">
        <v>20.88</v>
      </c>
      <c r="AB132">
        <v>3.89</v>
      </c>
      <c r="AD132" t="str">
        <f>CONCATENATE(VLOOKUP(AE132, 'Voxel Sizes'!$A$2:$B$18,2,FALSE),"x",INT(AA132*15), "x", INT(AB132*15))</f>
        <v>198x0x58</v>
      </c>
      <c r="AE132">
        <f t="shared" si="14"/>
        <v>12</v>
      </c>
      <c r="AG132" t="str">
        <f>CONCATENATE(VLOOKUP(AE132,'Articulated Lengths'!$A$2:$C$16,IF(AF132&lt;&gt;"", 3, 2), FALSE),IF(AF132&lt;&gt;"",CONCATENATE(",",VLOOKUP(AF132,$B$2:$AG$213,32,FALSE)),""))</f>
        <v>3,6,3</v>
      </c>
      <c r="AL132">
        <v>10</v>
      </c>
      <c r="AM132">
        <v>10</v>
      </c>
      <c r="AP132" t="str">
        <f>VLOOKUP(F132,Eras!$A$2:$C$12, 2, TRUE)</f>
        <v>gen2</v>
      </c>
      <c r="AR132" t="str">
        <f t="shared" si="26"/>
        <v>gen2_</v>
      </c>
    </row>
    <row r="133" spans="1:45" x14ac:dyDescent="0.25">
      <c r="A133" t="s">
        <v>130</v>
      </c>
      <c r="B133" t="s">
        <v>264</v>
      </c>
      <c r="C133" t="s">
        <v>195</v>
      </c>
      <c r="E133" t="s">
        <v>376</v>
      </c>
      <c r="F133">
        <v>1967</v>
      </c>
      <c r="V133" s="4" t="str">
        <f t="shared" si="18"/>
        <v/>
      </c>
      <c r="AD133" t="str">
        <f>CONCATENATE(VLOOKUP(AE133, 'Voxel Sizes'!$A$2:$B$18,2,FALSE),"x",INT(AA133*15), "x", INT(AB133*15))</f>
        <v>0x0x0</v>
      </c>
      <c r="AE133">
        <f t="shared" si="14"/>
        <v>0</v>
      </c>
      <c r="AG133" t="str">
        <f>CONCATENATE(VLOOKUP(AE133,'Articulated Lengths'!$A$2:$C$16,IF(AF133&lt;&gt;"", 3, 2), FALSE),IF(AF133&lt;&gt;"",CONCATENATE(",",VLOOKUP(AF133,$B$2:$AG$213,32,FALSE)),""))</f>
        <v>na</v>
      </c>
      <c r="AL133">
        <v>10</v>
      </c>
      <c r="AM133">
        <v>10</v>
      </c>
      <c r="AP133" t="str">
        <f>VLOOKUP(F133,Eras!$A$2:$C$12, 2, TRUE)</f>
        <v>gen2</v>
      </c>
      <c r="AQ133" t="s">
        <v>456</v>
      </c>
      <c r="AR133" t="str">
        <f t="shared" si="26"/>
        <v>gen2_LU</v>
      </c>
    </row>
    <row r="134" spans="1:45" x14ac:dyDescent="0.25">
      <c r="A134" t="s">
        <v>131</v>
      </c>
      <c r="B134" t="s">
        <v>265</v>
      </c>
      <c r="C134" t="s">
        <v>195</v>
      </c>
      <c r="E134" t="s">
        <v>376</v>
      </c>
      <c r="F134">
        <v>1969</v>
      </c>
      <c r="V134" s="4" t="str">
        <f t="shared" si="18"/>
        <v/>
      </c>
      <c r="AD134" t="str">
        <f>CONCATENATE(VLOOKUP(AE134, 'Voxel Sizes'!$A$2:$B$18,2,FALSE),"x",INT(AA134*15), "x", INT(AB134*15))</f>
        <v>0x0x0</v>
      </c>
      <c r="AE134">
        <f t="shared" si="14"/>
        <v>0</v>
      </c>
      <c r="AG134" t="str">
        <f>CONCATENATE(VLOOKUP(AE134,'Articulated Lengths'!$A$2:$C$16,IF(AF134&lt;&gt;"", 3, 2), FALSE),IF(AF134&lt;&gt;"",CONCATENATE(",",VLOOKUP(AF134,$B$2:$AG$213,32,FALSE)),""))</f>
        <v>na</v>
      </c>
      <c r="AL134">
        <v>10</v>
      </c>
      <c r="AM134">
        <v>10</v>
      </c>
      <c r="AP134" t="str">
        <f>VLOOKUP(F134,Eras!$A$2:$C$12, 2, TRUE)</f>
        <v>gen2</v>
      </c>
      <c r="AQ134" t="s">
        <v>456</v>
      </c>
      <c r="AR134" t="str">
        <f t="shared" si="26"/>
        <v>gen2_LU</v>
      </c>
    </row>
    <row r="135" spans="1:45" x14ac:dyDescent="0.25">
      <c r="A135" t="s">
        <v>75</v>
      </c>
      <c r="B135" t="s">
        <v>234</v>
      </c>
      <c r="C135" t="s">
        <v>195</v>
      </c>
      <c r="E135" t="s">
        <v>376</v>
      </c>
      <c r="F135">
        <v>1973</v>
      </c>
      <c r="G135">
        <v>1975</v>
      </c>
      <c r="J135">
        <v>5000</v>
      </c>
      <c r="R135">
        <v>81</v>
      </c>
      <c r="U135">
        <v>258</v>
      </c>
      <c r="V135" s="4">
        <f t="shared" si="18"/>
        <v>0.31851851851851853</v>
      </c>
      <c r="W135">
        <v>110</v>
      </c>
      <c r="Y135">
        <v>17.829999999999998</v>
      </c>
      <c r="Z135">
        <v>17.829999999999998</v>
      </c>
      <c r="AB135">
        <v>3.77</v>
      </c>
      <c r="AD135" t="str">
        <f>CONCATENATE(VLOOKUP(AE135, 'Voxel Sizes'!$A$2:$B$18,2,FALSE),"x",INT(AA135*15), "x", INT(AB135*15))</f>
        <v>164x0x56</v>
      </c>
      <c r="AE135">
        <f t="shared" si="14"/>
        <v>10</v>
      </c>
      <c r="AG135" t="str">
        <f>CONCATENATE(VLOOKUP(AE135,'Articulated Lengths'!$A$2:$C$16,IF(AF135&lt;&gt;"", 3, 2), FALSE),IF(AF135&lt;&gt;"",CONCATENATE(",",VLOOKUP(AF135,$B$2:$AG$213,32,FALSE)),""))</f>
        <v>3,4,3</v>
      </c>
      <c r="AL135">
        <v>10</v>
      </c>
      <c r="AM135">
        <v>10</v>
      </c>
      <c r="AP135" t="str">
        <f>VLOOKUP(F135,Eras!$A$2:$C$12, 2, TRUE)</f>
        <v>gen2</v>
      </c>
      <c r="AR135" t="str">
        <f t="shared" si="26"/>
        <v>gen2_</v>
      </c>
    </row>
    <row r="136" spans="1:45" x14ac:dyDescent="0.25">
      <c r="A136" t="s">
        <v>132</v>
      </c>
      <c r="B136" t="s">
        <v>266</v>
      </c>
      <c r="C136" t="s">
        <v>195</v>
      </c>
      <c r="E136" t="s">
        <v>376</v>
      </c>
      <c r="F136">
        <v>1973</v>
      </c>
      <c r="V136" s="4" t="str">
        <f t="shared" si="18"/>
        <v/>
      </c>
      <c r="AD136" t="str">
        <f>CONCATENATE(VLOOKUP(AE136, 'Voxel Sizes'!$A$2:$B$18,2,FALSE),"x",INT(AA136*15), "x", INT(AB136*15))</f>
        <v>0x0x0</v>
      </c>
      <c r="AE136">
        <f t="shared" ref="AE136:AE198" si="27">ROUND(15*((Z136*10)/256),0)</f>
        <v>0</v>
      </c>
      <c r="AG136" t="str">
        <f>CONCATENATE(VLOOKUP(AE136,'Articulated Lengths'!$A$2:$C$16,IF(AF136&lt;&gt;"", 3, 2), FALSE),IF(AF136&lt;&gt;"",CONCATENATE(",",VLOOKUP(AF136,$B$2:$AG$213,32,FALSE)),""))</f>
        <v>na</v>
      </c>
      <c r="AL136">
        <v>10</v>
      </c>
      <c r="AM136">
        <v>10</v>
      </c>
      <c r="AP136" t="str">
        <f>VLOOKUP(F136,Eras!$A$2:$C$12, 2, TRUE)</f>
        <v>gen2</v>
      </c>
      <c r="AQ136" t="s">
        <v>456</v>
      </c>
      <c r="AR136" t="str">
        <f t="shared" si="26"/>
        <v>gen2_LU</v>
      </c>
    </row>
    <row r="137" spans="1:45" x14ac:dyDescent="0.25">
      <c r="A137" t="s">
        <v>45</v>
      </c>
      <c r="B137" t="s">
        <v>409</v>
      </c>
      <c r="C137" t="s">
        <v>364</v>
      </c>
      <c r="D137" t="s">
        <v>374</v>
      </c>
      <c r="E137" t="s">
        <v>376</v>
      </c>
      <c r="F137">
        <v>1975</v>
      </c>
      <c r="G137">
        <v>1982</v>
      </c>
      <c r="J137">
        <v>1770</v>
      </c>
      <c r="R137">
        <v>70.25</v>
      </c>
      <c r="U137">
        <v>160</v>
      </c>
      <c r="V137" s="4">
        <f t="shared" si="18"/>
        <v>0.22775800711743771</v>
      </c>
      <c r="W137">
        <v>125</v>
      </c>
      <c r="Y137">
        <v>17.79</v>
      </c>
      <c r="Z137">
        <v>17.79</v>
      </c>
      <c r="AD137" t="str">
        <f>CONCATENATE(VLOOKUP(AE137, 'Voxel Sizes'!$A$2:$B$18,2,FALSE),"x",INT(AA137*15), "x", INT(AB137*15))</f>
        <v>164x0x0</v>
      </c>
      <c r="AE137">
        <f t="shared" si="27"/>
        <v>10</v>
      </c>
      <c r="AG137" t="str">
        <f>CONCATENATE(VLOOKUP(AE137,'Articulated Lengths'!$A$2:$C$16,IF(AF137&lt;&gt;"", 3, 2), FALSE),IF(AF137&lt;&gt;"",CONCATENATE(",",VLOOKUP(AF137,$B$2:$AG$213,32,FALSE)),""))</f>
        <v>3,4,3</v>
      </c>
      <c r="AL137">
        <v>10</v>
      </c>
      <c r="AM137">
        <v>10</v>
      </c>
      <c r="AN137">
        <v>1</v>
      </c>
      <c r="AP137" t="str">
        <f>VLOOKUP(F137,Eras!$A$2:$C$12, 2, TRUE)</f>
        <v>gen3</v>
      </c>
      <c r="AQ137" t="s">
        <v>439</v>
      </c>
      <c r="AR137" t="str">
        <f t="shared" si="26"/>
        <v>gen3_Express</v>
      </c>
      <c r="AS137" t="s">
        <v>477</v>
      </c>
    </row>
    <row r="138" spans="1:45" x14ac:dyDescent="0.25">
      <c r="A138" t="s">
        <v>146</v>
      </c>
      <c r="B138" t="s">
        <v>361</v>
      </c>
      <c r="C138" t="s">
        <v>383</v>
      </c>
      <c r="E138" t="s">
        <v>376</v>
      </c>
      <c r="F138">
        <v>1975</v>
      </c>
      <c r="R138">
        <v>34</v>
      </c>
      <c r="T138">
        <v>9</v>
      </c>
      <c r="V138" s="4" t="str">
        <f t="shared" si="18"/>
        <v/>
      </c>
      <c r="W138">
        <v>125</v>
      </c>
      <c r="Y138">
        <v>23</v>
      </c>
      <c r="Z138">
        <v>23</v>
      </c>
      <c r="AA138">
        <v>2.82</v>
      </c>
      <c r="AB138">
        <v>3.79</v>
      </c>
      <c r="AC138">
        <v>72</v>
      </c>
      <c r="AD138" t="str">
        <f>CONCATENATE(VLOOKUP(AE138, 'Voxel Sizes'!$A$2:$B$18,2,FALSE),"x",INT(AA138*15), "x", INT(AB138*15))</f>
        <v>221x42x56</v>
      </c>
      <c r="AE138">
        <f t="shared" si="27"/>
        <v>13</v>
      </c>
      <c r="AG138" t="str">
        <f>CONCATENATE(VLOOKUP(AE138,'Articulated Lengths'!$A$2:$C$16,IF(AF138&lt;&gt;"", 3, 2), FALSE),IF(AF138&lt;&gt;"",CONCATENATE(",",VLOOKUP(AF138,$B$2:$AG$213,32,FALSE)),""))</f>
        <v>4,5,4</v>
      </c>
      <c r="AL138">
        <v>10</v>
      </c>
      <c r="AM138">
        <v>10</v>
      </c>
      <c r="AO138" t="s">
        <v>385</v>
      </c>
      <c r="AP138" t="str">
        <f>VLOOKUP(F138,Eras!$A$2:$C$12, 2, TRUE)</f>
        <v>gen3</v>
      </c>
      <c r="AQ138" t="s">
        <v>446</v>
      </c>
      <c r="AR138" t="str">
        <f t="shared" si="26"/>
        <v>gen3_Carriage</v>
      </c>
      <c r="AS138" t="s">
        <v>473</v>
      </c>
    </row>
    <row r="139" spans="1:45" x14ac:dyDescent="0.25">
      <c r="A139" t="s">
        <v>168</v>
      </c>
      <c r="B139" t="s">
        <v>235</v>
      </c>
      <c r="C139" t="s">
        <v>195</v>
      </c>
      <c r="E139" t="s">
        <v>376</v>
      </c>
      <c r="F139">
        <v>1976</v>
      </c>
      <c r="G139">
        <v>1984</v>
      </c>
      <c r="J139">
        <v>3250</v>
      </c>
      <c r="R139">
        <v>125</v>
      </c>
      <c r="U139">
        <v>275</v>
      </c>
      <c r="V139" s="4">
        <f t="shared" si="18"/>
        <v>0.22</v>
      </c>
      <c r="W139">
        <v>80</v>
      </c>
      <c r="Y139">
        <v>19.350000000000001</v>
      </c>
      <c r="Z139">
        <v>19.350000000000001</v>
      </c>
      <c r="AB139">
        <v>3.89</v>
      </c>
      <c r="AD139" t="str">
        <f>CONCATENATE(VLOOKUP(AE139, 'Voxel Sizes'!$A$2:$B$18,2,FALSE),"x",INT(AA139*15), "x", INT(AB139*15))</f>
        <v>186x0x58</v>
      </c>
      <c r="AE139">
        <f t="shared" si="27"/>
        <v>11</v>
      </c>
      <c r="AG139" t="str">
        <f>CONCATENATE(VLOOKUP(AE139,'Articulated Lengths'!$A$2:$C$16,IF(AF139&lt;&gt;"", 3, 2), FALSE),IF(AF139&lt;&gt;"",CONCATENATE(",",VLOOKUP(AF139,$B$2:$AG$213,32,FALSE)),""))</f>
        <v>3,5,3</v>
      </c>
      <c r="AL139">
        <v>10</v>
      </c>
      <c r="AM139">
        <v>10</v>
      </c>
      <c r="AP139" t="str">
        <f>VLOOKUP(F139,Eras!$A$2:$C$12, 2, TRUE)</f>
        <v>gen3</v>
      </c>
      <c r="AR139" t="str">
        <f t="shared" si="26"/>
        <v>gen3_</v>
      </c>
    </row>
    <row r="140" spans="1:45" x14ac:dyDescent="0.25">
      <c r="A140" t="s">
        <v>96</v>
      </c>
      <c r="B140" t="s">
        <v>248</v>
      </c>
      <c r="C140" t="s">
        <v>195</v>
      </c>
      <c r="E140" t="s">
        <v>376</v>
      </c>
      <c r="F140">
        <v>1976</v>
      </c>
      <c r="G140">
        <v>1977</v>
      </c>
      <c r="H140" t="s">
        <v>178</v>
      </c>
      <c r="I140">
        <v>3</v>
      </c>
      <c r="J140">
        <v>880</v>
      </c>
      <c r="R140">
        <v>104.5</v>
      </c>
      <c r="V140" s="4" t="str">
        <f t="shared" si="18"/>
        <v/>
      </c>
      <c r="W140">
        <v>75</v>
      </c>
      <c r="Y140">
        <v>20.329999999999998</v>
      </c>
      <c r="Z140">
        <v>20.329999999999998</v>
      </c>
      <c r="AB140">
        <v>3.58</v>
      </c>
      <c r="AC140">
        <v>232</v>
      </c>
      <c r="AD140" t="str">
        <f>CONCATENATE(VLOOKUP(AE140, 'Voxel Sizes'!$A$2:$B$18,2,FALSE),"x",INT(AA140*15), "x", INT(AB140*15))</f>
        <v>198x0x53</v>
      </c>
      <c r="AE140">
        <f t="shared" si="27"/>
        <v>12</v>
      </c>
      <c r="AG140" t="str">
        <f>CONCATENATE(VLOOKUP(AE140,'Articulated Lengths'!$A$2:$C$16,IF(AF140&lt;&gt;"", 3, 2), FALSE),IF(AF140&lt;&gt;"",CONCATENATE(",",VLOOKUP(AF140,$B$2:$AG$213,32,FALSE)),""))</f>
        <v>3,6,3</v>
      </c>
      <c r="AL140">
        <v>10</v>
      </c>
      <c r="AM140">
        <v>10</v>
      </c>
      <c r="AP140" t="str">
        <f>VLOOKUP(F140,Eras!$A$2:$C$12, 2, TRUE)</f>
        <v>gen3</v>
      </c>
      <c r="AQ140" t="s">
        <v>444</v>
      </c>
      <c r="AR140" t="str">
        <f t="shared" ref="AR140:AR171" si="28">CONCATENATE(AP140,"_",AQ140)</f>
        <v>gen3_EMU</v>
      </c>
    </row>
    <row r="141" spans="1:45" x14ac:dyDescent="0.25">
      <c r="A141" t="s">
        <v>133</v>
      </c>
      <c r="B141" t="s">
        <v>267</v>
      </c>
      <c r="C141" t="s">
        <v>195</v>
      </c>
      <c r="E141" t="s">
        <v>376</v>
      </c>
      <c r="F141">
        <v>1978</v>
      </c>
      <c r="V141" s="4" t="str">
        <f t="shared" si="18"/>
        <v/>
      </c>
      <c r="AD141" t="str">
        <f>CONCATENATE(VLOOKUP(AE141, 'Voxel Sizes'!$A$2:$B$18,2,FALSE),"x",INT(AA141*15), "x", INT(AB141*15))</f>
        <v>0x0x0</v>
      </c>
      <c r="AE141">
        <f t="shared" si="27"/>
        <v>0</v>
      </c>
      <c r="AG141" t="str">
        <f>CONCATENATE(VLOOKUP(AE141,'Articulated Lengths'!$A$2:$C$16,IF(AF141&lt;&gt;"", 3, 2), FALSE),IF(AF141&lt;&gt;"",CONCATENATE(",",VLOOKUP(AF141,$B$2:$AG$213,32,FALSE)),""))</f>
        <v>na</v>
      </c>
      <c r="AL141">
        <v>10</v>
      </c>
      <c r="AM141">
        <v>10</v>
      </c>
      <c r="AP141" t="str">
        <f>VLOOKUP(F141,Eras!$A$2:$C$12, 2, TRUE)</f>
        <v>gen3</v>
      </c>
      <c r="AQ141" t="s">
        <v>456</v>
      </c>
      <c r="AR141" t="str">
        <f t="shared" si="28"/>
        <v>gen3_LU</v>
      </c>
    </row>
    <row r="142" spans="1:45" x14ac:dyDescent="0.25">
      <c r="A142" t="s">
        <v>95</v>
      </c>
      <c r="B142" t="s">
        <v>247</v>
      </c>
      <c r="C142" t="s">
        <v>195</v>
      </c>
      <c r="E142" t="s">
        <v>376</v>
      </c>
      <c r="F142">
        <v>1980</v>
      </c>
      <c r="G142">
        <v>1981</v>
      </c>
      <c r="H142" t="s">
        <v>178</v>
      </c>
      <c r="I142">
        <v>4</v>
      </c>
      <c r="J142">
        <v>880</v>
      </c>
      <c r="R142">
        <v>127.5</v>
      </c>
      <c r="V142" s="4" t="str">
        <f t="shared" ref="V142:V205" si="29">IF(AND(R142&gt;0,U142&gt;0),(U142/((R142+S142)*10)),"")</f>
        <v/>
      </c>
      <c r="W142">
        <v>75</v>
      </c>
      <c r="Y142">
        <v>19.8</v>
      </c>
      <c r="Z142">
        <v>19.8</v>
      </c>
      <c r="AB142">
        <v>3.58</v>
      </c>
      <c r="AC142">
        <v>318</v>
      </c>
      <c r="AD142" t="str">
        <f>CONCATENATE(VLOOKUP(AE142, 'Voxel Sizes'!$A$2:$B$18,2,FALSE),"x",INT(AA142*15), "x", INT(AB142*15))</f>
        <v>198x0x53</v>
      </c>
      <c r="AE142">
        <f t="shared" si="27"/>
        <v>12</v>
      </c>
      <c r="AG142" t="str">
        <f>CONCATENATE(VLOOKUP(AE142,'Articulated Lengths'!$A$2:$C$16,IF(AF142&lt;&gt;"", 3, 2), FALSE),IF(AF142&lt;&gt;"",CONCATENATE(",",VLOOKUP(AF142,$B$2:$AG$213,32,FALSE)),""))</f>
        <v>3,6,3</v>
      </c>
      <c r="AL142">
        <v>10</v>
      </c>
      <c r="AM142">
        <v>10</v>
      </c>
      <c r="AP142" t="str">
        <f>VLOOKUP(F142,Eras!$A$2:$C$12, 2, TRUE)</f>
        <v>gen3</v>
      </c>
      <c r="AQ142" t="s">
        <v>444</v>
      </c>
      <c r="AR142" t="str">
        <f t="shared" si="28"/>
        <v>gen3_EMU</v>
      </c>
    </row>
    <row r="143" spans="1:45" x14ac:dyDescent="0.25">
      <c r="A143" t="s">
        <v>56</v>
      </c>
      <c r="B143" t="s">
        <v>236</v>
      </c>
      <c r="C143" t="s">
        <v>195</v>
      </c>
      <c r="E143" t="s">
        <v>376</v>
      </c>
      <c r="F143">
        <v>1983</v>
      </c>
      <c r="G143">
        <v>1987</v>
      </c>
      <c r="J143">
        <v>3300</v>
      </c>
      <c r="R143">
        <v>130</v>
      </c>
      <c r="U143">
        <v>267</v>
      </c>
      <c r="V143" s="4">
        <f t="shared" si="29"/>
        <v>0.20538461538461539</v>
      </c>
      <c r="W143">
        <v>80</v>
      </c>
      <c r="Y143">
        <v>19.13</v>
      </c>
      <c r="Z143">
        <v>19.13</v>
      </c>
      <c r="AB143">
        <v>3.91</v>
      </c>
      <c r="AD143" t="str">
        <f>CONCATENATE(VLOOKUP(AE143, 'Voxel Sizes'!$A$2:$B$18,2,FALSE),"x",INT(AA143*15), "x", INT(AB143*15))</f>
        <v>186x0x58</v>
      </c>
      <c r="AE143">
        <f t="shared" si="27"/>
        <v>11</v>
      </c>
      <c r="AG143" t="str">
        <f>CONCATENATE(VLOOKUP(AE143,'Articulated Lengths'!$A$2:$C$16,IF(AF143&lt;&gt;"", 3, 2), FALSE),IF(AF143&lt;&gt;"",CONCATENATE(",",VLOOKUP(AF143,$B$2:$AG$213,32,FALSE)),""))</f>
        <v>3,5,3</v>
      </c>
      <c r="AL143">
        <v>10</v>
      </c>
      <c r="AM143">
        <v>10</v>
      </c>
      <c r="AP143" t="str">
        <f>VLOOKUP(F143,Eras!$A$2:$C$12, 2, TRUE)</f>
        <v>gen3</v>
      </c>
      <c r="AR143" t="str">
        <f t="shared" si="28"/>
        <v>gen3_</v>
      </c>
    </row>
    <row r="144" spans="1:45" x14ac:dyDescent="0.25">
      <c r="A144" t="s">
        <v>134</v>
      </c>
      <c r="B144" t="s">
        <v>268</v>
      </c>
      <c r="C144" t="s">
        <v>195</v>
      </c>
      <c r="E144" t="s">
        <v>376</v>
      </c>
      <c r="F144">
        <v>1983</v>
      </c>
      <c r="V144" s="4" t="str">
        <f t="shared" si="29"/>
        <v/>
      </c>
      <c r="AD144" t="str">
        <f>CONCATENATE(VLOOKUP(AE144, 'Voxel Sizes'!$A$2:$B$18,2,FALSE),"x",INT(AA144*15), "x", INT(AB144*15))</f>
        <v>0x0x0</v>
      </c>
      <c r="AE144">
        <f t="shared" si="27"/>
        <v>0</v>
      </c>
      <c r="AG144" t="str">
        <f>CONCATENATE(VLOOKUP(AE144,'Articulated Lengths'!$A$2:$C$16,IF(AF144&lt;&gt;"", 3, 2), FALSE),IF(AF144&lt;&gt;"",CONCATENATE(",",VLOOKUP(AF144,$B$2:$AG$213,32,FALSE)),""))</f>
        <v>na</v>
      </c>
      <c r="AL144">
        <v>10</v>
      </c>
      <c r="AM144">
        <v>10</v>
      </c>
      <c r="AP144" t="str">
        <f>VLOOKUP(F144,Eras!$A$2:$C$12, 2, TRUE)</f>
        <v>gen3</v>
      </c>
      <c r="AQ144" t="s">
        <v>456</v>
      </c>
      <c r="AR144" t="str">
        <f t="shared" si="28"/>
        <v>gen3_LU</v>
      </c>
    </row>
    <row r="145" spans="1:44" x14ac:dyDescent="0.25">
      <c r="A145" t="s">
        <v>44</v>
      </c>
      <c r="B145" t="s">
        <v>237</v>
      </c>
      <c r="C145" t="s">
        <v>195</v>
      </c>
      <c r="E145" t="s">
        <v>376</v>
      </c>
      <c r="F145">
        <v>1985</v>
      </c>
      <c r="G145">
        <v>1995</v>
      </c>
      <c r="J145">
        <v>3300</v>
      </c>
      <c r="R145">
        <v>126</v>
      </c>
      <c r="U145">
        <v>508</v>
      </c>
      <c r="V145" s="4">
        <f t="shared" si="29"/>
        <v>0.40317460317460319</v>
      </c>
      <c r="W145">
        <v>75</v>
      </c>
      <c r="Y145">
        <v>21.4</v>
      </c>
      <c r="Z145">
        <v>21.4</v>
      </c>
      <c r="AB145">
        <v>3.91</v>
      </c>
      <c r="AD145" t="str">
        <f>CONCATENATE(VLOOKUP(AE145, 'Voxel Sizes'!$A$2:$B$18,2,FALSE),"x",INT(AA145*15), "x", INT(AB145*15))</f>
        <v>221x0x58</v>
      </c>
      <c r="AE145">
        <f t="shared" si="27"/>
        <v>13</v>
      </c>
      <c r="AG145" t="str">
        <f>CONCATENATE(VLOOKUP(AE145,'Articulated Lengths'!$A$2:$C$16,IF(AF145&lt;&gt;"", 3, 2), FALSE),IF(AF145&lt;&gt;"",CONCATENATE(",",VLOOKUP(AF145,$B$2:$AG$213,32,FALSE)),""))</f>
        <v>4,5,4</v>
      </c>
      <c r="AL145">
        <v>10</v>
      </c>
      <c r="AM145">
        <v>10</v>
      </c>
      <c r="AP145" t="str">
        <f>VLOOKUP(F145,Eras!$A$2:$C$12, 2, TRUE)</f>
        <v>gen4</v>
      </c>
      <c r="AR145" t="str">
        <f t="shared" si="28"/>
        <v>gen4_</v>
      </c>
    </row>
    <row r="146" spans="1:44" x14ac:dyDescent="0.25">
      <c r="A146" t="s">
        <v>81</v>
      </c>
      <c r="B146" t="s">
        <v>238</v>
      </c>
      <c r="C146" t="s">
        <v>195</v>
      </c>
      <c r="E146" t="s">
        <v>376</v>
      </c>
      <c r="F146">
        <v>1987</v>
      </c>
      <c r="G146">
        <v>1990</v>
      </c>
      <c r="J146">
        <v>5000</v>
      </c>
      <c r="R146">
        <v>84.5</v>
      </c>
      <c r="U146">
        <v>258</v>
      </c>
      <c r="V146" s="4">
        <f t="shared" si="29"/>
        <v>0.30532544378698223</v>
      </c>
      <c r="W146">
        <v>110</v>
      </c>
      <c r="Y146">
        <v>18.75</v>
      </c>
      <c r="Z146">
        <v>18.75</v>
      </c>
      <c r="AB146">
        <v>3.96</v>
      </c>
      <c r="AD146" t="str">
        <f>CONCATENATE(VLOOKUP(AE146, 'Voxel Sizes'!$A$2:$B$18,2,FALSE),"x",INT(AA146*15), "x", INT(AB146*15))</f>
        <v>186x0x59</v>
      </c>
      <c r="AE146">
        <f t="shared" si="27"/>
        <v>11</v>
      </c>
      <c r="AG146" t="str">
        <f>CONCATENATE(VLOOKUP(AE146,'Articulated Lengths'!$A$2:$C$16,IF(AF146&lt;&gt;"", 3, 2), FALSE),IF(AF146&lt;&gt;"",CONCATENATE(",",VLOOKUP(AF146,$B$2:$AG$213,32,FALSE)),""))</f>
        <v>3,5,3</v>
      </c>
      <c r="AL146">
        <v>10</v>
      </c>
      <c r="AM146">
        <v>10</v>
      </c>
      <c r="AP146" t="str">
        <f>VLOOKUP(F146,Eras!$A$2:$C$12, 2, TRUE)</f>
        <v>gen4</v>
      </c>
      <c r="AR146" t="str">
        <f t="shared" si="28"/>
        <v>gen4_</v>
      </c>
    </row>
    <row r="147" spans="1:44" x14ac:dyDescent="0.25">
      <c r="A147" t="s">
        <v>94</v>
      </c>
      <c r="B147" t="s">
        <v>246</v>
      </c>
      <c r="C147" t="s">
        <v>195</v>
      </c>
      <c r="E147" t="s">
        <v>376</v>
      </c>
      <c r="F147">
        <v>1987</v>
      </c>
      <c r="G147">
        <v>1990</v>
      </c>
      <c r="I147">
        <v>4</v>
      </c>
      <c r="J147">
        <f>4*332</f>
        <v>1328</v>
      </c>
      <c r="R147">
        <v>140.30000000000001</v>
      </c>
      <c r="V147" s="4" t="str">
        <f t="shared" si="29"/>
        <v/>
      </c>
      <c r="W147">
        <v>100</v>
      </c>
      <c r="Y147">
        <v>19.829999999999998</v>
      </c>
      <c r="Z147">
        <v>19.829999999999998</v>
      </c>
      <c r="AB147">
        <v>3.58</v>
      </c>
      <c r="AD147" t="str">
        <f>CONCATENATE(VLOOKUP(AE147, 'Voxel Sizes'!$A$2:$B$18,2,FALSE),"x",INT(AA147*15), "x", INT(AB147*15))</f>
        <v>198x0x53</v>
      </c>
      <c r="AE147">
        <f t="shared" si="27"/>
        <v>12</v>
      </c>
      <c r="AG147" t="str">
        <f>CONCATENATE(VLOOKUP(AE147,'Articulated Lengths'!$A$2:$C$16,IF(AF147&lt;&gt;"", 3, 2), FALSE),IF(AF147&lt;&gt;"",CONCATENATE(",",VLOOKUP(AF147,$B$2:$AG$213,32,FALSE)),""))</f>
        <v>3,6,3</v>
      </c>
      <c r="AL147">
        <v>10</v>
      </c>
      <c r="AM147">
        <v>10</v>
      </c>
      <c r="AP147" t="str">
        <f>VLOOKUP(F147,Eras!$A$2:$C$12, 2, TRUE)</f>
        <v>gen4</v>
      </c>
      <c r="AQ147" t="s">
        <v>444</v>
      </c>
      <c r="AR147" t="str">
        <f t="shared" si="28"/>
        <v>gen4_EMU</v>
      </c>
    </row>
    <row r="148" spans="1:44" x14ac:dyDescent="0.25">
      <c r="A148" t="s">
        <v>79</v>
      </c>
      <c r="B148" t="s">
        <v>321</v>
      </c>
      <c r="C148" t="s">
        <v>195</v>
      </c>
      <c r="E148" t="s">
        <v>376</v>
      </c>
      <c r="F148">
        <v>1988</v>
      </c>
      <c r="G148">
        <v>1991</v>
      </c>
      <c r="J148">
        <v>6480</v>
      </c>
      <c r="R148">
        <v>81.5</v>
      </c>
      <c r="U148">
        <v>190</v>
      </c>
      <c r="V148" s="4">
        <f t="shared" si="29"/>
        <v>0.23312883435582821</v>
      </c>
      <c r="W148">
        <v>140</v>
      </c>
      <c r="Y148">
        <v>19.399999999999999</v>
      </c>
      <c r="Z148">
        <v>19.399999999999999</v>
      </c>
      <c r="AD148" t="str">
        <f>CONCATENATE(VLOOKUP(AE148, 'Voxel Sizes'!$A$2:$B$18,2,FALSE),"x",INT(AA148*15), "x", INT(AB148*15))</f>
        <v>186x0x0</v>
      </c>
      <c r="AE148">
        <f t="shared" si="27"/>
        <v>11</v>
      </c>
      <c r="AG148" t="str">
        <f>CONCATENATE(VLOOKUP(AE148,'Articulated Lengths'!$A$2:$C$16,IF(AF148&lt;&gt;"", 3, 2), FALSE),IF(AF148&lt;&gt;"",CONCATENATE(",",VLOOKUP(AF148,$B$2:$AG$213,32,FALSE)),""))</f>
        <v>3,5,3</v>
      </c>
      <c r="AL148">
        <v>10</v>
      </c>
      <c r="AM148">
        <v>10</v>
      </c>
      <c r="AP148" t="str">
        <f>VLOOKUP(F148,Eras!$A$2:$C$12, 2, TRUE)</f>
        <v>gen4</v>
      </c>
      <c r="AQ148" t="s">
        <v>449</v>
      </c>
      <c r="AR148" t="str">
        <f t="shared" si="28"/>
        <v>gen4_Express (Electric)</v>
      </c>
    </row>
    <row r="149" spans="1:44" x14ac:dyDescent="0.25">
      <c r="A149" t="s">
        <v>91</v>
      </c>
      <c r="B149" t="s">
        <v>328</v>
      </c>
      <c r="C149" t="s">
        <v>195</v>
      </c>
      <c r="E149" t="s">
        <v>376</v>
      </c>
      <c r="F149">
        <v>1992</v>
      </c>
      <c r="G149">
        <v>1994</v>
      </c>
      <c r="H149" t="s">
        <v>178</v>
      </c>
      <c r="J149">
        <v>1608</v>
      </c>
      <c r="R149">
        <v>136</v>
      </c>
      <c r="V149" s="4" t="str">
        <f t="shared" si="29"/>
        <v/>
      </c>
      <c r="W149">
        <v>75</v>
      </c>
      <c r="Y149">
        <v>20.89</v>
      </c>
      <c r="Z149">
        <v>20.89</v>
      </c>
      <c r="AB149">
        <v>3.77</v>
      </c>
      <c r="AC149">
        <v>348</v>
      </c>
      <c r="AD149" t="str">
        <f>CONCATENATE(VLOOKUP(AE149, 'Voxel Sizes'!$A$2:$B$18,2,FALSE),"x",INT(AA149*15), "x", INT(AB149*15))</f>
        <v>198x0x56</v>
      </c>
      <c r="AE149">
        <f t="shared" si="27"/>
        <v>12</v>
      </c>
      <c r="AG149" t="str">
        <f>CONCATENATE(VLOOKUP(AE149,'Articulated Lengths'!$A$2:$C$16,IF(AF149&lt;&gt;"", 3, 2), FALSE),IF(AF149&lt;&gt;"",CONCATENATE(",",VLOOKUP(AF149,$B$2:$AG$213,32,FALSE)),""))</f>
        <v>3,6,3</v>
      </c>
      <c r="AL149">
        <v>10</v>
      </c>
      <c r="AM149">
        <v>10</v>
      </c>
      <c r="AP149" t="str">
        <f>VLOOKUP(F149,Eras!$A$2:$C$12, 2, TRUE)</f>
        <v>gen4</v>
      </c>
      <c r="AR149" t="str">
        <f t="shared" si="28"/>
        <v>gen4_</v>
      </c>
    </row>
    <row r="150" spans="1:44" x14ac:dyDescent="0.25">
      <c r="A150" t="s">
        <v>135</v>
      </c>
      <c r="B150" t="s">
        <v>269</v>
      </c>
      <c r="C150" t="s">
        <v>195</v>
      </c>
      <c r="E150" t="s">
        <v>376</v>
      </c>
      <c r="F150">
        <v>1992</v>
      </c>
      <c r="V150" s="4" t="str">
        <f t="shared" si="29"/>
        <v/>
      </c>
      <c r="AD150" t="str">
        <f>CONCATENATE(VLOOKUP(AE150, 'Voxel Sizes'!$A$2:$B$18,2,FALSE),"x",INT(AA150*15), "x", INT(AB150*15))</f>
        <v>0x0x0</v>
      </c>
      <c r="AE150">
        <f t="shared" si="27"/>
        <v>0</v>
      </c>
      <c r="AG150" t="str">
        <f>CONCATENATE(VLOOKUP(AE150,'Articulated Lengths'!$A$2:$C$16,IF(AF150&lt;&gt;"", 3, 2), FALSE),IF(AF150&lt;&gt;"",CONCATENATE(",",VLOOKUP(AF150,$B$2:$AG$213,32,FALSE)),""))</f>
        <v>na</v>
      </c>
      <c r="AL150">
        <v>10</v>
      </c>
      <c r="AM150">
        <v>10</v>
      </c>
      <c r="AP150" t="str">
        <f>VLOOKUP(F150,Eras!$A$2:$C$12, 2, TRUE)</f>
        <v>gen4</v>
      </c>
      <c r="AQ150" t="s">
        <v>456</v>
      </c>
      <c r="AR150" t="str">
        <f t="shared" si="28"/>
        <v>gen4_LU</v>
      </c>
    </row>
    <row r="151" spans="1:44" x14ac:dyDescent="0.25">
      <c r="A151" t="s">
        <v>80</v>
      </c>
      <c r="B151" t="s">
        <v>239</v>
      </c>
      <c r="C151" t="s">
        <v>195</v>
      </c>
      <c r="E151" t="s">
        <v>376</v>
      </c>
      <c r="F151">
        <v>1993</v>
      </c>
      <c r="G151">
        <v>1996</v>
      </c>
      <c r="J151">
        <v>6760</v>
      </c>
      <c r="R151">
        <v>126</v>
      </c>
      <c r="U151">
        <v>360</v>
      </c>
      <c r="V151" s="4">
        <f t="shared" si="29"/>
        <v>0.2857142857142857</v>
      </c>
      <c r="W151">
        <v>87</v>
      </c>
      <c r="Y151">
        <v>21.36</v>
      </c>
      <c r="Z151">
        <v>21.36</v>
      </c>
      <c r="AD151" t="str">
        <f>CONCATENATE(VLOOKUP(AE151, 'Voxel Sizes'!$A$2:$B$18,2,FALSE),"x",INT(AA151*15), "x", INT(AB151*15))</f>
        <v>221x0x0</v>
      </c>
      <c r="AE151">
        <f t="shared" si="27"/>
        <v>13</v>
      </c>
      <c r="AG151" t="str">
        <f>CONCATENATE(VLOOKUP(AE151,'Articulated Lengths'!$A$2:$C$16,IF(AF151&lt;&gt;"", 3, 2), FALSE),IF(AF151&lt;&gt;"",CONCATENATE(",",VLOOKUP(AF151,$B$2:$AG$213,32,FALSE)),""))</f>
        <v>4,5,4</v>
      </c>
      <c r="AL151">
        <v>10</v>
      </c>
      <c r="AM151">
        <v>10</v>
      </c>
      <c r="AP151" t="str">
        <f>VLOOKUP(F151,Eras!$A$2:$C$12, 2, TRUE)</f>
        <v>gen4</v>
      </c>
      <c r="AR151" t="str">
        <f t="shared" si="28"/>
        <v>gen4_</v>
      </c>
    </row>
    <row r="152" spans="1:44" x14ac:dyDescent="0.25">
      <c r="A152" t="s">
        <v>136</v>
      </c>
      <c r="B152" t="s">
        <v>313</v>
      </c>
      <c r="C152" t="s">
        <v>195</v>
      </c>
      <c r="E152" t="s">
        <v>376</v>
      </c>
      <c r="F152">
        <v>1995</v>
      </c>
      <c r="V152" s="4" t="str">
        <f t="shared" si="29"/>
        <v/>
      </c>
      <c r="AD152" t="str">
        <f>CONCATENATE(VLOOKUP(AE152, 'Voxel Sizes'!$A$2:$B$18,2,FALSE),"x",INT(AA152*15), "x", INT(AB152*15))</f>
        <v>0x0x0</v>
      </c>
      <c r="AE152">
        <f t="shared" si="27"/>
        <v>0</v>
      </c>
      <c r="AG152" t="str">
        <f>CONCATENATE(VLOOKUP(AE152,'Articulated Lengths'!$A$2:$C$16,IF(AF152&lt;&gt;"", 3, 2), FALSE),IF(AF152&lt;&gt;"",CONCATENATE(",",VLOOKUP(AF152,$B$2:$AG$213,32,FALSE)),""))</f>
        <v>na</v>
      </c>
      <c r="AL152">
        <v>10</v>
      </c>
      <c r="AM152">
        <v>10</v>
      </c>
      <c r="AP152" t="str">
        <f>VLOOKUP(F152,Eras!$A$2:$C$12, 2, TRUE)</f>
        <v>prv</v>
      </c>
      <c r="AQ152" t="s">
        <v>456</v>
      </c>
      <c r="AR152" t="str">
        <f t="shared" si="28"/>
        <v>prv_LU</v>
      </c>
    </row>
    <row r="153" spans="1:44" x14ac:dyDescent="0.25">
      <c r="A153" t="s">
        <v>57</v>
      </c>
      <c r="B153" t="s">
        <v>240</v>
      </c>
      <c r="C153" t="s">
        <v>195</v>
      </c>
      <c r="E153" t="s">
        <v>376</v>
      </c>
      <c r="F153">
        <v>1998</v>
      </c>
      <c r="G153">
        <v>2015</v>
      </c>
      <c r="J153">
        <v>3300</v>
      </c>
      <c r="R153">
        <v>129.6</v>
      </c>
      <c r="U153">
        <v>409</v>
      </c>
      <c r="V153" s="4">
        <f t="shared" si="29"/>
        <v>0.31558641975308643</v>
      </c>
      <c r="W153">
        <v>75</v>
      </c>
      <c r="Y153">
        <v>21.4</v>
      </c>
      <c r="Z153">
        <v>21.4</v>
      </c>
      <c r="AB153">
        <v>3.9</v>
      </c>
      <c r="AD153" t="str">
        <f>CONCATENATE(VLOOKUP(AE153, 'Voxel Sizes'!$A$2:$B$18,2,FALSE),"x",INT(AA153*15), "x", INT(AB153*15))</f>
        <v>221x0x58</v>
      </c>
      <c r="AE153">
        <f t="shared" si="27"/>
        <v>13</v>
      </c>
      <c r="AG153" t="str">
        <f>CONCATENATE(VLOOKUP(AE153,'Articulated Lengths'!$A$2:$C$16,IF(AF153&lt;&gt;"", 3, 2), FALSE),IF(AF153&lt;&gt;"",CONCATENATE(",",VLOOKUP(AF153,$B$2:$AG$213,32,FALSE)),""))</f>
        <v>4,5,4</v>
      </c>
      <c r="AL153">
        <v>10</v>
      </c>
      <c r="AM153">
        <v>10</v>
      </c>
      <c r="AP153" t="str">
        <f>VLOOKUP(F153,Eras!$A$2:$C$12, 2, TRUE)</f>
        <v>prv</v>
      </c>
      <c r="AR153" t="str">
        <f t="shared" si="28"/>
        <v>prv_</v>
      </c>
    </row>
    <row r="154" spans="1:44" x14ac:dyDescent="0.25">
      <c r="A154" t="s">
        <v>174</v>
      </c>
      <c r="B154" t="s">
        <v>320</v>
      </c>
      <c r="C154" t="s">
        <v>195</v>
      </c>
      <c r="E154" t="s">
        <v>376</v>
      </c>
      <c r="F154">
        <v>1998</v>
      </c>
      <c r="G154">
        <v>2004</v>
      </c>
      <c r="J154">
        <v>3000</v>
      </c>
      <c r="R154">
        <v>120.6</v>
      </c>
      <c r="U154">
        <v>250</v>
      </c>
      <c r="V154" s="4">
        <f t="shared" si="29"/>
        <v>0.20729684908789386</v>
      </c>
      <c r="W154">
        <v>95</v>
      </c>
      <c r="Y154">
        <v>19.38</v>
      </c>
      <c r="Z154">
        <v>19.38</v>
      </c>
      <c r="AB154">
        <v>3.9</v>
      </c>
      <c r="AD154" t="str">
        <f>CONCATENATE(VLOOKUP(AE154, 'Voxel Sizes'!$A$2:$B$18,2,FALSE),"x",INT(AA154*15), "x", INT(AB154*15))</f>
        <v>186x0x58</v>
      </c>
      <c r="AE154">
        <f t="shared" si="27"/>
        <v>11</v>
      </c>
      <c r="AG154" t="str">
        <f>CONCATENATE(VLOOKUP(AE154,'Articulated Lengths'!$A$2:$C$16,IF(AF154&lt;&gt;"", 3, 2), FALSE),IF(AF154&lt;&gt;"",CONCATENATE(",",VLOOKUP(AF154,$B$2:$AG$213,32,FALSE)),""))</f>
        <v>3,5,3</v>
      </c>
      <c r="AL154">
        <v>10</v>
      </c>
      <c r="AM154">
        <v>10</v>
      </c>
      <c r="AP154" t="str">
        <f>VLOOKUP(F154,Eras!$A$2:$C$12, 2, TRUE)</f>
        <v>prv</v>
      </c>
      <c r="AQ154" t="s">
        <v>440</v>
      </c>
      <c r="AR154" t="str">
        <f t="shared" si="28"/>
        <v>prv_Freight</v>
      </c>
    </row>
    <row r="155" spans="1:44" x14ac:dyDescent="0.25">
      <c r="A155" t="s">
        <v>58</v>
      </c>
      <c r="B155" t="s">
        <v>241</v>
      </c>
      <c r="C155" t="s">
        <v>195</v>
      </c>
      <c r="E155" t="s">
        <v>376</v>
      </c>
      <c r="F155">
        <v>1999</v>
      </c>
      <c r="G155">
        <v>2000</v>
      </c>
      <c r="J155">
        <v>3200</v>
      </c>
      <c r="R155">
        <v>88</v>
      </c>
      <c r="U155">
        <v>144</v>
      </c>
      <c r="V155" s="4">
        <f t="shared" si="29"/>
        <v>0.16363636363636364</v>
      </c>
      <c r="W155">
        <v>125</v>
      </c>
      <c r="Y155">
        <v>19.71</v>
      </c>
      <c r="Z155">
        <v>19.71</v>
      </c>
      <c r="AB155">
        <v>3.93</v>
      </c>
      <c r="AD155" t="str">
        <f>CONCATENATE(VLOOKUP(AE155, 'Voxel Sizes'!$A$2:$B$18,2,FALSE),"x",INT(AA155*15), "x", INT(AB155*15))</f>
        <v>198x0x58</v>
      </c>
      <c r="AE155">
        <f t="shared" si="27"/>
        <v>12</v>
      </c>
      <c r="AG155" t="str">
        <f>CONCATENATE(VLOOKUP(AE155,'Articulated Lengths'!$A$2:$C$16,IF(AF155&lt;&gt;"", 3, 2), FALSE),IF(AF155&lt;&gt;"",CONCATENATE(",",VLOOKUP(AF155,$B$2:$AG$213,32,FALSE)),""))</f>
        <v>3,6,3</v>
      </c>
      <c r="AL155">
        <v>10</v>
      </c>
      <c r="AM155">
        <v>10</v>
      </c>
      <c r="AP155" t="str">
        <f>VLOOKUP(F155,Eras!$A$2:$C$12, 2, TRUE)</f>
        <v>prv</v>
      </c>
      <c r="AR155" t="str">
        <f t="shared" si="28"/>
        <v>prv_</v>
      </c>
    </row>
    <row r="156" spans="1:44" x14ac:dyDescent="0.25">
      <c r="A156" t="s">
        <v>92</v>
      </c>
      <c r="B156" t="s">
        <v>329</v>
      </c>
      <c r="C156" t="s">
        <v>195</v>
      </c>
      <c r="E156" t="s">
        <v>376</v>
      </c>
      <c r="F156">
        <v>2000</v>
      </c>
      <c r="G156">
        <v>2001</v>
      </c>
      <c r="H156">
        <v>2012</v>
      </c>
      <c r="I156">
        <v>8</v>
      </c>
      <c r="J156">
        <v>3620</v>
      </c>
      <c r="V156" s="4" t="str">
        <f t="shared" si="29"/>
        <v/>
      </c>
      <c r="W156">
        <v>100</v>
      </c>
      <c r="AD156" t="str">
        <f>CONCATENATE(VLOOKUP(AE156, 'Voxel Sizes'!$A$2:$B$18,2,FALSE),"x",INT(AA156*15), "x", INT(AB156*15))</f>
        <v>0x0x0</v>
      </c>
      <c r="AE156">
        <f t="shared" si="27"/>
        <v>0</v>
      </c>
      <c r="AG156" t="str">
        <f>CONCATENATE(VLOOKUP(AE156,'Articulated Lengths'!$A$2:$C$16,IF(AF156&lt;&gt;"", 3, 2), FALSE),IF(AF156&lt;&gt;"",CONCATENATE(",",VLOOKUP(AF156,$B$2:$AG$213,32,FALSE)),""))</f>
        <v>na</v>
      </c>
      <c r="AL156">
        <v>10</v>
      </c>
      <c r="AM156">
        <v>10</v>
      </c>
      <c r="AP156" t="str">
        <f>VLOOKUP(F156,Eras!$A$2:$C$12, 2, TRUE)</f>
        <v>prv</v>
      </c>
      <c r="AQ156" t="s">
        <v>445</v>
      </c>
      <c r="AR156" t="str">
        <f t="shared" si="28"/>
        <v>prv_EMU (Express)</v>
      </c>
    </row>
    <row r="157" spans="1:44" x14ac:dyDescent="0.25">
      <c r="A157" t="s">
        <v>90</v>
      </c>
      <c r="B157" t="s">
        <v>300</v>
      </c>
      <c r="C157" t="s">
        <v>195</v>
      </c>
      <c r="E157" t="s">
        <v>376</v>
      </c>
      <c r="F157">
        <v>2003</v>
      </c>
      <c r="J157">
        <v>1600</v>
      </c>
      <c r="R157">
        <v>173.6</v>
      </c>
      <c r="V157" s="4" t="str">
        <f t="shared" si="29"/>
        <v/>
      </c>
      <c r="W157">
        <v>100</v>
      </c>
      <c r="Y157">
        <v>20.399999999999999</v>
      </c>
      <c r="Z157">
        <v>20.399999999999999</v>
      </c>
      <c r="AB157">
        <v>3.78</v>
      </c>
      <c r="AD157" t="str">
        <f>CONCATENATE(VLOOKUP(AE157, 'Voxel Sizes'!$A$2:$B$18,2,FALSE),"x",INT(AA157*15), "x", INT(AB157*15))</f>
        <v>198x0x56</v>
      </c>
      <c r="AE157">
        <f t="shared" si="27"/>
        <v>12</v>
      </c>
      <c r="AG157" t="str">
        <f>CONCATENATE(VLOOKUP(AE157,'Articulated Lengths'!$A$2:$C$16,IF(AF157&lt;&gt;"", 3, 2), FALSE),IF(AF157&lt;&gt;"",CONCATENATE(",",VLOOKUP(AF157,$B$2:$AG$213,32,FALSE)),""))</f>
        <v>3,6,3</v>
      </c>
      <c r="AL157">
        <v>10</v>
      </c>
      <c r="AM157">
        <v>10</v>
      </c>
      <c r="AP157" t="str">
        <f>VLOOKUP(F157,Eras!$A$2:$C$12, 2, TRUE)</f>
        <v>prv</v>
      </c>
      <c r="AQ157" t="s">
        <v>444</v>
      </c>
      <c r="AR157" t="str">
        <f t="shared" si="28"/>
        <v>prv_EMU</v>
      </c>
    </row>
    <row r="158" spans="1:44" x14ac:dyDescent="0.25">
      <c r="A158" t="s">
        <v>93</v>
      </c>
      <c r="B158" t="s">
        <v>330</v>
      </c>
      <c r="C158" t="s">
        <v>195</v>
      </c>
      <c r="E158" t="s">
        <v>376</v>
      </c>
      <c r="F158">
        <v>2007</v>
      </c>
      <c r="G158">
        <v>2009</v>
      </c>
      <c r="H158" t="s">
        <v>178</v>
      </c>
      <c r="J158">
        <f>16*280</f>
        <v>4480</v>
      </c>
      <c r="R158">
        <v>265</v>
      </c>
      <c r="V158" s="4" t="str">
        <f t="shared" si="29"/>
        <v/>
      </c>
      <c r="W158">
        <v>157</v>
      </c>
      <c r="Y158">
        <v>20.88</v>
      </c>
      <c r="Z158">
        <v>20.88</v>
      </c>
      <c r="AB158">
        <v>3.82</v>
      </c>
      <c r="AC158">
        <v>352</v>
      </c>
      <c r="AD158" t="str">
        <f>CONCATENATE(VLOOKUP(AE158, 'Voxel Sizes'!$A$2:$B$18,2,FALSE),"x",INT(AA158*15), "x", INT(AB158*15))</f>
        <v>198x0x57</v>
      </c>
      <c r="AE158">
        <f t="shared" si="27"/>
        <v>12</v>
      </c>
      <c r="AG158" t="str">
        <f>CONCATENATE(VLOOKUP(AE158,'Articulated Lengths'!$A$2:$C$16,IF(AF158&lt;&gt;"", 3, 2), FALSE),IF(AF158&lt;&gt;"",CONCATENATE(",",VLOOKUP(AF158,$B$2:$AG$213,32,FALSE)),""))</f>
        <v>3,6,3</v>
      </c>
      <c r="AL158">
        <v>10</v>
      </c>
      <c r="AM158">
        <v>10</v>
      </c>
      <c r="AP158" t="str">
        <f>VLOOKUP(F158,Eras!$A$2:$C$12, 2, TRUE)</f>
        <v>mod</v>
      </c>
      <c r="AQ158" t="s">
        <v>445</v>
      </c>
      <c r="AR158" t="str">
        <f t="shared" si="28"/>
        <v>mod_EMU (Express)</v>
      </c>
    </row>
    <row r="159" spans="1:44" x14ac:dyDescent="0.25">
      <c r="A159" t="s">
        <v>64</v>
      </c>
      <c r="B159" t="s">
        <v>242</v>
      </c>
      <c r="C159" t="s">
        <v>195</v>
      </c>
      <c r="E159" t="s">
        <v>376</v>
      </c>
      <c r="F159">
        <v>2008</v>
      </c>
      <c r="G159">
        <v>2017</v>
      </c>
      <c r="J159">
        <v>3690</v>
      </c>
      <c r="R159">
        <v>129</v>
      </c>
      <c r="U159">
        <v>534</v>
      </c>
      <c r="V159" s="4">
        <f t="shared" si="29"/>
        <v>0.413953488372093</v>
      </c>
      <c r="W159">
        <v>75</v>
      </c>
      <c r="Y159">
        <v>21.27</v>
      </c>
      <c r="Z159">
        <v>21.27</v>
      </c>
      <c r="AB159">
        <v>3.91</v>
      </c>
      <c r="AD159" t="str">
        <f>CONCATENATE(VLOOKUP(AE159, 'Voxel Sizes'!$A$2:$B$18,2,FALSE),"x",INT(AA159*15), "x", INT(AB159*15))</f>
        <v>198x0x58</v>
      </c>
      <c r="AE159">
        <f t="shared" si="27"/>
        <v>12</v>
      </c>
      <c r="AG159" t="str">
        <f>CONCATENATE(VLOOKUP(AE159,'Articulated Lengths'!$A$2:$C$16,IF(AF159&lt;&gt;"", 3, 2), FALSE),IF(AF159&lt;&gt;"",CONCATENATE(",",VLOOKUP(AF159,$B$2:$AG$213,32,FALSE)),""))</f>
        <v>3,6,3</v>
      </c>
      <c r="AL159">
        <v>10</v>
      </c>
      <c r="AM159">
        <v>10</v>
      </c>
      <c r="AP159" t="str">
        <f>VLOOKUP(F159,Eras!$A$2:$C$12, 2, TRUE)</f>
        <v>mod</v>
      </c>
      <c r="AR159" t="str">
        <f t="shared" si="28"/>
        <v>mod_</v>
      </c>
    </row>
    <row r="160" spans="1:44" x14ac:dyDescent="0.25">
      <c r="A160" t="s">
        <v>137</v>
      </c>
      <c r="B160" t="s">
        <v>270</v>
      </c>
      <c r="C160" t="s">
        <v>195</v>
      </c>
      <c r="E160" t="s">
        <v>376</v>
      </c>
      <c r="F160">
        <v>2009</v>
      </c>
      <c r="V160" s="4" t="str">
        <f t="shared" si="29"/>
        <v/>
      </c>
      <c r="AD160" t="str">
        <f>CONCATENATE(VLOOKUP(AE160, 'Voxel Sizes'!$A$2:$B$18,2,FALSE),"x",INT(AA160*15), "x", INT(AB160*15))</f>
        <v>0x0x0</v>
      </c>
      <c r="AE160">
        <f t="shared" si="27"/>
        <v>0</v>
      </c>
      <c r="AG160" t="str">
        <f>CONCATENATE(VLOOKUP(AE160,'Articulated Lengths'!$A$2:$C$16,IF(AF160&lt;&gt;"", 3, 2), FALSE),IF(AF160&lt;&gt;"",CONCATENATE(",",VLOOKUP(AF160,$B$2:$AG$213,32,FALSE)),""))</f>
        <v>na</v>
      </c>
      <c r="AL160">
        <v>10</v>
      </c>
      <c r="AM160">
        <v>10</v>
      </c>
      <c r="AP160" t="str">
        <f>VLOOKUP(F160,Eras!$A$2:$C$12, 2, TRUE)</f>
        <v>mod</v>
      </c>
      <c r="AQ160" t="s">
        <v>456</v>
      </c>
      <c r="AR160" t="str">
        <f t="shared" si="28"/>
        <v>mod_LU</v>
      </c>
    </row>
    <row r="161" spans="1:44" x14ac:dyDescent="0.25">
      <c r="A161" t="s">
        <v>138</v>
      </c>
      <c r="B161" t="s">
        <v>271</v>
      </c>
      <c r="C161" t="s">
        <v>195</v>
      </c>
      <c r="E161" t="s">
        <v>376</v>
      </c>
      <c r="F161">
        <v>2010</v>
      </c>
      <c r="V161" s="4" t="str">
        <f t="shared" si="29"/>
        <v/>
      </c>
      <c r="AD161" t="str">
        <f>CONCATENATE(VLOOKUP(AE161, 'Voxel Sizes'!$A$2:$B$18,2,FALSE),"x",INT(AA161*15), "x", INT(AB161*15))</f>
        <v>0x0x0</v>
      </c>
      <c r="AE161">
        <f t="shared" si="27"/>
        <v>0</v>
      </c>
      <c r="AG161" t="str">
        <f>CONCATENATE(VLOOKUP(AE161,'Articulated Lengths'!$A$2:$C$16,IF(AF161&lt;&gt;"", 3, 2), FALSE),IF(AF161&lt;&gt;"",CONCATENATE(",",VLOOKUP(AF161,$B$2:$AG$213,32,FALSE)),""))</f>
        <v>na</v>
      </c>
      <c r="AL161">
        <v>10</v>
      </c>
      <c r="AM161">
        <v>10</v>
      </c>
      <c r="AP161" t="str">
        <f>VLOOKUP(F161,Eras!$A$2:$C$12, 2, TRUE)</f>
        <v>mod</v>
      </c>
      <c r="AQ161" t="s">
        <v>456</v>
      </c>
      <c r="AR161" t="str">
        <f t="shared" si="28"/>
        <v>mod_LU</v>
      </c>
    </row>
    <row r="162" spans="1:44" x14ac:dyDescent="0.25">
      <c r="A162" t="s">
        <v>68</v>
      </c>
      <c r="B162" t="s">
        <v>243</v>
      </c>
      <c r="C162" t="s">
        <v>195</v>
      </c>
      <c r="E162" t="s">
        <v>376</v>
      </c>
      <c r="F162">
        <v>2015</v>
      </c>
      <c r="G162">
        <v>2016</v>
      </c>
      <c r="J162">
        <v>5400</v>
      </c>
      <c r="R162">
        <v>86</v>
      </c>
      <c r="U162">
        <v>317</v>
      </c>
      <c r="V162" s="4">
        <f t="shared" si="29"/>
        <v>0.36860465116279068</v>
      </c>
      <c r="W162">
        <v>100</v>
      </c>
      <c r="AD162" t="str">
        <f>CONCATENATE(VLOOKUP(AE162, 'Voxel Sizes'!$A$2:$B$18,2,FALSE),"x",INT(AA162*15), "x", INT(AB162*15))</f>
        <v>0x0x0</v>
      </c>
      <c r="AE162">
        <f t="shared" si="27"/>
        <v>0</v>
      </c>
      <c r="AG162" t="str">
        <f>CONCATENATE(VLOOKUP(AE162,'Articulated Lengths'!$A$2:$C$16,IF(AF162&lt;&gt;"", 3, 2), FALSE),IF(AF162&lt;&gt;"",CONCATENATE(",",VLOOKUP(AF162,$B$2:$AG$213,32,FALSE)),""))</f>
        <v>na</v>
      </c>
      <c r="AL162">
        <v>10</v>
      </c>
      <c r="AM162">
        <v>10</v>
      </c>
      <c r="AP162" t="str">
        <f>VLOOKUP(F162,Eras!$A$2:$C$12, 2, TRUE)</f>
        <v>mod</v>
      </c>
      <c r="AR162" t="str">
        <f t="shared" si="28"/>
        <v>mod_</v>
      </c>
    </row>
    <row r="163" spans="1:44" x14ac:dyDescent="0.25">
      <c r="A163" t="s">
        <v>97</v>
      </c>
      <c r="B163" t="s">
        <v>301</v>
      </c>
      <c r="C163" t="s">
        <v>195</v>
      </c>
      <c r="E163" t="s">
        <v>376</v>
      </c>
      <c r="V163" s="4" t="str">
        <f t="shared" si="29"/>
        <v/>
      </c>
      <c r="AD163" t="str">
        <f>CONCATENATE(VLOOKUP(AE163, 'Voxel Sizes'!$A$2:$B$18,2,FALSE),"x",INT(AA163*15), "x", INT(AB163*15))</f>
        <v>0x0x0</v>
      </c>
      <c r="AE163">
        <f t="shared" si="27"/>
        <v>0</v>
      </c>
      <c r="AG163" t="str">
        <f>CONCATENATE(VLOOKUP(AE163,'Articulated Lengths'!$A$2:$C$16,IF(AF163&lt;&gt;"", 3, 2), FALSE),IF(AF163&lt;&gt;"",CONCATENATE(",",VLOOKUP(AF163,$B$2:$AG$213,32,FALSE)),""))</f>
        <v>na</v>
      </c>
      <c r="AL163">
        <v>10</v>
      </c>
      <c r="AM163">
        <v>10</v>
      </c>
      <c r="AP163" t="e">
        <f>VLOOKUP(F163,Eras!$A$2:$C$12, 2, TRUE)</f>
        <v>#N/A</v>
      </c>
      <c r="AR163" t="e">
        <f t="shared" si="28"/>
        <v>#N/A</v>
      </c>
    </row>
    <row r="164" spans="1:44" x14ac:dyDescent="0.25">
      <c r="A164" t="s">
        <v>98</v>
      </c>
      <c r="B164" t="s">
        <v>302</v>
      </c>
      <c r="C164" t="s">
        <v>195</v>
      </c>
      <c r="E164" t="s">
        <v>376</v>
      </c>
      <c r="V164" s="4" t="str">
        <f t="shared" si="29"/>
        <v/>
      </c>
      <c r="AD164" t="str">
        <f>CONCATENATE(VLOOKUP(AE164, 'Voxel Sizes'!$A$2:$B$18,2,FALSE),"x",INT(AA164*15), "x", INT(AB164*15))</f>
        <v>0x0x0</v>
      </c>
      <c r="AE164">
        <f t="shared" si="27"/>
        <v>0</v>
      </c>
      <c r="AG164" t="str">
        <f>CONCATENATE(VLOOKUP(AE164,'Articulated Lengths'!$A$2:$C$16,IF(AF164&lt;&gt;"", 3, 2), FALSE),IF(AF164&lt;&gt;"",CONCATENATE(",",VLOOKUP(AF164,$B$2:$AG$213,32,FALSE)),""))</f>
        <v>na</v>
      </c>
      <c r="AL164">
        <v>10</v>
      </c>
      <c r="AM164">
        <v>10</v>
      </c>
      <c r="AP164" t="e">
        <f>VLOOKUP(F164,Eras!$A$2:$C$12, 2, TRUE)</f>
        <v>#N/A</v>
      </c>
      <c r="AR164" t="e">
        <f t="shared" si="28"/>
        <v>#N/A</v>
      </c>
    </row>
    <row r="165" spans="1:44" x14ac:dyDescent="0.25">
      <c r="A165" t="s">
        <v>99</v>
      </c>
      <c r="B165" t="s">
        <v>303</v>
      </c>
      <c r="C165" t="s">
        <v>195</v>
      </c>
      <c r="E165" t="s">
        <v>376</v>
      </c>
      <c r="V165" s="4" t="str">
        <f t="shared" si="29"/>
        <v/>
      </c>
      <c r="AD165" t="str">
        <f>CONCATENATE(VLOOKUP(AE165, 'Voxel Sizes'!$A$2:$B$18,2,FALSE),"x",INT(AA165*15), "x", INT(AB165*15))</f>
        <v>0x0x0</v>
      </c>
      <c r="AE165">
        <f t="shared" si="27"/>
        <v>0</v>
      </c>
      <c r="AG165" t="str">
        <f>CONCATENATE(VLOOKUP(AE165,'Articulated Lengths'!$A$2:$C$16,IF(AF165&lt;&gt;"", 3, 2), FALSE),IF(AF165&lt;&gt;"",CONCATENATE(",",VLOOKUP(AF165,$B$2:$AG$213,32,FALSE)),""))</f>
        <v>na</v>
      </c>
      <c r="AL165">
        <v>10</v>
      </c>
      <c r="AM165">
        <v>10</v>
      </c>
      <c r="AP165" t="e">
        <f>VLOOKUP(F165,Eras!$A$2:$C$12, 2, TRUE)</f>
        <v>#N/A</v>
      </c>
      <c r="AR165" t="e">
        <f t="shared" si="28"/>
        <v>#N/A</v>
      </c>
    </row>
    <row r="166" spans="1:44" x14ac:dyDescent="0.25">
      <c r="A166" t="s">
        <v>100</v>
      </c>
      <c r="B166" t="s">
        <v>304</v>
      </c>
      <c r="C166" t="s">
        <v>195</v>
      </c>
      <c r="E166" t="s">
        <v>376</v>
      </c>
      <c r="V166" s="4" t="str">
        <f t="shared" si="29"/>
        <v/>
      </c>
      <c r="AD166" t="str">
        <f>CONCATENATE(VLOOKUP(AE166, 'Voxel Sizes'!$A$2:$B$18,2,FALSE),"x",INT(AA166*15), "x", INT(AB166*15))</f>
        <v>0x0x0</v>
      </c>
      <c r="AE166">
        <f t="shared" si="27"/>
        <v>0</v>
      </c>
      <c r="AG166" t="str">
        <f>CONCATENATE(VLOOKUP(AE166,'Articulated Lengths'!$A$2:$C$16,IF(AF166&lt;&gt;"", 3, 2), FALSE),IF(AF166&lt;&gt;"",CONCATENATE(",",VLOOKUP(AF166,$B$2:$AG$213,32,FALSE)),""))</f>
        <v>na</v>
      </c>
      <c r="AL166">
        <v>10</v>
      </c>
      <c r="AM166">
        <v>10</v>
      </c>
      <c r="AP166" t="e">
        <f>VLOOKUP(F166,Eras!$A$2:$C$12, 2, TRUE)</f>
        <v>#N/A</v>
      </c>
      <c r="AR166" t="e">
        <f t="shared" si="28"/>
        <v>#N/A</v>
      </c>
    </row>
    <row r="167" spans="1:44" x14ac:dyDescent="0.25">
      <c r="A167" t="s">
        <v>101</v>
      </c>
      <c r="B167" t="s">
        <v>249</v>
      </c>
      <c r="C167" t="s">
        <v>195</v>
      </c>
      <c r="E167" t="s">
        <v>376</v>
      </c>
      <c r="V167" s="4" t="str">
        <f t="shared" si="29"/>
        <v/>
      </c>
      <c r="AD167" t="str">
        <f>CONCATENATE(VLOOKUP(AE167, 'Voxel Sizes'!$A$2:$B$18,2,FALSE),"x",INT(AA167*15), "x", INT(AB167*15))</f>
        <v>0x0x0</v>
      </c>
      <c r="AE167">
        <f t="shared" si="27"/>
        <v>0</v>
      </c>
      <c r="AG167" t="str">
        <f>CONCATENATE(VLOOKUP(AE167,'Articulated Lengths'!$A$2:$C$16,IF(AF167&lt;&gt;"", 3, 2), FALSE),IF(AF167&lt;&gt;"",CONCATENATE(",",VLOOKUP(AF167,$B$2:$AG$213,32,FALSE)),""))</f>
        <v>na</v>
      </c>
      <c r="AL167">
        <v>10</v>
      </c>
      <c r="AM167">
        <v>10</v>
      </c>
      <c r="AP167" t="e">
        <f>VLOOKUP(F167,Eras!$A$2:$C$12, 2, TRUE)</f>
        <v>#N/A</v>
      </c>
      <c r="AR167" t="e">
        <f t="shared" si="28"/>
        <v>#N/A</v>
      </c>
    </row>
    <row r="168" spans="1:44" x14ac:dyDescent="0.25">
      <c r="A168" t="s">
        <v>102</v>
      </c>
      <c r="B168" t="s">
        <v>250</v>
      </c>
      <c r="C168" t="s">
        <v>195</v>
      </c>
      <c r="E168" t="s">
        <v>376</v>
      </c>
      <c r="V168" s="4" t="str">
        <f t="shared" si="29"/>
        <v/>
      </c>
      <c r="AD168" t="str">
        <f>CONCATENATE(VLOOKUP(AE168, 'Voxel Sizes'!$A$2:$B$18,2,FALSE),"x",INT(AA168*15), "x", INT(AB168*15))</f>
        <v>0x0x0</v>
      </c>
      <c r="AE168">
        <f t="shared" si="27"/>
        <v>0</v>
      </c>
      <c r="AG168" t="str">
        <f>CONCATENATE(VLOOKUP(AE168,'Articulated Lengths'!$A$2:$C$16,IF(AF168&lt;&gt;"", 3, 2), FALSE),IF(AF168&lt;&gt;"",CONCATENATE(",",VLOOKUP(AF168,$B$2:$AG$213,32,FALSE)),""))</f>
        <v>na</v>
      </c>
      <c r="AL168">
        <v>10</v>
      </c>
      <c r="AM168">
        <v>10</v>
      </c>
      <c r="AP168" t="e">
        <f>VLOOKUP(F168,Eras!$A$2:$C$12, 2, TRUE)</f>
        <v>#N/A</v>
      </c>
      <c r="AR168" t="e">
        <f t="shared" si="28"/>
        <v>#N/A</v>
      </c>
    </row>
    <row r="169" spans="1:44" x14ac:dyDescent="0.25">
      <c r="A169" t="s">
        <v>103</v>
      </c>
      <c r="B169" t="s">
        <v>251</v>
      </c>
      <c r="C169" t="s">
        <v>195</v>
      </c>
      <c r="E169" t="s">
        <v>376</v>
      </c>
      <c r="V169" s="4" t="str">
        <f t="shared" si="29"/>
        <v/>
      </c>
      <c r="AD169" t="str">
        <f>CONCATENATE(VLOOKUP(AE169, 'Voxel Sizes'!$A$2:$B$18,2,FALSE),"x",INT(AA169*15), "x", INT(AB169*15))</f>
        <v>0x0x0</v>
      </c>
      <c r="AE169">
        <f t="shared" si="27"/>
        <v>0</v>
      </c>
      <c r="AG169" t="str">
        <f>CONCATENATE(VLOOKUP(AE169,'Articulated Lengths'!$A$2:$C$16,IF(AF169&lt;&gt;"", 3, 2), FALSE),IF(AF169&lt;&gt;"",CONCATENATE(",",VLOOKUP(AF169,$B$2:$AG$213,32,FALSE)),""))</f>
        <v>na</v>
      </c>
      <c r="AL169">
        <v>10</v>
      </c>
      <c r="AM169">
        <v>10</v>
      </c>
      <c r="AP169" t="e">
        <f>VLOOKUP(F169,Eras!$A$2:$C$12, 2, TRUE)</f>
        <v>#N/A</v>
      </c>
      <c r="AR169" t="e">
        <f t="shared" si="28"/>
        <v>#N/A</v>
      </c>
    </row>
    <row r="170" spans="1:44" x14ac:dyDescent="0.25">
      <c r="A170" t="s">
        <v>104</v>
      </c>
      <c r="B170" t="s">
        <v>351</v>
      </c>
      <c r="C170" t="s">
        <v>195</v>
      </c>
      <c r="E170" t="s">
        <v>376</v>
      </c>
      <c r="V170" s="4" t="str">
        <f t="shared" si="29"/>
        <v/>
      </c>
      <c r="AD170" t="str">
        <f>CONCATENATE(VLOOKUP(AE170, 'Voxel Sizes'!$A$2:$B$18,2,FALSE),"x",INT(AA170*15), "x", INT(AB170*15))</f>
        <v>0x0x0</v>
      </c>
      <c r="AE170">
        <f t="shared" si="27"/>
        <v>0</v>
      </c>
      <c r="AG170" t="str">
        <f>CONCATENATE(VLOOKUP(AE170,'Articulated Lengths'!$A$2:$C$16,IF(AF170&lt;&gt;"", 3, 2), FALSE),IF(AF170&lt;&gt;"",CONCATENATE(",",VLOOKUP(AF170,$B$2:$AG$213,32,FALSE)),""))</f>
        <v>na</v>
      </c>
      <c r="AL170">
        <v>10</v>
      </c>
      <c r="AM170">
        <v>10</v>
      </c>
      <c r="AP170" t="e">
        <f>VLOOKUP(F170,Eras!$A$2:$C$12, 2, TRUE)</f>
        <v>#N/A</v>
      </c>
      <c r="AR170" t="e">
        <f t="shared" si="28"/>
        <v>#N/A</v>
      </c>
    </row>
    <row r="171" spans="1:44" x14ac:dyDescent="0.25">
      <c r="A171" t="s">
        <v>105</v>
      </c>
      <c r="B171" t="s">
        <v>252</v>
      </c>
      <c r="C171" t="s">
        <v>195</v>
      </c>
      <c r="E171" t="s">
        <v>376</v>
      </c>
      <c r="V171" s="4" t="str">
        <f t="shared" si="29"/>
        <v/>
      </c>
      <c r="AD171" t="str">
        <f>CONCATENATE(VLOOKUP(AE171, 'Voxel Sizes'!$A$2:$B$18,2,FALSE),"x",INT(AA171*15), "x", INT(AB171*15))</f>
        <v>0x0x0</v>
      </c>
      <c r="AE171">
        <f t="shared" si="27"/>
        <v>0</v>
      </c>
      <c r="AG171" t="str">
        <f>CONCATENATE(VLOOKUP(AE171,'Articulated Lengths'!$A$2:$C$16,IF(AF171&lt;&gt;"", 3, 2), FALSE),IF(AF171&lt;&gt;"",CONCATENATE(",",VLOOKUP(AF171,$B$2:$AG$213,32,FALSE)),""))</f>
        <v>na</v>
      </c>
      <c r="AL171">
        <v>10</v>
      </c>
      <c r="AM171">
        <v>10</v>
      </c>
      <c r="AP171" t="e">
        <f>VLOOKUP(F171,Eras!$A$2:$C$12, 2, TRUE)</f>
        <v>#N/A</v>
      </c>
      <c r="AR171" t="e">
        <f t="shared" si="28"/>
        <v>#N/A</v>
      </c>
    </row>
    <row r="172" spans="1:44" x14ac:dyDescent="0.25">
      <c r="A172" t="s">
        <v>106</v>
      </c>
      <c r="B172" t="s">
        <v>353</v>
      </c>
      <c r="C172" t="s">
        <v>195</v>
      </c>
      <c r="E172" t="s">
        <v>376</v>
      </c>
      <c r="V172" s="4" t="str">
        <f t="shared" si="29"/>
        <v/>
      </c>
      <c r="AD172" t="str">
        <f>CONCATENATE(VLOOKUP(AE172, 'Voxel Sizes'!$A$2:$B$18,2,FALSE),"x",INT(AA172*15), "x", INT(AB172*15))</f>
        <v>0x0x0</v>
      </c>
      <c r="AE172">
        <f t="shared" si="27"/>
        <v>0</v>
      </c>
      <c r="AG172" t="str">
        <f>CONCATENATE(VLOOKUP(AE172,'Articulated Lengths'!$A$2:$C$16,IF(AF172&lt;&gt;"", 3, 2), FALSE),IF(AF172&lt;&gt;"",CONCATENATE(",",VLOOKUP(AF172,$B$2:$AG$213,32,FALSE)),""))</f>
        <v>na</v>
      </c>
      <c r="AL172">
        <v>10</v>
      </c>
      <c r="AM172">
        <v>10</v>
      </c>
      <c r="AP172" t="e">
        <f>VLOOKUP(F172,Eras!$A$2:$C$12, 2, TRUE)</f>
        <v>#N/A</v>
      </c>
      <c r="AR172" t="e">
        <f t="shared" ref="AR172:AR202" si="30">CONCATENATE(AP172,"_",AQ172)</f>
        <v>#N/A</v>
      </c>
    </row>
    <row r="173" spans="1:44" x14ac:dyDescent="0.25">
      <c r="A173" t="s">
        <v>107</v>
      </c>
      <c r="B173" t="s">
        <v>253</v>
      </c>
      <c r="C173" t="s">
        <v>195</v>
      </c>
      <c r="E173" t="s">
        <v>376</v>
      </c>
      <c r="V173" s="4" t="str">
        <f t="shared" si="29"/>
        <v/>
      </c>
      <c r="AD173" t="str">
        <f>CONCATENATE(VLOOKUP(AE173, 'Voxel Sizes'!$A$2:$B$18,2,FALSE),"x",INT(AA173*15), "x", INT(AB173*15))</f>
        <v>0x0x0</v>
      </c>
      <c r="AE173">
        <f t="shared" si="27"/>
        <v>0</v>
      </c>
      <c r="AG173" t="str">
        <f>CONCATENATE(VLOOKUP(AE173,'Articulated Lengths'!$A$2:$C$16,IF(AF173&lt;&gt;"", 3, 2), FALSE),IF(AF173&lt;&gt;"",CONCATENATE(",",VLOOKUP(AF173,$B$2:$AG$213,32,FALSE)),""))</f>
        <v>na</v>
      </c>
      <c r="AL173">
        <v>10</v>
      </c>
      <c r="AM173">
        <v>10</v>
      </c>
      <c r="AP173" t="e">
        <f>VLOOKUP(F173,Eras!$A$2:$C$12, 2, TRUE)</f>
        <v>#N/A</v>
      </c>
      <c r="AR173" t="e">
        <f t="shared" si="30"/>
        <v>#N/A</v>
      </c>
    </row>
    <row r="174" spans="1:44" x14ac:dyDescent="0.25">
      <c r="A174" t="s">
        <v>108</v>
      </c>
      <c r="B174" t="s">
        <v>307</v>
      </c>
      <c r="C174" t="s">
        <v>195</v>
      </c>
      <c r="E174" t="s">
        <v>376</v>
      </c>
      <c r="V174" s="4" t="str">
        <f t="shared" si="29"/>
        <v/>
      </c>
      <c r="AD174" t="str">
        <f>CONCATENATE(VLOOKUP(AE174, 'Voxel Sizes'!$A$2:$B$18,2,FALSE),"x",INT(AA174*15), "x", INT(AB174*15))</f>
        <v>0x0x0</v>
      </c>
      <c r="AE174">
        <f t="shared" si="27"/>
        <v>0</v>
      </c>
      <c r="AG174" t="str">
        <f>CONCATENATE(VLOOKUP(AE174,'Articulated Lengths'!$A$2:$C$16,IF(AF174&lt;&gt;"", 3, 2), FALSE),IF(AF174&lt;&gt;"",CONCATENATE(",",VLOOKUP(AF174,$B$2:$AG$213,32,FALSE)),""))</f>
        <v>na</v>
      </c>
      <c r="AL174">
        <v>10</v>
      </c>
      <c r="AM174">
        <v>10</v>
      </c>
      <c r="AP174" t="e">
        <f>VLOOKUP(F174,Eras!$A$2:$C$12, 2, TRUE)</f>
        <v>#N/A</v>
      </c>
      <c r="AR174" t="e">
        <f t="shared" si="30"/>
        <v>#N/A</v>
      </c>
    </row>
    <row r="175" spans="1:44" x14ac:dyDescent="0.25">
      <c r="A175" t="s">
        <v>109</v>
      </c>
      <c r="B175" t="s">
        <v>308</v>
      </c>
      <c r="C175" t="s">
        <v>195</v>
      </c>
      <c r="E175" t="s">
        <v>376</v>
      </c>
      <c r="V175" s="4" t="str">
        <f t="shared" si="29"/>
        <v/>
      </c>
      <c r="AD175" t="str">
        <f>CONCATENATE(VLOOKUP(AE175, 'Voxel Sizes'!$A$2:$B$18,2,FALSE),"x",INT(AA175*15), "x", INT(AB175*15))</f>
        <v>0x0x0</v>
      </c>
      <c r="AE175">
        <f t="shared" si="27"/>
        <v>0</v>
      </c>
      <c r="AG175" t="str">
        <f>CONCATENATE(VLOOKUP(AE175,'Articulated Lengths'!$A$2:$C$16,IF(AF175&lt;&gt;"", 3, 2), FALSE),IF(AF175&lt;&gt;"",CONCATENATE(",",VLOOKUP(AF175,$B$2:$AG$213,32,FALSE)),""))</f>
        <v>na</v>
      </c>
      <c r="AL175">
        <v>10</v>
      </c>
      <c r="AM175">
        <v>10</v>
      </c>
      <c r="AP175" t="e">
        <f>VLOOKUP(F175,Eras!$A$2:$C$12, 2, TRUE)</f>
        <v>#N/A</v>
      </c>
      <c r="AR175" t="e">
        <f t="shared" si="30"/>
        <v>#N/A</v>
      </c>
    </row>
    <row r="176" spans="1:44" x14ac:dyDescent="0.25">
      <c r="A176" t="s">
        <v>110</v>
      </c>
      <c r="B176" t="s">
        <v>309</v>
      </c>
      <c r="C176" t="s">
        <v>195</v>
      </c>
      <c r="E176" t="s">
        <v>376</v>
      </c>
      <c r="V176" s="4" t="str">
        <f t="shared" si="29"/>
        <v/>
      </c>
      <c r="AD176" t="str">
        <f>CONCATENATE(VLOOKUP(AE176, 'Voxel Sizes'!$A$2:$B$18,2,FALSE),"x",INT(AA176*15), "x", INT(AB176*15))</f>
        <v>0x0x0</v>
      </c>
      <c r="AE176">
        <f t="shared" si="27"/>
        <v>0</v>
      </c>
      <c r="AG176" t="str">
        <f>CONCATENATE(VLOOKUP(AE176,'Articulated Lengths'!$A$2:$C$16,IF(AF176&lt;&gt;"", 3, 2), FALSE),IF(AF176&lt;&gt;"",CONCATENATE(",",VLOOKUP(AF176,$B$2:$AG$213,32,FALSE)),""))</f>
        <v>na</v>
      </c>
      <c r="AL176">
        <v>10</v>
      </c>
      <c r="AM176">
        <v>10</v>
      </c>
      <c r="AP176" t="e">
        <f>VLOOKUP(F176,Eras!$A$2:$C$12, 2, TRUE)</f>
        <v>#N/A</v>
      </c>
      <c r="AR176" t="e">
        <f t="shared" si="30"/>
        <v>#N/A</v>
      </c>
    </row>
    <row r="177" spans="1:44" x14ac:dyDescent="0.25">
      <c r="A177" t="s">
        <v>111</v>
      </c>
      <c r="B177" t="s">
        <v>310</v>
      </c>
      <c r="C177" t="s">
        <v>195</v>
      </c>
      <c r="E177" t="s">
        <v>376</v>
      </c>
      <c r="V177" s="4" t="str">
        <f t="shared" si="29"/>
        <v/>
      </c>
      <c r="AD177" t="str">
        <f>CONCATENATE(VLOOKUP(AE177, 'Voxel Sizes'!$A$2:$B$18,2,FALSE),"x",INT(AA177*15), "x", INT(AB177*15))</f>
        <v>0x0x0</v>
      </c>
      <c r="AE177">
        <f t="shared" si="27"/>
        <v>0</v>
      </c>
      <c r="AG177" t="str">
        <f>CONCATENATE(VLOOKUP(AE177,'Articulated Lengths'!$A$2:$C$16,IF(AF177&lt;&gt;"", 3, 2), FALSE),IF(AF177&lt;&gt;"",CONCATENATE(",",VLOOKUP(AF177,$B$2:$AG$213,32,FALSE)),""))</f>
        <v>na</v>
      </c>
      <c r="AL177">
        <v>10</v>
      </c>
      <c r="AM177">
        <v>10</v>
      </c>
      <c r="AP177" t="e">
        <f>VLOOKUP(F177,Eras!$A$2:$C$12, 2, TRUE)</f>
        <v>#N/A</v>
      </c>
      <c r="AR177" t="e">
        <f t="shared" si="30"/>
        <v>#N/A</v>
      </c>
    </row>
    <row r="178" spans="1:44" x14ac:dyDescent="0.25">
      <c r="A178" t="s">
        <v>112</v>
      </c>
      <c r="B178" t="s">
        <v>254</v>
      </c>
      <c r="C178" t="s">
        <v>195</v>
      </c>
      <c r="E178" t="s">
        <v>376</v>
      </c>
      <c r="V178" s="4" t="str">
        <f t="shared" si="29"/>
        <v/>
      </c>
      <c r="AD178" t="str">
        <f>CONCATENATE(VLOOKUP(AE178, 'Voxel Sizes'!$A$2:$B$18,2,FALSE),"x",INT(AA178*15), "x", INT(AB178*15))</f>
        <v>0x0x0</v>
      </c>
      <c r="AE178">
        <f t="shared" si="27"/>
        <v>0</v>
      </c>
      <c r="AG178" t="str">
        <f>CONCATENATE(VLOOKUP(AE178,'Articulated Lengths'!$A$2:$C$16,IF(AF178&lt;&gt;"", 3, 2), FALSE),IF(AF178&lt;&gt;"",CONCATENATE(",",VLOOKUP(AF178,$B$2:$AG$213,32,FALSE)),""))</f>
        <v>na</v>
      </c>
      <c r="AL178">
        <v>10</v>
      </c>
      <c r="AM178">
        <v>10</v>
      </c>
      <c r="AP178" t="e">
        <f>VLOOKUP(F178,Eras!$A$2:$C$12, 2, TRUE)</f>
        <v>#N/A</v>
      </c>
      <c r="AR178" t="e">
        <f t="shared" si="30"/>
        <v>#N/A</v>
      </c>
    </row>
    <row r="179" spans="1:44" x14ac:dyDescent="0.25">
      <c r="A179" t="s">
        <v>113</v>
      </c>
      <c r="B179" t="s">
        <v>255</v>
      </c>
      <c r="C179" t="s">
        <v>195</v>
      </c>
      <c r="E179" t="s">
        <v>376</v>
      </c>
      <c r="V179" s="4" t="str">
        <f t="shared" si="29"/>
        <v/>
      </c>
      <c r="AD179" t="str">
        <f>CONCATENATE(VLOOKUP(AE179, 'Voxel Sizes'!$A$2:$B$18,2,FALSE),"x",INT(AA179*15), "x", INT(AB179*15))</f>
        <v>0x0x0</v>
      </c>
      <c r="AE179">
        <f t="shared" si="27"/>
        <v>0</v>
      </c>
      <c r="AG179" t="str">
        <f>CONCATENATE(VLOOKUP(AE179,'Articulated Lengths'!$A$2:$C$16,IF(AF179&lt;&gt;"", 3, 2), FALSE),IF(AF179&lt;&gt;"",CONCATENATE(",",VLOOKUP(AF179,$B$2:$AG$213,32,FALSE)),""))</f>
        <v>na</v>
      </c>
      <c r="AL179">
        <v>10</v>
      </c>
      <c r="AM179">
        <v>10</v>
      </c>
      <c r="AP179" t="e">
        <f>VLOOKUP(F179,Eras!$A$2:$C$12, 2, TRUE)</f>
        <v>#N/A</v>
      </c>
      <c r="AR179" t="e">
        <f t="shared" si="30"/>
        <v>#N/A</v>
      </c>
    </row>
    <row r="180" spans="1:44" x14ac:dyDescent="0.25">
      <c r="A180" t="s">
        <v>114</v>
      </c>
      <c r="B180" t="s">
        <v>256</v>
      </c>
      <c r="C180" t="s">
        <v>195</v>
      </c>
      <c r="E180" t="s">
        <v>376</v>
      </c>
      <c r="V180" s="4" t="str">
        <f t="shared" si="29"/>
        <v/>
      </c>
      <c r="AD180" t="str">
        <f>CONCATENATE(VLOOKUP(AE180, 'Voxel Sizes'!$A$2:$B$18,2,FALSE),"x",INT(AA180*15), "x", INT(AB180*15))</f>
        <v>0x0x0</v>
      </c>
      <c r="AE180">
        <f t="shared" si="27"/>
        <v>0</v>
      </c>
      <c r="AG180" t="str">
        <f>CONCATENATE(VLOOKUP(AE180,'Articulated Lengths'!$A$2:$C$16,IF(AF180&lt;&gt;"", 3, 2), FALSE),IF(AF180&lt;&gt;"",CONCATENATE(",",VLOOKUP(AF180,$B$2:$AG$213,32,FALSE)),""))</f>
        <v>na</v>
      </c>
      <c r="AL180">
        <v>10</v>
      </c>
      <c r="AM180">
        <v>10</v>
      </c>
      <c r="AP180" t="e">
        <f>VLOOKUP(F180,Eras!$A$2:$C$12, 2, TRUE)</f>
        <v>#N/A</v>
      </c>
      <c r="AR180" t="e">
        <f t="shared" si="30"/>
        <v>#N/A</v>
      </c>
    </row>
    <row r="181" spans="1:44" x14ac:dyDescent="0.25">
      <c r="A181" t="s">
        <v>115</v>
      </c>
      <c r="B181" t="s">
        <v>311</v>
      </c>
      <c r="C181" t="s">
        <v>195</v>
      </c>
      <c r="E181" t="s">
        <v>376</v>
      </c>
      <c r="V181" s="4" t="str">
        <f t="shared" si="29"/>
        <v/>
      </c>
      <c r="AD181" t="str">
        <f>CONCATENATE(VLOOKUP(AE181, 'Voxel Sizes'!$A$2:$B$18,2,FALSE),"x",INT(AA181*15), "x", INT(AB181*15))</f>
        <v>0x0x0</v>
      </c>
      <c r="AE181">
        <f t="shared" si="27"/>
        <v>0</v>
      </c>
      <c r="AG181" t="str">
        <f>CONCATENATE(VLOOKUP(AE181,'Articulated Lengths'!$A$2:$C$16,IF(AF181&lt;&gt;"", 3, 2), FALSE),IF(AF181&lt;&gt;"",CONCATENATE(",",VLOOKUP(AF181,$B$2:$AG$213,32,FALSE)),""))</f>
        <v>na</v>
      </c>
      <c r="AL181">
        <v>10</v>
      </c>
      <c r="AM181">
        <v>10</v>
      </c>
      <c r="AP181" t="e">
        <f>VLOOKUP(F181,Eras!$A$2:$C$12, 2, TRUE)</f>
        <v>#N/A</v>
      </c>
      <c r="AR181" t="e">
        <f t="shared" si="30"/>
        <v>#N/A</v>
      </c>
    </row>
    <row r="182" spans="1:44" x14ac:dyDescent="0.25">
      <c r="A182" t="s">
        <v>116</v>
      </c>
      <c r="B182" t="s">
        <v>306</v>
      </c>
      <c r="C182" t="s">
        <v>195</v>
      </c>
      <c r="E182" t="s">
        <v>376</v>
      </c>
      <c r="V182" s="4" t="str">
        <f t="shared" si="29"/>
        <v/>
      </c>
      <c r="AD182" t="str">
        <f>CONCATENATE(VLOOKUP(AE182, 'Voxel Sizes'!$A$2:$B$18,2,FALSE),"x",INT(AA182*15), "x", INT(AB182*15))</f>
        <v>0x0x0</v>
      </c>
      <c r="AE182">
        <f t="shared" si="27"/>
        <v>0</v>
      </c>
      <c r="AG182" t="str">
        <f>CONCATENATE(VLOOKUP(AE182,'Articulated Lengths'!$A$2:$C$16,IF(AF182&lt;&gt;"", 3, 2), FALSE),IF(AF182&lt;&gt;"",CONCATENATE(",",VLOOKUP(AF182,$B$2:$AG$213,32,FALSE)),""))</f>
        <v>na</v>
      </c>
      <c r="AL182">
        <v>10</v>
      </c>
      <c r="AM182">
        <v>10</v>
      </c>
      <c r="AP182" t="e">
        <f>VLOOKUP(F182,Eras!$A$2:$C$12, 2, TRUE)</f>
        <v>#N/A</v>
      </c>
      <c r="AR182" t="e">
        <f t="shared" si="30"/>
        <v>#N/A</v>
      </c>
    </row>
    <row r="183" spans="1:44" x14ac:dyDescent="0.25">
      <c r="A183" t="s">
        <v>117</v>
      </c>
      <c r="B183" t="s">
        <v>305</v>
      </c>
      <c r="C183" t="s">
        <v>195</v>
      </c>
      <c r="E183" t="s">
        <v>376</v>
      </c>
      <c r="V183" s="4" t="str">
        <f t="shared" si="29"/>
        <v/>
      </c>
      <c r="AD183" t="str">
        <f>CONCATENATE(VLOOKUP(AE183, 'Voxel Sizes'!$A$2:$B$18,2,FALSE),"x",INT(AA183*15), "x", INT(AB183*15))</f>
        <v>0x0x0</v>
      </c>
      <c r="AE183">
        <f t="shared" si="27"/>
        <v>0</v>
      </c>
      <c r="AG183" t="str">
        <f>CONCATENATE(VLOOKUP(AE183,'Articulated Lengths'!$A$2:$C$16,IF(AF183&lt;&gt;"", 3, 2), FALSE),IF(AF183&lt;&gt;"",CONCATENATE(",",VLOOKUP(AF183,$B$2:$AG$213,32,FALSE)),""))</f>
        <v>na</v>
      </c>
      <c r="AL183">
        <v>10</v>
      </c>
      <c r="AM183">
        <v>10</v>
      </c>
      <c r="AP183" t="e">
        <f>VLOOKUP(F183,Eras!$A$2:$C$12, 2, TRUE)</f>
        <v>#N/A</v>
      </c>
      <c r="AR183" t="e">
        <f t="shared" si="30"/>
        <v>#N/A</v>
      </c>
    </row>
    <row r="184" spans="1:44" x14ac:dyDescent="0.25">
      <c r="A184" t="s">
        <v>118</v>
      </c>
      <c r="B184" t="s">
        <v>315</v>
      </c>
      <c r="C184" t="s">
        <v>195</v>
      </c>
      <c r="E184" t="s">
        <v>376</v>
      </c>
      <c r="V184" s="4" t="str">
        <f t="shared" si="29"/>
        <v/>
      </c>
      <c r="AD184" t="str">
        <f>CONCATENATE(VLOOKUP(AE184, 'Voxel Sizes'!$A$2:$B$18,2,FALSE),"x",INT(AA184*15), "x", INT(AB184*15))</f>
        <v>0x0x0</v>
      </c>
      <c r="AE184">
        <f t="shared" si="27"/>
        <v>0</v>
      </c>
      <c r="AG184" t="str">
        <f>CONCATENATE(VLOOKUP(AE184,'Articulated Lengths'!$A$2:$C$16,IF(AF184&lt;&gt;"", 3, 2), FALSE),IF(AF184&lt;&gt;"",CONCATENATE(",",VLOOKUP(AF184,$B$2:$AG$213,32,FALSE)),""))</f>
        <v>na</v>
      </c>
      <c r="AL184">
        <v>10</v>
      </c>
      <c r="AM184">
        <v>10</v>
      </c>
      <c r="AP184" t="e">
        <f>VLOOKUP(F184,Eras!$A$2:$C$12, 2, TRUE)</f>
        <v>#N/A</v>
      </c>
      <c r="AR184" t="e">
        <f t="shared" si="30"/>
        <v>#N/A</v>
      </c>
    </row>
    <row r="185" spans="1:44" x14ac:dyDescent="0.25">
      <c r="A185" t="s">
        <v>119</v>
      </c>
      <c r="B185" t="s">
        <v>354</v>
      </c>
      <c r="C185" t="s">
        <v>195</v>
      </c>
      <c r="E185" t="s">
        <v>376</v>
      </c>
      <c r="V185" s="4" t="str">
        <f t="shared" si="29"/>
        <v/>
      </c>
      <c r="AD185" t="str">
        <f>CONCATENATE(VLOOKUP(AE185, 'Voxel Sizes'!$A$2:$B$18,2,FALSE),"x",INT(AA185*15), "x", INT(AB185*15))</f>
        <v>0x0x0</v>
      </c>
      <c r="AE185">
        <f t="shared" si="27"/>
        <v>0</v>
      </c>
      <c r="AG185" t="str">
        <f>CONCATENATE(VLOOKUP(AE185,'Articulated Lengths'!$A$2:$C$16,IF(AF185&lt;&gt;"", 3, 2), FALSE),IF(AF185&lt;&gt;"",CONCATENATE(",",VLOOKUP(AF185,$B$2:$AG$213,32,FALSE)),""))</f>
        <v>na</v>
      </c>
      <c r="AL185">
        <v>10</v>
      </c>
      <c r="AM185">
        <v>10</v>
      </c>
      <c r="AP185" t="e">
        <f>VLOOKUP(F185,Eras!$A$2:$C$12, 2, TRUE)</f>
        <v>#N/A</v>
      </c>
      <c r="AR185" t="e">
        <f t="shared" si="30"/>
        <v>#N/A</v>
      </c>
    </row>
    <row r="186" spans="1:44" x14ac:dyDescent="0.25">
      <c r="A186" t="s">
        <v>120</v>
      </c>
      <c r="B186" t="s">
        <v>314</v>
      </c>
      <c r="C186" t="s">
        <v>195</v>
      </c>
      <c r="E186" t="s">
        <v>376</v>
      </c>
      <c r="V186" s="4" t="str">
        <f t="shared" si="29"/>
        <v/>
      </c>
      <c r="AD186" t="str">
        <f>CONCATENATE(VLOOKUP(AE186, 'Voxel Sizes'!$A$2:$B$18,2,FALSE),"x",INT(AA186*15), "x", INT(AB186*15))</f>
        <v>0x0x0</v>
      </c>
      <c r="AE186">
        <f t="shared" si="27"/>
        <v>0</v>
      </c>
      <c r="AG186" t="str">
        <f>CONCATENATE(VLOOKUP(AE186,'Articulated Lengths'!$A$2:$C$16,IF(AF186&lt;&gt;"", 3, 2), FALSE),IF(AF186&lt;&gt;"",CONCATENATE(",",VLOOKUP(AF186,$B$2:$AG$213,32,FALSE)),""))</f>
        <v>na</v>
      </c>
      <c r="AL186">
        <v>10</v>
      </c>
      <c r="AM186">
        <v>10</v>
      </c>
      <c r="AP186" t="e">
        <f>VLOOKUP(F186,Eras!$A$2:$C$12, 2, TRUE)</f>
        <v>#N/A</v>
      </c>
      <c r="AR186" t="e">
        <f t="shared" si="30"/>
        <v>#N/A</v>
      </c>
    </row>
    <row r="187" spans="1:44" x14ac:dyDescent="0.25">
      <c r="A187" t="s">
        <v>122</v>
      </c>
      <c r="B187" t="s">
        <v>258</v>
      </c>
      <c r="C187" t="s">
        <v>195</v>
      </c>
      <c r="E187" t="s">
        <v>376</v>
      </c>
      <c r="V187" s="4" t="str">
        <f t="shared" si="29"/>
        <v/>
      </c>
      <c r="AD187" t="str">
        <f>CONCATENATE(VLOOKUP(AE187, 'Voxel Sizes'!$A$2:$B$18,2,FALSE),"x",INT(AA187*15), "x", INT(AB187*15))</f>
        <v>0x0x0</v>
      </c>
      <c r="AE187">
        <f t="shared" si="27"/>
        <v>0</v>
      </c>
      <c r="AG187" t="str">
        <f>CONCATENATE(VLOOKUP(AE187,'Articulated Lengths'!$A$2:$C$16,IF(AF187&lt;&gt;"", 3, 2), FALSE),IF(AF187&lt;&gt;"",CONCATENATE(",",VLOOKUP(AF187,$B$2:$AG$213,32,FALSE)),""))</f>
        <v>na</v>
      </c>
      <c r="AL187">
        <v>10</v>
      </c>
      <c r="AM187">
        <v>10</v>
      </c>
      <c r="AP187" t="e">
        <f>VLOOKUP(F187,Eras!$A$2:$C$12, 2, TRUE)</f>
        <v>#N/A</v>
      </c>
      <c r="AR187" t="e">
        <f t="shared" si="30"/>
        <v>#N/A</v>
      </c>
    </row>
    <row r="188" spans="1:44" x14ac:dyDescent="0.25">
      <c r="A188" t="s">
        <v>123</v>
      </c>
      <c r="B188" t="s">
        <v>259</v>
      </c>
      <c r="C188" t="s">
        <v>195</v>
      </c>
      <c r="E188" t="s">
        <v>376</v>
      </c>
      <c r="V188" s="4" t="str">
        <f t="shared" si="29"/>
        <v/>
      </c>
      <c r="AD188" t="str">
        <f>CONCATENATE(VLOOKUP(AE188, 'Voxel Sizes'!$A$2:$B$18,2,FALSE),"x",INT(AA188*15), "x", INT(AB188*15))</f>
        <v>0x0x0</v>
      </c>
      <c r="AE188">
        <f t="shared" si="27"/>
        <v>0</v>
      </c>
      <c r="AG188" t="str">
        <f>CONCATENATE(VLOOKUP(AE188,'Articulated Lengths'!$A$2:$C$16,IF(AF188&lt;&gt;"", 3, 2), FALSE),IF(AF188&lt;&gt;"",CONCATENATE(",",VLOOKUP(AF188,$B$2:$AG$213,32,FALSE)),""))</f>
        <v>na</v>
      </c>
      <c r="AL188">
        <v>10</v>
      </c>
      <c r="AM188">
        <v>10</v>
      </c>
      <c r="AP188" t="e">
        <f>VLOOKUP(F188,Eras!$A$2:$C$12, 2, TRUE)</f>
        <v>#N/A</v>
      </c>
      <c r="AR188" t="e">
        <f t="shared" si="30"/>
        <v>#N/A</v>
      </c>
    </row>
    <row r="189" spans="1:44" x14ac:dyDescent="0.25">
      <c r="A189" t="s">
        <v>124</v>
      </c>
      <c r="B189" t="s">
        <v>312</v>
      </c>
      <c r="C189" t="s">
        <v>195</v>
      </c>
      <c r="E189" t="s">
        <v>376</v>
      </c>
      <c r="V189" s="4" t="str">
        <f t="shared" si="29"/>
        <v/>
      </c>
      <c r="AD189" t="str">
        <f>CONCATENATE(VLOOKUP(AE189, 'Voxel Sizes'!$A$2:$B$18,2,FALSE),"x",INT(AA189*15), "x", INT(AB189*15))</f>
        <v>0x0x0</v>
      </c>
      <c r="AE189">
        <f t="shared" si="27"/>
        <v>0</v>
      </c>
      <c r="AG189" t="str">
        <f>CONCATENATE(VLOOKUP(AE189,'Articulated Lengths'!$A$2:$C$16,IF(AF189&lt;&gt;"", 3, 2), FALSE),IF(AF189&lt;&gt;"",CONCATENATE(",",VLOOKUP(AF189,$B$2:$AG$213,32,FALSE)),""))</f>
        <v>na</v>
      </c>
      <c r="AL189">
        <v>10</v>
      </c>
      <c r="AM189">
        <v>10</v>
      </c>
      <c r="AP189" t="e">
        <f>VLOOKUP(F189,Eras!$A$2:$C$12, 2, TRUE)</f>
        <v>#N/A</v>
      </c>
      <c r="AR189" t="e">
        <f t="shared" si="30"/>
        <v>#N/A</v>
      </c>
    </row>
    <row r="190" spans="1:44" x14ac:dyDescent="0.25">
      <c r="A190" t="s">
        <v>125</v>
      </c>
      <c r="B190" t="s">
        <v>352</v>
      </c>
      <c r="C190" t="s">
        <v>195</v>
      </c>
      <c r="E190" t="s">
        <v>376</v>
      </c>
      <c r="V190" s="4" t="str">
        <f t="shared" si="29"/>
        <v/>
      </c>
      <c r="AD190" t="str">
        <f>CONCATENATE(VLOOKUP(AE190, 'Voxel Sizes'!$A$2:$B$18,2,FALSE),"x",INT(AA190*15), "x", INT(AB190*15))</f>
        <v>0x0x0</v>
      </c>
      <c r="AE190">
        <f t="shared" si="27"/>
        <v>0</v>
      </c>
      <c r="AG190" t="str">
        <f>CONCATENATE(VLOOKUP(AE190,'Articulated Lengths'!$A$2:$C$16,IF(AF190&lt;&gt;"", 3, 2), FALSE),IF(AF190&lt;&gt;"",CONCATENATE(",",VLOOKUP(AF190,$B$2:$AG$213,32,FALSE)),""))</f>
        <v>na</v>
      </c>
      <c r="AL190">
        <v>10</v>
      </c>
      <c r="AM190">
        <v>10</v>
      </c>
      <c r="AP190" t="e">
        <f>VLOOKUP(F190,Eras!$A$2:$C$12, 2, TRUE)</f>
        <v>#N/A</v>
      </c>
      <c r="AQ190" t="s">
        <v>456</v>
      </c>
      <c r="AR190" t="e">
        <f t="shared" si="30"/>
        <v>#N/A</v>
      </c>
    </row>
    <row r="191" spans="1:44" x14ac:dyDescent="0.25">
      <c r="A191" t="s">
        <v>126</v>
      </c>
      <c r="B191" t="s">
        <v>260</v>
      </c>
      <c r="C191" t="s">
        <v>195</v>
      </c>
      <c r="E191" t="s">
        <v>376</v>
      </c>
      <c r="V191" s="4" t="str">
        <f t="shared" si="29"/>
        <v/>
      </c>
      <c r="AD191" t="str">
        <f>CONCATENATE(VLOOKUP(AE191, 'Voxel Sizes'!$A$2:$B$18,2,FALSE),"x",INT(AA191*15), "x", INT(AB191*15))</f>
        <v>0x0x0</v>
      </c>
      <c r="AE191">
        <f t="shared" si="27"/>
        <v>0</v>
      </c>
      <c r="AG191" t="str">
        <f>CONCATENATE(VLOOKUP(AE191,'Articulated Lengths'!$A$2:$C$16,IF(AF191&lt;&gt;"", 3, 2), FALSE),IF(AF191&lt;&gt;"",CONCATENATE(",",VLOOKUP(AF191,$B$2:$AG$213,32,FALSE)),""))</f>
        <v>na</v>
      </c>
      <c r="AL191">
        <v>10</v>
      </c>
      <c r="AM191">
        <v>10</v>
      </c>
      <c r="AP191" t="e">
        <f>VLOOKUP(F191,Eras!$A$2:$C$12, 2, TRUE)</f>
        <v>#N/A</v>
      </c>
      <c r="AQ191" t="s">
        <v>456</v>
      </c>
      <c r="AR191" t="e">
        <f t="shared" si="30"/>
        <v>#N/A</v>
      </c>
    </row>
    <row r="192" spans="1:44" x14ac:dyDescent="0.25">
      <c r="A192" t="s">
        <v>139</v>
      </c>
      <c r="B192" t="s">
        <v>355</v>
      </c>
      <c r="C192" t="s">
        <v>195</v>
      </c>
      <c r="E192" t="s">
        <v>376</v>
      </c>
      <c r="V192" s="4" t="str">
        <f t="shared" si="29"/>
        <v/>
      </c>
      <c r="AD192" t="str">
        <f>CONCATENATE(VLOOKUP(AE192, 'Voxel Sizes'!$A$2:$B$18,2,FALSE),"x",INT(AA192*15), "x", INT(AB192*15))</f>
        <v>0x0x0</v>
      </c>
      <c r="AE192">
        <f t="shared" si="27"/>
        <v>0</v>
      </c>
      <c r="AG192" t="str">
        <f>CONCATENATE(VLOOKUP(AE192,'Articulated Lengths'!$A$2:$C$16,IF(AF192&lt;&gt;"", 3, 2), FALSE),IF(AF192&lt;&gt;"",CONCATENATE(",",VLOOKUP(AF192,$B$2:$AG$213,32,FALSE)),""))</f>
        <v>na</v>
      </c>
      <c r="AL192">
        <v>10</v>
      </c>
      <c r="AM192">
        <v>10</v>
      </c>
      <c r="AP192" t="e">
        <f>VLOOKUP(F192,Eras!$A$2:$C$12, 2, TRUE)</f>
        <v>#N/A</v>
      </c>
      <c r="AR192" t="e">
        <f t="shared" si="30"/>
        <v>#N/A</v>
      </c>
    </row>
    <row r="193" spans="1:44" x14ac:dyDescent="0.25">
      <c r="A193" t="s">
        <v>140</v>
      </c>
      <c r="B193" t="s">
        <v>356</v>
      </c>
      <c r="C193" t="s">
        <v>195</v>
      </c>
      <c r="E193" t="s">
        <v>376</v>
      </c>
      <c r="V193" s="4" t="str">
        <f t="shared" si="29"/>
        <v/>
      </c>
      <c r="AD193" t="str">
        <f>CONCATENATE(VLOOKUP(AE193, 'Voxel Sizes'!$A$2:$B$18,2,FALSE),"x",INT(AA193*15), "x", INT(AB193*15))</f>
        <v>0x0x0</v>
      </c>
      <c r="AE193">
        <f t="shared" si="27"/>
        <v>0</v>
      </c>
      <c r="AG193" t="str">
        <f>CONCATENATE(VLOOKUP(AE193,'Articulated Lengths'!$A$2:$C$16,IF(AF193&lt;&gt;"", 3, 2), FALSE),IF(AF193&lt;&gt;"",CONCATENATE(",",VLOOKUP(AF193,$B$2:$AG$213,32,FALSE)),""))</f>
        <v>na</v>
      </c>
      <c r="AL193">
        <v>10</v>
      </c>
      <c r="AM193">
        <v>10</v>
      </c>
      <c r="AP193" t="e">
        <f>VLOOKUP(F193,Eras!$A$2:$C$12, 2, TRUE)</f>
        <v>#N/A</v>
      </c>
      <c r="AR193" t="e">
        <f t="shared" si="30"/>
        <v>#N/A</v>
      </c>
    </row>
    <row r="194" spans="1:44" x14ac:dyDescent="0.25">
      <c r="A194" t="s">
        <v>141</v>
      </c>
      <c r="B194" t="s">
        <v>272</v>
      </c>
      <c r="C194" t="s">
        <v>195</v>
      </c>
      <c r="E194" t="s">
        <v>376</v>
      </c>
      <c r="V194" s="4" t="str">
        <f t="shared" si="29"/>
        <v/>
      </c>
      <c r="AD194" t="str">
        <f>CONCATENATE(VLOOKUP(AE194, 'Voxel Sizes'!$A$2:$B$18,2,FALSE),"x",INT(AA194*15), "x", INT(AB194*15))</f>
        <v>0x0x0</v>
      </c>
      <c r="AE194">
        <f t="shared" si="27"/>
        <v>0</v>
      </c>
      <c r="AG194" t="str">
        <f>CONCATENATE(VLOOKUP(AE194,'Articulated Lengths'!$A$2:$C$16,IF(AF194&lt;&gt;"", 3, 2), FALSE),IF(AF194&lt;&gt;"",CONCATENATE(",",VLOOKUP(AF194,$B$2:$AG$213,32,FALSE)),""))</f>
        <v>na</v>
      </c>
      <c r="AL194">
        <v>10</v>
      </c>
      <c r="AM194">
        <v>10</v>
      </c>
      <c r="AP194" t="e">
        <f>VLOOKUP(F194,Eras!$A$2:$C$12, 2, TRUE)</f>
        <v>#N/A</v>
      </c>
      <c r="AR194" t="e">
        <f t="shared" si="30"/>
        <v>#N/A</v>
      </c>
    </row>
    <row r="195" spans="1:44" x14ac:dyDescent="0.25">
      <c r="A195" t="s">
        <v>143</v>
      </c>
      <c r="B195" t="s">
        <v>273</v>
      </c>
      <c r="C195" t="s">
        <v>195</v>
      </c>
      <c r="E195" t="s">
        <v>376</v>
      </c>
      <c r="V195" s="4" t="str">
        <f t="shared" si="29"/>
        <v/>
      </c>
      <c r="AD195" t="str">
        <f>CONCATENATE(VLOOKUP(AE195, 'Voxel Sizes'!$A$2:$B$18,2,FALSE),"x",INT(AA195*15), "x", INT(AB195*15))</f>
        <v>0x0x0</v>
      </c>
      <c r="AE195">
        <f t="shared" si="27"/>
        <v>0</v>
      </c>
      <c r="AG195" t="str">
        <f>CONCATENATE(VLOOKUP(AE195,'Articulated Lengths'!$A$2:$C$16,IF(AF195&lt;&gt;"", 3, 2), FALSE),IF(AF195&lt;&gt;"",CONCATENATE(",",VLOOKUP(AF195,$B$2:$AG$213,32,FALSE)),""))</f>
        <v>na</v>
      </c>
      <c r="AL195">
        <v>10</v>
      </c>
      <c r="AM195">
        <v>10</v>
      </c>
      <c r="AP195" t="e">
        <f>VLOOKUP(F195,Eras!$A$2:$C$12, 2, TRUE)</f>
        <v>#N/A</v>
      </c>
      <c r="AR195" t="e">
        <f t="shared" si="30"/>
        <v>#N/A</v>
      </c>
    </row>
    <row r="196" spans="1:44" x14ac:dyDescent="0.25">
      <c r="A196" t="s">
        <v>144</v>
      </c>
      <c r="B196" t="s">
        <v>360</v>
      </c>
      <c r="C196" t="s">
        <v>195</v>
      </c>
      <c r="E196" t="s">
        <v>376</v>
      </c>
      <c r="T196">
        <v>9</v>
      </c>
      <c r="V196" s="4" t="str">
        <f t="shared" si="29"/>
        <v/>
      </c>
      <c r="AD196" t="str">
        <f>CONCATENATE(VLOOKUP(AE196, 'Voxel Sizes'!$A$2:$B$18,2,FALSE),"x",INT(AA196*15), "x", INT(AB196*15))</f>
        <v>0x0x0</v>
      </c>
      <c r="AE196">
        <f t="shared" si="27"/>
        <v>0</v>
      </c>
      <c r="AG196" t="str">
        <f>CONCATENATE(VLOOKUP(AE196,'Articulated Lengths'!$A$2:$C$16,IF(AF196&lt;&gt;"", 3, 2), FALSE),IF(AF196&lt;&gt;"",CONCATENATE(",",VLOOKUP(AF196,$B$2:$AG$213,32,FALSE)),""))</f>
        <v>na</v>
      </c>
      <c r="AL196">
        <v>10</v>
      </c>
      <c r="AM196">
        <v>10</v>
      </c>
      <c r="AP196" t="e">
        <f>VLOOKUP(F196,Eras!$A$2:$C$12, 2, TRUE)</f>
        <v>#N/A</v>
      </c>
      <c r="AR196" t="e">
        <f t="shared" si="30"/>
        <v>#N/A</v>
      </c>
    </row>
    <row r="197" spans="1:44" x14ac:dyDescent="0.25">
      <c r="A197" t="s">
        <v>147</v>
      </c>
      <c r="B197" t="s">
        <v>362</v>
      </c>
      <c r="C197" t="s">
        <v>195</v>
      </c>
      <c r="E197" t="s">
        <v>376</v>
      </c>
      <c r="V197" s="4" t="str">
        <f t="shared" si="29"/>
        <v/>
      </c>
      <c r="AD197" t="str">
        <f>CONCATENATE(VLOOKUP(AE197, 'Voxel Sizes'!$A$2:$B$18,2,FALSE),"x",INT(AA197*15), "x", INT(AB197*15))</f>
        <v>0x0x0</v>
      </c>
      <c r="AE197">
        <f t="shared" si="27"/>
        <v>0</v>
      </c>
      <c r="AG197" t="str">
        <f>CONCATENATE(VLOOKUP(AE197,'Articulated Lengths'!$A$2:$C$16,IF(AF197&lt;&gt;"", 3, 2), FALSE),IF(AF197&lt;&gt;"",CONCATENATE(",",VLOOKUP(AF197,$B$2:$AG$213,32,FALSE)),""))</f>
        <v>na</v>
      </c>
      <c r="AL197">
        <v>10</v>
      </c>
      <c r="AM197">
        <v>10</v>
      </c>
      <c r="AP197" t="e">
        <f>VLOOKUP(F197,Eras!$A$2:$C$12, 2, TRUE)</f>
        <v>#N/A</v>
      </c>
      <c r="AR197" t="e">
        <f t="shared" si="30"/>
        <v>#N/A</v>
      </c>
    </row>
    <row r="198" spans="1:44" x14ac:dyDescent="0.25">
      <c r="A198" t="s">
        <v>148</v>
      </c>
      <c r="B198" t="s">
        <v>274</v>
      </c>
      <c r="C198" t="s">
        <v>195</v>
      </c>
      <c r="E198" t="s">
        <v>376</v>
      </c>
      <c r="V198" s="4" t="str">
        <f t="shared" si="29"/>
        <v/>
      </c>
      <c r="AD198" t="str">
        <f>CONCATENATE(VLOOKUP(AE198, 'Voxel Sizes'!$A$2:$B$18,2,FALSE),"x",INT(AA198*15), "x", INT(AB198*15))</f>
        <v>0x0x0</v>
      </c>
      <c r="AE198">
        <f t="shared" si="27"/>
        <v>0</v>
      </c>
      <c r="AG198" t="str">
        <f>CONCATENATE(VLOOKUP(AE198,'Articulated Lengths'!$A$2:$C$16,IF(AF198&lt;&gt;"", 3, 2), FALSE),IF(AF198&lt;&gt;"",CONCATENATE(",",VLOOKUP(AF198,$B$2:$AG$213,32,FALSE)),""))</f>
        <v>na</v>
      </c>
      <c r="AL198">
        <v>10</v>
      </c>
      <c r="AM198">
        <v>10</v>
      </c>
      <c r="AP198" t="e">
        <f>VLOOKUP(F198,Eras!$A$2:$C$12, 2, TRUE)</f>
        <v>#N/A</v>
      </c>
      <c r="AR198" t="e">
        <f t="shared" si="30"/>
        <v>#N/A</v>
      </c>
    </row>
    <row r="199" spans="1:44" x14ac:dyDescent="0.25">
      <c r="A199" t="s">
        <v>149</v>
      </c>
      <c r="B199" t="s">
        <v>275</v>
      </c>
      <c r="C199" t="s">
        <v>195</v>
      </c>
      <c r="E199" t="s">
        <v>376</v>
      </c>
      <c r="V199" s="4" t="str">
        <f t="shared" si="29"/>
        <v/>
      </c>
      <c r="AD199" t="str">
        <f>CONCATENATE(VLOOKUP(AE199, 'Voxel Sizes'!$A$2:$B$18,2,FALSE),"x",INT(AA199*15), "x", INT(AB199*15))</f>
        <v>0x0x0</v>
      </c>
      <c r="AE199">
        <f t="shared" ref="AE199:AE213" si="31">ROUND(15*((Z199*10)/256),0)</f>
        <v>0</v>
      </c>
      <c r="AG199" t="str">
        <f>CONCATENATE(VLOOKUP(AE199,'Articulated Lengths'!$A$2:$C$16,IF(AF199&lt;&gt;"", 3, 2), FALSE),IF(AF199&lt;&gt;"",CONCATENATE(",",VLOOKUP(AF199,$B$2:$AG$213,32,FALSE)),""))</f>
        <v>na</v>
      </c>
      <c r="AL199">
        <v>10</v>
      </c>
      <c r="AM199">
        <v>10</v>
      </c>
      <c r="AP199" t="e">
        <f>VLOOKUP(F199,Eras!$A$2:$C$12, 2, TRUE)</f>
        <v>#N/A</v>
      </c>
      <c r="AR199" t="e">
        <f t="shared" si="30"/>
        <v>#N/A</v>
      </c>
    </row>
    <row r="200" spans="1:44" x14ac:dyDescent="0.25">
      <c r="A200" t="s">
        <v>150</v>
      </c>
      <c r="B200" t="s">
        <v>276</v>
      </c>
      <c r="C200" t="s">
        <v>195</v>
      </c>
      <c r="E200" t="s">
        <v>376</v>
      </c>
      <c r="V200" s="4" t="str">
        <f t="shared" si="29"/>
        <v/>
      </c>
      <c r="AD200" t="str">
        <f>CONCATENATE(VLOOKUP(AE200, 'Voxel Sizes'!$A$2:$B$18,2,FALSE),"x",INT(AA200*15), "x", INT(AB200*15))</f>
        <v>0x0x0</v>
      </c>
      <c r="AE200">
        <f t="shared" si="31"/>
        <v>0</v>
      </c>
      <c r="AG200" t="str">
        <f>CONCATENATE(VLOOKUP(AE200,'Articulated Lengths'!$A$2:$C$16,IF(AF200&lt;&gt;"", 3, 2), FALSE),IF(AF200&lt;&gt;"",CONCATENATE(",",VLOOKUP(AF200,$B$2:$AG$213,32,FALSE)),""))</f>
        <v>na</v>
      </c>
      <c r="AL200">
        <v>10</v>
      </c>
      <c r="AM200">
        <v>10</v>
      </c>
      <c r="AP200" t="e">
        <f>VLOOKUP(F200,Eras!$A$2:$C$12, 2, TRUE)</f>
        <v>#N/A</v>
      </c>
      <c r="AR200" t="e">
        <f t="shared" si="30"/>
        <v>#N/A</v>
      </c>
    </row>
    <row r="201" spans="1:44" x14ac:dyDescent="0.25">
      <c r="A201" t="s">
        <v>153</v>
      </c>
      <c r="B201" t="s">
        <v>277</v>
      </c>
      <c r="C201" t="s">
        <v>195</v>
      </c>
      <c r="E201" t="s">
        <v>376</v>
      </c>
      <c r="V201" s="4" t="str">
        <f t="shared" si="29"/>
        <v/>
      </c>
      <c r="AD201" t="str">
        <f>CONCATENATE(VLOOKUP(AE201, 'Voxel Sizes'!$A$2:$B$18,2,FALSE),"x",INT(AA201*15), "x", INT(AB201*15))</f>
        <v>0x0x0</v>
      </c>
      <c r="AE201">
        <f t="shared" si="31"/>
        <v>0</v>
      </c>
      <c r="AG201" t="str">
        <f>CONCATENATE(VLOOKUP(AE201,'Articulated Lengths'!$A$2:$C$16,IF(AF201&lt;&gt;"", 3, 2), FALSE),IF(AF201&lt;&gt;"",CONCATENATE(",",VLOOKUP(AF201,$B$2:$AG$213,32,FALSE)),""))</f>
        <v>na</v>
      </c>
      <c r="AL201">
        <v>10</v>
      </c>
      <c r="AM201">
        <v>10</v>
      </c>
      <c r="AP201" t="e">
        <f>VLOOKUP(F201,Eras!$A$2:$C$12, 2, TRUE)</f>
        <v>#N/A</v>
      </c>
      <c r="AR201" t="e">
        <f t="shared" si="30"/>
        <v>#N/A</v>
      </c>
    </row>
    <row r="202" spans="1:44" x14ac:dyDescent="0.25">
      <c r="A202" t="s">
        <v>154</v>
      </c>
      <c r="B202" t="s">
        <v>278</v>
      </c>
      <c r="C202" t="s">
        <v>195</v>
      </c>
      <c r="E202" t="s">
        <v>376</v>
      </c>
      <c r="V202" s="4" t="str">
        <f t="shared" si="29"/>
        <v/>
      </c>
      <c r="AD202" t="str">
        <f>CONCATENATE(VLOOKUP(AE202, 'Voxel Sizes'!$A$2:$B$18,2,FALSE),"x",INT(AA202*15), "x", INT(AB202*15))</f>
        <v>0x0x0</v>
      </c>
      <c r="AE202">
        <f t="shared" si="31"/>
        <v>0</v>
      </c>
      <c r="AG202" t="str">
        <f>CONCATENATE(VLOOKUP(AE202,'Articulated Lengths'!$A$2:$C$16,IF(AF202&lt;&gt;"", 3, 2), FALSE),IF(AF202&lt;&gt;"",CONCATENATE(",",VLOOKUP(AF202,$B$2:$AG$213,32,FALSE)),""))</f>
        <v>na</v>
      </c>
      <c r="AL202">
        <v>10</v>
      </c>
      <c r="AM202">
        <v>10</v>
      </c>
      <c r="AP202" t="e">
        <f>VLOOKUP(F202,Eras!$A$2:$C$12, 2, TRUE)</f>
        <v>#N/A</v>
      </c>
      <c r="AR202" t="e">
        <f t="shared" si="30"/>
        <v>#N/A</v>
      </c>
    </row>
    <row r="203" spans="1:44" x14ac:dyDescent="0.25">
      <c r="A203" t="s">
        <v>157</v>
      </c>
      <c r="B203" t="s">
        <v>279</v>
      </c>
      <c r="C203" t="s">
        <v>195</v>
      </c>
      <c r="E203" t="s">
        <v>376</v>
      </c>
      <c r="V203" s="4" t="str">
        <f t="shared" si="29"/>
        <v/>
      </c>
      <c r="AD203" t="str">
        <f>CONCATENATE(VLOOKUP(AE203, 'Voxel Sizes'!$A$2:$B$18,2,FALSE),"x",INT(AA203*15), "x", INT(AB203*15))</f>
        <v>0x0x0</v>
      </c>
      <c r="AE203">
        <f t="shared" si="31"/>
        <v>0</v>
      </c>
      <c r="AG203" t="str">
        <f>CONCATENATE(VLOOKUP(AE203,'Articulated Lengths'!$A$2:$C$16,IF(AF203&lt;&gt;"", 3, 2), FALSE),IF(AF203&lt;&gt;"",CONCATENATE(",",VLOOKUP(AF203,$B$2:$AG$213,32,FALSE)),""))</f>
        <v>na</v>
      </c>
      <c r="AL203">
        <v>10</v>
      </c>
      <c r="AM203">
        <v>10</v>
      </c>
      <c r="AP203" t="e">
        <f>VLOOKUP(F203,Eras!$A$2:$C$12, 2, TRUE)</f>
        <v>#N/A</v>
      </c>
      <c r="AR203" t="e">
        <f t="shared" ref="AR203:AR213" si="32">CONCATENATE(AP203,"_",AQ203)</f>
        <v>#N/A</v>
      </c>
    </row>
    <row r="204" spans="1:44" x14ac:dyDescent="0.25">
      <c r="A204" t="s">
        <v>158</v>
      </c>
      <c r="B204" t="s">
        <v>280</v>
      </c>
      <c r="C204" t="s">
        <v>195</v>
      </c>
      <c r="E204" t="s">
        <v>376</v>
      </c>
      <c r="V204" s="4" t="str">
        <f t="shared" si="29"/>
        <v/>
      </c>
      <c r="AD204" t="str">
        <f>CONCATENATE(VLOOKUP(AE204, 'Voxel Sizes'!$A$2:$B$18,2,FALSE),"x",INT(AA204*15), "x", INT(AB204*15))</f>
        <v>0x0x0</v>
      </c>
      <c r="AE204">
        <f t="shared" si="31"/>
        <v>0</v>
      </c>
      <c r="AG204" t="str">
        <f>CONCATENATE(VLOOKUP(AE204,'Articulated Lengths'!$A$2:$C$16,IF(AF204&lt;&gt;"", 3, 2), FALSE),IF(AF204&lt;&gt;"",CONCATENATE(",",VLOOKUP(AF204,$B$2:$AG$213,32,FALSE)),""))</f>
        <v>na</v>
      </c>
      <c r="AL204">
        <v>10</v>
      </c>
      <c r="AM204">
        <v>10</v>
      </c>
      <c r="AP204" t="e">
        <f>VLOOKUP(F204,Eras!$A$2:$C$12, 2, TRUE)</f>
        <v>#N/A</v>
      </c>
      <c r="AR204" t="e">
        <f t="shared" si="32"/>
        <v>#N/A</v>
      </c>
    </row>
    <row r="205" spans="1:44" x14ac:dyDescent="0.25">
      <c r="A205" t="s">
        <v>159</v>
      </c>
      <c r="B205" t="s">
        <v>281</v>
      </c>
      <c r="C205" t="s">
        <v>195</v>
      </c>
      <c r="E205" t="s">
        <v>376</v>
      </c>
      <c r="V205" s="4" t="str">
        <f t="shared" si="29"/>
        <v/>
      </c>
      <c r="AD205" t="str">
        <f>CONCATENATE(VLOOKUP(AE205, 'Voxel Sizes'!$A$2:$B$18,2,FALSE),"x",INT(AA205*15), "x", INT(AB205*15))</f>
        <v>0x0x0</v>
      </c>
      <c r="AE205">
        <f t="shared" si="31"/>
        <v>0</v>
      </c>
      <c r="AG205" t="str">
        <f>CONCATENATE(VLOOKUP(AE205,'Articulated Lengths'!$A$2:$C$16,IF(AF205&lt;&gt;"", 3, 2), FALSE),IF(AF205&lt;&gt;"",CONCATENATE(",",VLOOKUP(AF205,$B$2:$AG$213,32,FALSE)),""))</f>
        <v>na</v>
      </c>
      <c r="AL205">
        <v>10</v>
      </c>
      <c r="AM205">
        <v>10</v>
      </c>
      <c r="AP205" t="e">
        <f>VLOOKUP(F205,Eras!$A$2:$C$12, 2, TRUE)</f>
        <v>#N/A</v>
      </c>
      <c r="AR205" t="e">
        <f t="shared" si="32"/>
        <v>#N/A</v>
      </c>
    </row>
    <row r="206" spans="1:44" x14ac:dyDescent="0.25">
      <c r="A206" t="s">
        <v>160</v>
      </c>
      <c r="B206" t="s">
        <v>282</v>
      </c>
      <c r="C206" t="s">
        <v>195</v>
      </c>
      <c r="E206" t="s">
        <v>376</v>
      </c>
      <c r="V206" s="4" t="str">
        <f t="shared" ref="V206:V218" si="33">IF(AND(R206&gt;0,U206&gt;0),(U206/((R206+S206)*10)),"")</f>
        <v/>
      </c>
      <c r="AD206" t="str">
        <f>CONCATENATE(VLOOKUP(AE206, 'Voxel Sizes'!$A$2:$B$18,2,FALSE),"x",INT(AA206*15), "x", INT(AB206*15))</f>
        <v>0x0x0</v>
      </c>
      <c r="AE206">
        <f t="shared" si="31"/>
        <v>0</v>
      </c>
      <c r="AG206" t="str">
        <f>CONCATENATE(VLOOKUP(AE206,'Articulated Lengths'!$A$2:$C$16,IF(AF206&lt;&gt;"", 3, 2), FALSE),IF(AF206&lt;&gt;"",CONCATENATE(",",VLOOKUP(AF206,$B$2:$AG$213,32,FALSE)),""))</f>
        <v>na</v>
      </c>
      <c r="AL206">
        <v>10</v>
      </c>
      <c r="AM206">
        <v>10</v>
      </c>
      <c r="AP206" t="e">
        <f>VLOOKUP(F206,Eras!$A$2:$C$12, 2, TRUE)</f>
        <v>#N/A</v>
      </c>
      <c r="AR206" t="e">
        <f t="shared" si="32"/>
        <v>#N/A</v>
      </c>
    </row>
    <row r="207" spans="1:44" x14ac:dyDescent="0.25">
      <c r="A207" t="s">
        <v>161</v>
      </c>
      <c r="B207" t="s">
        <v>283</v>
      </c>
      <c r="C207" t="s">
        <v>195</v>
      </c>
      <c r="E207" t="s">
        <v>376</v>
      </c>
      <c r="V207" s="4" t="str">
        <f t="shared" si="33"/>
        <v/>
      </c>
      <c r="AD207" t="str">
        <f>CONCATENATE(VLOOKUP(AE207, 'Voxel Sizes'!$A$2:$B$18,2,FALSE),"x",INT(AA207*15), "x", INT(AB207*15))</f>
        <v>0x0x0</v>
      </c>
      <c r="AE207">
        <f t="shared" si="31"/>
        <v>0</v>
      </c>
      <c r="AG207" t="str">
        <f>CONCATENATE(VLOOKUP(AE207,'Articulated Lengths'!$A$2:$C$16,IF(AF207&lt;&gt;"", 3, 2), FALSE),IF(AF207&lt;&gt;"",CONCATENATE(",",VLOOKUP(AF207,$B$2:$AG$213,32,FALSE)),""))</f>
        <v>na</v>
      </c>
      <c r="AL207">
        <v>10</v>
      </c>
      <c r="AM207">
        <v>10</v>
      </c>
      <c r="AP207" t="e">
        <f>VLOOKUP(F207,Eras!$A$2:$C$12, 2, TRUE)</f>
        <v>#N/A</v>
      </c>
      <c r="AR207" t="e">
        <f t="shared" si="32"/>
        <v>#N/A</v>
      </c>
    </row>
    <row r="208" spans="1:44" x14ac:dyDescent="0.25">
      <c r="A208" t="s">
        <v>162</v>
      </c>
      <c r="B208" t="s">
        <v>284</v>
      </c>
      <c r="C208" t="s">
        <v>195</v>
      </c>
      <c r="E208" t="s">
        <v>376</v>
      </c>
      <c r="V208" s="4" t="str">
        <f t="shared" si="33"/>
        <v/>
      </c>
      <c r="AD208" t="str">
        <f>CONCATENATE(VLOOKUP(AE208, 'Voxel Sizes'!$A$2:$B$18,2,FALSE),"x",INT(AA208*15), "x", INT(AB208*15))</f>
        <v>0x0x0</v>
      </c>
      <c r="AE208">
        <f t="shared" si="31"/>
        <v>0</v>
      </c>
      <c r="AG208" t="str">
        <f>CONCATENATE(VLOOKUP(AE208,'Articulated Lengths'!$A$2:$C$16,IF(AF208&lt;&gt;"", 3, 2), FALSE),IF(AF208&lt;&gt;"",CONCATENATE(",",VLOOKUP(AF208,$B$2:$AG$213,32,FALSE)),""))</f>
        <v>na</v>
      </c>
      <c r="AL208">
        <v>10</v>
      </c>
      <c r="AM208">
        <v>10</v>
      </c>
      <c r="AP208" t="e">
        <f>VLOOKUP(F208,Eras!$A$2:$C$12, 2, TRUE)</f>
        <v>#N/A</v>
      </c>
      <c r="AR208" t="e">
        <f t="shared" si="32"/>
        <v>#N/A</v>
      </c>
    </row>
    <row r="209" spans="1:44" x14ac:dyDescent="0.25">
      <c r="A209" t="s">
        <v>163</v>
      </c>
      <c r="B209" t="s">
        <v>285</v>
      </c>
      <c r="C209" t="s">
        <v>195</v>
      </c>
      <c r="E209" t="s">
        <v>376</v>
      </c>
      <c r="V209" s="4" t="str">
        <f t="shared" si="33"/>
        <v/>
      </c>
      <c r="AD209" t="str">
        <f>CONCATENATE(VLOOKUP(AE209, 'Voxel Sizes'!$A$2:$B$18,2,FALSE),"x",INT(AA209*15), "x", INT(AB209*15))</f>
        <v>0x0x0</v>
      </c>
      <c r="AE209">
        <f t="shared" si="31"/>
        <v>0</v>
      </c>
      <c r="AG209" t="str">
        <f>CONCATENATE(VLOOKUP(AE209,'Articulated Lengths'!$A$2:$C$16,IF(AF209&lt;&gt;"", 3, 2), FALSE),IF(AF209&lt;&gt;"",CONCATENATE(",",VLOOKUP(AF209,$B$2:$AG$213,32,FALSE)),""))</f>
        <v>na</v>
      </c>
      <c r="AL209">
        <v>10</v>
      </c>
      <c r="AM209">
        <v>10</v>
      </c>
      <c r="AP209" t="e">
        <f>VLOOKUP(F209,Eras!$A$2:$C$12, 2, TRUE)</f>
        <v>#N/A</v>
      </c>
      <c r="AR209" t="e">
        <f t="shared" si="32"/>
        <v>#N/A</v>
      </c>
    </row>
    <row r="210" spans="1:44" x14ac:dyDescent="0.25">
      <c r="A210" t="s">
        <v>164</v>
      </c>
      <c r="B210" t="s">
        <v>286</v>
      </c>
      <c r="C210" t="s">
        <v>195</v>
      </c>
      <c r="E210" t="s">
        <v>376</v>
      </c>
      <c r="V210" s="4" t="str">
        <f t="shared" si="33"/>
        <v/>
      </c>
      <c r="AD210" t="str">
        <f>CONCATENATE(VLOOKUP(AE210, 'Voxel Sizes'!$A$2:$B$18,2,FALSE),"x",INT(AA210*15), "x", INT(AB210*15))</f>
        <v>0x0x0</v>
      </c>
      <c r="AE210">
        <f t="shared" si="31"/>
        <v>0</v>
      </c>
      <c r="AG210" t="str">
        <f>CONCATENATE(VLOOKUP(AE210,'Articulated Lengths'!$A$2:$C$16,IF(AF210&lt;&gt;"", 3, 2), FALSE),IF(AF210&lt;&gt;"",CONCATENATE(",",VLOOKUP(AF210,$B$2:$AG$213,32,FALSE)),""))</f>
        <v>na</v>
      </c>
      <c r="AL210">
        <v>10</v>
      </c>
      <c r="AM210">
        <v>10</v>
      </c>
      <c r="AP210" t="e">
        <f>VLOOKUP(F210,Eras!$A$2:$C$12, 2, TRUE)</f>
        <v>#N/A</v>
      </c>
      <c r="AR210" t="e">
        <f t="shared" si="32"/>
        <v>#N/A</v>
      </c>
    </row>
    <row r="211" spans="1:44" x14ac:dyDescent="0.25">
      <c r="A211" t="s">
        <v>165</v>
      </c>
      <c r="B211" t="s">
        <v>287</v>
      </c>
      <c r="C211" t="s">
        <v>195</v>
      </c>
      <c r="E211" t="s">
        <v>376</v>
      </c>
      <c r="V211" s="4" t="str">
        <f t="shared" si="33"/>
        <v/>
      </c>
      <c r="AD211" t="str">
        <f>CONCATENATE(VLOOKUP(AE211, 'Voxel Sizes'!$A$2:$B$18,2,FALSE),"x",INT(AA211*15), "x", INT(AB211*15))</f>
        <v>0x0x0</v>
      </c>
      <c r="AE211">
        <f t="shared" si="31"/>
        <v>0</v>
      </c>
      <c r="AG211" t="str">
        <f>CONCATENATE(VLOOKUP(AE211,'Articulated Lengths'!$A$2:$C$16,IF(AF211&lt;&gt;"", 3, 2), FALSE),IF(AF211&lt;&gt;"",CONCATENATE(",",VLOOKUP(AF211,$B$2:$AG$213,32,FALSE)),""))</f>
        <v>na</v>
      </c>
      <c r="AL211">
        <v>10</v>
      </c>
      <c r="AM211">
        <v>10</v>
      </c>
      <c r="AP211" t="e">
        <f>VLOOKUP(F211,Eras!$A$2:$C$12, 2, TRUE)</f>
        <v>#N/A</v>
      </c>
      <c r="AR211" t="e">
        <f t="shared" si="32"/>
        <v>#N/A</v>
      </c>
    </row>
    <row r="212" spans="1:44" x14ac:dyDescent="0.25">
      <c r="A212" t="s">
        <v>166</v>
      </c>
      <c r="B212" t="s">
        <v>288</v>
      </c>
      <c r="C212" t="s">
        <v>195</v>
      </c>
      <c r="E212" t="s">
        <v>376</v>
      </c>
      <c r="V212" s="4" t="str">
        <f t="shared" si="33"/>
        <v/>
      </c>
      <c r="AD212" t="str">
        <f>CONCATENATE(VLOOKUP(AE212, 'Voxel Sizes'!$A$2:$B$18,2,FALSE),"x",INT(AA212*15), "x", INT(AB212*15))</f>
        <v>0x0x0</v>
      </c>
      <c r="AE212">
        <f t="shared" si="31"/>
        <v>0</v>
      </c>
      <c r="AG212" t="str">
        <f>CONCATENATE(VLOOKUP(AE212,'Articulated Lengths'!$A$2:$C$16,IF(AF212&lt;&gt;"", 3, 2), FALSE),IF(AF212&lt;&gt;"",CONCATENATE(",",VLOOKUP(AF212,$B$2:$AG$213,32,FALSE)),""))</f>
        <v>na</v>
      </c>
      <c r="AL212">
        <v>10</v>
      </c>
      <c r="AM212">
        <v>10</v>
      </c>
      <c r="AP212" t="e">
        <f>VLOOKUP(F212,Eras!$A$2:$C$12, 2, TRUE)</f>
        <v>#N/A</v>
      </c>
      <c r="AR212" t="e">
        <f t="shared" si="32"/>
        <v>#N/A</v>
      </c>
    </row>
    <row r="213" spans="1:44" x14ac:dyDescent="0.25">
      <c r="A213" t="s">
        <v>167</v>
      </c>
      <c r="B213" t="s">
        <v>289</v>
      </c>
      <c r="C213" t="s">
        <v>195</v>
      </c>
      <c r="E213" t="s">
        <v>376</v>
      </c>
      <c r="V213" s="4" t="str">
        <f t="shared" si="33"/>
        <v/>
      </c>
      <c r="AD213" t="str">
        <f>CONCATENATE(VLOOKUP(AE213, 'Voxel Sizes'!$A$2:$B$18,2,FALSE),"x",INT(AA213*15), "x", INT(AB213*15))</f>
        <v>0x0x0</v>
      </c>
      <c r="AE213">
        <f t="shared" si="31"/>
        <v>0</v>
      </c>
      <c r="AG213" t="str">
        <f>CONCATENATE(VLOOKUP(AE213,'Articulated Lengths'!$A$2:$C$16,IF(AF213&lt;&gt;"", 3, 2), FALSE),IF(AF213&lt;&gt;"",CONCATENATE(",",VLOOKUP(AF213,$B$2:$AG$213,32,FALSE)),""))</f>
        <v>na</v>
      </c>
      <c r="AL213">
        <v>10</v>
      </c>
      <c r="AM213">
        <v>10</v>
      </c>
      <c r="AP213" t="e">
        <f>VLOOKUP(F213,Eras!$A$2:$C$12, 2, TRUE)</f>
        <v>#N/A</v>
      </c>
      <c r="AR213" t="e">
        <f t="shared" si="32"/>
        <v>#N/A</v>
      </c>
    </row>
    <row r="214" spans="1:44" x14ac:dyDescent="0.25">
      <c r="A214" t="s">
        <v>498</v>
      </c>
      <c r="B214" t="s">
        <v>505</v>
      </c>
      <c r="C214" t="s">
        <v>195</v>
      </c>
      <c r="V214" s="4" t="str">
        <f t="shared" si="33"/>
        <v/>
      </c>
    </row>
    <row r="215" spans="1:44" x14ac:dyDescent="0.25">
      <c r="A215" t="s">
        <v>499</v>
      </c>
      <c r="B215" t="s">
        <v>506</v>
      </c>
      <c r="C215" t="s">
        <v>195</v>
      </c>
      <c r="V215" s="4" t="str">
        <f t="shared" si="33"/>
        <v/>
      </c>
    </row>
    <row r="216" spans="1:44" x14ac:dyDescent="0.25">
      <c r="A216" t="s">
        <v>500</v>
      </c>
      <c r="B216" t="s">
        <v>507</v>
      </c>
      <c r="C216" t="s">
        <v>195</v>
      </c>
      <c r="V216" s="4" t="str">
        <f t="shared" si="33"/>
        <v/>
      </c>
    </row>
    <row r="217" spans="1:44" x14ac:dyDescent="0.25">
      <c r="A217" t="s">
        <v>501</v>
      </c>
      <c r="B217" t="s">
        <v>508</v>
      </c>
      <c r="C217" t="s">
        <v>195</v>
      </c>
      <c r="V217" s="4" t="str">
        <f t="shared" si="33"/>
        <v/>
      </c>
    </row>
    <row r="218" spans="1:44" x14ac:dyDescent="0.25">
      <c r="A218" t="s">
        <v>502</v>
      </c>
      <c r="B218" t="s">
        <v>509</v>
      </c>
      <c r="C218" t="s">
        <v>195</v>
      </c>
      <c r="V218" s="4" t="str">
        <f t="shared" si="33"/>
        <v/>
      </c>
    </row>
  </sheetData>
  <autoFilter ref="C1:C218" xr:uid="{D34CCCC1-AB37-4E0B-B050-DEA7C9B2F128}"/>
  <sortState xmlns:xlrd2="http://schemas.microsoft.com/office/spreadsheetml/2017/richdata2" ref="A2:AS218">
    <sortCondition ref="F200"/>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AQ1:AQ1048576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K8" sqref="K8"/>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488</v>
      </c>
      <c r="D1" s="1" t="s">
        <v>438</v>
      </c>
      <c r="E1" s="1" t="s">
        <v>437</v>
      </c>
      <c r="F1" s="1" t="s">
        <v>439</v>
      </c>
      <c r="G1" s="1" t="s">
        <v>440</v>
      </c>
      <c r="H1" s="1" t="s">
        <v>448</v>
      </c>
      <c r="I1" s="1" t="s">
        <v>449</v>
      </c>
      <c r="J1" s="1" t="s">
        <v>450</v>
      </c>
      <c r="K1" s="1" t="s">
        <v>441</v>
      </c>
      <c r="L1" s="1" t="s">
        <v>442</v>
      </c>
      <c r="M1" s="1" t="s">
        <v>443</v>
      </c>
      <c r="N1" s="1" t="s">
        <v>444</v>
      </c>
      <c r="O1" s="1" t="s">
        <v>445</v>
      </c>
      <c r="P1" s="1" t="s">
        <v>456</v>
      </c>
      <c r="Q1" s="1" t="s">
        <v>446</v>
      </c>
      <c r="R1" s="1" t="s">
        <v>447</v>
      </c>
      <c r="S1" s="1" t="s">
        <v>451</v>
      </c>
      <c r="T1" s="1" t="s">
        <v>452</v>
      </c>
      <c r="U1" s="1" t="s">
        <v>453</v>
      </c>
      <c r="V1" s="1" t="s">
        <v>454</v>
      </c>
    </row>
    <row r="2" spans="1:22" x14ac:dyDescent="0.25">
      <c r="A2" s="1" t="s">
        <v>435</v>
      </c>
      <c r="B2" s="1" t="s">
        <v>436</v>
      </c>
    </row>
    <row r="3" spans="1:22" x14ac:dyDescent="0.25">
      <c r="A3" t="s">
        <v>424</v>
      </c>
      <c r="B3" t="str">
        <f>VLOOKUP(A3, Eras!$B$2:$C$12, 2, FALSE)</f>
        <v>Early (1800-1850)</v>
      </c>
      <c r="C3">
        <f>COUNTIF(Table!$AR:$AR,CONCATENATE($A3,"_",C$1))</f>
        <v>0</v>
      </c>
      <c r="D3">
        <f>COUNTIF(Table!$AR:$AR,CONCATENATE($A3,"_",D$1))</f>
        <v>4</v>
      </c>
      <c r="E3">
        <f>COUNTIF(Table!$AR:$AR,CONCATENATE($A3,"_",E$1))</f>
        <v>0</v>
      </c>
      <c r="F3">
        <f>COUNTIF(Table!$AR:$AR,CONCATENATE($A3,"_",F$1))</f>
        <v>1</v>
      </c>
      <c r="G3">
        <f>COUNTIF(Table!$AR:$AR,CONCATENATE($A3,"_",G$1))</f>
        <v>0</v>
      </c>
      <c r="H3">
        <f>COUNTIF(Table!$AR:$AR,CONCATENATE($A3,"_",H$1))</f>
        <v>0</v>
      </c>
      <c r="I3">
        <f>COUNTIF(Table!$AR:$AR,CONCATENATE($A3,"_",I$1))</f>
        <v>0</v>
      </c>
      <c r="J3">
        <f>COUNTIF(Table!$AR:$AR,CONCATENATE($A3,"_",J$1))</f>
        <v>0</v>
      </c>
      <c r="K3">
        <f>COUNTIF(Table!$AR:$AR,CONCATENATE($A3,"_",K$1))</f>
        <v>0</v>
      </c>
      <c r="L3">
        <f>COUNTIF(Table!$AR:$AR,CONCATENATE($A3,"_",L$1))</f>
        <v>0</v>
      </c>
      <c r="M3">
        <f>COUNTIF(Table!$AR:$AR,CONCATENATE($A3,"_",M$1))</f>
        <v>0</v>
      </c>
      <c r="N3">
        <f>COUNTIF(Table!$AR:$AR,CONCATENATE($A3,"_",N$1))</f>
        <v>0</v>
      </c>
      <c r="O3">
        <f>COUNTIF(Table!$AR:$AR,CONCATENATE($A3,"_",O$1))</f>
        <v>0</v>
      </c>
      <c r="P3">
        <f>COUNTIF(Table!$AR:$AR,CONCATENATE($A3,"_",P$1))</f>
        <v>0</v>
      </c>
      <c r="Q3">
        <f>COUNTIF(Table!$AR:$AR,CONCATENATE($A3,"_",Q$1))</f>
        <v>0</v>
      </c>
      <c r="R3">
        <f>COUNTIF(Table!$AR:$AR,CONCATENATE($A3,"_",R$1))</f>
        <v>0</v>
      </c>
      <c r="S3">
        <f>COUNTIF(Table!$AR:$AR,CONCATENATE($A3,"_",S$1))</f>
        <v>1</v>
      </c>
      <c r="T3">
        <f>COUNTIF(Table!$AR:$AR,CONCATENATE($A3,"_",T$1))</f>
        <v>0</v>
      </c>
      <c r="U3">
        <f>COUNTIF(Table!$AR:$AR,CONCATENATE($A3,"_",U$1))</f>
        <v>0</v>
      </c>
      <c r="V3">
        <f>COUNTIF(Table!$AR:$AR,CONCATENATE($A3,"_",V$1))</f>
        <v>0</v>
      </c>
    </row>
    <row r="4" spans="1:22" x14ac:dyDescent="0.25">
      <c r="A4" t="s">
        <v>495</v>
      </c>
      <c r="B4" t="str">
        <f>VLOOKUP(A4, Eras!$B$2:$C$12, 2, FALSE)</f>
        <v>Victorian (1850-1900)</v>
      </c>
      <c r="C4">
        <f>COUNTIF(Table!$AR:$AR,CONCATENATE($A4,"_",C$1))</f>
        <v>0</v>
      </c>
      <c r="D4">
        <f>COUNTIF(Table!$AR:$AR,CONCATENATE($A4,"_",D$1))</f>
        <v>0</v>
      </c>
      <c r="E4">
        <f>COUNTIF(Table!$AR:$AR,CONCATENATE($A4,"_",E$1))</f>
        <v>0</v>
      </c>
      <c r="F4">
        <f>COUNTIF(Table!$AR:$AR,CONCATENATE($A4,"_",F$1))</f>
        <v>1</v>
      </c>
      <c r="G4">
        <f>COUNTIF(Table!$AR:$AR,CONCATENATE($A4,"_",G$1))</f>
        <v>0</v>
      </c>
      <c r="H4">
        <f>COUNTIF(Table!$AR:$AR,CONCATENATE($A4,"_",H$1))</f>
        <v>0</v>
      </c>
      <c r="I4">
        <f>COUNTIF(Table!$AR:$AR,CONCATENATE($A4,"_",I$1))</f>
        <v>0</v>
      </c>
      <c r="J4">
        <f>COUNTIF(Table!$AR:$AR,CONCATENATE($A4,"_",J$1))</f>
        <v>0</v>
      </c>
      <c r="K4">
        <f>COUNTIF(Table!$AR:$AR,CONCATENATE($A4,"_",K$1))</f>
        <v>0</v>
      </c>
      <c r="L4">
        <f>COUNTIF(Table!$AR:$AR,CONCATENATE($A4,"_",L$1))</f>
        <v>0</v>
      </c>
      <c r="M4">
        <f>COUNTIF(Table!$AR:$AR,CONCATENATE($A4,"_",M$1))</f>
        <v>0</v>
      </c>
      <c r="N4">
        <f>COUNTIF(Table!$AR:$AR,CONCATENATE($A4,"_",N$1))</f>
        <v>0</v>
      </c>
      <c r="O4">
        <f>COUNTIF(Table!$AR:$AR,CONCATENATE($A4,"_",O$1))</f>
        <v>0</v>
      </c>
      <c r="P4">
        <f>COUNTIF(Table!$AR:$AR,CONCATENATE($A4,"_",P$1))</f>
        <v>0</v>
      </c>
      <c r="Q4">
        <f>COUNTIF(Table!$AR:$AR,CONCATENATE($A4,"_",Q$1))</f>
        <v>0</v>
      </c>
      <c r="R4">
        <f>COUNTIF(Table!$AR:$AR,CONCATENATE($A4,"_",R$1))</f>
        <v>0</v>
      </c>
      <c r="S4">
        <f>COUNTIF(Table!$AR:$AR,CONCATENATE($A4,"_",S$1))</f>
        <v>0</v>
      </c>
      <c r="T4">
        <f>COUNTIF(Table!$AR:$AR,CONCATENATE($A4,"_",T$1))</f>
        <v>0</v>
      </c>
      <c r="U4">
        <f>COUNTIF(Table!$AR:$AR,CONCATENATE($A4,"_",U$1))</f>
        <v>0</v>
      </c>
      <c r="V4">
        <f>COUNTIF(Table!$AR:$AR,CONCATENATE($A4,"_",V$1))</f>
        <v>1</v>
      </c>
    </row>
    <row r="5" spans="1:22" x14ac:dyDescent="0.25">
      <c r="A5" t="s">
        <v>425</v>
      </c>
      <c r="B5" t="str">
        <f>VLOOKUP(A5, Eras!$B$2:$C$12, 2, FALSE)</f>
        <v>Edwardian (1900-1920)</v>
      </c>
      <c r="C5">
        <f>COUNTIF(Table!$AR:$AR,CONCATENATE($A5,"_",C$1))</f>
        <v>2</v>
      </c>
      <c r="D5">
        <f>COUNTIF(Table!$AR:$AR,CONCATENATE($A5,"_",D$1))</f>
        <v>1</v>
      </c>
      <c r="E5">
        <f>COUNTIF(Table!$AR:$AR,CONCATENATE($A5,"_",E$1))</f>
        <v>1</v>
      </c>
      <c r="F5">
        <f>COUNTIF(Table!$AR:$AR,CONCATENATE($A5,"_",F$1))</f>
        <v>1</v>
      </c>
      <c r="G5">
        <f>COUNTIF(Table!$AR:$AR,CONCATENATE($A5,"_",G$1))</f>
        <v>2</v>
      </c>
      <c r="H5">
        <f>COUNTIF(Table!$AR:$AR,CONCATENATE($A5,"_",H$1))</f>
        <v>0</v>
      </c>
      <c r="I5">
        <f>COUNTIF(Table!$AR:$AR,CONCATENATE($A5,"_",I$1))</f>
        <v>0</v>
      </c>
      <c r="J5">
        <f>COUNTIF(Table!$AR:$AR,CONCATENATE($A5,"_",J$1))</f>
        <v>2</v>
      </c>
      <c r="K5">
        <f>COUNTIF(Table!$AR:$AR,CONCATENATE($A5,"_",K$1))</f>
        <v>1</v>
      </c>
      <c r="L5">
        <f>COUNTIF(Table!$AR:$AR,CONCATENATE($A5,"_",L$1))</f>
        <v>0</v>
      </c>
      <c r="M5">
        <f>COUNTIF(Table!$AR:$AR,CONCATENATE($A5,"_",M$1))</f>
        <v>0</v>
      </c>
      <c r="N5">
        <f>COUNTIF(Table!$AR:$AR,CONCATENATE($A5,"_",N$1))</f>
        <v>1</v>
      </c>
      <c r="O5">
        <f>COUNTIF(Table!$AR:$AR,CONCATENATE($A5,"_",O$1))</f>
        <v>0</v>
      </c>
      <c r="P5">
        <f>COUNTIF(Table!$AR:$AR,CONCATENATE($A5,"_",P$1))</f>
        <v>1</v>
      </c>
      <c r="Q5">
        <f>COUNTIF(Table!$AR:$AR,CONCATENATE($A5,"_",Q$1))</f>
        <v>1</v>
      </c>
      <c r="R5">
        <f>COUNTIF(Table!$AR:$AR,CONCATENATE($A5,"_",R$1))</f>
        <v>0</v>
      </c>
      <c r="S5">
        <f>COUNTIF(Table!$AR:$AR,CONCATENATE($A5,"_",S$1))</f>
        <v>1</v>
      </c>
      <c r="T5">
        <f>COUNTIF(Table!$AR:$AR,CONCATENATE($A5,"_",T$1))</f>
        <v>1</v>
      </c>
      <c r="U5">
        <f>COUNTIF(Table!$AR:$AR,CONCATENATE($A5,"_",U$1))</f>
        <v>1</v>
      </c>
      <c r="V5">
        <f>COUNTIF(Table!$AR:$AR,CONCATENATE($A5,"_",V$1))</f>
        <v>1</v>
      </c>
    </row>
    <row r="6" spans="1:22" x14ac:dyDescent="0.25">
      <c r="A6" t="s">
        <v>426</v>
      </c>
      <c r="B6" t="str">
        <f>VLOOKUP(A6, Eras!$B$2:$C$12, 2, FALSE)</f>
        <v>Big Four (1923-1948)</v>
      </c>
      <c r="C6">
        <f>COUNTIF(Table!$AR:$AR,CONCATENATE($A6,"_",C$1))</f>
        <v>1</v>
      </c>
      <c r="D6">
        <f>COUNTIF(Table!$AR:$AR,CONCATENATE($A6,"_",D$1))</f>
        <v>11</v>
      </c>
      <c r="E6">
        <f>COUNTIF(Table!$AR:$AR,CONCATENATE($A6,"_",E$1))</f>
        <v>6</v>
      </c>
      <c r="F6">
        <f>COUNTIF(Table!$AR:$AR,CONCATENATE($A6,"_",F$1))</f>
        <v>10</v>
      </c>
      <c r="G6">
        <f>COUNTIF(Table!$AR:$AR,CONCATENATE($A6,"_",G$1))</f>
        <v>2</v>
      </c>
      <c r="H6">
        <f>COUNTIF(Table!$AR:$AR,CONCATENATE($A6,"_",H$1))</f>
        <v>1</v>
      </c>
      <c r="I6">
        <f>COUNTIF(Table!$AR:$AR,CONCATENATE($A6,"_",I$1))</f>
        <v>0</v>
      </c>
      <c r="J6">
        <f>COUNTIF(Table!$AR:$AR,CONCATENATE($A6,"_",J$1))</f>
        <v>0</v>
      </c>
      <c r="K6">
        <f>COUNTIF(Table!$AR:$AR,CONCATENATE($A6,"_",K$1))</f>
        <v>1</v>
      </c>
      <c r="L6">
        <f>COUNTIF(Table!$AR:$AR,CONCATENATE($A6,"_",L$1))</f>
        <v>0</v>
      </c>
      <c r="M6">
        <f>COUNTIF(Table!$AR:$AR,CONCATENATE($A6,"_",M$1))</f>
        <v>0</v>
      </c>
      <c r="N6">
        <f>COUNTIF(Table!$AR:$AR,CONCATENATE($A6,"_",N$1))</f>
        <v>2</v>
      </c>
      <c r="O6">
        <f>COUNTIF(Table!$AR:$AR,CONCATENATE($A6,"_",O$1))</f>
        <v>1</v>
      </c>
      <c r="P6">
        <f>COUNTIF(Table!$AR:$AR,CONCATENATE($A6,"_",P$1))</f>
        <v>1</v>
      </c>
      <c r="Q6">
        <f>COUNTIF(Table!$AR:$AR,CONCATENATE($A6,"_",Q$1))</f>
        <v>1</v>
      </c>
      <c r="R6">
        <f>COUNTIF(Table!$AR:$AR,CONCATENATE($A6,"_",R$1))</f>
        <v>0</v>
      </c>
      <c r="S6">
        <f>COUNTIF(Table!$AR:$AR,CONCATENATE($A6,"_",S$1))</f>
        <v>0</v>
      </c>
      <c r="T6">
        <f>COUNTIF(Table!$AR:$AR,CONCATENATE($A6,"_",T$1))</f>
        <v>0</v>
      </c>
      <c r="U6">
        <f>COUNTIF(Table!$AR:$AR,CONCATENATE($A6,"_",U$1))</f>
        <v>0</v>
      </c>
      <c r="V6">
        <f>COUNTIF(Table!$AR:$AR,CONCATENATE($A6,"_",V$1))</f>
        <v>1</v>
      </c>
    </row>
    <row r="7" spans="1:22" x14ac:dyDescent="0.25">
      <c r="A7" t="s">
        <v>427</v>
      </c>
      <c r="B7" t="str">
        <f>VLOOKUP(A7, Eras!$B$2:$C$12, 2, FALSE)</f>
        <v>Early BR (1948-1955)</v>
      </c>
      <c r="C7">
        <f>COUNTIF(Table!$AR:$AR,CONCATENATE($A7,"_",C$1))</f>
        <v>0</v>
      </c>
      <c r="D7">
        <f>COUNTIF(Table!$AR:$AR,CONCATENATE($A7,"_",D$1))</f>
        <v>2</v>
      </c>
      <c r="E7">
        <f>COUNTIF(Table!$AR:$AR,CONCATENATE($A7,"_",E$1))</f>
        <v>1</v>
      </c>
      <c r="F7">
        <f>COUNTIF(Table!$AR:$AR,CONCATENATE($A7,"_",F$1))</f>
        <v>1</v>
      </c>
      <c r="G7">
        <f>COUNTIF(Table!$AR:$AR,CONCATENATE($A7,"_",G$1))</f>
        <v>1</v>
      </c>
      <c r="H7">
        <f>COUNTIF(Table!$AR:$AR,CONCATENATE($A7,"_",H$1))</f>
        <v>0</v>
      </c>
      <c r="I7">
        <f>COUNTIF(Table!$AR:$AR,CONCATENATE($A7,"_",I$1))</f>
        <v>1</v>
      </c>
      <c r="J7">
        <f>COUNTIF(Table!$AR:$AR,CONCATENATE($A7,"_",J$1))</f>
        <v>1</v>
      </c>
      <c r="K7">
        <f>COUNTIF(Table!$AR:$AR,CONCATENATE($A7,"_",K$1))</f>
        <v>0</v>
      </c>
      <c r="L7">
        <f>COUNTIF(Table!$AR:$AR,CONCATENATE($A7,"_",L$1))</f>
        <v>0</v>
      </c>
      <c r="M7">
        <f>COUNTIF(Table!$AR:$AR,CONCATENATE($A7,"_",M$1))</f>
        <v>0</v>
      </c>
      <c r="N7">
        <f>COUNTIF(Table!$AR:$AR,CONCATENATE($A7,"_",N$1))</f>
        <v>0</v>
      </c>
      <c r="O7">
        <f>COUNTIF(Table!$AR:$AR,CONCATENATE($A7,"_",O$1))</f>
        <v>0</v>
      </c>
      <c r="P7">
        <f>COUNTIF(Table!$AR:$AR,CONCATENATE($A7,"_",P$1))</f>
        <v>0</v>
      </c>
      <c r="Q7">
        <f>COUNTIF(Table!$AR:$AR,CONCATENATE($A7,"_",Q$1))</f>
        <v>0</v>
      </c>
      <c r="R7">
        <f>COUNTIF(Table!$AR:$AR,CONCATENATE($A7,"_",R$1))</f>
        <v>0</v>
      </c>
      <c r="S7">
        <f>COUNTIF(Table!$AR:$AR,CONCATENATE($A7,"_",S$1))</f>
        <v>0</v>
      </c>
      <c r="T7">
        <f>COUNTIF(Table!$AR:$AR,CONCATENATE($A7,"_",T$1))</f>
        <v>0</v>
      </c>
      <c r="U7">
        <f>COUNTIF(Table!$AR:$AR,CONCATENATE($A7,"_",U$1))</f>
        <v>0</v>
      </c>
      <c r="V7">
        <f>COUNTIF(Table!$AR:$AR,CONCATENATE($A7,"_",V$1))</f>
        <v>0</v>
      </c>
    </row>
    <row r="8" spans="1:22" x14ac:dyDescent="0.25">
      <c r="A8" t="s">
        <v>428</v>
      </c>
      <c r="B8" t="str">
        <f>VLOOKUP(A8, Eras!$B$2:$C$12, 2, FALSE)</f>
        <v>Dieselisation (1955-1965)</v>
      </c>
      <c r="C8">
        <f>COUNTIF(Table!$AR:$AR,CONCATENATE($A8,"_",C$1))</f>
        <v>1</v>
      </c>
      <c r="D8">
        <f>COUNTIF(Table!$AR:$AR,CONCATENATE($A8,"_",D$1))</f>
        <v>4</v>
      </c>
      <c r="E8">
        <f>COUNTIF(Table!$AR:$AR,CONCATENATE($A8,"_",E$1))</f>
        <v>0</v>
      </c>
      <c r="F8">
        <f>COUNTIF(Table!$AR:$AR,CONCATENATE($A8,"_",F$1))</f>
        <v>4</v>
      </c>
      <c r="G8">
        <f>COUNTIF(Table!$AR:$AR,CONCATENATE($A8,"_",G$1))</f>
        <v>2</v>
      </c>
      <c r="H8">
        <f>COUNTIF(Table!$AR:$AR,CONCATENATE($A8,"_",H$1))</f>
        <v>1</v>
      </c>
      <c r="I8">
        <f>COUNTIF(Table!$AR:$AR,CONCATENATE($A8,"_",I$1))</f>
        <v>1</v>
      </c>
      <c r="J8">
        <f>COUNTIF(Table!$AR:$AR,CONCATENATE($A8,"_",J$1))</f>
        <v>0</v>
      </c>
      <c r="K8">
        <f>COUNTIF(Table!$AR:$AR,CONCATENATE($A8,"_",K$1))</f>
        <v>0</v>
      </c>
      <c r="L8">
        <f>COUNTIF(Table!$AR:$AR,CONCATENATE($A8,"_",L$1))</f>
        <v>3</v>
      </c>
      <c r="M8">
        <f>COUNTIF(Table!$AR:$AR,CONCATENATE($A8,"_",M$1))</f>
        <v>1</v>
      </c>
      <c r="N8">
        <f>COUNTIF(Table!$AR:$AR,CONCATENATE($A8,"_",N$1))</f>
        <v>0</v>
      </c>
      <c r="O8">
        <f>COUNTIF(Table!$AR:$AR,CONCATENATE($A8,"_",O$1))</f>
        <v>0</v>
      </c>
      <c r="P8">
        <f>COUNTIF(Table!$AR:$AR,CONCATENATE($A8,"_",P$1))</f>
        <v>2</v>
      </c>
      <c r="Q8">
        <f>COUNTIF(Table!$AR:$AR,CONCATENATE($A8,"_",Q$1))</f>
        <v>1</v>
      </c>
      <c r="R8">
        <f>COUNTIF(Table!$AR:$AR,CONCATENATE($A8,"_",R$1))</f>
        <v>0</v>
      </c>
      <c r="S8">
        <f>COUNTIF(Table!$AR:$AR,CONCATENATE($A8,"_",S$1))</f>
        <v>0</v>
      </c>
      <c r="T8">
        <f>COUNTIF(Table!$AR:$AR,CONCATENATE($A8,"_",T$1))</f>
        <v>0</v>
      </c>
      <c r="U8">
        <f>COUNTIF(Table!$AR:$AR,CONCATENATE($A8,"_",U$1))</f>
        <v>0</v>
      </c>
      <c r="V8">
        <f>COUNTIF(Table!$AR:$AR,CONCATENATE($A8,"_",V$1))</f>
        <v>0</v>
      </c>
    </row>
    <row r="9" spans="1:22" x14ac:dyDescent="0.25">
      <c r="A9" t="s">
        <v>429</v>
      </c>
      <c r="B9" t="str">
        <f>VLOOKUP(A9, Eras!$B$2:$C$12, 2, FALSE)</f>
        <v>Second Generation (1965-1975)</v>
      </c>
      <c r="C9">
        <f>COUNTIF(Table!$AR:$AR,CONCATENATE($A9,"_",C$1))</f>
        <v>0</v>
      </c>
      <c r="D9">
        <f>COUNTIF(Table!$AR:$AR,CONCATENATE($A9,"_",D$1))</f>
        <v>0</v>
      </c>
      <c r="E9">
        <f>COUNTIF(Table!$AR:$AR,CONCATENATE($A9,"_",E$1))</f>
        <v>0</v>
      </c>
      <c r="F9">
        <f>COUNTIF(Table!$AR:$AR,CONCATENATE($A9,"_",F$1))</f>
        <v>0</v>
      </c>
      <c r="G9">
        <f>COUNTIF(Table!$AR:$AR,CONCATENATE($A9,"_",G$1))</f>
        <v>0</v>
      </c>
      <c r="H9">
        <f>COUNTIF(Table!$AR:$AR,CONCATENATE($A9,"_",H$1))</f>
        <v>0</v>
      </c>
      <c r="I9">
        <f>COUNTIF(Table!$AR:$AR,CONCATENATE($A9,"_",I$1))</f>
        <v>1</v>
      </c>
      <c r="J9">
        <f>COUNTIF(Table!$AR:$AR,CONCATENATE($A9,"_",J$1))</f>
        <v>0</v>
      </c>
      <c r="K9">
        <f>COUNTIF(Table!$AR:$AR,CONCATENATE($A9,"_",K$1))</f>
        <v>0</v>
      </c>
      <c r="L9">
        <f>COUNTIF(Table!$AR:$AR,CONCATENATE($A9,"_",L$1))</f>
        <v>0</v>
      </c>
      <c r="M9">
        <f>COUNTIF(Table!$AR:$AR,CONCATENATE($A9,"_",M$1))</f>
        <v>0</v>
      </c>
      <c r="N9">
        <f>COUNTIF(Table!$AR:$AR,CONCATENATE($A9,"_",N$1))</f>
        <v>0</v>
      </c>
      <c r="O9">
        <f>COUNTIF(Table!$AR:$AR,CONCATENATE($A9,"_",O$1))</f>
        <v>0</v>
      </c>
      <c r="P9">
        <f>COUNTIF(Table!$AR:$AR,CONCATENATE($A9,"_",P$1))</f>
        <v>3</v>
      </c>
      <c r="Q9">
        <f>COUNTIF(Table!$AR:$AR,CONCATENATE($A9,"_",Q$1))</f>
        <v>0</v>
      </c>
      <c r="R9">
        <f>COUNTIF(Table!$AR:$AR,CONCATENATE($A9,"_",R$1))</f>
        <v>0</v>
      </c>
      <c r="S9">
        <f>COUNTIF(Table!$AR:$AR,CONCATENATE($A9,"_",S$1))</f>
        <v>0</v>
      </c>
      <c r="T9">
        <f>COUNTIF(Table!$AR:$AR,CONCATENATE($A9,"_",T$1))</f>
        <v>0</v>
      </c>
      <c r="U9">
        <f>COUNTIF(Table!$AR:$AR,CONCATENATE($A9,"_",U$1))</f>
        <v>0</v>
      </c>
      <c r="V9">
        <f>COUNTIF(Table!$AR:$AR,CONCATENATE($A9,"_",V$1))</f>
        <v>0</v>
      </c>
    </row>
    <row r="10" spans="1:22" x14ac:dyDescent="0.25">
      <c r="A10" t="s">
        <v>430</v>
      </c>
      <c r="B10" t="str">
        <f>VLOOKUP(A10, Eras!$B$2:$C$12, 2, FALSE)</f>
        <v>Third Generation (1975-1985)</v>
      </c>
      <c r="C10">
        <f>COUNTIF(Table!$AR:$AR,CONCATENATE($A10,"_",C$1))</f>
        <v>0</v>
      </c>
      <c r="D10">
        <f>COUNTIF(Table!$AR:$AR,CONCATENATE($A10,"_",D$1))</f>
        <v>0</v>
      </c>
      <c r="E10">
        <f>COUNTIF(Table!$AR:$AR,CONCATENATE($A10,"_",E$1))</f>
        <v>0</v>
      </c>
      <c r="F10">
        <f>COUNTIF(Table!$AR:$AR,CONCATENATE($A10,"_",F$1))</f>
        <v>1</v>
      </c>
      <c r="G10">
        <f>COUNTIF(Table!$AR:$AR,CONCATENATE($A10,"_",G$1))</f>
        <v>0</v>
      </c>
      <c r="H10">
        <f>COUNTIF(Table!$AR:$AR,CONCATENATE($A10,"_",H$1))</f>
        <v>0</v>
      </c>
      <c r="I10">
        <f>COUNTIF(Table!$AR:$AR,CONCATENATE($A10,"_",I$1))</f>
        <v>0</v>
      </c>
      <c r="J10">
        <f>COUNTIF(Table!$AR:$AR,CONCATENATE($A10,"_",J$1))</f>
        <v>0</v>
      </c>
      <c r="K10">
        <f>COUNTIF(Table!$AR:$AR,CONCATENATE($A10,"_",K$1))</f>
        <v>0</v>
      </c>
      <c r="L10">
        <f>COUNTIF(Table!$AR:$AR,CONCATENATE($A10,"_",L$1))</f>
        <v>0</v>
      </c>
      <c r="M10">
        <f>COUNTIF(Table!$AR:$AR,CONCATENATE($A10,"_",M$1))</f>
        <v>0</v>
      </c>
      <c r="N10">
        <f>COUNTIF(Table!$AR:$AR,CONCATENATE($A10,"_",N$1))</f>
        <v>2</v>
      </c>
      <c r="O10">
        <f>COUNTIF(Table!$AR:$AR,CONCATENATE($A10,"_",O$1))</f>
        <v>0</v>
      </c>
      <c r="P10">
        <f>COUNTIF(Table!$AR:$AR,CONCATENATE($A10,"_",P$1))</f>
        <v>2</v>
      </c>
      <c r="Q10">
        <f>COUNTIF(Table!$AR:$AR,CONCATENATE($A10,"_",Q$1))</f>
        <v>1</v>
      </c>
      <c r="R10">
        <f>COUNTIF(Table!$AR:$AR,CONCATENATE($A10,"_",R$1))</f>
        <v>0</v>
      </c>
      <c r="S10">
        <f>COUNTIF(Table!$AR:$AR,CONCATENATE($A10,"_",S$1))</f>
        <v>0</v>
      </c>
      <c r="T10">
        <f>COUNTIF(Table!$AR:$AR,CONCATENATE($A10,"_",T$1))</f>
        <v>0</v>
      </c>
      <c r="U10">
        <f>COUNTIF(Table!$AR:$AR,CONCATENATE($A10,"_",U$1))</f>
        <v>0</v>
      </c>
      <c r="V10">
        <f>COUNTIF(Table!$AR:$AR,CONCATENATE($A10,"_",V$1))</f>
        <v>0</v>
      </c>
    </row>
    <row r="11" spans="1:22" x14ac:dyDescent="0.25">
      <c r="A11" t="s">
        <v>431</v>
      </c>
      <c r="B11" t="str">
        <f>VLOOKUP(A11, Eras!$B$2:$C$12, 2, FALSE)</f>
        <v>Fourth Genertion (1985-1995)</v>
      </c>
      <c r="C11">
        <f>COUNTIF(Table!$AR:$AR,CONCATENATE($A11,"_",C$1))</f>
        <v>0</v>
      </c>
      <c r="D11">
        <f>COUNTIF(Table!$AR:$AR,CONCATENATE($A11,"_",D$1))</f>
        <v>0</v>
      </c>
      <c r="E11">
        <f>COUNTIF(Table!$AR:$AR,CONCATENATE($A11,"_",E$1))</f>
        <v>0</v>
      </c>
      <c r="F11">
        <f>COUNTIF(Table!$AR:$AR,CONCATENATE($A11,"_",F$1))</f>
        <v>0</v>
      </c>
      <c r="G11">
        <f>COUNTIF(Table!$AR:$AR,CONCATENATE($A11,"_",G$1))</f>
        <v>0</v>
      </c>
      <c r="H11">
        <f>COUNTIF(Table!$AR:$AR,CONCATENATE($A11,"_",H$1))</f>
        <v>0</v>
      </c>
      <c r="I11">
        <f>COUNTIF(Table!$AR:$AR,CONCATENATE($A11,"_",I$1))</f>
        <v>1</v>
      </c>
      <c r="J11">
        <f>COUNTIF(Table!$AR:$AR,CONCATENATE($A11,"_",J$1))</f>
        <v>0</v>
      </c>
      <c r="K11">
        <f>COUNTIF(Table!$AR:$AR,CONCATENATE($A11,"_",K$1))</f>
        <v>0</v>
      </c>
      <c r="L11">
        <f>COUNTIF(Table!$AR:$AR,CONCATENATE($A11,"_",L$1))</f>
        <v>0</v>
      </c>
      <c r="M11">
        <f>COUNTIF(Table!$AR:$AR,CONCATENATE($A11,"_",M$1))</f>
        <v>0</v>
      </c>
      <c r="N11">
        <f>COUNTIF(Table!$AR:$AR,CONCATENATE($A11,"_",N$1))</f>
        <v>1</v>
      </c>
      <c r="O11">
        <f>COUNTIF(Table!$AR:$AR,CONCATENATE($A11,"_",O$1))</f>
        <v>0</v>
      </c>
      <c r="P11">
        <f>COUNTIF(Table!$AR:$AR,CONCATENATE($A11,"_",P$1))</f>
        <v>1</v>
      </c>
      <c r="Q11">
        <f>COUNTIF(Table!$AR:$AR,CONCATENATE($A11,"_",Q$1))</f>
        <v>0</v>
      </c>
      <c r="R11">
        <f>COUNTIF(Table!$AR:$AR,CONCATENATE($A11,"_",R$1))</f>
        <v>0</v>
      </c>
      <c r="S11">
        <f>COUNTIF(Table!$AR:$AR,CONCATENATE($A11,"_",S$1))</f>
        <v>0</v>
      </c>
      <c r="T11">
        <f>COUNTIF(Table!$AR:$AR,CONCATENATE($A11,"_",T$1))</f>
        <v>0</v>
      </c>
      <c r="U11">
        <f>COUNTIF(Table!$AR:$AR,CONCATENATE($A11,"_",U$1))</f>
        <v>0</v>
      </c>
      <c r="V11">
        <f>COUNTIF(Table!$AR:$AR,CONCATENATE($A11,"_",V$1))</f>
        <v>0</v>
      </c>
    </row>
    <row r="12" spans="1:22" x14ac:dyDescent="0.25">
      <c r="A12" t="s">
        <v>432</v>
      </c>
      <c r="B12" t="str">
        <f>VLOOKUP(A12, Eras!$B$2:$C$12, 2, FALSE)</f>
        <v>Privatisation (1995-2005)</v>
      </c>
      <c r="C12">
        <f>COUNTIF(Table!$AR:$AR,CONCATENATE($A12,"_",C$1))</f>
        <v>0</v>
      </c>
      <c r="D12">
        <f>COUNTIF(Table!$AR:$AR,CONCATENATE($A12,"_",D$1))</f>
        <v>0</v>
      </c>
      <c r="E12">
        <f>COUNTIF(Table!$AR:$AR,CONCATENATE($A12,"_",E$1))</f>
        <v>0</v>
      </c>
      <c r="F12">
        <f>COUNTIF(Table!$AR:$AR,CONCATENATE($A12,"_",F$1))</f>
        <v>0</v>
      </c>
      <c r="G12">
        <f>COUNTIF(Table!$AR:$AR,CONCATENATE($A12,"_",G$1))</f>
        <v>1</v>
      </c>
      <c r="H12">
        <f>COUNTIF(Table!$AR:$AR,CONCATENATE($A12,"_",H$1))</f>
        <v>0</v>
      </c>
      <c r="I12">
        <f>COUNTIF(Table!$AR:$AR,CONCATENATE($A12,"_",I$1))</f>
        <v>0</v>
      </c>
      <c r="J12">
        <f>COUNTIF(Table!$AR:$AR,CONCATENATE($A12,"_",J$1))</f>
        <v>0</v>
      </c>
      <c r="K12">
        <f>COUNTIF(Table!$AR:$AR,CONCATENATE($A12,"_",K$1))</f>
        <v>0</v>
      </c>
      <c r="L12">
        <f>COUNTIF(Table!$AR:$AR,CONCATENATE($A12,"_",L$1))</f>
        <v>0</v>
      </c>
      <c r="M12">
        <f>COUNTIF(Table!$AR:$AR,CONCATENATE($A12,"_",M$1))</f>
        <v>0</v>
      </c>
      <c r="N12">
        <f>COUNTIF(Table!$AR:$AR,CONCATENATE($A12,"_",N$1))</f>
        <v>1</v>
      </c>
      <c r="O12">
        <f>COUNTIF(Table!$AR:$AR,CONCATENATE($A12,"_",O$1))</f>
        <v>1</v>
      </c>
      <c r="P12">
        <f>COUNTIF(Table!$AR:$AR,CONCATENATE($A12,"_",P$1))</f>
        <v>1</v>
      </c>
      <c r="Q12">
        <f>COUNTIF(Table!$AR:$AR,CONCATENATE($A12,"_",Q$1))</f>
        <v>0</v>
      </c>
      <c r="R12">
        <f>COUNTIF(Table!$AR:$AR,CONCATENATE($A12,"_",R$1))</f>
        <v>0</v>
      </c>
      <c r="S12">
        <f>COUNTIF(Table!$AR:$AR,CONCATENATE($A12,"_",S$1))</f>
        <v>0</v>
      </c>
      <c r="T12">
        <f>COUNTIF(Table!$AR:$AR,CONCATENATE($A12,"_",T$1))</f>
        <v>0</v>
      </c>
      <c r="U12">
        <f>COUNTIF(Table!$AR:$AR,CONCATENATE($A12,"_",U$1))</f>
        <v>0</v>
      </c>
      <c r="V12">
        <f>COUNTIF(Table!$AR:$AR,CONCATENATE($A12,"_",V$1))</f>
        <v>0</v>
      </c>
    </row>
    <row r="13" spans="1:22" x14ac:dyDescent="0.25">
      <c r="A13" t="s">
        <v>433</v>
      </c>
      <c r="B13" t="str">
        <f>VLOOKUP(A13, Eras!$B$2:$C$12, 2, FALSE)</f>
        <v>Modern (2005-)</v>
      </c>
      <c r="C13">
        <f>COUNTIF(Table!$AR:$AR,CONCATENATE($A13,"_",C$1))</f>
        <v>0</v>
      </c>
      <c r="D13">
        <f>COUNTIF(Table!$AR:$AR,CONCATENATE($A13,"_",D$1))</f>
        <v>0</v>
      </c>
      <c r="E13">
        <f>COUNTIF(Table!$AR:$AR,CONCATENATE($A13,"_",E$1))</f>
        <v>0</v>
      </c>
      <c r="F13">
        <f>COUNTIF(Table!$AR:$AR,CONCATENATE($A13,"_",F$1))</f>
        <v>0</v>
      </c>
      <c r="G13">
        <f>COUNTIF(Table!$AR:$AR,CONCATENATE($A13,"_",G$1))</f>
        <v>0</v>
      </c>
      <c r="H13">
        <f>COUNTIF(Table!$AR:$AR,CONCATENATE($A13,"_",H$1))</f>
        <v>0</v>
      </c>
      <c r="I13">
        <f>COUNTIF(Table!$AR:$AR,CONCATENATE($A13,"_",I$1))</f>
        <v>0</v>
      </c>
      <c r="J13">
        <f>COUNTIF(Table!$AR:$AR,CONCATENATE($A13,"_",J$1))</f>
        <v>0</v>
      </c>
      <c r="K13">
        <f>COUNTIF(Table!$AR:$AR,CONCATENATE($A13,"_",K$1))</f>
        <v>0</v>
      </c>
      <c r="L13">
        <f>COUNTIF(Table!$AR:$AR,CONCATENATE($A13,"_",L$1))</f>
        <v>0</v>
      </c>
      <c r="M13">
        <f>COUNTIF(Table!$AR:$AR,CONCATENATE($A13,"_",M$1))</f>
        <v>0</v>
      </c>
      <c r="N13">
        <f>COUNTIF(Table!$AR:$AR,CONCATENATE($A13,"_",N$1))</f>
        <v>0</v>
      </c>
      <c r="O13">
        <f>COUNTIF(Table!$AR:$AR,CONCATENATE($A13,"_",O$1))</f>
        <v>1</v>
      </c>
      <c r="P13">
        <f>COUNTIF(Table!$AR:$AR,CONCATENATE($A13,"_",P$1))</f>
        <v>2</v>
      </c>
      <c r="Q13">
        <f>COUNTIF(Table!$AR:$AR,CONCATENATE($A13,"_",Q$1))</f>
        <v>0</v>
      </c>
      <c r="R13">
        <f>COUNTIF(Table!$AR:$AR,CONCATENATE($A13,"_",R$1))</f>
        <v>0</v>
      </c>
      <c r="S13">
        <f>COUNTIF(Table!$AR:$AR,CONCATENATE($A13,"_",S$1))</f>
        <v>0</v>
      </c>
      <c r="T13">
        <f>COUNTIF(Table!$AR:$AR,CONCATENATE($A13,"_",T$1))</f>
        <v>0</v>
      </c>
      <c r="U13">
        <f>COUNTIF(Table!$AR:$AR,CONCATENATE($A13,"_",U$1))</f>
        <v>0</v>
      </c>
      <c r="V13">
        <f>COUNTIF(Table!$AR:$AR,CONCATENATE($A13,"_",V$1))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413</v>
      </c>
      <c r="B1" s="1" t="s">
        <v>423</v>
      </c>
      <c r="C1" s="1" t="s">
        <v>414</v>
      </c>
    </row>
    <row r="2" spans="1:3" x14ac:dyDescent="0.25">
      <c r="A2">
        <v>1800</v>
      </c>
      <c r="B2" t="s">
        <v>424</v>
      </c>
      <c r="C2" t="s">
        <v>494</v>
      </c>
    </row>
    <row r="3" spans="1:3" x14ac:dyDescent="0.25">
      <c r="A3">
        <v>1850</v>
      </c>
      <c r="B3" t="s">
        <v>495</v>
      </c>
      <c r="C3" t="s">
        <v>493</v>
      </c>
    </row>
    <row r="4" spans="1:3" x14ac:dyDescent="0.25">
      <c r="A4">
        <v>1900</v>
      </c>
      <c r="B4" t="s">
        <v>425</v>
      </c>
      <c r="C4" t="s">
        <v>415</v>
      </c>
    </row>
    <row r="5" spans="1:3" x14ac:dyDescent="0.25">
      <c r="A5">
        <v>1923</v>
      </c>
      <c r="B5" t="s">
        <v>426</v>
      </c>
      <c r="C5" t="s">
        <v>539</v>
      </c>
    </row>
    <row r="6" spans="1:3" x14ac:dyDescent="0.25">
      <c r="A6">
        <v>1948</v>
      </c>
      <c r="B6" t="s">
        <v>427</v>
      </c>
      <c r="C6" t="s">
        <v>416</v>
      </c>
    </row>
    <row r="7" spans="1:3" x14ac:dyDescent="0.25">
      <c r="A7">
        <v>1955</v>
      </c>
      <c r="B7" t="s">
        <v>428</v>
      </c>
      <c r="C7" t="s">
        <v>417</v>
      </c>
    </row>
    <row r="8" spans="1:3" x14ac:dyDescent="0.25">
      <c r="A8">
        <v>1965</v>
      </c>
      <c r="B8" t="s">
        <v>429</v>
      </c>
      <c r="C8" t="s">
        <v>418</v>
      </c>
    </row>
    <row r="9" spans="1:3" x14ac:dyDescent="0.25">
      <c r="A9">
        <v>1975</v>
      </c>
      <c r="B9" t="s">
        <v>430</v>
      </c>
      <c r="C9" t="s">
        <v>419</v>
      </c>
    </row>
    <row r="10" spans="1:3" x14ac:dyDescent="0.25">
      <c r="A10">
        <v>1985</v>
      </c>
      <c r="B10" t="s">
        <v>431</v>
      </c>
      <c r="C10" t="s">
        <v>420</v>
      </c>
    </row>
    <row r="11" spans="1:3" x14ac:dyDescent="0.25">
      <c r="A11">
        <v>1995</v>
      </c>
      <c r="B11" t="s">
        <v>432</v>
      </c>
      <c r="C11" t="s">
        <v>421</v>
      </c>
    </row>
    <row r="12" spans="1:3" x14ac:dyDescent="0.25">
      <c r="A12">
        <v>2005</v>
      </c>
      <c r="B12" t="s">
        <v>433</v>
      </c>
      <c r="C12" t="s">
        <v>422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C8" sqref="C8"/>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333</v>
      </c>
      <c r="B1" s="1" t="s">
        <v>334</v>
      </c>
      <c r="C1" s="1" t="s">
        <v>625</v>
      </c>
    </row>
    <row r="2" spans="1:3" x14ac:dyDescent="0.25">
      <c r="A2" s="2">
        <v>0</v>
      </c>
      <c r="B2" s="2" t="s">
        <v>195</v>
      </c>
    </row>
    <row r="3" spans="1:3" x14ac:dyDescent="0.25">
      <c r="A3">
        <v>3</v>
      </c>
      <c r="B3" t="s">
        <v>394</v>
      </c>
      <c r="C3" t="s">
        <v>628</v>
      </c>
    </row>
    <row r="4" spans="1:3" x14ac:dyDescent="0.25">
      <c r="A4">
        <v>4</v>
      </c>
      <c r="B4" t="s">
        <v>335</v>
      </c>
      <c r="C4" t="s">
        <v>629</v>
      </c>
    </row>
    <row r="5" spans="1:3" x14ac:dyDescent="0.25">
      <c r="A5">
        <v>5</v>
      </c>
      <c r="B5" t="s">
        <v>336</v>
      </c>
      <c r="C5" t="s">
        <v>630</v>
      </c>
    </row>
    <row r="6" spans="1:3" x14ac:dyDescent="0.25">
      <c r="A6">
        <v>6</v>
      </c>
      <c r="B6" t="s">
        <v>407</v>
      </c>
      <c r="C6" t="s">
        <v>626</v>
      </c>
    </row>
    <row r="7" spans="1:3" x14ac:dyDescent="0.25">
      <c r="A7">
        <v>7</v>
      </c>
      <c r="B7" t="s">
        <v>337</v>
      </c>
      <c r="C7" t="s">
        <v>631</v>
      </c>
    </row>
    <row r="8" spans="1:3" x14ac:dyDescent="0.25">
      <c r="A8">
        <v>8</v>
      </c>
      <c r="B8" t="s">
        <v>338</v>
      </c>
      <c r="C8" t="s">
        <v>627</v>
      </c>
    </row>
    <row r="9" spans="1:3" x14ac:dyDescent="0.25">
      <c r="A9">
        <v>9</v>
      </c>
      <c r="B9" t="s">
        <v>341</v>
      </c>
      <c r="C9" t="s">
        <v>341</v>
      </c>
    </row>
    <row r="10" spans="1:3" x14ac:dyDescent="0.25">
      <c r="A10">
        <v>10</v>
      </c>
      <c r="B10" t="s">
        <v>339</v>
      </c>
      <c r="C10" t="s">
        <v>632</v>
      </c>
    </row>
    <row r="11" spans="1:3" x14ac:dyDescent="0.25">
      <c r="A11">
        <v>11</v>
      </c>
      <c r="B11" t="s">
        <v>340</v>
      </c>
      <c r="C11" t="s">
        <v>340</v>
      </c>
    </row>
    <row r="12" spans="1:3" x14ac:dyDescent="0.25">
      <c r="A12">
        <v>12</v>
      </c>
      <c r="B12" t="s">
        <v>342</v>
      </c>
      <c r="C12" t="s">
        <v>342</v>
      </c>
    </row>
    <row r="13" spans="1:3" x14ac:dyDescent="0.25">
      <c r="A13">
        <v>13</v>
      </c>
      <c r="B13" t="s">
        <v>343</v>
      </c>
      <c r="C13" t="s">
        <v>343</v>
      </c>
    </row>
    <row r="14" spans="1:3" x14ac:dyDescent="0.25">
      <c r="A14">
        <v>14</v>
      </c>
      <c r="B14" t="s">
        <v>344</v>
      </c>
      <c r="C14" t="s">
        <v>344</v>
      </c>
    </row>
    <row r="15" spans="1:3" x14ac:dyDescent="0.25">
      <c r="A15">
        <v>15</v>
      </c>
      <c r="B15" t="s">
        <v>345</v>
      </c>
      <c r="C15" t="s">
        <v>345</v>
      </c>
    </row>
    <row r="16" spans="1:3" x14ac:dyDescent="0.25">
      <c r="A16">
        <v>16</v>
      </c>
      <c r="B16" t="s">
        <v>346</v>
      </c>
      <c r="C16" t="s">
        <v>346</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401</v>
      </c>
      <c r="B1" s="1" t="s">
        <v>402</v>
      </c>
      <c r="C1" s="1" t="s">
        <v>403</v>
      </c>
      <c r="D1" s="1" t="s">
        <v>404</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2020-06-23T18:23:01Z</dcterms:modified>
</cp:coreProperties>
</file>