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mberwolfs_trains\"/>
    </mc:Choice>
  </mc:AlternateContent>
  <xr:revisionPtr revIDLastSave="0" documentId="13_ncr:1_{33683FF4-1385-4FB5-9709-3AC11AF1FB18}" xr6:coauthVersionLast="45" xr6:coauthVersionMax="45" xr10:uidLastSave="{00000000-0000-0000-0000-000000000000}"/>
  <bookViews>
    <workbookView xWindow="7695" yWindow="1560" windowWidth="20880" windowHeight="12840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9" i="1" l="1"/>
  <c r="W50" i="1"/>
  <c r="V50" i="1" s="1"/>
  <c r="W51" i="1"/>
  <c r="V51" i="1" s="1"/>
  <c r="W52" i="1"/>
  <c r="V52" i="1" s="1"/>
  <c r="W53" i="1"/>
  <c r="W54" i="1"/>
  <c r="Y49" i="1"/>
  <c r="V49" i="1"/>
  <c r="V56" i="1"/>
  <c r="V60" i="1"/>
  <c r="V72" i="1"/>
  <c r="V76" i="1"/>
  <c r="V84" i="1"/>
  <c r="V88" i="1"/>
  <c r="V92" i="1"/>
  <c r="V96" i="1"/>
  <c r="V100" i="1"/>
  <c r="V104" i="1"/>
  <c r="V108" i="1"/>
  <c r="V112" i="1"/>
  <c r="V116" i="1"/>
  <c r="V120" i="1"/>
  <c r="V124" i="1"/>
  <c r="V128" i="1"/>
  <c r="V132" i="1"/>
  <c r="V136" i="1"/>
  <c r="V140" i="1"/>
  <c r="V144" i="1"/>
  <c r="V148" i="1"/>
  <c r="V152" i="1"/>
  <c r="V156" i="1"/>
  <c r="V160" i="1"/>
  <c r="V164" i="1"/>
  <c r="V168" i="1"/>
  <c r="V172" i="1"/>
  <c r="V176" i="1"/>
  <c r="V180" i="1"/>
  <c r="V184" i="1"/>
  <c r="V188" i="1"/>
  <c r="V192" i="1"/>
  <c r="V196" i="1"/>
  <c r="V21" i="1"/>
  <c r="V25" i="1"/>
  <c r="V29" i="1"/>
  <c r="V33" i="1"/>
  <c r="V37" i="1"/>
  <c r="V41" i="1"/>
  <c r="V45" i="1"/>
  <c r="W18" i="1"/>
  <c r="V18" i="1" s="1"/>
  <c r="W19" i="1"/>
  <c r="V19" i="1" s="1"/>
  <c r="W20" i="1"/>
  <c r="V20" i="1" s="1"/>
  <c r="W21" i="1"/>
  <c r="W22" i="1"/>
  <c r="V22" i="1" s="1"/>
  <c r="W23" i="1"/>
  <c r="V23" i="1" s="1"/>
  <c r="W24" i="1"/>
  <c r="V24" i="1" s="1"/>
  <c r="W25" i="1"/>
  <c r="W26" i="1"/>
  <c r="V26" i="1" s="1"/>
  <c r="W27" i="1"/>
  <c r="V27" i="1" s="1"/>
  <c r="W28" i="1"/>
  <c r="V28" i="1" s="1"/>
  <c r="W29" i="1"/>
  <c r="W30" i="1"/>
  <c r="V30" i="1" s="1"/>
  <c r="W31" i="1"/>
  <c r="V31" i="1" s="1"/>
  <c r="W32" i="1"/>
  <c r="V32" i="1" s="1"/>
  <c r="W33" i="1"/>
  <c r="W34" i="1"/>
  <c r="V34" i="1" s="1"/>
  <c r="W35" i="1"/>
  <c r="V35" i="1" s="1"/>
  <c r="W36" i="1"/>
  <c r="V36" i="1" s="1"/>
  <c r="W37" i="1"/>
  <c r="W38" i="1"/>
  <c r="V38" i="1" s="1"/>
  <c r="W39" i="1"/>
  <c r="V39" i="1" s="1"/>
  <c r="W40" i="1"/>
  <c r="V40" i="1" s="1"/>
  <c r="W41" i="1"/>
  <c r="W42" i="1"/>
  <c r="V42" i="1" s="1"/>
  <c r="W43" i="1"/>
  <c r="V43" i="1" s="1"/>
  <c r="W44" i="1"/>
  <c r="V44" i="1" s="1"/>
  <c r="W45" i="1"/>
  <c r="W46" i="1"/>
  <c r="V46" i="1" s="1"/>
  <c r="W47" i="1"/>
  <c r="V47" i="1" s="1"/>
  <c r="W48" i="1"/>
  <c r="V48" i="1" s="1"/>
  <c r="V53" i="1"/>
  <c r="V54" i="1"/>
  <c r="W55" i="1"/>
  <c r="V55" i="1" s="1"/>
  <c r="W56" i="1"/>
  <c r="W57" i="1"/>
  <c r="V57" i="1" s="1"/>
  <c r="W58" i="1"/>
  <c r="V58" i="1" s="1"/>
  <c r="W59" i="1"/>
  <c r="V59" i="1" s="1"/>
  <c r="W60" i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W73" i="1"/>
  <c r="V73" i="1" s="1"/>
  <c r="W74" i="1"/>
  <c r="V74" i="1" s="1"/>
  <c r="W75" i="1"/>
  <c r="V75" i="1" s="1"/>
  <c r="W76" i="1"/>
  <c r="W77" i="1"/>
  <c r="V77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W85" i="1"/>
  <c r="V85" i="1" s="1"/>
  <c r="W86" i="1"/>
  <c r="V86" i="1" s="1"/>
  <c r="W87" i="1"/>
  <c r="V87" i="1" s="1"/>
  <c r="W88" i="1"/>
  <c r="W89" i="1"/>
  <c r="V89" i="1" s="1"/>
  <c r="W90" i="1"/>
  <c r="V90" i="1" s="1"/>
  <c r="W91" i="1"/>
  <c r="V91" i="1" s="1"/>
  <c r="W92" i="1"/>
  <c r="W93" i="1"/>
  <c r="V93" i="1" s="1"/>
  <c r="W94" i="1"/>
  <c r="V94" i="1" s="1"/>
  <c r="W95" i="1"/>
  <c r="V95" i="1" s="1"/>
  <c r="W96" i="1"/>
  <c r="W97" i="1"/>
  <c r="V97" i="1" s="1"/>
  <c r="W98" i="1"/>
  <c r="V98" i="1" s="1"/>
  <c r="W99" i="1"/>
  <c r="V99" i="1" s="1"/>
  <c r="W100" i="1"/>
  <c r="W101" i="1"/>
  <c r="V101" i="1" s="1"/>
  <c r="W102" i="1"/>
  <c r="V102" i="1" s="1"/>
  <c r="W103" i="1"/>
  <c r="V103" i="1" s="1"/>
  <c r="W104" i="1"/>
  <c r="W105" i="1"/>
  <c r="V105" i="1" s="1"/>
  <c r="W106" i="1"/>
  <c r="V106" i="1" s="1"/>
  <c r="W107" i="1"/>
  <c r="V107" i="1" s="1"/>
  <c r="W108" i="1"/>
  <c r="W109" i="1"/>
  <c r="V109" i="1" s="1"/>
  <c r="W110" i="1"/>
  <c r="V110" i="1" s="1"/>
  <c r="W111" i="1"/>
  <c r="V111" i="1" s="1"/>
  <c r="W112" i="1"/>
  <c r="W113" i="1"/>
  <c r="V113" i="1" s="1"/>
  <c r="W114" i="1"/>
  <c r="V114" i="1" s="1"/>
  <c r="W115" i="1"/>
  <c r="V115" i="1" s="1"/>
  <c r="W116" i="1"/>
  <c r="W117" i="1"/>
  <c r="V117" i="1" s="1"/>
  <c r="W118" i="1"/>
  <c r="V118" i="1" s="1"/>
  <c r="W119" i="1"/>
  <c r="V119" i="1" s="1"/>
  <c r="W120" i="1"/>
  <c r="W121" i="1"/>
  <c r="V121" i="1" s="1"/>
  <c r="W122" i="1"/>
  <c r="V122" i="1" s="1"/>
  <c r="W123" i="1"/>
  <c r="V123" i="1" s="1"/>
  <c r="W124" i="1"/>
  <c r="W125" i="1"/>
  <c r="V125" i="1" s="1"/>
  <c r="W126" i="1"/>
  <c r="V126" i="1" s="1"/>
  <c r="W127" i="1"/>
  <c r="V127" i="1" s="1"/>
  <c r="W128" i="1"/>
  <c r="W129" i="1"/>
  <c r="V129" i="1" s="1"/>
  <c r="W130" i="1"/>
  <c r="V130" i="1" s="1"/>
  <c r="W131" i="1"/>
  <c r="V131" i="1" s="1"/>
  <c r="W132" i="1"/>
  <c r="W133" i="1"/>
  <c r="V133" i="1" s="1"/>
  <c r="W134" i="1"/>
  <c r="V134" i="1" s="1"/>
  <c r="W135" i="1"/>
  <c r="V135" i="1" s="1"/>
  <c r="W136" i="1"/>
  <c r="W137" i="1"/>
  <c r="V137" i="1" s="1"/>
  <c r="W138" i="1"/>
  <c r="V138" i="1" s="1"/>
  <c r="W139" i="1"/>
  <c r="V139" i="1" s="1"/>
  <c r="W140" i="1"/>
  <c r="W141" i="1"/>
  <c r="V141" i="1" s="1"/>
  <c r="W142" i="1"/>
  <c r="V142" i="1" s="1"/>
  <c r="W143" i="1"/>
  <c r="V143" i="1" s="1"/>
  <c r="W144" i="1"/>
  <c r="W145" i="1"/>
  <c r="V145" i="1" s="1"/>
  <c r="W146" i="1"/>
  <c r="V146" i="1" s="1"/>
  <c r="W147" i="1"/>
  <c r="V147" i="1" s="1"/>
  <c r="W148" i="1"/>
  <c r="W149" i="1"/>
  <c r="V149" i="1" s="1"/>
  <c r="W150" i="1"/>
  <c r="V150" i="1" s="1"/>
  <c r="W151" i="1"/>
  <c r="V151" i="1" s="1"/>
  <c r="W152" i="1"/>
  <c r="W153" i="1"/>
  <c r="V153" i="1" s="1"/>
  <c r="W154" i="1"/>
  <c r="V154" i="1" s="1"/>
  <c r="W155" i="1"/>
  <c r="V155" i="1" s="1"/>
  <c r="W156" i="1"/>
  <c r="W157" i="1"/>
  <c r="V157" i="1" s="1"/>
  <c r="W158" i="1"/>
  <c r="V158" i="1" s="1"/>
  <c r="W159" i="1"/>
  <c r="V159" i="1" s="1"/>
  <c r="W160" i="1"/>
  <c r="W161" i="1"/>
  <c r="V161" i="1" s="1"/>
  <c r="W162" i="1"/>
  <c r="V162" i="1" s="1"/>
  <c r="W163" i="1"/>
  <c r="V163" i="1" s="1"/>
  <c r="W164" i="1"/>
  <c r="W165" i="1"/>
  <c r="V165" i="1" s="1"/>
  <c r="W166" i="1"/>
  <c r="V166" i="1" s="1"/>
  <c r="W167" i="1"/>
  <c r="V167" i="1" s="1"/>
  <c r="W168" i="1"/>
  <c r="W169" i="1"/>
  <c r="V169" i="1" s="1"/>
  <c r="W170" i="1"/>
  <c r="V170" i="1" s="1"/>
  <c r="W171" i="1"/>
  <c r="V171" i="1" s="1"/>
  <c r="W172" i="1"/>
  <c r="W173" i="1"/>
  <c r="V173" i="1" s="1"/>
  <c r="W174" i="1"/>
  <c r="V174" i="1" s="1"/>
  <c r="W175" i="1"/>
  <c r="V175" i="1" s="1"/>
  <c r="W176" i="1"/>
  <c r="W177" i="1"/>
  <c r="V177" i="1" s="1"/>
  <c r="W178" i="1"/>
  <c r="V178" i="1" s="1"/>
  <c r="W179" i="1"/>
  <c r="V179" i="1" s="1"/>
  <c r="W180" i="1"/>
  <c r="W181" i="1"/>
  <c r="V181" i="1" s="1"/>
  <c r="W182" i="1"/>
  <c r="V182" i="1" s="1"/>
  <c r="W183" i="1"/>
  <c r="V183" i="1" s="1"/>
  <c r="W184" i="1"/>
  <c r="W185" i="1"/>
  <c r="V185" i="1" s="1"/>
  <c r="W186" i="1"/>
  <c r="V186" i="1" s="1"/>
  <c r="W188" i="1"/>
  <c r="W189" i="1"/>
  <c r="V189" i="1" s="1"/>
  <c r="W190" i="1"/>
  <c r="V190" i="1" s="1"/>
  <c r="W191" i="1"/>
  <c r="V191" i="1" s="1"/>
  <c r="W192" i="1"/>
  <c r="W193" i="1"/>
  <c r="V193" i="1" s="1"/>
  <c r="W194" i="1"/>
  <c r="V194" i="1" s="1"/>
  <c r="W195" i="1"/>
  <c r="V195" i="1" s="1"/>
  <c r="W196" i="1"/>
  <c r="W197" i="1"/>
  <c r="V197" i="1" s="1"/>
  <c r="W198" i="1"/>
  <c r="V198" i="1" s="1"/>
  <c r="W199" i="1"/>
  <c r="V199" i="1" s="1"/>
  <c r="W187" i="1"/>
  <c r="V187" i="1" s="1"/>
  <c r="Y48" i="1" l="1"/>
  <c r="Y47" i="1"/>
  <c r="W6" i="1"/>
  <c r="V6" i="1" s="1"/>
  <c r="W7" i="1"/>
  <c r="V7" i="1" s="1"/>
  <c r="W8" i="1"/>
  <c r="W9" i="1"/>
  <c r="V9" i="1" s="1"/>
  <c r="W10" i="1"/>
  <c r="V10" i="1" s="1"/>
  <c r="W11" i="1"/>
  <c r="W12" i="1"/>
  <c r="V12" i="1" s="1"/>
  <c r="W13" i="1"/>
  <c r="V13" i="1" s="1"/>
  <c r="W14" i="1"/>
  <c r="V14" i="1" s="1"/>
  <c r="W15" i="1"/>
  <c r="W16" i="1"/>
  <c r="V16" i="1" s="1"/>
  <c r="W17" i="1"/>
  <c r="V17" i="1" s="1"/>
  <c r="Y21" i="1"/>
  <c r="Y23" i="1"/>
  <c r="Y29" i="1"/>
  <c r="Y31" i="1"/>
  <c r="Y37" i="1"/>
  <c r="Y39" i="1"/>
  <c r="Y45" i="1"/>
  <c r="Y54" i="1"/>
  <c r="Y60" i="1"/>
  <c r="Y68" i="1"/>
  <c r="Y72" i="1"/>
  <c r="Y76" i="1"/>
  <c r="Y78" i="1"/>
  <c r="Y80" i="1"/>
  <c r="Y86" i="1"/>
  <c r="Y88" i="1"/>
  <c r="Y94" i="1"/>
  <c r="Y96" i="1"/>
  <c r="Y102" i="1"/>
  <c r="Y104" i="1"/>
  <c r="Y108" i="1"/>
  <c r="Y110" i="1"/>
  <c r="Y112" i="1"/>
  <c r="Y118" i="1"/>
  <c r="Y120" i="1"/>
  <c r="Y126" i="1"/>
  <c r="Y128" i="1"/>
  <c r="Y134" i="1"/>
  <c r="Y136" i="1"/>
  <c r="Y142" i="1"/>
  <c r="Y144" i="1"/>
  <c r="Y150" i="1"/>
  <c r="Y152" i="1"/>
  <c r="Y160" i="1"/>
  <c r="Y164" i="1"/>
  <c r="Y166" i="1"/>
  <c r="Y168" i="1"/>
  <c r="Y172" i="1"/>
  <c r="Y174" i="1"/>
  <c r="Y176" i="1"/>
  <c r="Y181" i="1"/>
  <c r="Y185" i="1"/>
  <c r="Y193" i="1"/>
  <c r="Y195" i="1"/>
  <c r="Y177" i="1"/>
  <c r="W2" i="1"/>
  <c r="Y2" i="1" s="1"/>
  <c r="W3" i="1"/>
  <c r="V3" i="1" s="1"/>
  <c r="W4" i="1"/>
  <c r="V4" i="1" s="1"/>
  <c r="W5" i="1"/>
  <c r="V5" i="1" s="1"/>
  <c r="Y10" i="1"/>
  <c r="Y18" i="1"/>
  <c r="Y26" i="1"/>
  <c r="Y28" i="1"/>
  <c r="Y34" i="1"/>
  <c r="Y42" i="1"/>
  <c r="Y44" i="1"/>
  <c r="Y59" i="1"/>
  <c r="Y67" i="1"/>
  <c r="Y75" i="1"/>
  <c r="Y83" i="1"/>
  <c r="Y91" i="1"/>
  <c r="Y101" i="1"/>
  <c r="Y107" i="1"/>
  <c r="Y123" i="1"/>
  <c r="Y131" i="1"/>
  <c r="Y139" i="1"/>
  <c r="Y147" i="1"/>
  <c r="Y155" i="1"/>
  <c r="Y157" i="1"/>
  <c r="Y171" i="1"/>
  <c r="Y9" i="1"/>
  <c r="Y17" i="1"/>
  <c r="Y25" i="1"/>
  <c r="Y33" i="1"/>
  <c r="Y41" i="1"/>
  <c r="Y50" i="1"/>
  <c r="Y58" i="1"/>
  <c r="Y66" i="1"/>
  <c r="Y74" i="1"/>
  <c r="Y82" i="1"/>
  <c r="Y90" i="1"/>
  <c r="Y98" i="1"/>
  <c r="Y106" i="1"/>
  <c r="Y114" i="1"/>
  <c r="Y122" i="1"/>
  <c r="Y130" i="1"/>
  <c r="Y138" i="1"/>
  <c r="Y146" i="1"/>
  <c r="Y154" i="1"/>
  <c r="Y162" i="1"/>
  <c r="Y170" i="1"/>
  <c r="Y178" i="1"/>
  <c r="Y199" i="1"/>
  <c r="Y3" i="1"/>
  <c r="Y4" i="1"/>
  <c r="Y5" i="1"/>
  <c r="Y6" i="1"/>
  <c r="Y13" i="1"/>
  <c r="Y14" i="1"/>
  <c r="Y19" i="1"/>
  <c r="Y22" i="1"/>
  <c r="Y27" i="1"/>
  <c r="Y30" i="1"/>
  <c r="Y35" i="1"/>
  <c r="Y38" i="1"/>
  <c r="Y43" i="1"/>
  <c r="Y46" i="1"/>
  <c r="Y51" i="1"/>
  <c r="Y52" i="1"/>
  <c r="Y55" i="1"/>
  <c r="Y56" i="1"/>
  <c r="Y57" i="1"/>
  <c r="Y62" i="1"/>
  <c r="Y63" i="1"/>
  <c r="Y64" i="1"/>
  <c r="Y70" i="1"/>
  <c r="Y71" i="1"/>
  <c r="Y79" i="1"/>
  <c r="Y84" i="1"/>
  <c r="Y85" i="1"/>
  <c r="Y87" i="1"/>
  <c r="Y92" i="1"/>
  <c r="Y95" i="1"/>
  <c r="Y99" i="1"/>
  <c r="Y100" i="1"/>
  <c r="Y103" i="1"/>
  <c r="Y111" i="1"/>
  <c r="Y115" i="1"/>
  <c r="Y116" i="1"/>
  <c r="Y117" i="1"/>
  <c r="Y119" i="1"/>
  <c r="Y124" i="1"/>
  <c r="Y127" i="1"/>
  <c r="Y132" i="1"/>
  <c r="Y133" i="1"/>
  <c r="Y135" i="1"/>
  <c r="Y140" i="1"/>
  <c r="Y141" i="1"/>
  <c r="Y143" i="1"/>
  <c r="Y148" i="1"/>
  <c r="Y149" i="1"/>
  <c r="Y151" i="1"/>
  <c r="Y156" i="1"/>
  <c r="Y158" i="1"/>
  <c r="Y159" i="1"/>
  <c r="Y163" i="1"/>
  <c r="Y167" i="1"/>
  <c r="Y169" i="1"/>
  <c r="Y175" i="1"/>
  <c r="Y179" i="1"/>
  <c r="Y180" i="1"/>
  <c r="Y184" i="1"/>
  <c r="Y188" i="1"/>
  <c r="Y191" i="1"/>
  <c r="Y192" i="1"/>
  <c r="Y196" i="1"/>
  <c r="Y197" i="1"/>
  <c r="Y198" i="1"/>
  <c r="O11" i="1"/>
  <c r="O12" i="1"/>
  <c r="O13" i="1"/>
  <c r="O14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2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" i="1"/>
  <c r="O3" i="1"/>
  <c r="O4" i="1"/>
  <c r="O5" i="1"/>
  <c r="O6" i="1"/>
  <c r="O7" i="1"/>
  <c r="O8" i="1"/>
  <c r="O9" i="1"/>
  <c r="O10" i="1"/>
  <c r="V2" i="1"/>
  <c r="Y15" i="1" l="1"/>
  <c r="V15" i="1"/>
  <c r="Y11" i="1"/>
  <c r="V11" i="1"/>
  <c r="Y7" i="1"/>
  <c r="Y12" i="1"/>
  <c r="Y8" i="1"/>
  <c r="V8" i="1"/>
  <c r="Y194" i="1"/>
  <c r="Y190" i="1"/>
  <c r="Y186" i="1"/>
  <c r="Y182" i="1"/>
  <c r="Y173" i="1"/>
  <c r="Y165" i="1"/>
  <c r="Y161" i="1"/>
  <c r="Y153" i="1"/>
  <c r="Y145" i="1"/>
  <c r="Y137" i="1"/>
  <c r="Y129" i="1"/>
  <c r="Y125" i="1"/>
  <c r="Y121" i="1"/>
  <c r="Y113" i="1"/>
  <c r="Y109" i="1"/>
  <c r="Y105" i="1"/>
  <c r="Y97" i="1"/>
  <c r="Y93" i="1"/>
  <c r="Y89" i="1"/>
  <c r="Y81" i="1"/>
  <c r="Y77" i="1"/>
  <c r="Y73" i="1"/>
  <c r="Y69" i="1"/>
  <c r="Y65" i="1"/>
  <c r="Y61" i="1"/>
  <c r="Y53" i="1"/>
  <c r="Y40" i="1"/>
  <c r="Y36" i="1"/>
  <c r="Y32" i="1"/>
  <c r="Y24" i="1"/>
  <c r="Y20" i="1"/>
  <c r="Y16" i="1"/>
  <c r="Y189" i="1"/>
  <c r="Y187" i="1"/>
  <c r="Y183" i="1"/>
  <c r="J126" i="1"/>
  <c r="J125" i="1"/>
  <c r="K121" i="1"/>
  <c r="O121" i="1" s="1"/>
  <c r="K119" i="1" l="1"/>
  <c r="O119" i="1" s="1"/>
  <c r="K118" i="1"/>
  <c r="O118" i="1" s="1"/>
  <c r="U117" i="1"/>
  <c r="U115" i="1"/>
  <c r="J85" i="1" l="1"/>
  <c r="J80" i="1"/>
  <c r="K34" i="1" l="1"/>
  <c r="O34" i="1" s="1"/>
  <c r="K15" i="1"/>
  <c r="O15" i="1" s="1"/>
</calcChain>
</file>

<file path=xl/sharedStrings.xml><?xml version="1.0" encoding="utf-8"?>
<sst xmlns="http://schemas.openxmlformats.org/spreadsheetml/2006/main" count="851" uniqueCount="451">
  <si>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</si>
  <si>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</si>
  <si>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</si>
  <si>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</si>
  <si>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</si>
  <si>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</si>
  <si>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</si>
  <si>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</si>
  <si>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</si>
  <si>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</si>
  <si>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</si>
  <si>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</si>
  <si>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</si>
  <si>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</si>
  <si>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</si>
  <si>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</si>
  <si>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</si>
  <si>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</si>
  <si>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</si>
  <si>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</si>
  <si>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</si>
  <si>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</si>
  <si>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</si>
  <si>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</si>
  <si>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</si>
  <si>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</si>
  <si>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</si>
  <si>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</si>
  <si>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</si>
  <si>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</si>
  <si>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</si>
  <si>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</si>
  <si>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</si>
  <si>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</si>
  <si>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</si>
  <si>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</si>
  <si>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</si>
  <si>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</si>
  <si>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</si>
  <si>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</si>
  <si>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</si>
  <si>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</si>
  <si>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</si>
  <si>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</si>
  <si>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</si>
  <si>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</si>
  <si>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</si>
  <si>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</si>
  <si>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</si>
  <si>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</si>
  <si>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</si>
  <si>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</si>
  <si>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</si>
  <si>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</si>
  <si>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</si>
  <si>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</si>
  <si>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</si>
  <si>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</si>
  <si>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</si>
  <si>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</si>
  <si>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</si>
  <si>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</si>
  <si>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</si>
  <si>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</si>
  <si>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</si>
  <si>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</si>
  <si>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</si>
  <si>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</si>
  <si>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</si>
  <si>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</si>
  <si>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</si>
  <si>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</si>
  <si>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</si>
  <si>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</si>
  <si>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</si>
  <si>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</si>
  <si>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</si>
  <si>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</si>
  <si>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</si>
  <si>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</si>
  <si>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</si>
  <si>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</si>
  <si>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</si>
  <si>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</si>
  <si>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</si>
  <si>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</si>
  <si>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</si>
  <si>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</si>
  <si>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</si>
  <si>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</si>
  <si>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</si>
  <si>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</si>
  <si>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</si>
  <si>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</si>
  <si>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</si>
  <si>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</si>
  <si>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</si>
  <si>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</si>
  <si>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</si>
  <si>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</si>
  <si>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</si>
  <si>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</si>
  <si>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</si>
  <si>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</si>
  <si>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</si>
  <si>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</si>
  <si>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</si>
  <si>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</si>
  <si>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</si>
  <si>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</si>
  <si>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</si>
  <si>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</si>
  <si>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</si>
  <si>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</si>
  <si>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</si>
  <si>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</si>
  <si>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</si>
  <si>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</si>
  <si>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</si>
  <si>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</si>
  <si>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</si>
  <si>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</si>
  <si>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</si>
  <si>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</si>
  <si>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</si>
  <si>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</si>
  <si>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</si>
  <si>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</si>
  <si>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</si>
  <si>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</si>
  <si>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</si>
  <si>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</si>
  <si>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</si>
  <si>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</si>
  <si>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</si>
  <si>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</si>
  <si>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</si>
  <si>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</si>
  <si>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</si>
  <si>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</si>
  <si>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</si>
  <si>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</si>
  <si>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</si>
  <si>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</si>
  <si>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</si>
  <si>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</si>
  <si>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</si>
  <si>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</si>
  <si>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</si>
  <si>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</si>
  <si>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</si>
  <si>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</si>
  <si>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</si>
  <si>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</si>
  <si>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</si>
  <si>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</si>
  <si>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</si>
  <si>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</si>
  <si>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</si>
  <si>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</si>
  <si>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</si>
  <si>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</si>
  <si>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</si>
  <si>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</si>
  <si>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</si>
  <si>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</si>
  <si>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</si>
  <si>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</si>
  <si>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</si>
  <si>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</si>
  <si>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</si>
  <si>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</si>
  <si>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</si>
  <si>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</si>
  <si>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</si>
  <si>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</si>
  <si>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</si>
  <si>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</si>
  <si>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</si>
  <si>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</si>
  <si>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</si>
  <si>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</si>
  <si>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</si>
  <si>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</si>
  <si>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</si>
  <si>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</si>
  <si>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</si>
  <si>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</si>
  <si>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</si>
  <si>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</si>
  <si>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</si>
  <si>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</si>
  <si>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</si>
  <si>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</si>
  <si>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</si>
  <si>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</si>
  <si>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</si>
  <si>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</si>
  <si>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</si>
  <si>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</si>
  <si>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</si>
  <si>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</si>
  <si>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</si>
  <si>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</si>
  <si>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</si>
  <si>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</si>
  <si>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</si>
  <si>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</si>
  <si>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</si>
  <si>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</si>
  <si>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</si>
  <si>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</si>
  <si>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</si>
  <si>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</si>
  <si>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</si>
  <si>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</si>
  <si>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</si>
  <si>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</si>
  <si>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</si>
  <si>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</si>
  <si>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</si>
  <si>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</si>
  <si>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</si>
  <si>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</si>
  <si>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</si>
  <si>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</si>
  <si>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</si>
  <si>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</si>
  <si>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</si>
  <si>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</si>
  <si>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</si>
  <si>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</si>
  <si>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</si>
  <si>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</si>
  <si>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</si>
  <si>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</si>
  <si>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</si>
  <si>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</si>
  <si>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</si>
  <si>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</si>
  <si>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</si>
  <si>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lms_hughes_crab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</si>
  <si>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</si>
  <si>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</si>
  <si>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</si>
  <si>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</si>
  <si>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</si>
  <si>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</si>
  <si>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</si>
  <si>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</si>
  <si>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</si>
  <si>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</si>
  <si>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</si>
  <si>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</si>
  <si>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</si>
  <si>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</si>
  <si>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</si>
  <si>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</si>
  <si>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</si>
  <si>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</si>
  <si>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</si>
  <si>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</si>
  <si>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</si>
  <si>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</si>
  <si>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</si>
  <si>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</si>
  <si>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</si>
  <si>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</si>
  <si>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</si>
  <si>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</si>
  <si>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</si>
  <si>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</si>
  <si>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</si>
  <si>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</si>
  <si>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</si>
  <si>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</si>
  <si>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</si>
  <si>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</si>
  <si>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</si>
  <si>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</si>
  <si>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</si>
  <si>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</si>
  <si>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</si>
  <si>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</si>
  <si>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</si>
  <si>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</si>
  <si>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</si>
  <si>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</si>
  <si>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</si>
  <si>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</si>
  <si>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</si>
  <si>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</si>
  <si>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</si>
  <si>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</si>
  <si>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</si>
  <si>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</si>
  <si>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</si>
  <si>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</si>
  <si>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</si>
  <si>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</si>
  <si>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</si>
  <si>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</si>
  <si>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</si>
  <si>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</si>
  <si>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</si>
  <si>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</si>
  <si>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</si>
  <si>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</si>
  <si>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</si>
  <si>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</si>
  <si>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</si>
  <si>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</si>
  <si>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</si>
  <si>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</si>
  <si>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</si>
  <si>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</si>
  <si>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</si>
  <si>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</si>
  <si>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</si>
  <si>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</si>
  <si>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</si>
  <si>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</si>
  <si>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</si>
  <si>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</si>
  <si>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</si>
  <si>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</si>
  <si>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</si>
  <si>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</si>
  <si>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</si>
  <si>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</si>
  <si>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</si>
  <si>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</si>
  <si>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</si>
  <si>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</si>
  <si>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</si>
  <si>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</si>
  <si>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</si>
  <si>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</si>
  <si>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</si>
  <si>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</si>
  <si>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</si>
  <si>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</si>
  <si>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</si>
  <si>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</si>
  <si>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</si>
  <si>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</si>
  <si>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</si>
  <si>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</si>
  <si>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</si>
  <si>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</si>
  <si>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</si>
  <si>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</si>
  <si>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</si>
  <si>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</si>
  <si>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</si>
  <si>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</si>
  <si>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</si>
  <si>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</si>
  <si>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</si>
  <si>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</si>
  <si>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</si>
  <si>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</si>
  <si>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</si>
  <si>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</si>
  <si>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</si>
  <si>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</si>
  <si>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</si>
  <si>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</si>
  <si>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</si>
  <si>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</si>
  <si>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</si>
  <si>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</si>
  <si>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</si>
  <si>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</si>
  <si>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</si>
  <si>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</si>
  <si>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</si>
  <si>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</si>
  <si>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</si>
  <si>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</si>
  <si>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</si>
  <si>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</si>
  <si>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</si>
  <si>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</si>
  <si>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</si>
  <si>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</si>
  <si>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</si>
  <si>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</si>
  <si>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</si>
  <si>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</si>
  <si>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</si>
  <si>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</si>
  <si>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</si>
  <si>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</si>
  <si>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</si>
  <si>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</si>
  <si>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</si>
  <si>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</si>
  <si>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</si>
  <si>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</si>
  <si>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</si>
  <si>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</si>
  <si>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</si>
  <si>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</si>
  <si>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</si>
  <si>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</si>
  <si>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</si>
  <si>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</si>
  <si>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</si>
  <si>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</si>
  <si>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</si>
  <si>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</si>
  <si>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</si>
  <si>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</si>
  <si>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</si>
  <si>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</si>
  <si>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</si>
  <si>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</si>
  <si>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</si>
  <si>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</si>
  <si>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</si>
  <si>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</si>
  <si>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</si>
  <si>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</si>
  <si>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</si>
  <si>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</si>
  <si>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</si>
  <si>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</si>
  <si>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</si>
  <si>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</si>
  <si>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</si>
  <si>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</si>
  <si>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</si>
  <si>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</si>
  <si>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</si>
  <si>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</si>
  <si>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</si>
  <si>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</si>
  <si>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</si>
  <si>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</si>
  <si>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</si>
  <si>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</si>
  <si>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</si>
  <si>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</si>
  <si>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SAAN</t>
  </si>
  <si>
    <t>GOOD</t>
  </si>
  <si>
    <t>stanier_jubilee</t>
  </si>
  <si>
    <t>stanier_class_5</t>
  </si>
  <si>
    <t>stanier_tender</t>
  </si>
  <si>
    <t>LMS Stanier Tender</t>
  </si>
  <si>
    <t>tender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</si>
</sst>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199"/>
  <sheetViews>
    <sheetView tabSelected="1" workbookViewId="0">
      <pane xSplit="1" ySplit="1" topLeftCell="B38" activePane="bottomRight" state="frozenSplit"/>
      <selection pane="topRight" activeCell="B1" sqref="B1"/>
      <selection pane="bottomLeft" activeCell="A2" sqref="A2"/>
      <selection pane="bottomRight" activeCell="E50" sqref="E50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428</v>
      </c>
      <c r="E1" s="1" t="s">
        <v>431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434</v>
      </c>
      <c r="N1" s="1" t="s">
        <v>209</v>
      </c>
      <c r="O1" s="3" t="s">
        <v>422</v>
      </c>
      <c r="P1" s="1" t="s">
        <v>210</v>
      </c>
      <c r="Q1" s="1" t="s">
        <v>211</v>
      </c>
      <c r="R1" s="1" t="s">
        <v>443</v>
      </c>
      <c r="S1" s="1" t="s">
        <v>384</v>
      </c>
      <c r="T1" s="1" t="s">
        <v>212</v>
      </c>
      <c r="U1" s="1" t="s">
        <v>421</v>
      </c>
      <c r="V1" s="1" t="s">
        <v>201</v>
      </c>
      <c r="W1" s="1" t="s">
        <v>426</v>
      </c>
      <c r="X1" s="1" t="s">
        <v>450</v>
      </c>
      <c r="Y1" s="1" t="s">
        <v>385</v>
      </c>
      <c r="Z1" s="1" t="s">
        <v>427</v>
      </c>
      <c r="AA1" s="1" t="s">
        <v>435</v>
      </c>
      <c r="AB1" s="1" t="s">
        <v>436</v>
      </c>
      <c r="AC1" s="1" t="s">
        <v>440</v>
      </c>
    </row>
    <row r="2" spans="1:29" x14ac:dyDescent="0.25">
      <c r="A2" t="s">
        <v>195</v>
      </c>
      <c r="B2" t="s">
        <v>338</v>
      </c>
      <c r="C2" t="s">
        <v>213</v>
      </c>
      <c r="E2" t="s">
        <v>433</v>
      </c>
      <c r="F2">
        <v>1802</v>
      </c>
      <c r="K2">
        <v>5</v>
      </c>
      <c r="O2" s="4" t="str">
        <f t="shared" ref="O2:O9" si="0">IF(AND(K2&gt;0,N2&gt;0),(N2/(K2*10)),"")</f>
        <v/>
      </c>
      <c r="P2">
        <v>5</v>
      </c>
      <c r="V2" t="str">
        <f>CONCATENATE(INT(Q2*10),"x",INT(S2*15), "x", INT(T2*15))</f>
        <v>0x0x0</v>
      </c>
      <c r="W2">
        <f>CEILING((Q2/56)*32,1)</f>
        <v>0</v>
      </c>
      <c r="Y2" t="str">
        <f>VLOOKUP(W2,'Articulated Lengths'!$A$2:$B$16, 2, FALSE)</f>
        <v>na</v>
      </c>
      <c r="AA2">
        <v>10</v>
      </c>
      <c r="AB2">
        <v>10</v>
      </c>
    </row>
    <row r="3" spans="1:29" x14ac:dyDescent="0.25">
      <c r="A3" t="s">
        <v>0</v>
      </c>
      <c r="B3" t="s">
        <v>214</v>
      </c>
      <c r="C3" t="s">
        <v>213</v>
      </c>
      <c r="E3" t="s">
        <v>432</v>
      </c>
      <c r="F3">
        <v>1812</v>
      </c>
      <c r="K3">
        <v>5</v>
      </c>
      <c r="O3" s="4" t="str">
        <f t="shared" si="0"/>
        <v/>
      </c>
      <c r="V3" t="str">
        <f>CONCATENATE(INT(W3*17),"x",INT(S3*15), "x", INT(T3*15))</f>
        <v>0x0x0</v>
      </c>
      <c r="W3">
        <f>CEILING((Q3/56)*32,1)</f>
        <v>0</v>
      </c>
      <c r="Y3" t="str">
        <f>VLOOKUP(W3,'Articulated Lengths'!$A$2:$B$16, 2, FALSE)</f>
        <v>na</v>
      </c>
      <c r="AA3">
        <v>10</v>
      </c>
      <c r="AB3">
        <v>10</v>
      </c>
    </row>
    <row r="4" spans="1:29" x14ac:dyDescent="0.25">
      <c r="A4" t="s">
        <v>1</v>
      </c>
      <c r="B4" t="s">
        <v>215</v>
      </c>
      <c r="C4" t="s">
        <v>213</v>
      </c>
      <c r="E4" t="s">
        <v>432</v>
      </c>
      <c r="F4">
        <v>1825</v>
      </c>
      <c r="K4">
        <v>7</v>
      </c>
      <c r="N4">
        <v>8.5</v>
      </c>
      <c r="O4" s="4">
        <f t="shared" si="0"/>
        <v>0.12142857142857143</v>
      </c>
      <c r="P4">
        <v>15</v>
      </c>
      <c r="V4" t="str">
        <f>CONCATENATE(INT(W4*17),"x",INT(S4*15), "x", INT(T4*15))</f>
        <v>0x0x0</v>
      </c>
      <c r="W4">
        <f>CEILING((Q4/56)*32,1)</f>
        <v>0</v>
      </c>
      <c r="Y4" t="str">
        <f>VLOOKUP(W4,'Articulated Lengths'!$A$2:$B$16, 2, FALSE)</f>
        <v>na</v>
      </c>
      <c r="AA4">
        <v>10</v>
      </c>
      <c r="AB4">
        <v>10</v>
      </c>
    </row>
    <row r="5" spans="1:29" x14ac:dyDescent="0.25">
      <c r="A5" t="s">
        <v>2</v>
      </c>
      <c r="B5" t="s">
        <v>216</v>
      </c>
      <c r="C5" t="s">
        <v>213</v>
      </c>
      <c r="E5" t="s">
        <v>432</v>
      </c>
      <c r="F5">
        <v>1830</v>
      </c>
      <c r="K5">
        <v>4.3</v>
      </c>
      <c r="O5" s="4" t="str">
        <f t="shared" si="0"/>
        <v/>
      </c>
      <c r="V5" t="str">
        <f>CONCATENATE(INT(W5*17),"x",INT(S5*15), "x", INT(T5*15))</f>
        <v>0x0x0</v>
      </c>
      <c r="W5">
        <f>CEILING((Q5/56)*32,1)</f>
        <v>0</v>
      </c>
      <c r="Y5" t="str">
        <f>VLOOKUP(W5,'Articulated Lengths'!$A$2:$B$16, 2, FALSE)</f>
        <v>na</v>
      </c>
      <c r="AA5">
        <v>10</v>
      </c>
      <c r="AB5">
        <v>10</v>
      </c>
    </row>
    <row r="6" spans="1:29" x14ac:dyDescent="0.25">
      <c r="A6" t="s">
        <v>187</v>
      </c>
      <c r="B6" t="s">
        <v>339</v>
      </c>
      <c r="C6" t="s">
        <v>213</v>
      </c>
      <c r="E6" t="s">
        <v>432</v>
      </c>
      <c r="F6">
        <v>1838</v>
      </c>
      <c r="N6">
        <v>9.6</v>
      </c>
      <c r="O6" s="4" t="str">
        <f t="shared" si="0"/>
        <v/>
      </c>
      <c r="P6">
        <v>45</v>
      </c>
      <c r="V6" t="str">
        <f>CONCATENATE(INT(W6*17),"x",INT(S6*15), "x", INT(T6*15))</f>
        <v>0x0x0</v>
      </c>
      <c r="W6">
        <f>CEILING((Q6/57)*32,1)</f>
        <v>0</v>
      </c>
      <c r="Y6" t="str">
        <f>VLOOKUP(W6,'Articulated Lengths'!$A$2:$B$16, 2, FALSE)</f>
        <v>na</v>
      </c>
      <c r="AA6">
        <v>10</v>
      </c>
      <c r="AB6">
        <v>10</v>
      </c>
    </row>
    <row r="7" spans="1:29" x14ac:dyDescent="0.25">
      <c r="A7" t="s">
        <v>188</v>
      </c>
      <c r="B7" t="s">
        <v>340</v>
      </c>
      <c r="C7" t="s">
        <v>213</v>
      </c>
      <c r="E7" t="s">
        <v>432</v>
      </c>
      <c r="F7">
        <v>1838</v>
      </c>
      <c r="O7" s="4" t="str">
        <f t="shared" si="0"/>
        <v/>
      </c>
      <c r="V7" t="str">
        <f>CONCATENATE(INT(W7*17),"x",INT(S7*15), "x", INT(T7*15))</f>
        <v>0x0x0</v>
      </c>
      <c r="W7">
        <f>CEILING((Q7/57)*32,1)</f>
        <v>0</v>
      </c>
      <c r="Y7" t="str">
        <f>VLOOKUP(W7,'Articulated Lengths'!$A$2:$B$16, 2, FALSE)</f>
        <v>na</v>
      </c>
      <c r="AA7">
        <v>10</v>
      </c>
      <c r="AB7">
        <v>10</v>
      </c>
    </row>
    <row r="8" spans="1:29" x14ac:dyDescent="0.25">
      <c r="A8" t="s">
        <v>3</v>
      </c>
      <c r="B8" t="s">
        <v>217</v>
      </c>
      <c r="C8" t="s">
        <v>213</v>
      </c>
      <c r="E8" t="s">
        <v>432</v>
      </c>
      <c r="F8">
        <v>1846</v>
      </c>
      <c r="K8">
        <v>19</v>
      </c>
      <c r="N8">
        <v>34</v>
      </c>
      <c r="O8" s="4">
        <f t="shared" si="0"/>
        <v>0.17894736842105263</v>
      </c>
      <c r="V8" t="str">
        <f>CONCATENATE(INT(W8*17),"x",INT(S8*15), "x", INT(T8*15))</f>
        <v>0x0x0</v>
      </c>
      <c r="W8">
        <f>CEILING((Q8/57)*32,1)</f>
        <v>0</v>
      </c>
      <c r="Y8" t="str">
        <f>VLOOKUP(W8,'Articulated Lengths'!$A$2:$B$16, 2, FALSE)</f>
        <v>na</v>
      </c>
      <c r="AA8">
        <v>10</v>
      </c>
      <c r="AB8">
        <v>10</v>
      </c>
    </row>
    <row r="9" spans="1:29" x14ac:dyDescent="0.25">
      <c r="A9" t="s">
        <v>6</v>
      </c>
      <c r="B9" t="s">
        <v>341</v>
      </c>
      <c r="C9" t="s">
        <v>213</v>
      </c>
      <c r="E9" t="s">
        <v>432</v>
      </c>
      <c r="F9">
        <v>1846</v>
      </c>
      <c r="K9">
        <v>42</v>
      </c>
      <c r="O9" s="4" t="str">
        <f t="shared" si="0"/>
        <v/>
      </c>
      <c r="Q9">
        <v>6</v>
      </c>
      <c r="R9">
        <v>6</v>
      </c>
      <c r="V9" t="str">
        <f>CONCATENATE(INT(W9*17),"x",INT(S9*15), "x", INT(T9*15))</f>
        <v>68x0x0</v>
      </c>
      <c r="W9">
        <f>CEILING((Q9/57)*32,1)</f>
        <v>4</v>
      </c>
      <c r="Y9" t="str">
        <f>VLOOKUP(W9,'Articulated Lengths'!$A$2:$B$16, 2, FALSE)</f>
        <v>1,2,1</v>
      </c>
      <c r="AA9">
        <v>10</v>
      </c>
      <c r="AB9">
        <v>10</v>
      </c>
    </row>
    <row r="10" spans="1:29" x14ac:dyDescent="0.25">
      <c r="A10" t="s">
        <v>4</v>
      </c>
      <c r="B10" t="s">
        <v>218</v>
      </c>
      <c r="C10" t="s">
        <v>213</v>
      </c>
      <c r="E10" t="s">
        <v>432</v>
      </c>
      <c r="F10">
        <v>1847</v>
      </c>
      <c r="O10" s="4" t="str">
        <f>IF(AND(K10&gt;0,N10&gt;0),(N10/(K10*10)),"")</f>
        <v/>
      </c>
      <c r="P10">
        <v>60</v>
      </c>
      <c r="V10" t="str">
        <f>CONCATENATE(INT(W10*17),"x",INT(S10*15), "x", INT(T10*15))</f>
        <v>0x0x0</v>
      </c>
      <c r="W10">
        <f>CEILING((Q10/57)*32,1)</f>
        <v>0</v>
      </c>
      <c r="Y10" t="str">
        <f>VLOOKUP(W10,'Articulated Lengths'!$A$2:$B$16, 2, FALSE)</f>
        <v>na</v>
      </c>
      <c r="AA10">
        <v>10</v>
      </c>
      <c r="AB10">
        <v>10</v>
      </c>
    </row>
    <row r="11" spans="1:29" x14ac:dyDescent="0.25">
      <c r="A11" t="s">
        <v>5</v>
      </c>
      <c r="B11" t="s">
        <v>219</v>
      </c>
      <c r="C11" t="s">
        <v>213</v>
      </c>
      <c r="E11" t="s">
        <v>432</v>
      </c>
      <c r="F11">
        <v>1852</v>
      </c>
      <c r="K11">
        <v>64</v>
      </c>
      <c r="N11">
        <v>65</v>
      </c>
      <c r="O11" s="4">
        <f t="shared" ref="O11:O75" si="1">IF(AND(K11&gt;0,N11&gt;0),(N11/(K11*10)),"")</f>
        <v>0.1015625</v>
      </c>
      <c r="V11" t="str">
        <f>CONCATENATE(INT(W11*17),"x",INT(S11*15), "x", INT(T11*15))</f>
        <v>0x0x0</v>
      </c>
      <c r="W11">
        <f>CEILING((Q11/57)*32,1)</f>
        <v>0</v>
      </c>
      <c r="Y11" t="str">
        <f>VLOOKUP(W11,'Articulated Lengths'!$A$2:$B$16, 2, FALSE)</f>
        <v>na</v>
      </c>
      <c r="AA11">
        <v>10</v>
      </c>
      <c r="AB11">
        <v>10</v>
      </c>
    </row>
    <row r="12" spans="1:29" x14ac:dyDescent="0.25">
      <c r="A12" t="s">
        <v>7</v>
      </c>
      <c r="B12" t="s">
        <v>342</v>
      </c>
      <c r="C12" t="s">
        <v>213</v>
      </c>
      <c r="E12" t="s">
        <v>432</v>
      </c>
      <c r="F12">
        <v>1859</v>
      </c>
      <c r="K12">
        <v>27.4</v>
      </c>
      <c r="O12" s="4" t="str">
        <f t="shared" si="1"/>
        <v/>
      </c>
      <c r="P12">
        <v>70</v>
      </c>
      <c r="V12" t="str">
        <f>CONCATENATE(INT(W12*17),"x",INT(S12*15), "x", INT(T12*15))</f>
        <v>0x0x0</v>
      </c>
      <c r="W12">
        <f>CEILING((Q12/57)*32,1)</f>
        <v>0</v>
      </c>
      <c r="Y12" t="str">
        <f>VLOOKUP(W12,'Articulated Lengths'!$A$2:$B$16, 2, FALSE)</f>
        <v>na</v>
      </c>
      <c r="AA12">
        <v>10</v>
      </c>
      <c r="AB12">
        <v>10</v>
      </c>
    </row>
    <row r="13" spans="1:29" x14ac:dyDescent="0.25">
      <c r="A13" t="s">
        <v>23</v>
      </c>
      <c r="B13" t="s">
        <v>220</v>
      </c>
      <c r="C13" t="s">
        <v>213</v>
      </c>
      <c r="E13" t="s">
        <v>432</v>
      </c>
      <c r="F13">
        <v>1868</v>
      </c>
      <c r="K13">
        <v>35.799999999999997</v>
      </c>
      <c r="N13">
        <v>65</v>
      </c>
      <c r="O13" s="4">
        <f t="shared" si="1"/>
        <v>0.18156424581005587</v>
      </c>
      <c r="Q13">
        <v>8.65</v>
      </c>
      <c r="R13">
        <v>8.65</v>
      </c>
      <c r="T13">
        <v>3.7</v>
      </c>
      <c r="V13" t="str">
        <f>CONCATENATE(INT(W13*17),"x",INT(S13*15), "x", INT(T13*15))</f>
        <v>85x0x55</v>
      </c>
      <c r="W13">
        <f>CEILING((Q13/57)*32,1)</f>
        <v>5</v>
      </c>
      <c r="Y13" t="str">
        <f>VLOOKUP(W13,'Articulated Lengths'!$A$2:$B$16, 2, FALSE)</f>
        <v>1,3,1</v>
      </c>
      <c r="AA13">
        <v>10</v>
      </c>
      <c r="AB13">
        <v>10</v>
      </c>
    </row>
    <row r="14" spans="1:29" x14ac:dyDescent="0.25">
      <c r="A14" t="s">
        <v>56</v>
      </c>
      <c r="B14" t="s">
        <v>343</v>
      </c>
      <c r="C14" t="s">
        <v>213</v>
      </c>
      <c r="E14" t="s">
        <v>432</v>
      </c>
      <c r="F14">
        <v>1872</v>
      </c>
      <c r="G14">
        <v>1880</v>
      </c>
      <c r="K14">
        <v>28</v>
      </c>
      <c r="N14">
        <v>34</v>
      </c>
      <c r="O14" s="4">
        <f t="shared" si="1"/>
        <v>0.12142857142857143</v>
      </c>
      <c r="P14">
        <v>45</v>
      </c>
      <c r="Q14">
        <v>7.94</v>
      </c>
      <c r="R14">
        <v>7.94</v>
      </c>
      <c r="V14" t="str">
        <f>CONCATENATE(INT(W14*17),"x",INT(S14*15), "x", INT(T14*15))</f>
        <v>85x0x0</v>
      </c>
      <c r="W14">
        <f>CEILING((Q14/57)*32,1)</f>
        <v>5</v>
      </c>
      <c r="Y14" t="str">
        <f>VLOOKUP(W14,'Articulated Lengths'!$A$2:$B$16, 2, FALSE)</f>
        <v>1,3,1</v>
      </c>
      <c r="AA14">
        <v>10</v>
      </c>
      <c r="AB14">
        <v>10</v>
      </c>
    </row>
    <row r="15" spans="1:29" x14ac:dyDescent="0.25">
      <c r="A15" t="s">
        <v>9</v>
      </c>
      <c r="B15" t="s">
        <v>221</v>
      </c>
      <c r="C15" t="s">
        <v>213</v>
      </c>
      <c r="E15" t="s">
        <v>432</v>
      </c>
      <c r="F15">
        <v>1883</v>
      </c>
      <c r="K15">
        <f>41.6+34.3</f>
        <v>75.900000000000006</v>
      </c>
      <c r="N15">
        <v>75.400000000000006</v>
      </c>
      <c r="O15" s="4">
        <f t="shared" si="1"/>
        <v>9.9341238471673268E-2</v>
      </c>
      <c r="V15" t="str">
        <f>CONCATENATE(INT(W15*17),"x",INT(S15*15), "x", INT(T15*15))</f>
        <v>0x0x0</v>
      </c>
      <c r="W15">
        <f>CEILING((Q15/57)*32,1)</f>
        <v>0</v>
      </c>
      <c r="Y15" t="str">
        <f>VLOOKUP(W15,'Articulated Lengths'!$A$2:$B$16, 2, FALSE)</f>
        <v>na</v>
      </c>
      <c r="AA15">
        <v>10</v>
      </c>
      <c r="AB15">
        <v>10</v>
      </c>
    </row>
    <row r="16" spans="1:29" x14ac:dyDescent="0.25">
      <c r="A16" t="s">
        <v>189</v>
      </c>
      <c r="B16" t="s">
        <v>222</v>
      </c>
      <c r="C16" t="s">
        <v>213</v>
      </c>
      <c r="E16" t="s">
        <v>432</v>
      </c>
      <c r="F16">
        <v>1883</v>
      </c>
      <c r="K16">
        <v>41.2</v>
      </c>
      <c r="N16">
        <v>76</v>
      </c>
      <c r="O16" s="4">
        <f t="shared" si="1"/>
        <v>0.18446601941747573</v>
      </c>
      <c r="Q16">
        <v>14.4</v>
      </c>
      <c r="R16">
        <v>14.4</v>
      </c>
      <c r="V16" t="str">
        <f>CONCATENATE(INT(W16*17),"x",INT(S16*15), "x", INT(T16*15))</f>
        <v>153x0x0</v>
      </c>
      <c r="W16">
        <f>CEILING((Q16/57)*32,1)</f>
        <v>9</v>
      </c>
      <c r="Y16" t="str">
        <f>VLOOKUP(W16,'Articulated Lengths'!$A$2:$B$16, 2, FALSE)</f>
        <v>2,5,2</v>
      </c>
      <c r="AA16">
        <v>10</v>
      </c>
      <c r="AB16">
        <v>10</v>
      </c>
    </row>
    <row r="17" spans="1:28" x14ac:dyDescent="0.25">
      <c r="A17" t="s">
        <v>17</v>
      </c>
      <c r="B17" t="s">
        <v>223</v>
      </c>
      <c r="C17" t="s">
        <v>213</v>
      </c>
      <c r="E17" t="s">
        <v>432</v>
      </c>
      <c r="F17">
        <v>1888</v>
      </c>
      <c r="K17">
        <v>42.6</v>
      </c>
      <c r="N17">
        <v>88</v>
      </c>
      <c r="O17" s="4">
        <f t="shared" si="1"/>
        <v>0.20657276995305165</v>
      </c>
      <c r="Q17">
        <v>14.99</v>
      </c>
      <c r="R17">
        <v>14.99</v>
      </c>
      <c r="V17" t="str">
        <f>CONCATENATE(INT(W17*17),"x",INT(S17*15), "x", INT(T17*15))</f>
        <v>153x0x0</v>
      </c>
      <c r="W17">
        <f>CEILING((Q17/57)*32,1)</f>
        <v>9</v>
      </c>
      <c r="Y17" t="str">
        <f>VLOOKUP(W17,'Articulated Lengths'!$A$2:$B$16, 2, FALSE)</f>
        <v>2,5,2</v>
      </c>
      <c r="AA17">
        <v>10</v>
      </c>
      <c r="AB17">
        <v>10</v>
      </c>
    </row>
    <row r="18" spans="1:28" x14ac:dyDescent="0.25">
      <c r="A18" t="s">
        <v>8</v>
      </c>
      <c r="B18" t="s">
        <v>224</v>
      </c>
      <c r="C18" t="s">
        <v>213</v>
      </c>
      <c r="E18" t="s">
        <v>432</v>
      </c>
      <c r="F18">
        <v>1891</v>
      </c>
      <c r="O18" s="4" t="str">
        <f t="shared" si="1"/>
        <v/>
      </c>
      <c r="V18" t="str">
        <f>CONCATENATE(INT(W18*17),"x",INT(S18*15), "x", INT(T18*15))</f>
        <v>0x0x0</v>
      </c>
      <c r="W18">
        <f t="shared" ref="W18:W82" si="2">CEILING((R18/57)*32,1)</f>
        <v>0</v>
      </c>
      <c r="Y18" t="str">
        <f>VLOOKUP(W18,'Articulated Lengths'!$A$2:$B$16, 2, FALSE)</f>
        <v>na</v>
      </c>
      <c r="AA18">
        <v>10</v>
      </c>
      <c r="AB18">
        <v>10</v>
      </c>
    </row>
    <row r="19" spans="1:28" x14ac:dyDescent="0.25">
      <c r="A19" t="s">
        <v>19</v>
      </c>
      <c r="B19" t="s">
        <v>379</v>
      </c>
      <c r="C19" t="s">
        <v>213</v>
      </c>
      <c r="E19" t="s">
        <v>432</v>
      </c>
      <c r="F19">
        <v>1896</v>
      </c>
      <c r="K19">
        <v>48</v>
      </c>
      <c r="N19">
        <v>68</v>
      </c>
      <c r="O19" s="4">
        <f t="shared" si="1"/>
        <v>0.14166666666666666</v>
      </c>
      <c r="P19">
        <v>90</v>
      </c>
      <c r="V19" t="str">
        <f>CONCATENATE(INT(W19*17),"x",INT(S19*15), "x", INT(T19*15))</f>
        <v>0x0x0</v>
      </c>
      <c r="W19">
        <f t="shared" si="2"/>
        <v>0</v>
      </c>
      <c r="Y19" t="str">
        <f>VLOOKUP(W19,'Articulated Lengths'!$A$2:$B$16, 2, FALSE)</f>
        <v>na</v>
      </c>
      <c r="AA19">
        <v>10</v>
      </c>
      <c r="AB19">
        <v>10</v>
      </c>
    </row>
    <row r="20" spans="1:28" x14ac:dyDescent="0.25">
      <c r="A20" t="s">
        <v>197</v>
      </c>
      <c r="B20" t="s">
        <v>225</v>
      </c>
      <c r="C20" t="s">
        <v>213</v>
      </c>
      <c r="E20" t="s">
        <v>432</v>
      </c>
      <c r="F20">
        <v>1897</v>
      </c>
      <c r="G20">
        <v>1911</v>
      </c>
      <c r="N20">
        <v>87</v>
      </c>
      <c r="O20" s="4" t="str">
        <f t="shared" si="1"/>
        <v/>
      </c>
      <c r="Q20">
        <v>10.5</v>
      </c>
      <c r="R20">
        <v>10.5</v>
      </c>
      <c r="V20" t="str">
        <f>CONCATENATE(INT(W20*17),"x",INT(S20*15), "x", INT(T20*15))</f>
        <v>102x0x0</v>
      </c>
      <c r="W20">
        <f t="shared" si="2"/>
        <v>6</v>
      </c>
      <c r="Y20" t="str">
        <f>VLOOKUP(W20,'Articulated Lengths'!$A$2:$B$16, 2, FALSE)</f>
        <v>2,3,2</v>
      </c>
      <c r="AA20">
        <v>10</v>
      </c>
      <c r="AB20">
        <v>10</v>
      </c>
    </row>
    <row r="21" spans="1:28" x14ac:dyDescent="0.25">
      <c r="A21" t="s">
        <v>13</v>
      </c>
      <c r="B21" t="s">
        <v>378</v>
      </c>
      <c r="C21" t="s">
        <v>213</v>
      </c>
      <c r="E21" t="s">
        <v>432</v>
      </c>
      <c r="F21">
        <v>1899</v>
      </c>
      <c r="O21" s="4" t="str">
        <f t="shared" si="1"/>
        <v/>
      </c>
      <c r="V21" t="str">
        <f>CONCATENATE(INT(W21*17),"x",INT(S21*15), "x", INT(T21*15))</f>
        <v>0x0x0</v>
      </c>
      <c r="W21">
        <f t="shared" si="2"/>
        <v>0</v>
      </c>
      <c r="Y21" t="str">
        <f>VLOOKUP(W21,'Articulated Lengths'!$A$2:$B$16, 2, FALSE)</f>
        <v>na</v>
      </c>
      <c r="AA21">
        <v>10</v>
      </c>
      <c r="AB21">
        <v>10</v>
      </c>
    </row>
    <row r="22" spans="1:28" x14ac:dyDescent="0.25">
      <c r="A22" t="s">
        <v>18</v>
      </c>
      <c r="B22" t="s">
        <v>377</v>
      </c>
      <c r="C22" t="s">
        <v>213</v>
      </c>
      <c r="E22" t="s">
        <v>432</v>
      </c>
      <c r="F22">
        <v>1902</v>
      </c>
      <c r="N22">
        <v>97</v>
      </c>
      <c r="O22" s="4" t="str">
        <f t="shared" si="1"/>
        <v/>
      </c>
      <c r="V22" t="str">
        <f>CONCATENATE(INT(W22*17),"x",INT(S22*15), "x", INT(T22*15))</f>
        <v>0x0x0</v>
      </c>
      <c r="W22">
        <f t="shared" si="2"/>
        <v>0</v>
      </c>
      <c r="Y22" t="str">
        <f>VLOOKUP(W22,'Articulated Lengths'!$A$2:$B$16, 2, FALSE)</f>
        <v>na</v>
      </c>
      <c r="AA22">
        <v>10</v>
      </c>
      <c r="AB22">
        <v>10</v>
      </c>
    </row>
    <row r="23" spans="1:28" x14ac:dyDescent="0.25">
      <c r="A23" t="s">
        <v>85</v>
      </c>
      <c r="B23" t="s">
        <v>226</v>
      </c>
      <c r="C23" t="s">
        <v>213</v>
      </c>
      <c r="E23" t="s">
        <v>432</v>
      </c>
      <c r="F23">
        <v>1903</v>
      </c>
      <c r="G23">
        <v>1904</v>
      </c>
      <c r="J23">
        <v>640</v>
      </c>
      <c r="K23">
        <v>57</v>
      </c>
      <c r="N23">
        <v>111</v>
      </c>
      <c r="O23" s="4">
        <f t="shared" si="1"/>
        <v>0.19473684210526315</v>
      </c>
      <c r="P23">
        <v>27</v>
      </c>
      <c r="Q23">
        <v>11.56</v>
      </c>
      <c r="R23">
        <v>11.56</v>
      </c>
      <c r="T23">
        <v>3.93</v>
      </c>
      <c r="V23" t="str">
        <f>CONCATENATE(INT(W23*17),"x",INT(S23*15), "x", INT(T23*15))</f>
        <v>119x0x58</v>
      </c>
      <c r="W23">
        <f t="shared" si="2"/>
        <v>7</v>
      </c>
      <c r="Y23" t="str">
        <f>VLOOKUP(W23,'Articulated Lengths'!$A$2:$B$16, 2, FALSE)</f>
        <v>2,3,2</v>
      </c>
      <c r="AA23">
        <v>10</v>
      </c>
      <c r="AB23">
        <v>10</v>
      </c>
    </row>
    <row r="24" spans="1:28" x14ac:dyDescent="0.25">
      <c r="A24" t="s">
        <v>194</v>
      </c>
      <c r="B24" t="s">
        <v>227</v>
      </c>
      <c r="C24" t="s">
        <v>213</v>
      </c>
      <c r="E24" t="s">
        <v>432</v>
      </c>
      <c r="F24">
        <v>1903</v>
      </c>
      <c r="O24" s="4" t="str">
        <f t="shared" si="1"/>
        <v/>
      </c>
      <c r="V24" t="str">
        <f>CONCATENATE(INT(W24*17),"x",INT(S24*15), "x", INT(T24*15))</f>
        <v>0x0x0</v>
      </c>
      <c r="W24">
        <f t="shared" si="2"/>
        <v>0</v>
      </c>
      <c r="Y24" t="str">
        <f>VLOOKUP(W24,'Articulated Lengths'!$A$2:$B$16, 2, FALSE)</f>
        <v>na</v>
      </c>
      <c r="AA24">
        <v>10</v>
      </c>
      <c r="AB24">
        <v>10</v>
      </c>
    </row>
    <row r="25" spans="1:28" x14ac:dyDescent="0.25">
      <c r="A25" t="s">
        <v>20</v>
      </c>
      <c r="B25" t="s">
        <v>228</v>
      </c>
      <c r="C25" t="s">
        <v>213</v>
      </c>
      <c r="E25" t="s">
        <v>432</v>
      </c>
      <c r="F25">
        <v>1904</v>
      </c>
      <c r="K25">
        <v>55</v>
      </c>
      <c r="N25">
        <v>77</v>
      </c>
      <c r="O25" s="4">
        <f t="shared" si="1"/>
        <v>0.14000000000000001</v>
      </c>
      <c r="Q25">
        <v>10.02</v>
      </c>
      <c r="R25">
        <v>10.02</v>
      </c>
      <c r="V25" t="str">
        <f>CONCATENATE(INT(W25*17),"x",INT(S25*15), "x", INT(T25*15))</f>
        <v>102x0x0</v>
      </c>
      <c r="W25">
        <f t="shared" si="2"/>
        <v>6</v>
      </c>
      <c r="Y25" t="str">
        <f>VLOOKUP(W25,'Articulated Lengths'!$A$2:$B$16, 2, FALSE)</f>
        <v>2,3,2</v>
      </c>
      <c r="AA25">
        <v>10</v>
      </c>
      <c r="AB25">
        <v>10</v>
      </c>
    </row>
    <row r="26" spans="1:28" x14ac:dyDescent="0.25">
      <c r="A26" t="s">
        <v>25</v>
      </c>
      <c r="B26" t="s">
        <v>229</v>
      </c>
      <c r="C26" t="s">
        <v>213</v>
      </c>
      <c r="E26" t="s">
        <v>432</v>
      </c>
      <c r="F26">
        <v>1904</v>
      </c>
      <c r="G26">
        <v>1914</v>
      </c>
      <c r="K26">
        <v>63.4</v>
      </c>
      <c r="N26">
        <v>95</v>
      </c>
      <c r="O26" s="4">
        <f t="shared" si="1"/>
        <v>0.14984227129337541</v>
      </c>
      <c r="V26" t="str">
        <f>CONCATENATE(INT(W26*17),"x",INT(S26*15), "x", INT(T26*15))</f>
        <v>0x0x0</v>
      </c>
      <c r="W26">
        <f t="shared" si="2"/>
        <v>0</v>
      </c>
      <c r="Y26" t="str">
        <f>VLOOKUP(W26,'Articulated Lengths'!$A$2:$B$16, 2, FALSE)</f>
        <v>na</v>
      </c>
      <c r="AA26">
        <v>10</v>
      </c>
      <c r="AB26">
        <v>10</v>
      </c>
    </row>
    <row r="27" spans="1:28" x14ac:dyDescent="0.25">
      <c r="A27" t="s">
        <v>14</v>
      </c>
      <c r="B27" t="s">
        <v>230</v>
      </c>
      <c r="C27" t="s">
        <v>213</v>
      </c>
      <c r="E27" t="s">
        <v>432</v>
      </c>
      <c r="F27">
        <v>1911</v>
      </c>
      <c r="K27">
        <v>74</v>
      </c>
      <c r="N27">
        <v>139</v>
      </c>
      <c r="O27" s="4">
        <f t="shared" si="1"/>
        <v>0.18783783783783783</v>
      </c>
      <c r="Q27">
        <v>18.8</v>
      </c>
      <c r="R27">
        <v>18.8</v>
      </c>
      <c r="V27" t="str">
        <f>CONCATENATE(INT(W27*17),"x",INT(S27*15), "x", INT(T27*15))</f>
        <v>187x0x0</v>
      </c>
      <c r="W27">
        <f t="shared" si="2"/>
        <v>11</v>
      </c>
      <c r="Y27" t="str">
        <f>VLOOKUP(W27,'Articulated Lengths'!$A$2:$B$16, 2, FALSE)</f>
        <v>3,5,3</v>
      </c>
      <c r="AA27">
        <v>10</v>
      </c>
      <c r="AB27">
        <v>10</v>
      </c>
    </row>
    <row r="28" spans="1:28" x14ac:dyDescent="0.25">
      <c r="A28" t="s">
        <v>37</v>
      </c>
      <c r="B28" t="s">
        <v>231</v>
      </c>
      <c r="C28" t="s">
        <v>213</v>
      </c>
      <c r="E28" t="s">
        <v>432</v>
      </c>
      <c r="F28">
        <v>1911</v>
      </c>
      <c r="G28">
        <v>1926</v>
      </c>
      <c r="K28">
        <v>87</v>
      </c>
      <c r="N28">
        <v>106</v>
      </c>
      <c r="O28" s="4">
        <f t="shared" si="1"/>
        <v>0.12183908045977011</v>
      </c>
      <c r="Q28">
        <v>13.1</v>
      </c>
      <c r="R28">
        <v>13.1</v>
      </c>
      <c r="V28" t="str">
        <f>CONCATENATE(INT(W28*17),"x",INT(S28*15), "x", INT(T28*15))</f>
        <v>136x0x0</v>
      </c>
      <c r="W28">
        <f t="shared" si="2"/>
        <v>8</v>
      </c>
      <c r="Y28" t="str">
        <f>VLOOKUP(W28,'Articulated Lengths'!$A$2:$B$16, 2, FALSE)</f>
        <v>2,4,2</v>
      </c>
      <c r="AA28">
        <v>10</v>
      </c>
      <c r="AB28">
        <v>10</v>
      </c>
    </row>
    <row r="29" spans="1:28" x14ac:dyDescent="0.25">
      <c r="A29" t="s">
        <v>38</v>
      </c>
      <c r="B29" t="s">
        <v>232</v>
      </c>
      <c r="C29" t="s">
        <v>213</v>
      </c>
      <c r="E29" t="s">
        <v>432</v>
      </c>
      <c r="F29">
        <v>1911</v>
      </c>
      <c r="G29">
        <v>1914</v>
      </c>
      <c r="K29">
        <v>75</v>
      </c>
      <c r="N29">
        <v>139</v>
      </c>
      <c r="O29" s="4">
        <f t="shared" si="1"/>
        <v>0.18533333333333332</v>
      </c>
      <c r="Q29">
        <v>18.809999999999999</v>
      </c>
      <c r="R29">
        <v>18.809999999999999</v>
      </c>
      <c r="V29" t="str">
        <f>CONCATENATE(INT(W29*17),"x",INT(S29*15), "x", INT(T29*15))</f>
        <v>187x0x0</v>
      </c>
      <c r="W29">
        <f t="shared" si="2"/>
        <v>11</v>
      </c>
      <c r="Y29" t="str">
        <f>VLOOKUP(W29,'Articulated Lengths'!$A$2:$B$16, 2, FALSE)</f>
        <v>3,5,3</v>
      </c>
      <c r="AA29">
        <v>10</v>
      </c>
      <c r="AB29">
        <v>10</v>
      </c>
    </row>
    <row r="30" spans="1:28" x14ac:dyDescent="0.25">
      <c r="A30" t="s">
        <v>36</v>
      </c>
      <c r="B30" t="s">
        <v>233</v>
      </c>
      <c r="C30" t="s">
        <v>213</v>
      </c>
      <c r="E30" t="s">
        <v>432</v>
      </c>
      <c r="F30">
        <v>1912</v>
      </c>
      <c r="K30">
        <v>61</v>
      </c>
      <c r="N30">
        <v>104</v>
      </c>
      <c r="O30" s="4">
        <f t="shared" si="1"/>
        <v>0.17049180327868851</v>
      </c>
      <c r="P30">
        <v>60</v>
      </c>
      <c r="V30" t="str">
        <f>CONCATENATE(INT(W30*17),"x",INT(S30*15), "x", INT(T30*15))</f>
        <v>0x0x0</v>
      </c>
      <c r="W30">
        <f t="shared" si="2"/>
        <v>0</v>
      </c>
      <c r="Y30" t="str">
        <f>VLOOKUP(W30,'Articulated Lengths'!$A$2:$B$16, 2, FALSE)</f>
        <v>na</v>
      </c>
      <c r="AA30">
        <v>10</v>
      </c>
      <c r="AB30">
        <v>10</v>
      </c>
    </row>
    <row r="31" spans="1:28" x14ac:dyDescent="0.25">
      <c r="A31" t="s">
        <v>86</v>
      </c>
      <c r="B31" t="s">
        <v>234</v>
      </c>
      <c r="C31" t="s">
        <v>213</v>
      </c>
      <c r="E31" t="s">
        <v>432</v>
      </c>
      <c r="F31">
        <v>1914</v>
      </c>
      <c r="G31">
        <v>1919</v>
      </c>
      <c r="J31">
        <v>1100</v>
      </c>
      <c r="K31">
        <v>76</v>
      </c>
      <c r="N31">
        <v>140</v>
      </c>
      <c r="O31" s="4">
        <f t="shared" si="1"/>
        <v>0.18421052631578946</v>
      </c>
      <c r="P31">
        <v>35</v>
      </c>
      <c r="Q31">
        <v>12</v>
      </c>
      <c r="R31">
        <v>12</v>
      </c>
      <c r="V31" t="str">
        <f>CONCATENATE(INT(W31*17),"x",INT(S31*15), "x", INT(T31*15))</f>
        <v>119x0x0</v>
      </c>
      <c r="W31">
        <f t="shared" si="2"/>
        <v>7</v>
      </c>
      <c r="Y31" t="str">
        <f>VLOOKUP(W31,'Articulated Lengths'!$A$2:$B$16, 2, FALSE)</f>
        <v>2,3,2</v>
      </c>
      <c r="AA31">
        <v>10</v>
      </c>
      <c r="AB31">
        <v>10</v>
      </c>
    </row>
    <row r="32" spans="1:28" x14ac:dyDescent="0.25">
      <c r="A32" t="s">
        <v>51</v>
      </c>
      <c r="B32" t="s">
        <v>235</v>
      </c>
      <c r="C32" t="s">
        <v>213</v>
      </c>
      <c r="E32" t="s">
        <v>432</v>
      </c>
      <c r="F32">
        <v>1921</v>
      </c>
      <c r="G32">
        <v>1922</v>
      </c>
      <c r="K32">
        <v>63</v>
      </c>
      <c r="L32">
        <v>41</v>
      </c>
      <c r="N32">
        <v>125</v>
      </c>
      <c r="O32" s="4">
        <f t="shared" si="1"/>
        <v>0.1984126984126984</v>
      </c>
      <c r="V32" t="str">
        <f>CONCATENATE(INT(W32*17),"x",INT(S32*15), "x", INT(T32*15))</f>
        <v>0x0x0</v>
      </c>
      <c r="W32">
        <f t="shared" si="2"/>
        <v>0</v>
      </c>
      <c r="Y32" t="str">
        <f>VLOOKUP(W32,'Articulated Lengths'!$A$2:$B$16, 2, FALSE)</f>
        <v>na</v>
      </c>
      <c r="AA32">
        <v>10</v>
      </c>
      <c r="AB32">
        <v>10</v>
      </c>
    </row>
    <row r="33" spans="1:28" x14ac:dyDescent="0.25">
      <c r="A33" t="s">
        <v>32</v>
      </c>
      <c r="B33" t="s">
        <v>236</v>
      </c>
      <c r="C33" t="s">
        <v>213</v>
      </c>
      <c r="E33" t="s">
        <v>432</v>
      </c>
      <c r="F33">
        <v>1922</v>
      </c>
      <c r="G33">
        <v>1924</v>
      </c>
      <c r="N33">
        <v>119</v>
      </c>
      <c r="O33" s="4" t="str">
        <f t="shared" si="1"/>
        <v/>
      </c>
      <c r="V33" t="str">
        <f>CONCATENATE(INT(W33*17),"x",INT(S33*15), "x", INT(T33*15))</f>
        <v>0x0x0</v>
      </c>
      <c r="W33">
        <f t="shared" si="2"/>
        <v>0</v>
      </c>
      <c r="Y33" t="str">
        <f>VLOOKUP(W33,'Articulated Lengths'!$A$2:$B$16, 2, FALSE)</f>
        <v>na</v>
      </c>
      <c r="AA33">
        <v>10</v>
      </c>
      <c r="AB33">
        <v>10</v>
      </c>
    </row>
    <row r="34" spans="1:28" x14ac:dyDescent="0.25">
      <c r="A34" t="s">
        <v>11</v>
      </c>
      <c r="B34" t="s">
        <v>237</v>
      </c>
      <c r="C34" t="s">
        <v>213</v>
      </c>
      <c r="E34" t="s">
        <v>432</v>
      </c>
      <c r="F34">
        <v>1923</v>
      </c>
      <c r="J34">
        <v>800</v>
      </c>
      <c r="K34">
        <f>49.5+41.8</f>
        <v>91.3</v>
      </c>
      <c r="N34">
        <v>109</v>
      </c>
      <c r="O34" s="4">
        <f t="shared" si="1"/>
        <v>0.11938663745892661</v>
      </c>
      <c r="Q34">
        <v>15.8</v>
      </c>
      <c r="R34">
        <v>15.8</v>
      </c>
      <c r="V34" t="str">
        <f>CONCATENATE(INT(W34*17),"x",INT(S34*15), "x", INT(T34*15))</f>
        <v>153x0x0</v>
      </c>
      <c r="W34">
        <f t="shared" si="2"/>
        <v>9</v>
      </c>
      <c r="Y34" t="str">
        <f>VLOOKUP(W34,'Articulated Lengths'!$A$2:$B$16, 2, FALSE)</f>
        <v>2,5,2</v>
      </c>
      <c r="AA34">
        <v>10</v>
      </c>
      <c r="AB34">
        <v>10</v>
      </c>
    </row>
    <row r="35" spans="1:28" x14ac:dyDescent="0.25">
      <c r="A35" t="s">
        <v>24</v>
      </c>
      <c r="B35" t="s">
        <v>238</v>
      </c>
      <c r="C35" t="s">
        <v>213</v>
      </c>
      <c r="E35" t="s">
        <v>432</v>
      </c>
      <c r="F35">
        <v>1923</v>
      </c>
      <c r="G35">
        <v>1950</v>
      </c>
      <c r="K35">
        <v>81.099999999999994</v>
      </c>
      <c r="N35">
        <v>141</v>
      </c>
      <c r="O35" s="4">
        <f t="shared" si="1"/>
        <v>0.17385943279901356</v>
      </c>
      <c r="P35">
        <v>102</v>
      </c>
      <c r="Q35">
        <v>19.86</v>
      </c>
      <c r="R35">
        <v>19.86</v>
      </c>
      <c r="T35">
        <v>4.07</v>
      </c>
      <c r="V35" t="str">
        <f>CONCATENATE(INT(W35*17),"x",INT(S35*15), "x", INT(T35*15))</f>
        <v>204x0x61</v>
      </c>
      <c r="W35">
        <f t="shared" si="2"/>
        <v>12</v>
      </c>
      <c r="Y35" t="str">
        <f>VLOOKUP(W35,'Articulated Lengths'!$A$2:$B$16, 2, FALSE)</f>
        <v>3,6,3</v>
      </c>
      <c r="AA35">
        <v>10</v>
      </c>
      <c r="AB35">
        <v>10</v>
      </c>
    </row>
    <row r="36" spans="1:28" x14ac:dyDescent="0.25">
      <c r="A36" t="s">
        <v>193</v>
      </c>
      <c r="B36" t="s">
        <v>376</v>
      </c>
      <c r="C36" t="s">
        <v>213</v>
      </c>
      <c r="E36" t="s">
        <v>432</v>
      </c>
      <c r="F36">
        <v>1899</v>
      </c>
      <c r="G36">
        <v>1902</v>
      </c>
      <c r="K36">
        <v>49.5</v>
      </c>
      <c r="N36">
        <v>92</v>
      </c>
      <c r="O36" s="4">
        <f t="shared" si="1"/>
        <v>0.18585858585858586</v>
      </c>
      <c r="V36" t="str">
        <f>CONCATENATE(INT(W36*17),"x",INT(S36*15), "x", INT(T36*15))</f>
        <v>0x0x0</v>
      </c>
      <c r="W36">
        <f t="shared" si="2"/>
        <v>0</v>
      </c>
      <c r="Y36" t="str">
        <f>VLOOKUP(W36,'Articulated Lengths'!$A$2:$B$16, 2, FALSE)</f>
        <v>na</v>
      </c>
      <c r="AA36">
        <v>10</v>
      </c>
      <c r="AB36">
        <v>10</v>
      </c>
    </row>
    <row r="37" spans="1:28" x14ac:dyDescent="0.25">
      <c r="A37" t="s">
        <v>10</v>
      </c>
      <c r="B37" t="s">
        <v>239</v>
      </c>
      <c r="C37" t="s">
        <v>420</v>
      </c>
      <c r="D37" t="s">
        <v>429</v>
      </c>
      <c r="E37" t="s">
        <v>432</v>
      </c>
      <c r="F37">
        <v>1924</v>
      </c>
      <c r="J37">
        <v>700</v>
      </c>
      <c r="K37">
        <v>50.2</v>
      </c>
      <c r="N37">
        <v>93</v>
      </c>
      <c r="O37" s="4">
        <f t="shared" si="1"/>
        <v>0.1852589641434263</v>
      </c>
      <c r="P37">
        <v>45</v>
      </c>
      <c r="Q37">
        <v>9.57</v>
      </c>
      <c r="R37">
        <v>9.57</v>
      </c>
      <c r="V37" t="str">
        <f>CONCATENATE(INT(W37*17),"x",INT(S37*15), "x", INT(T37*15))</f>
        <v>102x0x0</v>
      </c>
      <c r="W37">
        <f t="shared" si="2"/>
        <v>6</v>
      </c>
      <c r="Y37" t="str">
        <f>VLOOKUP(W37,'Articulated Lengths'!$A$2:$B$16, 2, FALSE)</f>
        <v>2,3,2</v>
      </c>
      <c r="Z37">
        <v>1</v>
      </c>
      <c r="AA37">
        <v>10</v>
      </c>
      <c r="AB37">
        <v>10</v>
      </c>
    </row>
    <row r="38" spans="1:28" x14ac:dyDescent="0.25">
      <c r="A38" t="s">
        <v>26</v>
      </c>
      <c r="B38" t="s">
        <v>240</v>
      </c>
      <c r="C38" t="s">
        <v>213</v>
      </c>
      <c r="E38" t="s">
        <v>432</v>
      </c>
      <c r="F38">
        <v>1924</v>
      </c>
      <c r="G38">
        <v>1928</v>
      </c>
      <c r="N38">
        <v>115</v>
      </c>
      <c r="O38" s="4" t="str">
        <f t="shared" si="1"/>
        <v/>
      </c>
      <c r="V38" t="str">
        <f>CONCATENATE(INT(W38*17),"x",INT(S38*15), "x", INT(T38*15))</f>
        <v>0x0x0</v>
      </c>
      <c r="W38">
        <f t="shared" si="2"/>
        <v>0</v>
      </c>
      <c r="Y38" t="str">
        <f>VLOOKUP(W38,'Articulated Lengths'!$A$2:$B$16, 2, FALSE)</f>
        <v>na</v>
      </c>
      <c r="AA38">
        <v>10</v>
      </c>
      <c r="AB38">
        <v>10</v>
      </c>
    </row>
    <row r="39" spans="1:28" x14ac:dyDescent="0.25">
      <c r="A39" t="s">
        <v>40</v>
      </c>
      <c r="B39" t="s">
        <v>241</v>
      </c>
      <c r="C39" t="s">
        <v>213</v>
      </c>
      <c r="E39" t="s">
        <v>432</v>
      </c>
      <c r="F39">
        <v>1926</v>
      </c>
      <c r="G39">
        <v>1932</v>
      </c>
      <c r="J39">
        <v>1290</v>
      </c>
      <c r="K39">
        <v>67</v>
      </c>
      <c r="N39">
        <v>118</v>
      </c>
      <c r="O39" s="4">
        <f t="shared" si="1"/>
        <v>0.17611940298507461</v>
      </c>
      <c r="Q39">
        <v>18.079999999999998</v>
      </c>
      <c r="R39">
        <v>18.079999999999998</v>
      </c>
      <c r="V39" t="str">
        <f>CONCATENATE(INT(W39*17),"x",INT(S39*15), "x", INT(T39*15))</f>
        <v>187x0x0</v>
      </c>
      <c r="W39">
        <f t="shared" si="2"/>
        <v>11</v>
      </c>
      <c r="Y39" t="str">
        <f>VLOOKUP(W39,'Articulated Lengths'!$A$2:$B$16, 2, FALSE)</f>
        <v>3,5,3</v>
      </c>
      <c r="AA39">
        <v>10</v>
      </c>
      <c r="AB39">
        <v>10</v>
      </c>
    </row>
    <row r="40" spans="1:28" x14ac:dyDescent="0.25">
      <c r="A40" t="s">
        <v>191</v>
      </c>
      <c r="B40" t="s">
        <v>242</v>
      </c>
      <c r="C40" t="s">
        <v>213</v>
      </c>
      <c r="E40" t="s">
        <v>432</v>
      </c>
      <c r="F40">
        <v>1927</v>
      </c>
      <c r="K40">
        <v>66</v>
      </c>
      <c r="N40">
        <v>96</v>
      </c>
      <c r="O40" s="4">
        <f t="shared" si="1"/>
        <v>0.14545454545454545</v>
      </c>
      <c r="Q40">
        <v>17.899999999999999</v>
      </c>
      <c r="R40">
        <v>17.899999999999999</v>
      </c>
      <c r="V40" t="str">
        <f>CONCATENATE(INT(W40*17),"x",INT(S40*15), "x", INT(T40*15))</f>
        <v>187x0x0</v>
      </c>
      <c r="W40">
        <f t="shared" si="2"/>
        <v>11</v>
      </c>
      <c r="Y40" t="str">
        <f>VLOOKUP(W40,'Articulated Lengths'!$A$2:$B$16, 2, FALSE)</f>
        <v>3,5,3</v>
      </c>
      <c r="AA40">
        <v>10</v>
      </c>
      <c r="AB40">
        <v>10</v>
      </c>
    </row>
    <row r="41" spans="1:28" x14ac:dyDescent="0.25">
      <c r="A41" t="s">
        <v>28</v>
      </c>
      <c r="B41" t="s">
        <v>243</v>
      </c>
      <c r="C41" t="s">
        <v>213</v>
      </c>
      <c r="E41" t="s">
        <v>432</v>
      </c>
      <c r="F41">
        <v>1927</v>
      </c>
      <c r="G41">
        <v>1936</v>
      </c>
      <c r="K41">
        <v>90.4</v>
      </c>
      <c r="N41">
        <v>179</v>
      </c>
      <c r="O41" s="4">
        <f t="shared" si="1"/>
        <v>0.19800884955752213</v>
      </c>
      <c r="Q41">
        <v>20.78</v>
      </c>
      <c r="R41">
        <v>20.78</v>
      </c>
      <c r="T41">
        <v>4.08</v>
      </c>
      <c r="V41" t="str">
        <f>CONCATENATE(INT(W41*17),"x",INT(S41*15), "x", INT(T41*15))</f>
        <v>204x0x61</v>
      </c>
      <c r="W41">
        <f t="shared" si="2"/>
        <v>12</v>
      </c>
      <c r="Y41" t="str">
        <f>VLOOKUP(W41,'Articulated Lengths'!$A$2:$B$16, 2, FALSE)</f>
        <v>3,6,3</v>
      </c>
      <c r="AA41">
        <v>10</v>
      </c>
      <c r="AB41">
        <v>10</v>
      </c>
    </row>
    <row r="42" spans="1:28" x14ac:dyDescent="0.25">
      <c r="A42" t="s">
        <v>43</v>
      </c>
      <c r="B42" t="s">
        <v>400</v>
      </c>
      <c r="C42" t="s">
        <v>213</v>
      </c>
      <c r="E42" t="s">
        <v>432</v>
      </c>
      <c r="F42">
        <v>1927</v>
      </c>
      <c r="G42">
        <v>1934</v>
      </c>
      <c r="K42">
        <v>87.6</v>
      </c>
      <c r="N42">
        <v>102</v>
      </c>
      <c r="O42" s="4">
        <f t="shared" si="1"/>
        <v>0.11643835616438356</v>
      </c>
      <c r="Q42">
        <v>14.4</v>
      </c>
      <c r="R42">
        <v>14.4</v>
      </c>
      <c r="V42" t="str">
        <f>CONCATENATE(INT(W42*17),"x",INT(S42*15), "x", INT(T42*15))</f>
        <v>153x0x0</v>
      </c>
      <c r="W42">
        <f t="shared" si="2"/>
        <v>9</v>
      </c>
      <c r="Y42" t="str">
        <f>VLOOKUP(W42,'Articulated Lengths'!$A$2:$B$16, 2, FALSE)</f>
        <v>2,5,2</v>
      </c>
      <c r="AA42">
        <v>10</v>
      </c>
      <c r="AB42">
        <v>10</v>
      </c>
    </row>
    <row r="43" spans="1:28" x14ac:dyDescent="0.25">
      <c r="A43" t="s">
        <v>29</v>
      </c>
      <c r="B43" t="s">
        <v>244</v>
      </c>
      <c r="C43" t="s">
        <v>213</v>
      </c>
      <c r="E43" t="s">
        <v>432</v>
      </c>
      <c r="F43">
        <v>1928</v>
      </c>
      <c r="G43">
        <v>1943</v>
      </c>
      <c r="K43">
        <v>76.2</v>
      </c>
      <c r="N43">
        <v>121</v>
      </c>
      <c r="O43" s="4">
        <f t="shared" si="1"/>
        <v>0.15879265091863518</v>
      </c>
      <c r="Q43">
        <v>19.2</v>
      </c>
      <c r="R43">
        <v>19.2</v>
      </c>
      <c r="T43">
        <v>4.04</v>
      </c>
      <c r="V43" t="str">
        <f>CONCATENATE(INT(W43*17),"x",INT(S43*15), "x", INT(T43*15))</f>
        <v>187x0x60</v>
      </c>
      <c r="W43">
        <f t="shared" si="2"/>
        <v>11</v>
      </c>
      <c r="Y43" t="str">
        <f>VLOOKUP(W43,'Articulated Lengths'!$A$2:$B$16, 2, FALSE)</f>
        <v>3,5,3</v>
      </c>
      <c r="AA43">
        <v>10</v>
      </c>
      <c r="AB43">
        <v>10</v>
      </c>
    </row>
    <row r="44" spans="1:28" x14ac:dyDescent="0.25">
      <c r="A44" t="s">
        <v>34</v>
      </c>
      <c r="B44" t="s">
        <v>245</v>
      </c>
      <c r="C44" t="s">
        <v>213</v>
      </c>
      <c r="E44" t="s">
        <v>432</v>
      </c>
      <c r="F44">
        <v>1928</v>
      </c>
      <c r="G44">
        <v>1935</v>
      </c>
      <c r="K44">
        <v>92.8</v>
      </c>
      <c r="N44">
        <v>146</v>
      </c>
      <c r="O44" s="4">
        <f t="shared" si="1"/>
        <v>0.15732758620689655</v>
      </c>
      <c r="P44">
        <v>108</v>
      </c>
      <c r="Q44">
        <v>21.46</v>
      </c>
      <c r="R44">
        <v>21.46</v>
      </c>
      <c r="V44" t="str">
        <f>CONCATENATE(INT(W44*17),"x",INT(S44*15), "x", INT(T44*15))</f>
        <v>221x0x0</v>
      </c>
      <c r="W44">
        <f t="shared" si="2"/>
        <v>13</v>
      </c>
      <c r="Y44" t="str">
        <f>VLOOKUP(W44,'Articulated Lengths'!$A$2:$B$16, 2, FALSE)</f>
        <v>4,5,4</v>
      </c>
      <c r="AA44">
        <v>10</v>
      </c>
      <c r="AB44">
        <v>10</v>
      </c>
    </row>
    <row r="45" spans="1:28" x14ac:dyDescent="0.25">
      <c r="A45" t="s">
        <v>27</v>
      </c>
      <c r="B45" t="s">
        <v>246</v>
      </c>
      <c r="C45" t="s">
        <v>213</v>
      </c>
      <c r="E45" t="s">
        <v>432</v>
      </c>
      <c r="F45">
        <v>1929</v>
      </c>
      <c r="G45">
        <v>1950</v>
      </c>
      <c r="K45">
        <v>48.3</v>
      </c>
      <c r="N45">
        <v>100</v>
      </c>
      <c r="O45" s="4">
        <f t="shared" si="1"/>
        <v>0.20703933747412009</v>
      </c>
      <c r="Q45">
        <v>9.5</v>
      </c>
      <c r="R45">
        <v>9.5</v>
      </c>
      <c r="T45">
        <v>3.7349999999999999</v>
      </c>
      <c r="V45" t="str">
        <f>CONCATENATE(INT(W45*17),"x",INT(S45*15), "x", INT(T45*15))</f>
        <v>102x0x56</v>
      </c>
      <c r="W45">
        <f t="shared" si="2"/>
        <v>6</v>
      </c>
      <c r="Y45" t="str">
        <f>VLOOKUP(W45,'Articulated Lengths'!$A$2:$B$16, 2, FALSE)</f>
        <v>2,3,2</v>
      </c>
      <c r="AA45">
        <v>10</v>
      </c>
      <c r="AB45">
        <v>10</v>
      </c>
    </row>
    <row r="46" spans="1:28" x14ac:dyDescent="0.25">
      <c r="A46" t="s">
        <v>46</v>
      </c>
      <c r="B46" t="s">
        <v>247</v>
      </c>
      <c r="C46" t="s">
        <v>213</v>
      </c>
      <c r="E46" t="s">
        <v>432</v>
      </c>
      <c r="F46">
        <v>1930</v>
      </c>
      <c r="G46">
        <v>1935</v>
      </c>
      <c r="K46">
        <v>68.2</v>
      </c>
      <c r="L46">
        <v>43.1</v>
      </c>
      <c r="N46">
        <v>111</v>
      </c>
      <c r="O46" s="4">
        <f t="shared" si="1"/>
        <v>0.1627565982404692</v>
      </c>
      <c r="P46">
        <v>95</v>
      </c>
      <c r="Q46">
        <v>17.93</v>
      </c>
      <c r="R46">
        <v>17.93</v>
      </c>
      <c r="T46">
        <v>3.96</v>
      </c>
      <c r="V46" t="str">
        <f>CONCATENATE(INT(W46*17),"x",INT(S46*15), "x", INT(T46*15))</f>
        <v>187x0x59</v>
      </c>
      <c r="W46">
        <f t="shared" si="2"/>
        <v>11</v>
      </c>
      <c r="Y46" t="str">
        <f>VLOOKUP(W46,'Articulated Lengths'!$A$2:$B$16, 2, FALSE)</f>
        <v>3,5,3</v>
      </c>
      <c r="AA46">
        <v>10</v>
      </c>
      <c r="AB46">
        <v>10</v>
      </c>
    </row>
    <row r="47" spans="1:28" x14ac:dyDescent="0.25">
      <c r="A47" t="s">
        <v>22</v>
      </c>
      <c r="B47" t="s">
        <v>248</v>
      </c>
      <c r="C47" t="s">
        <v>213</v>
      </c>
      <c r="E47" t="s">
        <v>432</v>
      </c>
      <c r="F47">
        <v>1932</v>
      </c>
      <c r="K47">
        <v>43</v>
      </c>
      <c r="N47">
        <v>62</v>
      </c>
      <c r="O47" s="4">
        <f t="shared" si="1"/>
        <v>0.14418604651162792</v>
      </c>
      <c r="Q47">
        <v>9.1199999999999992</v>
      </c>
      <c r="R47">
        <v>9.1199999999999992</v>
      </c>
      <c r="T47">
        <v>3.82</v>
      </c>
      <c r="V47" t="str">
        <f>CONCATENATE(INT(W47*17),"x",INT(S47*15), "x", INT(T47*15))</f>
        <v>102x0x57</v>
      </c>
      <c r="W47">
        <f t="shared" si="2"/>
        <v>6</v>
      </c>
      <c r="Y47" t="str">
        <f>VLOOKUP(W47,'Articulated Lengths'!$A$2:$B$16, 2, FALSE)</f>
        <v>2,3,2</v>
      </c>
      <c r="AA47">
        <v>10</v>
      </c>
      <c r="AB47">
        <v>10</v>
      </c>
    </row>
    <row r="48" spans="1:28" x14ac:dyDescent="0.25">
      <c r="A48" t="s">
        <v>39</v>
      </c>
      <c r="B48" t="s">
        <v>447</v>
      </c>
      <c r="C48" t="s">
        <v>213</v>
      </c>
      <c r="E48" t="s">
        <v>432</v>
      </c>
      <c r="F48">
        <v>1934</v>
      </c>
      <c r="G48">
        <v>1951</v>
      </c>
      <c r="K48">
        <v>73.400000000000006</v>
      </c>
      <c r="N48">
        <v>113</v>
      </c>
      <c r="O48" s="4">
        <f t="shared" si="1"/>
        <v>0.15395095367847411</v>
      </c>
      <c r="Q48">
        <v>19.399999999999999</v>
      </c>
      <c r="R48">
        <v>19.399999999999999</v>
      </c>
      <c r="V48" t="str">
        <f>CONCATENATE(INT(W48*17),"x",INT(S48*15), "x", INT(T48*15))</f>
        <v>187x0x0</v>
      </c>
      <c r="W48">
        <f t="shared" si="2"/>
        <v>11</v>
      </c>
      <c r="Y48" t="str">
        <f>VLOOKUP(W48,'Articulated Lengths'!$A$2:$B$16, 2, FALSE)</f>
        <v>3,5,3</v>
      </c>
      <c r="AA48">
        <v>10</v>
      </c>
      <c r="AB48">
        <v>10</v>
      </c>
    </row>
    <row r="49" spans="1:28" x14ac:dyDescent="0.25">
      <c r="A49" t="s">
        <v>449</v>
      </c>
      <c r="B49" t="s">
        <v>448</v>
      </c>
      <c r="C49" t="s">
        <v>213</v>
      </c>
      <c r="E49" t="s">
        <v>432</v>
      </c>
      <c r="K49">
        <v>52</v>
      </c>
      <c r="Q49">
        <v>7.64</v>
      </c>
      <c r="R49">
        <v>7.64</v>
      </c>
      <c r="V49" t="str">
        <f>CONCATENATE(INT(W49*17),"x",INT(S49*15), "x", INT(T49*15))</f>
        <v>85x0x0</v>
      </c>
      <c r="W49">
        <f t="shared" si="2"/>
        <v>5</v>
      </c>
      <c r="Y49" t="str">
        <f>VLOOKUP(W49,'Articulated Lengths'!$A$2:$B$16, 2, FALSE)</f>
        <v>1,3,1</v>
      </c>
    </row>
    <row r="50" spans="1:28" x14ac:dyDescent="0.25">
      <c r="A50" t="s">
        <v>41</v>
      </c>
      <c r="B50" t="s">
        <v>446</v>
      </c>
      <c r="C50" t="s">
        <v>420</v>
      </c>
      <c r="D50" t="s">
        <v>429</v>
      </c>
      <c r="E50" t="s">
        <v>432</v>
      </c>
      <c r="F50">
        <v>1934</v>
      </c>
      <c r="G50">
        <v>1936</v>
      </c>
      <c r="J50">
        <v>1375</v>
      </c>
      <c r="K50">
        <v>80.8</v>
      </c>
      <c r="N50">
        <v>118</v>
      </c>
      <c r="O50" s="4">
        <f t="shared" si="1"/>
        <v>0.14603960396039603</v>
      </c>
      <c r="P50">
        <v>80</v>
      </c>
      <c r="Q50">
        <v>12.09</v>
      </c>
      <c r="R50">
        <v>13</v>
      </c>
      <c r="V50" t="str">
        <f>CONCATENATE(INT(W50*17),"x",INT(S50*15), "x", INT(T50*15))</f>
        <v>136x0x0</v>
      </c>
      <c r="W50">
        <f t="shared" si="2"/>
        <v>8</v>
      </c>
      <c r="X50" t="s">
        <v>448</v>
      </c>
      <c r="Y50" t="str">
        <f>VLOOKUP(W50,'Articulated Lengths'!$A$2:$B$16, 2, FALSE)</f>
        <v>2,4,2</v>
      </c>
      <c r="AA50">
        <v>10</v>
      </c>
      <c r="AB50">
        <v>10</v>
      </c>
    </row>
    <row r="51" spans="1:28" x14ac:dyDescent="0.25">
      <c r="A51" t="s">
        <v>12</v>
      </c>
      <c r="B51" t="s">
        <v>249</v>
      </c>
      <c r="C51" t="s">
        <v>213</v>
      </c>
      <c r="E51" t="s">
        <v>432</v>
      </c>
      <c r="F51">
        <v>1935</v>
      </c>
      <c r="J51">
        <v>1300</v>
      </c>
      <c r="K51">
        <v>73</v>
      </c>
      <c r="N51">
        <v>144</v>
      </c>
      <c r="O51" s="4">
        <f t="shared" si="1"/>
        <v>0.19726027397260273</v>
      </c>
      <c r="Q51">
        <v>19.22</v>
      </c>
      <c r="R51">
        <v>19.22</v>
      </c>
      <c r="V51" t="str">
        <f>CONCATENATE(INT(W51*17),"x",INT(S51*15), "x", INT(T51*15))</f>
        <v>187x0x0</v>
      </c>
      <c r="W51">
        <f t="shared" si="2"/>
        <v>11</v>
      </c>
      <c r="Y51" t="str">
        <f>VLOOKUP(W51,'Articulated Lengths'!$A$2:$B$16, 2, FALSE)</f>
        <v>3,5,3</v>
      </c>
      <c r="AA51">
        <v>10</v>
      </c>
      <c r="AB51">
        <v>10</v>
      </c>
    </row>
    <row r="52" spans="1:28" x14ac:dyDescent="0.25">
      <c r="A52" t="s">
        <v>35</v>
      </c>
      <c r="B52" t="s">
        <v>250</v>
      </c>
      <c r="C52" t="s">
        <v>213</v>
      </c>
      <c r="E52" t="s">
        <v>432</v>
      </c>
      <c r="F52">
        <v>1935</v>
      </c>
      <c r="G52">
        <v>1938</v>
      </c>
      <c r="J52">
        <v>1850</v>
      </c>
      <c r="K52">
        <v>104.6</v>
      </c>
      <c r="N52">
        <v>157</v>
      </c>
      <c r="O52" s="4">
        <f t="shared" si="1"/>
        <v>0.15009560229445507</v>
      </c>
      <c r="P52">
        <v>125</v>
      </c>
      <c r="Q52">
        <v>21.65</v>
      </c>
      <c r="R52">
        <v>21.65</v>
      </c>
      <c r="T52">
        <v>3.99</v>
      </c>
      <c r="V52" t="str">
        <f>CONCATENATE(INT(W52*17),"x",INT(S52*15), "x", INT(T52*15))</f>
        <v>221x0x59</v>
      </c>
      <c r="W52">
        <f t="shared" si="2"/>
        <v>13</v>
      </c>
      <c r="Y52" t="str">
        <f>VLOOKUP(W52,'Articulated Lengths'!$A$2:$B$16, 2, FALSE)</f>
        <v>4,5,4</v>
      </c>
      <c r="AA52">
        <v>10</v>
      </c>
      <c r="AB52">
        <v>10</v>
      </c>
    </row>
    <row r="53" spans="1:28" x14ac:dyDescent="0.25">
      <c r="A53" t="s">
        <v>44</v>
      </c>
      <c r="B53" t="s">
        <v>401</v>
      </c>
      <c r="C53" t="s">
        <v>213</v>
      </c>
      <c r="E53" t="s">
        <v>432</v>
      </c>
      <c r="F53">
        <v>1935</v>
      </c>
      <c r="G53">
        <v>1943</v>
      </c>
      <c r="K53">
        <v>89.2</v>
      </c>
      <c r="N53">
        <v>110</v>
      </c>
      <c r="O53" s="4">
        <f t="shared" si="1"/>
        <v>0.12331838565022421</v>
      </c>
      <c r="Q53">
        <v>14.4</v>
      </c>
      <c r="R53">
        <v>14.4</v>
      </c>
      <c r="V53" t="str">
        <f>CONCATENATE(INT(W53*17),"x",INT(S53*15), "x", INT(T53*15))</f>
        <v>153x0x0</v>
      </c>
      <c r="W53">
        <f t="shared" si="2"/>
        <v>9</v>
      </c>
      <c r="Y53" t="str">
        <f>VLOOKUP(W53,'Articulated Lengths'!$A$2:$B$16, 2, FALSE)</f>
        <v>2,5,2</v>
      </c>
      <c r="AA53">
        <v>10</v>
      </c>
      <c r="AB53">
        <v>10</v>
      </c>
    </row>
    <row r="54" spans="1:28" x14ac:dyDescent="0.25">
      <c r="A54" t="s">
        <v>16</v>
      </c>
      <c r="B54" t="s">
        <v>251</v>
      </c>
      <c r="C54" t="s">
        <v>213</v>
      </c>
      <c r="E54" t="s">
        <v>432</v>
      </c>
      <c r="F54">
        <v>1936</v>
      </c>
      <c r="N54">
        <v>150</v>
      </c>
      <c r="O54" s="4" t="str">
        <f t="shared" si="1"/>
        <v/>
      </c>
      <c r="Q54">
        <v>20.239999999999998</v>
      </c>
      <c r="R54">
        <v>20.239999999999998</v>
      </c>
      <c r="V54" t="str">
        <f>CONCATENATE(INT(W54*17),"x",INT(S54*15), "x", INT(T54*15))</f>
        <v>204x0x0</v>
      </c>
      <c r="W54">
        <f t="shared" si="2"/>
        <v>12</v>
      </c>
      <c r="Y54" t="str">
        <f>VLOOKUP(W54,'Articulated Lengths'!$A$2:$B$16, 2, FALSE)</f>
        <v>3,6,3</v>
      </c>
      <c r="AA54">
        <v>10</v>
      </c>
      <c r="AB54">
        <v>10</v>
      </c>
    </row>
    <row r="55" spans="1:28" x14ac:dyDescent="0.25">
      <c r="A55" t="s">
        <v>30</v>
      </c>
      <c r="B55" t="s">
        <v>252</v>
      </c>
      <c r="C55" t="s">
        <v>213</v>
      </c>
      <c r="E55" t="s">
        <v>432</v>
      </c>
      <c r="F55">
        <v>1936</v>
      </c>
      <c r="G55">
        <v>1939</v>
      </c>
      <c r="K55">
        <v>75.2</v>
      </c>
      <c r="N55">
        <v>128</v>
      </c>
      <c r="O55" s="4">
        <f t="shared" si="1"/>
        <v>0.1702127659574468</v>
      </c>
      <c r="Q55">
        <v>19.21</v>
      </c>
      <c r="R55">
        <v>19.21</v>
      </c>
      <c r="T55">
        <v>3.96</v>
      </c>
      <c r="V55" t="str">
        <f>CONCATENATE(INT(W55*17),"x",INT(S55*15), "x", INT(T55*15))</f>
        <v>187x0x59</v>
      </c>
      <c r="W55">
        <f t="shared" si="2"/>
        <v>11</v>
      </c>
      <c r="Y55" t="str">
        <f>VLOOKUP(W55,'Articulated Lengths'!$A$2:$B$16, 2, FALSE)</f>
        <v>3,5,3</v>
      </c>
      <c r="AA55">
        <v>10</v>
      </c>
      <c r="AB55">
        <v>10</v>
      </c>
    </row>
    <row r="56" spans="1:28" x14ac:dyDescent="0.25">
      <c r="A56" t="s">
        <v>42</v>
      </c>
      <c r="B56" t="s">
        <v>344</v>
      </c>
      <c r="C56" t="s">
        <v>213</v>
      </c>
      <c r="E56" t="s">
        <v>432</v>
      </c>
      <c r="F56">
        <v>1937</v>
      </c>
      <c r="G56">
        <v>1948</v>
      </c>
      <c r="J56">
        <v>3300</v>
      </c>
      <c r="K56">
        <v>110</v>
      </c>
      <c r="N56">
        <v>180</v>
      </c>
      <c r="O56" s="4">
        <f t="shared" si="1"/>
        <v>0.16363636363636364</v>
      </c>
      <c r="Q56">
        <v>22.49</v>
      </c>
      <c r="R56">
        <v>22.49</v>
      </c>
      <c r="T56">
        <v>4.0389999999999997</v>
      </c>
      <c r="V56" t="str">
        <f>CONCATENATE(INT(W56*17),"x",INT(S56*15), "x", INT(T56*15))</f>
        <v>221x0x60</v>
      </c>
      <c r="W56">
        <f t="shared" si="2"/>
        <v>13</v>
      </c>
      <c r="Y56" t="str">
        <f>VLOOKUP(W56,'Articulated Lengths'!$A$2:$B$16, 2, FALSE)</f>
        <v>4,5,4</v>
      </c>
      <c r="AA56">
        <v>10</v>
      </c>
      <c r="AB56">
        <v>10</v>
      </c>
    </row>
    <row r="57" spans="1:28" x14ac:dyDescent="0.25">
      <c r="A57" t="s">
        <v>47</v>
      </c>
      <c r="B57" t="s">
        <v>253</v>
      </c>
      <c r="C57" t="s">
        <v>213</v>
      </c>
      <c r="E57" t="s">
        <v>432</v>
      </c>
      <c r="F57">
        <v>1941</v>
      </c>
      <c r="G57">
        <v>1949</v>
      </c>
      <c r="K57">
        <v>96.3</v>
      </c>
      <c r="N57">
        <v>167</v>
      </c>
      <c r="O57" s="4">
        <f t="shared" si="1"/>
        <v>0.17341640706126688</v>
      </c>
      <c r="P57">
        <v>105</v>
      </c>
      <c r="Q57">
        <v>21.23</v>
      </c>
      <c r="R57">
        <v>21.23</v>
      </c>
      <c r="V57" t="str">
        <f>CONCATENATE(INT(W57*17),"x",INT(S57*15), "x", INT(T57*15))</f>
        <v>204x0x0</v>
      </c>
      <c r="W57">
        <f t="shared" si="2"/>
        <v>12</v>
      </c>
      <c r="Y57" t="str">
        <f>VLOOKUP(W57,'Articulated Lengths'!$A$2:$B$16, 2, FALSE)</f>
        <v>3,6,3</v>
      </c>
      <c r="AA57">
        <v>10</v>
      </c>
      <c r="AB57">
        <v>10</v>
      </c>
    </row>
    <row r="58" spans="1:28" x14ac:dyDescent="0.25">
      <c r="A58" t="s">
        <v>87</v>
      </c>
      <c r="B58" t="s">
        <v>254</v>
      </c>
      <c r="C58" t="s">
        <v>213</v>
      </c>
      <c r="E58" t="s">
        <v>432</v>
      </c>
      <c r="F58">
        <v>1941</v>
      </c>
      <c r="G58">
        <v>1948</v>
      </c>
      <c r="J58">
        <v>1470</v>
      </c>
      <c r="K58">
        <v>101</v>
      </c>
      <c r="N58">
        <v>178</v>
      </c>
      <c r="O58" s="4">
        <f t="shared" si="1"/>
        <v>0.17623762376237623</v>
      </c>
      <c r="P58">
        <v>75</v>
      </c>
      <c r="V58" t="str">
        <f>CONCATENATE(INT(W58*17),"x",INT(S58*15), "x", INT(T58*15))</f>
        <v>0x0x0</v>
      </c>
      <c r="W58">
        <f t="shared" si="2"/>
        <v>0</v>
      </c>
      <c r="Y58" t="str">
        <f>VLOOKUP(W58,'Articulated Lengths'!$A$2:$B$16, 2, FALSE)</f>
        <v>na</v>
      </c>
      <c r="AA58">
        <v>10</v>
      </c>
      <c r="AB58">
        <v>10</v>
      </c>
    </row>
    <row r="59" spans="1:28" x14ac:dyDescent="0.25">
      <c r="A59" t="s">
        <v>15</v>
      </c>
      <c r="B59" t="s">
        <v>255</v>
      </c>
      <c r="C59" t="s">
        <v>213</v>
      </c>
      <c r="E59" t="s">
        <v>432</v>
      </c>
      <c r="F59">
        <v>1942</v>
      </c>
      <c r="K59">
        <v>72</v>
      </c>
      <c r="N59">
        <v>119</v>
      </c>
      <c r="O59" s="4">
        <f t="shared" si="1"/>
        <v>0.16527777777777777</v>
      </c>
      <c r="V59" t="str">
        <f>CONCATENATE(INT(W59*17),"x",INT(S59*15), "x", INT(T59*15))</f>
        <v>0x0x0</v>
      </c>
      <c r="W59">
        <f t="shared" si="2"/>
        <v>0</v>
      </c>
      <c r="Y59" t="str">
        <f>VLOOKUP(W59,'Articulated Lengths'!$A$2:$B$16, 2, FALSE)</f>
        <v>na</v>
      </c>
      <c r="AA59">
        <v>10</v>
      </c>
      <c r="AB59">
        <v>10</v>
      </c>
    </row>
    <row r="60" spans="1:28" x14ac:dyDescent="0.25">
      <c r="A60" t="s">
        <v>54</v>
      </c>
      <c r="B60" t="s">
        <v>256</v>
      </c>
      <c r="C60" t="s">
        <v>213</v>
      </c>
      <c r="E60" t="s">
        <v>432</v>
      </c>
      <c r="F60">
        <v>1942</v>
      </c>
      <c r="G60">
        <v>1942</v>
      </c>
      <c r="K60">
        <v>90.7</v>
      </c>
      <c r="N60">
        <v>134</v>
      </c>
      <c r="O60" s="4">
        <f t="shared" si="1"/>
        <v>0.14773980154355015</v>
      </c>
      <c r="Q60">
        <v>16.73</v>
      </c>
      <c r="R60">
        <v>16.73</v>
      </c>
      <c r="V60" t="str">
        <f>CONCATENATE(INT(W60*17),"x",INT(S60*15), "x", INT(T60*15))</f>
        <v>170x0x0</v>
      </c>
      <c r="W60">
        <f t="shared" si="2"/>
        <v>10</v>
      </c>
      <c r="Y60" t="str">
        <f>VLOOKUP(W60,'Articulated Lengths'!$A$2:$B$16, 2, FALSE)</f>
        <v>3,4,3</v>
      </c>
      <c r="AA60">
        <v>10</v>
      </c>
      <c r="AB60">
        <v>10</v>
      </c>
    </row>
    <row r="61" spans="1:28" x14ac:dyDescent="0.25">
      <c r="A61" t="s">
        <v>52</v>
      </c>
      <c r="B61" t="s">
        <v>345</v>
      </c>
      <c r="C61" t="s">
        <v>213</v>
      </c>
      <c r="E61" t="s">
        <v>432</v>
      </c>
      <c r="F61">
        <v>1943</v>
      </c>
      <c r="G61">
        <v>1964</v>
      </c>
      <c r="K61">
        <v>49</v>
      </c>
      <c r="N61">
        <v>106</v>
      </c>
      <c r="O61" s="4">
        <f t="shared" si="1"/>
        <v>0.21632653061224491</v>
      </c>
      <c r="Q61">
        <v>9.25</v>
      </c>
      <c r="R61">
        <v>9.25</v>
      </c>
      <c r="V61" t="str">
        <f>CONCATENATE(INT(W61*17),"x",INT(S61*15), "x", INT(T61*15))</f>
        <v>102x0x0</v>
      </c>
      <c r="W61">
        <f t="shared" si="2"/>
        <v>6</v>
      </c>
      <c r="Y61" t="str">
        <f>VLOOKUP(W61,'Articulated Lengths'!$A$2:$B$16, 2, FALSE)</f>
        <v>2,3,2</v>
      </c>
      <c r="AA61">
        <v>10</v>
      </c>
      <c r="AB61">
        <v>10</v>
      </c>
    </row>
    <row r="62" spans="1:28" x14ac:dyDescent="0.25">
      <c r="A62" t="s">
        <v>53</v>
      </c>
      <c r="B62" t="s">
        <v>402</v>
      </c>
      <c r="C62" t="s">
        <v>213</v>
      </c>
      <c r="E62" t="s">
        <v>432</v>
      </c>
      <c r="F62">
        <v>1943</v>
      </c>
      <c r="G62">
        <v>1945</v>
      </c>
      <c r="K62">
        <v>71.400000000000006</v>
      </c>
      <c r="L62">
        <v>56.4</v>
      </c>
      <c r="N62">
        <v>152</v>
      </c>
      <c r="O62" s="4">
        <f t="shared" si="1"/>
        <v>0.21288515406162464</v>
      </c>
      <c r="Q62">
        <v>19.350000000000001</v>
      </c>
      <c r="R62">
        <v>19.350000000000001</v>
      </c>
      <c r="V62" t="str">
        <f>CONCATENATE(INT(W62*17),"x",INT(S62*15), "x", INT(T62*15))</f>
        <v>187x0x0</v>
      </c>
      <c r="W62">
        <f t="shared" si="2"/>
        <v>11</v>
      </c>
      <c r="Y62" t="str">
        <f>VLOOKUP(W62,'Articulated Lengths'!$A$2:$B$16, 2, FALSE)</f>
        <v>3,5,3</v>
      </c>
      <c r="AA62">
        <v>10</v>
      </c>
      <c r="AB62">
        <v>10</v>
      </c>
    </row>
    <row r="63" spans="1:28" x14ac:dyDescent="0.25">
      <c r="A63" t="s">
        <v>31</v>
      </c>
      <c r="B63" t="s">
        <v>375</v>
      </c>
      <c r="C63" t="s">
        <v>213</v>
      </c>
      <c r="E63" t="s">
        <v>432</v>
      </c>
      <c r="F63">
        <v>1944</v>
      </c>
      <c r="G63">
        <v>1950</v>
      </c>
      <c r="K63">
        <v>77</v>
      </c>
      <c r="N63">
        <v>121</v>
      </c>
      <c r="O63" s="4">
        <f t="shared" si="1"/>
        <v>0.15714285714285714</v>
      </c>
      <c r="Q63">
        <v>19.2</v>
      </c>
      <c r="R63">
        <v>19.2</v>
      </c>
      <c r="T63">
        <v>4.01</v>
      </c>
      <c r="V63" t="str">
        <f>CONCATENATE(INT(W63*17),"x",INT(S63*15), "x", INT(T63*15))</f>
        <v>187x0x60</v>
      </c>
      <c r="W63">
        <f t="shared" si="2"/>
        <v>11</v>
      </c>
      <c r="Y63" t="str">
        <f>VLOOKUP(W63,'Articulated Lengths'!$A$2:$B$16, 2, FALSE)</f>
        <v>3,5,3</v>
      </c>
      <c r="AA63">
        <v>10</v>
      </c>
      <c r="AB63">
        <v>10</v>
      </c>
    </row>
    <row r="64" spans="1:28" x14ac:dyDescent="0.25">
      <c r="A64" t="s">
        <v>21</v>
      </c>
      <c r="B64" t="s">
        <v>257</v>
      </c>
      <c r="C64" t="s">
        <v>213</v>
      </c>
      <c r="E64" t="s">
        <v>432</v>
      </c>
      <c r="F64">
        <v>1945</v>
      </c>
      <c r="K64">
        <v>78.099999999999994</v>
      </c>
      <c r="N64">
        <v>145</v>
      </c>
      <c r="O64" s="4">
        <f t="shared" si="1"/>
        <v>0.1856594110115237</v>
      </c>
      <c r="Q64">
        <v>19.21</v>
      </c>
      <c r="R64">
        <v>19.21</v>
      </c>
      <c r="T64">
        <v>4.08</v>
      </c>
      <c r="V64" t="str">
        <f>CONCATENATE(INT(W64*17),"x",INT(S64*15), "x", INT(T64*15))</f>
        <v>187x0x61</v>
      </c>
      <c r="W64">
        <f t="shared" si="2"/>
        <v>11</v>
      </c>
      <c r="Y64" t="str">
        <f>VLOOKUP(W64,'Articulated Lengths'!$A$2:$B$16, 2, FALSE)</f>
        <v>3,5,3</v>
      </c>
      <c r="AA64">
        <v>10</v>
      </c>
      <c r="AB64">
        <v>10</v>
      </c>
    </row>
    <row r="65" spans="1:28" x14ac:dyDescent="0.25">
      <c r="A65" t="s">
        <v>48</v>
      </c>
      <c r="B65" t="s">
        <v>258</v>
      </c>
      <c r="C65" t="s">
        <v>213</v>
      </c>
      <c r="E65" t="s">
        <v>432</v>
      </c>
      <c r="F65">
        <v>1945</v>
      </c>
      <c r="G65">
        <v>1951</v>
      </c>
      <c r="K65">
        <v>87.4</v>
      </c>
      <c r="N65">
        <v>138</v>
      </c>
      <c r="O65" s="4">
        <f t="shared" si="1"/>
        <v>0.15789473684210525</v>
      </c>
      <c r="Q65">
        <v>20.54</v>
      </c>
      <c r="R65">
        <v>20.54</v>
      </c>
      <c r="V65" t="str">
        <f>CONCATENATE(INT(W65*17),"x",INT(S65*15), "x", INT(T65*15))</f>
        <v>204x0x0</v>
      </c>
      <c r="W65">
        <f t="shared" si="2"/>
        <v>12</v>
      </c>
      <c r="Y65" t="str">
        <f>VLOOKUP(W65,'Articulated Lengths'!$A$2:$B$16, 2, FALSE)</f>
        <v>3,6,3</v>
      </c>
      <c r="AA65">
        <v>10</v>
      </c>
      <c r="AB65">
        <v>10</v>
      </c>
    </row>
    <row r="66" spans="1:28" x14ac:dyDescent="0.25">
      <c r="A66" t="s">
        <v>55</v>
      </c>
      <c r="B66" t="s">
        <v>259</v>
      </c>
      <c r="C66" t="s">
        <v>213</v>
      </c>
      <c r="E66" t="s">
        <v>432</v>
      </c>
      <c r="F66">
        <v>1946</v>
      </c>
      <c r="G66">
        <v>1949</v>
      </c>
      <c r="K66">
        <v>152</v>
      </c>
      <c r="N66">
        <v>117</v>
      </c>
      <c r="O66" s="4">
        <f t="shared" si="1"/>
        <v>7.6973684210526319E-2</v>
      </c>
      <c r="Q66">
        <v>20.420000000000002</v>
      </c>
      <c r="R66">
        <v>20.420000000000002</v>
      </c>
      <c r="V66" t="str">
        <f>CONCATENATE(INT(W66*17),"x",INT(S66*15), "x", INT(T66*15))</f>
        <v>204x0x0</v>
      </c>
      <c r="W66">
        <f t="shared" si="2"/>
        <v>12</v>
      </c>
      <c r="Y66" t="str">
        <f>VLOOKUP(W66,'Articulated Lengths'!$A$2:$B$16, 2, FALSE)</f>
        <v>3,6,3</v>
      </c>
      <c r="AA66">
        <v>10</v>
      </c>
      <c r="AB66">
        <v>10</v>
      </c>
    </row>
    <row r="67" spans="1:28" x14ac:dyDescent="0.25">
      <c r="A67" t="s">
        <v>57</v>
      </c>
      <c r="B67" t="s">
        <v>260</v>
      </c>
      <c r="C67" t="s">
        <v>213</v>
      </c>
      <c r="E67" t="s">
        <v>432</v>
      </c>
      <c r="F67">
        <v>1946</v>
      </c>
      <c r="G67">
        <v>1953</v>
      </c>
      <c r="K67">
        <v>48</v>
      </c>
      <c r="N67">
        <v>77</v>
      </c>
      <c r="O67" s="4">
        <f t="shared" si="1"/>
        <v>0.16041666666666668</v>
      </c>
      <c r="Q67">
        <v>16.2</v>
      </c>
      <c r="R67">
        <v>16.2</v>
      </c>
      <c r="V67" t="str">
        <f>CONCATENATE(INT(W67*17),"x",INT(S67*15), "x", INT(T67*15))</f>
        <v>170x0x0</v>
      </c>
      <c r="W67">
        <f t="shared" si="2"/>
        <v>10</v>
      </c>
      <c r="Y67" t="str">
        <f>VLOOKUP(W67,'Articulated Lengths'!$A$2:$B$16, 2, FALSE)</f>
        <v>3,4,3</v>
      </c>
      <c r="AA67">
        <v>10</v>
      </c>
      <c r="AB67">
        <v>10</v>
      </c>
    </row>
    <row r="68" spans="1:28" x14ac:dyDescent="0.25">
      <c r="A68" t="s">
        <v>88</v>
      </c>
      <c r="B68" t="s">
        <v>261</v>
      </c>
      <c r="C68" t="s">
        <v>213</v>
      </c>
      <c r="E68" t="s">
        <v>432</v>
      </c>
      <c r="F68">
        <v>1947</v>
      </c>
      <c r="G68">
        <v>1948</v>
      </c>
      <c r="J68">
        <v>1600</v>
      </c>
      <c r="K68">
        <v>129.69999999999999</v>
      </c>
      <c r="N68">
        <v>184</v>
      </c>
      <c r="O68" s="4">
        <f t="shared" si="1"/>
        <v>0.14186584425597532</v>
      </c>
      <c r="P68">
        <v>93</v>
      </c>
      <c r="Q68">
        <v>18.64</v>
      </c>
      <c r="R68">
        <v>18.64</v>
      </c>
      <c r="T68">
        <v>3.95</v>
      </c>
      <c r="V68" t="str">
        <f>CONCATENATE(INT(W68*17),"x",INT(S68*15), "x", INT(T68*15))</f>
        <v>187x0x59</v>
      </c>
      <c r="W68">
        <f t="shared" si="2"/>
        <v>11</v>
      </c>
      <c r="Y68" t="str">
        <f>VLOOKUP(W68,'Articulated Lengths'!$A$2:$B$16, 2, FALSE)</f>
        <v>3,5,3</v>
      </c>
      <c r="AA68">
        <v>10</v>
      </c>
      <c r="AB68">
        <v>10</v>
      </c>
    </row>
    <row r="69" spans="1:28" x14ac:dyDescent="0.25">
      <c r="A69" t="s">
        <v>33</v>
      </c>
      <c r="B69" t="s">
        <v>262</v>
      </c>
      <c r="C69" t="s">
        <v>213</v>
      </c>
      <c r="E69" t="s">
        <v>432</v>
      </c>
      <c r="F69">
        <v>1948</v>
      </c>
      <c r="G69">
        <v>1949</v>
      </c>
      <c r="J69">
        <v>2700</v>
      </c>
      <c r="K69">
        <v>106.9</v>
      </c>
      <c r="N69">
        <v>166</v>
      </c>
      <c r="O69" s="4">
        <f t="shared" si="1"/>
        <v>0.15528531337698784</v>
      </c>
      <c r="P69">
        <v>100</v>
      </c>
      <c r="Q69">
        <v>22.24</v>
      </c>
      <c r="R69">
        <v>22.24</v>
      </c>
      <c r="T69">
        <v>3.99</v>
      </c>
      <c r="V69" t="str">
        <f>CONCATENATE(INT(W69*17),"x",INT(S69*15), "x", INT(T69*15))</f>
        <v>221x0x59</v>
      </c>
      <c r="W69">
        <f t="shared" si="2"/>
        <v>13</v>
      </c>
      <c r="Y69" t="str">
        <f>VLOOKUP(W69,'Articulated Lengths'!$A$2:$B$16, 2, FALSE)</f>
        <v>4,5,4</v>
      </c>
      <c r="AA69">
        <v>10</v>
      </c>
      <c r="AB69">
        <v>10</v>
      </c>
    </row>
    <row r="70" spans="1:28" x14ac:dyDescent="0.25">
      <c r="A70" t="s">
        <v>92</v>
      </c>
      <c r="B70" t="s">
        <v>403</v>
      </c>
      <c r="C70" t="s">
        <v>213</v>
      </c>
      <c r="E70" t="s">
        <v>432</v>
      </c>
      <c r="F70">
        <v>1950</v>
      </c>
      <c r="G70">
        <v>1953</v>
      </c>
      <c r="J70">
        <v>1300</v>
      </c>
      <c r="K70">
        <v>89.3</v>
      </c>
      <c r="N70">
        <v>200</v>
      </c>
      <c r="O70" s="4">
        <f t="shared" si="1"/>
        <v>0.22396416573348266</v>
      </c>
      <c r="P70">
        <v>65</v>
      </c>
      <c r="Q70">
        <v>15.34</v>
      </c>
      <c r="R70">
        <v>15.34</v>
      </c>
      <c r="V70" t="str">
        <f>CONCATENATE(INT(W70*17),"x",INT(S70*15), "x", INT(T70*15))</f>
        <v>153x0x0</v>
      </c>
      <c r="W70">
        <f t="shared" si="2"/>
        <v>9</v>
      </c>
      <c r="Y70" t="str">
        <f>VLOOKUP(W70,'Articulated Lengths'!$A$2:$B$16, 2, FALSE)</f>
        <v>2,5,2</v>
      </c>
      <c r="AA70">
        <v>10</v>
      </c>
      <c r="AB70">
        <v>10</v>
      </c>
    </row>
    <row r="71" spans="1:28" x14ac:dyDescent="0.25">
      <c r="A71" t="s">
        <v>45</v>
      </c>
      <c r="B71" t="s">
        <v>346</v>
      </c>
      <c r="C71" t="s">
        <v>213</v>
      </c>
      <c r="E71" t="s">
        <v>432</v>
      </c>
      <c r="F71">
        <v>1951</v>
      </c>
      <c r="G71">
        <v>1952</v>
      </c>
      <c r="K71">
        <v>89.92</v>
      </c>
      <c r="L71">
        <v>14.38</v>
      </c>
      <c r="N71">
        <v>122</v>
      </c>
      <c r="O71" s="4">
        <f t="shared" si="1"/>
        <v>0.13567615658362989</v>
      </c>
      <c r="Q71">
        <v>20.96</v>
      </c>
      <c r="R71">
        <v>20.96</v>
      </c>
      <c r="T71">
        <v>3.98</v>
      </c>
      <c r="V71" t="str">
        <f>CONCATENATE(INT(W71*17),"x",INT(S71*15), "x", INT(T71*15))</f>
        <v>204x0x59</v>
      </c>
      <c r="W71">
        <f t="shared" si="2"/>
        <v>12</v>
      </c>
      <c r="Y71" t="str">
        <f>VLOOKUP(W71,'Articulated Lengths'!$A$2:$B$16, 2, FALSE)</f>
        <v>3,6,3</v>
      </c>
      <c r="AA71">
        <v>10</v>
      </c>
      <c r="AB71">
        <v>10</v>
      </c>
    </row>
    <row r="72" spans="1:28" x14ac:dyDescent="0.25">
      <c r="A72" t="s">
        <v>49</v>
      </c>
      <c r="B72" t="s">
        <v>347</v>
      </c>
      <c r="C72" t="s">
        <v>213</v>
      </c>
      <c r="E72" t="s">
        <v>432</v>
      </c>
      <c r="F72">
        <v>1951</v>
      </c>
      <c r="G72">
        <v>1954</v>
      </c>
      <c r="K72">
        <v>95.5</v>
      </c>
      <c r="L72">
        <v>50</v>
      </c>
      <c r="N72">
        <v>143</v>
      </c>
      <c r="O72" s="4">
        <f t="shared" si="1"/>
        <v>0.14973821989528796</v>
      </c>
      <c r="Q72">
        <v>20.96</v>
      </c>
      <c r="R72">
        <v>20.96</v>
      </c>
      <c r="T72">
        <v>3.98</v>
      </c>
      <c r="V72" t="str">
        <f>CONCATENATE(INT(W72*17),"x",INT(S72*15), "x", INT(T72*15))</f>
        <v>204x0x59</v>
      </c>
      <c r="W72">
        <f t="shared" si="2"/>
        <v>12</v>
      </c>
      <c r="Y72" t="str">
        <f>VLOOKUP(W72,'Articulated Lengths'!$A$2:$B$16, 2, FALSE)</f>
        <v>3,6,3</v>
      </c>
      <c r="AA72">
        <v>10</v>
      </c>
      <c r="AB72">
        <v>10</v>
      </c>
    </row>
    <row r="73" spans="1:28" x14ac:dyDescent="0.25">
      <c r="A73" t="s">
        <v>98</v>
      </c>
      <c r="B73" t="s">
        <v>263</v>
      </c>
      <c r="C73" t="s">
        <v>420</v>
      </c>
      <c r="D73" t="s">
        <v>430</v>
      </c>
      <c r="E73" t="s">
        <v>432</v>
      </c>
      <c r="F73">
        <v>1952</v>
      </c>
      <c r="G73">
        <v>1962</v>
      </c>
      <c r="J73">
        <v>350</v>
      </c>
      <c r="K73">
        <v>49.8</v>
      </c>
      <c r="N73">
        <v>160</v>
      </c>
      <c r="O73" s="4">
        <f t="shared" si="1"/>
        <v>0.32128514056224899</v>
      </c>
      <c r="P73">
        <v>20</v>
      </c>
      <c r="Q73">
        <v>8.92</v>
      </c>
      <c r="R73">
        <v>8.92</v>
      </c>
      <c r="S73">
        <v>2.59</v>
      </c>
      <c r="T73">
        <v>3.87</v>
      </c>
      <c r="V73" t="str">
        <f>CONCATENATE(INT(W73*17),"x",INT(S73*15), "x", INT(T73*15))</f>
        <v>102x38x58</v>
      </c>
      <c r="W73">
        <f t="shared" si="2"/>
        <v>6</v>
      </c>
      <c r="Y73" t="str">
        <f>VLOOKUP(W73,'Articulated Lengths'!$A$2:$B$16, 2, FALSE)</f>
        <v>2,3,2</v>
      </c>
      <c r="Z73">
        <v>1</v>
      </c>
      <c r="AA73">
        <v>10</v>
      </c>
      <c r="AB73">
        <v>10</v>
      </c>
    </row>
    <row r="74" spans="1:28" x14ac:dyDescent="0.25">
      <c r="A74" t="s">
        <v>93</v>
      </c>
      <c r="B74" t="s">
        <v>404</v>
      </c>
      <c r="C74" t="s">
        <v>213</v>
      </c>
      <c r="E74" t="s">
        <v>432</v>
      </c>
      <c r="F74">
        <v>1953</v>
      </c>
      <c r="G74">
        <v>1954</v>
      </c>
      <c r="J74">
        <v>2490</v>
      </c>
      <c r="K74">
        <v>104.1</v>
      </c>
      <c r="N74">
        <v>200</v>
      </c>
      <c r="O74" s="4">
        <f t="shared" si="1"/>
        <v>0.19212295869356388</v>
      </c>
      <c r="P74">
        <v>90</v>
      </c>
      <c r="Q74">
        <v>17.98</v>
      </c>
      <c r="R74">
        <v>17.98</v>
      </c>
      <c r="V74" t="str">
        <f>CONCATENATE(INT(W74*17),"x",INT(S74*15), "x", INT(T74*15))</f>
        <v>187x0x0</v>
      </c>
      <c r="W74">
        <f t="shared" si="2"/>
        <v>11</v>
      </c>
      <c r="Y74" t="str">
        <f>VLOOKUP(W74,'Articulated Lengths'!$A$2:$B$16, 2, FALSE)</f>
        <v>3,5,3</v>
      </c>
      <c r="AA74">
        <v>10</v>
      </c>
      <c r="AB74">
        <v>10</v>
      </c>
    </row>
    <row r="75" spans="1:28" x14ac:dyDescent="0.25">
      <c r="A75" t="s">
        <v>50</v>
      </c>
      <c r="B75" t="s">
        <v>264</v>
      </c>
      <c r="C75" t="s">
        <v>213</v>
      </c>
      <c r="E75" t="s">
        <v>432</v>
      </c>
      <c r="F75">
        <v>1954</v>
      </c>
      <c r="G75">
        <v>1960</v>
      </c>
      <c r="K75">
        <v>90</v>
      </c>
      <c r="L75">
        <v>51</v>
      </c>
      <c r="N75">
        <v>176</v>
      </c>
      <c r="O75" s="4">
        <f t="shared" si="1"/>
        <v>0.19555555555555557</v>
      </c>
      <c r="P75">
        <v>90</v>
      </c>
      <c r="Q75">
        <v>20.170000000000002</v>
      </c>
      <c r="R75">
        <v>20.170000000000002</v>
      </c>
      <c r="V75" t="str">
        <f>CONCATENATE(INT(W75*17),"x",INT(S75*15), "x", INT(T75*15))</f>
        <v>204x0x0</v>
      </c>
      <c r="W75">
        <f t="shared" si="2"/>
        <v>12</v>
      </c>
      <c r="Y75" t="str">
        <f>VLOOKUP(W75,'Articulated Lengths'!$A$2:$B$16, 2, FALSE)</f>
        <v>3,6,3</v>
      </c>
      <c r="AA75">
        <v>10</v>
      </c>
      <c r="AB75">
        <v>10</v>
      </c>
    </row>
    <row r="76" spans="1:28" x14ac:dyDescent="0.25">
      <c r="A76" t="s">
        <v>64</v>
      </c>
      <c r="B76" t="s">
        <v>425</v>
      </c>
      <c r="C76" t="s">
        <v>213</v>
      </c>
      <c r="E76" t="s">
        <v>432</v>
      </c>
      <c r="F76">
        <v>1955</v>
      </c>
      <c r="G76">
        <v>1962</v>
      </c>
      <c r="J76">
        <v>3300</v>
      </c>
      <c r="K76">
        <v>108</v>
      </c>
      <c r="N76">
        <v>233</v>
      </c>
      <c r="O76" s="4">
        <f t="shared" ref="O76:O139" si="3">IF(AND(K76&gt;0,N76&gt;0),(N76/(K76*10)),"")</f>
        <v>0.21574074074074073</v>
      </c>
      <c r="P76">
        <v>106</v>
      </c>
      <c r="Q76">
        <v>21.18</v>
      </c>
      <c r="R76">
        <v>21.18</v>
      </c>
      <c r="T76">
        <v>3.91</v>
      </c>
      <c r="V76" t="str">
        <f>CONCATENATE(INT(W76*17),"x",INT(S76*15), "x", INT(T76*15))</f>
        <v>204x0x58</v>
      </c>
      <c r="W76">
        <f t="shared" si="2"/>
        <v>12</v>
      </c>
      <c r="Y76" t="str">
        <f>VLOOKUP(W76,'Articulated Lengths'!$A$2:$B$16, 2, FALSE)</f>
        <v>3,6,3</v>
      </c>
      <c r="AA76">
        <v>10</v>
      </c>
      <c r="AB76">
        <v>10</v>
      </c>
    </row>
    <row r="77" spans="1:28" x14ac:dyDescent="0.25">
      <c r="A77" t="s">
        <v>71</v>
      </c>
      <c r="B77" t="s">
        <v>265</v>
      </c>
      <c r="C77" t="s">
        <v>213</v>
      </c>
      <c r="E77" t="s">
        <v>432</v>
      </c>
      <c r="F77">
        <v>1957</v>
      </c>
      <c r="G77">
        <v>1962</v>
      </c>
      <c r="J77">
        <v>1250</v>
      </c>
      <c r="K77">
        <v>108.4</v>
      </c>
      <c r="N77">
        <v>160</v>
      </c>
      <c r="O77" s="4">
        <f t="shared" si="3"/>
        <v>0.14760147601476015</v>
      </c>
      <c r="P77">
        <v>80</v>
      </c>
      <c r="Q77">
        <v>17.3</v>
      </c>
      <c r="R77">
        <v>17.3</v>
      </c>
      <c r="T77">
        <v>3.84</v>
      </c>
      <c r="V77" t="str">
        <f>CONCATENATE(INT(W77*17),"x",INT(S77*15), "x", INT(T77*15))</f>
        <v>170x0x57</v>
      </c>
      <c r="W77">
        <f t="shared" si="2"/>
        <v>10</v>
      </c>
      <c r="Y77" t="str">
        <f>VLOOKUP(W77,'Articulated Lengths'!$A$2:$B$16, 2, FALSE)</f>
        <v>3,4,3</v>
      </c>
      <c r="AA77">
        <v>10</v>
      </c>
      <c r="AB77">
        <v>10</v>
      </c>
    </row>
    <row r="78" spans="1:28" x14ac:dyDescent="0.25">
      <c r="A78" t="s">
        <v>75</v>
      </c>
      <c r="B78" t="s">
        <v>423</v>
      </c>
      <c r="C78" t="s">
        <v>420</v>
      </c>
      <c r="D78" t="s">
        <v>430</v>
      </c>
      <c r="E78" t="s">
        <v>432</v>
      </c>
      <c r="F78">
        <v>1957</v>
      </c>
      <c r="G78">
        <v>1968</v>
      </c>
      <c r="J78">
        <v>1000</v>
      </c>
      <c r="K78">
        <v>73</v>
      </c>
      <c r="N78">
        <v>186</v>
      </c>
      <c r="O78" s="4">
        <f t="shared" si="3"/>
        <v>0.25479452054794521</v>
      </c>
      <c r="P78">
        <v>75</v>
      </c>
      <c r="Q78">
        <v>14.25</v>
      </c>
      <c r="R78">
        <v>14.25</v>
      </c>
      <c r="S78">
        <v>2.67</v>
      </c>
      <c r="T78">
        <v>3.85</v>
      </c>
      <c r="V78" t="str">
        <f>CONCATENATE(INT(W78*17),"x",INT(S78*15), "x", INT(T78*15))</f>
        <v>136x40x57</v>
      </c>
      <c r="W78">
        <f t="shared" si="2"/>
        <v>8</v>
      </c>
      <c r="Y78" t="str">
        <f>VLOOKUP(W78,'Articulated Lengths'!$A$2:$B$16, 2, FALSE)</f>
        <v>2,4,2</v>
      </c>
      <c r="AA78">
        <v>10</v>
      </c>
      <c r="AB78">
        <v>10</v>
      </c>
    </row>
    <row r="79" spans="1:28" x14ac:dyDescent="0.25">
      <c r="A79" t="s">
        <v>58</v>
      </c>
      <c r="B79" t="s">
        <v>266</v>
      </c>
      <c r="C79" t="s">
        <v>213</v>
      </c>
      <c r="E79" t="s">
        <v>432</v>
      </c>
      <c r="F79">
        <v>1958</v>
      </c>
      <c r="G79">
        <v>1961</v>
      </c>
      <c r="J79">
        <v>2750</v>
      </c>
      <c r="K79">
        <v>45</v>
      </c>
      <c r="N79">
        <v>169</v>
      </c>
      <c r="O79" s="4">
        <f t="shared" si="3"/>
        <v>0.37555555555555553</v>
      </c>
      <c r="P79">
        <v>90</v>
      </c>
      <c r="Q79">
        <v>20.74</v>
      </c>
      <c r="R79">
        <v>20.74</v>
      </c>
      <c r="V79" t="str">
        <f>CONCATENATE(INT(W79*17),"x",INT(S79*15), "x", INT(T79*15))</f>
        <v>204x0x0</v>
      </c>
      <c r="W79">
        <f t="shared" si="2"/>
        <v>12</v>
      </c>
      <c r="Y79" t="str">
        <f>VLOOKUP(W79,'Articulated Lengths'!$A$2:$B$16, 2, FALSE)</f>
        <v>3,6,3</v>
      </c>
      <c r="AA79">
        <v>10</v>
      </c>
      <c r="AB79">
        <v>10</v>
      </c>
    </row>
    <row r="80" spans="1:28" x14ac:dyDescent="0.25">
      <c r="A80" t="s">
        <v>62</v>
      </c>
      <c r="B80" t="s">
        <v>267</v>
      </c>
      <c r="C80" t="s">
        <v>213</v>
      </c>
      <c r="E80" t="s">
        <v>432</v>
      </c>
      <c r="F80">
        <v>1958</v>
      </c>
      <c r="G80">
        <v>1961</v>
      </c>
      <c r="J80">
        <f>1035*2</f>
        <v>2070</v>
      </c>
      <c r="K80">
        <v>79.3</v>
      </c>
      <c r="N80">
        <v>214</v>
      </c>
      <c r="O80" s="4">
        <f t="shared" si="3"/>
        <v>0.26986128625472888</v>
      </c>
      <c r="P80">
        <v>90</v>
      </c>
      <c r="Q80">
        <v>18.29</v>
      </c>
      <c r="R80">
        <v>18.29</v>
      </c>
      <c r="T80">
        <v>3.67</v>
      </c>
      <c r="V80" t="str">
        <f>CONCATENATE(INT(W80*17),"x",INT(S80*15), "x", INT(T80*15))</f>
        <v>187x0x55</v>
      </c>
      <c r="W80">
        <f t="shared" si="2"/>
        <v>11</v>
      </c>
      <c r="Y80" t="str">
        <f>VLOOKUP(W80,'Articulated Lengths'!$A$2:$B$16, 2, FALSE)</f>
        <v>3,5,3</v>
      </c>
      <c r="AA80">
        <v>10</v>
      </c>
      <c r="AB80">
        <v>10</v>
      </c>
    </row>
    <row r="81" spans="1:28" x14ac:dyDescent="0.25">
      <c r="A81" t="s">
        <v>67</v>
      </c>
      <c r="B81" t="s">
        <v>268</v>
      </c>
      <c r="C81" t="s">
        <v>213</v>
      </c>
      <c r="E81" t="s">
        <v>432</v>
      </c>
      <c r="F81">
        <v>1958</v>
      </c>
      <c r="G81">
        <v>1962</v>
      </c>
      <c r="J81">
        <v>2000</v>
      </c>
      <c r="K81">
        <v>135</v>
      </c>
      <c r="N81">
        <v>231</v>
      </c>
      <c r="O81" s="4">
        <f t="shared" si="3"/>
        <v>0.1711111111111111</v>
      </c>
      <c r="P81">
        <v>90</v>
      </c>
      <c r="Q81">
        <v>21.18</v>
      </c>
      <c r="R81">
        <v>21.18</v>
      </c>
      <c r="T81">
        <v>3.91</v>
      </c>
      <c r="V81" t="str">
        <f>CONCATENATE(INT(W81*17),"x",INT(S81*15), "x", INT(T81*15))</f>
        <v>204x0x58</v>
      </c>
      <c r="W81">
        <f t="shared" si="2"/>
        <v>12</v>
      </c>
      <c r="Y81" t="str">
        <f>VLOOKUP(W81,'Articulated Lengths'!$A$2:$B$16, 2, FALSE)</f>
        <v>3,6,3</v>
      </c>
      <c r="AA81">
        <v>10</v>
      </c>
      <c r="AB81">
        <v>10</v>
      </c>
    </row>
    <row r="82" spans="1:28" x14ac:dyDescent="0.25">
      <c r="A82" t="s">
        <v>68</v>
      </c>
      <c r="B82" t="s">
        <v>269</v>
      </c>
      <c r="C82" t="s">
        <v>213</v>
      </c>
      <c r="E82" t="s">
        <v>432</v>
      </c>
      <c r="F82">
        <v>1958</v>
      </c>
      <c r="G82">
        <v>1959</v>
      </c>
      <c r="J82">
        <v>1200</v>
      </c>
      <c r="K82">
        <v>98.6</v>
      </c>
      <c r="N82">
        <v>222</v>
      </c>
      <c r="O82" s="4">
        <f t="shared" si="3"/>
        <v>0.22515212981744423</v>
      </c>
      <c r="P82">
        <v>75</v>
      </c>
      <c r="Q82">
        <v>17.260000000000002</v>
      </c>
      <c r="R82">
        <v>17.260000000000002</v>
      </c>
      <c r="T82">
        <v>3.7</v>
      </c>
      <c r="V82" t="str">
        <f>CONCATENATE(INT(W82*17),"x",INT(S82*15), "x", INT(T82*15))</f>
        <v>170x0x55</v>
      </c>
      <c r="W82">
        <f t="shared" si="2"/>
        <v>10</v>
      </c>
      <c r="Y82" t="str">
        <f>VLOOKUP(W82,'Articulated Lengths'!$A$2:$B$16, 2, FALSE)</f>
        <v>3,4,3</v>
      </c>
      <c r="AA82">
        <v>10</v>
      </c>
      <c r="AB82">
        <v>10</v>
      </c>
    </row>
    <row r="83" spans="1:28" x14ac:dyDescent="0.25">
      <c r="A83" t="s">
        <v>94</v>
      </c>
      <c r="B83" t="s">
        <v>348</v>
      </c>
      <c r="C83" t="s">
        <v>213</v>
      </c>
      <c r="E83" t="s">
        <v>432</v>
      </c>
      <c r="F83">
        <v>1958</v>
      </c>
      <c r="G83">
        <v>1960</v>
      </c>
      <c r="J83">
        <v>2300</v>
      </c>
      <c r="K83">
        <v>78.239999999999995</v>
      </c>
      <c r="N83">
        <v>195</v>
      </c>
      <c r="O83" s="4">
        <f t="shared" si="3"/>
        <v>0.24923312883435583</v>
      </c>
      <c r="P83">
        <v>90</v>
      </c>
      <c r="V83" t="str">
        <f>CONCATENATE(INT(W83*17),"x",INT(S83*15), "x", INT(T83*15))</f>
        <v>0x0x0</v>
      </c>
      <c r="W83">
        <f t="shared" ref="W83:W146" si="4">CEILING((R83/57)*32,1)</f>
        <v>0</v>
      </c>
      <c r="Y83" t="str">
        <f>VLOOKUP(W83,'Articulated Lengths'!$A$2:$B$16, 2, FALSE)</f>
        <v>na</v>
      </c>
      <c r="AA83">
        <v>10</v>
      </c>
      <c r="AB83">
        <v>10</v>
      </c>
    </row>
    <row r="84" spans="1:28" x14ac:dyDescent="0.25">
      <c r="A84" t="s">
        <v>65</v>
      </c>
      <c r="B84" t="s">
        <v>424</v>
      </c>
      <c r="C84" t="s">
        <v>213</v>
      </c>
      <c r="E84" t="s">
        <v>432</v>
      </c>
      <c r="F84">
        <v>1959</v>
      </c>
      <c r="G84">
        <v>1959</v>
      </c>
      <c r="J84">
        <v>1100</v>
      </c>
      <c r="K84">
        <v>75.2</v>
      </c>
      <c r="N84">
        <v>209</v>
      </c>
      <c r="O84" s="4">
        <f t="shared" si="3"/>
        <v>0.27792553191489361</v>
      </c>
      <c r="P84">
        <v>75</v>
      </c>
      <c r="Q84">
        <v>16</v>
      </c>
      <c r="R84">
        <v>16</v>
      </c>
      <c r="T84">
        <v>3.86</v>
      </c>
      <c r="V84" t="str">
        <f>CONCATENATE(INT(W84*17),"x",INT(S84*15), "x", INT(T84*15))</f>
        <v>153x0x57</v>
      </c>
      <c r="W84">
        <f t="shared" si="4"/>
        <v>9</v>
      </c>
      <c r="Y84" t="str">
        <f>VLOOKUP(W84,'Articulated Lengths'!$A$2:$B$16, 2, FALSE)</f>
        <v>2,5,2</v>
      </c>
      <c r="AA84">
        <v>10</v>
      </c>
      <c r="AB84">
        <v>10</v>
      </c>
    </row>
    <row r="85" spans="1:28" x14ac:dyDescent="0.25">
      <c r="A85" t="s">
        <v>89</v>
      </c>
      <c r="B85" t="s">
        <v>349</v>
      </c>
      <c r="C85" t="s">
        <v>213</v>
      </c>
      <c r="E85" t="s">
        <v>432</v>
      </c>
      <c r="F85">
        <v>1959</v>
      </c>
      <c r="G85">
        <v>1964</v>
      </c>
      <c r="J85">
        <f>4*847</f>
        <v>3388</v>
      </c>
      <c r="K85">
        <v>80.900000000000006</v>
      </c>
      <c r="N85">
        <v>222</v>
      </c>
      <c r="O85" s="4">
        <f t="shared" si="3"/>
        <v>0.27441285537700866</v>
      </c>
      <c r="P85">
        <v>100</v>
      </c>
      <c r="Q85">
        <v>17.22</v>
      </c>
      <c r="R85">
        <v>17.22</v>
      </c>
      <c r="T85">
        <v>3.77</v>
      </c>
      <c r="V85" t="str">
        <f>CONCATENATE(INT(W85*17),"x",INT(S85*15), "x", INT(T85*15))</f>
        <v>170x0x56</v>
      </c>
      <c r="W85">
        <f t="shared" si="4"/>
        <v>10</v>
      </c>
      <c r="Y85" t="str">
        <f>VLOOKUP(W85,'Articulated Lengths'!$A$2:$B$16, 2, FALSE)</f>
        <v>3,4,3</v>
      </c>
      <c r="AA85">
        <v>10</v>
      </c>
      <c r="AB85">
        <v>10</v>
      </c>
    </row>
    <row r="86" spans="1:28" x14ac:dyDescent="0.25">
      <c r="A86" t="s">
        <v>66</v>
      </c>
      <c r="B86" t="s">
        <v>419</v>
      </c>
      <c r="C86" t="s">
        <v>420</v>
      </c>
      <c r="D86" t="s">
        <v>430</v>
      </c>
      <c r="E86" t="s">
        <v>432</v>
      </c>
      <c r="F86">
        <v>1960</v>
      </c>
      <c r="G86">
        <v>1965</v>
      </c>
      <c r="J86">
        <v>1750</v>
      </c>
      <c r="K86">
        <v>102</v>
      </c>
      <c r="N86">
        <v>247</v>
      </c>
      <c r="O86" s="4">
        <f t="shared" si="3"/>
        <v>0.24215686274509804</v>
      </c>
      <c r="P86">
        <v>90</v>
      </c>
      <c r="Q86">
        <v>18.75</v>
      </c>
      <c r="R86">
        <v>18.75</v>
      </c>
      <c r="S86">
        <v>2.71</v>
      </c>
      <c r="T86">
        <v>3.89</v>
      </c>
      <c r="U86">
        <v>0</v>
      </c>
      <c r="V86" t="str">
        <f>CONCATENATE(INT(W86*17),"x",INT(S86*15), "x", INT(T86*15))</f>
        <v>187x40x58</v>
      </c>
      <c r="W86">
        <f t="shared" si="4"/>
        <v>11</v>
      </c>
      <c r="Y86" t="str">
        <f>VLOOKUP(W86,'Articulated Lengths'!$A$2:$B$16, 2, FALSE)</f>
        <v>3,5,3</v>
      </c>
      <c r="AA86">
        <v>10</v>
      </c>
      <c r="AB86">
        <v>10</v>
      </c>
    </row>
    <row r="87" spans="1:28" x14ac:dyDescent="0.25">
      <c r="A87" t="s">
        <v>77</v>
      </c>
      <c r="B87" t="s">
        <v>270</v>
      </c>
      <c r="C87" t="s">
        <v>213</v>
      </c>
      <c r="E87" t="s">
        <v>432</v>
      </c>
      <c r="F87">
        <v>1960</v>
      </c>
      <c r="G87">
        <v>1962</v>
      </c>
      <c r="J87">
        <v>2500</v>
      </c>
      <c r="K87">
        <v>135</v>
      </c>
      <c r="N87">
        <v>245</v>
      </c>
      <c r="O87" s="4">
        <f t="shared" si="3"/>
        <v>0.18148148148148149</v>
      </c>
      <c r="P87">
        <v>90</v>
      </c>
      <c r="Q87">
        <v>20.7</v>
      </c>
      <c r="R87">
        <v>20.7</v>
      </c>
      <c r="T87">
        <v>3.91</v>
      </c>
      <c r="V87" t="str">
        <f>CONCATENATE(INT(W87*17),"x",INT(S87*15), "x", INT(T87*15))</f>
        <v>204x0x58</v>
      </c>
      <c r="W87">
        <f t="shared" si="4"/>
        <v>12</v>
      </c>
      <c r="Y87" t="str">
        <f>VLOOKUP(W87,'Articulated Lengths'!$A$2:$B$16, 2, FALSE)</f>
        <v>3,6,3</v>
      </c>
      <c r="AA87">
        <v>10</v>
      </c>
      <c r="AB87">
        <v>10</v>
      </c>
    </row>
    <row r="88" spans="1:28" x14ac:dyDescent="0.25">
      <c r="A88" t="s">
        <v>78</v>
      </c>
      <c r="B88" t="s">
        <v>271</v>
      </c>
      <c r="C88" t="s">
        <v>213</v>
      </c>
      <c r="E88" t="s">
        <v>432</v>
      </c>
      <c r="F88">
        <v>1960</v>
      </c>
      <c r="G88">
        <v>1962</v>
      </c>
      <c r="J88">
        <v>1550</v>
      </c>
      <c r="K88">
        <v>74.2</v>
      </c>
      <c r="N88">
        <v>200</v>
      </c>
      <c r="O88" s="4">
        <f t="shared" si="3"/>
        <v>0.26954177897574122</v>
      </c>
      <c r="P88">
        <v>85</v>
      </c>
      <c r="Q88">
        <v>15.47</v>
      </c>
      <c r="R88">
        <v>15.47</v>
      </c>
      <c r="T88">
        <v>3.86</v>
      </c>
      <c r="V88" t="str">
        <f>CONCATENATE(INT(W88*17),"x",INT(S88*15), "x", INT(T88*15))</f>
        <v>153x0x57</v>
      </c>
      <c r="W88">
        <f t="shared" si="4"/>
        <v>9</v>
      </c>
      <c r="Y88" t="str">
        <f>VLOOKUP(W88,'Articulated Lengths'!$A$2:$B$16, 2, FALSE)</f>
        <v>2,5,2</v>
      </c>
      <c r="AA88">
        <v>10</v>
      </c>
      <c r="AB88">
        <v>10</v>
      </c>
    </row>
    <row r="89" spans="1:28" x14ac:dyDescent="0.25">
      <c r="A89" t="s">
        <v>190</v>
      </c>
      <c r="B89" t="s">
        <v>374</v>
      </c>
      <c r="C89" t="s">
        <v>213</v>
      </c>
      <c r="E89" t="s">
        <v>432</v>
      </c>
      <c r="F89">
        <v>1960</v>
      </c>
      <c r="J89">
        <v>1000</v>
      </c>
      <c r="K89">
        <v>304</v>
      </c>
      <c r="O89" s="4" t="str">
        <f t="shared" si="3"/>
        <v/>
      </c>
      <c r="P89">
        <v>90</v>
      </c>
      <c r="V89" t="str">
        <f>CONCATENATE(INT(W89*17),"x",INT(S89*15), "x", INT(T89*15))</f>
        <v>0x0x0</v>
      </c>
      <c r="W89">
        <f t="shared" si="4"/>
        <v>0</v>
      </c>
      <c r="Y89" t="str">
        <f>VLOOKUP(W89,'Articulated Lengths'!$A$2:$B$16, 2, FALSE)</f>
        <v>na</v>
      </c>
      <c r="AA89">
        <v>10</v>
      </c>
      <c r="AB89">
        <v>10</v>
      </c>
    </row>
    <row r="90" spans="1:28" x14ac:dyDescent="0.25">
      <c r="A90" t="s">
        <v>61</v>
      </c>
      <c r="B90" t="s">
        <v>272</v>
      </c>
      <c r="C90" t="s">
        <v>213</v>
      </c>
      <c r="E90" t="s">
        <v>432</v>
      </c>
      <c r="F90">
        <v>1961</v>
      </c>
      <c r="G90">
        <v>1964</v>
      </c>
      <c r="J90">
        <v>1700</v>
      </c>
      <c r="K90">
        <v>76.2</v>
      </c>
      <c r="N90">
        <v>207</v>
      </c>
      <c r="O90" s="4">
        <f t="shared" si="3"/>
        <v>0.27165354330708663</v>
      </c>
      <c r="P90">
        <v>90</v>
      </c>
      <c r="Q90">
        <v>15.76</v>
      </c>
      <c r="R90">
        <v>15.76</v>
      </c>
      <c r="T90">
        <v>3.91</v>
      </c>
      <c r="V90" t="str">
        <f>CONCATENATE(INT(W90*17),"x",INT(S90*15), "x", INT(T90*15))</f>
        <v>153x0x58</v>
      </c>
      <c r="W90">
        <f t="shared" si="4"/>
        <v>9</v>
      </c>
      <c r="Y90" t="str">
        <f>VLOOKUP(W90,'Articulated Lengths'!$A$2:$B$16, 2, FALSE)</f>
        <v>2,5,2</v>
      </c>
      <c r="AA90">
        <v>10</v>
      </c>
      <c r="AB90">
        <v>10</v>
      </c>
    </row>
    <row r="91" spans="1:28" x14ac:dyDescent="0.25">
      <c r="A91" t="s">
        <v>63</v>
      </c>
      <c r="B91" t="s">
        <v>273</v>
      </c>
      <c r="C91" t="s">
        <v>213</v>
      </c>
      <c r="E91" t="s">
        <v>432</v>
      </c>
      <c r="F91">
        <v>1961</v>
      </c>
      <c r="G91">
        <v>1964</v>
      </c>
      <c r="J91">
        <v>2000</v>
      </c>
      <c r="K91">
        <v>110</v>
      </c>
      <c r="N91">
        <v>297</v>
      </c>
      <c r="O91" s="4">
        <f t="shared" si="3"/>
        <v>0.27</v>
      </c>
      <c r="P91">
        <v>90</v>
      </c>
      <c r="Q91">
        <v>20.73</v>
      </c>
      <c r="R91">
        <v>20.73</v>
      </c>
      <c r="T91">
        <v>3.96</v>
      </c>
      <c r="V91" t="str">
        <f>CONCATENATE(INT(W91*17),"x",INT(S91*15), "x", INT(T91*15))</f>
        <v>204x0x59</v>
      </c>
      <c r="W91">
        <f t="shared" si="4"/>
        <v>12</v>
      </c>
      <c r="Y91" t="str">
        <f>VLOOKUP(W91,'Articulated Lengths'!$A$2:$B$16, 2, FALSE)</f>
        <v>3,6,3</v>
      </c>
      <c r="AA91">
        <v>10</v>
      </c>
      <c r="AB91">
        <v>10</v>
      </c>
    </row>
    <row r="92" spans="1:28" x14ac:dyDescent="0.25">
      <c r="A92" t="s">
        <v>76</v>
      </c>
      <c r="B92" t="s">
        <v>274</v>
      </c>
      <c r="C92" t="s">
        <v>213</v>
      </c>
      <c r="E92" t="s">
        <v>432</v>
      </c>
      <c r="F92">
        <v>1961</v>
      </c>
      <c r="G92">
        <v>1967</v>
      </c>
      <c r="J92">
        <v>1250</v>
      </c>
      <c r="K92">
        <v>74.2</v>
      </c>
      <c r="N92">
        <v>170</v>
      </c>
      <c r="O92" s="4">
        <f t="shared" si="3"/>
        <v>0.22911051212938005</v>
      </c>
      <c r="P92">
        <v>90</v>
      </c>
      <c r="Q92">
        <v>15.39</v>
      </c>
      <c r="R92">
        <v>15.39</v>
      </c>
      <c r="T92">
        <v>3.86</v>
      </c>
      <c r="V92" t="str">
        <f>CONCATENATE(INT(W92*17),"x",INT(S92*15), "x", INT(T92*15))</f>
        <v>153x0x57</v>
      </c>
      <c r="W92">
        <f t="shared" si="4"/>
        <v>9</v>
      </c>
      <c r="Y92" t="str">
        <f>VLOOKUP(W92,'Articulated Lengths'!$A$2:$B$16, 2, FALSE)</f>
        <v>2,5,2</v>
      </c>
      <c r="AA92">
        <v>10</v>
      </c>
      <c r="AB92">
        <v>10</v>
      </c>
    </row>
    <row r="93" spans="1:28" x14ac:dyDescent="0.25">
      <c r="A93" t="s">
        <v>79</v>
      </c>
      <c r="B93" t="s">
        <v>275</v>
      </c>
      <c r="C93" t="s">
        <v>213</v>
      </c>
      <c r="E93" t="s">
        <v>432</v>
      </c>
      <c r="F93">
        <v>1961</v>
      </c>
      <c r="G93">
        <v>1962</v>
      </c>
      <c r="J93">
        <v>1250</v>
      </c>
      <c r="K93">
        <v>73.7</v>
      </c>
      <c r="N93">
        <v>187</v>
      </c>
      <c r="O93" s="4">
        <f t="shared" si="3"/>
        <v>0.2537313432835821</v>
      </c>
      <c r="P93">
        <v>90</v>
      </c>
      <c r="Q93">
        <v>15.47</v>
      </c>
      <c r="R93">
        <v>15.47</v>
      </c>
      <c r="T93">
        <v>3.86</v>
      </c>
      <c r="V93" t="str">
        <f>CONCATENATE(INT(W93*17),"x",INT(S93*15), "x", INT(T93*15))</f>
        <v>153x0x57</v>
      </c>
      <c r="W93">
        <f t="shared" si="4"/>
        <v>9</v>
      </c>
      <c r="Y93" t="str">
        <f>VLOOKUP(W93,'Articulated Lengths'!$A$2:$B$16, 2, FALSE)</f>
        <v>2,5,2</v>
      </c>
      <c r="AA93">
        <v>10</v>
      </c>
      <c r="AB93">
        <v>10</v>
      </c>
    </row>
    <row r="94" spans="1:28" x14ac:dyDescent="0.25">
      <c r="A94" t="s">
        <v>70</v>
      </c>
      <c r="B94" t="s">
        <v>276</v>
      </c>
      <c r="C94" t="s">
        <v>213</v>
      </c>
      <c r="E94" t="s">
        <v>432</v>
      </c>
      <c r="F94">
        <v>1962</v>
      </c>
      <c r="G94">
        <v>1968</v>
      </c>
      <c r="J94">
        <v>2750</v>
      </c>
      <c r="K94">
        <v>114</v>
      </c>
      <c r="N94">
        <v>245</v>
      </c>
      <c r="O94" s="4">
        <f t="shared" si="3"/>
        <v>0.21491228070175439</v>
      </c>
      <c r="P94">
        <v>95</v>
      </c>
      <c r="Q94">
        <v>19.38</v>
      </c>
      <c r="R94">
        <v>19.38</v>
      </c>
      <c r="T94">
        <v>3.9</v>
      </c>
      <c r="V94" t="str">
        <f>CONCATENATE(INT(W94*17),"x",INT(S94*15), "x", INT(T94*15))</f>
        <v>187x0x58</v>
      </c>
      <c r="W94">
        <f t="shared" si="4"/>
        <v>11</v>
      </c>
      <c r="Y94" t="str">
        <f>VLOOKUP(W94,'Articulated Lengths'!$A$2:$B$16, 2, FALSE)</f>
        <v>3,5,3</v>
      </c>
      <c r="AA94">
        <v>10</v>
      </c>
      <c r="AB94">
        <v>10</v>
      </c>
    </row>
    <row r="95" spans="1:28" x14ac:dyDescent="0.25">
      <c r="A95" t="s">
        <v>82</v>
      </c>
      <c r="B95" t="s">
        <v>277</v>
      </c>
      <c r="C95" t="s">
        <v>213</v>
      </c>
      <c r="E95" t="s">
        <v>432</v>
      </c>
      <c r="F95">
        <v>1962</v>
      </c>
      <c r="G95">
        <v>1965</v>
      </c>
      <c r="J95">
        <v>900</v>
      </c>
      <c r="K95">
        <v>69</v>
      </c>
      <c r="N95">
        <v>178</v>
      </c>
      <c r="O95" s="4">
        <f t="shared" si="3"/>
        <v>0.25797101449275361</v>
      </c>
      <c r="P95">
        <v>60</v>
      </c>
      <c r="Q95">
        <v>15.4</v>
      </c>
      <c r="R95">
        <v>15.4</v>
      </c>
      <c r="T95">
        <v>3.86</v>
      </c>
      <c r="V95" t="str">
        <f>CONCATENATE(INT(W95*17),"x",INT(S95*15), "x", INT(T95*15))</f>
        <v>153x0x57</v>
      </c>
      <c r="W95">
        <f t="shared" si="4"/>
        <v>9</v>
      </c>
      <c r="Y95" t="str">
        <f>VLOOKUP(W95,'Articulated Lengths'!$A$2:$B$16, 2, FALSE)</f>
        <v>2,5,2</v>
      </c>
      <c r="AA95">
        <v>10</v>
      </c>
      <c r="AB95">
        <v>10</v>
      </c>
    </row>
    <row r="96" spans="1:28" x14ac:dyDescent="0.25">
      <c r="A96" t="s">
        <v>81</v>
      </c>
      <c r="B96" t="s">
        <v>278</v>
      </c>
      <c r="C96" t="s">
        <v>213</v>
      </c>
      <c r="E96" t="s">
        <v>432</v>
      </c>
      <c r="F96">
        <v>1964</v>
      </c>
      <c r="G96">
        <v>1965</v>
      </c>
      <c r="J96">
        <v>650</v>
      </c>
      <c r="K96">
        <v>48.5</v>
      </c>
      <c r="N96">
        <v>137</v>
      </c>
      <c r="O96" s="4">
        <f t="shared" si="3"/>
        <v>0.28247422680412371</v>
      </c>
      <c r="P96">
        <v>40</v>
      </c>
      <c r="Q96">
        <v>10.3</v>
      </c>
      <c r="R96">
        <v>10.3</v>
      </c>
      <c r="V96" t="str">
        <f>CONCATENATE(INT(W96*17),"x",INT(S96*15), "x", INT(T96*15))</f>
        <v>102x0x0</v>
      </c>
      <c r="W96">
        <f t="shared" si="4"/>
        <v>6</v>
      </c>
      <c r="Y96" t="str">
        <f>VLOOKUP(W96,'Articulated Lengths'!$A$2:$B$16, 2, FALSE)</f>
        <v>2,3,2</v>
      </c>
      <c r="AA96">
        <v>10</v>
      </c>
      <c r="AB96">
        <v>10</v>
      </c>
    </row>
    <row r="97" spans="1:28" x14ac:dyDescent="0.25">
      <c r="A97" t="s">
        <v>83</v>
      </c>
      <c r="B97" t="s">
        <v>405</v>
      </c>
      <c r="C97" t="s">
        <v>213</v>
      </c>
      <c r="E97" t="s">
        <v>432</v>
      </c>
      <c r="F97">
        <v>1965</v>
      </c>
      <c r="G97">
        <v>1967</v>
      </c>
      <c r="J97">
        <v>1420</v>
      </c>
      <c r="K97">
        <v>76.3</v>
      </c>
      <c r="N97">
        <v>186</v>
      </c>
      <c r="O97" s="4">
        <f t="shared" si="3"/>
        <v>0.24377457404980341</v>
      </c>
      <c r="P97">
        <v>80</v>
      </c>
      <c r="Q97">
        <v>16.36</v>
      </c>
      <c r="R97">
        <v>16.36</v>
      </c>
      <c r="V97" t="str">
        <f>CONCATENATE(INT(W97*17),"x",INT(S97*15), "x", INT(T97*15))</f>
        <v>170x0x0</v>
      </c>
      <c r="W97">
        <f t="shared" si="4"/>
        <v>10</v>
      </c>
      <c r="Y97" t="str">
        <f>VLOOKUP(W97,'Articulated Lengths'!$A$2:$B$16, 2, FALSE)</f>
        <v>3,4,3</v>
      </c>
      <c r="AA97">
        <v>10</v>
      </c>
      <c r="AB97">
        <v>10</v>
      </c>
    </row>
    <row r="98" spans="1:28" x14ac:dyDescent="0.25">
      <c r="A98" t="s">
        <v>90</v>
      </c>
      <c r="B98" t="s">
        <v>406</v>
      </c>
      <c r="C98" t="s">
        <v>213</v>
      </c>
      <c r="E98" t="s">
        <v>432</v>
      </c>
      <c r="F98">
        <v>1965</v>
      </c>
      <c r="G98">
        <v>1966</v>
      </c>
      <c r="J98">
        <v>3600</v>
      </c>
      <c r="K98">
        <v>82</v>
      </c>
      <c r="N98">
        <v>267</v>
      </c>
      <c r="O98" s="4">
        <f t="shared" si="3"/>
        <v>0.32560975609756099</v>
      </c>
      <c r="P98">
        <v>100</v>
      </c>
      <c r="Q98">
        <v>17.829999999999998</v>
      </c>
      <c r="R98">
        <v>17.829999999999998</v>
      </c>
      <c r="T98">
        <v>3.77</v>
      </c>
      <c r="V98" t="str">
        <f>CONCATENATE(INT(W98*17),"x",INT(S98*15), "x", INT(T98*15))</f>
        <v>187x0x56</v>
      </c>
      <c r="W98">
        <f t="shared" si="4"/>
        <v>11</v>
      </c>
      <c r="Y98" t="str">
        <f>VLOOKUP(W98,'Articulated Lengths'!$A$2:$B$16, 2, FALSE)</f>
        <v>3,5,3</v>
      </c>
      <c r="AA98">
        <v>10</v>
      </c>
      <c r="AB98">
        <v>10</v>
      </c>
    </row>
    <row r="99" spans="1:28" x14ac:dyDescent="0.25">
      <c r="A99" t="s">
        <v>69</v>
      </c>
      <c r="B99" t="s">
        <v>279</v>
      </c>
      <c r="C99" t="s">
        <v>213</v>
      </c>
      <c r="E99" t="s">
        <v>432</v>
      </c>
      <c r="F99">
        <v>1967</v>
      </c>
      <c r="G99">
        <v>1968</v>
      </c>
      <c r="J99">
        <v>2700</v>
      </c>
      <c r="K99">
        <v>117</v>
      </c>
      <c r="N99">
        <v>216</v>
      </c>
      <c r="O99" s="4">
        <f t="shared" si="3"/>
        <v>0.18461538461538463</v>
      </c>
      <c r="P99">
        <v>100</v>
      </c>
      <c r="Q99">
        <v>20.88</v>
      </c>
      <c r="R99">
        <v>20.88</v>
      </c>
      <c r="T99">
        <v>3.89</v>
      </c>
      <c r="V99" t="str">
        <f>CONCATENATE(INT(W99*17),"x",INT(S99*15), "x", INT(T99*15))</f>
        <v>204x0x58</v>
      </c>
      <c r="W99">
        <f t="shared" si="4"/>
        <v>12</v>
      </c>
      <c r="Y99" t="str">
        <f>VLOOKUP(W99,'Articulated Lengths'!$A$2:$B$16, 2, FALSE)</f>
        <v>3,6,3</v>
      </c>
      <c r="AA99">
        <v>10</v>
      </c>
      <c r="AB99">
        <v>10</v>
      </c>
    </row>
    <row r="100" spans="1:28" x14ac:dyDescent="0.25">
      <c r="A100" t="s">
        <v>91</v>
      </c>
      <c r="B100" t="s">
        <v>280</v>
      </c>
      <c r="C100" t="s">
        <v>213</v>
      </c>
      <c r="E100" t="s">
        <v>432</v>
      </c>
      <c r="F100">
        <v>1973</v>
      </c>
      <c r="G100">
        <v>1975</v>
      </c>
      <c r="J100">
        <v>5000</v>
      </c>
      <c r="K100">
        <v>81</v>
      </c>
      <c r="N100">
        <v>258</v>
      </c>
      <c r="O100" s="4">
        <f t="shared" si="3"/>
        <v>0.31851851851851853</v>
      </c>
      <c r="P100">
        <v>110</v>
      </c>
      <c r="Q100">
        <v>17.829999999999998</v>
      </c>
      <c r="R100">
        <v>17.829999999999998</v>
      </c>
      <c r="T100">
        <v>3.77</v>
      </c>
      <c r="V100" t="str">
        <f>CONCATENATE(INT(W100*17),"x",INT(S100*15), "x", INT(T100*15))</f>
        <v>187x0x56</v>
      </c>
      <c r="W100">
        <f t="shared" si="4"/>
        <v>11</v>
      </c>
      <c r="Y100" t="str">
        <f>VLOOKUP(W100,'Articulated Lengths'!$A$2:$B$16, 2, FALSE)</f>
        <v>3,5,3</v>
      </c>
      <c r="AA100">
        <v>10</v>
      </c>
      <c r="AB100">
        <v>10</v>
      </c>
    </row>
    <row r="101" spans="1:28" x14ac:dyDescent="0.25">
      <c r="A101" t="s">
        <v>60</v>
      </c>
      <c r="B101" t="s">
        <v>281</v>
      </c>
      <c r="C101" t="s">
        <v>213</v>
      </c>
      <c r="E101" t="s">
        <v>432</v>
      </c>
      <c r="F101">
        <v>1975</v>
      </c>
      <c r="G101">
        <v>1982</v>
      </c>
      <c r="J101">
        <v>1770</v>
      </c>
      <c r="K101">
        <v>70.25</v>
      </c>
      <c r="N101">
        <v>160</v>
      </c>
      <c r="O101" s="4">
        <f t="shared" si="3"/>
        <v>0.22775800711743771</v>
      </c>
      <c r="P101">
        <v>125</v>
      </c>
      <c r="Q101">
        <v>17.79</v>
      </c>
      <c r="R101">
        <v>17.79</v>
      </c>
      <c r="V101" t="str">
        <f>CONCATENATE(INT(W101*17),"x",INT(S101*15), "x", INT(T101*15))</f>
        <v>170x0x0</v>
      </c>
      <c r="W101">
        <f t="shared" si="4"/>
        <v>10</v>
      </c>
      <c r="Y101" t="str">
        <f>VLOOKUP(W101,'Articulated Lengths'!$A$2:$B$16, 2, FALSE)</f>
        <v>3,4,3</v>
      </c>
      <c r="AA101">
        <v>10</v>
      </c>
      <c r="AB101">
        <v>10</v>
      </c>
    </row>
    <row r="102" spans="1:28" x14ac:dyDescent="0.25">
      <c r="A102" t="s">
        <v>186</v>
      </c>
      <c r="B102" t="s">
        <v>282</v>
      </c>
      <c r="C102" t="s">
        <v>213</v>
      </c>
      <c r="E102" t="s">
        <v>432</v>
      </c>
      <c r="F102">
        <v>1976</v>
      </c>
      <c r="G102">
        <v>1984</v>
      </c>
      <c r="J102">
        <v>3250</v>
      </c>
      <c r="K102">
        <v>125</v>
      </c>
      <c r="N102">
        <v>275</v>
      </c>
      <c r="O102" s="4">
        <f t="shared" si="3"/>
        <v>0.22</v>
      </c>
      <c r="P102">
        <v>80</v>
      </c>
      <c r="Q102">
        <v>19.350000000000001</v>
      </c>
      <c r="R102">
        <v>19.350000000000001</v>
      </c>
      <c r="T102">
        <v>3.89</v>
      </c>
      <c r="V102" t="str">
        <f>CONCATENATE(INT(W102*17),"x",INT(S102*15), "x", INT(T102*15))</f>
        <v>187x0x58</v>
      </c>
      <c r="W102">
        <f t="shared" si="4"/>
        <v>11</v>
      </c>
      <c r="Y102" t="str">
        <f>VLOOKUP(W102,'Articulated Lengths'!$A$2:$B$16, 2, FALSE)</f>
        <v>3,5,3</v>
      </c>
      <c r="AA102">
        <v>10</v>
      </c>
      <c r="AB102">
        <v>10</v>
      </c>
    </row>
    <row r="103" spans="1:28" x14ac:dyDescent="0.25">
      <c r="A103" t="s">
        <v>72</v>
      </c>
      <c r="B103" t="s">
        <v>283</v>
      </c>
      <c r="C103" t="s">
        <v>213</v>
      </c>
      <c r="E103" t="s">
        <v>432</v>
      </c>
      <c r="F103">
        <v>1983</v>
      </c>
      <c r="G103">
        <v>1987</v>
      </c>
      <c r="J103">
        <v>3300</v>
      </c>
      <c r="K103">
        <v>130</v>
      </c>
      <c r="N103">
        <v>267</v>
      </c>
      <c r="O103" s="4">
        <f t="shared" si="3"/>
        <v>0.20538461538461539</v>
      </c>
      <c r="P103">
        <v>80</v>
      </c>
      <c r="Q103">
        <v>19.13</v>
      </c>
      <c r="R103">
        <v>19.13</v>
      </c>
      <c r="T103">
        <v>3.91</v>
      </c>
      <c r="V103" t="str">
        <f>CONCATENATE(INT(W103*17),"x",INT(S103*15), "x", INT(T103*15))</f>
        <v>187x0x58</v>
      </c>
      <c r="W103">
        <f t="shared" si="4"/>
        <v>11</v>
      </c>
      <c r="Y103" t="str">
        <f>VLOOKUP(W103,'Articulated Lengths'!$A$2:$B$16, 2, FALSE)</f>
        <v>3,5,3</v>
      </c>
      <c r="AA103">
        <v>10</v>
      </c>
      <c r="AB103">
        <v>10</v>
      </c>
    </row>
    <row r="104" spans="1:28" x14ac:dyDescent="0.25">
      <c r="A104" t="s">
        <v>59</v>
      </c>
      <c r="B104" t="s">
        <v>284</v>
      </c>
      <c r="C104" t="s">
        <v>213</v>
      </c>
      <c r="E104" t="s">
        <v>432</v>
      </c>
      <c r="F104">
        <v>1985</v>
      </c>
      <c r="G104">
        <v>1995</v>
      </c>
      <c r="J104">
        <v>3300</v>
      </c>
      <c r="K104">
        <v>126</v>
      </c>
      <c r="N104">
        <v>508</v>
      </c>
      <c r="O104" s="4">
        <f t="shared" si="3"/>
        <v>0.40317460317460319</v>
      </c>
      <c r="P104">
        <v>75</v>
      </c>
      <c r="Q104">
        <v>21.4</v>
      </c>
      <c r="R104">
        <v>21.4</v>
      </c>
      <c r="T104">
        <v>3.91</v>
      </c>
      <c r="V104" t="str">
        <f>CONCATENATE(INT(W104*17),"x",INT(S104*15), "x", INT(T104*15))</f>
        <v>221x0x58</v>
      </c>
      <c r="W104">
        <f t="shared" si="4"/>
        <v>13</v>
      </c>
      <c r="Y104" t="str">
        <f>VLOOKUP(W104,'Articulated Lengths'!$A$2:$B$16, 2, FALSE)</f>
        <v>4,5,4</v>
      </c>
      <c r="AA104">
        <v>10</v>
      </c>
      <c r="AB104">
        <v>10</v>
      </c>
    </row>
    <row r="105" spans="1:28" x14ac:dyDescent="0.25">
      <c r="A105" t="s">
        <v>97</v>
      </c>
      <c r="B105" t="s">
        <v>285</v>
      </c>
      <c r="C105" t="s">
        <v>213</v>
      </c>
      <c r="E105" t="s">
        <v>432</v>
      </c>
      <c r="F105">
        <v>1987</v>
      </c>
      <c r="G105">
        <v>1990</v>
      </c>
      <c r="J105">
        <v>5000</v>
      </c>
      <c r="K105">
        <v>84.5</v>
      </c>
      <c r="N105">
        <v>258</v>
      </c>
      <c r="O105" s="4">
        <f t="shared" si="3"/>
        <v>0.30532544378698223</v>
      </c>
      <c r="P105">
        <v>110</v>
      </c>
      <c r="Q105">
        <v>18.75</v>
      </c>
      <c r="R105">
        <v>18.75</v>
      </c>
      <c r="T105">
        <v>3.96</v>
      </c>
      <c r="V105" t="str">
        <f>CONCATENATE(INT(W105*17),"x",INT(S105*15), "x", INT(T105*15))</f>
        <v>187x0x59</v>
      </c>
      <c r="W105">
        <f t="shared" si="4"/>
        <v>11</v>
      </c>
      <c r="Y105" t="str">
        <f>VLOOKUP(W105,'Articulated Lengths'!$A$2:$B$16, 2, FALSE)</f>
        <v>3,5,3</v>
      </c>
      <c r="AA105">
        <v>10</v>
      </c>
      <c r="AB105">
        <v>10</v>
      </c>
    </row>
    <row r="106" spans="1:28" x14ac:dyDescent="0.25">
      <c r="A106" t="s">
        <v>95</v>
      </c>
      <c r="B106" t="s">
        <v>373</v>
      </c>
      <c r="C106" t="s">
        <v>213</v>
      </c>
      <c r="E106" t="s">
        <v>432</v>
      </c>
      <c r="F106">
        <v>1988</v>
      </c>
      <c r="G106">
        <v>1991</v>
      </c>
      <c r="J106">
        <v>6480</v>
      </c>
      <c r="K106">
        <v>81.5</v>
      </c>
      <c r="N106">
        <v>190</v>
      </c>
      <c r="O106" s="4">
        <f t="shared" si="3"/>
        <v>0.23312883435582821</v>
      </c>
      <c r="P106">
        <v>140</v>
      </c>
      <c r="Q106">
        <v>19.399999999999999</v>
      </c>
      <c r="R106">
        <v>19.399999999999999</v>
      </c>
      <c r="V106" t="str">
        <f>CONCATENATE(INT(W106*17),"x",INT(S106*15), "x", INT(T106*15))</f>
        <v>187x0x0</v>
      </c>
      <c r="W106">
        <f t="shared" si="4"/>
        <v>11</v>
      </c>
      <c r="Y106" t="str">
        <f>VLOOKUP(W106,'Articulated Lengths'!$A$2:$B$16, 2, FALSE)</f>
        <v>3,5,3</v>
      </c>
      <c r="AA106">
        <v>10</v>
      </c>
      <c r="AB106">
        <v>10</v>
      </c>
    </row>
    <row r="107" spans="1:28" x14ac:dyDescent="0.25">
      <c r="A107" t="s">
        <v>96</v>
      </c>
      <c r="B107" t="s">
        <v>286</v>
      </c>
      <c r="C107" t="s">
        <v>213</v>
      </c>
      <c r="E107" t="s">
        <v>432</v>
      </c>
      <c r="F107">
        <v>1993</v>
      </c>
      <c r="G107">
        <v>1996</v>
      </c>
      <c r="J107">
        <v>6760</v>
      </c>
      <c r="K107">
        <v>126</v>
      </c>
      <c r="N107">
        <v>360</v>
      </c>
      <c r="O107" s="4">
        <f t="shared" si="3"/>
        <v>0.2857142857142857</v>
      </c>
      <c r="P107">
        <v>87</v>
      </c>
      <c r="Q107">
        <v>21.36</v>
      </c>
      <c r="R107">
        <v>21.36</v>
      </c>
      <c r="V107" t="str">
        <f>CONCATENATE(INT(W107*17),"x",INT(S107*15), "x", INT(T107*15))</f>
        <v>204x0x0</v>
      </c>
      <c r="W107">
        <f t="shared" si="4"/>
        <v>12</v>
      </c>
      <c r="Y107" t="str">
        <f>VLOOKUP(W107,'Articulated Lengths'!$A$2:$B$16, 2, FALSE)</f>
        <v>3,6,3</v>
      </c>
      <c r="AA107">
        <v>10</v>
      </c>
      <c r="AB107">
        <v>10</v>
      </c>
    </row>
    <row r="108" spans="1:28" x14ac:dyDescent="0.25">
      <c r="A108" t="s">
        <v>73</v>
      </c>
      <c r="B108" t="s">
        <v>287</v>
      </c>
      <c r="C108" t="s">
        <v>213</v>
      </c>
      <c r="E108" t="s">
        <v>432</v>
      </c>
      <c r="F108">
        <v>1998</v>
      </c>
      <c r="G108">
        <v>2015</v>
      </c>
      <c r="J108">
        <v>3300</v>
      </c>
      <c r="K108">
        <v>129.6</v>
      </c>
      <c r="N108">
        <v>409</v>
      </c>
      <c r="O108" s="4">
        <f t="shared" si="3"/>
        <v>0.31558641975308643</v>
      </c>
      <c r="P108">
        <v>75</v>
      </c>
      <c r="Q108">
        <v>21.4</v>
      </c>
      <c r="R108">
        <v>21.4</v>
      </c>
      <c r="T108">
        <v>3.9</v>
      </c>
      <c r="V108" t="str">
        <f>CONCATENATE(INT(W108*17),"x",INT(S108*15), "x", INT(T108*15))</f>
        <v>221x0x58</v>
      </c>
      <c r="W108">
        <f t="shared" si="4"/>
        <v>13</v>
      </c>
      <c r="Y108" t="str">
        <f>VLOOKUP(W108,'Articulated Lengths'!$A$2:$B$16, 2, FALSE)</f>
        <v>4,5,4</v>
      </c>
      <c r="AA108">
        <v>10</v>
      </c>
      <c r="AB108">
        <v>10</v>
      </c>
    </row>
    <row r="109" spans="1:28" x14ac:dyDescent="0.25">
      <c r="A109" t="s">
        <v>192</v>
      </c>
      <c r="B109" t="s">
        <v>372</v>
      </c>
      <c r="C109" t="s">
        <v>213</v>
      </c>
      <c r="E109" t="s">
        <v>432</v>
      </c>
      <c r="F109">
        <v>1998</v>
      </c>
      <c r="G109">
        <v>2004</v>
      </c>
      <c r="J109">
        <v>3000</v>
      </c>
      <c r="K109">
        <v>120.6</v>
      </c>
      <c r="N109">
        <v>250</v>
      </c>
      <c r="O109" s="4">
        <f t="shared" si="3"/>
        <v>0.20729684908789386</v>
      </c>
      <c r="P109">
        <v>95</v>
      </c>
      <c r="Q109">
        <v>19.38</v>
      </c>
      <c r="R109">
        <v>19.38</v>
      </c>
      <c r="T109">
        <v>3.9</v>
      </c>
      <c r="V109" t="str">
        <f>CONCATENATE(INT(W109*17),"x",INT(S109*15), "x", INT(T109*15))</f>
        <v>187x0x58</v>
      </c>
      <c r="W109">
        <f t="shared" si="4"/>
        <v>11</v>
      </c>
      <c r="Y109" t="str">
        <f>VLOOKUP(W109,'Articulated Lengths'!$A$2:$B$16, 2, FALSE)</f>
        <v>3,5,3</v>
      </c>
      <c r="AA109">
        <v>10</v>
      </c>
      <c r="AB109">
        <v>10</v>
      </c>
    </row>
    <row r="110" spans="1:28" x14ac:dyDescent="0.25">
      <c r="A110" t="s">
        <v>74</v>
      </c>
      <c r="B110" t="s">
        <v>288</v>
      </c>
      <c r="C110" t="s">
        <v>213</v>
      </c>
      <c r="E110" t="s">
        <v>432</v>
      </c>
      <c r="F110">
        <v>1999</v>
      </c>
      <c r="G110">
        <v>2000</v>
      </c>
      <c r="J110">
        <v>3200</v>
      </c>
      <c r="K110">
        <v>88</v>
      </c>
      <c r="N110">
        <v>144</v>
      </c>
      <c r="O110" s="4">
        <f t="shared" si="3"/>
        <v>0.16363636363636364</v>
      </c>
      <c r="P110">
        <v>125</v>
      </c>
      <c r="Q110">
        <v>19.71</v>
      </c>
      <c r="R110">
        <v>19.71</v>
      </c>
      <c r="T110">
        <v>3.93</v>
      </c>
      <c r="V110" t="str">
        <f>CONCATENATE(INT(W110*17),"x",INT(S110*15), "x", INT(T110*15))</f>
        <v>204x0x58</v>
      </c>
      <c r="W110">
        <f t="shared" si="4"/>
        <v>12</v>
      </c>
      <c r="Y110" t="str">
        <f>VLOOKUP(W110,'Articulated Lengths'!$A$2:$B$16, 2, FALSE)</f>
        <v>3,6,3</v>
      </c>
      <c r="AA110">
        <v>10</v>
      </c>
      <c r="AB110">
        <v>10</v>
      </c>
    </row>
    <row r="111" spans="1:28" x14ac:dyDescent="0.25">
      <c r="A111" t="s">
        <v>80</v>
      </c>
      <c r="B111" t="s">
        <v>289</v>
      </c>
      <c r="C111" t="s">
        <v>213</v>
      </c>
      <c r="E111" t="s">
        <v>432</v>
      </c>
      <c r="F111">
        <v>2008</v>
      </c>
      <c r="G111">
        <v>2017</v>
      </c>
      <c r="J111">
        <v>3690</v>
      </c>
      <c r="K111">
        <v>129</v>
      </c>
      <c r="N111">
        <v>534</v>
      </c>
      <c r="O111" s="4">
        <f t="shared" si="3"/>
        <v>0.413953488372093</v>
      </c>
      <c r="P111">
        <v>75</v>
      </c>
      <c r="Q111">
        <v>21.27</v>
      </c>
      <c r="R111">
        <v>21.27</v>
      </c>
      <c r="T111">
        <v>3.91</v>
      </c>
      <c r="V111" t="str">
        <f>CONCATENATE(INT(W111*17),"x",INT(S111*15), "x", INT(T111*15))</f>
        <v>204x0x58</v>
      </c>
      <c r="W111">
        <f t="shared" si="4"/>
        <v>12</v>
      </c>
      <c r="Y111" t="str">
        <f>VLOOKUP(W111,'Articulated Lengths'!$A$2:$B$16, 2, FALSE)</f>
        <v>3,6,3</v>
      </c>
      <c r="AA111">
        <v>10</v>
      </c>
      <c r="AB111">
        <v>10</v>
      </c>
    </row>
    <row r="112" spans="1:28" x14ac:dyDescent="0.25">
      <c r="A112" t="s">
        <v>84</v>
      </c>
      <c r="B112" t="s">
        <v>290</v>
      </c>
      <c r="C112" t="s">
        <v>213</v>
      </c>
      <c r="E112" t="s">
        <v>432</v>
      </c>
      <c r="F112">
        <v>2015</v>
      </c>
      <c r="G112">
        <v>2016</v>
      </c>
      <c r="J112">
        <v>5400</v>
      </c>
      <c r="K112">
        <v>86</v>
      </c>
      <c r="N112">
        <v>317</v>
      </c>
      <c r="O112" s="4">
        <f t="shared" si="3"/>
        <v>0.36860465116279068</v>
      </c>
      <c r="P112">
        <v>100</v>
      </c>
      <c r="V112" t="str">
        <f>CONCATENATE(INT(W112*17),"x",INT(S112*15), "x", INT(T112*15))</f>
        <v>0x0x0</v>
      </c>
      <c r="W112">
        <f t="shared" si="4"/>
        <v>0</v>
      </c>
      <c r="Y112" t="str">
        <f>VLOOKUP(W112,'Articulated Lengths'!$A$2:$B$16, 2, FALSE)</f>
        <v>na</v>
      </c>
      <c r="AA112">
        <v>10</v>
      </c>
      <c r="AB112">
        <v>10</v>
      </c>
    </row>
    <row r="113" spans="1:28" x14ac:dyDescent="0.25">
      <c r="A113" t="s">
        <v>99</v>
      </c>
      <c r="B113" t="s">
        <v>291</v>
      </c>
      <c r="C113" t="s">
        <v>213</v>
      </c>
      <c r="E113" t="s">
        <v>432</v>
      </c>
      <c r="F113">
        <v>1933</v>
      </c>
      <c r="G113">
        <v>1942</v>
      </c>
      <c r="J113">
        <v>260</v>
      </c>
      <c r="O113" s="4" t="str">
        <f t="shared" si="3"/>
        <v/>
      </c>
      <c r="V113" t="str">
        <f>CONCATENATE(INT(W113*17),"x",INT(S113*15), "x", INT(T113*15))</f>
        <v>0x0x0</v>
      </c>
      <c r="W113">
        <f t="shared" si="4"/>
        <v>0</v>
      </c>
      <c r="Y113" t="str">
        <f>VLOOKUP(W113,'Articulated Lengths'!$A$2:$B$16, 2, FALSE)</f>
        <v>na</v>
      </c>
      <c r="AA113">
        <v>10</v>
      </c>
      <c r="AB113">
        <v>10</v>
      </c>
    </row>
    <row r="114" spans="1:28" x14ac:dyDescent="0.25">
      <c r="A114" t="s">
        <v>100</v>
      </c>
      <c r="B114" t="s">
        <v>380</v>
      </c>
      <c r="C114" t="s">
        <v>213</v>
      </c>
      <c r="E114" t="s">
        <v>432</v>
      </c>
      <c r="F114">
        <v>1914</v>
      </c>
      <c r="J114">
        <v>1000</v>
      </c>
      <c r="O114" s="4" t="str">
        <f t="shared" si="3"/>
        <v/>
      </c>
      <c r="V114" t="str">
        <f>CONCATENATE(INT(W114*17),"x",INT(S114*15), "x", INT(T114*15))</f>
        <v>0x0x0</v>
      </c>
      <c r="W114">
        <f t="shared" si="4"/>
        <v>0</v>
      </c>
      <c r="Y114" t="str">
        <f>VLOOKUP(W114,'Articulated Lengths'!$A$2:$B$16, 2, FALSE)</f>
        <v>na</v>
      </c>
      <c r="AA114">
        <v>10</v>
      </c>
      <c r="AB114">
        <v>10</v>
      </c>
    </row>
    <row r="115" spans="1:28" x14ac:dyDescent="0.25">
      <c r="A115" t="s">
        <v>101</v>
      </c>
      <c r="B115" t="s">
        <v>367</v>
      </c>
      <c r="C115" t="s">
        <v>213</v>
      </c>
      <c r="E115" t="s">
        <v>432</v>
      </c>
      <c r="F115">
        <v>1932</v>
      </c>
      <c r="H115">
        <v>1972</v>
      </c>
      <c r="J115">
        <v>1800</v>
      </c>
      <c r="K115">
        <v>253</v>
      </c>
      <c r="O115" s="4" t="str">
        <f t="shared" si="3"/>
        <v/>
      </c>
      <c r="P115">
        <v>75</v>
      </c>
      <c r="U115">
        <f>40+132</f>
        <v>172</v>
      </c>
      <c r="V115" t="str">
        <f>CONCATENATE(INT(W115*17),"x",INT(S115*15), "x", INT(T115*15))</f>
        <v>0x0x0</v>
      </c>
      <c r="W115">
        <f t="shared" si="4"/>
        <v>0</v>
      </c>
      <c r="Y115" t="str">
        <f>VLOOKUP(W115,'Articulated Lengths'!$A$2:$B$16, 2, FALSE)</f>
        <v>na</v>
      </c>
      <c r="AA115">
        <v>10</v>
      </c>
      <c r="AB115">
        <v>10</v>
      </c>
    </row>
    <row r="116" spans="1:28" x14ac:dyDescent="0.25">
      <c r="A116" t="s">
        <v>102</v>
      </c>
      <c r="B116" t="s">
        <v>368</v>
      </c>
      <c r="C116" t="s">
        <v>213</v>
      </c>
      <c r="E116" t="s">
        <v>432</v>
      </c>
      <c r="F116">
        <v>1937</v>
      </c>
      <c r="G116">
        <v>1938</v>
      </c>
      <c r="H116">
        <v>1972</v>
      </c>
      <c r="J116">
        <v>900</v>
      </c>
      <c r="K116">
        <v>160.80000000000001</v>
      </c>
      <c r="O116" s="4" t="str">
        <f t="shared" si="3"/>
        <v/>
      </c>
      <c r="P116">
        <v>75</v>
      </c>
      <c r="V116" t="str">
        <f>CONCATENATE(INT(W116*17),"x",INT(S116*15), "x", INT(T116*15))</f>
        <v>0x0x0</v>
      </c>
      <c r="W116">
        <f t="shared" si="4"/>
        <v>0</v>
      </c>
      <c r="Y116" t="str">
        <f>VLOOKUP(W116,'Articulated Lengths'!$A$2:$B$16, 2, FALSE)</f>
        <v>na</v>
      </c>
      <c r="AA116">
        <v>10</v>
      </c>
      <c r="AB116">
        <v>10</v>
      </c>
    </row>
    <row r="117" spans="1:28" x14ac:dyDescent="0.25">
      <c r="A117" t="s">
        <v>103</v>
      </c>
      <c r="B117" t="s">
        <v>369</v>
      </c>
      <c r="C117" t="s">
        <v>213</v>
      </c>
      <c r="E117" t="s">
        <v>432</v>
      </c>
      <c r="F117">
        <v>1938</v>
      </c>
      <c r="G117">
        <v>1939</v>
      </c>
      <c r="H117">
        <v>1971</v>
      </c>
      <c r="J117">
        <v>550</v>
      </c>
      <c r="K117">
        <v>77</v>
      </c>
      <c r="O117" s="4" t="str">
        <f t="shared" si="3"/>
        <v/>
      </c>
      <c r="U117">
        <f>32+102</f>
        <v>134</v>
      </c>
      <c r="V117" t="str">
        <f>CONCATENATE(INT(W117*17),"x",INT(S117*15), "x", INT(T117*15))</f>
        <v>0x0x0</v>
      </c>
      <c r="W117">
        <f t="shared" si="4"/>
        <v>0</v>
      </c>
      <c r="Y117" t="str">
        <f>VLOOKUP(W117,'Articulated Lengths'!$A$2:$B$16, 2, FALSE)</f>
        <v>na</v>
      </c>
      <c r="AA117">
        <v>10</v>
      </c>
      <c r="AB117">
        <v>10</v>
      </c>
    </row>
    <row r="118" spans="1:28" x14ac:dyDescent="0.25">
      <c r="A118" t="s">
        <v>104</v>
      </c>
      <c r="B118" t="s">
        <v>370</v>
      </c>
      <c r="C118" t="s">
        <v>213</v>
      </c>
      <c r="E118" t="s">
        <v>432</v>
      </c>
      <c r="F118">
        <v>1956</v>
      </c>
      <c r="G118">
        <v>1960</v>
      </c>
      <c r="H118">
        <v>2003</v>
      </c>
      <c r="J118">
        <v>300</v>
      </c>
      <c r="K118">
        <f>32.5+25</f>
        <v>57.5</v>
      </c>
      <c r="O118" s="4" t="str">
        <f t="shared" si="3"/>
        <v/>
      </c>
      <c r="P118">
        <v>70</v>
      </c>
      <c r="Q118">
        <v>17.37</v>
      </c>
      <c r="R118">
        <v>17.37</v>
      </c>
      <c r="T118">
        <v>3.77</v>
      </c>
      <c r="V118" t="str">
        <f>CONCATENATE(INT(W118*17),"x",INT(S118*15), "x", INT(T118*15))</f>
        <v>170x0x56</v>
      </c>
      <c r="W118">
        <f t="shared" si="4"/>
        <v>10</v>
      </c>
      <c r="Y118" t="str">
        <f>VLOOKUP(W118,'Articulated Lengths'!$A$2:$B$16, 2, FALSE)</f>
        <v>3,4,3</v>
      </c>
      <c r="AA118">
        <v>10</v>
      </c>
      <c r="AB118">
        <v>10</v>
      </c>
    </row>
    <row r="119" spans="1:28" x14ac:dyDescent="0.25">
      <c r="A119" t="s">
        <v>105</v>
      </c>
      <c r="B119" t="s">
        <v>371</v>
      </c>
      <c r="C119" t="s">
        <v>213</v>
      </c>
      <c r="E119" t="s">
        <v>432</v>
      </c>
      <c r="F119">
        <v>1959</v>
      </c>
      <c r="G119">
        <v>1961</v>
      </c>
      <c r="H119">
        <v>2000</v>
      </c>
      <c r="J119">
        <v>600</v>
      </c>
      <c r="K119">
        <f>36.6+30.5+36.6</f>
        <v>103.69999999999999</v>
      </c>
      <c r="O119" s="4" t="str">
        <f t="shared" si="3"/>
        <v/>
      </c>
      <c r="P119">
        <v>70</v>
      </c>
      <c r="Q119">
        <v>19.510000000000002</v>
      </c>
      <c r="R119">
        <v>19.510000000000002</v>
      </c>
      <c r="T119">
        <v>3.87</v>
      </c>
      <c r="V119" t="str">
        <f>CONCATENATE(INT(W119*17),"x",INT(S119*15), "x", INT(T119*15))</f>
        <v>187x0x58</v>
      </c>
      <c r="W119">
        <f t="shared" si="4"/>
        <v>11</v>
      </c>
      <c r="Y119" t="str">
        <f>VLOOKUP(W119,'Articulated Lengths'!$A$2:$B$16, 2, FALSE)</f>
        <v>3,5,3</v>
      </c>
      <c r="AA119">
        <v>10</v>
      </c>
      <c r="AB119">
        <v>10</v>
      </c>
    </row>
    <row r="120" spans="1:28" x14ac:dyDescent="0.25">
      <c r="A120" t="s">
        <v>106</v>
      </c>
      <c r="B120" t="s">
        <v>350</v>
      </c>
      <c r="C120" t="s">
        <v>213</v>
      </c>
      <c r="E120" t="s">
        <v>432</v>
      </c>
      <c r="F120">
        <v>1960</v>
      </c>
      <c r="H120">
        <v>2017</v>
      </c>
      <c r="J120">
        <v>300</v>
      </c>
      <c r="K120">
        <v>38</v>
      </c>
      <c r="O120" s="4" t="str">
        <f t="shared" si="3"/>
        <v/>
      </c>
      <c r="P120">
        <v>70</v>
      </c>
      <c r="Q120">
        <v>19.66</v>
      </c>
      <c r="R120">
        <v>19.66</v>
      </c>
      <c r="T120">
        <v>3.77</v>
      </c>
      <c r="U120">
        <v>65</v>
      </c>
      <c r="V120" t="str">
        <f>CONCATENATE(INT(W120*17),"x",INT(S120*15), "x", INT(T120*15))</f>
        <v>204x0x56</v>
      </c>
      <c r="W120">
        <f t="shared" si="4"/>
        <v>12</v>
      </c>
      <c r="Y120" t="str">
        <f>VLOOKUP(W120,'Articulated Lengths'!$A$2:$B$16, 2, FALSE)</f>
        <v>3,6,3</v>
      </c>
      <c r="AA120">
        <v>10</v>
      </c>
      <c r="AB120">
        <v>10</v>
      </c>
    </row>
    <row r="121" spans="1:28" x14ac:dyDescent="0.25">
      <c r="A121" t="s">
        <v>107</v>
      </c>
      <c r="B121" t="s">
        <v>292</v>
      </c>
      <c r="C121" t="s">
        <v>213</v>
      </c>
      <c r="E121" t="s">
        <v>432</v>
      </c>
      <c r="F121">
        <v>1956</v>
      </c>
      <c r="G121">
        <v>1959</v>
      </c>
      <c r="H121">
        <v>1988</v>
      </c>
      <c r="J121">
        <v>300</v>
      </c>
      <c r="K121">
        <f>30.5*2</f>
        <v>61</v>
      </c>
      <c r="O121" s="4" t="str">
        <f t="shared" si="3"/>
        <v/>
      </c>
      <c r="P121">
        <v>70</v>
      </c>
      <c r="Q121">
        <v>17.53</v>
      </c>
      <c r="R121">
        <v>17.53</v>
      </c>
      <c r="T121">
        <v>3.84</v>
      </c>
      <c r="V121" t="str">
        <f>CONCATENATE(INT(W121*17),"x",INT(S121*15), "x", INT(T121*15))</f>
        <v>170x0x57</v>
      </c>
      <c r="W121">
        <f t="shared" si="4"/>
        <v>10</v>
      </c>
      <c r="Y121" t="str">
        <f>VLOOKUP(W121,'Articulated Lengths'!$A$2:$B$16, 2, FALSE)</f>
        <v>3,4,3</v>
      </c>
      <c r="AA121">
        <v>10</v>
      </c>
      <c r="AB121">
        <v>10</v>
      </c>
    </row>
    <row r="122" spans="1:28" x14ac:dyDescent="0.25">
      <c r="A122" t="s">
        <v>108</v>
      </c>
      <c r="B122" t="s">
        <v>351</v>
      </c>
      <c r="C122" t="s">
        <v>213</v>
      </c>
      <c r="E122" t="s">
        <v>432</v>
      </c>
      <c r="F122">
        <v>2003</v>
      </c>
      <c r="J122">
        <v>1600</v>
      </c>
      <c r="K122">
        <v>173.6</v>
      </c>
      <c r="O122" s="4" t="str">
        <f t="shared" si="3"/>
        <v/>
      </c>
      <c r="P122">
        <v>100</v>
      </c>
      <c r="Q122">
        <v>20.399999999999999</v>
      </c>
      <c r="R122">
        <v>20.399999999999999</v>
      </c>
      <c r="T122">
        <v>3.78</v>
      </c>
      <c r="V122" t="str">
        <f>CONCATENATE(INT(W122*17),"x",INT(S122*15), "x", INT(T122*15))</f>
        <v>204x0x56</v>
      </c>
      <c r="W122">
        <f t="shared" si="4"/>
        <v>12</v>
      </c>
      <c r="Y122" t="str">
        <f>VLOOKUP(W122,'Articulated Lengths'!$A$2:$B$16, 2, FALSE)</f>
        <v>3,6,3</v>
      </c>
      <c r="AA122">
        <v>10</v>
      </c>
      <c r="AB122">
        <v>10</v>
      </c>
    </row>
    <row r="123" spans="1:28" x14ac:dyDescent="0.25">
      <c r="A123" t="s">
        <v>109</v>
      </c>
      <c r="B123" t="s">
        <v>381</v>
      </c>
      <c r="C123" t="s">
        <v>213</v>
      </c>
      <c r="E123" t="s">
        <v>432</v>
      </c>
      <c r="F123">
        <v>1992</v>
      </c>
      <c r="G123">
        <v>1994</v>
      </c>
      <c r="H123" t="s">
        <v>196</v>
      </c>
      <c r="J123">
        <v>1608</v>
      </c>
      <c r="K123">
        <v>136</v>
      </c>
      <c r="O123" s="4" t="str">
        <f t="shared" si="3"/>
        <v/>
      </c>
      <c r="P123">
        <v>75</v>
      </c>
      <c r="Q123">
        <v>20.89</v>
      </c>
      <c r="R123">
        <v>20.89</v>
      </c>
      <c r="T123">
        <v>3.77</v>
      </c>
      <c r="U123">
        <v>348</v>
      </c>
      <c r="V123" t="str">
        <f>CONCATENATE(INT(W123*17),"x",INT(S123*15), "x", INT(T123*15))</f>
        <v>204x0x56</v>
      </c>
      <c r="W123">
        <f t="shared" si="4"/>
        <v>12</v>
      </c>
      <c r="Y123" t="str">
        <f>VLOOKUP(W123,'Articulated Lengths'!$A$2:$B$16, 2, FALSE)</f>
        <v>3,6,3</v>
      </c>
      <c r="AA123">
        <v>10</v>
      </c>
      <c r="AB123">
        <v>10</v>
      </c>
    </row>
    <row r="124" spans="1:28" x14ac:dyDescent="0.25">
      <c r="A124" t="s">
        <v>110</v>
      </c>
      <c r="B124" t="s">
        <v>382</v>
      </c>
      <c r="C124" t="s">
        <v>213</v>
      </c>
      <c r="E124" t="s">
        <v>432</v>
      </c>
      <c r="F124">
        <v>2000</v>
      </c>
      <c r="G124">
        <v>2001</v>
      </c>
      <c r="H124">
        <v>2012</v>
      </c>
      <c r="I124">
        <v>8</v>
      </c>
      <c r="J124">
        <v>3620</v>
      </c>
      <c r="O124" s="4" t="str">
        <f t="shared" si="3"/>
        <v/>
      </c>
      <c r="P124">
        <v>100</v>
      </c>
      <c r="V124" t="str">
        <f>CONCATENATE(INT(W124*17),"x",INT(S124*15), "x", INT(T124*15))</f>
        <v>0x0x0</v>
      </c>
      <c r="W124">
        <f t="shared" si="4"/>
        <v>0</v>
      </c>
      <c r="Y124" t="str">
        <f>VLOOKUP(W124,'Articulated Lengths'!$A$2:$B$16, 2, FALSE)</f>
        <v>na</v>
      </c>
      <c r="AA124">
        <v>10</v>
      </c>
      <c r="AB124">
        <v>10</v>
      </c>
    </row>
    <row r="125" spans="1:28" x14ac:dyDescent="0.25">
      <c r="A125" t="s">
        <v>111</v>
      </c>
      <c r="B125" t="s">
        <v>383</v>
      </c>
      <c r="C125" t="s">
        <v>213</v>
      </c>
      <c r="E125" t="s">
        <v>432</v>
      </c>
      <c r="F125">
        <v>2007</v>
      </c>
      <c r="G125">
        <v>2009</v>
      </c>
      <c r="H125" t="s">
        <v>196</v>
      </c>
      <c r="J125">
        <f>16*280</f>
        <v>4480</v>
      </c>
      <c r="K125">
        <v>265</v>
      </c>
      <c r="O125" s="4" t="str">
        <f t="shared" si="3"/>
        <v/>
      </c>
      <c r="P125">
        <v>157</v>
      </c>
      <c r="Q125">
        <v>20.88</v>
      </c>
      <c r="R125">
        <v>20.88</v>
      </c>
      <c r="T125">
        <v>3.82</v>
      </c>
      <c r="U125">
        <v>352</v>
      </c>
      <c r="V125" t="str">
        <f>CONCATENATE(INT(W125*17),"x",INT(S125*15), "x", INT(T125*15))</f>
        <v>204x0x57</v>
      </c>
      <c r="W125">
        <f t="shared" si="4"/>
        <v>12</v>
      </c>
      <c r="Y125" t="str">
        <f>VLOOKUP(W125,'Articulated Lengths'!$A$2:$B$16, 2, FALSE)</f>
        <v>3,6,3</v>
      </c>
      <c r="AA125">
        <v>10</v>
      </c>
      <c r="AB125">
        <v>10</v>
      </c>
    </row>
    <row r="126" spans="1:28" x14ac:dyDescent="0.25">
      <c r="A126" t="s">
        <v>112</v>
      </c>
      <c r="B126" t="s">
        <v>293</v>
      </c>
      <c r="C126" t="s">
        <v>213</v>
      </c>
      <c r="E126" t="s">
        <v>432</v>
      </c>
      <c r="F126">
        <v>1987</v>
      </c>
      <c r="G126">
        <v>1990</v>
      </c>
      <c r="I126">
        <v>4</v>
      </c>
      <c r="J126">
        <f>4*332</f>
        <v>1328</v>
      </c>
      <c r="K126">
        <v>140.30000000000001</v>
      </c>
      <c r="O126" s="4" t="str">
        <f t="shared" si="3"/>
        <v/>
      </c>
      <c r="P126">
        <v>100</v>
      </c>
      <c r="Q126">
        <v>19.829999999999998</v>
      </c>
      <c r="R126">
        <v>19.829999999999998</v>
      </c>
      <c r="T126">
        <v>3.58</v>
      </c>
      <c r="V126" t="str">
        <f>CONCATENATE(INT(W126*17),"x",INT(S126*15), "x", INT(T126*15))</f>
        <v>204x0x53</v>
      </c>
      <c r="W126">
        <f t="shared" si="4"/>
        <v>12</v>
      </c>
      <c r="Y126" t="str">
        <f>VLOOKUP(W126,'Articulated Lengths'!$A$2:$B$16, 2, FALSE)</f>
        <v>3,6,3</v>
      </c>
      <c r="AA126">
        <v>10</v>
      </c>
      <c r="AB126">
        <v>10</v>
      </c>
    </row>
    <row r="127" spans="1:28" x14ac:dyDescent="0.25">
      <c r="A127" t="s">
        <v>113</v>
      </c>
      <c r="B127" t="s">
        <v>294</v>
      </c>
      <c r="C127" t="s">
        <v>213</v>
      </c>
      <c r="E127" t="s">
        <v>432</v>
      </c>
      <c r="F127">
        <v>1980</v>
      </c>
      <c r="G127">
        <v>1981</v>
      </c>
      <c r="H127" t="s">
        <v>196</v>
      </c>
      <c r="I127">
        <v>4</v>
      </c>
      <c r="J127">
        <v>880</v>
      </c>
      <c r="K127">
        <v>127.5</v>
      </c>
      <c r="O127" s="4" t="str">
        <f t="shared" si="3"/>
        <v/>
      </c>
      <c r="P127">
        <v>75</v>
      </c>
      <c r="Q127">
        <v>19.8</v>
      </c>
      <c r="R127">
        <v>19.8</v>
      </c>
      <c r="T127">
        <v>3.58</v>
      </c>
      <c r="U127">
        <v>318</v>
      </c>
      <c r="V127" t="str">
        <f>CONCATENATE(INT(W127*17),"x",INT(S127*15), "x", INT(T127*15))</f>
        <v>204x0x53</v>
      </c>
      <c r="W127">
        <f t="shared" si="4"/>
        <v>12</v>
      </c>
      <c r="Y127" t="str">
        <f>VLOOKUP(W127,'Articulated Lengths'!$A$2:$B$16, 2, FALSE)</f>
        <v>3,6,3</v>
      </c>
      <c r="AA127">
        <v>10</v>
      </c>
      <c r="AB127">
        <v>10</v>
      </c>
    </row>
    <row r="128" spans="1:28" x14ac:dyDescent="0.25">
      <c r="A128" t="s">
        <v>114</v>
      </c>
      <c r="B128" t="s">
        <v>295</v>
      </c>
      <c r="C128" t="s">
        <v>213</v>
      </c>
      <c r="E128" t="s">
        <v>432</v>
      </c>
      <c r="F128">
        <v>1976</v>
      </c>
      <c r="G128">
        <v>1977</v>
      </c>
      <c r="H128" t="s">
        <v>196</v>
      </c>
      <c r="I128">
        <v>3</v>
      </c>
      <c r="J128">
        <v>880</v>
      </c>
      <c r="K128">
        <v>104.5</v>
      </c>
      <c r="O128" s="4" t="str">
        <f t="shared" si="3"/>
        <v/>
      </c>
      <c r="P128">
        <v>75</v>
      </c>
      <c r="Q128">
        <v>20.329999999999998</v>
      </c>
      <c r="R128">
        <v>20.329999999999998</v>
      </c>
      <c r="T128">
        <v>3.58</v>
      </c>
      <c r="U128">
        <v>232</v>
      </c>
      <c r="V128" t="str">
        <f>CONCATENATE(INT(W128*17),"x",INT(S128*15), "x", INT(T128*15))</f>
        <v>204x0x53</v>
      </c>
      <c r="W128">
        <f t="shared" si="4"/>
        <v>12</v>
      </c>
      <c r="Y128" t="str">
        <f>VLOOKUP(W128,'Articulated Lengths'!$A$2:$B$16, 2, FALSE)</f>
        <v>3,6,3</v>
      </c>
      <c r="AA128">
        <v>10</v>
      </c>
      <c r="AB128">
        <v>10</v>
      </c>
    </row>
    <row r="129" spans="1:28" x14ac:dyDescent="0.25">
      <c r="A129" t="s">
        <v>115</v>
      </c>
      <c r="B129" t="s">
        <v>352</v>
      </c>
      <c r="C129" t="s">
        <v>213</v>
      </c>
      <c r="E129" t="s">
        <v>432</v>
      </c>
      <c r="O129" s="4" t="str">
        <f t="shared" si="3"/>
        <v/>
      </c>
      <c r="V129" t="str">
        <f>CONCATENATE(INT(W129*17),"x",INT(S129*15), "x", INT(T129*15))</f>
        <v>0x0x0</v>
      </c>
      <c r="W129">
        <f t="shared" si="4"/>
        <v>0</v>
      </c>
      <c r="Y129" t="str">
        <f>VLOOKUP(W129,'Articulated Lengths'!$A$2:$B$16, 2, FALSE)</f>
        <v>na</v>
      </c>
      <c r="AA129">
        <v>10</v>
      </c>
      <c r="AB129">
        <v>10</v>
      </c>
    </row>
    <row r="130" spans="1:28" x14ac:dyDescent="0.25">
      <c r="A130" t="s">
        <v>116</v>
      </c>
      <c r="B130" t="s">
        <v>353</v>
      </c>
      <c r="C130" t="s">
        <v>213</v>
      </c>
      <c r="E130" t="s">
        <v>432</v>
      </c>
      <c r="O130" s="4" t="str">
        <f t="shared" si="3"/>
        <v/>
      </c>
      <c r="V130" t="str">
        <f>CONCATENATE(INT(W130*17),"x",INT(S130*15), "x", INT(T130*15))</f>
        <v>0x0x0</v>
      </c>
      <c r="W130">
        <f t="shared" si="4"/>
        <v>0</v>
      </c>
      <c r="Y130" t="str">
        <f>VLOOKUP(W130,'Articulated Lengths'!$A$2:$B$16, 2, FALSE)</f>
        <v>na</v>
      </c>
      <c r="AA130">
        <v>10</v>
      </c>
      <c r="AB130">
        <v>10</v>
      </c>
    </row>
    <row r="131" spans="1:28" x14ac:dyDescent="0.25">
      <c r="A131" t="s">
        <v>117</v>
      </c>
      <c r="B131" t="s">
        <v>354</v>
      </c>
      <c r="C131" t="s">
        <v>213</v>
      </c>
      <c r="E131" t="s">
        <v>432</v>
      </c>
      <c r="O131" s="4" t="str">
        <f t="shared" si="3"/>
        <v/>
      </c>
      <c r="V131" t="str">
        <f>CONCATENATE(INT(W131*17),"x",INT(S131*15), "x", INT(T131*15))</f>
        <v>0x0x0</v>
      </c>
      <c r="W131">
        <f t="shared" si="4"/>
        <v>0</v>
      </c>
      <c r="Y131" t="str">
        <f>VLOOKUP(W131,'Articulated Lengths'!$A$2:$B$16, 2, FALSE)</f>
        <v>na</v>
      </c>
      <c r="AA131">
        <v>10</v>
      </c>
      <c r="AB131">
        <v>10</v>
      </c>
    </row>
    <row r="132" spans="1:28" x14ac:dyDescent="0.25">
      <c r="A132" t="s">
        <v>118</v>
      </c>
      <c r="B132" t="s">
        <v>355</v>
      </c>
      <c r="C132" t="s">
        <v>213</v>
      </c>
      <c r="E132" t="s">
        <v>432</v>
      </c>
      <c r="O132" s="4" t="str">
        <f t="shared" si="3"/>
        <v/>
      </c>
      <c r="V132" t="str">
        <f>CONCATENATE(INT(W132*17),"x",INT(S132*15), "x", INT(T132*15))</f>
        <v>0x0x0</v>
      </c>
      <c r="W132">
        <f t="shared" si="4"/>
        <v>0</v>
      </c>
      <c r="Y132" t="str">
        <f>VLOOKUP(W132,'Articulated Lengths'!$A$2:$B$16, 2, FALSE)</f>
        <v>na</v>
      </c>
      <c r="AA132">
        <v>10</v>
      </c>
      <c r="AB132">
        <v>10</v>
      </c>
    </row>
    <row r="133" spans="1:28" x14ac:dyDescent="0.25">
      <c r="A133" t="s">
        <v>119</v>
      </c>
      <c r="B133" t="s">
        <v>296</v>
      </c>
      <c r="C133" t="s">
        <v>213</v>
      </c>
      <c r="E133" t="s">
        <v>432</v>
      </c>
      <c r="O133" s="4" t="str">
        <f t="shared" si="3"/>
        <v/>
      </c>
      <c r="V133" t="str">
        <f>CONCATENATE(INT(W133*17),"x",INT(S133*15), "x", INT(T133*15))</f>
        <v>0x0x0</v>
      </c>
      <c r="W133">
        <f t="shared" si="4"/>
        <v>0</v>
      </c>
      <c r="Y133" t="str">
        <f>VLOOKUP(W133,'Articulated Lengths'!$A$2:$B$16, 2, FALSE)</f>
        <v>na</v>
      </c>
      <c r="AA133">
        <v>10</v>
      </c>
      <c r="AB133">
        <v>10</v>
      </c>
    </row>
    <row r="134" spans="1:28" x14ac:dyDescent="0.25">
      <c r="A134" t="s">
        <v>120</v>
      </c>
      <c r="B134" t="s">
        <v>297</v>
      </c>
      <c r="C134" t="s">
        <v>213</v>
      </c>
      <c r="E134" t="s">
        <v>432</v>
      </c>
      <c r="O134" s="4" t="str">
        <f t="shared" si="3"/>
        <v/>
      </c>
      <c r="V134" t="str">
        <f>CONCATENATE(INT(W134*17),"x",INT(S134*15), "x", INT(T134*15))</f>
        <v>0x0x0</v>
      </c>
      <c r="W134">
        <f t="shared" si="4"/>
        <v>0</v>
      </c>
      <c r="Y134" t="str">
        <f>VLOOKUP(W134,'Articulated Lengths'!$A$2:$B$16, 2, FALSE)</f>
        <v>na</v>
      </c>
      <c r="AA134">
        <v>10</v>
      </c>
      <c r="AB134">
        <v>10</v>
      </c>
    </row>
    <row r="135" spans="1:28" x14ac:dyDescent="0.25">
      <c r="A135" t="s">
        <v>121</v>
      </c>
      <c r="B135" t="s">
        <v>298</v>
      </c>
      <c r="C135" t="s">
        <v>213</v>
      </c>
      <c r="E135" t="s">
        <v>432</v>
      </c>
      <c r="O135" s="4" t="str">
        <f t="shared" si="3"/>
        <v/>
      </c>
      <c r="V135" t="str">
        <f>CONCATENATE(INT(W135*17),"x",INT(S135*15), "x", INT(T135*15))</f>
        <v>0x0x0</v>
      </c>
      <c r="W135">
        <f t="shared" si="4"/>
        <v>0</v>
      </c>
      <c r="Y135" t="str">
        <f>VLOOKUP(W135,'Articulated Lengths'!$A$2:$B$16, 2, FALSE)</f>
        <v>na</v>
      </c>
      <c r="AA135">
        <v>10</v>
      </c>
      <c r="AB135">
        <v>10</v>
      </c>
    </row>
    <row r="136" spans="1:28" x14ac:dyDescent="0.25">
      <c r="A136" t="s">
        <v>122</v>
      </c>
      <c r="B136" t="s">
        <v>407</v>
      </c>
      <c r="C136" t="s">
        <v>213</v>
      </c>
      <c r="E136" t="s">
        <v>432</v>
      </c>
      <c r="O136" s="4" t="str">
        <f t="shared" si="3"/>
        <v/>
      </c>
      <c r="V136" t="str">
        <f>CONCATENATE(INT(W136*17),"x",INT(S136*15), "x", INT(T136*15))</f>
        <v>0x0x0</v>
      </c>
      <c r="W136">
        <f t="shared" si="4"/>
        <v>0</v>
      </c>
      <c r="Y136" t="str">
        <f>VLOOKUP(W136,'Articulated Lengths'!$A$2:$B$16, 2, FALSE)</f>
        <v>na</v>
      </c>
      <c r="AA136">
        <v>10</v>
      </c>
      <c r="AB136">
        <v>10</v>
      </c>
    </row>
    <row r="137" spans="1:28" x14ac:dyDescent="0.25">
      <c r="A137" t="s">
        <v>123</v>
      </c>
      <c r="B137" t="s">
        <v>299</v>
      </c>
      <c r="C137" t="s">
        <v>213</v>
      </c>
      <c r="E137" t="s">
        <v>432</v>
      </c>
      <c r="O137" s="4" t="str">
        <f t="shared" si="3"/>
        <v/>
      </c>
      <c r="V137" t="str">
        <f>CONCATENATE(INT(W137*17),"x",INT(S137*15), "x", INT(T137*15))</f>
        <v>0x0x0</v>
      </c>
      <c r="W137">
        <f t="shared" si="4"/>
        <v>0</v>
      </c>
      <c r="Y137" t="str">
        <f>VLOOKUP(W137,'Articulated Lengths'!$A$2:$B$16, 2, FALSE)</f>
        <v>na</v>
      </c>
      <c r="AA137">
        <v>10</v>
      </c>
      <c r="AB137">
        <v>10</v>
      </c>
    </row>
    <row r="138" spans="1:28" x14ac:dyDescent="0.25">
      <c r="A138" t="s">
        <v>124</v>
      </c>
      <c r="B138" t="s">
        <v>409</v>
      </c>
      <c r="C138" t="s">
        <v>213</v>
      </c>
      <c r="E138" t="s">
        <v>432</v>
      </c>
      <c r="O138" s="4" t="str">
        <f t="shared" si="3"/>
        <v/>
      </c>
      <c r="V138" t="str">
        <f>CONCATENATE(INT(W138*17),"x",INT(S138*15), "x", INT(T138*15))</f>
        <v>0x0x0</v>
      </c>
      <c r="W138">
        <f t="shared" si="4"/>
        <v>0</v>
      </c>
      <c r="Y138" t="str">
        <f>VLOOKUP(W138,'Articulated Lengths'!$A$2:$B$16, 2, FALSE)</f>
        <v>na</v>
      </c>
      <c r="AA138">
        <v>10</v>
      </c>
      <c r="AB138">
        <v>10</v>
      </c>
    </row>
    <row r="139" spans="1:28" x14ac:dyDescent="0.25">
      <c r="A139" t="s">
        <v>125</v>
      </c>
      <c r="B139" t="s">
        <v>300</v>
      </c>
      <c r="C139" t="s">
        <v>213</v>
      </c>
      <c r="E139" t="s">
        <v>432</v>
      </c>
      <c r="O139" s="4" t="str">
        <f t="shared" si="3"/>
        <v/>
      </c>
      <c r="V139" t="str">
        <f>CONCATENATE(INT(W139*17),"x",INT(S139*15), "x", INT(T139*15))</f>
        <v>0x0x0</v>
      </c>
      <c r="W139">
        <f t="shared" si="4"/>
        <v>0</v>
      </c>
      <c r="Y139" t="str">
        <f>VLOOKUP(W139,'Articulated Lengths'!$A$2:$B$16, 2, FALSE)</f>
        <v>na</v>
      </c>
      <c r="AA139">
        <v>10</v>
      </c>
      <c r="AB139">
        <v>10</v>
      </c>
    </row>
    <row r="140" spans="1:28" x14ac:dyDescent="0.25">
      <c r="A140" t="s">
        <v>126</v>
      </c>
      <c r="B140" t="s">
        <v>358</v>
      </c>
      <c r="C140" t="s">
        <v>213</v>
      </c>
      <c r="E140" t="s">
        <v>432</v>
      </c>
      <c r="O140" s="4" t="str">
        <f t="shared" ref="O140:O199" si="5">IF(AND(K140&gt;0,N140&gt;0),(N140/(K140*10)),"")</f>
        <v/>
      </c>
      <c r="V140" t="str">
        <f>CONCATENATE(INT(W140*17),"x",INT(S140*15), "x", INT(T140*15))</f>
        <v>0x0x0</v>
      </c>
      <c r="W140">
        <f t="shared" si="4"/>
        <v>0</v>
      </c>
      <c r="Y140" t="str">
        <f>VLOOKUP(W140,'Articulated Lengths'!$A$2:$B$16, 2, FALSE)</f>
        <v>na</v>
      </c>
      <c r="AA140">
        <v>10</v>
      </c>
      <c r="AB140">
        <v>10</v>
      </c>
    </row>
    <row r="141" spans="1:28" x14ac:dyDescent="0.25">
      <c r="A141" t="s">
        <v>127</v>
      </c>
      <c r="B141" t="s">
        <v>359</v>
      </c>
      <c r="C141" t="s">
        <v>213</v>
      </c>
      <c r="E141" t="s">
        <v>432</v>
      </c>
      <c r="O141" s="4" t="str">
        <f t="shared" si="5"/>
        <v/>
      </c>
      <c r="V141" t="str">
        <f>CONCATENATE(INT(W141*17),"x",INT(S141*15), "x", INT(T141*15))</f>
        <v>0x0x0</v>
      </c>
      <c r="W141">
        <f t="shared" si="4"/>
        <v>0</v>
      </c>
      <c r="Y141" t="str">
        <f>VLOOKUP(W141,'Articulated Lengths'!$A$2:$B$16, 2, FALSE)</f>
        <v>na</v>
      </c>
      <c r="AA141">
        <v>10</v>
      </c>
      <c r="AB141">
        <v>10</v>
      </c>
    </row>
    <row r="142" spans="1:28" x14ac:dyDescent="0.25">
      <c r="A142" t="s">
        <v>128</v>
      </c>
      <c r="B142" t="s">
        <v>360</v>
      </c>
      <c r="C142" t="s">
        <v>213</v>
      </c>
      <c r="E142" t="s">
        <v>432</v>
      </c>
      <c r="O142" s="4" t="str">
        <f t="shared" si="5"/>
        <v/>
      </c>
      <c r="V142" t="str">
        <f>CONCATENATE(INT(W142*17),"x",INT(S142*15), "x", INT(T142*15))</f>
        <v>0x0x0</v>
      </c>
      <c r="W142">
        <f t="shared" si="4"/>
        <v>0</v>
      </c>
      <c r="Y142" t="str">
        <f>VLOOKUP(W142,'Articulated Lengths'!$A$2:$B$16, 2, FALSE)</f>
        <v>na</v>
      </c>
      <c r="AA142">
        <v>10</v>
      </c>
      <c r="AB142">
        <v>10</v>
      </c>
    </row>
    <row r="143" spans="1:28" x14ac:dyDescent="0.25">
      <c r="A143" t="s">
        <v>129</v>
      </c>
      <c r="B143" t="s">
        <v>361</v>
      </c>
      <c r="C143" t="s">
        <v>213</v>
      </c>
      <c r="E143" t="s">
        <v>432</v>
      </c>
      <c r="O143" s="4" t="str">
        <f t="shared" si="5"/>
        <v/>
      </c>
      <c r="V143" t="str">
        <f>CONCATENATE(INT(W143*17),"x",INT(S143*15), "x", INT(T143*15))</f>
        <v>0x0x0</v>
      </c>
      <c r="W143">
        <f t="shared" si="4"/>
        <v>0</v>
      </c>
      <c r="Y143" t="str">
        <f>VLOOKUP(W143,'Articulated Lengths'!$A$2:$B$16, 2, FALSE)</f>
        <v>na</v>
      </c>
      <c r="AA143">
        <v>10</v>
      </c>
      <c r="AB143">
        <v>10</v>
      </c>
    </row>
    <row r="144" spans="1:28" x14ac:dyDescent="0.25">
      <c r="A144" t="s">
        <v>130</v>
      </c>
      <c r="B144" t="s">
        <v>301</v>
      </c>
      <c r="C144" t="s">
        <v>213</v>
      </c>
      <c r="E144" t="s">
        <v>432</v>
      </c>
      <c r="O144" s="4" t="str">
        <f t="shared" si="5"/>
        <v/>
      </c>
      <c r="V144" t="str">
        <f>CONCATENATE(INT(W144*17),"x",INT(S144*15), "x", INT(T144*15))</f>
        <v>0x0x0</v>
      </c>
      <c r="W144">
        <f t="shared" si="4"/>
        <v>0</v>
      </c>
      <c r="Y144" t="str">
        <f>VLOOKUP(W144,'Articulated Lengths'!$A$2:$B$16, 2, FALSE)</f>
        <v>na</v>
      </c>
      <c r="AA144">
        <v>10</v>
      </c>
      <c r="AB144">
        <v>10</v>
      </c>
    </row>
    <row r="145" spans="1:28" x14ac:dyDescent="0.25">
      <c r="A145" t="s">
        <v>131</v>
      </c>
      <c r="B145" t="s">
        <v>302</v>
      </c>
      <c r="C145" t="s">
        <v>213</v>
      </c>
      <c r="E145" t="s">
        <v>432</v>
      </c>
      <c r="O145" s="4" t="str">
        <f t="shared" si="5"/>
        <v/>
      </c>
      <c r="V145" t="str">
        <f>CONCATENATE(INT(W145*17),"x",INT(S145*15), "x", INT(T145*15))</f>
        <v>0x0x0</v>
      </c>
      <c r="W145">
        <f t="shared" si="4"/>
        <v>0</v>
      </c>
      <c r="Y145" t="str">
        <f>VLOOKUP(W145,'Articulated Lengths'!$A$2:$B$16, 2, FALSE)</f>
        <v>na</v>
      </c>
      <c r="AA145">
        <v>10</v>
      </c>
      <c r="AB145">
        <v>10</v>
      </c>
    </row>
    <row r="146" spans="1:28" x14ac:dyDescent="0.25">
      <c r="A146" t="s">
        <v>132</v>
      </c>
      <c r="B146" t="s">
        <v>303</v>
      </c>
      <c r="C146" t="s">
        <v>213</v>
      </c>
      <c r="E146" t="s">
        <v>432</v>
      </c>
      <c r="O146" s="4" t="str">
        <f t="shared" si="5"/>
        <v/>
      </c>
      <c r="V146" t="str">
        <f>CONCATENATE(INT(W146*17),"x",INT(S146*15), "x", INT(T146*15))</f>
        <v>0x0x0</v>
      </c>
      <c r="W146">
        <f t="shared" si="4"/>
        <v>0</v>
      </c>
      <c r="Y146" t="str">
        <f>VLOOKUP(W146,'Articulated Lengths'!$A$2:$B$16, 2, FALSE)</f>
        <v>na</v>
      </c>
      <c r="AA146">
        <v>10</v>
      </c>
      <c r="AB146">
        <v>10</v>
      </c>
    </row>
    <row r="147" spans="1:28" x14ac:dyDescent="0.25">
      <c r="A147" t="s">
        <v>133</v>
      </c>
      <c r="B147" t="s">
        <v>362</v>
      </c>
      <c r="C147" t="s">
        <v>213</v>
      </c>
      <c r="E147" t="s">
        <v>432</v>
      </c>
      <c r="O147" s="4" t="str">
        <f t="shared" si="5"/>
        <v/>
      </c>
      <c r="V147" t="str">
        <f>CONCATENATE(INT(W147*17),"x",INT(S147*15), "x", INT(T147*15))</f>
        <v>0x0x0</v>
      </c>
      <c r="W147">
        <f t="shared" ref="W147:W186" si="6">CEILING((R147/57)*32,1)</f>
        <v>0</v>
      </c>
      <c r="Y147" t="str">
        <f>VLOOKUP(W147,'Articulated Lengths'!$A$2:$B$16, 2, FALSE)</f>
        <v>na</v>
      </c>
      <c r="AA147">
        <v>10</v>
      </c>
      <c r="AB147">
        <v>10</v>
      </c>
    </row>
    <row r="148" spans="1:28" x14ac:dyDescent="0.25">
      <c r="A148" t="s">
        <v>134</v>
      </c>
      <c r="B148" t="s">
        <v>357</v>
      </c>
      <c r="C148" t="s">
        <v>213</v>
      </c>
      <c r="E148" t="s">
        <v>432</v>
      </c>
      <c r="O148" s="4" t="str">
        <f t="shared" si="5"/>
        <v/>
      </c>
      <c r="V148" t="str">
        <f>CONCATENATE(INT(W148*17),"x",INT(S148*15), "x", INT(T148*15))</f>
        <v>0x0x0</v>
      </c>
      <c r="W148">
        <f t="shared" si="6"/>
        <v>0</v>
      </c>
      <c r="Y148" t="str">
        <f>VLOOKUP(W148,'Articulated Lengths'!$A$2:$B$16, 2, FALSE)</f>
        <v>na</v>
      </c>
      <c r="AA148">
        <v>10</v>
      </c>
      <c r="AB148">
        <v>10</v>
      </c>
    </row>
    <row r="149" spans="1:28" x14ac:dyDescent="0.25">
      <c r="A149" t="s">
        <v>135</v>
      </c>
      <c r="B149" t="s">
        <v>356</v>
      </c>
      <c r="C149" t="s">
        <v>213</v>
      </c>
      <c r="E149" t="s">
        <v>432</v>
      </c>
      <c r="O149" s="4" t="str">
        <f t="shared" si="5"/>
        <v/>
      </c>
      <c r="V149" t="str">
        <f>CONCATENATE(INT(W149*17),"x",INT(S149*15), "x", INT(T149*15))</f>
        <v>0x0x0</v>
      </c>
      <c r="W149">
        <f t="shared" si="6"/>
        <v>0</v>
      </c>
      <c r="Y149" t="str">
        <f>VLOOKUP(W149,'Articulated Lengths'!$A$2:$B$16, 2, FALSE)</f>
        <v>na</v>
      </c>
      <c r="AA149">
        <v>10</v>
      </c>
      <c r="AB149">
        <v>10</v>
      </c>
    </row>
    <row r="150" spans="1:28" x14ac:dyDescent="0.25">
      <c r="A150" t="s">
        <v>136</v>
      </c>
      <c r="B150" t="s">
        <v>366</v>
      </c>
      <c r="C150" t="s">
        <v>213</v>
      </c>
      <c r="E150" t="s">
        <v>432</v>
      </c>
      <c r="O150" s="4" t="str">
        <f t="shared" si="5"/>
        <v/>
      </c>
      <c r="V150" t="str">
        <f>CONCATENATE(INT(W150*17),"x",INT(S150*15), "x", INT(T150*15))</f>
        <v>0x0x0</v>
      </c>
      <c r="W150">
        <f t="shared" si="6"/>
        <v>0</v>
      </c>
      <c r="Y150" t="str">
        <f>VLOOKUP(W150,'Articulated Lengths'!$A$2:$B$16, 2, FALSE)</f>
        <v>na</v>
      </c>
      <c r="AA150">
        <v>10</v>
      </c>
      <c r="AB150">
        <v>10</v>
      </c>
    </row>
    <row r="151" spans="1:28" x14ac:dyDescent="0.25">
      <c r="A151" t="s">
        <v>137</v>
      </c>
      <c r="B151" t="s">
        <v>410</v>
      </c>
      <c r="C151" t="s">
        <v>213</v>
      </c>
      <c r="E151" t="s">
        <v>432</v>
      </c>
      <c r="O151" s="4" t="str">
        <f t="shared" si="5"/>
        <v/>
      </c>
      <c r="V151" t="str">
        <f>CONCATENATE(INT(W151*17),"x",INT(S151*15), "x", INT(T151*15))</f>
        <v>0x0x0</v>
      </c>
      <c r="W151">
        <f t="shared" si="6"/>
        <v>0</v>
      </c>
      <c r="Y151" t="str">
        <f>VLOOKUP(W151,'Articulated Lengths'!$A$2:$B$16, 2, FALSE)</f>
        <v>na</v>
      </c>
      <c r="AA151">
        <v>10</v>
      </c>
      <c r="AB151">
        <v>10</v>
      </c>
    </row>
    <row r="152" spans="1:28" x14ac:dyDescent="0.25">
      <c r="A152" t="s">
        <v>138</v>
      </c>
      <c r="B152" t="s">
        <v>365</v>
      </c>
      <c r="C152" t="s">
        <v>213</v>
      </c>
      <c r="E152" t="s">
        <v>432</v>
      </c>
      <c r="O152" s="4" t="str">
        <f t="shared" si="5"/>
        <v/>
      </c>
      <c r="V152" t="str">
        <f>CONCATENATE(INT(W152*17),"x",INT(S152*15), "x", INT(T152*15))</f>
        <v>0x0x0</v>
      </c>
      <c r="W152">
        <f t="shared" si="6"/>
        <v>0</v>
      </c>
      <c r="Y152" t="str">
        <f>VLOOKUP(W152,'Articulated Lengths'!$A$2:$B$16, 2, FALSE)</f>
        <v>na</v>
      </c>
      <c r="AA152">
        <v>10</v>
      </c>
      <c r="AB152">
        <v>10</v>
      </c>
    </row>
    <row r="153" spans="1:28" x14ac:dyDescent="0.25">
      <c r="A153" t="s">
        <v>139</v>
      </c>
      <c r="B153" t="s">
        <v>304</v>
      </c>
      <c r="C153" t="s">
        <v>213</v>
      </c>
      <c r="E153" t="s">
        <v>432</v>
      </c>
      <c r="O153" s="4" t="str">
        <f t="shared" si="5"/>
        <v/>
      </c>
      <c r="V153" t="str">
        <f>CONCATENATE(INT(W153*17),"x",INT(S153*15), "x", INT(T153*15))</f>
        <v>0x0x0</v>
      </c>
      <c r="W153">
        <f t="shared" si="6"/>
        <v>0</v>
      </c>
      <c r="Y153" t="str">
        <f>VLOOKUP(W153,'Articulated Lengths'!$A$2:$B$16, 2, FALSE)</f>
        <v>na</v>
      </c>
      <c r="AA153">
        <v>10</v>
      </c>
      <c r="AB153">
        <v>10</v>
      </c>
    </row>
    <row r="154" spans="1:28" x14ac:dyDescent="0.25">
      <c r="A154" t="s">
        <v>140</v>
      </c>
      <c r="B154" t="s">
        <v>305</v>
      </c>
      <c r="C154" t="s">
        <v>213</v>
      </c>
      <c r="E154" t="s">
        <v>432</v>
      </c>
      <c r="O154" s="4" t="str">
        <f t="shared" si="5"/>
        <v/>
      </c>
      <c r="V154" t="str">
        <f>CONCATENATE(INT(W154*17),"x",INT(S154*15), "x", INT(T154*15))</f>
        <v>0x0x0</v>
      </c>
      <c r="W154">
        <f t="shared" si="6"/>
        <v>0</v>
      </c>
      <c r="Y154" t="str">
        <f>VLOOKUP(W154,'Articulated Lengths'!$A$2:$B$16, 2, FALSE)</f>
        <v>na</v>
      </c>
      <c r="AA154">
        <v>10</v>
      </c>
      <c r="AB154">
        <v>10</v>
      </c>
    </row>
    <row r="155" spans="1:28" x14ac:dyDescent="0.25">
      <c r="A155" t="s">
        <v>141</v>
      </c>
      <c r="B155" t="s">
        <v>306</v>
      </c>
      <c r="C155" t="s">
        <v>213</v>
      </c>
      <c r="E155" t="s">
        <v>432</v>
      </c>
      <c r="O155" s="4" t="str">
        <f t="shared" si="5"/>
        <v/>
      </c>
      <c r="V155" t="str">
        <f>CONCATENATE(INT(W155*17),"x",INT(S155*15), "x", INT(T155*15))</f>
        <v>0x0x0</v>
      </c>
      <c r="W155">
        <f t="shared" si="6"/>
        <v>0</v>
      </c>
      <c r="Y155" t="str">
        <f>VLOOKUP(W155,'Articulated Lengths'!$A$2:$B$16, 2, FALSE)</f>
        <v>na</v>
      </c>
      <c r="AA155">
        <v>10</v>
      </c>
      <c r="AB155">
        <v>10</v>
      </c>
    </row>
    <row r="156" spans="1:28" x14ac:dyDescent="0.25">
      <c r="A156" t="s">
        <v>142</v>
      </c>
      <c r="B156" t="s">
        <v>363</v>
      </c>
      <c r="C156" t="s">
        <v>213</v>
      </c>
      <c r="E156" t="s">
        <v>432</v>
      </c>
      <c r="O156" s="4" t="str">
        <f t="shared" si="5"/>
        <v/>
      </c>
      <c r="V156" t="str">
        <f>CONCATENATE(INT(W156*17),"x",INT(S156*15), "x", INT(T156*15))</f>
        <v>0x0x0</v>
      </c>
      <c r="W156">
        <f t="shared" si="6"/>
        <v>0</v>
      </c>
      <c r="Y156" t="str">
        <f>VLOOKUP(W156,'Articulated Lengths'!$A$2:$B$16, 2, FALSE)</f>
        <v>na</v>
      </c>
      <c r="AA156">
        <v>10</v>
      </c>
      <c r="AB156">
        <v>10</v>
      </c>
    </row>
    <row r="157" spans="1:28" x14ac:dyDescent="0.25">
      <c r="A157" t="s">
        <v>143</v>
      </c>
      <c r="B157" t="s">
        <v>408</v>
      </c>
      <c r="C157" t="s">
        <v>213</v>
      </c>
      <c r="E157" t="s">
        <v>432</v>
      </c>
      <c r="O157" s="4" t="str">
        <f t="shared" si="5"/>
        <v/>
      </c>
      <c r="V157" t="str">
        <f>CONCATENATE(INT(W157*17),"x",INT(S157*15), "x", INT(T157*15))</f>
        <v>0x0x0</v>
      </c>
      <c r="W157">
        <f t="shared" si="6"/>
        <v>0</v>
      </c>
      <c r="Y157" t="str">
        <f>VLOOKUP(W157,'Articulated Lengths'!$A$2:$B$16, 2, FALSE)</f>
        <v>na</v>
      </c>
      <c r="AA157">
        <v>10</v>
      </c>
      <c r="AB157">
        <v>10</v>
      </c>
    </row>
    <row r="158" spans="1:28" x14ac:dyDescent="0.25">
      <c r="A158" t="s">
        <v>144</v>
      </c>
      <c r="B158" t="s">
        <v>307</v>
      </c>
      <c r="C158" t="s">
        <v>213</v>
      </c>
      <c r="E158" t="s">
        <v>432</v>
      </c>
      <c r="O158" s="4" t="str">
        <f t="shared" si="5"/>
        <v/>
      </c>
      <c r="V158" t="str">
        <f>CONCATENATE(INT(W158*17),"x",INT(S158*15), "x", INT(T158*15))</f>
        <v>0x0x0</v>
      </c>
      <c r="W158">
        <f t="shared" si="6"/>
        <v>0</v>
      </c>
      <c r="Y158" t="str">
        <f>VLOOKUP(W158,'Articulated Lengths'!$A$2:$B$16, 2, FALSE)</f>
        <v>na</v>
      </c>
      <c r="AA158">
        <v>10</v>
      </c>
      <c r="AB158">
        <v>10</v>
      </c>
    </row>
    <row r="159" spans="1:28" x14ac:dyDescent="0.25">
      <c r="A159" t="s">
        <v>145</v>
      </c>
      <c r="B159" t="s">
        <v>308</v>
      </c>
      <c r="C159" t="s">
        <v>213</v>
      </c>
      <c r="E159" t="s">
        <v>432</v>
      </c>
      <c r="O159" s="4" t="str">
        <f t="shared" si="5"/>
        <v/>
      </c>
      <c r="V159" t="str">
        <f>CONCATENATE(INT(W159*17),"x",INT(S159*15), "x", INT(T159*15))</f>
        <v>0x0x0</v>
      </c>
      <c r="W159">
        <f t="shared" si="6"/>
        <v>0</v>
      </c>
      <c r="Y159" t="str">
        <f>VLOOKUP(W159,'Articulated Lengths'!$A$2:$B$16, 2, FALSE)</f>
        <v>na</v>
      </c>
      <c r="AA159">
        <v>10</v>
      </c>
      <c r="AB159">
        <v>10</v>
      </c>
    </row>
    <row r="160" spans="1:28" x14ac:dyDescent="0.25">
      <c r="A160" t="s">
        <v>146</v>
      </c>
      <c r="B160" t="s">
        <v>309</v>
      </c>
      <c r="C160" t="s">
        <v>213</v>
      </c>
      <c r="E160" t="s">
        <v>432</v>
      </c>
      <c r="O160" s="4" t="str">
        <f t="shared" si="5"/>
        <v/>
      </c>
      <c r="V160" t="str">
        <f>CONCATENATE(INT(W160*17),"x",INT(S160*15), "x", INT(T160*15))</f>
        <v>0x0x0</v>
      </c>
      <c r="W160">
        <f t="shared" si="6"/>
        <v>0</v>
      </c>
      <c r="Y160" t="str">
        <f>VLOOKUP(W160,'Articulated Lengths'!$A$2:$B$16, 2, FALSE)</f>
        <v>na</v>
      </c>
      <c r="AA160">
        <v>10</v>
      </c>
      <c r="AB160">
        <v>10</v>
      </c>
    </row>
    <row r="161" spans="1:28" x14ac:dyDescent="0.25">
      <c r="A161" t="s">
        <v>147</v>
      </c>
      <c r="B161" t="s">
        <v>310</v>
      </c>
      <c r="C161" t="s">
        <v>213</v>
      </c>
      <c r="E161" t="s">
        <v>432</v>
      </c>
      <c r="O161" s="4" t="str">
        <f t="shared" si="5"/>
        <v/>
      </c>
      <c r="V161" t="str">
        <f>CONCATENATE(INT(W161*17),"x",INT(S161*15), "x", INT(T161*15))</f>
        <v>0x0x0</v>
      </c>
      <c r="W161">
        <f t="shared" si="6"/>
        <v>0</v>
      </c>
      <c r="Y161" t="str">
        <f>VLOOKUP(W161,'Articulated Lengths'!$A$2:$B$16, 2, FALSE)</f>
        <v>na</v>
      </c>
      <c r="AA161">
        <v>10</v>
      </c>
      <c r="AB161">
        <v>10</v>
      </c>
    </row>
    <row r="162" spans="1:28" x14ac:dyDescent="0.25">
      <c r="A162" t="s">
        <v>148</v>
      </c>
      <c r="B162" t="s">
        <v>311</v>
      </c>
      <c r="C162" t="s">
        <v>213</v>
      </c>
      <c r="E162" t="s">
        <v>432</v>
      </c>
      <c r="O162" s="4" t="str">
        <f t="shared" si="5"/>
        <v/>
      </c>
      <c r="V162" t="str">
        <f>CONCATENATE(INT(W162*17),"x",INT(S162*15), "x", INT(T162*15))</f>
        <v>0x0x0</v>
      </c>
      <c r="W162">
        <f t="shared" si="6"/>
        <v>0</v>
      </c>
      <c r="Y162" t="str">
        <f>VLOOKUP(W162,'Articulated Lengths'!$A$2:$B$16, 2, FALSE)</f>
        <v>na</v>
      </c>
      <c r="AA162">
        <v>10</v>
      </c>
      <c r="AB162">
        <v>10</v>
      </c>
    </row>
    <row r="163" spans="1:28" x14ac:dyDescent="0.25">
      <c r="A163" t="s">
        <v>149</v>
      </c>
      <c r="B163" t="s">
        <v>312</v>
      </c>
      <c r="C163" t="s">
        <v>213</v>
      </c>
      <c r="E163" t="s">
        <v>432</v>
      </c>
      <c r="O163" s="4" t="str">
        <f t="shared" si="5"/>
        <v/>
      </c>
      <c r="V163" t="str">
        <f>CONCATENATE(INT(W163*17),"x",INT(S163*15), "x", INT(T163*15))</f>
        <v>0x0x0</v>
      </c>
      <c r="W163">
        <f t="shared" si="6"/>
        <v>0</v>
      </c>
      <c r="Y163" t="str">
        <f>VLOOKUP(W163,'Articulated Lengths'!$A$2:$B$16, 2, FALSE)</f>
        <v>na</v>
      </c>
      <c r="AA163">
        <v>10</v>
      </c>
      <c r="AB163">
        <v>10</v>
      </c>
    </row>
    <row r="164" spans="1:28" x14ac:dyDescent="0.25">
      <c r="A164" t="s">
        <v>150</v>
      </c>
      <c r="B164" t="s">
        <v>313</v>
      </c>
      <c r="C164" t="s">
        <v>213</v>
      </c>
      <c r="E164" t="s">
        <v>432</v>
      </c>
      <c r="O164" s="4" t="str">
        <f t="shared" si="5"/>
        <v/>
      </c>
      <c r="V164" t="str">
        <f>CONCATENATE(INT(W164*17),"x",INT(S164*15), "x", INT(T164*15))</f>
        <v>0x0x0</v>
      </c>
      <c r="W164">
        <f t="shared" si="6"/>
        <v>0</v>
      </c>
      <c r="Y164" t="str">
        <f>VLOOKUP(W164,'Articulated Lengths'!$A$2:$B$16, 2, FALSE)</f>
        <v>na</v>
      </c>
      <c r="AA164">
        <v>10</v>
      </c>
      <c r="AB164">
        <v>10</v>
      </c>
    </row>
    <row r="165" spans="1:28" x14ac:dyDescent="0.25">
      <c r="A165" t="s">
        <v>151</v>
      </c>
      <c r="B165" t="s">
        <v>314</v>
      </c>
      <c r="C165" t="s">
        <v>213</v>
      </c>
      <c r="E165" t="s">
        <v>432</v>
      </c>
      <c r="O165" s="4" t="str">
        <f t="shared" si="5"/>
        <v/>
      </c>
      <c r="V165" t="str">
        <f>CONCATENATE(INT(W165*17),"x",INT(S165*15), "x", INT(T165*15))</f>
        <v>0x0x0</v>
      </c>
      <c r="W165">
        <f t="shared" si="6"/>
        <v>0</v>
      </c>
      <c r="Y165" t="str">
        <f>VLOOKUP(W165,'Articulated Lengths'!$A$2:$B$16, 2, FALSE)</f>
        <v>na</v>
      </c>
      <c r="AA165">
        <v>10</v>
      </c>
      <c r="AB165">
        <v>10</v>
      </c>
    </row>
    <row r="166" spans="1:28" x14ac:dyDescent="0.25">
      <c r="A166" t="s">
        <v>152</v>
      </c>
      <c r="B166" t="s">
        <v>315</v>
      </c>
      <c r="C166" t="s">
        <v>213</v>
      </c>
      <c r="E166" t="s">
        <v>432</v>
      </c>
      <c r="O166" s="4" t="str">
        <f t="shared" si="5"/>
        <v/>
      </c>
      <c r="V166" t="str">
        <f>CONCATENATE(INT(W166*17),"x",INT(S166*15), "x", INT(T166*15))</f>
        <v>0x0x0</v>
      </c>
      <c r="W166">
        <f t="shared" si="6"/>
        <v>0</v>
      </c>
      <c r="Y166" t="str">
        <f>VLOOKUP(W166,'Articulated Lengths'!$A$2:$B$16, 2, FALSE)</f>
        <v>na</v>
      </c>
      <c r="AA166">
        <v>10</v>
      </c>
      <c r="AB166">
        <v>10</v>
      </c>
    </row>
    <row r="167" spans="1:28" x14ac:dyDescent="0.25">
      <c r="A167" t="s">
        <v>153</v>
      </c>
      <c r="B167" t="s">
        <v>316</v>
      </c>
      <c r="C167" t="s">
        <v>213</v>
      </c>
      <c r="E167" t="s">
        <v>432</v>
      </c>
      <c r="O167" s="4" t="str">
        <f t="shared" si="5"/>
        <v/>
      </c>
      <c r="V167" t="str">
        <f>CONCATENATE(INT(W167*17),"x",INT(S167*15), "x", INT(T167*15))</f>
        <v>0x0x0</v>
      </c>
      <c r="W167">
        <f t="shared" si="6"/>
        <v>0</v>
      </c>
      <c r="Y167" t="str">
        <f>VLOOKUP(W167,'Articulated Lengths'!$A$2:$B$16, 2, FALSE)</f>
        <v>na</v>
      </c>
      <c r="AA167">
        <v>10</v>
      </c>
      <c r="AB167">
        <v>10</v>
      </c>
    </row>
    <row r="168" spans="1:28" x14ac:dyDescent="0.25">
      <c r="A168" t="s">
        <v>154</v>
      </c>
      <c r="B168" t="s">
        <v>364</v>
      </c>
      <c r="C168" t="s">
        <v>213</v>
      </c>
      <c r="E168" t="s">
        <v>432</v>
      </c>
      <c r="O168" s="4" t="str">
        <f t="shared" si="5"/>
        <v/>
      </c>
      <c r="V168" t="str">
        <f>CONCATENATE(INT(W168*17),"x",INT(S168*15), "x", INT(T168*15))</f>
        <v>0x0x0</v>
      </c>
      <c r="W168">
        <f t="shared" si="6"/>
        <v>0</v>
      </c>
      <c r="Y168" t="str">
        <f>VLOOKUP(W168,'Articulated Lengths'!$A$2:$B$16, 2, FALSE)</f>
        <v>na</v>
      </c>
      <c r="AA168">
        <v>10</v>
      </c>
      <c r="AB168">
        <v>10</v>
      </c>
    </row>
    <row r="169" spans="1:28" x14ac:dyDescent="0.25">
      <c r="A169" t="s">
        <v>155</v>
      </c>
      <c r="B169" t="s">
        <v>317</v>
      </c>
      <c r="C169" t="s">
        <v>213</v>
      </c>
      <c r="E169" t="s">
        <v>432</v>
      </c>
      <c r="O169" s="4" t="str">
        <f t="shared" si="5"/>
        <v/>
      </c>
      <c r="V169" t="str">
        <f>CONCATENATE(INT(W169*17),"x",INT(S169*15), "x", INT(T169*15))</f>
        <v>0x0x0</v>
      </c>
      <c r="W169">
        <f t="shared" si="6"/>
        <v>0</v>
      </c>
      <c r="Y169" t="str">
        <f>VLOOKUP(W169,'Articulated Lengths'!$A$2:$B$16, 2, FALSE)</f>
        <v>na</v>
      </c>
      <c r="AA169">
        <v>10</v>
      </c>
      <c r="AB169">
        <v>10</v>
      </c>
    </row>
    <row r="170" spans="1:28" x14ac:dyDescent="0.25">
      <c r="A170" t="s">
        <v>156</v>
      </c>
      <c r="B170" t="s">
        <v>318</v>
      </c>
      <c r="C170" t="s">
        <v>213</v>
      </c>
      <c r="E170" t="s">
        <v>432</v>
      </c>
      <c r="O170" s="4" t="str">
        <f t="shared" si="5"/>
        <v/>
      </c>
      <c r="V170" t="str">
        <f>CONCATENATE(INT(W170*17),"x",INT(S170*15), "x", INT(T170*15))</f>
        <v>0x0x0</v>
      </c>
      <c r="W170">
        <f t="shared" si="6"/>
        <v>0</v>
      </c>
      <c r="Y170" t="str">
        <f>VLOOKUP(W170,'Articulated Lengths'!$A$2:$B$16, 2, FALSE)</f>
        <v>na</v>
      </c>
      <c r="AA170">
        <v>10</v>
      </c>
      <c r="AB170">
        <v>10</v>
      </c>
    </row>
    <row r="171" spans="1:28" x14ac:dyDescent="0.25">
      <c r="A171" t="s">
        <v>157</v>
      </c>
      <c r="B171" t="s">
        <v>411</v>
      </c>
      <c r="C171" t="s">
        <v>213</v>
      </c>
      <c r="E171" t="s">
        <v>432</v>
      </c>
      <c r="O171" s="4" t="str">
        <f t="shared" si="5"/>
        <v/>
      </c>
      <c r="V171" t="str">
        <f>CONCATENATE(INT(W171*17),"x",INT(S171*15), "x", INT(T171*15))</f>
        <v>0x0x0</v>
      </c>
      <c r="W171">
        <f t="shared" si="6"/>
        <v>0</v>
      </c>
      <c r="Y171" t="str">
        <f>VLOOKUP(W171,'Articulated Lengths'!$A$2:$B$16, 2, FALSE)</f>
        <v>na</v>
      </c>
      <c r="AA171">
        <v>10</v>
      </c>
      <c r="AB171">
        <v>10</v>
      </c>
    </row>
    <row r="172" spans="1:28" x14ac:dyDescent="0.25">
      <c r="A172" t="s">
        <v>158</v>
      </c>
      <c r="B172" t="s">
        <v>412</v>
      </c>
      <c r="C172" t="s">
        <v>213</v>
      </c>
      <c r="E172" t="s">
        <v>432</v>
      </c>
      <c r="O172" s="4" t="str">
        <f t="shared" si="5"/>
        <v/>
      </c>
      <c r="V172" t="str">
        <f>CONCATENATE(INT(W172*17),"x",INT(S172*15), "x", INT(T172*15))</f>
        <v>0x0x0</v>
      </c>
      <c r="W172">
        <f t="shared" si="6"/>
        <v>0</v>
      </c>
      <c r="Y172" t="str">
        <f>VLOOKUP(W172,'Articulated Lengths'!$A$2:$B$16, 2, FALSE)</f>
        <v>na</v>
      </c>
      <c r="AA172">
        <v>10</v>
      </c>
      <c r="AB172">
        <v>10</v>
      </c>
    </row>
    <row r="173" spans="1:28" x14ac:dyDescent="0.25">
      <c r="A173" t="s">
        <v>159</v>
      </c>
      <c r="B173" t="s">
        <v>319</v>
      </c>
      <c r="C173" t="s">
        <v>213</v>
      </c>
      <c r="E173" t="s">
        <v>432</v>
      </c>
      <c r="O173" s="4" t="str">
        <f t="shared" si="5"/>
        <v/>
      </c>
      <c r="V173" t="str">
        <f>CONCATENATE(INT(W173*17),"x",INT(S173*15), "x", INT(T173*15))</f>
        <v>0x0x0</v>
      </c>
      <c r="W173">
        <f t="shared" si="6"/>
        <v>0</v>
      </c>
      <c r="Y173" t="str">
        <f>VLOOKUP(W173,'Articulated Lengths'!$A$2:$B$16, 2, FALSE)</f>
        <v>na</v>
      </c>
      <c r="AA173">
        <v>10</v>
      </c>
      <c r="AB173">
        <v>10</v>
      </c>
    </row>
    <row r="174" spans="1:28" x14ac:dyDescent="0.25">
      <c r="A174" t="s">
        <v>160</v>
      </c>
      <c r="B174" t="s">
        <v>320</v>
      </c>
      <c r="C174" t="s">
        <v>213</v>
      </c>
      <c r="E174" t="s">
        <v>432</v>
      </c>
      <c r="O174" s="4" t="str">
        <f t="shared" si="5"/>
        <v/>
      </c>
      <c r="V174" t="str">
        <f>CONCATENATE(INT(W174*17),"x",INT(S174*15), "x", INT(T174*15))</f>
        <v>0x0x0</v>
      </c>
      <c r="W174">
        <f t="shared" si="6"/>
        <v>0</v>
      </c>
      <c r="Y174" t="str">
        <f>VLOOKUP(W174,'Articulated Lengths'!$A$2:$B$16, 2, FALSE)</f>
        <v>na</v>
      </c>
      <c r="AA174">
        <v>10</v>
      </c>
      <c r="AB174">
        <v>10</v>
      </c>
    </row>
    <row r="175" spans="1:28" x14ac:dyDescent="0.25">
      <c r="A175" t="s">
        <v>161</v>
      </c>
      <c r="B175" t="s">
        <v>321</v>
      </c>
      <c r="C175" t="s">
        <v>213</v>
      </c>
      <c r="E175" t="s">
        <v>432</v>
      </c>
      <c r="O175" s="4" t="str">
        <f t="shared" si="5"/>
        <v/>
      </c>
      <c r="V175" t="str">
        <f>CONCATENATE(INT(W175*17),"x",INT(S175*15), "x", INT(T175*15))</f>
        <v>0x0x0</v>
      </c>
      <c r="W175">
        <f t="shared" si="6"/>
        <v>0</v>
      </c>
      <c r="Y175" t="str">
        <f>VLOOKUP(W175,'Articulated Lengths'!$A$2:$B$16, 2, FALSE)</f>
        <v>na</v>
      </c>
      <c r="AA175">
        <v>10</v>
      </c>
      <c r="AB175">
        <v>10</v>
      </c>
    </row>
    <row r="176" spans="1:28" x14ac:dyDescent="0.25">
      <c r="A176" t="s">
        <v>162</v>
      </c>
      <c r="B176" t="s">
        <v>416</v>
      </c>
      <c r="C176" t="s">
        <v>213</v>
      </c>
      <c r="E176" t="s">
        <v>432</v>
      </c>
      <c r="M176">
        <v>9</v>
      </c>
      <c r="O176" s="4" t="str">
        <f t="shared" si="5"/>
        <v/>
      </c>
      <c r="V176" t="str">
        <f>CONCATENATE(INT(W176*17),"x",INT(S176*15), "x", INT(T176*15))</f>
        <v>0x0x0</v>
      </c>
      <c r="W176">
        <f t="shared" si="6"/>
        <v>0</v>
      </c>
      <c r="Y176" t="str">
        <f>VLOOKUP(W176,'Articulated Lengths'!$A$2:$B$16, 2, FALSE)</f>
        <v>na</v>
      </c>
      <c r="AA176">
        <v>10</v>
      </c>
      <c r="AB176">
        <v>10</v>
      </c>
    </row>
    <row r="177" spans="1:29" x14ac:dyDescent="0.25">
      <c r="A177" t="s">
        <v>163</v>
      </c>
      <c r="B177" t="s">
        <v>415</v>
      </c>
      <c r="C177" t="s">
        <v>439</v>
      </c>
      <c r="E177" t="s">
        <v>432</v>
      </c>
      <c r="F177">
        <v>1956</v>
      </c>
      <c r="K177">
        <v>40</v>
      </c>
      <c r="M177">
        <v>9</v>
      </c>
      <c r="O177" s="4" t="str">
        <f t="shared" si="5"/>
        <v/>
      </c>
      <c r="P177">
        <v>100</v>
      </c>
      <c r="Q177">
        <v>19.66</v>
      </c>
      <c r="R177">
        <v>19.66</v>
      </c>
      <c r="S177">
        <v>2.83</v>
      </c>
      <c r="T177">
        <v>3.79</v>
      </c>
      <c r="U177">
        <v>57</v>
      </c>
      <c r="V177" t="str">
        <f>CONCATENATE(INT(W177*17),"x",INT(S177*15), "x", INT(T177*15))</f>
        <v>204x42x56</v>
      </c>
      <c r="W177">
        <f t="shared" si="6"/>
        <v>12</v>
      </c>
      <c r="Y177" t="str">
        <f>VLOOKUP(W177,'Articulated Lengths'!$A$2:$B$16, 2, FALSE)</f>
        <v>3,6,3</v>
      </c>
      <c r="AA177">
        <v>10</v>
      </c>
      <c r="AB177">
        <v>10</v>
      </c>
      <c r="AC177" t="s">
        <v>441</v>
      </c>
    </row>
    <row r="178" spans="1:29" x14ac:dyDescent="0.25">
      <c r="A178" t="s">
        <v>164</v>
      </c>
      <c r="B178" t="s">
        <v>417</v>
      </c>
      <c r="C178" t="s">
        <v>213</v>
      </c>
      <c r="E178" t="s">
        <v>432</v>
      </c>
      <c r="O178" s="4" t="str">
        <f t="shared" si="5"/>
        <v/>
      </c>
      <c r="V178" t="str">
        <f>CONCATENATE(INT(W178*17),"x",INT(S178*15), "x", INT(T178*15))</f>
        <v>0x0x0</v>
      </c>
      <c r="W178">
        <f t="shared" si="6"/>
        <v>0</v>
      </c>
      <c r="Y178" t="str">
        <f>VLOOKUP(W178,'Articulated Lengths'!$A$2:$B$16, 2, FALSE)</f>
        <v>na</v>
      </c>
      <c r="AA178">
        <v>10</v>
      </c>
      <c r="AB178">
        <v>10</v>
      </c>
    </row>
    <row r="179" spans="1:29" x14ac:dyDescent="0.25">
      <c r="A179" t="s">
        <v>165</v>
      </c>
      <c r="B179" t="s">
        <v>418</v>
      </c>
      <c r="C179" t="s">
        <v>213</v>
      </c>
      <c r="E179" t="s">
        <v>432</v>
      </c>
      <c r="O179" s="4" t="str">
        <f t="shared" si="5"/>
        <v/>
      </c>
      <c r="V179" t="str">
        <f>CONCATENATE(INT(W179*17),"x",INT(S179*15), "x", INT(T179*15))</f>
        <v>0x0x0</v>
      </c>
      <c r="W179">
        <f t="shared" si="6"/>
        <v>0</v>
      </c>
      <c r="Y179" t="str">
        <f>VLOOKUP(W179,'Articulated Lengths'!$A$2:$B$16, 2, FALSE)</f>
        <v>na</v>
      </c>
      <c r="AA179">
        <v>10</v>
      </c>
      <c r="AB179">
        <v>10</v>
      </c>
    </row>
    <row r="180" spans="1:29" x14ac:dyDescent="0.25">
      <c r="A180" t="s">
        <v>166</v>
      </c>
      <c r="B180" t="s">
        <v>322</v>
      </c>
      <c r="C180" t="s">
        <v>213</v>
      </c>
      <c r="E180" t="s">
        <v>432</v>
      </c>
      <c r="O180" s="4" t="str">
        <f t="shared" si="5"/>
        <v/>
      </c>
      <c r="V180" t="str">
        <f>CONCATENATE(INT(W180*17),"x",INT(S180*15), "x", INT(T180*15))</f>
        <v>0x0x0</v>
      </c>
      <c r="W180">
        <f t="shared" si="6"/>
        <v>0</v>
      </c>
      <c r="Y180" t="str">
        <f>VLOOKUP(W180,'Articulated Lengths'!$A$2:$B$16, 2, FALSE)</f>
        <v>na</v>
      </c>
      <c r="AA180">
        <v>10</v>
      </c>
      <c r="AB180">
        <v>10</v>
      </c>
    </row>
    <row r="181" spans="1:29" x14ac:dyDescent="0.25">
      <c r="A181" t="s">
        <v>167</v>
      </c>
      <c r="B181" t="s">
        <v>323</v>
      </c>
      <c r="C181" t="s">
        <v>213</v>
      </c>
      <c r="E181" t="s">
        <v>432</v>
      </c>
      <c r="O181" s="4" t="str">
        <f t="shared" si="5"/>
        <v/>
      </c>
      <c r="V181" t="str">
        <f>CONCATENATE(INT(W181*17),"x",INT(S181*15), "x", INT(T181*15))</f>
        <v>0x0x0</v>
      </c>
      <c r="W181">
        <f t="shared" si="6"/>
        <v>0</v>
      </c>
      <c r="Y181" t="str">
        <f>VLOOKUP(W181,'Articulated Lengths'!$A$2:$B$16, 2, FALSE)</f>
        <v>na</v>
      </c>
      <c r="AA181">
        <v>10</v>
      </c>
      <c r="AB181">
        <v>10</v>
      </c>
    </row>
    <row r="182" spans="1:29" x14ac:dyDescent="0.25">
      <c r="A182" t="s">
        <v>168</v>
      </c>
      <c r="B182" t="s">
        <v>324</v>
      </c>
      <c r="C182" t="s">
        <v>213</v>
      </c>
      <c r="E182" t="s">
        <v>432</v>
      </c>
      <c r="O182" s="4" t="str">
        <f t="shared" si="5"/>
        <v/>
      </c>
      <c r="V182" t="str">
        <f>CONCATENATE(INT(W182*17),"x",INT(S182*15), "x", INT(T182*15))</f>
        <v>0x0x0</v>
      </c>
      <c r="W182">
        <f t="shared" si="6"/>
        <v>0</v>
      </c>
      <c r="Y182" t="str">
        <f>VLOOKUP(W182,'Articulated Lengths'!$A$2:$B$16, 2, FALSE)</f>
        <v>na</v>
      </c>
      <c r="AA182">
        <v>10</v>
      </c>
      <c r="AB182">
        <v>10</v>
      </c>
    </row>
    <row r="183" spans="1:29" x14ac:dyDescent="0.25">
      <c r="A183" t="s">
        <v>169</v>
      </c>
      <c r="B183" t="s">
        <v>437</v>
      </c>
      <c r="C183" t="s">
        <v>439</v>
      </c>
      <c r="E183" t="s">
        <v>444</v>
      </c>
      <c r="F183">
        <v>1800</v>
      </c>
      <c r="K183">
        <v>5</v>
      </c>
      <c r="M183">
        <v>5</v>
      </c>
      <c r="O183" s="4" t="str">
        <f t="shared" si="5"/>
        <v/>
      </c>
      <c r="P183">
        <v>35</v>
      </c>
      <c r="Q183">
        <v>4.9000000000000004</v>
      </c>
      <c r="R183">
        <v>6</v>
      </c>
      <c r="U183">
        <v>20</v>
      </c>
      <c r="V183" t="str">
        <f>CONCATENATE(INT(W183*17),"x",INT(S183*15), "x", INT(T183*15))</f>
        <v>68x0x0</v>
      </c>
      <c r="W183">
        <f t="shared" si="6"/>
        <v>4</v>
      </c>
      <c r="Y183" t="str">
        <f>VLOOKUP(W183,'Articulated Lengths'!$A$2:$B$16, 2, FALSE)</f>
        <v>1,2,1</v>
      </c>
      <c r="AA183">
        <v>10</v>
      </c>
      <c r="AB183">
        <v>10</v>
      </c>
      <c r="AC183" t="s">
        <v>442</v>
      </c>
    </row>
    <row r="184" spans="1:29" x14ac:dyDescent="0.25">
      <c r="A184" t="s">
        <v>170</v>
      </c>
      <c r="B184" t="s">
        <v>438</v>
      </c>
      <c r="C184" t="s">
        <v>213</v>
      </c>
      <c r="E184" t="s">
        <v>432</v>
      </c>
      <c r="O184" s="4" t="str">
        <f t="shared" si="5"/>
        <v/>
      </c>
      <c r="V184" t="str">
        <f>CONCATENATE(INT(W184*17),"x",INT(S184*15), "x", INT(T184*15))</f>
        <v>0x0x0</v>
      </c>
      <c r="W184">
        <f t="shared" si="6"/>
        <v>0</v>
      </c>
      <c r="Y184" t="str">
        <f>VLOOKUP(W184,'Articulated Lengths'!$A$2:$B$16, 2, FALSE)</f>
        <v>na</v>
      </c>
      <c r="AA184">
        <v>10</v>
      </c>
      <c r="AB184">
        <v>10</v>
      </c>
    </row>
    <row r="185" spans="1:29" x14ac:dyDescent="0.25">
      <c r="A185" t="s">
        <v>171</v>
      </c>
      <c r="B185" t="s">
        <v>325</v>
      </c>
      <c r="C185" t="s">
        <v>213</v>
      </c>
      <c r="E185" t="s">
        <v>432</v>
      </c>
      <c r="O185" s="4" t="str">
        <f t="shared" si="5"/>
        <v/>
      </c>
      <c r="V185" t="str">
        <f>CONCATENATE(INT(W185*17),"x",INT(S185*15), "x", INT(T185*15))</f>
        <v>0x0x0</v>
      </c>
      <c r="W185">
        <f t="shared" si="6"/>
        <v>0</v>
      </c>
      <c r="Y185" t="str">
        <f>VLOOKUP(W185,'Articulated Lengths'!$A$2:$B$16, 2, FALSE)</f>
        <v>na</v>
      </c>
      <c r="AA185">
        <v>10</v>
      </c>
      <c r="AB185">
        <v>10</v>
      </c>
    </row>
    <row r="186" spans="1:29" x14ac:dyDescent="0.25">
      <c r="A186" t="s">
        <v>172</v>
      </c>
      <c r="B186" t="s">
        <v>326</v>
      </c>
      <c r="C186" t="s">
        <v>213</v>
      </c>
      <c r="E186" t="s">
        <v>432</v>
      </c>
      <c r="O186" s="4" t="str">
        <f t="shared" si="5"/>
        <v/>
      </c>
      <c r="V186" t="str">
        <f>CONCATENATE(INT(W186*17),"x",INT(S186*15), "x", INT(T186*15))</f>
        <v>0x0x0</v>
      </c>
      <c r="W186">
        <f t="shared" si="6"/>
        <v>0</v>
      </c>
      <c r="Y186" t="str">
        <f>VLOOKUP(W186,'Articulated Lengths'!$A$2:$B$16, 2, FALSE)</f>
        <v>na</v>
      </c>
      <c r="AA186">
        <v>10</v>
      </c>
      <c r="AB186">
        <v>10</v>
      </c>
    </row>
    <row r="187" spans="1:29" x14ac:dyDescent="0.25">
      <c r="A187" t="s">
        <v>173</v>
      </c>
      <c r="B187" t="s">
        <v>413</v>
      </c>
      <c r="C187" t="s">
        <v>439</v>
      </c>
      <c r="E187" t="s">
        <v>444</v>
      </c>
      <c r="F187">
        <v>1800</v>
      </c>
      <c r="K187">
        <v>5</v>
      </c>
      <c r="M187">
        <v>5</v>
      </c>
      <c r="O187" s="4" t="str">
        <f t="shared" si="5"/>
        <v/>
      </c>
      <c r="P187">
        <v>35</v>
      </c>
      <c r="Q187">
        <v>4.9000000000000004</v>
      </c>
      <c r="R187">
        <v>6</v>
      </c>
      <c r="U187">
        <v>20</v>
      </c>
      <c r="V187" t="str">
        <f>CONCATENATE(INT(W187*17),"x",INT(S187*15), "x", INT(T187*15))</f>
        <v>68x0x0</v>
      </c>
      <c r="W187">
        <f>CEILING((R187/57)*32,1)</f>
        <v>4</v>
      </c>
      <c r="Y187" t="str">
        <f>VLOOKUP(W187,'Articulated Lengths'!$A$2:$B$16, 2, FALSE)</f>
        <v>1,2,1</v>
      </c>
      <c r="AA187">
        <v>10</v>
      </c>
      <c r="AB187">
        <v>10</v>
      </c>
      <c r="AC187" t="s">
        <v>445</v>
      </c>
    </row>
    <row r="188" spans="1:29" x14ac:dyDescent="0.25">
      <c r="A188" t="s">
        <v>174</v>
      </c>
      <c r="B188" t="s">
        <v>414</v>
      </c>
      <c r="C188" t="s">
        <v>213</v>
      </c>
      <c r="E188" t="s">
        <v>432</v>
      </c>
      <c r="O188" s="4" t="str">
        <f t="shared" si="5"/>
        <v/>
      </c>
      <c r="V188" t="str">
        <f>CONCATENATE(INT(W188*17),"x",INT(S188*15), "x", INT(T188*15))</f>
        <v>0x0x0</v>
      </c>
      <c r="W188">
        <f t="shared" ref="W188:W199" si="7">CEILING((R188/57)*32,1)</f>
        <v>0</v>
      </c>
      <c r="Y188" t="str">
        <f>VLOOKUP(W188,'Articulated Lengths'!$A$2:$B$16, 2, FALSE)</f>
        <v>na</v>
      </c>
      <c r="AA188">
        <v>10</v>
      </c>
      <c r="AB188">
        <v>10</v>
      </c>
    </row>
    <row r="189" spans="1:29" x14ac:dyDescent="0.25">
      <c r="A189" t="s">
        <v>175</v>
      </c>
      <c r="B189" t="s">
        <v>327</v>
      </c>
      <c r="C189" t="s">
        <v>213</v>
      </c>
      <c r="E189" t="s">
        <v>432</v>
      </c>
      <c r="O189" s="4" t="str">
        <f t="shared" si="5"/>
        <v/>
      </c>
      <c r="V189" t="str">
        <f>CONCATENATE(INT(W189*17),"x",INT(S189*15), "x", INT(T189*15))</f>
        <v>0x0x0</v>
      </c>
      <c r="W189">
        <f t="shared" si="7"/>
        <v>0</v>
      </c>
      <c r="Y189" t="str">
        <f>VLOOKUP(W189,'Articulated Lengths'!$A$2:$B$16, 2, FALSE)</f>
        <v>na</v>
      </c>
      <c r="AA189">
        <v>10</v>
      </c>
      <c r="AB189">
        <v>10</v>
      </c>
    </row>
    <row r="190" spans="1:29" x14ac:dyDescent="0.25">
      <c r="A190" t="s">
        <v>176</v>
      </c>
      <c r="B190" t="s">
        <v>328</v>
      </c>
      <c r="C190" t="s">
        <v>213</v>
      </c>
      <c r="E190" t="s">
        <v>432</v>
      </c>
      <c r="O190" s="4" t="str">
        <f t="shared" si="5"/>
        <v/>
      </c>
      <c r="V190" t="str">
        <f>CONCATENATE(INT(W190*17),"x",INT(S190*15), "x", INT(T190*15))</f>
        <v>0x0x0</v>
      </c>
      <c r="W190">
        <f t="shared" si="7"/>
        <v>0</v>
      </c>
      <c r="Y190" t="str">
        <f>VLOOKUP(W190,'Articulated Lengths'!$A$2:$B$16, 2, FALSE)</f>
        <v>na</v>
      </c>
      <c r="AA190">
        <v>10</v>
      </c>
      <c r="AB190">
        <v>10</v>
      </c>
    </row>
    <row r="191" spans="1:29" x14ac:dyDescent="0.25">
      <c r="A191" t="s">
        <v>177</v>
      </c>
      <c r="B191" t="s">
        <v>329</v>
      </c>
      <c r="C191" t="s">
        <v>213</v>
      </c>
      <c r="E191" t="s">
        <v>432</v>
      </c>
      <c r="O191" s="4" t="str">
        <f t="shared" si="5"/>
        <v/>
      </c>
      <c r="V191" t="str">
        <f>CONCATENATE(INT(W191*17),"x",INT(S191*15), "x", INT(T191*15))</f>
        <v>0x0x0</v>
      </c>
      <c r="W191">
        <f t="shared" si="7"/>
        <v>0</v>
      </c>
      <c r="Y191" t="str">
        <f>VLOOKUP(W191,'Articulated Lengths'!$A$2:$B$16, 2, FALSE)</f>
        <v>na</v>
      </c>
      <c r="AA191">
        <v>10</v>
      </c>
      <c r="AB191">
        <v>10</v>
      </c>
    </row>
    <row r="192" spans="1:29" x14ac:dyDescent="0.25">
      <c r="A192" t="s">
        <v>178</v>
      </c>
      <c r="B192" t="s">
        <v>330</v>
      </c>
      <c r="C192" t="s">
        <v>213</v>
      </c>
      <c r="E192" t="s">
        <v>432</v>
      </c>
      <c r="O192" s="4" t="str">
        <f t="shared" si="5"/>
        <v/>
      </c>
      <c r="V192" t="str">
        <f>CONCATENATE(INT(W192*17),"x",INT(S192*15), "x", INT(T192*15))</f>
        <v>0x0x0</v>
      </c>
      <c r="W192">
        <f t="shared" si="7"/>
        <v>0</v>
      </c>
      <c r="Y192" t="str">
        <f>VLOOKUP(W192,'Articulated Lengths'!$A$2:$B$16, 2, FALSE)</f>
        <v>na</v>
      </c>
      <c r="AA192">
        <v>10</v>
      </c>
      <c r="AB192">
        <v>10</v>
      </c>
    </row>
    <row r="193" spans="1:28" x14ac:dyDescent="0.25">
      <c r="A193" t="s">
        <v>179</v>
      </c>
      <c r="B193" t="s">
        <v>331</v>
      </c>
      <c r="C193" t="s">
        <v>213</v>
      </c>
      <c r="E193" t="s">
        <v>432</v>
      </c>
      <c r="O193" s="4" t="str">
        <f t="shared" si="5"/>
        <v/>
      </c>
      <c r="V193" t="str">
        <f>CONCATENATE(INT(W193*17),"x",INT(S193*15), "x", INT(T193*15))</f>
        <v>0x0x0</v>
      </c>
      <c r="W193">
        <f t="shared" si="7"/>
        <v>0</v>
      </c>
      <c r="Y193" t="str">
        <f>VLOOKUP(W193,'Articulated Lengths'!$A$2:$B$16, 2, FALSE)</f>
        <v>na</v>
      </c>
      <c r="AA193">
        <v>10</v>
      </c>
      <c r="AB193">
        <v>10</v>
      </c>
    </row>
    <row r="194" spans="1:28" x14ac:dyDescent="0.25">
      <c r="A194" t="s">
        <v>180</v>
      </c>
      <c r="B194" t="s">
        <v>332</v>
      </c>
      <c r="C194" t="s">
        <v>213</v>
      </c>
      <c r="E194" t="s">
        <v>432</v>
      </c>
      <c r="O194" s="4" t="str">
        <f t="shared" si="5"/>
        <v/>
      </c>
      <c r="V194" t="str">
        <f>CONCATENATE(INT(W194*17),"x",INT(S194*15), "x", INT(T194*15))</f>
        <v>0x0x0</v>
      </c>
      <c r="W194">
        <f t="shared" si="7"/>
        <v>0</v>
      </c>
      <c r="Y194" t="str">
        <f>VLOOKUP(W194,'Articulated Lengths'!$A$2:$B$16, 2, FALSE)</f>
        <v>na</v>
      </c>
      <c r="AA194">
        <v>10</v>
      </c>
      <c r="AB194">
        <v>10</v>
      </c>
    </row>
    <row r="195" spans="1:28" x14ac:dyDescent="0.25">
      <c r="A195" t="s">
        <v>181</v>
      </c>
      <c r="B195" t="s">
        <v>333</v>
      </c>
      <c r="C195" t="s">
        <v>213</v>
      </c>
      <c r="E195" t="s">
        <v>432</v>
      </c>
      <c r="O195" s="4" t="str">
        <f t="shared" si="5"/>
        <v/>
      </c>
      <c r="V195" t="str">
        <f>CONCATENATE(INT(W195*17),"x",INT(S195*15), "x", INT(T195*15))</f>
        <v>0x0x0</v>
      </c>
      <c r="W195">
        <f t="shared" si="7"/>
        <v>0</v>
      </c>
      <c r="Y195" t="str">
        <f>VLOOKUP(W195,'Articulated Lengths'!$A$2:$B$16, 2, FALSE)</f>
        <v>na</v>
      </c>
      <c r="AA195">
        <v>10</v>
      </c>
      <c r="AB195">
        <v>10</v>
      </c>
    </row>
    <row r="196" spans="1:28" x14ac:dyDescent="0.25">
      <c r="A196" t="s">
        <v>182</v>
      </c>
      <c r="B196" t="s">
        <v>334</v>
      </c>
      <c r="C196" t="s">
        <v>213</v>
      </c>
      <c r="E196" t="s">
        <v>432</v>
      </c>
      <c r="O196" s="4" t="str">
        <f t="shared" si="5"/>
        <v/>
      </c>
      <c r="V196" t="str">
        <f>CONCATENATE(INT(W196*17),"x",INT(S196*15), "x", INT(T196*15))</f>
        <v>0x0x0</v>
      </c>
      <c r="W196">
        <f t="shared" si="7"/>
        <v>0</v>
      </c>
      <c r="Y196" t="str">
        <f>VLOOKUP(W196,'Articulated Lengths'!$A$2:$B$16, 2, FALSE)</f>
        <v>na</v>
      </c>
      <c r="AA196">
        <v>10</v>
      </c>
      <c r="AB196">
        <v>10</v>
      </c>
    </row>
    <row r="197" spans="1:28" x14ac:dyDescent="0.25">
      <c r="A197" t="s">
        <v>183</v>
      </c>
      <c r="B197" t="s">
        <v>335</v>
      </c>
      <c r="C197" t="s">
        <v>213</v>
      </c>
      <c r="E197" t="s">
        <v>432</v>
      </c>
      <c r="O197" s="4" t="str">
        <f t="shared" si="5"/>
        <v/>
      </c>
      <c r="V197" t="str">
        <f>CONCATENATE(INT(W197*17),"x",INT(S197*15), "x", INT(T197*15))</f>
        <v>0x0x0</v>
      </c>
      <c r="W197">
        <f t="shared" si="7"/>
        <v>0</v>
      </c>
      <c r="Y197" t="str">
        <f>VLOOKUP(W197,'Articulated Lengths'!$A$2:$B$16, 2, FALSE)</f>
        <v>na</v>
      </c>
      <c r="AA197">
        <v>10</v>
      </c>
      <c r="AB197">
        <v>10</v>
      </c>
    </row>
    <row r="198" spans="1:28" x14ac:dyDescent="0.25">
      <c r="A198" t="s">
        <v>184</v>
      </c>
      <c r="B198" t="s">
        <v>336</v>
      </c>
      <c r="C198" t="s">
        <v>213</v>
      </c>
      <c r="E198" t="s">
        <v>432</v>
      </c>
      <c r="O198" s="4" t="str">
        <f t="shared" si="5"/>
        <v/>
      </c>
      <c r="V198" t="str">
        <f>CONCATENATE(INT(W198*17),"x",INT(S198*15), "x", INT(T198*15))</f>
        <v>0x0x0</v>
      </c>
      <c r="W198">
        <f t="shared" si="7"/>
        <v>0</v>
      </c>
      <c r="Y198" t="str">
        <f>VLOOKUP(W198,'Articulated Lengths'!$A$2:$B$16, 2, FALSE)</f>
        <v>na</v>
      </c>
      <c r="AA198">
        <v>10</v>
      </c>
      <c r="AB198">
        <v>10</v>
      </c>
    </row>
    <row r="199" spans="1:28" x14ac:dyDescent="0.25">
      <c r="A199" t="s">
        <v>185</v>
      </c>
      <c r="B199" t="s">
        <v>337</v>
      </c>
      <c r="C199" t="s">
        <v>213</v>
      </c>
      <c r="E199" t="s">
        <v>432</v>
      </c>
      <c r="O199" s="4" t="str">
        <f t="shared" si="5"/>
        <v/>
      </c>
      <c r="V199" t="str">
        <f>CONCATENATE(INT(W199*17),"x",INT(S199*15), "x", INT(T199*15))</f>
        <v>0x0x0</v>
      </c>
      <c r="W199">
        <f t="shared" si="7"/>
        <v>0</v>
      </c>
      <c r="Y199" t="str">
        <f>VLOOKUP(W199,'Articulated Lengths'!$A$2:$B$16, 2, FALSE)</f>
        <v>na</v>
      </c>
      <c r="AA199">
        <v>10</v>
      </c>
      <c r="AB199">
        <v>10</v>
      </c>
    </row>
  </sheetData>
  <sortState xmlns:xlrd2="http://schemas.microsoft.com/office/spreadsheetml/2017/richdata2" ref="A2:U199">
    <sortCondition ref="F2:F19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D5" sqref="D5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386</v>
      </c>
      <c r="B1" s="1" t="s">
        <v>387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388</v>
      </c>
    </row>
    <row r="4" spans="1:2" x14ac:dyDescent="0.25">
      <c r="A4">
        <v>4</v>
      </c>
      <c r="B4" t="s">
        <v>388</v>
      </c>
    </row>
    <row r="5" spans="1:2" x14ac:dyDescent="0.25">
      <c r="A5">
        <v>5</v>
      </c>
      <c r="B5" t="s">
        <v>389</v>
      </c>
    </row>
    <row r="6" spans="1:2" x14ac:dyDescent="0.25">
      <c r="A6">
        <v>6</v>
      </c>
      <c r="B6" t="s">
        <v>390</v>
      </c>
    </row>
    <row r="7" spans="1:2" x14ac:dyDescent="0.25">
      <c r="A7">
        <v>7</v>
      </c>
      <c r="B7" t="s">
        <v>390</v>
      </c>
    </row>
    <row r="8" spans="1:2" x14ac:dyDescent="0.25">
      <c r="A8">
        <v>8</v>
      </c>
      <c r="B8" t="s">
        <v>391</v>
      </c>
    </row>
    <row r="9" spans="1:2" x14ac:dyDescent="0.25">
      <c r="A9">
        <v>9</v>
      </c>
      <c r="B9" t="s">
        <v>394</v>
      </c>
    </row>
    <row r="10" spans="1:2" x14ac:dyDescent="0.25">
      <c r="A10">
        <v>10</v>
      </c>
      <c r="B10" t="s">
        <v>392</v>
      </c>
    </row>
    <row r="11" spans="1:2" x14ac:dyDescent="0.25">
      <c r="A11">
        <v>11</v>
      </c>
      <c r="B11" t="s">
        <v>393</v>
      </c>
    </row>
    <row r="12" spans="1:2" x14ac:dyDescent="0.25">
      <c r="A12">
        <v>12</v>
      </c>
      <c r="B12" t="s">
        <v>395</v>
      </c>
    </row>
    <row r="13" spans="1:2" x14ac:dyDescent="0.25">
      <c r="A13">
        <v>13</v>
      </c>
      <c r="B13" t="s">
        <v>396</v>
      </c>
    </row>
    <row r="14" spans="1:2" x14ac:dyDescent="0.25">
      <c r="A14">
        <v>14</v>
      </c>
      <c r="B14" t="s">
        <v>397</v>
      </c>
    </row>
    <row r="15" spans="1:2" x14ac:dyDescent="0.25">
      <c r="A15">
        <v>15</v>
      </c>
      <c r="B15" t="s">
        <v>398</v>
      </c>
    </row>
    <row r="16" spans="1:2" x14ac:dyDescent="0.25">
      <c r="A16">
        <v>16</v>
      </c>
      <c r="B16" t="s">
        <v>399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 Kimber</cp:lastModifiedBy>
  <dcterms:created xsi:type="dcterms:W3CDTF">2018-09-29T15:27:54Z</dcterms:created>
  <dcterms:modified xsi:type="dcterms:W3CDTF">2020-06-07T13:53:05Z</dcterms:modified>
</cp:coreProperties>
</file>