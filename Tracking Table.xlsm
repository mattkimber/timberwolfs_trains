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FB2B2A3-DA1F-44B2-81CF-AD11B1FA7D02}" xr6:coauthVersionLast="45" xr6:coauthVersionMax="45" xr10:uidLastSave="{00000000-0000-0000-0000-000000000000}"/>
  <bookViews>
    <workbookView xWindow="-840" yWindow="465" windowWidth="21195" windowHeight="139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Table!$A$1:$AV$221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U172" i="1" l="1"/>
  <c r="AS172" i="1"/>
  <c r="AF172" i="1"/>
  <c r="AE172" i="1" s="1"/>
  <c r="W172" i="1"/>
  <c r="AH172" i="1" l="1"/>
  <c r="J167" i="1"/>
  <c r="AS165" i="1"/>
  <c r="AU165" i="1" s="1"/>
  <c r="AF165" i="1"/>
  <c r="AE165" i="1" s="1"/>
  <c r="W165" i="1"/>
  <c r="AH165" i="1" l="1"/>
  <c r="AD158" i="1"/>
  <c r="AS148" i="1" l="1"/>
  <c r="AU148" i="1" s="1"/>
  <c r="AF148" i="1"/>
  <c r="AE148" i="1" s="1"/>
  <c r="W148" i="1"/>
  <c r="AS149" i="1"/>
  <c r="AU149" i="1" s="1"/>
  <c r="AF149" i="1"/>
  <c r="AH149" i="1" s="1"/>
  <c r="W149" i="1"/>
  <c r="AE149" i="1" l="1"/>
  <c r="AH148" i="1"/>
  <c r="W142" i="1"/>
  <c r="W140" i="1"/>
  <c r="AH217" i="1" l="1"/>
  <c r="AH218" i="1"/>
  <c r="AH219" i="1"/>
  <c r="AH220" i="1"/>
  <c r="AH221"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6" i="1"/>
  <c r="W167" i="1"/>
  <c r="W168" i="1"/>
  <c r="W169" i="1"/>
  <c r="W170" i="1"/>
  <c r="W171"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6" i="1"/>
  <c r="AU166" i="1" s="1"/>
  <c r="AS167" i="1"/>
  <c r="AU167" i="1" s="1"/>
  <c r="AS168" i="1"/>
  <c r="AU168" i="1" s="1"/>
  <c r="AS169" i="1"/>
  <c r="AU169" i="1" s="1"/>
  <c r="AS170" i="1"/>
  <c r="AU170" i="1" s="1"/>
  <c r="AS171" i="1"/>
  <c r="AU171"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190" i="1"/>
  <c r="AU190" i="1" s="1"/>
  <c r="AS28" i="1"/>
  <c r="AU28" i="1" s="1"/>
  <c r="AS191" i="1"/>
  <c r="AU191" i="1" s="1"/>
  <c r="AS192" i="1"/>
  <c r="AU192" i="1" s="1"/>
  <c r="AS193" i="1"/>
  <c r="AU193" i="1" s="1"/>
  <c r="AS194" i="1"/>
  <c r="AU194" i="1" s="1"/>
  <c r="AS195" i="1"/>
  <c r="AU195"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6" i="1"/>
  <c r="AU196" i="1" s="1"/>
  <c r="AS197" i="1"/>
  <c r="AU197" i="1" s="1"/>
  <c r="AS198" i="1"/>
  <c r="AU198" i="1" s="1"/>
  <c r="AS60" i="1"/>
  <c r="AU60" i="1" s="1"/>
  <c r="AS199" i="1"/>
  <c r="AU199" i="1" s="1"/>
  <c r="AS200" i="1"/>
  <c r="AU200" i="1" s="1"/>
  <c r="AS105" i="1"/>
  <c r="AU105" i="1" s="1"/>
  <c r="AS138" i="1"/>
  <c r="AU138" i="1" s="1"/>
  <c r="AS201" i="1"/>
  <c r="AU201" i="1" s="1"/>
  <c r="AS202" i="1"/>
  <c r="AU202" i="1" s="1"/>
  <c r="AS203" i="1"/>
  <c r="AU203" i="1" s="1"/>
  <c r="AS14" i="1"/>
  <c r="AU14" i="1" s="1"/>
  <c r="AS47" i="1"/>
  <c r="AU47" i="1" s="1"/>
  <c r="AS204" i="1"/>
  <c r="AU204" i="1" s="1"/>
  <c r="AS205" i="1"/>
  <c r="AU205" i="1" s="1"/>
  <c r="AS2" i="1"/>
  <c r="AU2" i="1" s="1"/>
  <c r="AS32" i="1"/>
  <c r="AU32"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216" i="1"/>
  <c r="AU216"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6" i="1"/>
  <c r="AH166" i="1" s="1"/>
  <c r="AF167" i="1"/>
  <c r="AH167" i="1" s="1"/>
  <c r="AF168" i="1"/>
  <c r="AH168" i="1" s="1"/>
  <c r="AF169" i="1"/>
  <c r="AH169" i="1" s="1"/>
  <c r="AF170" i="1"/>
  <c r="AH170" i="1" s="1"/>
  <c r="AF171" i="1"/>
  <c r="AH171"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190" i="1"/>
  <c r="AH190" i="1" s="1"/>
  <c r="AF28" i="1"/>
  <c r="AH28" i="1" s="1"/>
  <c r="AF191" i="1"/>
  <c r="AH191" i="1" s="1"/>
  <c r="AF192" i="1"/>
  <c r="AH192" i="1" s="1"/>
  <c r="AF193" i="1"/>
  <c r="AH193" i="1" s="1"/>
  <c r="AF194" i="1"/>
  <c r="AH194" i="1" s="1"/>
  <c r="AF195" i="1"/>
  <c r="AH195"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6" i="1"/>
  <c r="AH196" i="1" s="1"/>
  <c r="AF197" i="1"/>
  <c r="AH197" i="1" s="1"/>
  <c r="AF198" i="1"/>
  <c r="AH198" i="1" s="1"/>
  <c r="AF60" i="1"/>
  <c r="AH60" i="1" s="1"/>
  <c r="AF199" i="1"/>
  <c r="AH199" i="1" s="1"/>
  <c r="AF200" i="1"/>
  <c r="AH200" i="1" s="1"/>
  <c r="AF105" i="1"/>
  <c r="AH105" i="1" s="1"/>
  <c r="AF138" i="1"/>
  <c r="AH138" i="1" s="1"/>
  <c r="AF201" i="1"/>
  <c r="AH201" i="1" s="1"/>
  <c r="AF202" i="1"/>
  <c r="AH202" i="1" s="1"/>
  <c r="AF203" i="1"/>
  <c r="AH203" i="1" s="1"/>
  <c r="AF14" i="1"/>
  <c r="AH14" i="1" s="1"/>
  <c r="AF47" i="1"/>
  <c r="AH47" i="1" s="1"/>
  <c r="AF204" i="1"/>
  <c r="AH204" i="1" s="1"/>
  <c r="AF205" i="1"/>
  <c r="AH205" i="1" s="1"/>
  <c r="AF2" i="1"/>
  <c r="AH2" i="1" s="1"/>
  <c r="AF32" i="1"/>
  <c r="AH32"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216" i="1"/>
  <c r="AH216" i="1" s="1"/>
  <c r="AF53" i="1"/>
  <c r="AH53" i="1" s="1"/>
  <c r="AH69" i="1" s="1"/>
  <c r="AH71" i="1" l="1"/>
  <c r="AE55" i="1"/>
  <c r="AH55" i="1"/>
  <c r="AH68" i="1"/>
  <c r="AE69" i="1"/>
  <c r="AE68" i="1"/>
  <c r="AE53" i="1"/>
  <c r="AE49" i="1"/>
  <c r="AE43" i="1"/>
  <c r="AE38" i="1"/>
  <c r="AE31" i="1"/>
  <c r="AE20" i="1"/>
  <c r="AE16" i="1"/>
  <c r="AE11" i="1"/>
  <c r="AE7" i="1"/>
  <c r="AE3" i="1"/>
  <c r="AE211" i="1"/>
  <c r="AE203" i="1"/>
  <c r="AE60" i="1"/>
  <c r="AE144" i="1"/>
  <c r="AE188" i="1"/>
  <c r="AE176" i="1"/>
  <c r="AE147" i="1"/>
  <c r="AE157" i="1"/>
  <c r="AE131" i="1"/>
  <c r="AE118" i="1"/>
  <c r="AE98" i="1"/>
  <c r="AE89" i="1"/>
  <c r="AE72" i="1"/>
  <c r="AE204" i="1"/>
  <c r="AE141" i="1"/>
  <c r="AE187" i="1"/>
  <c r="AE175" i="1"/>
  <c r="AE166" i="1"/>
  <c r="AE77" i="1"/>
  <c r="AE146" i="1"/>
  <c r="AE113" i="1"/>
  <c r="AE110" i="1"/>
  <c r="AE97" i="1"/>
  <c r="AE88" i="1"/>
  <c r="AE82" i="1"/>
  <c r="AE71" i="1"/>
  <c r="AE59" i="1"/>
  <c r="AE51" i="1"/>
  <c r="AE48" i="1"/>
  <c r="AE37" i="1"/>
  <c r="AE23" i="1"/>
  <c r="AE19" i="1"/>
  <c r="AE15" i="1"/>
  <c r="AE10" i="1"/>
  <c r="AE6" i="1"/>
  <c r="AE54" i="1"/>
  <c r="AE215" i="1"/>
  <c r="AE205" i="1"/>
  <c r="AE133" i="1"/>
  <c r="AE191" i="1"/>
  <c r="AE180" i="1"/>
  <c r="AE167" i="1"/>
  <c r="AE103" i="1"/>
  <c r="AE150" i="1"/>
  <c r="AE127" i="1"/>
  <c r="AE111" i="1"/>
  <c r="AE94" i="1"/>
  <c r="AE75" i="1"/>
  <c r="AE65" i="1"/>
  <c r="AE214" i="1"/>
  <c r="AE206" i="1"/>
  <c r="AE202" i="1"/>
  <c r="AE198" i="1"/>
  <c r="AE123" i="1"/>
  <c r="AE28" i="1"/>
  <c r="AE183" i="1"/>
  <c r="AE170" i="1"/>
  <c r="AE104" i="1"/>
  <c r="AE156" i="1"/>
  <c r="AE137" i="1"/>
  <c r="AE130" i="1"/>
  <c r="AE115" i="1"/>
  <c r="AE106" i="1"/>
  <c r="AE93" i="1"/>
  <c r="AE74" i="1"/>
  <c r="AE64" i="1"/>
  <c r="AE213" i="1"/>
  <c r="AE209" i="1"/>
  <c r="AE47" i="1"/>
  <c r="AE200" i="1"/>
  <c r="AE197" i="1"/>
  <c r="AE154" i="1"/>
  <c r="AE136" i="1"/>
  <c r="AE117" i="1"/>
  <c r="AE193" i="1"/>
  <c r="AE190" i="1"/>
  <c r="AE186" i="1"/>
  <c r="AE182" i="1"/>
  <c r="AE178" i="1"/>
  <c r="AE174" i="1"/>
  <c r="AE169"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7" i="1"/>
  <c r="AE138" i="1"/>
  <c r="AE163" i="1"/>
  <c r="AE195" i="1"/>
  <c r="AE184" i="1"/>
  <c r="AE171" i="1"/>
  <c r="AE159" i="1"/>
  <c r="AE44" i="1"/>
  <c r="AE139" i="1"/>
  <c r="AE124" i="1"/>
  <c r="AE107" i="1"/>
  <c r="AE84" i="1"/>
  <c r="AE61" i="1"/>
  <c r="AE210" i="1"/>
  <c r="AE105" i="1"/>
  <c r="AE162" i="1"/>
  <c r="AE194" i="1"/>
  <c r="AE179" i="1"/>
  <c r="AE160" i="1"/>
  <c r="AE67" i="1"/>
  <c r="AE121" i="1"/>
  <c r="AE32" i="1"/>
  <c r="AE201" i="1"/>
  <c r="AE216" i="1"/>
  <c r="AE212" i="1"/>
  <c r="AE208" i="1"/>
  <c r="AE2" i="1"/>
  <c r="AE14" i="1"/>
  <c r="AE199" i="1"/>
  <c r="AE196" i="1"/>
  <c r="AE152" i="1"/>
  <c r="AE134" i="1"/>
  <c r="AE78" i="1"/>
  <c r="AE192" i="1"/>
  <c r="AE189" i="1"/>
  <c r="AE185" i="1"/>
  <c r="AE181" i="1"/>
  <c r="AE177" i="1"/>
  <c r="AE173" i="1"/>
  <c r="AE168"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<sst xmlns="http://schemas.openxmlformats.org/spreadsheetml/2006/main" count="1489" uniqueCount="725">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</sst>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1"/>
  <sheetViews>
    <sheetView tabSelected="1" workbookViewId="0">
      <pane xSplit="1" ySplit="1" topLeftCell="Y155" activePane="bottomRight" state="frozenSplit"/>
      <selection pane="topRight" activeCell="B1" sqref="B1"/>
      <selection pane="bottomLeft" activeCell="A2" sqref="A2"/>
      <selection pane="bottomRight" activeCell="AH158" sqref="AH158"/>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173</v>
      </c>
      <c r="B1" s="1" t="s">
        <v>174</v>
      </c>
      <c r="C1" s="1" t="s">
        <v>172</v>
      </c>
      <c r="D1" s="1" t="s">
        <v>343</v>
      </c>
      <c r="E1" s="1" t="s">
        <v>346</v>
      </c>
      <c r="F1" s="1" t="s">
        <v>176</v>
      </c>
      <c r="G1" s="1" t="s">
        <v>177</v>
      </c>
      <c r="H1" s="1" t="s">
        <v>178</v>
      </c>
      <c r="I1" s="1" t="s">
        <v>179</v>
      </c>
      <c r="J1" s="1" t="s">
        <v>180</v>
      </c>
      <c r="K1" s="1" t="s">
        <v>642</v>
      </c>
      <c r="L1" s="1" t="s">
        <v>457</v>
      </c>
      <c r="M1" s="1" t="s">
        <v>454</v>
      </c>
      <c r="N1" s="1" t="s">
        <v>455</v>
      </c>
      <c r="O1" s="1" t="s">
        <v>452</v>
      </c>
      <c r="P1" s="1" t="s">
        <v>453</v>
      </c>
      <c r="Q1" s="1" t="s">
        <v>458</v>
      </c>
      <c r="R1" s="1" t="s">
        <v>456</v>
      </c>
      <c r="S1" s="1" t="s">
        <v>181</v>
      </c>
      <c r="T1" s="1" t="s">
        <v>182</v>
      </c>
      <c r="U1" s="1" t="s">
        <v>349</v>
      </c>
      <c r="V1" s="1" t="s">
        <v>183</v>
      </c>
      <c r="W1" s="3" t="s">
        <v>337</v>
      </c>
      <c r="X1" s="1" t="s">
        <v>184</v>
      </c>
      <c r="Y1" s="1" t="s">
        <v>462</v>
      </c>
      <c r="Z1" s="1" t="s">
        <v>185</v>
      </c>
      <c r="AA1" s="1" t="s">
        <v>358</v>
      </c>
      <c r="AB1" s="1" t="s">
        <v>314</v>
      </c>
      <c r="AC1" s="1" t="s">
        <v>186</v>
      </c>
      <c r="AD1" s="1" t="s">
        <v>336</v>
      </c>
      <c r="AE1" s="1" t="s">
        <v>175</v>
      </c>
      <c r="AF1" s="1" t="s">
        <v>341</v>
      </c>
      <c r="AG1" s="1" t="s">
        <v>364</v>
      </c>
      <c r="AH1" s="1" t="s">
        <v>315</v>
      </c>
      <c r="AI1" s="1" t="s">
        <v>494</v>
      </c>
      <c r="AJ1" s="1" t="s">
        <v>653</v>
      </c>
      <c r="AK1" s="1" t="s">
        <v>495</v>
      </c>
      <c r="AL1" s="1" t="s">
        <v>578</v>
      </c>
      <c r="AM1" s="1" t="s">
        <v>342</v>
      </c>
      <c r="AN1" s="1" t="s">
        <v>350</v>
      </c>
      <c r="AO1" s="1" t="s">
        <v>351</v>
      </c>
      <c r="AP1" s="1" t="s">
        <v>381</v>
      </c>
      <c r="AQ1" s="1" t="s">
        <v>667</v>
      </c>
      <c r="AR1" s="1" t="s">
        <v>355</v>
      </c>
      <c r="AS1" s="1" t="s">
        <v>405</v>
      </c>
      <c r="AT1" s="1" t="s">
        <v>426</v>
      </c>
      <c r="AU1" s="1" t="s">
        <v>428</v>
      </c>
      <c r="AV1" s="1" t="s">
        <v>429</v>
      </c>
    </row>
    <row r="2" spans="1:48" x14ac:dyDescent="0.25">
      <c r="A2" t="s">
        <v>148</v>
      </c>
      <c r="B2" t="s">
        <v>328</v>
      </c>
      <c r="C2" t="s">
        <v>354</v>
      </c>
      <c r="E2" t="s">
        <v>376</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FALSE),IF(AG2&lt;&gt;"",CONCATENATE(",",VLOOKUP(AG2,$B$2:$AH$216,33,FALSE)),""))</f>
        <v>1,1,2</v>
      </c>
      <c r="AN2">
        <v>10</v>
      </c>
      <c r="AO2">
        <v>10</v>
      </c>
      <c r="AR2" t="s">
        <v>359</v>
      </c>
      <c r="AS2" t="str">
        <f>VLOOKUP(F2,Eras!$A$2:$C$12, 2, TRUE)</f>
        <v>early</v>
      </c>
      <c r="AT2" t="s">
        <v>422</v>
      </c>
      <c r="AU2" t="str">
        <f t="shared" ref="AU2:AU65" si="2">CONCATENATE(AS2,"_",AT2)</f>
        <v>early_Open Wagon</v>
      </c>
      <c r="AV2" t="s">
        <v>446</v>
      </c>
    </row>
    <row r="3" spans="1:48" x14ac:dyDescent="0.25">
      <c r="A3" t="s">
        <v>169</v>
      </c>
      <c r="B3" t="s">
        <v>277</v>
      </c>
      <c r="C3" t="s">
        <v>187</v>
      </c>
      <c r="E3" t="s">
        <v>348</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FALSE),IF(AG3&lt;&gt;"",CONCATENATE(",",VLOOKUP(AG3,$B$2:$AH$216,33,FALSE)),""))</f>
        <v>na</v>
      </c>
      <c r="AN3">
        <v>10</v>
      </c>
      <c r="AO3">
        <v>10</v>
      </c>
      <c r="AS3" t="str">
        <f>VLOOKUP(F3,Eras!$A$2:$C$12, 2, TRUE)</f>
        <v>early</v>
      </c>
      <c r="AT3" t="s">
        <v>409</v>
      </c>
      <c r="AU3" t="str">
        <f t="shared" si="2"/>
        <v>early_Mixed Traffic</v>
      </c>
    </row>
    <row r="4" spans="1:48" x14ac:dyDescent="0.25">
      <c r="A4" t="s">
        <v>0</v>
      </c>
      <c r="B4" t="s">
        <v>188</v>
      </c>
      <c r="C4" t="s">
        <v>187</v>
      </c>
      <c r="E4" t="s">
        <v>347</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FALSE),IF(AG4&lt;&gt;"",CONCATENATE(",",VLOOKUP(AG4,$B$2:$AH$216,33,FALSE)),""))</f>
        <v>na</v>
      </c>
      <c r="AN4">
        <v>10</v>
      </c>
      <c r="AO4">
        <v>10</v>
      </c>
      <c r="AS4" t="str">
        <f>VLOOKUP(F4,Eras!$A$2:$C$12, 2, TRUE)</f>
        <v>early</v>
      </c>
      <c r="AU4" t="str">
        <f t="shared" si="2"/>
        <v>early_</v>
      </c>
    </row>
    <row r="5" spans="1:48" x14ac:dyDescent="0.25">
      <c r="A5" t="s">
        <v>1</v>
      </c>
      <c r="B5" t="s">
        <v>189</v>
      </c>
      <c r="C5" t="s">
        <v>187</v>
      </c>
      <c r="E5" t="s">
        <v>347</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FALSE),IF(AG5&lt;&gt;"",CONCATENATE(",",VLOOKUP(AG5,$B$2:$AH$216,33,FALSE)),""))</f>
        <v>na</v>
      </c>
      <c r="AN5">
        <v>10</v>
      </c>
      <c r="AO5">
        <v>10</v>
      </c>
      <c r="AS5" t="str">
        <f>VLOOKUP(F5,Eras!$A$2:$C$12, 2, TRUE)</f>
        <v>early</v>
      </c>
      <c r="AT5" t="s">
        <v>409</v>
      </c>
      <c r="AU5" t="str">
        <f t="shared" si="2"/>
        <v>early_Mixed Traffic</v>
      </c>
    </row>
    <row r="6" spans="1:48" x14ac:dyDescent="0.25">
      <c r="A6" t="s">
        <v>2</v>
      </c>
      <c r="B6" t="s">
        <v>190</v>
      </c>
      <c r="C6" t="s">
        <v>187</v>
      </c>
      <c r="E6" t="s">
        <v>347</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FALSE),IF(AG6&lt;&gt;"",CONCATENATE(",",VLOOKUP(AG6,$B$2:$AH$216,33,FALSE)),""))</f>
        <v>na</v>
      </c>
      <c r="AN6">
        <v>10</v>
      </c>
      <c r="AO6">
        <v>10</v>
      </c>
      <c r="AS6" t="str">
        <f>VLOOKUP(F6,Eras!$A$2:$C$12, 2, TRUE)</f>
        <v>early</v>
      </c>
      <c r="AT6" t="s">
        <v>409</v>
      </c>
      <c r="AU6" t="str">
        <f t="shared" si="2"/>
        <v>early_Mixed Traffic</v>
      </c>
    </row>
    <row r="7" spans="1:48" x14ac:dyDescent="0.25">
      <c r="A7" t="s">
        <v>161</v>
      </c>
      <c r="B7" t="s">
        <v>278</v>
      </c>
      <c r="C7" t="s">
        <v>187</v>
      </c>
      <c r="E7" t="s">
        <v>347</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FALSE),IF(AG7&lt;&gt;"",CONCATENATE(",",VLOOKUP(AG7,$B$2:$AH$216,33,FALSE)),""))</f>
        <v>na</v>
      </c>
      <c r="AN7">
        <v>10</v>
      </c>
      <c r="AO7">
        <v>10</v>
      </c>
      <c r="AS7" t="str">
        <f>VLOOKUP(F7,Eras!$A$2:$C$12, 2, TRUE)</f>
        <v>early</v>
      </c>
      <c r="AT7" t="s">
        <v>409</v>
      </c>
      <c r="AU7" t="str">
        <f t="shared" si="2"/>
        <v>early_Mixed Traffic</v>
      </c>
    </row>
    <row r="8" spans="1:48" x14ac:dyDescent="0.25">
      <c r="A8" t="s">
        <v>162</v>
      </c>
      <c r="B8" t="s">
        <v>279</v>
      </c>
      <c r="C8" t="s">
        <v>187</v>
      </c>
      <c r="E8" t="s">
        <v>347</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FALSE),IF(AG8&lt;&gt;"",CONCATENATE(",",VLOOKUP(AG8,$B$2:$AH$216,33,FALSE)),""))</f>
        <v>na</v>
      </c>
      <c r="AN8">
        <v>10</v>
      </c>
      <c r="AO8">
        <v>10</v>
      </c>
      <c r="AS8" t="str">
        <f>VLOOKUP(F8,Eras!$A$2:$C$12, 2, TRUE)</f>
        <v>early</v>
      </c>
      <c r="AT8" t="s">
        <v>410</v>
      </c>
      <c r="AU8" t="str">
        <f t="shared" si="2"/>
        <v>early_Express</v>
      </c>
    </row>
    <row r="9" spans="1:48" x14ac:dyDescent="0.25">
      <c r="A9" t="s">
        <v>3</v>
      </c>
      <c r="B9" t="s">
        <v>191</v>
      </c>
      <c r="C9" t="s">
        <v>187</v>
      </c>
      <c r="E9" t="s">
        <v>347</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FALSE),IF(AG9&lt;&gt;"",CONCATENATE(",",VLOOKUP(AG9,$B$2:$AH$216,33,FALSE)),""))</f>
        <v>na</v>
      </c>
      <c r="AN9">
        <v>10</v>
      </c>
      <c r="AO9">
        <v>10</v>
      </c>
      <c r="AS9" t="str">
        <f>VLOOKUP(F9,Eras!$A$2:$C$12, 2, TRUE)</f>
        <v>early</v>
      </c>
      <c r="AU9" t="str">
        <f t="shared" si="2"/>
        <v>early_</v>
      </c>
    </row>
    <row r="10" spans="1:48" x14ac:dyDescent="0.25">
      <c r="A10" t="s">
        <v>6</v>
      </c>
      <c r="B10" t="s">
        <v>280</v>
      </c>
      <c r="C10" t="s">
        <v>187</v>
      </c>
      <c r="E10" t="s">
        <v>347</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FALSE),IF(AG10&lt;&gt;"",CONCATENATE(",",VLOOKUP(AG10,$B$2:$AH$216,33,FALSE)),""))</f>
        <v>1,1,2</v>
      </c>
      <c r="AN10">
        <v>10</v>
      </c>
      <c r="AO10">
        <v>10</v>
      </c>
      <c r="AS10" t="str">
        <f>VLOOKUP(F10,Eras!$A$2:$C$12, 2, TRUE)</f>
        <v>early</v>
      </c>
      <c r="AU10" t="str">
        <f t="shared" si="2"/>
        <v>early_</v>
      </c>
    </row>
    <row r="11" spans="1:48" x14ac:dyDescent="0.25">
      <c r="A11" t="s">
        <v>4</v>
      </c>
      <c r="B11" t="s">
        <v>192</v>
      </c>
      <c r="C11" t="s">
        <v>187</v>
      </c>
      <c r="E11" t="s">
        <v>347</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FALSE),IF(AG11&lt;&gt;"",CONCATENATE(",",VLOOKUP(AG11,$B$2:$AH$216,33,FALSE)),""))</f>
        <v>na</v>
      </c>
      <c r="AN11">
        <v>10</v>
      </c>
      <c r="AO11">
        <v>10</v>
      </c>
      <c r="AS11" t="str">
        <f>VLOOKUP(F11,Eras!$A$2:$C$12, 2, TRUE)</f>
        <v>early</v>
      </c>
      <c r="AU11" t="str">
        <f t="shared" si="2"/>
        <v>early_</v>
      </c>
    </row>
    <row r="12" spans="1:48" x14ac:dyDescent="0.25">
      <c r="A12" t="s">
        <v>5</v>
      </c>
      <c r="B12" t="s">
        <v>193</v>
      </c>
      <c r="C12" t="s">
        <v>187</v>
      </c>
      <c r="E12" t="s">
        <v>347</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FALSE),IF(AG12&lt;&gt;"",CONCATENATE(",",VLOOKUP(AG12,$B$2:$AH$216,33,FALSE)),""))</f>
        <v>na</v>
      </c>
      <c r="AN12">
        <v>10</v>
      </c>
      <c r="AO12">
        <v>10</v>
      </c>
      <c r="AS12" t="str">
        <f>VLOOKUP(F12,Eras!$A$2:$C$12, 2, TRUE)</f>
        <v>vct</v>
      </c>
      <c r="AU12" t="str">
        <f t="shared" si="2"/>
        <v>vct_</v>
      </c>
    </row>
    <row r="13" spans="1:48" x14ac:dyDescent="0.25">
      <c r="A13" t="s">
        <v>7</v>
      </c>
      <c r="B13" t="s">
        <v>281</v>
      </c>
      <c r="C13" t="s">
        <v>187</v>
      </c>
      <c r="E13" t="s">
        <v>347</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FALSE),IF(AG13&lt;&gt;"",CONCATENATE(",",VLOOKUP(AG13,$B$2:$AH$216,33,FALSE)),""))</f>
        <v>na</v>
      </c>
      <c r="AN13">
        <v>10</v>
      </c>
      <c r="AO13">
        <v>10</v>
      </c>
      <c r="AS13" t="str">
        <f>VLOOKUP(F13,Eras!$A$2:$C$12, 2, TRUE)</f>
        <v>vct</v>
      </c>
      <c r="AU13" t="str">
        <f t="shared" si="2"/>
        <v>vct_</v>
      </c>
    </row>
    <row r="14" spans="1:48" x14ac:dyDescent="0.25">
      <c r="A14" t="s">
        <v>144</v>
      </c>
      <c r="B14" t="s">
        <v>352</v>
      </c>
      <c r="C14" t="s">
        <v>354</v>
      </c>
      <c r="E14" t="s">
        <v>347</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FALSE),IF(AG14&lt;&gt;"",CONCATENATE(",",VLOOKUP(AG14,$B$2:$AH$216,33,FALSE)),""))</f>
        <v>1,1,2</v>
      </c>
      <c r="AN14">
        <v>10</v>
      </c>
      <c r="AO14">
        <v>10</v>
      </c>
      <c r="AR14" t="s">
        <v>357</v>
      </c>
      <c r="AS14" t="str">
        <f>VLOOKUP(F14,Eras!$A$2:$C$12, 2, TRUE)</f>
        <v>vct</v>
      </c>
      <c r="AT14" t="s">
        <v>425</v>
      </c>
      <c r="AU14" t="str">
        <f t="shared" si="2"/>
        <v>vct_Tanker</v>
      </c>
      <c r="AV14" t="s">
        <v>445</v>
      </c>
    </row>
    <row r="15" spans="1:48" x14ac:dyDescent="0.25">
      <c r="A15" t="s">
        <v>19</v>
      </c>
      <c r="B15" t="s">
        <v>194</v>
      </c>
      <c r="C15" t="s">
        <v>187</v>
      </c>
      <c r="E15" t="s">
        <v>347</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FALSE),IF(AG15&lt;&gt;"",CONCATENATE(",",VLOOKUP(AG15,$B$2:$AH$216,33,FALSE)),""))</f>
        <v>1,1,3</v>
      </c>
      <c r="AN15">
        <v>10</v>
      </c>
      <c r="AO15">
        <v>10</v>
      </c>
      <c r="AS15" t="str">
        <f>VLOOKUP(F15,Eras!$A$2:$C$12, 2, TRUE)</f>
        <v>vct</v>
      </c>
      <c r="AU15" t="str">
        <f t="shared" si="2"/>
        <v>vct_</v>
      </c>
    </row>
    <row r="16" spans="1:48" x14ac:dyDescent="0.25">
      <c r="A16" t="s">
        <v>42</v>
      </c>
      <c r="B16" t="s">
        <v>282</v>
      </c>
      <c r="C16" t="s">
        <v>187</v>
      </c>
      <c r="E16" t="s">
        <v>347</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FALSE),IF(AG16&lt;&gt;"",CONCATENATE(",",VLOOKUP(AG16,$B$2:$AH$216,33,FALSE)),""))</f>
        <v>1,1,3</v>
      </c>
      <c r="AN16">
        <v>10</v>
      </c>
      <c r="AO16">
        <v>10</v>
      </c>
      <c r="AS16" t="str">
        <f>VLOOKUP(F16,Eras!$A$2:$C$12, 2, TRUE)</f>
        <v>vct</v>
      </c>
      <c r="AU16" t="str">
        <f t="shared" si="2"/>
        <v>vct_</v>
      </c>
    </row>
    <row r="17" spans="1:48" x14ac:dyDescent="0.25">
      <c r="A17" t="s">
        <v>9</v>
      </c>
      <c r="B17" t="s">
        <v>195</v>
      </c>
      <c r="C17" t="s">
        <v>187</v>
      </c>
      <c r="E17" t="s">
        <v>347</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FALSE),IF(AG17&lt;&gt;"",CONCATENATE(",",VLOOKUP(AG17,$B$2:$AH$216,33,FALSE)),""))</f>
        <v>na</v>
      </c>
      <c r="AN17">
        <v>10</v>
      </c>
      <c r="AO17">
        <v>10</v>
      </c>
      <c r="AS17" t="str">
        <f>VLOOKUP(F17,Eras!$A$2:$C$12, 2, TRUE)</f>
        <v>vct</v>
      </c>
      <c r="AU17" t="str">
        <f t="shared" si="2"/>
        <v>vct_</v>
      </c>
    </row>
    <row r="18" spans="1:48" x14ac:dyDescent="0.25">
      <c r="A18" t="s">
        <v>163</v>
      </c>
      <c r="B18" t="s">
        <v>196</v>
      </c>
      <c r="C18" t="s">
        <v>187</v>
      </c>
      <c r="E18" t="s">
        <v>347</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FALSE),IF(AG18&lt;&gt;"",CONCATENATE(",",VLOOKUP(AG18,$B$2:$AH$216,33,FALSE)),""))</f>
        <v>2,2,4</v>
      </c>
      <c r="AN18">
        <v>10</v>
      </c>
      <c r="AO18">
        <v>10</v>
      </c>
      <c r="AS18" t="str">
        <f>VLOOKUP(F18,Eras!$A$2:$C$12, 2, TRUE)</f>
        <v>vct</v>
      </c>
      <c r="AU18" t="str">
        <f t="shared" si="2"/>
        <v>vct_</v>
      </c>
    </row>
    <row r="19" spans="1:48" x14ac:dyDescent="0.25">
      <c r="A19" t="s">
        <v>15</v>
      </c>
      <c r="B19" t="s">
        <v>197</v>
      </c>
      <c r="C19" t="s">
        <v>187</v>
      </c>
      <c r="E19" t="s">
        <v>347</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FALSE),IF(AG19&lt;&gt;"",CONCATENATE(",",VLOOKUP(AG19,$B$2:$AH$216,33,FALSE)),""))</f>
        <v>2,2,5</v>
      </c>
      <c r="AN19">
        <v>10</v>
      </c>
      <c r="AO19">
        <v>10</v>
      </c>
      <c r="AS19" t="str">
        <f>VLOOKUP(F19,Eras!$A$2:$C$12, 2, TRUE)</f>
        <v>vct</v>
      </c>
      <c r="AU19" t="str">
        <f t="shared" si="2"/>
        <v>vct_</v>
      </c>
    </row>
    <row r="20" spans="1:48" x14ac:dyDescent="0.25">
      <c r="A20" t="s">
        <v>8</v>
      </c>
      <c r="B20" t="s">
        <v>198</v>
      </c>
      <c r="C20" t="s">
        <v>187</v>
      </c>
      <c r="E20" t="s">
        <v>347</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FALSE),IF(AG20&lt;&gt;"",CONCATENATE(",",VLOOKUP(AG20,$B$2:$AH$216,33,FALSE)),""))</f>
        <v>na</v>
      </c>
      <c r="AN20">
        <v>10</v>
      </c>
      <c r="AO20">
        <v>10</v>
      </c>
      <c r="AS20" t="str">
        <f>VLOOKUP(F20,Eras!$A$2:$C$12, 2, TRUE)</f>
        <v>vct</v>
      </c>
      <c r="AT20" t="s">
        <v>410</v>
      </c>
      <c r="AU20" t="str">
        <f t="shared" si="2"/>
        <v>vct_Express</v>
      </c>
    </row>
    <row r="21" spans="1:48" x14ac:dyDescent="0.25">
      <c r="A21" t="s">
        <v>17</v>
      </c>
      <c r="B21" t="s">
        <v>311</v>
      </c>
      <c r="C21" t="s">
        <v>187</v>
      </c>
      <c r="E21" t="s">
        <v>347</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FALSE),IF(AG21&lt;&gt;"",CONCATENATE(",",VLOOKUP(AG21,$B$2:$AH$216,33,FALSE)),""))</f>
        <v>na</v>
      </c>
      <c r="AN21">
        <v>10</v>
      </c>
      <c r="AO21">
        <v>10</v>
      </c>
      <c r="AS21" t="str">
        <f>VLOOKUP(F21,Eras!$A$2:$C$12, 2, TRUE)</f>
        <v>vct</v>
      </c>
      <c r="AU21" t="str">
        <f t="shared" si="2"/>
        <v>vct_</v>
      </c>
    </row>
    <row r="22" spans="1:48" x14ac:dyDescent="0.25">
      <c r="A22" t="s">
        <v>171</v>
      </c>
      <c r="B22" t="s">
        <v>199</v>
      </c>
      <c r="C22" t="s">
        <v>187</v>
      </c>
      <c r="E22" t="s">
        <v>347</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FALSE),IF(AG22&lt;&gt;"",CONCATENATE(",",VLOOKUP(AG22,$B$2:$AH$216,33,FALSE)),""))</f>
        <v>2,2,2</v>
      </c>
      <c r="AN22">
        <v>10</v>
      </c>
      <c r="AO22">
        <v>10</v>
      </c>
      <c r="AS22" t="str">
        <f>VLOOKUP(F22,Eras!$A$2:$C$12, 2, TRUE)</f>
        <v>vct</v>
      </c>
      <c r="AU22" t="str">
        <f t="shared" si="2"/>
        <v>vct_</v>
      </c>
    </row>
    <row r="23" spans="1:48" x14ac:dyDescent="0.25">
      <c r="A23" t="s">
        <v>12</v>
      </c>
      <c r="B23" t="s">
        <v>310</v>
      </c>
      <c r="C23" t="s">
        <v>187</v>
      </c>
      <c r="E23" t="s">
        <v>347</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FALSE),IF(AG23&lt;&gt;"",CONCATENATE(",",VLOOKUP(AG23,$B$2:$AH$216,33,FALSE)),""))</f>
        <v>na</v>
      </c>
      <c r="AN23">
        <v>10</v>
      </c>
      <c r="AO23">
        <v>10</v>
      </c>
      <c r="AS23" t="str">
        <f>VLOOKUP(F23,Eras!$A$2:$C$12, 2, TRUE)</f>
        <v>vct</v>
      </c>
      <c r="AU23" t="str">
        <f t="shared" si="2"/>
        <v>vct_</v>
      </c>
    </row>
    <row r="24" spans="1:48" x14ac:dyDescent="0.25">
      <c r="A24" t="s">
        <v>167</v>
      </c>
      <c r="B24" t="s">
        <v>308</v>
      </c>
      <c r="C24" t="s">
        <v>187</v>
      </c>
      <c r="E24" t="s">
        <v>347</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FALSE),IF(AG24&lt;&gt;"",CONCATENATE(",",VLOOKUP(AG24,$B$2:$AH$216,33,FALSE)),""))</f>
        <v>na</v>
      </c>
      <c r="AN24">
        <v>10</v>
      </c>
      <c r="AO24">
        <v>10</v>
      </c>
      <c r="AS24" t="str">
        <f>VLOOKUP(F24,Eras!$A$2:$C$12, 2, TRUE)</f>
        <v>vct</v>
      </c>
      <c r="AU24" t="str">
        <f t="shared" si="2"/>
        <v>vct_</v>
      </c>
    </row>
    <row r="25" spans="1:48" x14ac:dyDescent="0.25">
      <c r="A25" t="s">
        <v>514</v>
      </c>
      <c r="B25" t="s">
        <v>515</v>
      </c>
      <c r="C25" t="s">
        <v>364</v>
      </c>
      <c r="E25" t="s">
        <v>347</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FALSE),IF(AG25&lt;&gt;"",CONCATENATE(",",VLOOKUP(AG25,$B$2:$AH$216,33,FALSE)),""))</f>
        <v>1,1,3</v>
      </c>
      <c r="AN25">
        <v>10</v>
      </c>
      <c r="AO25">
        <v>10</v>
      </c>
      <c r="AS25" t="str">
        <f>VLOOKUP(F25,Eras!$A$2:$C$12, 2, TRUE)</f>
        <v>edw</v>
      </c>
      <c r="AU25" t="str">
        <f t="shared" si="2"/>
        <v>edw_</v>
      </c>
    </row>
    <row r="26" spans="1:48" x14ac:dyDescent="0.25">
      <c r="A26" t="s">
        <v>382</v>
      </c>
      <c r="B26" t="s">
        <v>383</v>
      </c>
      <c r="C26" t="s">
        <v>364</v>
      </c>
      <c r="E26" t="s">
        <v>347</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FALSE),IF(AG26&lt;&gt;"",CONCATENATE(",",VLOOKUP(AG26,$B$2:$AH$216,33,FALSE)),""))</f>
        <v>1,1,3</v>
      </c>
      <c r="AN26">
        <v>10</v>
      </c>
      <c r="AO26">
        <v>10</v>
      </c>
      <c r="AS26" t="str">
        <f>VLOOKUP(F26,Eras!$A$2:$C$12, 2, TRUE)</f>
        <v>edw</v>
      </c>
      <c r="AU26" t="str">
        <f t="shared" si="2"/>
        <v>edw_</v>
      </c>
    </row>
    <row r="27" spans="1:48" x14ac:dyDescent="0.25">
      <c r="A27" t="s">
        <v>482</v>
      </c>
      <c r="B27" t="s">
        <v>483</v>
      </c>
      <c r="C27" t="s">
        <v>364</v>
      </c>
      <c r="E27" t="s">
        <v>347</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FALSE),IF(AG27&lt;&gt;"",CONCATENATE(",",VLOOKUP(AG27,$B$2:$AH$216,33,FALSE)),""))</f>
        <v>1,1,3</v>
      </c>
      <c r="AN27">
        <v>10</v>
      </c>
      <c r="AO27">
        <v>10</v>
      </c>
      <c r="AS27" t="str">
        <f>VLOOKUP(F27,Eras!$A$2:$C$12, 2, TRUE)</f>
        <v>edw</v>
      </c>
      <c r="AU27" t="str">
        <f t="shared" si="2"/>
        <v>edw_</v>
      </c>
    </row>
    <row r="28" spans="1:48" x14ac:dyDescent="0.25">
      <c r="A28" t="s">
        <v>114</v>
      </c>
      <c r="B28" t="s">
        <v>244</v>
      </c>
      <c r="C28" t="s">
        <v>187</v>
      </c>
      <c r="E28" t="s">
        <v>347</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FALSE),IF(AG28&lt;&gt;"",CONCATENATE(",",VLOOKUP(AG28,$B$2:$AH$216,33,FALSE)),""))</f>
        <v>na</v>
      </c>
      <c r="AN28">
        <v>10</v>
      </c>
      <c r="AO28">
        <v>10</v>
      </c>
      <c r="AS28" t="str">
        <f>VLOOKUP(F28,Eras!$A$2:$C$12, 2, TRUE)</f>
        <v>edw</v>
      </c>
      <c r="AT28" t="s">
        <v>427</v>
      </c>
      <c r="AU28" t="str">
        <f t="shared" si="2"/>
        <v>edw_LU</v>
      </c>
    </row>
    <row r="29" spans="1:48" x14ac:dyDescent="0.25">
      <c r="A29" t="s">
        <v>491</v>
      </c>
      <c r="B29" t="s">
        <v>492</v>
      </c>
      <c r="C29" t="s">
        <v>335</v>
      </c>
      <c r="D29" t="s">
        <v>344</v>
      </c>
      <c r="E29" t="s">
        <v>347</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FALSE),IF(AG29&lt;&gt;"",CONCATENATE(",",VLOOKUP(AG29,$B$2:$AH$216,33,FALSE)),""))</f>
        <v>1,1,2</v>
      </c>
      <c r="AM29">
        <v>1</v>
      </c>
      <c r="AN29">
        <v>10</v>
      </c>
      <c r="AO29">
        <v>10</v>
      </c>
      <c r="AS29" t="str">
        <f>VLOOKUP(F29,Eras!$A$2:$C$12, 2, TRUE)</f>
        <v>edw</v>
      </c>
      <c r="AT29" t="s">
        <v>408</v>
      </c>
      <c r="AU29" t="str">
        <f t="shared" si="2"/>
        <v>edw_Cheap</v>
      </c>
      <c r="AV29" t="s">
        <v>493</v>
      </c>
    </row>
    <row r="30" spans="1:48" x14ac:dyDescent="0.25">
      <c r="A30" t="s">
        <v>500</v>
      </c>
      <c r="B30" t="s">
        <v>501</v>
      </c>
      <c r="C30" t="s">
        <v>354</v>
      </c>
      <c r="E30" t="s">
        <v>347</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FALSE),IF(AG30&lt;&gt;"",CONCATENATE(",",VLOOKUP(AG30,$B$2:$AH$216,33,FALSE)),""))</f>
        <v>1,1,3</v>
      </c>
      <c r="AN30">
        <v>10</v>
      </c>
      <c r="AO30">
        <v>10</v>
      </c>
      <c r="AR30" t="s">
        <v>357</v>
      </c>
      <c r="AS30" t="str">
        <f>VLOOKUP(F30,Eras!$A$2:$C$12, 2, TRUE)</f>
        <v>edw</v>
      </c>
      <c r="AT30" t="s">
        <v>425</v>
      </c>
      <c r="AU30" t="str">
        <f t="shared" si="2"/>
        <v>edw_Tanker</v>
      </c>
      <c r="AV30" t="s">
        <v>502</v>
      </c>
    </row>
    <row r="31" spans="1:48" x14ac:dyDescent="0.25">
      <c r="A31" t="s">
        <v>16</v>
      </c>
      <c r="B31" t="s">
        <v>309</v>
      </c>
      <c r="C31" t="s">
        <v>335</v>
      </c>
      <c r="D31" t="s">
        <v>344</v>
      </c>
      <c r="E31" t="s">
        <v>347</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383</v>
      </c>
      <c r="AH31" t="str">
        <f>CONCATENATE(VLOOKUP(AF31,'Articulated Lengths'!$A$2:$C$16,IF(AG31&lt;&gt;"", 3, 2), FALSE),IF(AG31&lt;&gt;"",CONCATENATE(",",VLOOKUP(AG31,$B$2:$AH$216,33,FALSE)),""))</f>
        <v>2,2,2,1,1,3</v>
      </c>
      <c r="AM31">
        <v>1</v>
      </c>
      <c r="AN31">
        <v>10</v>
      </c>
      <c r="AO31">
        <v>10</v>
      </c>
      <c r="AS31" t="str">
        <f>VLOOKUP(F31,Eras!$A$2:$C$12, 2, TRUE)</f>
        <v>edw</v>
      </c>
      <c r="AT31" t="s">
        <v>410</v>
      </c>
      <c r="AU31" t="str">
        <f t="shared" si="2"/>
        <v>edw_Express</v>
      </c>
      <c r="AV31" t="s">
        <v>430</v>
      </c>
    </row>
    <row r="32" spans="1:48" x14ac:dyDescent="0.25">
      <c r="A32" t="s">
        <v>149</v>
      </c>
      <c r="B32" t="s">
        <v>329</v>
      </c>
      <c r="C32" t="s">
        <v>354</v>
      </c>
      <c r="E32" t="s">
        <v>347</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FALSE),IF(AG32&lt;&gt;"",CONCATENATE(",",VLOOKUP(AG32,$B$2:$AH$216,33,FALSE)),""))</f>
        <v>1,1,2</v>
      </c>
      <c r="AN32">
        <v>10</v>
      </c>
      <c r="AO32">
        <v>10</v>
      </c>
      <c r="AR32" t="s">
        <v>359</v>
      </c>
      <c r="AS32" t="str">
        <f>VLOOKUP(F32,Eras!$A$2:$C$12, 2, TRUE)</f>
        <v>edw</v>
      </c>
      <c r="AT32" t="s">
        <v>422</v>
      </c>
      <c r="AU32" t="str">
        <f t="shared" si="2"/>
        <v>edw_Open Wagon</v>
      </c>
      <c r="AV32" t="s">
        <v>447</v>
      </c>
    </row>
    <row r="33" spans="1:48" x14ac:dyDescent="0.25">
      <c r="A33" t="s">
        <v>508</v>
      </c>
      <c r="B33" t="s">
        <v>509</v>
      </c>
      <c r="C33" t="s">
        <v>354</v>
      </c>
      <c r="E33" t="s">
        <v>347</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FALSE),IF(AG33&lt;&gt;"",CONCATENATE(",",VLOOKUP(AG33,$B$2:$AH$216,33,FALSE)),""))</f>
        <v>1,1,3</v>
      </c>
      <c r="AN33">
        <v>10</v>
      </c>
      <c r="AO33">
        <v>10</v>
      </c>
      <c r="AR33" t="s">
        <v>359</v>
      </c>
      <c r="AS33" t="str">
        <f>VLOOKUP(F33,Eras!$A$2:$C$12, 2, TRUE)</f>
        <v>edw</v>
      </c>
      <c r="AT33" t="s">
        <v>424</v>
      </c>
      <c r="AU33" t="str">
        <f t="shared" si="2"/>
        <v>edw_Van</v>
      </c>
      <c r="AV33" t="s">
        <v>507</v>
      </c>
    </row>
    <row r="34" spans="1:48" x14ac:dyDescent="0.25">
      <c r="A34" t="s">
        <v>66</v>
      </c>
      <c r="B34" t="s">
        <v>200</v>
      </c>
      <c r="C34" t="s">
        <v>335</v>
      </c>
      <c r="D34" t="s">
        <v>369</v>
      </c>
      <c r="E34" t="s">
        <v>370</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FALSE),IF(AG34&lt;&gt;"",CONCATENATE(",",VLOOKUP(AG34,$B$2:$AH$216,33,FALSE)),""))</f>
        <v>2,2,3</v>
      </c>
      <c r="AN34">
        <v>10</v>
      </c>
      <c r="AO34">
        <v>10</v>
      </c>
      <c r="AS34" t="str">
        <f>VLOOKUP(F34,Eras!$A$2:$C$12, 2, TRUE)</f>
        <v>edw</v>
      </c>
      <c r="AT34" t="s">
        <v>421</v>
      </c>
      <c r="AU34" t="str">
        <f t="shared" si="2"/>
        <v>edw_Freight (Electric)</v>
      </c>
      <c r="AV34" t="s">
        <v>432</v>
      </c>
    </row>
    <row r="35" spans="1:48" x14ac:dyDescent="0.25">
      <c r="A35" t="s">
        <v>168</v>
      </c>
      <c r="B35" t="s">
        <v>201</v>
      </c>
      <c r="C35" t="s">
        <v>335</v>
      </c>
      <c r="D35" t="s">
        <v>345</v>
      </c>
      <c r="E35" t="s">
        <v>347</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FALSE),IF(AG35&lt;&gt;"",CONCATENATE(",",VLOOKUP(AG35,$B$2:$AH$216,33,FALSE)),""))</f>
        <v>3,3,4</v>
      </c>
      <c r="AN35">
        <v>10</v>
      </c>
      <c r="AO35">
        <v>10</v>
      </c>
      <c r="AR35" t="s">
        <v>356</v>
      </c>
      <c r="AS35" t="str">
        <f>VLOOKUP(F35,Eras!$A$2:$C$12, 2, TRUE)</f>
        <v>edw</v>
      </c>
      <c r="AT35" t="s">
        <v>412</v>
      </c>
      <c r="AU35" t="str">
        <f t="shared" si="2"/>
        <v>edw_DMU (Cheap)</v>
      </c>
      <c r="AV35" t="s">
        <v>431</v>
      </c>
    </row>
    <row r="36" spans="1:48" x14ac:dyDescent="0.25">
      <c r="A36" t="s">
        <v>488</v>
      </c>
      <c r="B36" t="s">
        <v>489</v>
      </c>
      <c r="C36" t="s">
        <v>354</v>
      </c>
      <c r="E36" t="s">
        <v>347</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FALSE),IF(AG36&lt;&gt;"",CONCATENATE(",",VLOOKUP(AG36,$B$2:$AH$216,33,FALSE)),""))</f>
        <v>3,3,4</v>
      </c>
      <c r="AN36">
        <v>10</v>
      </c>
      <c r="AO36">
        <v>10</v>
      </c>
      <c r="AR36" t="s">
        <v>356</v>
      </c>
      <c r="AS36" t="str">
        <f>VLOOKUP(F36,Eras!$A$2:$C$12, 2, TRUE)</f>
        <v>edw</v>
      </c>
      <c r="AT36" t="s">
        <v>417</v>
      </c>
      <c r="AU36" t="str">
        <f t="shared" si="2"/>
        <v>edw_Carriage</v>
      </c>
      <c r="AV36" t="s">
        <v>490</v>
      </c>
    </row>
    <row r="37" spans="1:48" x14ac:dyDescent="0.25">
      <c r="A37" t="s">
        <v>18</v>
      </c>
      <c r="B37" t="s">
        <v>202</v>
      </c>
      <c r="C37" t="s">
        <v>335</v>
      </c>
      <c r="D37" t="s">
        <v>344</v>
      </c>
      <c r="E37" t="s">
        <v>347</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FALSE),IF(AG37&lt;&gt;"",CONCATENATE(",",VLOOKUP(AG37,$B$2:$AH$216,33,FALSE)),""))</f>
        <v>2,2,2</v>
      </c>
      <c r="AM37">
        <v>1</v>
      </c>
      <c r="AN37">
        <v>10</v>
      </c>
      <c r="AO37">
        <v>10</v>
      </c>
      <c r="AS37" t="str">
        <f>VLOOKUP(F37,Eras!$A$2:$C$12, 2, TRUE)</f>
        <v>edw</v>
      </c>
      <c r="AT37" t="s">
        <v>459</v>
      </c>
      <c r="AU37" t="str">
        <f t="shared" si="2"/>
        <v>edw_Passenger</v>
      </c>
      <c r="AV37" t="s">
        <v>451</v>
      </c>
    </row>
    <row r="38" spans="1:48" ht="14.25" customHeight="1" x14ac:dyDescent="0.25">
      <c r="A38" t="s">
        <v>20</v>
      </c>
      <c r="B38" t="s">
        <v>461</v>
      </c>
      <c r="C38" t="s">
        <v>335</v>
      </c>
      <c r="D38" t="s">
        <v>344</v>
      </c>
      <c r="E38" t="s">
        <v>347</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FALSE),IF(AG38&lt;&gt;"",CONCATENATE(",",VLOOKUP(AG38,$B$2:$AH$216,33,FALSE)),""))</f>
        <v>2,2,3</v>
      </c>
      <c r="AM38">
        <v>1</v>
      </c>
      <c r="AN38">
        <v>10</v>
      </c>
      <c r="AO38">
        <v>10</v>
      </c>
      <c r="AS38" t="str">
        <f>VLOOKUP(F38,Eras!$A$2:$C$12, 2, TRUE)</f>
        <v>edw</v>
      </c>
      <c r="AT38" t="s">
        <v>409</v>
      </c>
      <c r="AU38" t="str">
        <f t="shared" si="2"/>
        <v>edw_Mixed Traffic</v>
      </c>
      <c r="AV38" t="s">
        <v>460</v>
      </c>
    </row>
    <row r="39" spans="1:48" x14ac:dyDescent="0.25">
      <c r="A39" t="s">
        <v>503</v>
      </c>
      <c r="B39" t="s">
        <v>504</v>
      </c>
      <c r="C39" t="s">
        <v>354</v>
      </c>
      <c r="E39" t="s">
        <v>347</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FALSE),IF(AG39&lt;&gt;"",CONCATENATE(",",VLOOKUP(AG39,$B$2:$AH$216,33,FALSE)),""))</f>
        <v>1,1,3</v>
      </c>
      <c r="AN39">
        <v>10</v>
      </c>
      <c r="AO39">
        <v>10</v>
      </c>
      <c r="AR39" t="s">
        <v>505</v>
      </c>
      <c r="AS39" t="str">
        <f>VLOOKUP(F39,Eras!$A$2:$C$12, 2, TRUE)</f>
        <v>edw</v>
      </c>
      <c r="AT39" t="s">
        <v>423</v>
      </c>
      <c r="AU39" t="str">
        <f t="shared" si="2"/>
        <v>edw_Flat Wagon</v>
      </c>
      <c r="AV39" t="s">
        <v>506</v>
      </c>
    </row>
    <row r="40" spans="1:48" x14ac:dyDescent="0.25">
      <c r="A40" t="s">
        <v>28</v>
      </c>
      <c r="B40" t="s">
        <v>203</v>
      </c>
      <c r="C40" t="s">
        <v>335</v>
      </c>
      <c r="D40" t="s">
        <v>344</v>
      </c>
      <c r="E40" t="s">
        <v>347</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FALSE),IF(AG40&lt;&gt;"",CONCATENATE(",",VLOOKUP(AG40,$B$2:$AH$216,33,FALSE)),""))</f>
        <v>2,2,4</v>
      </c>
      <c r="AM40">
        <v>1</v>
      </c>
      <c r="AN40">
        <v>10</v>
      </c>
      <c r="AO40">
        <v>10</v>
      </c>
      <c r="AS40" t="str">
        <f>VLOOKUP(F40,Eras!$A$2:$C$12, 2, TRUE)</f>
        <v>edw</v>
      </c>
      <c r="AT40" t="s">
        <v>459</v>
      </c>
      <c r="AU40" t="str">
        <f t="shared" si="2"/>
        <v>edw_Passenger</v>
      </c>
      <c r="AV40" t="s">
        <v>463</v>
      </c>
    </row>
    <row r="41" spans="1:48" x14ac:dyDescent="0.25">
      <c r="A41" t="s">
        <v>29</v>
      </c>
      <c r="B41" t="s">
        <v>467</v>
      </c>
      <c r="C41" t="s">
        <v>335</v>
      </c>
      <c r="D41" t="s">
        <v>344</v>
      </c>
      <c r="E41" t="s">
        <v>347</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383</v>
      </c>
      <c r="AH41" t="str">
        <f>CONCATENATE(VLOOKUP(AF41,'Articulated Lengths'!$A$2:$C$16,IF(AG41&lt;&gt;"", 3, 2), FALSE),IF(AG41&lt;&gt;"",CONCATENATE(",",VLOOKUP(AG41,$B$2:$AH$216,33,FALSE)),""))</f>
        <v>2,2,3,1,1,3</v>
      </c>
      <c r="AM41">
        <v>1</v>
      </c>
      <c r="AN41">
        <v>10</v>
      </c>
      <c r="AO41">
        <v>10</v>
      </c>
      <c r="AS41" t="str">
        <f>VLOOKUP(F41,Eras!$A$2:$C$12, 2, TRUE)</f>
        <v>edw</v>
      </c>
      <c r="AT41" t="s">
        <v>411</v>
      </c>
      <c r="AU41" t="str">
        <f t="shared" si="2"/>
        <v>edw_Freight</v>
      </c>
      <c r="AV41" t="s">
        <v>468</v>
      </c>
    </row>
    <row r="42" spans="1:48" x14ac:dyDescent="0.25">
      <c r="A42" t="s">
        <v>475</v>
      </c>
      <c r="B42" t="s">
        <v>481</v>
      </c>
      <c r="C42" t="s">
        <v>335</v>
      </c>
      <c r="D42" t="s">
        <v>344</v>
      </c>
      <c r="E42" t="s">
        <v>347</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483</v>
      </c>
      <c r="AH42" t="str">
        <f>CONCATENATE(VLOOKUP(AF42,'Articulated Lengths'!$A$2:$C$16,IF(AG42&lt;&gt;"", 3, 2), FALSE),IF(AG42&lt;&gt;"",CONCATENATE(",",VLOOKUP(AG42,$B$2:$AH$216,33,FALSE)),""))</f>
        <v>2,2,2,1,1,3</v>
      </c>
      <c r="AM42">
        <v>1</v>
      </c>
      <c r="AN42">
        <v>10</v>
      </c>
      <c r="AO42">
        <v>10</v>
      </c>
      <c r="AS42" t="str">
        <f>VLOOKUP(F42,Eras!$A$2:$C$12, 2, TRUE)</f>
        <v>edw</v>
      </c>
      <c r="AT42" t="s">
        <v>411</v>
      </c>
      <c r="AU42" t="str">
        <f t="shared" si="2"/>
        <v>edw_Freight</v>
      </c>
      <c r="AV42" t="s">
        <v>474</v>
      </c>
    </row>
    <row r="43" spans="1:48" x14ac:dyDescent="0.25">
      <c r="A43" t="s">
        <v>67</v>
      </c>
      <c r="B43" t="s">
        <v>204</v>
      </c>
      <c r="C43" t="s">
        <v>335</v>
      </c>
      <c r="D43" t="s">
        <v>369</v>
      </c>
      <c r="E43" t="s">
        <v>347</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FALSE),IF(AG43&lt;&gt;"",CONCATENATE(",",VLOOKUP(AG43,$B$2:$AH$216,33,FALSE)),""))</f>
        <v>2,2,3</v>
      </c>
      <c r="AN43">
        <v>10</v>
      </c>
      <c r="AO43">
        <v>10</v>
      </c>
      <c r="AS43" t="str">
        <f>VLOOKUP(F43,Eras!$A$2:$C$12, 2, TRUE)</f>
        <v>edw</v>
      </c>
      <c r="AT43" t="s">
        <v>421</v>
      </c>
      <c r="AU43" t="str">
        <f t="shared" si="2"/>
        <v>edw_Freight (Electric)</v>
      </c>
      <c r="AV43" t="s">
        <v>484</v>
      </c>
    </row>
    <row r="44" spans="1:48" x14ac:dyDescent="0.25">
      <c r="A44" t="s">
        <v>485</v>
      </c>
      <c r="B44" t="s">
        <v>487</v>
      </c>
      <c r="C44" t="s">
        <v>497</v>
      </c>
      <c r="D44" t="s">
        <v>369</v>
      </c>
      <c r="E44" t="s">
        <v>377</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FALSE),IF(AG44&lt;&gt;"",CONCATENATE(",",VLOOKUP(AG44,$B$2:$AH$216,33,FALSE)),""))</f>
        <v>3,3,4</v>
      </c>
      <c r="AI44" t="s">
        <v>498</v>
      </c>
      <c r="AK44" t="s">
        <v>496</v>
      </c>
      <c r="AN44">
        <v>10</v>
      </c>
      <c r="AO44">
        <v>10</v>
      </c>
      <c r="AR44" t="s">
        <v>356</v>
      </c>
      <c r="AS44" t="str">
        <f>VLOOKUP(F44,Eras!$A$2:$C$12, 2, TRUE)</f>
        <v>edw</v>
      </c>
      <c r="AT44" t="s">
        <v>415</v>
      </c>
      <c r="AU44" t="str">
        <f t="shared" si="2"/>
        <v>edw_EMU</v>
      </c>
      <c r="AV44" t="s">
        <v>486</v>
      </c>
    </row>
    <row r="45" spans="1:48" x14ac:dyDescent="0.25">
      <c r="A45" t="s">
        <v>38</v>
      </c>
      <c r="B45" t="s">
        <v>205</v>
      </c>
      <c r="C45" t="s">
        <v>187</v>
      </c>
      <c r="E45" t="s">
        <v>347</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FALSE),IF(AG45&lt;&gt;"",CONCATENATE(",",VLOOKUP(AG45,$B$2:$AH$216,33,FALSE)),""))</f>
        <v>na</v>
      </c>
      <c r="AN45">
        <v>10</v>
      </c>
      <c r="AO45">
        <v>10</v>
      </c>
      <c r="AS45" t="str">
        <f>VLOOKUP(F45,Eras!$A$2:$C$12, 2, TRUE)</f>
        <v>edw</v>
      </c>
      <c r="AU45" t="str">
        <f t="shared" si="2"/>
        <v>edw_</v>
      </c>
    </row>
    <row r="46" spans="1:48" x14ac:dyDescent="0.25">
      <c r="A46" t="s">
        <v>24</v>
      </c>
      <c r="B46" t="s">
        <v>206</v>
      </c>
      <c r="C46" t="s">
        <v>187</v>
      </c>
      <c r="E46" t="s">
        <v>347</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FALSE),IF(AG46&lt;&gt;"",CONCATENATE(",",VLOOKUP(AG46,$B$2:$AH$216,33,FALSE)),""))</f>
        <v>na</v>
      </c>
      <c r="AN46">
        <v>10</v>
      </c>
      <c r="AO46">
        <v>10</v>
      </c>
      <c r="AS46" t="str">
        <f>VLOOKUP(F46,Eras!$A$2:$C$12, 2, TRUE)</f>
        <v>edw</v>
      </c>
      <c r="AU46" t="str">
        <f t="shared" si="2"/>
        <v>edw_</v>
      </c>
    </row>
    <row r="47" spans="1:48" x14ac:dyDescent="0.25">
      <c r="A47" t="s">
        <v>145</v>
      </c>
      <c r="B47" t="s">
        <v>353</v>
      </c>
      <c r="C47" t="s">
        <v>187</v>
      </c>
      <c r="E47" t="s">
        <v>347</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FALSE),IF(AG47&lt;&gt;"",CONCATENATE(",",VLOOKUP(AG47,$B$2:$AH$216,33,FALSE)),""))</f>
        <v>1,1,3</v>
      </c>
      <c r="AN47">
        <v>10</v>
      </c>
      <c r="AO47">
        <v>10</v>
      </c>
      <c r="AR47" t="s">
        <v>357</v>
      </c>
      <c r="AS47" t="str">
        <f>VLOOKUP(F47,Eras!$A$2:$C$12, 2, TRUE)</f>
        <v>big4</v>
      </c>
      <c r="AT47" t="s">
        <v>425</v>
      </c>
      <c r="AU47" t="str">
        <f t="shared" si="2"/>
        <v>big4_Tanker</v>
      </c>
      <c r="AV47" t="s">
        <v>499</v>
      </c>
    </row>
    <row r="48" spans="1:48" x14ac:dyDescent="0.25">
      <c r="A48" t="s">
        <v>11</v>
      </c>
      <c r="B48" t="s">
        <v>207</v>
      </c>
      <c r="C48" t="s">
        <v>335</v>
      </c>
      <c r="D48" t="s">
        <v>344</v>
      </c>
      <c r="E48" t="s">
        <v>347</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383</v>
      </c>
      <c r="AH48" t="str">
        <f>CONCATENATE(VLOOKUP(AF48,'Articulated Lengths'!$A$2:$C$16,IF(AG48&lt;&gt;"", 3, 2), FALSE),IF(AG48&lt;&gt;"",CONCATENATE(",",VLOOKUP(AG48,$B$2:$AH$216,33,FALSE)),""))</f>
        <v>2,2,2,1,1,3</v>
      </c>
      <c r="AM48">
        <v>1</v>
      </c>
      <c r="AN48">
        <v>10</v>
      </c>
      <c r="AO48">
        <v>10</v>
      </c>
      <c r="AS48" t="str">
        <f>VLOOKUP(F48,Eras!$A$2:$C$12, 2, TRUE)</f>
        <v>big4</v>
      </c>
      <c r="AT48" t="s">
        <v>409</v>
      </c>
      <c r="AU48" t="str">
        <f t="shared" si="2"/>
        <v>big4_Mixed Traffic</v>
      </c>
      <c r="AV48" t="s">
        <v>511</v>
      </c>
    </row>
    <row r="49" spans="1:48" x14ac:dyDescent="0.25">
      <c r="A49" t="s">
        <v>512</v>
      </c>
      <c r="B49" t="s">
        <v>513</v>
      </c>
      <c r="C49" t="s">
        <v>335</v>
      </c>
      <c r="D49" t="s">
        <v>344</v>
      </c>
      <c r="E49" t="s">
        <v>347</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515</v>
      </c>
      <c r="AH49" t="str">
        <f>CONCATENATE(VLOOKUP(AF49,'Articulated Lengths'!$A$2:$C$16,IF(AG49&lt;&gt;"", 3, 2), FALSE),IF(AG49&lt;&gt;"",CONCATENATE(",",VLOOKUP(AG49,$B$2:$AH$216,33,FALSE)),""))</f>
        <v>2,2,3,1,1,3</v>
      </c>
      <c r="AM49">
        <v>1</v>
      </c>
      <c r="AN49">
        <v>10</v>
      </c>
      <c r="AO49">
        <v>10</v>
      </c>
      <c r="AS49" t="str">
        <f>VLOOKUP(F49,Eras!$A$2:$C$12, 2, TRUE)</f>
        <v>big4</v>
      </c>
      <c r="AT49" t="s">
        <v>410</v>
      </c>
      <c r="AU49" t="str">
        <f t="shared" si="2"/>
        <v>big4_Express</v>
      </c>
      <c r="AV49" t="s">
        <v>516</v>
      </c>
    </row>
    <row r="50" spans="1:48" x14ac:dyDescent="0.25">
      <c r="A50" t="s">
        <v>10</v>
      </c>
      <c r="B50" t="s">
        <v>208</v>
      </c>
      <c r="C50" t="s">
        <v>335</v>
      </c>
      <c r="D50" t="s">
        <v>344</v>
      </c>
      <c r="E50" t="s">
        <v>347</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FALSE),IF(AG50&lt;&gt;"",CONCATENATE(",",VLOOKUP(AG50,$B$2:$AH$216,33,FALSE)),""))</f>
        <v>2,2,2</v>
      </c>
      <c r="AM50">
        <v>1</v>
      </c>
      <c r="AN50">
        <v>10</v>
      </c>
      <c r="AO50">
        <v>10</v>
      </c>
      <c r="AS50" t="str">
        <f>VLOOKUP(F50,Eras!$A$2:$C$12, 2, TRUE)</f>
        <v>big4</v>
      </c>
      <c r="AT50" t="s">
        <v>408</v>
      </c>
      <c r="AU50" t="str">
        <f t="shared" si="2"/>
        <v>big4_Cheap</v>
      </c>
      <c r="AV50" t="s">
        <v>433</v>
      </c>
    </row>
    <row r="51" spans="1:48" x14ac:dyDescent="0.25">
      <c r="A51" t="s">
        <v>21</v>
      </c>
      <c r="B51" t="s">
        <v>209</v>
      </c>
      <c r="C51" t="s">
        <v>335</v>
      </c>
      <c r="D51" t="s">
        <v>344</v>
      </c>
      <c r="E51" t="s">
        <v>347</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FALSE),IF(AG51&lt;&gt;"",CONCATENATE(",",VLOOKUP(AG51,$B$2:$AH$216,33,FALSE)),""))</f>
        <v>2,2,3</v>
      </c>
      <c r="AM51">
        <v>1</v>
      </c>
      <c r="AN51">
        <v>10</v>
      </c>
      <c r="AO51">
        <v>10</v>
      </c>
      <c r="AS51" t="str">
        <f>VLOOKUP(F51,Eras!$A$2:$C$12, 2, TRUE)</f>
        <v>big4</v>
      </c>
      <c r="AT51" t="s">
        <v>409</v>
      </c>
      <c r="AU51" t="str">
        <f t="shared" si="2"/>
        <v>big4_Mixed Traffic</v>
      </c>
      <c r="AV51" t="s">
        <v>434</v>
      </c>
    </row>
    <row r="52" spans="1:48" x14ac:dyDescent="0.25">
      <c r="A52" t="s">
        <v>534</v>
      </c>
      <c r="B52" t="s">
        <v>535</v>
      </c>
      <c r="C52" t="s">
        <v>364</v>
      </c>
      <c r="E52" t="s">
        <v>347</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FALSE),IF(AG52&lt;&gt;"",CONCATENATE(",",VLOOKUP(AG52,$B$2:$AH$216,33,FALSE)),""))</f>
        <v>1,1,3</v>
      </c>
      <c r="AS52" t="str">
        <f>VLOOKUP(F52,Eras!$A$2:$C$12, 2, TRUE)</f>
        <v>big4</v>
      </c>
      <c r="AU52" t="str">
        <f t="shared" si="2"/>
        <v>big4_</v>
      </c>
    </row>
    <row r="53" spans="1:48" x14ac:dyDescent="0.25">
      <c r="A53" t="s">
        <v>363</v>
      </c>
      <c r="B53" t="s">
        <v>362</v>
      </c>
      <c r="C53" t="s">
        <v>364</v>
      </c>
      <c r="E53" t="s">
        <v>347</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FALSE),IF(AG53&lt;&gt;"",CONCATENATE(",",VLOOKUP(AG53,$B$2:$AH$216,33,FALSE)),""))</f>
        <v>1,1,3</v>
      </c>
      <c r="AS53" t="str">
        <f>VLOOKUP(F53,Eras!$A$2:$C$12, 2, TRUE)</f>
        <v>big4</v>
      </c>
      <c r="AU53" t="str">
        <f t="shared" si="2"/>
        <v>big4_</v>
      </c>
    </row>
    <row r="54" spans="1:48" x14ac:dyDescent="0.25">
      <c r="A54" t="s">
        <v>366</v>
      </c>
      <c r="B54" t="s">
        <v>367</v>
      </c>
      <c r="C54" t="s">
        <v>364</v>
      </c>
      <c r="E54" t="s">
        <v>347</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FALSE),IF(AG54&lt;&gt;"",CONCATENATE(",",VLOOKUP(AG54,$B$2:$AH$216,33,FALSE)),""))</f>
        <v>1,1,3</v>
      </c>
      <c r="AS54" t="str">
        <f>VLOOKUP(F54,Eras!$A$2:$C$12, 2, TRUE)</f>
        <v>big4</v>
      </c>
      <c r="AU54" t="str">
        <f t="shared" si="2"/>
        <v>big4_</v>
      </c>
    </row>
    <row r="55" spans="1:48" x14ac:dyDescent="0.25">
      <c r="A55" t="s">
        <v>31</v>
      </c>
      <c r="B55" t="s">
        <v>368</v>
      </c>
      <c r="C55" t="s">
        <v>335</v>
      </c>
      <c r="D55" t="s">
        <v>344</v>
      </c>
      <c r="E55" t="s">
        <v>347</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362</v>
      </c>
      <c r="AH55" t="str">
        <f>CONCATENATE(VLOOKUP(AF55,'Articulated Lengths'!$A$2:$C$16,IF(AG55&lt;&gt;"", 3, 2), FALSE),IF(AG55&lt;&gt;"",CONCATENATE(",",VLOOKUP(AG55,$B$2:$AH$216,33,FALSE)),""))</f>
        <v>2,2,2,1,1,3</v>
      </c>
      <c r="AM55">
        <v>1</v>
      </c>
      <c r="AN55">
        <v>10</v>
      </c>
      <c r="AO55">
        <v>10</v>
      </c>
      <c r="AS55" t="str">
        <f>VLOOKUP(F55,Eras!$A$2:$C$12, 2, TRUE)</f>
        <v>big4</v>
      </c>
      <c r="AT55" t="s">
        <v>410</v>
      </c>
      <c r="AU55" t="str">
        <f t="shared" si="2"/>
        <v>big4_Express</v>
      </c>
      <c r="AV55" t="s">
        <v>435</v>
      </c>
    </row>
    <row r="56" spans="1:48" x14ac:dyDescent="0.25">
      <c r="A56" t="s">
        <v>529</v>
      </c>
      <c r="B56" t="s">
        <v>530</v>
      </c>
      <c r="C56" t="s">
        <v>364</v>
      </c>
      <c r="E56" t="s">
        <v>347</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FALSE),IF(AG56&lt;&gt;"",CONCATENATE(",",VLOOKUP(AG56,$B$2:$AH$216,33,FALSE)),""))</f>
        <v>1,1,3</v>
      </c>
      <c r="AN56">
        <v>10</v>
      </c>
      <c r="AO56">
        <v>10</v>
      </c>
      <c r="AS56" t="str">
        <f>VLOOKUP(F56,Eras!$A$2:$C$12, 2, TRUE)</f>
        <v>big4</v>
      </c>
      <c r="AU56" t="str">
        <f t="shared" si="2"/>
        <v>big4_</v>
      </c>
    </row>
    <row r="57" spans="1:48" x14ac:dyDescent="0.25">
      <c r="A57" t="s">
        <v>165</v>
      </c>
      <c r="B57" t="s">
        <v>518</v>
      </c>
      <c r="C57" t="s">
        <v>335</v>
      </c>
      <c r="D57" t="s">
        <v>344</v>
      </c>
      <c r="E57" t="s">
        <v>347</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483</v>
      </c>
      <c r="AH57" t="str">
        <f>CONCATENATE(VLOOKUP(AF57,'Articulated Lengths'!$A$2:$C$16,IF(AG57&lt;&gt;"", 3, 2), FALSE),IF(AG57&lt;&gt;"",CONCATENATE(",",VLOOKUP(AG57,$B$2:$AH$216,33,FALSE)),""))</f>
        <v>2,2,2,1,1,3</v>
      </c>
      <c r="AM57">
        <v>1</v>
      </c>
      <c r="AN57">
        <v>10</v>
      </c>
      <c r="AO57">
        <v>10</v>
      </c>
      <c r="AS57" t="str">
        <f>VLOOKUP(F57,Eras!$A$2:$C$12, 2, TRUE)</f>
        <v>big4</v>
      </c>
      <c r="AT57" t="s">
        <v>459</v>
      </c>
      <c r="AU57" t="str">
        <f t="shared" si="2"/>
        <v>big4_Passenger</v>
      </c>
      <c r="AV57" t="s">
        <v>517</v>
      </c>
    </row>
    <row r="58" spans="1:48" x14ac:dyDescent="0.25">
      <c r="A58" t="s">
        <v>520</v>
      </c>
      <c r="B58" t="s">
        <v>519</v>
      </c>
      <c r="C58" t="s">
        <v>335</v>
      </c>
      <c r="D58" t="s">
        <v>344</v>
      </c>
      <c r="E58" t="s">
        <v>347</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515</v>
      </c>
      <c r="AH58" t="str">
        <f>CONCATENATE(VLOOKUP(AF58,'Articulated Lengths'!$A$2:$C$16,IF(AG58&lt;&gt;"", 3, 2), FALSE),IF(AG58&lt;&gt;"",CONCATENATE(",",VLOOKUP(AG58,$B$2:$AH$216,33,FALSE)),""))</f>
        <v>2,2,4,1,1,3</v>
      </c>
      <c r="AM58">
        <v>1</v>
      </c>
      <c r="AN58">
        <v>10</v>
      </c>
      <c r="AO58">
        <v>10</v>
      </c>
      <c r="AS58" t="str">
        <f>VLOOKUP(F58,Eras!$A$2:$C$12, 2, TRUE)</f>
        <v>big4</v>
      </c>
      <c r="AT58" t="s">
        <v>410</v>
      </c>
      <c r="AU58" t="str">
        <f t="shared" si="2"/>
        <v>big4_Express</v>
      </c>
      <c r="AV58" t="s">
        <v>521</v>
      </c>
    </row>
    <row r="59" spans="1:48" x14ac:dyDescent="0.25">
      <c r="A59" t="s">
        <v>34</v>
      </c>
      <c r="B59" t="s">
        <v>523</v>
      </c>
      <c r="C59" t="s">
        <v>335</v>
      </c>
      <c r="D59" t="s">
        <v>344</v>
      </c>
      <c r="E59" t="s">
        <v>347</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FALSE),IF(AG59&lt;&gt;"",CONCATENATE(",",VLOOKUP(AG59,$B$2:$AH$216,33,FALSE)),""))</f>
        <v>2,2,4</v>
      </c>
      <c r="AM59">
        <v>1</v>
      </c>
      <c r="AN59">
        <v>10</v>
      </c>
      <c r="AO59">
        <v>10</v>
      </c>
      <c r="AS59" t="str">
        <f>VLOOKUP(F59,Eras!$A$2:$C$12, 2, TRUE)</f>
        <v>big4</v>
      </c>
      <c r="AT59" t="s">
        <v>409</v>
      </c>
      <c r="AU59" t="str">
        <f t="shared" si="2"/>
        <v>big4_Mixed Traffic</v>
      </c>
      <c r="AV59" t="s">
        <v>522</v>
      </c>
    </row>
    <row r="60" spans="1:48" x14ac:dyDescent="0.25">
      <c r="A60" t="s">
        <v>135</v>
      </c>
      <c r="B60" t="s">
        <v>541</v>
      </c>
      <c r="C60" t="s">
        <v>354</v>
      </c>
      <c r="E60" t="s">
        <v>347</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FALSE),IF(AG60&lt;&gt;"",CONCATENATE(",",VLOOKUP(AG60,$B$2:$AH$216,33,FALSE)),""))</f>
        <v>3,3,6</v>
      </c>
      <c r="AN60">
        <v>10</v>
      </c>
      <c r="AO60">
        <v>10</v>
      </c>
      <c r="AR60" t="s">
        <v>356</v>
      </c>
      <c r="AS60" t="str">
        <f>VLOOKUP(F60,Eras!$A$2:$C$12, 2, TRUE)</f>
        <v>big4</v>
      </c>
      <c r="AT60" t="s">
        <v>417</v>
      </c>
      <c r="AU60" t="str">
        <f t="shared" si="2"/>
        <v>big4_Carriage</v>
      </c>
      <c r="AV60" t="s">
        <v>542</v>
      </c>
    </row>
    <row r="61" spans="1:48" x14ac:dyDescent="0.25">
      <c r="A61" t="s">
        <v>524</v>
      </c>
      <c r="B61" t="s">
        <v>526</v>
      </c>
      <c r="C61" t="s">
        <v>335</v>
      </c>
      <c r="D61" t="s">
        <v>344</v>
      </c>
      <c r="E61" t="s">
        <v>347</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515</v>
      </c>
      <c r="AH61" t="str">
        <f>CONCATENATE(VLOOKUP(AF61,'Articulated Lengths'!$A$2:$C$16,IF(AG61&lt;&gt;"", 3, 2), FALSE),IF(AG61&lt;&gt;"",CONCATENATE(",",VLOOKUP(AG61,$B$2:$AH$216,33,FALSE)),""))</f>
        <v>2,2,3,1,1,3</v>
      </c>
      <c r="AM61">
        <v>1</v>
      </c>
      <c r="AN61">
        <v>10</v>
      </c>
      <c r="AO61">
        <v>10</v>
      </c>
      <c r="AS61" t="str">
        <f>VLOOKUP(F61,Eras!$A$2:$C$12, 2, TRUE)</f>
        <v>big4</v>
      </c>
      <c r="AT61" t="s">
        <v>409</v>
      </c>
      <c r="AU61" t="str">
        <f t="shared" si="2"/>
        <v>big4_Mixed Traffic</v>
      </c>
      <c r="AV61" t="s">
        <v>525</v>
      </c>
    </row>
    <row r="62" spans="1:48" x14ac:dyDescent="0.25">
      <c r="A62" t="s">
        <v>26</v>
      </c>
      <c r="B62" t="s">
        <v>528</v>
      </c>
      <c r="C62" t="s">
        <v>335</v>
      </c>
      <c r="D62" t="s">
        <v>344</v>
      </c>
      <c r="E62" t="s">
        <v>347</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530</v>
      </c>
      <c r="AH62" t="str">
        <f>CONCATENATE(VLOOKUP(AF62,'Articulated Lengths'!$A$2:$C$16,IF(AG62&lt;&gt;"", 3, 2), FALSE),IF(AG62&lt;&gt;"",CONCATENATE(",",VLOOKUP(AG62,$B$2:$AH$216,33,FALSE)),""))</f>
        <v>2,2,4,1,1,3</v>
      </c>
      <c r="AM62">
        <v>1</v>
      </c>
      <c r="AN62">
        <v>10</v>
      </c>
      <c r="AO62">
        <v>10</v>
      </c>
      <c r="AS62" t="str">
        <f>VLOOKUP(F62,Eras!$A$2:$C$12, 2, TRUE)</f>
        <v>big4</v>
      </c>
      <c r="AT62" t="s">
        <v>410</v>
      </c>
      <c r="AU62" t="str">
        <f t="shared" si="2"/>
        <v>big4_Express</v>
      </c>
      <c r="AV62" t="s">
        <v>527</v>
      </c>
    </row>
    <row r="63" spans="1:48" x14ac:dyDescent="0.25">
      <c r="A63" t="s">
        <v>22</v>
      </c>
      <c r="B63" t="s">
        <v>532</v>
      </c>
      <c r="C63" t="s">
        <v>335</v>
      </c>
      <c r="D63" t="s">
        <v>344</v>
      </c>
      <c r="E63" t="s">
        <v>347</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FALSE),IF(AG63&lt;&gt;"",CONCATENATE(",",VLOOKUP(AG63,$B$2:$AH$216,33,FALSE)),""))</f>
        <v>2,2,2</v>
      </c>
      <c r="AM63">
        <v>1</v>
      </c>
      <c r="AN63">
        <v>10</v>
      </c>
      <c r="AO63">
        <v>10</v>
      </c>
      <c r="AS63" t="str">
        <f>VLOOKUP(F63,Eras!$A$2:$C$12, 2, TRUE)</f>
        <v>big4</v>
      </c>
      <c r="AT63" t="s">
        <v>408</v>
      </c>
      <c r="AU63" t="str">
        <f t="shared" si="2"/>
        <v>big4_Cheap</v>
      </c>
      <c r="AV63" t="s">
        <v>531</v>
      </c>
    </row>
    <row r="64" spans="1:48" x14ac:dyDescent="0.25">
      <c r="A64" t="s">
        <v>35</v>
      </c>
      <c r="B64" t="s">
        <v>210</v>
      </c>
      <c r="C64" t="s">
        <v>335</v>
      </c>
      <c r="D64" t="s">
        <v>344</v>
      </c>
      <c r="E64" t="s">
        <v>347</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535</v>
      </c>
      <c r="AH64" t="str">
        <f>CONCATENATE(VLOOKUP(AF64,'Articulated Lengths'!$A$2:$C$16,IF(AG64&lt;&gt;"", 3, 2), FALSE),IF(AG64&lt;&gt;"",CONCATENATE(",",VLOOKUP(AG64,$B$2:$AH$216,33,FALSE)),""))</f>
        <v>2,2,2,1,1,3</v>
      </c>
      <c r="AM64">
        <v>1</v>
      </c>
      <c r="AN64">
        <v>10</v>
      </c>
      <c r="AO64">
        <v>10</v>
      </c>
      <c r="AS64" t="str">
        <f>VLOOKUP(F64,Eras!$A$2:$C$12, 2, TRUE)</f>
        <v>big4</v>
      </c>
      <c r="AT64" t="s">
        <v>410</v>
      </c>
      <c r="AU64" t="str">
        <f t="shared" si="2"/>
        <v>big4_Express</v>
      </c>
      <c r="AV64" t="s">
        <v>533</v>
      </c>
    </row>
    <row r="65" spans="1:48" x14ac:dyDescent="0.25">
      <c r="A65" t="s">
        <v>536</v>
      </c>
      <c r="B65" t="s">
        <v>538</v>
      </c>
      <c r="C65" t="s">
        <v>335</v>
      </c>
      <c r="D65" t="s">
        <v>344</v>
      </c>
      <c r="E65" t="s">
        <v>347</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FALSE),IF(AG65&lt;&gt;"",CONCATENATE(",",VLOOKUP(AG65,$B$2:$AH$216,33,FALSE)),""))</f>
        <v>1,1,3</v>
      </c>
      <c r="AM65">
        <v>1</v>
      </c>
      <c r="AN65">
        <v>10</v>
      </c>
      <c r="AO65">
        <v>10</v>
      </c>
      <c r="AS65" t="str">
        <f>VLOOKUP(F65,Eras!$A$2:$C$12, 2, TRUE)</f>
        <v>big4</v>
      </c>
      <c r="AT65" t="s">
        <v>408</v>
      </c>
      <c r="AU65" t="str">
        <f t="shared" si="2"/>
        <v>big4_Cheap</v>
      </c>
      <c r="AV65" t="s">
        <v>537</v>
      </c>
    </row>
    <row r="66" spans="1:48" x14ac:dyDescent="0.25">
      <c r="A66" t="s">
        <v>79</v>
      </c>
      <c r="B66" t="s">
        <v>300</v>
      </c>
      <c r="C66" t="s">
        <v>187</v>
      </c>
      <c r="D66" t="s">
        <v>369</v>
      </c>
      <c r="E66" t="s">
        <v>377</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FALSE),IF(AG66&lt;&gt;"",CONCATENATE(",",VLOOKUP(AG66,$B$2:$AH$216,33,FALSE)),""))</f>
        <v>3,3,6</v>
      </c>
      <c r="AI66" t="s">
        <v>540</v>
      </c>
      <c r="AK66" t="s">
        <v>543</v>
      </c>
      <c r="AN66">
        <v>10</v>
      </c>
      <c r="AO66">
        <v>10</v>
      </c>
      <c r="AR66" t="s">
        <v>356</v>
      </c>
      <c r="AS66" t="str">
        <f>VLOOKUP(F66,Eras!$A$2:$C$12, 2, TRUE)</f>
        <v>big4</v>
      </c>
      <c r="AT66" t="s">
        <v>416</v>
      </c>
      <c r="AU66" t="str">
        <f t="shared" ref="AU66:AU129" si="5">CONCATENATE(AS66,"_",AT66)</f>
        <v>big4_EMU (Express)</v>
      </c>
      <c r="AV66" t="s">
        <v>539</v>
      </c>
    </row>
    <row r="67" spans="1:48" x14ac:dyDescent="0.25">
      <c r="A67" t="s">
        <v>78</v>
      </c>
      <c r="B67" t="s">
        <v>231</v>
      </c>
      <c r="C67" t="s">
        <v>335</v>
      </c>
      <c r="D67" t="s">
        <v>345</v>
      </c>
      <c r="E67" t="s">
        <v>347</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FALSE),IF(AG67&lt;&gt;"",CONCATENATE(",",VLOOKUP(AG67,$B$2:$AH$216,33,FALSE)),""))</f>
        <v>3,3,4</v>
      </c>
      <c r="AN67">
        <v>10</v>
      </c>
      <c r="AO67">
        <v>10</v>
      </c>
      <c r="AR67" t="s">
        <v>356</v>
      </c>
      <c r="AS67" t="str">
        <f>VLOOKUP(F67,Eras!$A$2:$C$12, 2, TRUE)</f>
        <v>big4</v>
      </c>
      <c r="AT67" t="s">
        <v>412</v>
      </c>
      <c r="AU67" t="str">
        <f t="shared" si="5"/>
        <v>big4_DMU (Cheap)</v>
      </c>
      <c r="AV67" t="s">
        <v>544</v>
      </c>
    </row>
    <row r="68" spans="1:48" x14ac:dyDescent="0.25">
      <c r="A68" t="s">
        <v>30</v>
      </c>
      <c r="B68" t="s">
        <v>361</v>
      </c>
      <c r="C68" t="s">
        <v>335</v>
      </c>
      <c r="D68" t="s">
        <v>344</v>
      </c>
      <c r="E68" t="s">
        <v>347</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367</v>
      </c>
      <c r="AH68" t="str">
        <f>CONCATENATE(VLOOKUP(AF68,'Articulated Lengths'!$A$2:$C$16,IF(AG68&lt;&gt;"", 3, 2), FALSE),IF(AG68&lt;&gt;"",CONCATENATE(",",VLOOKUP(AG68,$B$2:$AH$216,33,FALSE)),""))</f>
        <v>2,2,3,1,1,3</v>
      </c>
      <c r="AM68">
        <v>1</v>
      </c>
      <c r="AN68">
        <v>10</v>
      </c>
      <c r="AO68">
        <v>10</v>
      </c>
      <c r="AS68" t="str">
        <f>VLOOKUP(F68,Eras!$A$2:$C$12, 2, TRUE)</f>
        <v>big4</v>
      </c>
      <c r="AT68" t="s">
        <v>409</v>
      </c>
      <c r="AU68" t="str">
        <f t="shared" si="5"/>
        <v>big4_Mixed Traffic</v>
      </c>
      <c r="AV68" t="s">
        <v>450</v>
      </c>
    </row>
    <row r="69" spans="1:48" x14ac:dyDescent="0.25">
      <c r="A69" t="s">
        <v>32</v>
      </c>
      <c r="B69" t="s">
        <v>360</v>
      </c>
      <c r="C69" t="s">
        <v>335</v>
      </c>
      <c r="D69" t="s">
        <v>344</v>
      </c>
      <c r="E69" t="s">
        <v>347</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362</v>
      </c>
      <c r="AH69" t="str">
        <f>CONCATENATE(VLOOKUP(AF69,'Articulated Lengths'!$A$2:$C$16,IF(AG69&lt;&gt;"", 3, 2), FALSE),IF(AG69&lt;&gt;"",CONCATENATE(",",VLOOKUP(AG69,$B$2:$AH$216,33,FALSE)),""))</f>
        <v>2,2,3,1,1,3</v>
      </c>
      <c r="AM69">
        <v>1</v>
      </c>
      <c r="AN69">
        <v>10</v>
      </c>
      <c r="AO69">
        <v>10</v>
      </c>
      <c r="AS69" t="str">
        <f>VLOOKUP(F69,Eras!$A$2:$C$12, 2, TRUE)</f>
        <v>big4</v>
      </c>
      <c r="AT69" t="s">
        <v>410</v>
      </c>
      <c r="AU69" t="str">
        <f t="shared" si="5"/>
        <v>big4_Express</v>
      </c>
      <c r="AV69" t="s">
        <v>436</v>
      </c>
    </row>
    <row r="70" spans="1:48" x14ac:dyDescent="0.25">
      <c r="A70" t="s">
        <v>556</v>
      </c>
      <c r="B70" t="s">
        <v>555</v>
      </c>
      <c r="C70" t="s">
        <v>364</v>
      </c>
      <c r="E70" t="s">
        <v>347</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FALSE),IF(AG70&lt;&gt;"",CONCATENATE(",",VLOOKUP(AG70,$B$2:$AH$216,33,FALSE)),""))</f>
        <v>1,1,3</v>
      </c>
      <c r="AN70">
        <v>10</v>
      </c>
      <c r="AO70">
        <v>10</v>
      </c>
      <c r="AS70" t="str">
        <f>VLOOKUP(F70,Eras!$A$2:$C$12, 2, TRUE)</f>
        <v>big4</v>
      </c>
      <c r="AU70" t="str">
        <f t="shared" si="5"/>
        <v>big4_</v>
      </c>
    </row>
    <row r="71" spans="1:48" x14ac:dyDescent="0.25">
      <c r="A71" t="s">
        <v>545</v>
      </c>
      <c r="B71" t="s">
        <v>211</v>
      </c>
      <c r="C71" t="s">
        <v>335</v>
      </c>
      <c r="D71" t="s">
        <v>344</v>
      </c>
      <c r="E71" t="s">
        <v>347</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367</v>
      </c>
      <c r="AH71" t="str">
        <f>CONCATENATE(VLOOKUP(AF71,'Articulated Lengths'!$A$2:$C$16,IF(AG71&lt;&gt;"", 3, 2), FALSE),IF(AG71&lt;&gt;"",CONCATENATE(",",VLOOKUP(AG71,$B$2:$AH$216,33,FALSE)),""))</f>
        <v>2,2,3,1,1,3</v>
      </c>
      <c r="AM71">
        <v>1</v>
      </c>
      <c r="AN71">
        <v>10</v>
      </c>
      <c r="AO71">
        <v>10</v>
      </c>
      <c r="AS71" t="str">
        <f>VLOOKUP(F71,Eras!$A$2:$C$12, 2, TRUE)</f>
        <v>big4</v>
      </c>
      <c r="AT71" t="s">
        <v>411</v>
      </c>
      <c r="AU71" t="str">
        <f t="shared" si="5"/>
        <v>big4_Freight</v>
      </c>
      <c r="AV71" t="s">
        <v>546</v>
      </c>
    </row>
    <row r="72" spans="1:48" x14ac:dyDescent="0.25">
      <c r="A72" t="s">
        <v>27</v>
      </c>
      <c r="B72" t="s">
        <v>548</v>
      </c>
      <c r="C72" t="s">
        <v>335</v>
      </c>
      <c r="D72" t="s">
        <v>344</v>
      </c>
      <c r="E72" t="s">
        <v>347</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530</v>
      </c>
      <c r="AH72" t="str">
        <f>CONCATENATE(VLOOKUP(AF72,'Articulated Lengths'!$A$2:$C$16,IF(AG72&lt;&gt;"", 3, 2), FALSE),IF(AG72&lt;&gt;"",CONCATENATE(",",VLOOKUP(AG72,$B$2:$AH$216,33,FALSE)),""))</f>
        <v>2,2,4,1,1,3</v>
      </c>
      <c r="AM72">
        <v>1</v>
      </c>
      <c r="AN72">
        <v>10</v>
      </c>
      <c r="AO72">
        <v>10</v>
      </c>
      <c r="AS72" t="str">
        <f>VLOOKUP(F72,Eras!$A$2:$C$12, 2, TRUE)</f>
        <v>big4</v>
      </c>
      <c r="AT72" t="s">
        <v>410</v>
      </c>
      <c r="AU72" t="str">
        <f t="shared" si="5"/>
        <v>big4_Express</v>
      </c>
      <c r="AV72" t="s">
        <v>547</v>
      </c>
    </row>
    <row r="73" spans="1:48" x14ac:dyDescent="0.25">
      <c r="A73" t="s">
        <v>14</v>
      </c>
      <c r="B73" t="s">
        <v>549</v>
      </c>
      <c r="C73" t="s">
        <v>335</v>
      </c>
      <c r="D73" t="s">
        <v>344</v>
      </c>
      <c r="E73" t="s">
        <v>347</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530</v>
      </c>
      <c r="AH73" t="str">
        <f>CONCATENATE(VLOOKUP(AF73,'Articulated Lengths'!$A$2:$C$16,IF(AG73&lt;&gt;"", 3, 2), FALSE),IF(AG73&lt;&gt;"",CONCATENATE(",",VLOOKUP(AG73,$B$2:$AH$216,33,FALSE)),""))</f>
        <v>2,2,3,1,1,3</v>
      </c>
      <c r="AM73">
        <v>1</v>
      </c>
      <c r="AN73">
        <v>10</v>
      </c>
      <c r="AO73">
        <v>10</v>
      </c>
      <c r="AS73" t="str">
        <f>VLOOKUP(F73,Eras!$A$2:$C$12, 2, TRUE)</f>
        <v>big4</v>
      </c>
      <c r="AT73" t="s">
        <v>409</v>
      </c>
      <c r="AU73" t="str">
        <f t="shared" si="5"/>
        <v>big4_Mixed Traffic</v>
      </c>
      <c r="AV73" t="s">
        <v>550</v>
      </c>
    </row>
    <row r="74" spans="1:48" x14ac:dyDescent="0.25">
      <c r="A74" t="s">
        <v>23</v>
      </c>
      <c r="B74" t="s">
        <v>551</v>
      </c>
      <c r="C74" t="s">
        <v>335</v>
      </c>
      <c r="D74" t="s">
        <v>344</v>
      </c>
      <c r="E74" t="s">
        <v>347</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515</v>
      </c>
      <c r="AH74" t="str">
        <f>CONCATENATE(VLOOKUP(AF74,'Articulated Lengths'!$A$2:$C$16,IF(AG74&lt;&gt;"", 3, 2), FALSE),IF(AG74&lt;&gt;"",CONCATENATE(",",VLOOKUP(AG74,$B$2:$AH$216,33,FALSE)),""))</f>
        <v>2,2,3,1,1,3</v>
      </c>
      <c r="AM74">
        <v>1</v>
      </c>
      <c r="AN74">
        <v>10</v>
      </c>
      <c r="AO74">
        <v>10</v>
      </c>
      <c r="AS74" t="str">
        <f>VLOOKUP(F74,Eras!$A$2:$C$12, 2, TRUE)</f>
        <v>big4</v>
      </c>
      <c r="AT74" t="s">
        <v>409</v>
      </c>
      <c r="AU74" t="str">
        <f t="shared" si="5"/>
        <v>big4_Mixed Traffic</v>
      </c>
      <c r="AV74" t="s">
        <v>553</v>
      </c>
    </row>
    <row r="75" spans="1:48" x14ac:dyDescent="0.25">
      <c r="A75" t="s">
        <v>33</v>
      </c>
      <c r="B75" t="s">
        <v>552</v>
      </c>
      <c r="C75" t="s">
        <v>335</v>
      </c>
      <c r="D75" t="s">
        <v>344</v>
      </c>
      <c r="E75" t="s">
        <v>347</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555</v>
      </c>
      <c r="AH75" t="str">
        <f>CONCATENATE(VLOOKUP(AF75,'Articulated Lengths'!$A$2:$C$16,IF(AG75&lt;&gt;"", 3, 2), FALSE),IF(AG75&lt;&gt;"",CONCATENATE(",",VLOOKUP(AG75,$B$2:$AH$216,33,FALSE)),""))</f>
        <v>2,2,5,1,1,3</v>
      </c>
      <c r="AM75">
        <v>1</v>
      </c>
      <c r="AN75">
        <v>10</v>
      </c>
      <c r="AO75">
        <v>10</v>
      </c>
      <c r="AS75" t="str">
        <f>VLOOKUP(F75,Eras!$A$2:$C$12, 2, TRUE)</f>
        <v>big4</v>
      </c>
      <c r="AT75" t="s">
        <v>410</v>
      </c>
      <c r="AU75" t="str">
        <f t="shared" si="5"/>
        <v>big4_Express</v>
      </c>
      <c r="AV75" t="s">
        <v>554</v>
      </c>
    </row>
    <row r="76" spans="1:48" x14ac:dyDescent="0.25">
      <c r="A76" t="s">
        <v>80</v>
      </c>
      <c r="B76" t="s">
        <v>301</v>
      </c>
      <c r="C76" t="s">
        <v>497</v>
      </c>
      <c r="D76" t="s">
        <v>369</v>
      </c>
      <c r="E76" t="s">
        <v>377</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FALSE),IF(AG76&lt;&gt;"",CONCATENATE(",",VLOOKUP(AG76,$B$2:$AH$216,33,FALSE)),""))</f>
        <v>3,3,6</v>
      </c>
      <c r="AI76" t="s">
        <v>559</v>
      </c>
      <c r="AK76" t="s">
        <v>560</v>
      </c>
      <c r="AN76">
        <v>10</v>
      </c>
      <c r="AO76">
        <v>10</v>
      </c>
      <c r="AR76" t="s">
        <v>356</v>
      </c>
      <c r="AS76" t="str">
        <f>VLOOKUP(F76,Eras!$A$2:$C$12, 2, TRUE)</f>
        <v>big4</v>
      </c>
      <c r="AT76" t="s">
        <v>415</v>
      </c>
      <c r="AU76" t="str">
        <f t="shared" si="5"/>
        <v>big4_EMU</v>
      </c>
      <c r="AV76" t="s">
        <v>557</v>
      </c>
    </row>
    <row r="77" spans="1:48" x14ac:dyDescent="0.25">
      <c r="A77" t="s">
        <v>81</v>
      </c>
      <c r="B77" t="s">
        <v>302</v>
      </c>
      <c r="C77" t="s">
        <v>497</v>
      </c>
      <c r="D77" t="s">
        <v>369</v>
      </c>
      <c r="E77" t="s">
        <v>377</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FALSE),IF(AG77&lt;&gt;"",CONCATENATE(",",VLOOKUP(AG77,$B$2:$AH$216,33,FALSE)),""))</f>
        <v>3,3,6</v>
      </c>
      <c r="AI77" t="s">
        <v>561</v>
      </c>
      <c r="AK77" t="s">
        <v>562</v>
      </c>
      <c r="AN77">
        <v>10</v>
      </c>
      <c r="AO77">
        <v>10</v>
      </c>
      <c r="AR77" t="s">
        <v>356</v>
      </c>
      <c r="AS77" t="str">
        <f>VLOOKUP(F77,Eras!$A$2:$C$12, 2, TRUE)</f>
        <v>big4</v>
      </c>
      <c r="AT77" t="s">
        <v>415</v>
      </c>
      <c r="AU77" t="str">
        <f t="shared" si="5"/>
        <v>big4_EMU</v>
      </c>
      <c r="AV77" t="s">
        <v>558</v>
      </c>
    </row>
    <row r="78" spans="1:48" x14ac:dyDescent="0.25">
      <c r="A78" t="s">
        <v>120</v>
      </c>
      <c r="B78" t="s">
        <v>248</v>
      </c>
      <c r="C78" t="s">
        <v>187</v>
      </c>
      <c r="E78" t="s">
        <v>347</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FALSE),IF(AG78&lt;&gt;"",CONCATENATE(",",VLOOKUP(AG78,$B$2:$AH$216,33,FALSE)),""))</f>
        <v>na</v>
      </c>
      <c r="AN78">
        <v>10</v>
      </c>
      <c r="AO78">
        <v>10</v>
      </c>
      <c r="AS78" t="str">
        <f>VLOOKUP(F78,Eras!$A$2:$C$12, 2, TRUE)</f>
        <v>big4</v>
      </c>
      <c r="AT78" t="s">
        <v>427</v>
      </c>
      <c r="AU78" t="str">
        <f t="shared" si="5"/>
        <v>big4_LU</v>
      </c>
    </row>
    <row r="79" spans="1:48" x14ac:dyDescent="0.25">
      <c r="A79" t="s">
        <v>563</v>
      </c>
      <c r="B79" t="s">
        <v>564</v>
      </c>
      <c r="C79" t="s">
        <v>364</v>
      </c>
      <c r="E79" t="s">
        <v>347</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FALSE),IF(AG79&lt;&gt;"",CONCATENATE(",",VLOOKUP(AG79,$B$2:$AH$216,33,FALSE)),""))</f>
        <v>1,1,3</v>
      </c>
      <c r="AS79" t="str">
        <f>VLOOKUP(F79,Eras!$A$2:$C$12, 2, TRUE)</f>
        <v>big4</v>
      </c>
      <c r="AU79" t="str">
        <f t="shared" si="5"/>
        <v>big4_</v>
      </c>
    </row>
    <row r="80" spans="1:48" x14ac:dyDescent="0.25">
      <c r="A80" t="s">
        <v>36</v>
      </c>
      <c r="B80" t="s">
        <v>565</v>
      </c>
      <c r="C80" t="s">
        <v>335</v>
      </c>
      <c r="D80" t="s">
        <v>344</v>
      </c>
      <c r="E80" t="s">
        <v>347</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564</v>
      </c>
      <c r="AH80" t="str">
        <f>CONCATENATE(VLOOKUP(AF80,'Articulated Lengths'!$A$2:$C$16,IF(AG80&lt;&gt;"", 3, 2), FALSE),IF(AG80&lt;&gt;"",CONCATENATE(",",VLOOKUP(AG80,$B$2:$AH$216,33,FALSE)),""))</f>
        <v>2,2,4,1,1,3</v>
      </c>
      <c r="AM80">
        <v>1</v>
      </c>
      <c r="AN80">
        <v>10</v>
      </c>
      <c r="AO80">
        <v>10</v>
      </c>
      <c r="AS80" t="str">
        <f>VLOOKUP(F80,Eras!$A$2:$C$12, 2, TRUE)</f>
        <v>big4</v>
      </c>
      <c r="AT80" t="s">
        <v>410</v>
      </c>
      <c r="AU80" t="str">
        <f t="shared" si="5"/>
        <v>big4_Express</v>
      </c>
      <c r="AV80" t="s">
        <v>566</v>
      </c>
    </row>
    <row r="81" spans="1:48" x14ac:dyDescent="0.25">
      <c r="A81" t="s">
        <v>68</v>
      </c>
      <c r="B81" t="s">
        <v>212</v>
      </c>
      <c r="C81" t="s">
        <v>335</v>
      </c>
      <c r="D81" t="s">
        <v>369</v>
      </c>
      <c r="E81" t="s">
        <v>377</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FALSE),IF(AG81&lt;&gt;"",CONCATENATE(",",VLOOKUP(AG81,$B$2:$AH$216,33,FALSE)),""))</f>
        <v>3,3,4</v>
      </c>
      <c r="AN81">
        <v>10</v>
      </c>
      <c r="AO81">
        <v>10</v>
      </c>
      <c r="AS81" t="str">
        <f>VLOOKUP(F81,Eras!$A$2:$C$12, 2, TRUE)</f>
        <v>big4</v>
      </c>
      <c r="AT81" t="s">
        <v>419</v>
      </c>
      <c r="AU81" t="str">
        <f t="shared" si="5"/>
        <v>big4_MT (Electric)</v>
      </c>
      <c r="AV81" t="s">
        <v>567</v>
      </c>
    </row>
    <row r="82" spans="1:48" x14ac:dyDescent="0.25">
      <c r="A82" t="s">
        <v>13</v>
      </c>
      <c r="B82" t="s">
        <v>213</v>
      </c>
      <c r="C82" t="s">
        <v>187</v>
      </c>
      <c r="E82" t="s">
        <v>347</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FALSE),IF(AG82&lt;&gt;"",CONCATENATE(",",VLOOKUP(AG82,$B$2:$AH$216,33,FALSE)),""))</f>
        <v>na</v>
      </c>
      <c r="AN82">
        <v>10</v>
      </c>
      <c r="AO82">
        <v>10</v>
      </c>
      <c r="AS82" t="str">
        <f>VLOOKUP(F82,Eras!$A$2:$C$12, 2, TRUE)</f>
        <v>big4</v>
      </c>
      <c r="AU82" t="str">
        <f t="shared" si="5"/>
        <v>big4_</v>
      </c>
    </row>
    <row r="83" spans="1:48" x14ac:dyDescent="0.25">
      <c r="A83" t="s">
        <v>571</v>
      </c>
      <c r="B83" t="s">
        <v>570</v>
      </c>
      <c r="C83" t="s">
        <v>364</v>
      </c>
      <c r="E83" t="s">
        <v>347</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FALSE),IF(AG83&lt;&gt;"",CONCATENATE(",",VLOOKUP(AG83,$B$2:$AH$216,33,FALSE)),""))</f>
        <v>1,1,2</v>
      </c>
      <c r="AS83" t="str">
        <f>VLOOKUP(F83,Eras!$A$2:$C$12, 2, TRUE)</f>
        <v>big4</v>
      </c>
      <c r="AU83" t="str">
        <f t="shared" si="5"/>
        <v>big4_</v>
      </c>
    </row>
    <row r="84" spans="1:48" x14ac:dyDescent="0.25">
      <c r="A84" t="s">
        <v>40</v>
      </c>
      <c r="B84" t="s">
        <v>568</v>
      </c>
      <c r="C84" t="s">
        <v>335</v>
      </c>
      <c r="D84" t="s">
        <v>344</v>
      </c>
      <c r="E84" t="s">
        <v>347</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570</v>
      </c>
      <c r="AH84" t="str">
        <f>CONCATENATE(VLOOKUP(AF84,'Articulated Lengths'!$A$2:$C$16,IF(AG84&lt;&gt;"", 3, 2), FALSE),IF(AG84&lt;&gt;"",CONCATENATE(",",VLOOKUP(AG84,$B$2:$AH$216,33,FALSE)),""))</f>
        <v>2,2,2,1,1,2</v>
      </c>
      <c r="AM84">
        <v>1</v>
      </c>
      <c r="AN84">
        <v>10</v>
      </c>
      <c r="AO84">
        <v>10</v>
      </c>
      <c r="AS84" t="str">
        <f>VLOOKUP(F84,Eras!$A$2:$C$12, 2, TRUE)</f>
        <v>big4</v>
      </c>
      <c r="AT84" t="s">
        <v>408</v>
      </c>
      <c r="AU84" t="str">
        <f t="shared" si="5"/>
        <v>big4_Cheap</v>
      </c>
      <c r="AV84" t="s">
        <v>569</v>
      </c>
    </row>
    <row r="85" spans="1:48" x14ac:dyDescent="0.25">
      <c r="A85" t="s">
        <v>572</v>
      </c>
      <c r="B85" t="s">
        <v>283</v>
      </c>
      <c r="C85" t="s">
        <v>335</v>
      </c>
      <c r="D85" t="s">
        <v>344</v>
      </c>
      <c r="E85" t="s">
        <v>347</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FALSE),IF(AG85&lt;&gt;"",CONCATENATE(",",VLOOKUP(AG85,$B$2:$AH$216,33,FALSE)),""))</f>
        <v>1,1,3</v>
      </c>
      <c r="AM85">
        <v>1</v>
      </c>
      <c r="AN85">
        <v>10</v>
      </c>
      <c r="AO85">
        <v>10</v>
      </c>
      <c r="AS85" t="str">
        <f>VLOOKUP(F85,Eras!$A$2:$C$12, 2, TRUE)</f>
        <v>big4</v>
      </c>
      <c r="AT85" t="s">
        <v>408</v>
      </c>
      <c r="AU85" t="str">
        <f t="shared" si="5"/>
        <v>big4_Cheap</v>
      </c>
      <c r="AV85" t="s">
        <v>573</v>
      </c>
    </row>
    <row r="86" spans="1:48" x14ac:dyDescent="0.25">
      <c r="A86" t="s">
        <v>576</v>
      </c>
      <c r="B86" t="s">
        <v>577</v>
      </c>
      <c r="C86" t="s">
        <v>364</v>
      </c>
      <c r="E86" t="s">
        <v>347</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FALSE),IF(AG86&lt;&gt;"",CONCATENATE(",",VLOOKUP(AG86,$B$2:$AH$216,33,FALSE)),""))</f>
        <v>1,1,2</v>
      </c>
      <c r="AS86" t="str">
        <f>VLOOKUP(F86,Eras!$A$2:$C$12, 2, TRUE)</f>
        <v>big4</v>
      </c>
      <c r="AU86" t="str">
        <f t="shared" si="5"/>
        <v>big4_</v>
      </c>
    </row>
    <row r="87" spans="1:48" x14ac:dyDescent="0.25">
      <c r="A87" t="s">
        <v>39</v>
      </c>
      <c r="B87" t="s">
        <v>575</v>
      </c>
      <c r="C87" t="s">
        <v>335</v>
      </c>
      <c r="D87" t="s">
        <v>344</v>
      </c>
      <c r="E87" t="s">
        <v>347</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577</v>
      </c>
      <c r="AH87" t="str">
        <f>CONCATENATE(VLOOKUP(AF87,'Articulated Lengths'!$A$2:$C$16,IF(AG87&lt;&gt;"", 3, 2), FALSE),IF(AG87&lt;&gt;"",CONCATENATE(",",VLOOKUP(AG87,$B$2:$AH$216,33,FALSE)),""))</f>
        <v>2,2,3,1,1,2</v>
      </c>
      <c r="AM87">
        <v>1</v>
      </c>
      <c r="AN87">
        <v>10</v>
      </c>
      <c r="AO87">
        <v>10</v>
      </c>
      <c r="AS87" t="str">
        <f>VLOOKUP(F87,Eras!$A$2:$C$12, 2, TRUE)</f>
        <v>big4</v>
      </c>
      <c r="AT87" t="s">
        <v>411</v>
      </c>
      <c r="AU87" t="str">
        <f t="shared" si="5"/>
        <v>big4_Freight</v>
      </c>
      <c r="AV87" t="s">
        <v>574</v>
      </c>
    </row>
    <row r="88" spans="1:48" x14ac:dyDescent="0.25">
      <c r="A88" t="s">
        <v>580</v>
      </c>
      <c r="B88" t="s">
        <v>307</v>
      </c>
      <c r="C88" t="s">
        <v>335</v>
      </c>
      <c r="D88" t="s">
        <v>344</v>
      </c>
      <c r="E88" t="s">
        <v>347</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515</v>
      </c>
      <c r="AH88" t="str">
        <f>CONCATENATE(VLOOKUP(AF88,'Articulated Lengths'!$A$2:$C$16,IF(AG88&lt;&gt;"", 3, 2), FALSE),IF(AG88&lt;&gt;"",CONCATENATE(",",VLOOKUP(AG88,$B$2:$AH$216,33,FALSE)),""))</f>
        <v>2,2,3,1,1,3</v>
      </c>
      <c r="AL88" t="s">
        <v>526</v>
      </c>
      <c r="AM88">
        <v>1</v>
      </c>
      <c r="AN88">
        <v>10</v>
      </c>
      <c r="AO88">
        <v>10</v>
      </c>
      <c r="AS88" t="str">
        <f>VLOOKUP(F88,Eras!$A$2:$C$12, 2, TRUE)</f>
        <v>big4</v>
      </c>
      <c r="AT88" t="s">
        <v>409</v>
      </c>
      <c r="AU88" t="str">
        <f t="shared" si="5"/>
        <v>big4_Mixed Traffic</v>
      </c>
      <c r="AV88" t="s">
        <v>579</v>
      </c>
    </row>
    <row r="89" spans="1:48" x14ac:dyDescent="0.25">
      <c r="A89" t="s">
        <v>581</v>
      </c>
      <c r="B89" t="s">
        <v>582</v>
      </c>
      <c r="C89" t="s">
        <v>335</v>
      </c>
      <c r="D89" t="s">
        <v>344</v>
      </c>
      <c r="E89" t="s">
        <v>347</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515</v>
      </c>
      <c r="AH89" t="str">
        <f>CONCATENATE(VLOOKUP(AF89,'Articulated Lengths'!$A$2:$C$16,IF(AG89&lt;&gt;"", 3, 2), FALSE),IF(AG89&lt;&gt;"",CONCATENATE(",",VLOOKUP(AG89,$B$2:$AH$216,33,FALSE)),""))</f>
        <v>2,2,3,1,1,3</v>
      </c>
      <c r="AM89">
        <v>1</v>
      </c>
      <c r="AN89">
        <v>10</v>
      </c>
      <c r="AO89">
        <v>10</v>
      </c>
      <c r="AS89" t="str">
        <f>VLOOKUP(F89,Eras!$A$2:$C$12, 2, TRUE)</f>
        <v>big4</v>
      </c>
      <c r="AT89" t="s">
        <v>410</v>
      </c>
      <c r="AU89" t="str">
        <f t="shared" si="5"/>
        <v>big4_Express</v>
      </c>
      <c r="AV89" t="s">
        <v>583</v>
      </c>
    </row>
    <row r="90" spans="1:48" x14ac:dyDescent="0.25">
      <c r="A90" t="s">
        <v>37</v>
      </c>
      <c r="B90" t="s">
        <v>585</v>
      </c>
      <c r="C90" t="s">
        <v>335</v>
      </c>
      <c r="D90" t="s">
        <v>344</v>
      </c>
      <c r="E90" t="s">
        <v>347</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564</v>
      </c>
      <c r="AH90" t="str">
        <f>CONCATENATE(VLOOKUP(AF90,'Articulated Lengths'!$A$2:$C$16,IF(AG90&lt;&gt;"", 3, 2), FALSE),IF(AG90&lt;&gt;"",CONCATENATE(",",VLOOKUP(AG90,$B$2:$AH$216,33,FALSE)),""))</f>
        <v>2,2,4,1,1,3</v>
      </c>
      <c r="AM90">
        <v>1</v>
      </c>
      <c r="AN90">
        <v>10</v>
      </c>
      <c r="AO90">
        <v>10</v>
      </c>
      <c r="AS90" t="str">
        <f>VLOOKUP(F90,Eras!$A$2:$C$12, 2, TRUE)</f>
        <v>big4</v>
      </c>
      <c r="AT90" t="s">
        <v>409</v>
      </c>
      <c r="AU90" t="str">
        <f t="shared" si="5"/>
        <v>big4_Mixed Traffic</v>
      </c>
      <c r="AV90" t="s">
        <v>584</v>
      </c>
    </row>
    <row r="91" spans="1:48" x14ac:dyDescent="0.25">
      <c r="A91" t="s">
        <v>41</v>
      </c>
      <c r="B91" t="s">
        <v>587</v>
      </c>
      <c r="C91" t="s">
        <v>335</v>
      </c>
      <c r="D91" t="s">
        <v>344</v>
      </c>
      <c r="E91" t="s">
        <v>347</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FALSE),IF(AG91&lt;&gt;"",CONCATENATE(",",VLOOKUP(AG91,$B$2:$AH$216,33,FALSE)),""))</f>
        <v>3,3,6</v>
      </c>
      <c r="AN91">
        <v>10</v>
      </c>
      <c r="AO91">
        <v>10</v>
      </c>
      <c r="AS91" t="str">
        <f>VLOOKUP(F91,Eras!$A$2:$C$12, 2, TRUE)</f>
        <v>big4</v>
      </c>
      <c r="AT91" t="s">
        <v>409</v>
      </c>
      <c r="AU91" t="str">
        <f t="shared" si="5"/>
        <v>big4_Mixed Traffic</v>
      </c>
      <c r="AV91" t="s">
        <v>586</v>
      </c>
    </row>
    <row r="92" spans="1:48" x14ac:dyDescent="0.25">
      <c r="A92" t="s">
        <v>591</v>
      </c>
      <c r="B92" t="s">
        <v>590</v>
      </c>
      <c r="C92" t="s">
        <v>364</v>
      </c>
      <c r="E92" t="s">
        <v>347</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FALSE),IF(AG92&lt;&gt;"",CONCATENATE(",",VLOOKUP(AG92,$B$2:$AH$216,33,FALSE)),""))</f>
        <v>1,1,2</v>
      </c>
      <c r="AS92" t="str">
        <f>VLOOKUP(F92,Eras!$A$2:$C$12, 2, TRUE)</f>
        <v>big4</v>
      </c>
      <c r="AU92" t="str">
        <f t="shared" si="5"/>
        <v>big4_</v>
      </c>
    </row>
    <row r="93" spans="1:48" x14ac:dyDescent="0.25">
      <c r="A93" t="s">
        <v>588</v>
      </c>
      <c r="B93" t="s">
        <v>589</v>
      </c>
      <c r="C93" t="s">
        <v>335</v>
      </c>
      <c r="D93" t="s">
        <v>344</v>
      </c>
      <c r="E93" t="s">
        <v>347</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590</v>
      </c>
      <c r="AH93" t="str">
        <f>CONCATENATE(VLOOKUP(AF93,'Articulated Lengths'!$A$2:$C$16,IF(AG93&lt;&gt;"", 3, 2), FALSE),IF(AG93&lt;&gt;"",CONCATENATE(",",VLOOKUP(AG93,$B$2:$AH$216,33,FALSE)),""))</f>
        <v>2,2,2,1,1,2</v>
      </c>
      <c r="AM93">
        <v>1</v>
      </c>
      <c r="AN93">
        <v>10</v>
      </c>
      <c r="AO93">
        <v>10</v>
      </c>
      <c r="AS93" t="str">
        <f>VLOOKUP(F93,Eras!$A$2:$C$12, 2, TRUE)</f>
        <v>big4</v>
      </c>
      <c r="AT93" t="s">
        <v>408</v>
      </c>
      <c r="AU93" t="str">
        <f t="shared" si="5"/>
        <v>big4_Cheap</v>
      </c>
      <c r="AV93" t="s">
        <v>592</v>
      </c>
    </row>
    <row r="94" spans="1:48" x14ac:dyDescent="0.25">
      <c r="A94" t="s">
        <v>69</v>
      </c>
      <c r="B94" t="s">
        <v>214</v>
      </c>
      <c r="C94" t="s">
        <v>335</v>
      </c>
      <c r="D94" t="s">
        <v>345</v>
      </c>
      <c r="E94" t="s">
        <v>347</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FALSE),IF(AG94&lt;&gt;"",CONCATENATE(",",VLOOKUP(AG94,$B$2:$AH$216,33,FALSE)),""))</f>
        <v>3,3,5</v>
      </c>
      <c r="AN94">
        <v>10</v>
      </c>
      <c r="AO94">
        <v>10</v>
      </c>
      <c r="AS94" t="str">
        <f>VLOOKUP(F94,Eras!$A$2:$C$12, 2, TRUE)</f>
        <v>big4</v>
      </c>
      <c r="AT94" t="s">
        <v>409</v>
      </c>
      <c r="AU94" t="str">
        <f t="shared" si="5"/>
        <v>big4_Mixed Traffic</v>
      </c>
      <c r="AV94" t="s">
        <v>593</v>
      </c>
    </row>
    <row r="95" spans="1:48" x14ac:dyDescent="0.25">
      <c r="A95" t="s">
        <v>25</v>
      </c>
      <c r="B95" t="s">
        <v>595</v>
      </c>
      <c r="C95" t="s">
        <v>335</v>
      </c>
      <c r="D95" t="s">
        <v>344</v>
      </c>
      <c r="E95" t="s">
        <v>347</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530</v>
      </c>
      <c r="AH95" t="str">
        <f>CONCATENATE(VLOOKUP(AF95,'Articulated Lengths'!$A$2:$C$16,IF(AG95&lt;&gt;"", 3, 2), FALSE),IF(AG95&lt;&gt;"",CONCATENATE(",",VLOOKUP(AG95,$B$2:$AH$216,33,FALSE)),""))</f>
        <v>2,2,5,1,1,3</v>
      </c>
      <c r="AM95">
        <v>1</v>
      </c>
      <c r="AN95">
        <v>10</v>
      </c>
      <c r="AO95">
        <v>10</v>
      </c>
      <c r="AS95" t="str">
        <f>VLOOKUP(F95,Eras!$A$2:$C$12, 2, TRUE)</f>
        <v>br</v>
      </c>
      <c r="AT95" t="s">
        <v>410</v>
      </c>
      <c r="AU95" t="str">
        <f t="shared" si="5"/>
        <v>br_Express</v>
      </c>
      <c r="AV95" t="s">
        <v>594</v>
      </c>
    </row>
    <row r="96" spans="1:48" x14ac:dyDescent="0.25">
      <c r="A96" t="s">
        <v>73</v>
      </c>
      <c r="B96" t="s">
        <v>318</v>
      </c>
      <c r="C96" t="s">
        <v>335</v>
      </c>
      <c r="D96" t="s">
        <v>369</v>
      </c>
      <c r="E96" t="s">
        <v>370</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FALSE),IF(AG96&lt;&gt;"",CONCATENATE(",",VLOOKUP(AG96,$B$2:$AH$216,33,FALSE)),""))</f>
        <v>2,2,5</v>
      </c>
      <c r="AN96">
        <v>10</v>
      </c>
      <c r="AO96">
        <v>10</v>
      </c>
      <c r="AS96" t="str">
        <f>VLOOKUP(F96,Eras!$A$2:$C$12, 2, TRUE)</f>
        <v>br</v>
      </c>
      <c r="AT96" t="s">
        <v>421</v>
      </c>
      <c r="AU96" t="str">
        <f t="shared" si="5"/>
        <v>br_Freight (Electric)</v>
      </c>
      <c r="AV96" t="s">
        <v>437</v>
      </c>
    </row>
    <row r="97" spans="1:48" x14ac:dyDescent="0.25">
      <c r="A97" t="s">
        <v>606</v>
      </c>
      <c r="B97" t="s">
        <v>600</v>
      </c>
      <c r="C97" t="s">
        <v>335</v>
      </c>
      <c r="D97" t="s">
        <v>344</v>
      </c>
      <c r="E97" t="s">
        <v>347</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535</v>
      </c>
      <c r="AH97" t="str">
        <f>CONCATENATE(VLOOKUP(AF97,'Articulated Lengths'!$A$2:$C$16,IF(AG97&lt;&gt;"", 3, 2), FALSE),IF(AG97&lt;&gt;"",CONCATENATE(",",VLOOKUP(AG97,$B$2:$AH$216,33,FALSE)),""))</f>
        <v>2,2,4,1,1,3</v>
      </c>
      <c r="AM97">
        <v>1</v>
      </c>
      <c r="AN97">
        <v>10</v>
      </c>
      <c r="AO97">
        <v>10</v>
      </c>
      <c r="AS97" t="str">
        <f>VLOOKUP(F97,Eras!$A$2:$C$12, 2, TRUE)</f>
        <v>br</v>
      </c>
      <c r="AT97" t="s">
        <v>409</v>
      </c>
      <c r="AU97" t="str">
        <f t="shared" si="5"/>
        <v>br_Mixed Traffic</v>
      </c>
      <c r="AV97" t="s">
        <v>604</v>
      </c>
    </row>
    <row r="98" spans="1:48" x14ac:dyDescent="0.25">
      <c r="A98" t="s">
        <v>607</v>
      </c>
      <c r="B98" t="s">
        <v>601</v>
      </c>
      <c r="C98" t="s">
        <v>335</v>
      </c>
      <c r="D98" t="s">
        <v>344</v>
      </c>
      <c r="E98" t="s">
        <v>347</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535</v>
      </c>
      <c r="AH98" t="str">
        <f>CONCATENATE(VLOOKUP(AF98,'Articulated Lengths'!$A$2:$C$16,IF(AG98&lt;&gt;"", 3, 2), FALSE),IF(AG98&lt;&gt;"",CONCATENATE(",",VLOOKUP(AG98,$B$2:$AH$216,33,FALSE)),""))</f>
        <v>2,2,4,1,1,3</v>
      </c>
      <c r="AM98">
        <v>1</v>
      </c>
      <c r="AN98">
        <v>10</v>
      </c>
      <c r="AO98">
        <v>10</v>
      </c>
      <c r="AS98" t="str">
        <f>VLOOKUP(F98,Eras!$A$2:$C$12, 2, TRUE)</f>
        <v>br</v>
      </c>
      <c r="AT98" t="s">
        <v>409</v>
      </c>
      <c r="AU98" t="str">
        <f t="shared" si="5"/>
        <v>br_Mixed Traffic</v>
      </c>
      <c r="AV98" t="s">
        <v>603</v>
      </c>
    </row>
    <row r="99" spans="1:48" x14ac:dyDescent="0.25">
      <c r="A99" t="s">
        <v>77</v>
      </c>
      <c r="B99" t="s">
        <v>215</v>
      </c>
      <c r="C99" t="s">
        <v>335</v>
      </c>
      <c r="D99" t="s">
        <v>345</v>
      </c>
      <c r="E99" t="s">
        <v>347</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FALSE),IF(AG99&lt;&gt;"",CONCATENATE(",",VLOOKUP(AG99,$B$2:$AH$216,33,FALSE)),""))</f>
        <v>2,2,2</v>
      </c>
      <c r="AM99">
        <v>1</v>
      </c>
      <c r="AN99">
        <v>10</v>
      </c>
      <c r="AO99">
        <v>10</v>
      </c>
      <c r="AS99" t="str">
        <f>VLOOKUP(F99,Eras!$A$2:$C$12, 2, TRUE)</f>
        <v>br</v>
      </c>
      <c r="AT99" t="s">
        <v>408</v>
      </c>
      <c r="AU99" t="str">
        <f t="shared" si="5"/>
        <v>br_Cheap</v>
      </c>
      <c r="AV99" t="s">
        <v>438</v>
      </c>
    </row>
    <row r="100" spans="1:48" x14ac:dyDescent="0.25">
      <c r="A100" t="s">
        <v>74</v>
      </c>
      <c r="B100" t="s">
        <v>319</v>
      </c>
      <c r="C100" t="s">
        <v>335</v>
      </c>
      <c r="D100" t="s">
        <v>369</v>
      </c>
      <c r="E100" t="s">
        <v>370</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FALSE),IF(AG100&lt;&gt;"",CONCATENATE(",",VLOOKUP(AG100,$B$2:$AH$216,33,FALSE)),""))</f>
        <v>3,3,5</v>
      </c>
      <c r="AN100">
        <v>10</v>
      </c>
      <c r="AO100">
        <v>10</v>
      </c>
      <c r="AS100" t="str">
        <f>VLOOKUP(F100,Eras!$A$2:$C$12, 2, TRUE)</f>
        <v>br</v>
      </c>
      <c r="AT100" t="s">
        <v>420</v>
      </c>
      <c r="AU100" t="str">
        <f t="shared" si="5"/>
        <v>br_Express (Electric)</v>
      </c>
      <c r="AV100" t="s">
        <v>605</v>
      </c>
    </row>
    <row r="101" spans="1:48" x14ac:dyDescent="0.25">
      <c r="A101" t="s">
        <v>599</v>
      </c>
      <c r="B101" t="s">
        <v>602</v>
      </c>
      <c r="C101" t="s">
        <v>335</v>
      </c>
      <c r="D101" t="s">
        <v>344</v>
      </c>
      <c r="E101" t="s">
        <v>347</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535</v>
      </c>
      <c r="AH101" t="str">
        <f>CONCATENATE(VLOOKUP(AF101,'Articulated Lengths'!$A$2:$C$16,IF(AG101&lt;&gt;"", 3, 2), FALSE),IF(AG101&lt;&gt;"",CONCATENATE(",",VLOOKUP(AG101,$B$2:$AH$216,33,FALSE)),""))</f>
        <v>2,2,5,1,1,3</v>
      </c>
      <c r="AM101">
        <v>1</v>
      </c>
      <c r="AN101">
        <v>10</v>
      </c>
      <c r="AO101">
        <v>10</v>
      </c>
      <c r="AS101" t="str">
        <f>VLOOKUP(F101,Eras!$A$2:$C$12, 2, TRUE)</f>
        <v>br</v>
      </c>
      <c r="AT101" t="s">
        <v>411</v>
      </c>
      <c r="AU101" t="str">
        <f t="shared" si="5"/>
        <v>br_Freight</v>
      </c>
      <c r="AV101" t="s">
        <v>608</v>
      </c>
    </row>
    <row r="102" spans="1:48" x14ac:dyDescent="0.25">
      <c r="A102" t="s">
        <v>49</v>
      </c>
      <c r="B102" t="s">
        <v>340</v>
      </c>
      <c r="C102" t="s">
        <v>335</v>
      </c>
      <c r="D102" t="s">
        <v>345</v>
      </c>
      <c r="E102" t="s">
        <v>347</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FALSE),IF(AG102&lt;&gt;"",CONCATENATE(",",VLOOKUP(AG102,$B$2:$AH$216,33,FALSE)),""))</f>
        <v>3,3,6</v>
      </c>
      <c r="AN102">
        <v>10</v>
      </c>
      <c r="AO102">
        <v>10</v>
      </c>
      <c r="AS102" t="str">
        <f>VLOOKUP(F102,Eras!$A$2:$C$12, 2, TRUE)</f>
        <v>dsl</v>
      </c>
      <c r="AT102" t="s">
        <v>410</v>
      </c>
      <c r="AU102" t="str">
        <f t="shared" si="5"/>
        <v>dsl_Express</v>
      </c>
      <c r="AV102" t="s">
        <v>609</v>
      </c>
    </row>
    <row r="103" spans="1:48" x14ac:dyDescent="0.25">
      <c r="A103" t="s">
        <v>82</v>
      </c>
      <c r="B103" t="s">
        <v>303</v>
      </c>
      <c r="C103" t="s">
        <v>497</v>
      </c>
      <c r="D103" t="s">
        <v>345</v>
      </c>
      <c r="E103" t="s">
        <v>347</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FALSE),IF(AG103&lt;&gt;"",CONCATENATE(",",VLOOKUP(AG103,$B$2:$AH$216,33,FALSE)),""))</f>
        <v>3,3,4</v>
      </c>
      <c r="AI103" t="s">
        <v>611</v>
      </c>
      <c r="AK103" t="s">
        <v>562</v>
      </c>
      <c r="AN103">
        <v>10</v>
      </c>
      <c r="AO103">
        <v>10</v>
      </c>
      <c r="AR103" t="s">
        <v>356</v>
      </c>
      <c r="AS103" t="str">
        <f>VLOOKUP(F103,Eras!$A$2:$C$12, 2, TRUE)</f>
        <v>dsl</v>
      </c>
      <c r="AT103" t="s">
        <v>413</v>
      </c>
      <c r="AU103" t="str">
        <f t="shared" si="5"/>
        <v>dsl_DMU</v>
      </c>
      <c r="AV103" t="s">
        <v>610</v>
      </c>
    </row>
    <row r="104" spans="1:48" x14ac:dyDescent="0.25">
      <c r="A104" t="s">
        <v>84</v>
      </c>
      <c r="B104" t="s">
        <v>232</v>
      </c>
      <c r="C104" t="s">
        <v>187</v>
      </c>
      <c r="E104" t="s">
        <v>347</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FALSE),IF(AG104&lt;&gt;"",CONCATENATE(",",VLOOKUP(AG104,$B$2:$AH$216,33,FALSE)),""))</f>
        <v>3,3,4</v>
      </c>
      <c r="AN104">
        <v>10</v>
      </c>
      <c r="AO104">
        <v>10</v>
      </c>
      <c r="AS104" t="str">
        <f>VLOOKUP(F104,Eras!$A$2:$C$12, 2, TRUE)</f>
        <v>dsl</v>
      </c>
      <c r="AU104" t="str">
        <f t="shared" si="5"/>
        <v>dsl_</v>
      </c>
    </row>
    <row r="105" spans="1:48" x14ac:dyDescent="0.25">
      <c r="A105" t="s">
        <v>138</v>
      </c>
      <c r="B105" t="s">
        <v>330</v>
      </c>
      <c r="C105" t="s">
        <v>354</v>
      </c>
      <c r="E105" t="s">
        <v>347</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FALSE),IF(AG105&lt;&gt;"",CONCATENATE(",",VLOOKUP(AG105,$B$2:$AH$216,33,FALSE)),""))</f>
        <v>3,3,6</v>
      </c>
      <c r="AN105">
        <v>10</v>
      </c>
      <c r="AO105">
        <v>10</v>
      </c>
      <c r="AR105" t="s">
        <v>356</v>
      </c>
      <c r="AS105" t="str">
        <f>VLOOKUP(F105,Eras!$A$2:$C$12, 2, TRUE)</f>
        <v>dsl</v>
      </c>
      <c r="AT105" t="s">
        <v>417</v>
      </c>
      <c r="AU105" t="str">
        <f t="shared" si="5"/>
        <v>dsl_Carriage</v>
      </c>
      <c r="AV105" t="s">
        <v>443</v>
      </c>
    </row>
    <row r="106" spans="1:48" x14ac:dyDescent="0.25">
      <c r="A106" t="s">
        <v>613</v>
      </c>
      <c r="B106" t="s">
        <v>216</v>
      </c>
      <c r="C106" t="s">
        <v>335</v>
      </c>
      <c r="D106" t="s">
        <v>345</v>
      </c>
      <c r="E106" t="s">
        <v>347</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FALSE),IF(AG106&lt;&gt;"",CONCATENATE(",",VLOOKUP(AG106,$B$2:$AH$216,33,FALSE)),""))</f>
        <v>3,3,4</v>
      </c>
      <c r="AN106">
        <v>10</v>
      </c>
      <c r="AO106">
        <v>10</v>
      </c>
      <c r="AS106" t="str">
        <f>VLOOKUP(F106,Eras!$A$2:$C$12, 2, TRUE)</f>
        <v>dsl</v>
      </c>
      <c r="AT106" t="s">
        <v>411</v>
      </c>
      <c r="AU106" t="str">
        <f t="shared" si="5"/>
        <v>dsl_Freight</v>
      </c>
      <c r="AV106" t="s">
        <v>614</v>
      </c>
    </row>
    <row r="107" spans="1:48" x14ac:dyDescent="0.25">
      <c r="A107" t="s">
        <v>57</v>
      </c>
      <c r="B107" t="s">
        <v>338</v>
      </c>
      <c r="C107" t="s">
        <v>335</v>
      </c>
      <c r="D107" t="s">
        <v>345</v>
      </c>
      <c r="E107" t="s">
        <v>347</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FALSE),IF(AG107&lt;&gt;"",CONCATENATE(",",VLOOKUP(AG107,$B$2:$AH$216,33,FALSE)),""))</f>
        <v>2,2,4</v>
      </c>
      <c r="AN107">
        <v>10</v>
      </c>
      <c r="AO107">
        <v>10</v>
      </c>
      <c r="AS107" t="str">
        <f>VLOOKUP(F107,Eras!$A$2:$C$12, 2, TRUE)</f>
        <v>dsl</v>
      </c>
      <c r="AT107" t="s">
        <v>409</v>
      </c>
      <c r="AU107" t="str">
        <f t="shared" si="5"/>
        <v>dsl_Mixed Traffic</v>
      </c>
      <c r="AV107" t="s">
        <v>439</v>
      </c>
    </row>
    <row r="108" spans="1:48" x14ac:dyDescent="0.25">
      <c r="A108" t="s">
        <v>43</v>
      </c>
      <c r="B108" t="s">
        <v>217</v>
      </c>
      <c r="C108" t="s">
        <v>187</v>
      </c>
      <c r="E108" t="s">
        <v>347</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FALSE),IF(AG108&lt;&gt;"",CONCATENATE(",",VLOOKUP(AG108,$B$2:$AH$216,33,FALSE)),""))</f>
        <v>3,3,6</v>
      </c>
      <c r="AN108">
        <v>10</v>
      </c>
      <c r="AO108">
        <v>10</v>
      </c>
      <c r="AS108" t="str">
        <f>VLOOKUP(F108,Eras!$A$2:$C$12, 2, TRUE)</f>
        <v>dsl</v>
      </c>
      <c r="AT108" t="s">
        <v>410</v>
      </c>
      <c r="AU108" t="str">
        <f t="shared" si="5"/>
        <v>dsl_Express</v>
      </c>
      <c r="AV108" t="s">
        <v>612</v>
      </c>
    </row>
    <row r="109" spans="1:48" x14ac:dyDescent="0.25">
      <c r="A109" t="s">
        <v>47</v>
      </c>
      <c r="B109" t="s">
        <v>218</v>
      </c>
      <c r="C109" t="s">
        <v>335</v>
      </c>
      <c r="D109" t="s">
        <v>345</v>
      </c>
      <c r="E109" t="s">
        <v>347</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FALSE),IF(AG109&lt;&gt;"",CONCATENATE(",",VLOOKUP(AG109,$B$2:$AH$216,33,FALSE)),""))</f>
        <v>3,3,5</v>
      </c>
      <c r="AN109">
        <v>10</v>
      </c>
      <c r="AO109">
        <v>10</v>
      </c>
      <c r="AS109" t="str">
        <f>VLOOKUP(F109,Eras!$A$2:$C$12, 2, TRUE)</f>
        <v>dsl</v>
      </c>
      <c r="AT109" t="s">
        <v>459</v>
      </c>
      <c r="AU109" t="str">
        <f t="shared" si="5"/>
        <v>dsl_Passenger</v>
      </c>
      <c r="AV109" t="s">
        <v>615</v>
      </c>
    </row>
    <row r="110" spans="1:48" x14ac:dyDescent="0.25">
      <c r="A110" t="s">
        <v>52</v>
      </c>
      <c r="B110" t="s">
        <v>617</v>
      </c>
      <c r="C110" t="s">
        <v>335</v>
      </c>
      <c r="D110" t="s">
        <v>345</v>
      </c>
      <c r="E110" t="s">
        <v>347</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FALSE),IF(AG110&lt;&gt;"",CONCATENATE(",",VLOOKUP(AG110,$B$2:$AH$216,33,FALSE)),""))</f>
        <v>3,3,6</v>
      </c>
      <c r="AN110">
        <v>10</v>
      </c>
      <c r="AO110">
        <v>10</v>
      </c>
      <c r="AS110" t="str">
        <f>VLOOKUP(F110,Eras!$A$2:$C$12, 2, TRUE)</f>
        <v>dsl</v>
      </c>
      <c r="AT110" t="s">
        <v>410</v>
      </c>
      <c r="AU110" t="str">
        <f t="shared" si="5"/>
        <v>dsl_Express</v>
      </c>
      <c r="AV110" t="s">
        <v>616</v>
      </c>
    </row>
    <row r="111" spans="1:48" x14ac:dyDescent="0.25">
      <c r="A111" t="s">
        <v>53</v>
      </c>
      <c r="B111" t="s">
        <v>371</v>
      </c>
      <c r="C111" t="s">
        <v>335</v>
      </c>
      <c r="D111" t="s">
        <v>345</v>
      </c>
      <c r="E111" t="s">
        <v>347</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FALSE),IF(AG111&lt;&gt;"",CONCATENATE(",",VLOOKUP(AG111,$B$2:$AH$216,33,FALSE)),""))</f>
        <v>3,3,4</v>
      </c>
      <c r="AN111">
        <v>10</v>
      </c>
      <c r="AO111">
        <v>10</v>
      </c>
      <c r="AS111" t="str">
        <f>VLOOKUP(F111,Eras!$A$2:$C$12, 2, TRUE)</f>
        <v>dsl</v>
      </c>
      <c r="AT111" t="s">
        <v>409</v>
      </c>
      <c r="AU111" t="str">
        <f t="shared" si="5"/>
        <v>dsl_Mixed Traffic</v>
      </c>
      <c r="AV111" t="s">
        <v>440</v>
      </c>
    </row>
    <row r="112" spans="1:48" x14ac:dyDescent="0.25">
      <c r="A112" t="s">
        <v>75</v>
      </c>
      <c r="B112" t="s">
        <v>284</v>
      </c>
      <c r="C112" t="s">
        <v>335</v>
      </c>
      <c r="D112" t="s">
        <v>369</v>
      </c>
      <c r="E112" t="s">
        <v>377</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FALSE),IF(AG112&lt;&gt;"",CONCATENATE(",",VLOOKUP(AG112,$B$2:$AH$216,33,FALSE)),""))</f>
        <v>3,3,4</v>
      </c>
      <c r="AN112">
        <v>10</v>
      </c>
      <c r="AO112">
        <v>10</v>
      </c>
      <c r="AS112" t="str">
        <f>VLOOKUP(F112,Eras!$A$2:$C$12, 2, TRUE)</f>
        <v>dsl</v>
      </c>
      <c r="AT112" t="s">
        <v>419</v>
      </c>
      <c r="AU112" t="str">
        <f t="shared" si="5"/>
        <v>dsl_MT (Electric)</v>
      </c>
      <c r="AV112" t="s">
        <v>441</v>
      </c>
    </row>
    <row r="113" spans="1:48" x14ac:dyDescent="0.25">
      <c r="A113" t="s">
        <v>633</v>
      </c>
      <c r="B113" t="s">
        <v>635</v>
      </c>
      <c r="C113" t="s">
        <v>335</v>
      </c>
      <c r="D113" t="s">
        <v>345</v>
      </c>
      <c r="E113" t="s">
        <v>347</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FALSE),IF(AG113&lt;&gt;"",CONCATENATE(",",VLOOKUP(AG113,$B$2:$AH$216,33,FALSE)),""))</f>
        <v>2,2,5</v>
      </c>
      <c r="AN113">
        <v>10</v>
      </c>
      <c r="AO113">
        <v>10</v>
      </c>
      <c r="AS113" t="str">
        <f>VLOOKUP(F113,Eras!$A$2:$C$12, 2, TRUE)</f>
        <v>dsl</v>
      </c>
      <c r="AT113" t="s">
        <v>409</v>
      </c>
      <c r="AU113" t="str">
        <f t="shared" si="5"/>
        <v>dsl_Mixed Traffic</v>
      </c>
      <c r="AV113" t="s">
        <v>634</v>
      </c>
    </row>
    <row r="114" spans="1:48" x14ac:dyDescent="0.25">
      <c r="A114" t="s">
        <v>50</v>
      </c>
      <c r="B114" t="s">
        <v>339</v>
      </c>
      <c r="C114" t="s">
        <v>335</v>
      </c>
      <c r="D114" t="s">
        <v>345</v>
      </c>
      <c r="E114" t="s">
        <v>347</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FALSE),IF(AG114&lt;&gt;"",CONCATENATE(",",VLOOKUP(AG114,$B$2:$AH$216,33,FALSE)),""))</f>
        <v>2,2,5</v>
      </c>
      <c r="AN114">
        <v>10</v>
      </c>
      <c r="AO114">
        <v>10</v>
      </c>
      <c r="AS114" t="str">
        <f>VLOOKUP(F114,Eras!$A$2:$C$12, 2, TRUE)</f>
        <v>dsl</v>
      </c>
      <c r="AT114" t="s">
        <v>409</v>
      </c>
      <c r="AU114" t="str">
        <f t="shared" si="5"/>
        <v>dsl_Mixed Traffic</v>
      </c>
      <c r="AV114" t="s">
        <v>449</v>
      </c>
    </row>
    <row r="115" spans="1:48" x14ac:dyDescent="0.25">
      <c r="A115" t="s">
        <v>70</v>
      </c>
      <c r="B115" t="s">
        <v>285</v>
      </c>
      <c r="C115" t="s">
        <v>335</v>
      </c>
      <c r="D115" t="s">
        <v>369</v>
      </c>
      <c r="E115" t="s">
        <v>370</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FALSE),IF(AG115&lt;&gt;"",CONCATENATE(",",VLOOKUP(AG115,$B$2:$AH$216,33,FALSE)),""))</f>
        <v>3,3,4</v>
      </c>
      <c r="AN115">
        <v>10</v>
      </c>
      <c r="AO115">
        <v>10</v>
      </c>
      <c r="AS115" t="str">
        <f>VLOOKUP(F115,Eras!$A$2:$C$12, 2, TRUE)</f>
        <v>dsl</v>
      </c>
      <c r="AT115" t="s">
        <v>420</v>
      </c>
      <c r="AU115" t="str">
        <f t="shared" si="5"/>
        <v>dsl_Express (Electric)</v>
      </c>
      <c r="AV115" t="s">
        <v>618</v>
      </c>
    </row>
    <row r="116" spans="1:48" x14ac:dyDescent="0.25">
      <c r="A116" t="s">
        <v>620</v>
      </c>
      <c r="B116" t="s">
        <v>621</v>
      </c>
      <c r="C116" t="s">
        <v>187</v>
      </c>
      <c r="E116" t="s">
        <v>347</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FALSE),IF(AG116&lt;&gt;"",CONCATENATE(",",VLOOKUP(AG116,$B$2:$AH$216,33,FALSE)),""))</f>
        <v>3,3,5</v>
      </c>
      <c r="AN116">
        <v>10</v>
      </c>
      <c r="AO116">
        <v>10</v>
      </c>
      <c r="AS116" t="str">
        <f>VLOOKUP(F116,Eras!$A$2:$C$12, 2, TRUE)</f>
        <v>dsl</v>
      </c>
      <c r="AT116" t="s">
        <v>413</v>
      </c>
      <c r="AU116" t="str">
        <f t="shared" si="5"/>
        <v>dsl_DMU</v>
      </c>
    </row>
    <row r="117" spans="1:48" x14ac:dyDescent="0.25">
      <c r="A117" t="s">
        <v>121</v>
      </c>
      <c r="B117" t="s">
        <v>249</v>
      </c>
      <c r="C117" t="s">
        <v>187</v>
      </c>
      <c r="E117" t="s">
        <v>347</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FALSE),IF(AG117&lt;&gt;"",CONCATENATE(",",VLOOKUP(AG117,$B$2:$AH$216,33,FALSE)),""))</f>
        <v>na</v>
      </c>
      <c r="AN117">
        <v>10</v>
      </c>
      <c r="AO117">
        <v>10</v>
      </c>
      <c r="AS117" t="str">
        <f>VLOOKUP(F117,Eras!$A$2:$C$12, 2, TRUE)</f>
        <v>dsl</v>
      </c>
      <c r="AT117" t="s">
        <v>427</v>
      </c>
      <c r="AU117" t="str">
        <f t="shared" si="5"/>
        <v>dsl_LU</v>
      </c>
    </row>
    <row r="118" spans="1:48" x14ac:dyDescent="0.25">
      <c r="A118" t="s">
        <v>51</v>
      </c>
      <c r="B118" t="s">
        <v>334</v>
      </c>
      <c r="C118" t="s">
        <v>335</v>
      </c>
      <c r="D118" t="s">
        <v>345</v>
      </c>
      <c r="E118" t="s">
        <v>347</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FALSE),IF(AG118&lt;&gt;"",CONCATENATE(",",VLOOKUP(AG118,$B$2:$AH$216,33,FALSE)),""))</f>
        <v>3,3,5</v>
      </c>
      <c r="AN118">
        <v>10</v>
      </c>
      <c r="AO118">
        <v>10</v>
      </c>
      <c r="AS118" t="str">
        <f>VLOOKUP(F118,Eras!$A$2:$C$12, 2, TRUE)</f>
        <v>dsl</v>
      </c>
      <c r="AT118" t="s">
        <v>411</v>
      </c>
      <c r="AU118" t="str">
        <f t="shared" si="5"/>
        <v>dsl_Freight</v>
      </c>
      <c r="AV118" t="s">
        <v>442</v>
      </c>
    </row>
    <row r="119" spans="1:48" x14ac:dyDescent="0.25">
      <c r="A119" t="s">
        <v>59</v>
      </c>
      <c r="B119" t="s">
        <v>623</v>
      </c>
      <c r="C119" t="s">
        <v>335</v>
      </c>
      <c r="D119" t="s">
        <v>345</v>
      </c>
      <c r="E119" t="s">
        <v>347</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FALSE),IF(AG119&lt;&gt;"",CONCATENATE(",",VLOOKUP(AG119,$B$2:$AH$216,33,FALSE)),""))</f>
        <v>3,3,6</v>
      </c>
      <c r="AN119">
        <v>10</v>
      </c>
      <c r="AO119">
        <v>10</v>
      </c>
      <c r="AS119" t="str">
        <f>VLOOKUP(F119,Eras!$A$2:$C$12, 2, TRUE)</f>
        <v>dsl</v>
      </c>
      <c r="AT119" t="s">
        <v>410</v>
      </c>
      <c r="AU119" t="str">
        <f t="shared" si="5"/>
        <v>dsl_Express</v>
      </c>
      <c r="AV119" t="s">
        <v>622</v>
      </c>
    </row>
    <row r="120" spans="1:48" x14ac:dyDescent="0.25">
      <c r="A120" t="s">
        <v>60</v>
      </c>
      <c r="B120" t="s">
        <v>625</v>
      </c>
      <c r="C120" t="s">
        <v>335</v>
      </c>
      <c r="D120" t="s">
        <v>345</v>
      </c>
      <c r="E120" t="s">
        <v>347</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FALSE),IF(AG120&lt;&gt;"",CONCATENATE(",",VLOOKUP(AG120,$B$2:$AH$216,33,FALSE)),""))</f>
        <v>2,2,5</v>
      </c>
      <c r="AN120">
        <v>10</v>
      </c>
      <c r="AO120">
        <v>10</v>
      </c>
      <c r="AS120" t="str">
        <f>VLOOKUP(F120,Eras!$A$2:$C$12, 2, TRUE)</f>
        <v>dsl</v>
      </c>
      <c r="AT120" t="s">
        <v>409</v>
      </c>
      <c r="AU120" t="str">
        <f t="shared" si="5"/>
        <v>dsl_Mixed Traffic</v>
      </c>
      <c r="AV120" t="s">
        <v>624</v>
      </c>
    </row>
    <row r="121" spans="1:48" x14ac:dyDescent="0.25">
      <c r="A121" t="s">
        <v>164</v>
      </c>
      <c r="B121" t="s">
        <v>306</v>
      </c>
      <c r="C121" t="s">
        <v>497</v>
      </c>
      <c r="D121" t="s">
        <v>345</v>
      </c>
      <c r="E121" t="s">
        <v>347</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FALSE),IF(AG121&lt;&gt;"",CONCATENATE(",",VLOOKUP(AG121,$B$2:$AH$216,33,FALSE)),""))</f>
        <v>3,3,6</v>
      </c>
      <c r="AI121" t="s">
        <v>626</v>
      </c>
      <c r="AK121" t="s">
        <v>627</v>
      </c>
      <c r="AN121">
        <v>10</v>
      </c>
      <c r="AO121">
        <v>10</v>
      </c>
      <c r="AS121" t="str">
        <f>VLOOKUP(F121,Eras!$A$2:$C$12, 2, TRUE)</f>
        <v>dsl</v>
      </c>
      <c r="AT121" t="s">
        <v>414</v>
      </c>
      <c r="AU121" t="str">
        <f t="shared" si="5"/>
        <v>dsl_DMU (Express)</v>
      </c>
      <c r="AV121" t="s">
        <v>628</v>
      </c>
    </row>
    <row r="122" spans="1:48" x14ac:dyDescent="0.25">
      <c r="A122" t="s">
        <v>83</v>
      </c>
      <c r="B122" t="s">
        <v>286</v>
      </c>
      <c r="C122" t="s">
        <v>497</v>
      </c>
      <c r="D122" t="s">
        <v>345</v>
      </c>
      <c r="E122" t="s">
        <v>347</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FALSE),IF(AG122&lt;&gt;"",CONCATENATE(",",VLOOKUP(AG122,$B$2:$AH$216,33,FALSE)),""))</f>
        <v>3,3,6</v>
      </c>
      <c r="AI122" t="s">
        <v>286</v>
      </c>
      <c r="AK122">
        <v>1</v>
      </c>
      <c r="AN122">
        <v>10</v>
      </c>
      <c r="AO122">
        <v>10</v>
      </c>
      <c r="AR122" t="s">
        <v>356</v>
      </c>
      <c r="AS122" t="str">
        <f>VLOOKUP(F122,Eras!$A$2:$C$12, 2, TRUE)</f>
        <v>dsl</v>
      </c>
      <c r="AT122" t="s">
        <v>413</v>
      </c>
      <c r="AU122" t="str">
        <f t="shared" si="5"/>
        <v>dsl_DMU</v>
      </c>
      <c r="AV122" t="s">
        <v>629</v>
      </c>
    </row>
    <row r="123" spans="1:48" x14ac:dyDescent="0.25">
      <c r="A123" t="s">
        <v>122</v>
      </c>
      <c r="B123" t="s">
        <v>250</v>
      </c>
      <c r="C123" t="s">
        <v>187</v>
      </c>
      <c r="E123" t="s">
        <v>347</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FALSE),IF(AG123&lt;&gt;"",CONCATENATE(",",VLOOKUP(AG123,$B$2:$AH$216,33,FALSE)),""))</f>
        <v>na</v>
      </c>
      <c r="AN123">
        <v>10</v>
      </c>
      <c r="AO123">
        <v>10</v>
      </c>
      <c r="AS123" t="str">
        <f>VLOOKUP(F123,Eras!$A$2:$C$12, 2, TRUE)</f>
        <v>dsl</v>
      </c>
      <c r="AT123" t="s">
        <v>427</v>
      </c>
      <c r="AU123" t="str">
        <f t="shared" si="5"/>
        <v>dsl_LU</v>
      </c>
    </row>
    <row r="124" spans="1:48" x14ac:dyDescent="0.25">
      <c r="A124" t="s">
        <v>46</v>
      </c>
      <c r="B124" t="s">
        <v>219</v>
      </c>
      <c r="C124" t="s">
        <v>335</v>
      </c>
      <c r="D124" t="s">
        <v>345</v>
      </c>
      <c r="E124" t="s">
        <v>347</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FALSE),IF(AG124&lt;&gt;"",CONCATENATE(",",VLOOKUP(AG124,$B$2:$AH$216,33,FALSE)),""))</f>
        <v>2,2,5</v>
      </c>
      <c r="AN124">
        <v>10</v>
      </c>
      <c r="AO124">
        <v>10</v>
      </c>
      <c r="AS124" t="str">
        <f>VLOOKUP(F124,Eras!$A$2:$C$12, 2, TRUE)</f>
        <v>dsl</v>
      </c>
      <c r="AT124" t="s">
        <v>409</v>
      </c>
      <c r="AU124" t="str">
        <f t="shared" si="5"/>
        <v>dsl_Mixed Traffic</v>
      </c>
      <c r="AV124" t="s">
        <v>630</v>
      </c>
    </row>
    <row r="125" spans="1:48" x14ac:dyDescent="0.25">
      <c r="A125" t="s">
        <v>48</v>
      </c>
      <c r="B125" t="s">
        <v>220</v>
      </c>
      <c r="C125" t="s">
        <v>335</v>
      </c>
      <c r="D125" t="s">
        <v>345</v>
      </c>
      <c r="E125" t="s">
        <v>347</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FALSE),IF(AG125&lt;&gt;"",CONCATENATE(",",VLOOKUP(AG125,$B$2:$AH$216,33,FALSE)),""))</f>
        <v>3,3,6</v>
      </c>
      <c r="AN125">
        <v>10</v>
      </c>
      <c r="AO125">
        <v>10</v>
      </c>
      <c r="AS125" t="str">
        <f>VLOOKUP(F125,Eras!$A$2:$C$12, 2, TRUE)</f>
        <v>dsl</v>
      </c>
      <c r="AT125" t="s">
        <v>409</v>
      </c>
      <c r="AU125" t="str">
        <f t="shared" si="5"/>
        <v>dsl_Mixed Traffic</v>
      </c>
      <c r="AV125" t="s">
        <v>631</v>
      </c>
    </row>
    <row r="126" spans="1:48" x14ac:dyDescent="0.25">
      <c r="A126" t="s">
        <v>58</v>
      </c>
      <c r="B126" t="s">
        <v>379</v>
      </c>
      <c r="C126" t="s">
        <v>335</v>
      </c>
      <c r="D126" t="s">
        <v>345</v>
      </c>
      <c r="E126" t="s">
        <v>347</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FALSE),IF(AG126&lt;&gt;"",CONCATENATE(",",VLOOKUP(AG126,$B$2:$AH$216,33,FALSE)),""))</f>
        <v>2,2,5</v>
      </c>
      <c r="AN126">
        <v>10</v>
      </c>
      <c r="AO126">
        <v>10</v>
      </c>
      <c r="AS126" t="str">
        <f>VLOOKUP(F126,Eras!$A$2:$C$12, 2, TRUE)</f>
        <v>dsl</v>
      </c>
      <c r="AT126" t="s">
        <v>411</v>
      </c>
      <c r="AU126" t="str">
        <f t="shared" si="5"/>
        <v>dsl_Freight</v>
      </c>
      <c r="AV126" t="s">
        <v>632</v>
      </c>
    </row>
    <row r="127" spans="1:48" x14ac:dyDescent="0.25">
      <c r="A127" t="s">
        <v>637</v>
      </c>
      <c r="B127" t="s">
        <v>221</v>
      </c>
      <c r="C127" t="s">
        <v>335</v>
      </c>
      <c r="D127" t="s">
        <v>345</v>
      </c>
      <c r="E127" t="s">
        <v>347</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FALSE),IF(AG127&lt;&gt;"",CONCATENATE(",",VLOOKUP(AG127,$B$2:$AH$216,33,FALSE)),""))</f>
        <v>3,3,5</v>
      </c>
      <c r="AN127">
        <v>10</v>
      </c>
      <c r="AO127">
        <v>10</v>
      </c>
      <c r="AS127" t="str">
        <f>VLOOKUP(F127,Eras!$A$2:$C$12, 2, TRUE)</f>
        <v>dsl</v>
      </c>
      <c r="AT127" t="s">
        <v>411</v>
      </c>
      <c r="AU127" t="str">
        <f t="shared" si="5"/>
        <v>dsl_Freight</v>
      </c>
      <c r="AV127" t="s">
        <v>636</v>
      </c>
    </row>
    <row r="128" spans="1:48" x14ac:dyDescent="0.25">
      <c r="A128" t="s">
        <v>63</v>
      </c>
      <c r="B128" t="s">
        <v>222</v>
      </c>
      <c r="C128" t="s">
        <v>335</v>
      </c>
      <c r="D128" t="s">
        <v>345</v>
      </c>
      <c r="E128" t="s">
        <v>347</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FALSE),IF(AG128&lt;&gt;"",CONCATENATE(",",VLOOKUP(AG128,$B$2:$AH$216,33,FALSE)),""))</f>
        <v>2,2,5</v>
      </c>
      <c r="AN128">
        <v>10</v>
      </c>
      <c r="AO128">
        <v>10</v>
      </c>
      <c r="AS128" t="str">
        <f>VLOOKUP(F128,Eras!$A$2:$C$12, 2, TRUE)</f>
        <v>dsl</v>
      </c>
      <c r="AT128" t="s">
        <v>408</v>
      </c>
      <c r="AU128" t="str">
        <f t="shared" si="5"/>
        <v>dsl_Cheap</v>
      </c>
      <c r="AV128" t="s">
        <v>638</v>
      </c>
    </row>
    <row r="129" spans="1:48" x14ac:dyDescent="0.25">
      <c r="A129" t="s">
        <v>62</v>
      </c>
      <c r="B129" t="s">
        <v>639</v>
      </c>
      <c r="C129" t="s">
        <v>335</v>
      </c>
      <c r="D129" t="s">
        <v>345</v>
      </c>
      <c r="E129" t="s">
        <v>347</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FALSE),IF(AG129&lt;&gt;"",CONCATENATE(",",VLOOKUP(AG129,$B$2:$AH$216,33,FALSE)),""))</f>
        <v>2,2,2</v>
      </c>
      <c r="AM129">
        <v>1</v>
      </c>
      <c r="AN129">
        <v>10</v>
      </c>
      <c r="AO129">
        <v>10</v>
      </c>
      <c r="AS129" t="str">
        <f>VLOOKUP(F129,Eras!$A$2:$C$12, 2, TRUE)</f>
        <v>dsl</v>
      </c>
      <c r="AT129" t="s">
        <v>408</v>
      </c>
      <c r="AU129" t="str">
        <f t="shared" si="5"/>
        <v>dsl_Cheap</v>
      </c>
      <c r="AV129" t="s">
        <v>640</v>
      </c>
    </row>
    <row r="130" spans="1:48" x14ac:dyDescent="0.25">
      <c r="A130" t="s">
        <v>64</v>
      </c>
      <c r="B130" t="s">
        <v>320</v>
      </c>
      <c r="C130" t="s">
        <v>335</v>
      </c>
      <c r="D130" t="s">
        <v>641</v>
      </c>
      <c r="E130" t="s">
        <v>347</v>
      </c>
      <c r="F130">
        <v>1965</v>
      </c>
      <c r="G130">
        <v>1967</v>
      </c>
      <c r="J130">
        <v>1420</v>
      </c>
      <c r="K130">
        <v>600</v>
      </c>
      <c r="S130">
        <v>76.3</v>
      </c>
      <c r="V130">
        <v>186</v>
      </c>
      <c r="W130" s="4">
        <f t="shared" ref="W130:W197" si="6">IF(AND(S130&gt;0,V130&gt;0),(V130/((S130+T130)*10)),"")</f>
        <v>0.24377457404980341</v>
      </c>
      <c r="X130">
        <v>80</v>
      </c>
      <c r="Z130">
        <v>16.36</v>
      </c>
      <c r="AA130">
        <v>16.36</v>
      </c>
      <c r="AE130" t="str">
        <f>CONCATENATE(VLOOKUP(AF130, 'Voxel Sizes'!$A$2:$B$18,2,FALSE),"x",INT(AB130*15), "x", INT(AC130*15))</f>
        <v>164x0x0</v>
      </c>
      <c r="AF130">
        <f t="shared" ref="AF130:AF197" si="7">ROUND(15*((AA130*10)/256),0)</f>
        <v>10</v>
      </c>
      <c r="AH130" t="str">
        <f>CONCATENATE(VLOOKUP(AF130,'Articulated Lengths'!$A$2:$C$16,IF(AG130&lt;&gt;"", 3, 2), FALSE),IF(AG130&lt;&gt;"",CONCATENATE(",",VLOOKUP(AG130,$B$2:$AH$216,33,FALSE)),""))</f>
        <v>3,3,4</v>
      </c>
      <c r="AN130">
        <v>10</v>
      </c>
      <c r="AO130">
        <v>10</v>
      </c>
      <c r="AS130" t="str">
        <f>VLOOKUP(F130,Eras!$A$2:$C$12, 2, TRUE)</f>
        <v>gen2</v>
      </c>
      <c r="AU130" t="str">
        <f t="shared" ref="AU130:AU197" si="8">CONCATENATE(AS130,"_",AT130)</f>
        <v>gen2_</v>
      </c>
      <c r="AV130" t="s">
        <v>643</v>
      </c>
    </row>
    <row r="131" spans="1:48" x14ac:dyDescent="0.25">
      <c r="A131" t="s">
        <v>71</v>
      </c>
      <c r="B131" t="s">
        <v>321</v>
      </c>
      <c r="C131" t="s">
        <v>335</v>
      </c>
      <c r="D131" t="s">
        <v>369</v>
      </c>
      <c r="E131" t="s">
        <v>370</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FALSE),IF(AG131&lt;&gt;"",CONCATENATE(",",VLOOKUP(AG131,$B$2:$AH$216,33,FALSE)),""))</f>
        <v>3,3,4</v>
      </c>
      <c r="AN131">
        <v>10</v>
      </c>
      <c r="AO131">
        <v>10</v>
      </c>
      <c r="AS131" t="str">
        <f>VLOOKUP(F131,Eras!$A$2:$C$12, 2, TRUE)</f>
        <v>gen2</v>
      </c>
      <c r="AT131" t="s">
        <v>420</v>
      </c>
      <c r="AU131" t="str">
        <f t="shared" si="8"/>
        <v>gen2_Express (Electric)</v>
      </c>
      <c r="AV131" t="s">
        <v>619</v>
      </c>
    </row>
    <row r="132" spans="1:48" x14ac:dyDescent="0.25">
      <c r="A132" t="s">
        <v>54</v>
      </c>
      <c r="B132" t="s">
        <v>223</v>
      </c>
      <c r="C132" t="s">
        <v>335</v>
      </c>
      <c r="D132" t="s">
        <v>345</v>
      </c>
      <c r="E132" t="s">
        <v>347</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FALSE),IF(AG132&lt;&gt;"",CONCATENATE(",",VLOOKUP(AG132,$B$2:$AH$216,33,FALSE)),""))</f>
        <v>3,3,6</v>
      </c>
      <c r="AN132">
        <v>10</v>
      </c>
      <c r="AO132">
        <v>10</v>
      </c>
      <c r="AS132" t="str">
        <f>VLOOKUP(F132,Eras!$A$2:$C$12, 2, TRUE)</f>
        <v>gen2</v>
      </c>
      <c r="AT132" t="s">
        <v>410</v>
      </c>
      <c r="AU132" t="str">
        <f t="shared" si="8"/>
        <v>gen2_Express</v>
      </c>
      <c r="AV132" t="s">
        <v>644</v>
      </c>
    </row>
    <row r="133" spans="1:48" x14ac:dyDescent="0.25">
      <c r="A133" t="s">
        <v>123</v>
      </c>
      <c r="B133" t="s">
        <v>251</v>
      </c>
      <c r="C133" t="s">
        <v>187</v>
      </c>
      <c r="E133" t="s">
        <v>347</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FALSE),IF(AG133&lt;&gt;"",CONCATENATE(",",VLOOKUP(AG133,$B$2:$AH$216,33,FALSE)),""))</f>
        <v>na</v>
      </c>
      <c r="AN133">
        <v>10</v>
      </c>
      <c r="AO133">
        <v>10</v>
      </c>
      <c r="AS133" t="str">
        <f>VLOOKUP(F133,Eras!$A$2:$C$12, 2, TRUE)</f>
        <v>gen2</v>
      </c>
      <c r="AT133" t="s">
        <v>427</v>
      </c>
      <c r="AU133" t="str">
        <f t="shared" si="8"/>
        <v>gen2_LU</v>
      </c>
    </row>
    <row r="134" spans="1:48" x14ac:dyDescent="0.25">
      <c r="A134" t="s">
        <v>124</v>
      </c>
      <c r="B134" t="s">
        <v>252</v>
      </c>
      <c r="C134" t="s">
        <v>187</v>
      </c>
      <c r="E134" t="s">
        <v>347</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FALSE),IF(AG134&lt;&gt;"",CONCATENATE(",",VLOOKUP(AG134,$B$2:$AH$216,33,FALSE)),""))</f>
        <v>na</v>
      </c>
      <c r="AN134">
        <v>10</v>
      </c>
      <c r="AO134">
        <v>10</v>
      </c>
      <c r="AS134" t="str">
        <f>VLOOKUP(F134,Eras!$A$2:$C$12, 2, TRUE)</f>
        <v>gen2</v>
      </c>
      <c r="AT134" t="s">
        <v>427</v>
      </c>
      <c r="AU134" t="str">
        <f t="shared" si="8"/>
        <v>gen2_LU</v>
      </c>
    </row>
    <row r="135" spans="1:48" x14ac:dyDescent="0.25">
      <c r="A135" t="s">
        <v>72</v>
      </c>
      <c r="B135" t="s">
        <v>224</v>
      </c>
      <c r="C135" t="s">
        <v>335</v>
      </c>
      <c r="D135" t="s">
        <v>369</v>
      </c>
      <c r="E135" t="s">
        <v>347</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FALSE),IF(AG135&lt;&gt;"",CONCATENATE(",",VLOOKUP(AG135,$B$2:$AH$216,33,FALSE)),""))</f>
        <v>3,3,4</v>
      </c>
      <c r="AN135">
        <v>10</v>
      </c>
      <c r="AO135">
        <v>10</v>
      </c>
      <c r="AS135" t="str">
        <f>VLOOKUP(F135,Eras!$A$2:$C$12, 2, TRUE)</f>
        <v>gen2</v>
      </c>
      <c r="AT135" t="s">
        <v>420</v>
      </c>
      <c r="AU135" t="str">
        <f t="shared" si="8"/>
        <v>gen2_Express (Electric)</v>
      </c>
      <c r="AV135" t="s">
        <v>645</v>
      </c>
    </row>
    <row r="136" spans="1:48" x14ac:dyDescent="0.25">
      <c r="A136" t="s">
        <v>125</v>
      </c>
      <c r="B136" t="s">
        <v>253</v>
      </c>
      <c r="C136" t="s">
        <v>187</v>
      </c>
      <c r="E136" t="s">
        <v>347</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FALSE),IF(AG136&lt;&gt;"",CONCATENATE(",",VLOOKUP(AG136,$B$2:$AH$216,33,FALSE)),""))</f>
        <v>na</v>
      </c>
      <c r="AN136">
        <v>10</v>
      </c>
      <c r="AO136">
        <v>10</v>
      </c>
      <c r="AS136" t="str">
        <f>VLOOKUP(F136,Eras!$A$2:$C$12, 2, TRUE)</f>
        <v>gen2</v>
      </c>
      <c r="AT136" t="s">
        <v>427</v>
      </c>
      <c r="AU136" t="str">
        <f t="shared" si="8"/>
        <v>gen2_LU</v>
      </c>
    </row>
    <row r="137" spans="1:48" x14ac:dyDescent="0.25">
      <c r="A137" t="s">
        <v>45</v>
      </c>
      <c r="B137" t="s">
        <v>380</v>
      </c>
      <c r="C137" t="s">
        <v>335</v>
      </c>
      <c r="D137" t="s">
        <v>345</v>
      </c>
      <c r="E137" t="s">
        <v>347</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FALSE),IF(AG137&lt;&gt;"",CONCATENATE(",",VLOOKUP(AG137,$B$2:$AH$216,33,FALSE)),""))</f>
        <v>3,3,4</v>
      </c>
      <c r="AN137">
        <v>10</v>
      </c>
      <c r="AO137">
        <v>10</v>
      </c>
      <c r="AP137">
        <v>1</v>
      </c>
      <c r="AS137" t="str">
        <f>VLOOKUP(F137,Eras!$A$2:$C$12, 2, TRUE)</f>
        <v>gen3</v>
      </c>
      <c r="AT137" t="s">
        <v>410</v>
      </c>
      <c r="AU137" t="str">
        <f t="shared" si="8"/>
        <v>gen3_Express</v>
      </c>
      <c r="AV137" t="s">
        <v>448</v>
      </c>
    </row>
    <row r="138" spans="1:48" x14ac:dyDescent="0.25">
      <c r="A138" t="s">
        <v>139</v>
      </c>
      <c r="B138" t="s">
        <v>332</v>
      </c>
      <c r="C138" t="s">
        <v>354</v>
      </c>
      <c r="E138" t="s">
        <v>347</v>
      </c>
      <c r="F138">
        <v>1975</v>
      </c>
      <c r="S138">
        <v>34</v>
      </c>
      <c r="U138">
        <v>9</v>
      </c>
      <c r="W138" s="4" t="str">
        <f t="shared" si="6"/>
        <v/>
      </c>
      <c r="X138">
        <v>125</v>
      </c>
      <c r="Z138">
        <v>23</v>
      </c>
      <c r="AA138">
        <v>23</v>
      </c>
      <c r="AB138">
        <v>2.82</v>
      </c>
      <c r="AC138">
        <v>3.79</v>
      </c>
      <c r="AD138">
        <v>72</v>
      </c>
      <c r="AE138" t="str">
        <f>CONCATENATE(VLOOKUP(AF138, 'Voxel Sizes'!$A$2:$B$18,2,FALSE),"x",INT(AB138*15), "x", INT(AC138*15))</f>
        <v>214x42x56</v>
      </c>
      <c r="AF138">
        <f t="shared" si="7"/>
        <v>13</v>
      </c>
      <c r="AH138" t="str">
        <f>CONCATENATE(VLOOKUP(AF138,'Articulated Lengths'!$A$2:$C$16,IF(AG138&lt;&gt;"", 3, 2), FALSE),IF(AG138&lt;&gt;"",CONCATENATE(",",VLOOKUP(AG138,$B$2:$AH$216,33,FALSE)),""))</f>
        <v>4,4,5</v>
      </c>
      <c r="AN138">
        <v>10</v>
      </c>
      <c r="AO138">
        <v>10</v>
      </c>
      <c r="AR138" t="s">
        <v>356</v>
      </c>
      <c r="AS138" t="str">
        <f>VLOOKUP(F138,Eras!$A$2:$C$12, 2, TRUE)</f>
        <v>gen3</v>
      </c>
      <c r="AT138" t="s">
        <v>417</v>
      </c>
      <c r="AU138" t="str">
        <f t="shared" si="8"/>
        <v>gen3_Carriage</v>
      </c>
      <c r="AV138" t="s">
        <v>444</v>
      </c>
    </row>
    <row r="139" spans="1:48" x14ac:dyDescent="0.25">
      <c r="A139" t="s">
        <v>646</v>
      </c>
      <c r="B139" t="s">
        <v>648</v>
      </c>
      <c r="C139" t="s">
        <v>335</v>
      </c>
      <c r="D139" t="s">
        <v>345</v>
      </c>
      <c r="E139" t="s">
        <v>347</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FALSE),IF(AG139&lt;&gt;"",CONCATENATE(",",VLOOKUP(AG139,$B$2:$AH$216,33,FALSE)),""))</f>
        <v>3,3,5</v>
      </c>
      <c r="AN139">
        <v>10</v>
      </c>
      <c r="AO139">
        <v>10</v>
      </c>
      <c r="AS139" t="str">
        <f>VLOOKUP(F139,Eras!$A$2:$C$12, 2, TRUE)</f>
        <v>gen3</v>
      </c>
      <c r="AT139" t="s">
        <v>411</v>
      </c>
      <c r="AU139" t="str">
        <f t="shared" si="8"/>
        <v>gen3_Freight</v>
      </c>
      <c r="AV139" t="s">
        <v>647</v>
      </c>
    </row>
    <row r="140" spans="1:48" x14ac:dyDescent="0.25">
      <c r="A140" t="s">
        <v>90</v>
      </c>
      <c r="B140" t="s">
        <v>235</v>
      </c>
      <c r="C140" t="s">
        <v>497</v>
      </c>
      <c r="D140" t="s">
        <v>652</v>
      </c>
      <c r="E140" t="s">
        <v>651</v>
      </c>
      <c r="F140">
        <v>1976</v>
      </c>
      <c r="G140">
        <v>1977</v>
      </c>
      <c r="H140" t="s">
        <v>170</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FALSE),IF(AG140&lt;&gt;"",CONCATENATE(",",VLOOKUP(AG140,$B$2:$AH$216,33,FALSE)),""))</f>
        <v>3,3,6</v>
      </c>
      <c r="AI140" t="s">
        <v>649</v>
      </c>
      <c r="AJ140" t="s">
        <v>654</v>
      </c>
      <c r="AK140" t="s">
        <v>365</v>
      </c>
      <c r="AN140">
        <v>10</v>
      </c>
      <c r="AO140">
        <v>10</v>
      </c>
      <c r="AR140" t="s">
        <v>356</v>
      </c>
      <c r="AS140" t="str">
        <f>VLOOKUP(F140,Eras!$A$2:$C$12, 2, TRUE)</f>
        <v>gen3</v>
      </c>
      <c r="AT140" t="s">
        <v>415</v>
      </c>
      <c r="AU140" t="str">
        <f t="shared" si="8"/>
        <v>gen3_EMU</v>
      </c>
      <c r="AV140" t="s">
        <v>650</v>
      </c>
    </row>
    <row r="141" spans="1:48" x14ac:dyDescent="0.25">
      <c r="A141" t="s">
        <v>126</v>
      </c>
      <c r="B141" t="s">
        <v>254</v>
      </c>
      <c r="C141" t="s">
        <v>187</v>
      </c>
      <c r="E141" t="s">
        <v>347</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FALSE),IF(AG141&lt;&gt;"",CONCATENATE(",",VLOOKUP(AG141,$B$2:$AH$216,33,FALSE)),""))</f>
        <v>na</v>
      </c>
      <c r="AN141">
        <v>10</v>
      </c>
      <c r="AO141">
        <v>10</v>
      </c>
      <c r="AS141" t="str">
        <f>VLOOKUP(F141,Eras!$A$2:$C$12, 2, TRUE)</f>
        <v>gen3</v>
      </c>
      <c r="AT141" t="s">
        <v>427</v>
      </c>
      <c r="AU141" t="str">
        <f t="shared" si="8"/>
        <v>gen3_LU</v>
      </c>
    </row>
    <row r="142" spans="1:48" x14ac:dyDescent="0.25">
      <c r="A142" t="s">
        <v>89</v>
      </c>
      <c r="B142" t="s">
        <v>234</v>
      </c>
      <c r="C142" t="s">
        <v>497</v>
      </c>
      <c r="D142" t="s">
        <v>369</v>
      </c>
      <c r="E142" t="s">
        <v>370</v>
      </c>
      <c r="F142">
        <v>1980</v>
      </c>
      <c r="G142">
        <v>1981</v>
      </c>
      <c r="H142" t="s">
        <v>170</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FALSE),IF(AG142&lt;&gt;"",CONCATENATE(",",VLOOKUP(AG142,$B$2:$AH$216,33,FALSE)),""))</f>
        <v>3,3,6</v>
      </c>
      <c r="AI142" t="s">
        <v>657</v>
      </c>
      <c r="AK142" t="s">
        <v>655</v>
      </c>
      <c r="AN142">
        <v>10</v>
      </c>
      <c r="AO142">
        <v>10</v>
      </c>
      <c r="AR142" t="s">
        <v>356</v>
      </c>
      <c r="AS142" t="str">
        <f>VLOOKUP(F142,Eras!$A$2:$C$12, 2, TRUE)</f>
        <v>gen3</v>
      </c>
      <c r="AT142" t="s">
        <v>415</v>
      </c>
      <c r="AU142" t="str">
        <f t="shared" si="8"/>
        <v>gen3_EMU</v>
      </c>
      <c r="AV142" t="s">
        <v>656</v>
      </c>
    </row>
    <row r="143" spans="1:48" x14ac:dyDescent="0.25">
      <c r="A143" t="s">
        <v>55</v>
      </c>
      <c r="B143" t="s">
        <v>659</v>
      </c>
      <c r="C143" t="s">
        <v>335</v>
      </c>
      <c r="D143" t="s">
        <v>345</v>
      </c>
      <c r="E143" t="s">
        <v>347</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FALSE),IF(AG143&lt;&gt;"",CONCATENATE(",",VLOOKUP(AG143,$B$2:$AH$216,33,FALSE)),""))</f>
        <v>3,3,5</v>
      </c>
      <c r="AN143">
        <v>10</v>
      </c>
      <c r="AO143">
        <v>10</v>
      </c>
      <c r="AS143" t="str">
        <f>VLOOKUP(F143,Eras!$A$2:$C$12, 2, TRUE)</f>
        <v>gen3</v>
      </c>
      <c r="AT143" t="s">
        <v>411</v>
      </c>
      <c r="AU143" t="str">
        <f t="shared" si="8"/>
        <v>gen3_Freight</v>
      </c>
      <c r="AV143" t="s">
        <v>658</v>
      </c>
    </row>
    <row r="144" spans="1:48" x14ac:dyDescent="0.25">
      <c r="A144" t="s">
        <v>127</v>
      </c>
      <c r="B144" t="s">
        <v>255</v>
      </c>
      <c r="C144" t="s">
        <v>187</v>
      </c>
      <c r="E144" t="s">
        <v>347</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FALSE),IF(AG144&lt;&gt;"",CONCATENATE(",",VLOOKUP(AG144,$B$2:$AH$216,33,FALSE)),""))</f>
        <v>na</v>
      </c>
      <c r="AN144">
        <v>10</v>
      </c>
      <c r="AO144">
        <v>10</v>
      </c>
      <c r="AS144" t="str">
        <f>VLOOKUP(F144,Eras!$A$2:$C$12, 2, TRUE)</f>
        <v>gen3</v>
      </c>
      <c r="AT144" t="s">
        <v>427</v>
      </c>
      <c r="AU144" t="str">
        <f t="shared" si="8"/>
        <v>gen3_LU</v>
      </c>
    </row>
    <row r="145" spans="1:48" x14ac:dyDescent="0.25">
      <c r="A145" t="s">
        <v>44</v>
      </c>
      <c r="B145" t="s">
        <v>225</v>
      </c>
      <c r="C145" t="s">
        <v>335</v>
      </c>
      <c r="D145" t="s">
        <v>345</v>
      </c>
      <c r="E145" t="s">
        <v>347</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214x0x58</v>
      </c>
      <c r="AF145">
        <f t="shared" si="7"/>
        <v>13</v>
      </c>
      <c r="AH145" t="str">
        <f>CONCATENATE(VLOOKUP(AF145,'Articulated Lengths'!$A$2:$C$16,IF(AG145&lt;&gt;"", 3, 2), FALSE),IF(AG145&lt;&gt;"",CONCATENATE(",",VLOOKUP(AG145,$B$2:$AH$216,33,FALSE)),""))</f>
        <v>4,4,5</v>
      </c>
      <c r="AN145">
        <v>10</v>
      </c>
      <c r="AO145">
        <v>10</v>
      </c>
      <c r="AS145" t="str">
        <f>VLOOKUP(F145,Eras!$A$2:$C$12, 2, TRUE)</f>
        <v>gen4</v>
      </c>
      <c r="AT145" t="s">
        <v>411</v>
      </c>
      <c r="AU145" t="str">
        <f t="shared" si="8"/>
        <v>gen4_Freight</v>
      </c>
      <c r="AV145" t="s">
        <v>660</v>
      </c>
    </row>
    <row r="146" spans="1:48" x14ac:dyDescent="0.25">
      <c r="A146" t="s">
        <v>76</v>
      </c>
      <c r="B146" t="s">
        <v>226</v>
      </c>
      <c r="C146" t="s">
        <v>335</v>
      </c>
      <c r="D146" t="s">
        <v>369</v>
      </c>
      <c r="E146" t="s">
        <v>347</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FALSE),IF(AG146&lt;&gt;"",CONCATENATE(",",VLOOKUP(AG146,$B$2:$AH$216,33,FALSE)),""))</f>
        <v>3,3,5</v>
      </c>
      <c r="AN146">
        <v>10</v>
      </c>
      <c r="AO146">
        <v>10</v>
      </c>
      <c r="AS146" t="str">
        <f>VLOOKUP(F146,Eras!$A$2:$C$12, 2, TRUE)</f>
        <v>gen4</v>
      </c>
      <c r="AT146" t="s">
        <v>410</v>
      </c>
      <c r="AU146" t="str">
        <f t="shared" si="8"/>
        <v>gen4_Express</v>
      </c>
      <c r="AV146" t="s">
        <v>663</v>
      </c>
    </row>
    <row r="147" spans="1:48" x14ac:dyDescent="0.25">
      <c r="A147" t="s">
        <v>88</v>
      </c>
      <c r="B147" t="s">
        <v>233</v>
      </c>
      <c r="C147" t="s">
        <v>497</v>
      </c>
      <c r="D147" t="s">
        <v>652</v>
      </c>
      <c r="E147" t="s">
        <v>651</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FALSE),IF(AG147&lt;&gt;"",CONCATENATE(",",VLOOKUP(AG147,$B$2:$AH$216,33,FALSE)),""))</f>
        <v>3,3,6</v>
      </c>
      <c r="AI147" t="s">
        <v>665</v>
      </c>
      <c r="AJ147" t="s">
        <v>666</v>
      </c>
      <c r="AK147" t="s">
        <v>655</v>
      </c>
      <c r="AN147">
        <v>10</v>
      </c>
      <c r="AO147">
        <v>10</v>
      </c>
      <c r="AR147" t="s">
        <v>356</v>
      </c>
      <c r="AS147" t="str">
        <f>VLOOKUP(F147,Eras!$A$2:$C$12, 2, TRUE)</f>
        <v>gen4</v>
      </c>
      <c r="AT147" t="s">
        <v>415</v>
      </c>
      <c r="AU147" t="str">
        <f t="shared" si="8"/>
        <v>gen4_EMU</v>
      </c>
      <c r="AV147" t="s">
        <v>664</v>
      </c>
    </row>
    <row r="148" spans="1:48" x14ac:dyDescent="0.25">
      <c r="A148" t="s">
        <v>140</v>
      </c>
      <c r="B148" t="s">
        <v>333</v>
      </c>
      <c r="C148" t="s">
        <v>354</v>
      </c>
      <c r="E148" t="s">
        <v>347</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214x42x56</v>
      </c>
      <c r="AF148">
        <f t="shared" ref="AF148" si="10">ROUND(15*((AA148*10)/256),0)</f>
        <v>13</v>
      </c>
      <c r="AH148" t="str">
        <f>CONCATENATE(VLOOKUP(AF148,'Articulated Lengths'!$A$2:$C$16,IF(AG148&lt;&gt;"", 3, 2), FALSE),IF(AG148&lt;&gt;"",CONCATENATE(",",VLOOKUP(AG148,$B$2:$AH$216,33,FALSE)),""))</f>
        <v>4,4,5</v>
      </c>
      <c r="AN148">
        <v>10</v>
      </c>
      <c r="AO148">
        <v>10</v>
      </c>
      <c r="AR148" t="s">
        <v>356</v>
      </c>
      <c r="AS148" t="str">
        <f>VLOOKUP(F148,Eras!$A$2:$C$12, 2, TRUE)</f>
        <v>gen4</v>
      </c>
      <c r="AT148" t="s">
        <v>417</v>
      </c>
      <c r="AU148" t="str">
        <f t="shared" ref="AU148" si="11">CONCATENATE(AS148,"_",AT148)</f>
        <v>gen4_Carriage</v>
      </c>
      <c r="AV148" t="s">
        <v>673</v>
      </c>
    </row>
    <row r="149" spans="1:48" x14ac:dyDescent="0.25">
      <c r="A149" t="s">
        <v>669</v>
      </c>
      <c r="B149" t="s">
        <v>305</v>
      </c>
      <c r="C149" t="s">
        <v>335</v>
      </c>
      <c r="D149" t="s">
        <v>369</v>
      </c>
      <c r="E149" t="s">
        <v>370</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FALSE),IF(AG149&lt;&gt;"",CONCATENATE(",",VLOOKUP(AG149,$B$2:$AH$216,33,FALSE)),""))</f>
        <v>3,3,5</v>
      </c>
      <c r="AN149">
        <v>10</v>
      </c>
      <c r="AO149">
        <v>10</v>
      </c>
      <c r="AS149" t="str">
        <f>VLOOKUP(F149,Eras!$A$2:$C$12, 2, TRUE)</f>
        <v>gen4</v>
      </c>
      <c r="AT149" t="s">
        <v>420</v>
      </c>
      <c r="AU149" t="str">
        <f t="shared" ref="AU149" si="14">CONCATENATE(AS149,"_",AT149)</f>
        <v>gen4_Express (Electric)</v>
      </c>
      <c r="AV149" t="s">
        <v>668</v>
      </c>
    </row>
    <row r="150" spans="1:48" x14ac:dyDescent="0.25">
      <c r="A150" t="s">
        <v>670</v>
      </c>
      <c r="B150" t="s">
        <v>672</v>
      </c>
      <c r="C150" t="s">
        <v>335</v>
      </c>
      <c r="D150" t="s">
        <v>369</v>
      </c>
      <c r="E150" t="s">
        <v>370</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FALSE),IF(AG150&lt;&gt;"",CONCATENATE(",",VLOOKUP(AG150,$B$2:$AH$216,33,FALSE)),""))</f>
        <v>3,3,5</v>
      </c>
      <c r="AN150">
        <v>10</v>
      </c>
      <c r="AO150">
        <v>10</v>
      </c>
      <c r="AP150">
        <v>1</v>
      </c>
      <c r="AQ150">
        <v>1</v>
      </c>
      <c r="AS150" t="str">
        <f>VLOOKUP(F150,Eras!$A$2:$C$12, 2, TRUE)</f>
        <v>gen4</v>
      </c>
      <c r="AT150" t="s">
        <v>420</v>
      </c>
      <c r="AU150" t="str">
        <f t="shared" si="8"/>
        <v>gen4_Express (Electric)</v>
      </c>
      <c r="AV150" t="s">
        <v>671</v>
      </c>
    </row>
    <row r="151" spans="1:48" x14ac:dyDescent="0.25">
      <c r="A151" t="s">
        <v>86</v>
      </c>
      <c r="B151" t="s">
        <v>312</v>
      </c>
      <c r="C151" t="s">
        <v>497</v>
      </c>
      <c r="D151" t="s">
        <v>369</v>
      </c>
      <c r="E151" t="s">
        <v>377</v>
      </c>
      <c r="F151">
        <v>1992</v>
      </c>
      <c r="G151">
        <v>1994</v>
      </c>
      <c r="H151" t="s">
        <v>170</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FALSE),IF(AG151&lt;&gt;"",CONCATENATE(",",VLOOKUP(AG151,$B$2:$AH$216,33,FALSE)),""))</f>
        <v>3,3,6</v>
      </c>
      <c r="AI151" t="s">
        <v>674</v>
      </c>
      <c r="AK151" t="s">
        <v>560</v>
      </c>
      <c r="AN151">
        <v>10</v>
      </c>
      <c r="AO151">
        <v>10</v>
      </c>
      <c r="AR151" t="s">
        <v>356</v>
      </c>
      <c r="AS151" t="str">
        <f>VLOOKUP(F151,Eras!$A$2:$C$12, 2, TRUE)</f>
        <v>gen4</v>
      </c>
      <c r="AT151" t="s">
        <v>415</v>
      </c>
      <c r="AU151" t="str">
        <f t="shared" si="8"/>
        <v>gen4_EMU</v>
      </c>
      <c r="AV151" t="s">
        <v>675</v>
      </c>
    </row>
    <row r="152" spans="1:48" x14ac:dyDescent="0.25">
      <c r="A152" t="s">
        <v>128</v>
      </c>
      <c r="B152" t="s">
        <v>256</v>
      </c>
      <c r="C152" t="s">
        <v>187</v>
      </c>
      <c r="E152" t="s">
        <v>347</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FALSE),IF(AG152&lt;&gt;"",CONCATENATE(",",VLOOKUP(AG152,$B$2:$AH$216,33,FALSE)),""))</f>
        <v>na</v>
      </c>
      <c r="AN152">
        <v>10</v>
      </c>
      <c r="AO152">
        <v>10</v>
      </c>
      <c r="AS152" t="str">
        <f>VLOOKUP(F152,Eras!$A$2:$C$12, 2, TRUE)</f>
        <v>gen4</v>
      </c>
      <c r="AT152" t="s">
        <v>427</v>
      </c>
      <c r="AU152" t="str">
        <f t="shared" si="8"/>
        <v>gen4_LU</v>
      </c>
    </row>
    <row r="153" spans="1:48" x14ac:dyDescent="0.25">
      <c r="A153" t="s">
        <v>708</v>
      </c>
      <c r="B153" t="s">
        <v>227</v>
      </c>
      <c r="C153" t="s">
        <v>335</v>
      </c>
      <c r="D153" t="s">
        <v>652</v>
      </c>
      <c r="E153" t="s">
        <v>651</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214x0x0</v>
      </c>
      <c r="AF153">
        <f t="shared" si="7"/>
        <v>13</v>
      </c>
      <c r="AH153" t="str">
        <f>CONCATENATE(VLOOKUP(AF153,'Articulated Lengths'!$A$2:$C$16,IF(AG153&lt;&gt;"", 3, 2), FALSE),IF(AG153&lt;&gt;"",CONCATENATE(",",VLOOKUP(AG153,$B$2:$AH$216,33,FALSE)),""))</f>
        <v>4,4,5</v>
      </c>
      <c r="AJ153" t="s">
        <v>227</v>
      </c>
      <c r="AN153">
        <v>10</v>
      </c>
      <c r="AO153">
        <v>10</v>
      </c>
      <c r="AS153" t="str">
        <f>VLOOKUP(F153,Eras!$A$2:$C$12, 2, TRUE)</f>
        <v>gen4</v>
      </c>
      <c r="AT153" t="s">
        <v>411</v>
      </c>
      <c r="AU153" t="str">
        <f t="shared" si="8"/>
        <v>gen4_Freight</v>
      </c>
      <c r="AV153" t="s">
        <v>681</v>
      </c>
    </row>
    <row r="154" spans="1:48" x14ac:dyDescent="0.25">
      <c r="A154" t="s">
        <v>129</v>
      </c>
      <c r="B154" t="s">
        <v>297</v>
      </c>
      <c r="C154" t="s">
        <v>187</v>
      </c>
      <c r="E154" t="s">
        <v>347</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FALSE),IF(AG154&lt;&gt;"",CONCATENATE(",",VLOOKUP(AG154,$B$2:$AH$216,33,FALSE)),""))</f>
        <v>na</v>
      </c>
      <c r="AN154">
        <v>10</v>
      </c>
      <c r="AO154">
        <v>10</v>
      </c>
      <c r="AS154" t="str">
        <f>VLOOKUP(F154,Eras!$A$2:$C$12, 2, TRUE)</f>
        <v>prv</v>
      </c>
      <c r="AT154" t="s">
        <v>427</v>
      </c>
      <c r="AU154" t="str">
        <f t="shared" si="8"/>
        <v>prv_LU</v>
      </c>
    </row>
    <row r="155" spans="1:48" x14ac:dyDescent="0.25">
      <c r="A155" t="s">
        <v>56</v>
      </c>
      <c r="B155" t="s">
        <v>228</v>
      </c>
      <c r="C155" t="s">
        <v>335</v>
      </c>
      <c r="D155" t="s">
        <v>345</v>
      </c>
      <c r="E155" t="s">
        <v>347</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214x0x58</v>
      </c>
      <c r="AF155">
        <f t="shared" si="7"/>
        <v>13</v>
      </c>
      <c r="AH155" t="str">
        <f>CONCATENATE(VLOOKUP(AF155,'Articulated Lengths'!$A$2:$C$16,IF(AG155&lt;&gt;"", 3, 2), FALSE),IF(AG155&lt;&gt;"",CONCATENATE(",",VLOOKUP(AG155,$B$2:$AH$216,33,FALSE)),""))</f>
        <v>4,4,5</v>
      </c>
      <c r="AN155">
        <v>10</v>
      </c>
      <c r="AO155">
        <v>10</v>
      </c>
      <c r="AS155" t="str">
        <f>VLOOKUP(F155,Eras!$A$2:$C$12, 2, TRUE)</f>
        <v>prv</v>
      </c>
      <c r="AT155" t="s">
        <v>411</v>
      </c>
      <c r="AU155" t="str">
        <f t="shared" si="8"/>
        <v>prv_Freight</v>
      </c>
      <c r="AV155" t="s">
        <v>661</v>
      </c>
    </row>
    <row r="156" spans="1:48" x14ac:dyDescent="0.25">
      <c r="A156" t="s">
        <v>166</v>
      </c>
      <c r="B156" t="s">
        <v>304</v>
      </c>
      <c r="C156" t="s">
        <v>335</v>
      </c>
      <c r="D156" t="s">
        <v>345</v>
      </c>
      <c r="E156" t="s">
        <v>347</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FALSE),IF(AG156&lt;&gt;"",CONCATENATE(",",VLOOKUP(AG156,$B$2:$AH$216,33,FALSE)),""))</f>
        <v>3,3,5</v>
      </c>
      <c r="AN156">
        <v>10</v>
      </c>
      <c r="AO156">
        <v>10</v>
      </c>
      <c r="AS156" t="str">
        <f>VLOOKUP(F156,Eras!$A$2:$C$12, 2, TRUE)</f>
        <v>prv</v>
      </c>
      <c r="AT156" t="s">
        <v>411</v>
      </c>
      <c r="AU156" t="str">
        <f t="shared" si="8"/>
        <v>prv_Freight</v>
      </c>
      <c r="AV156" t="s">
        <v>662</v>
      </c>
    </row>
    <row r="157" spans="1:48" x14ac:dyDescent="0.25">
      <c r="A157" t="s">
        <v>707</v>
      </c>
      <c r="B157" t="s">
        <v>680</v>
      </c>
      <c r="C157" t="s">
        <v>335</v>
      </c>
      <c r="D157" t="s">
        <v>345</v>
      </c>
      <c r="E157" t="s">
        <v>347</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FALSE),IF(AG157&lt;&gt;"",CONCATENATE(",",VLOOKUP(AG157,$B$2:$AH$216,33,FALSE)),""))</f>
        <v>3,3,6</v>
      </c>
      <c r="AN157">
        <v>10</v>
      </c>
      <c r="AO157">
        <v>10</v>
      </c>
      <c r="AS157" t="str">
        <f>VLOOKUP(F157,Eras!$A$2:$C$12, 2, TRUE)</f>
        <v>prv</v>
      </c>
      <c r="AT157" t="s">
        <v>411</v>
      </c>
      <c r="AU157" t="str">
        <f t="shared" si="8"/>
        <v>prv_Freight</v>
      </c>
      <c r="AV157" t="s">
        <v>679</v>
      </c>
    </row>
    <row r="158" spans="1:48" x14ac:dyDescent="0.25">
      <c r="A158" t="s">
        <v>677</v>
      </c>
      <c r="B158" t="s">
        <v>682</v>
      </c>
      <c r="C158" t="s">
        <v>497</v>
      </c>
      <c r="D158" t="s">
        <v>369</v>
      </c>
      <c r="E158" t="s">
        <v>377</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FALSE),IF(AG158&lt;&gt;"",CONCATENATE(",",VLOOKUP(AG158,$B$2:$AH$216,33,FALSE)),""))</f>
        <v>3,3,6</v>
      </c>
      <c r="AI158" t="s">
        <v>686</v>
      </c>
      <c r="AK158" t="s">
        <v>684</v>
      </c>
      <c r="AN158">
        <v>10</v>
      </c>
      <c r="AO158">
        <v>10</v>
      </c>
      <c r="AR158" t="s">
        <v>356</v>
      </c>
      <c r="AS158" t="str">
        <f>VLOOKUP(F158,Eras!$A$2:$C$12, 2, TRUE)</f>
        <v>prv</v>
      </c>
      <c r="AT158" t="s">
        <v>416</v>
      </c>
      <c r="AU158" t="str">
        <f t="shared" si="8"/>
        <v>prv_EMU (Express)</v>
      </c>
      <c r="AV158" t="s">
        <v>683</v>
      </c>
    </row>
    <row r="159" spans="1:48" x14ac:dyDescent="0.25">
      <c r="A159" t="s">
        <v>85</v>
      </c>
      <c r="B159" t="s">
        <v>688</v>
      </c>
      <c r="C159" t="s">
        <v>497</v>
      </c>
      <c r="D159" t="s">
        <v>652</v>
      </c>
      <c r="E159" t="s">
        <v>651</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FALSE),IF(AG159&lt;&gt;"",CONCATENATE(",",VLOOKUP(AG159,$B$2:$AH$216,33,FALSE)),""))</f>
        <v>3,3,6</v>
      </c>
      <c r="AI159" t="s">
        <v>689</v>
      </c>
      <c r="AJ159" t="s">
        <v>690</v>
      </c>
      <c r="AK159" t="s">
        <v>655</v>
      </c>
      <c r="AN159">
        <v>10</v>
      </c>
      <c r="AO159">
        <v>10</v>
      </c>
      <c r="AR159" t="s">
        <v>356</v>
      </c>
      <c r="AS159" t="str">
        <f>VLOOKUP(F159,Eras!$A$2:$C$12, 2, TRUE)</f>
        <v>prv</v>
      </c>
      <c r="AT159" t="s">
        <v>415</v>
      </c>
      <c r="AU159" t="str">
        <f t="shared" si="8"/>
        <v>prv_EMU</v>
      </c>
      <c r="AV159" t="s">
        <v>687</v>
      </c>
    </row>
    <row r="160" spans="1:48" x14ac:dyDescent="0.25">
      <c r="A160" t="s">
        <v>87</v>
      </c>
      <c r="B160" t="s">
        <v>313</v>
      </c>
      <c r="C160" t="s">
        <v>187</v>
      </c>
      <c r="E160" t="s">
        <v>347</v>
      </c>
      <c r="F160">
        <v>2007</v>
      </c>
      <c r="G160">
        <v>2009</v>
      </c>
      <c r="H160" t="s">
        <v>170</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FALSE),IF(AG160&lt;&gt;"",CONCATENATE(",",VLOOKUP(AG160,$B$2:$AH$216,33,FALSE)),""))</f>
        <v>3,3,6</v>
      </c>
      <c r="AN160">
        <v>10</v>
      </c>
      <c r="AO160">
        <v>10</v>
      </c>
      <c r="AS160" t="str">
        <f>VLOOKUP(F160,Eras!$A$2:$C$12, 2, TRUE)</f>
        <v>mod</v>
      </c>
      <c r="AT160" t="s">
        <v>416</v>
      </c>
      <c r="AU160" t="str">
        <f t="shared" si="8"/>
        <v>mod_EMU (Express)</v>
      </c>
    </row>
    <row r="161" spans="1:48" x14ac:dyDescent="0.25">
      <c r="A161" t="s">
        <v>61</v>
      </c>
      <c r="B161" t="s">
        <v>229</v>
      </c>
      <c r="C161" t="s">
        <v>335</v>
      </c>
      <c r="D161" t="s">
        <v>345</v>
      </c>
      <c r="E161" t="s">
        <v>347</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FALSE),IF(AG161&lt;&gt;"",CONCATENATE(",",VLOOKUP(AG161,$B$2:$AH$216,33,FALSE)),""))</f>
        <v>3,3,6</v>
      </c>
      <c r="AN161">
        <v>10</v>
      </c>
      <c r="AO161">
        <v>10</v>
      </c>
      <c r="AS161" t="str">
        <f>VLOOKUP(F161,Eras!$A$2:$C$12, 2, TRUE)</f>
        <v>mod</v>
      </c>
      <c r="AT161" t="s">
        <v>411</v>
      </c>
      <c r="AU161" t="str">
        <f t="shared" si="8"/>
        <v>mod_Freight</v>
      </c>
      <c r="AV161" t="s">
        <v>704</v>
      </c>
    </row>
    <row r="162" spans="1:48" x14ac:dyDescent="0.25">
      <c r="A162" t="s">
        <v>130</v>
      </c>
      <c r="B162" t="s">
        <v>257</v>
      </c>
      <c r="C162" t="s">
        <v>187</v>
      </c>
      <c r="E162" t="s">
        <v>347</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FALSE),IF(AG162&lt;&gt;"",CONCATENATE(",",VLOOKUP(AG162,$B$2:$AH$216,33,FALSE)),""))</f>
        <v>na</v>
      </c>
      <c r="AN162">
        <v>10</v>
      </c>
      <c r="AO162">
        <v>10</v>
      </c>
      <c r="AS162" t="str">
        <f>VLOOKUP(F162,Eras!$A$2:$C$12, 2, TRUE)</f>
        <v>mod</v>
      </c>
      <c r="AT162" t="s">
        <v>427</v>
      </c>
      <c r="AU162" t="str">
        <f t="shared" si="8"/>
        <v>mod_LU</v>
      </c>
    </row>
    <row r="163" spans="1:48" x14ac:dyDescent="0.25">
      <c r="A163" t="s">
        <v>131</v>
      </c>
      <c r="B163" t="s">
        <v>258</v>
      </c>
      <c r="C163" t="s">
        <v>187</v>
      </c>
      <c r="E163" t="s">
        <v>347</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FALSE),IF(AG163&lt;&gt;"",CONCATENATE(",",VLOOKUP(AG163,$B$2:$AH$216,33,FALSE)),""))</f>
        <v>na</v>
      </c>
      <c r="AN163">
        <v>10</v>
      </c>
      <c r="AO163">
        <v>10</v>
      </c>
      <c r="AS163" t="str">
        <f>VLOOKUP(F163,Eras!$A$2:$C$12, 2, TRUE)</f>
        <v>mod</v>
      </c>
      <c r="AT163" t="s">
        <v>427</v>
      </c>
      <c r="AU163" t="str">
        <f t="shared" si="8"/>
        <v>mod_LU</v>
      </c>
    </row>
    <row r="164" spans="1:48" x14ac:dyDescent="0.25">
      <c r="A164" t="s">
        <v>706</v>
      </c>
      <c r="B164" t="s">
        <v>705</v>
      </c>
      <c r="C164" t="s">
        <v>335</v>
      </c>
      <c r="D164" t="s">
        <v>345</v>
      </c>
      <c r="E164" t="s">
        <v>347</v>
      </c>
      <c r="F164">
        <v>2013</v>
      </c>
      <c r="G164">
        <v>2016</v>
      </c>
      <c r="J164">
        <v>3800</v>
      </c>
      <c r="S164">
        <v>85</v>
      </c>
      <c r="V164">
        <v>317</v>
      </c>
      <c r="W164" s="4">
        <f t="shared" si="6"/>
        <v>0.37294117647058822</v>
      </c>
      <c r="X164">
        <v>100</v>
      </c>
      <c r="Z164">
        <v>20.5</v>
      </c>
      <c r="AA164">
        <v>20.5</v>
      </c>
      <c r="AE164" t="str">
        <f>CONCATENATE(VLOOKUP(AF164, 'Voxel Sizes'!$A$2:$B$18,2,FALSE),"x",INT(AB164*15), "x", INT(AC164*15))</f>
        <v>198x0x0</v>
      </c>
      <c r="AF164">
        <f t="shared" si="7"/>
        <v>12</v>
      </c>
      <c r="AH164" t="str">
        <f>CONCATENATE(VLOOKUP(AF164,'Articulated Lengths'!$A$2:$C$16,IF(AG164&lt;&gt;"", 3, 2), FALSE),IF(AG164&lt;&gt;"",CONCATENATE(",",VLOOKUP(AG164,$B$2:$AH$216,33,FALSE)),""))</f>
        <v>3,3,6</v>
      </c>
      <c r="AN164">
        <v>10</v>
      </c>
      <c r="AO164">
        <v>10</v>
      </c>
      <c r="AS164" t="str">
        <f>VLOOKUP(F164,Eras!$A$2:$C$12, 2, TRUE)</f>
        <v>mod</v>
      </c>
      <c r="AT164" t="s">
        <v>409</v>
      </c>
      <c r="AU164" t="str">
        <f t="shared" si="8"/>
        <v>mod_Mixed Traffic</v>
      </c>
      <c r="AV164" t="s">
        <v>709</v>
      </c>
    </row>
    <row r="165" spans="1:48" x14ac:dyDescent="0.25">
      <c r="A165" t="s">
        <v>65</v>
      </c>
      <c r="B165" t="s">
        <v>230</v>
      </c>
      <c r="C165" t="s">
        <v>187</v>
      </c>
      <c r="E165" t="s">
        <v>347</v>
      </c>
      <c r="F165">
        <v>2015</v>
      </c>
      <c r="G165">
        <v>2016</v>
      </c>
      <c r="J165">
        <v>5400</v>
      </c>
      <c r="K165">
        <v>940</v>
      </c>
      <c r="S165">
        <v>86</v>
      </c>
      <c r="V165">
        <v>317</v>
      </c>
      <c r="W165" s="4">
        <f t="shared" ref="W165" si="15">IF(AND(S165&gt;0,V165&gt;0),(V165/((S165+T165)*10)),"")</f>
        <v>0.36860465116279068</v>
      </c>
      <c r="X165">
        <v>100</v>
      </c>
      <c r="Z165">
        <v>20.5</v>
      </c>
      <c r="AA165">
        <v>20.5</v>
      </c>
      <c r="AE165" t="str">
        <f>CONCATENATE(VLOOKUP(AF165, 'Voxel Sizes'!$A$2:$B$18,2,FALSE),"x",INT(AB165*15), "x", INT(AC165*15))</f>
        <v>198x0x0</v>
      </c>
      <c r="AF165">
        <f t="shared" ref="AF165" si="16">ROUND(15*((AA165*10)/256),0)</f>
        <v>12</v>
      </c>
      <c r="AH165" t="str">
        <f>CONCATENATE(VLOOKUP(AF165,'Articulated Lengths'!$A$2:$C$16,IF(AG165&lt;&gt;"", 3, 2), FALSE),IF(AG165&lt;&gt;"",CONCATENATE(",",VLOOKUP(AG165,$B$2:$AH$216,33,FALSE)),""))</f>
        <v>3,3,6</v>
      </c>
      <c r="AN165">
        <v>10</v>
      </c>
      <c r="AO165">
        <v>10</v>
      </c>
      <c r="AS165" t="str">
        <f>VLOOKUP(F165,Eras!$A$2:$C$12, 2, TRUE)</f>
        <v>mod</v>
      </c>
      <c r="AT165" t="s">
        <v>421</v>
      </c>
      <c r="AU165" t="str">
        <f t="shared" ref="AU165" si="17">CONCATENATE(AS165,"_",AT165)</f>
        <v>mod_Freight (Electric)</v>
      </c>
    </row>
    <row r="166" spans="1:48" x14ac:dyDescent="0.25">
      <c r="A166" t="s">
        <v>91</v>
      </c>
      <c r="B166" t="s">
        <v>693</v>
      </c>
      <c r="C166" t="s">
        <v>497</v>
      </c>
      <c r="D166" t="s">
        <v>345</v>
      </c>
      <c r="E166" t="s">
        <v>347</v>
      </c>
      <c r="F166">
        <v>1998</v>
      </c>
      <c r="G166">
        <v>2005</v>
      </c>
      <c r="I166">
        <v>3</v>
      </c>
      <c r="J166">
        <v>1266</v>
      </c>
      <c r="S166">
        <v>135</v>
      </c>
      <c r="V166">
        <v>180</v>
      </c>
      <c r="W166" s="4">
        <f t="shared" si="6"/>
        <v>0.13333333333333333</v>
      </c>
      <c r="X166">
        <v>100</v>
      </c>
      <c r="Z166">
        <v>23.62</v>
      </c>
      <c r="AA166">
        <v>21</v>
      </c>
      <c r="AB166">
        <v>2.69</v>
      </c>
      <c r="AC166">
        <v>3.77</v>
      </c>
      <c r="AD166">
        <v>63</v>
      </c>
      <c r="AE166" t="str">
        <f>CONCATENATE(VLOOKUP(AF166, 'Voxel Sizes'!$A$2:$B$18,2,FALSE),"x",INT(AB166*15), "x", INT(AC166*15))</f>
        <v>198x40x56</v>
      </c>
      <c r="AF166">
        <f t="shared" si="7"/>
        <v>12</v>
      </c>
      <c r="AH166" t="str">
        <f>CONCATENATE(VLOOKUP(AF166,'Articulated Lengths'!$A$2:$C$16,IF(AG166&lt;&gt;"", 3, 2), FALSE),IF(AG166&lt;&gt;"",CONCATENATE(",",VLOOKUP(AG166,$B$2:$AH$216,33,FALSE)),""))</f>
        <v>3,3,6</v>
      </c>
      <c r="AI166" t="s">
        <v>692</v>
      </c>
      <c r="AK166" t="s">
        <v>365</v>
      </c>
      <c r="AN166">
        <v>10</v>
      </c>
      <c r="AO166">
        <v>10</v>
      </c>
      <c r="AR166" t="s">
        <v>356</v>
      </c>
      <c r="AS166" t="str">
        <f>VLOOKUP(F166,Eras!$A$2:$C$12, 2, TRUE)</f>
        <v>prv</v>
      </c>
      <c r="AT166" t="s">
        <v>413</v>
      </c>
      <c r="AU166" t="str">
        <f t="shared" si="8"/>
        <v>prv_DMU</v>
      </c>
      <c r="AV166" t="s">
        <v>691</v>
      </c>
    </row>
    <row r="167" spans="1:48" x14ac:dyDescent="0.25">
      <c r="A167" t="s">
        <v>92</v>
      </c>
      <c r="B167" t="s">
        <v>287</v>
      </c>
      <c r="C167" t="s">
        <v>497</v>
      </c>
      <c r="D167" t="s">
        <v>652</v>
      </c>
      <c r="E167" t="s">
        <v>651</v>
      </c>
      <c r="F167">
        <v>2009</v>
      </c>
      <c r="I167">
        <v>5</v>
      </c>
      <c r="J167">
        <f>800*2</f>
        <v>1600</v>
      </c>
      <c r="S167">
        <v>212.8</v>
      </c>
      <c r="V167">
        <v>180</v>
      </c>
      <c r="W167" s="4">
        <f t="shared" si="6"/>
        <v>8.4586466165413529E-2</v>
      </c>
      <c r="X167">
        <v>75</v>
      </c>
      <c r="Z167">
        <v>20.399999999999999</v>
      </c>
      <c r="AA167">
        <v>20.399999999999999</v>
      </c>
      <c r="AB167">
        <v>2.8</v>
      </c>
      <c r="AC167">
        <v>3.78</v>
      </c>
      <c r="AD167">
        <v>90</v>
      </c>
      <c r="AE167" t="str">
        <f>CONCATENATE(VLOOKUP(AF167, 'Voxel Sizes'!$A$2:$B$18,2,FALSE),"x",INT(AB167*15), "x", INT(AC167*15))</f>
        <v>198x42x56</v>
      </c>
      <c r="AF167">
        <f t="shared" si="7"/>
        <v>12</v>
      </c>
      <c r="AH167" t="str">
        <f>CONCATENATE(VLOOKUP(AF167,'Articulated Lengths'!$A$2:$C$16,IF(AG167&lt;&gt;"", 3, 2), FALSE),IF(AG167&lt;&gt;"",CONCATENATE(",",VLOOKUP(AG167,$B$2:$AH$216,33,FALSE)),""))</f>
        <v>3,3,6</v>
      </c>
      <c r="AI167" t="s">
        <v>711</v>
      </c>
      <c r="AJ167" t="s">
        <v>712</v>
      </c>
      <c r="AK167" t="s">
        <v>713</v>
      </c>
      <c r="AN167">
        <v>10</v>
      </c>
      <c r="AO167">
        <v>10</v>
      </c>
      <c r="AR167" t="s">
        <v>356</v>
      </c>
      <c r="AS167" t="str">
        <f>VLOOKUP(F167,Eras!$A$2:$C$12, 2, TRUE)</f>
        <v>mod</v>
      </c>
      <c r="AT167" t="s">
        <v>415</v>
      </c>
      <c r="AU167" t="str">
        <f t="shared" si="8"/>
        <v>mod_EMU</v>
      </c>
      <c r="AV167" t="s">
        <v>710</v>
      </c>
    </row>
    <row r="168" spans="1:48" x14ac:dyDescent="0.25">
      <c r="A168" t="s">
        <v>93</v>
      </c>
      <c r="B168" t="s">
        <v>288</v>
      </c>
      <c r="C168" t="s">
        <v>497</v>
      </c>
      <c r="D168" t="s">
        <v>369</v>
      </c>
      <c r="E168" t="s">
        <v>377</v>
      </c>
      <c r="F168">
        <v>2003</v>
      </c>
      <c r="G168">
        <v>2006</v>
      </c>
      <c r="I168">
        <v>4</v>
      </c>
      <c r="J168">
        <v>2010</v>
      </c>
      <c r="S168">
        <v>170</v>
      </c>
      <c r="V168">
        <v>180</v>
      </c>
      <c r="W168" s="4">
        <f t="shared" si="6"/>
        <v>0.10588235294117647</v>
      </c>
      <c r="X168">
        <v>100</v>
      </c>
      <c r="Z168">
        <v>20.399999999999999</v>
      </c>
      <c r="AA168">
        <v>20.399999999999999</v>
      </c>
      <c r="AB168">
        <v>2.8</v>
      </c>
      <c r="AD168">
        <v>66</v>
      </c>
      <c r="AE168" t="str">
        <f>CONCATENATE(VLOOKUP(AF168, 'Voxel Sizes'!$A$2:$B$18,2,FALSE),"x",INT(AB168*15), "x", INT(AC168*15))</f>
        <v>198x42x0</v>
      </c>
      <c r="AF168">
        <f t="shared" si="7"/>
        <v>12</v>
      </c>
      <c r="AH168" t="str">
        <f>CONCATENATE(VLOOKUP(AF168,'Articulated Lengths'!$A$2:$C$16,IF(AG168&lt;&gt;"", 3, 2), FALSE),IF(AG168&lt;&gt;"",CONCATENATE(",",VLOOKUP(AG168,$B$2:$AH$216,33,FALSE)),""))</f>
        <v>3,3,6</v>
      </c>
      <c r="AI168" t="s">
        <v>716</v>
      </c>
      <c r="AK168" t="s">
        <v>655</v>
      </c>
      <c r="AN168">
        <v>10</v>
      </c>
      <c r="AO168">
        <v>10</v>
      </c>
      <c r="AR168" t="s">
        <v>356</v>
      </c>
      <c r="AS168" t="str">
        <f>VLOOKUP(F168,Eras!$A$2:$C$12, 2, TRUE)</f>
        <v>prv</v>
      </c>
      <c r="AT168" t="s">
        <v>415</v>
      </c>
      <c r="AU168" t="str">
        <f t="shared" si="8"/>
        <v>prv_EMU</v>
      </c>
      <c r="AV168" t="s">
        <v>714</v>
      </c>
    </row>
    <row r="169" spans="1:48" x14ac:dyDescent="0.25">
      <c r="A169" t="s">
        <v>94</v>
      </c>
      <c r="B169" t="s">
        <v>289</v>
      </c>
      <c r="C169" t="s">
        <v>497</v>
      </c>
      <c r="D169" t="s">
        <v>369</v>
      </c>
      <c r="E169" t="s">
        <v>377</v>
      </c>
      <c r="F169">
        <v>2004</v>
      </c>
      <c r="I169">
        <v>5</v>
      </c>
      <c r="J169">
        <v>2680</v>
      </c>
      <c r="S169">
        <v>227</v>
      </c>
      <c r="V169">
        <v>210</v>
      </c>
      <c r="W169" s="4">
        <f t="shared" si="6"/>
        <v>9.2511013215859028E-2</v>
      </c>
      <c r="X169">
        <v>100</v>
      </c>
      <c r="Z169">
        <v>23</v>
      </c>
      <c r="AA169">
        <v>23</v>
      </c>
      <c r="AB169">
        <v>2.8</v>
      </c>
      <c r="AD169">
        <v>66</v>
      </c>
      <c r="AE169" t="str">
        <f>CONCATENATE(VLOOKUP(AF169, 'Voxel Sizes'!$A$2:$B$18,2,FALSE),"x",INT(AB169*15), "x", INT(AC169*15))</f>
        <v>214x42x0</v>
      </c>
      <c r="AF169">
        <f t="shared" si="7"/>
        <v>13</v>
      </c>
      <c r="AH169" t="str">
        <f>CONCATENATE(VLOOKUP(AF169,'Articulated Lengths'!$A$2:$C$16,IF(AG169&lt;&gt;"", 3, 2), FALSE),IF(AG169&lt;&gt;"",CONCATENATE(",",VLOOKUP(AG169,$B$2:$AH$216,33,FALSE)),""))</f>
        <v>4,4,5</v>
      </c>
      <c r="AI169" t="s">
        <v>717</v>
      </c>
      <c r="AK169" t="s">
        <v>718</v>
      </c>
      <c r="AN169">
        <v>10</v>
      </c>
      <c r="AO169">
        <v>10</v>
      </c>
      <c r="AR169" t="s">
        <v>356</v>
      </c>
      <c r="AS169" t="str">
        <f>VLOOKUP(F169,Eras!$A$2:$C$12, 2, TRUE)</f>
        <v>prv</v>
      </c>
      <c r="AT169" t="s">
        <v>416</v>
      </c>
      <c r="AU169" t="str">
        <f t="shared" si="8"/>
        <v>prv_EMU (Express)</v>
      </c>
      <c r="AV169" t="s">
        <v>715</v>
      </c>
    </row>
    <row r="170" spans="1:48" x14ac:dyDescent="0.25">
      <c r="A170" t="s">
        <v>95</v>
      </c>
      <c r="B170" t="s">
        <v>236</v>
      </c>
      <c r="C170" t="s">
        <v>497</v>
      </c>
      <c r="D170" t="s">
        <v>369</v>
      </c>
      <c r="E170" t="s">
        <v>377</v>
      </c>
      <c r="F170">
        <v>1982</v>
      </c>
      <c r="I170">
        <v>4</v>
      </c>
      <c r="J170">
        <v>992</v>
      </c>
      <c r="S170">
        <v>136</v>
      </c>
      <c r="V170">
        <v>150</v>
      </c>
      <c r="W170" s="4">
        <f t="shared" si="6"/>
        <v>0.11029411764705882</v>
      </c>
      <c r="X170">
        <v>75</v>
      </c>
      <c r="Z170">
        <v>19.8</v>
      </c>
      <c r="AA170">
        <v>19.8</v>
      </c>
      <c r="AD170">
        <v>78</v>
      </c>
      <c r="AE170" t="str">
        <f>CONCATENATE(VLOOKUP(AF170, 'Voxel Sizes'!$A$2:$B$18,2,FALSE),"x",INT(AB170*15), "x", INT(AC170*15))</f>
        <v>198x0x0</v>
      </c>
      <c r="AF170">
        <f t="shared" si="7"/>
        <v>12</v>
      </c>
      <c r="AH170" t="str">
        <f>CONCATENATE(VLOOKUP(AF170,'Articulated Lengths'!$A$2:$C$16,IF(AG170&lt;&gt;"", 3, 2), FALSE),IF(AG170&lt;&gt;"",CONCATENATE(",",VLOOKUP(AG170,$B$2:$AH$216,33,FALSE)),""))</f>
        <v>3,3,6</v>
      </c>
      <c r="AI170" t="s">
        <v>719</v>
      </c>
      <c r="AK170" t="s">
        <v>560</v>
      </c>
      <c r="AN170">
        <v>10</v>
      </c>
      <c r="AO170">
        <v>10</v>
      </c>
      <c r="AR170" t="s">
        <v>356</v>
      </c>
      <c r="AS170" t="str">
        <f>VLOOKUP(F170,Eras!$A$2:$C$12, 2, TRUE)</f>
        <v>gen3</v>
      </c>
      <c r="AT170" t="s">
        <v>415</v>
      </c>
      <c r="AU170" t="str">
        <f t="shared" si="8"/>
        <v>gen3_EMU</v>
      </c>
      <c r="AV170" t="s">
        <v>720</v>
      </c>
    </row>
    <row r="171" spans="1:48" x14ac:dyDescent="0.25">
      <c r="A171" t="s">
        <v>96</v>
      </c>
      <c r="B171" t="s">
        <v>237</v>
      </c>
      <c r="C171" t="s">
        <v>497</v>
      </c>
      <c r="D171" t="s">
        <v>369</v>
      </c>
      <c r="E171" t="s">
        <v>377</v>
      </c>
      <c r="F171">
        <v>1990</v>
      </c>
      <c r="I171">
        <v>2</v>
      </c>
      <c r="J171">
        <v>500</v>
      </c>
      <c r="S171">
        <v>72.5</v>
      </c>
      <c r="V171">
        <v>120</v>
      </c>
      <c r="W171" s="4">
        <f t="shared" si="6"/>
        <v>0.16551724137931034</v>
      </c>
      <c r="X171">
        <v>75</v>
      </c>
      <c r="Z171">
        <v>19.8</v>
      </c>
      <c r="AA171">
        <v>19.8</v>
      </c>
      <c r="AD171">
        <v>75</v>
      </c>
      <c r="AE171" t="str">
        <f>CONCATENATE(VLOOKUP(AF171, 'Voxel Sizes'!$A$2:$B$18,2,FALSE),"x",INT(AB171*15), "x", INT(AC171*15))</f>
        <v>198x0x0</v>
      </c>
      <c r="AF171">
        <f t="shared" si="7"/>
        <v>12</v>
      </c>
      <c r="AH171" t="str">
        <f>CONCATENATE(VLOOKUP(AF171,'Articulated Lengths'!$A$2:$C$16,IF(AG171&lt;&gt;"", 3, 2), FALSE),IF(AG171&lt;&gt;"",CONCATENATE(",",VLOOKUP(AG171,$B$2:$AH$216,33,FALSE)),""))</f>
        <v>3,3,6</v>
      </c>
      <c r="AI171" t="s">
        <v>721</v>
      </c>
      <c r="AK171" t="s">
        <v>562</v>
      </c>
      <c r="AN171">
        <v>10</v>
      </c>
      <c r="AO171">
        <v>10</v>
      </c>
      <c r="AR171" t="s">
        <v>356</v>
      </c>
      <c r="AS171" t="str">
        <f>VLOOKUP(F171,Eras!$A$2:$C$12, 2, TRUE)</f>
        <v>gen4</v>
      </c>
      <c r="AT171" t="s">
        <v>415</v>
      </c>
      <c r="AU171" t="str">
        <f t="shared" si="8"/>
        <v>gen4_EMU</v>
      </c>
      <c r="AV171" t="s">
        <v>722</v>
      </c>
    </row>
    <row r="172" spans="1:48" x14ac:dyDescent="0.25">
      <c r="A172" t="s">
        <v>723</v>
      </c>
      <c r="B172" t="s">
        <v>676</v>
      </c>
      <c r="C172" t="s">
        <v>335</v>
      </c>
      <c r="D172" t="s">
        <v>345</v>
      </c>
      <c r="E172" t="s">
        <v>347</v>
      </c>
      <c r="F172">
        <v>1989</v>
      </c>
      <c r="J172">
        <v>3100</v>
      </c>
      <c r="S172">
        <v>129</v>
      </c>
      <c r="V172">
        <v>474</v>
      </c>
      <c r="W172" s="4">
        <f t="shared" si="6"/>
        <v>0.36744186046511629</v>
      </c>
      <c r="X172">
        <v>60</v>
      </c>
      <c r="Z172">
        <v>21.34</v>
      </c>
      <c r="AA172">
        <v>21.34</v>
      </c>
      <c r="AB172">
        <v>2.64</v>
      </c>
      <c r="AC172">
        <v>3.95</v>
      </c>
      <c r="AE172" t="str">
        <f>CONCATENATE(VLOOKUP(AF172, 'Voxel Sizes'!$A$2:$B$18,2,FALSE),"x",INT(AB172*15), "x", INT(AC172*15))</f>
        <v>214x39x59</v>
      </c>
      <c r="AF172">
        <f t="shared" si="7"/>
        <v>13</v>
      </c>
      <c r="AH172" t="str">
        <f>CONCATENATE(VLOOKUP(AF172,'Articulated Lengths'!$A$2:$C$16,IF(AG172&lt;&gt;"", 3, 2), FALSE),IF(AG172&lt;&gt;"",CONCATENATE(",",VLOOKUP(AG172,$B$2:$AH$216,33,FALSE)),""))</f>
        <v>4,4,5</v>
      </c>
      <c r="AN172">
        <v>10</v>
      </c>
      <c r="AO172">
        <v>10</v>
      </c>
      <c r="AS172" t="str">
        <f>VLOOKUP(F172,Eras!$A$2:$C$12, 2, TRUE)</f>
        <v>gen4</v>
      </c>
      <c r="AT172" t="s">
        <v>411</v>
      </c>
      <c r="AU172" t="str">
        <f t="shared" si="8"/>
        <v>gen4_Freight</v>
      </c>
      <c r="AV172" t="s">
        <v>724</v>
      </c>
    </row>
    <row r="173" spans="1:48" x14ac:dyDescent="0.25">
      <c r="A173" t="s">
        <v>97</v>
      </c>
      <c r="B173" t="s">
        <v>238</v>
      </c>
      <c r="C173" t="s">
        <v>187</v>
      </c>
      <c r="E173" t="s">
        <v>347</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FALSE),IF(AG173&lt;&gt;"",CONCATENATE(",",VLOOKUP(AG173,$B$2:$AH$216,33,FALSE)),""))</f>
        <v>na</v>
      </c>
      <c r="AN173">
        <v>10</v>
      </c>
      <c r="AO173">
        <v>10</v>
      </c>
      <c r="AS173" t="e">
        <f>VLOOKUP(F173,Eras!$A$2:$C$12, 2, TRUE)</f>
        <v>#N/A</v>
      </c>
      <c r="AU173" t="e">
        <f t="shared" si="8"/>
        <v>#N/A</v>
      </c>
    </row>
    <row r="174" spans="1:48" x14ac:dyDescent="0.25">
      <c r="A174" t="s">
        <v>98</v>
      </c>
      <c r="B174" t="s">
        <v>322</v>
      </c>
      <c r="C174" t="s">
        <v>187</v>
      </c>
      <c r="E174" t="s">
        <v>347</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FALSE),IF(AG174&lt;&gt;"",CONCATENATE(",",VLOOKUP(AG174,$B$2:$AH$216,33,FALSE)),""))</f>
        <v>na</v>
      </c>
      <c r="AN174">
        <v>10</v>
      </c>
      <c r="AO174">
        <v>10</v>
      </c>
      <c r="AS174" t="e">
        <f>VLOOKUP(F174,Eras!$A$2:$C$12, 2, TRUE)</f>
        <v>#N/A</v>
      </c>
      <c r="AU174" t="e">
        <f t="shared" si="8"/>
        <v>#N/A</v>
      </c>
    </row>
    <row r="175" spans="1:48" x14ac:dyDescent="0.25">
      <c r="A175" t="s">
        <v>99</v>
      </c>
      <c r="B175" t="s">
        <v>239</v>
      </c>
      <c r="C175" t="s">
        <v>187</v>
      </c>
      <c r="E175" t="s">
        <v>347</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FALSE),IF(AG175&lt;&gt;"",CONCATENATE(",",VLOOKUP(AG175,$B$2:$AH$216,33,FALSE)),""))</f>
        <v>na</v>
      </c>
      <c r="AN175">
        <v>10</v>
      </c>
      <c r="AO175">
        <v>10</v>
      </c>
      <c r="AS175" t="e">
        <f>VLOOKUP(F175,Eras!$A$2:$C$12, 2, TRUE)</f>
        <v>#N/A</v>
      </c>
      <c r="AU175" t="e">
        <f t="shared" si="8"/>
        <v>#N/A</v>
      </c>
    </row>
    <row r="176" spans="1:48" x14ac:dyDescent="0.25">
      <c r="A176" t="s">
        <v>100</v>
      </c>
      <c r="B176" t="s">
        <v>324</v>
      </c>
      <c r="C176" t="s">
        <v>187</v>
      </c>
      <c r="E176" t="s">
        <v>347</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FALSE),IF(AG176&lt;&gt;"",CONCATENATE(",",VLOOKUP(AG176,$B$2:$AH$216,33,FALSE)),""))</f>
        <v>na</v>
      </c>
      <c r="AN176">
        <v>10</v>
      </c>
      <c r="AO176">
        <v>10</v>
      </c>
      <c r="AS176" t="e">
        <f>VLOOKUP(F176,Eras!$A$2:$C$12, 2, TRUE)</f>
        <v>#N/A</v>
      </c>
      <c r="AU176" t="e">
        <f t="shared" si="8"/>
        <v>#N/A</v>
      </c>
    </row>
    <row r="177" spans="1:47" x14ac:dyDescent="0.25">
      <c r="A177" t="s">
        <v>101</v>
      </c>
      <c r="B177" t="s">
        <v>240</v>
      </c>
      <c r="C177" t="s">
        <v>187</v>
      </c>
      <c r="E177" t="s">
        <v>347</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FALSE),IF(AG177&lt;&gt;"",CONCATENATE(",",VLOOKUP(AG177,$B$2:$AH$216,33,FALSE)),""))</f>
        <v>na</v>
      </c>
      <c r="AN177">
        <v>10</v>
      </c>
      <c r="AO177">
        <v>10</v>
      </c>
      <c r="AS177" t="e">
        <f>VLOOKUP(F177,Eras!$A$2:$C$12, 2, TRUE)</f>
        <v>#N/A</v>
      </c>
      <c r="AU177" t="e">
        <f t="shared" si="8"/>
        <v>#N/A</v>
      </c>
    </row>
    <row r="178" spans="1:47" x14ac:dyDescent="0.25">
      <c r="A178" t="s">
        <v>102</v>
      </c>
      <c r="B178" t="s">
        <v>292</v>
      </c>
      <c r="C178" t="s">
        <v>187</v>
      </c>
      <c r="E178" t="s">
        <v>347</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FALSE),IF(AG178&lt;&gt;"",CONCATENATE(",",VLOOKUP(AG178,$B$2:$AH$216,33,FALSE)),""))</f>
        <v>na</v>
      </c>
      <c r="AN178">
        <v>10</v>
      </c>
      <c r="AO178">
        <v>10</v>
      </c>
      <c r="AS178" t="e">
        <f>VLOOKUP(F178,Eras!$A$2:$C$12, 2, TRUE)</f>
        <v>#N/A</v>
      </c>
      <c r="AU178" t="e">
        <f t="shared" si="8"/>
        <v>#N/A</v>
      </c>
    </row>
    <row r="179" spans="1:47" x14ac:dyDescent="0.25">
      <c r="A179" t="s">
        <v>103</v>
      </c>
      <c r="B179" t="s">
        <v>293</v>
      </c>
      <c r="C179" t="s">
        <v>187</v>
      </c>
      <c r="E179" t="s">
        <v>347</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FALSE),IF(AG179&lt;&gt;"",CONCATENATE(",",VLOOKUP(AG179,$B$2:$AH$216,33,FALSE)),""))</f>
        <v>na</v>
      </c>
      <c r="AN179">
        <v>10</v>
      </c>
      <c r="AO179">
        <v>10</v>
      </c>
      <c r="AS179" t="e">
        <f>VLOOKUP(F179,Eras!$A$2:$C$12, 2, TRUE)</f>
        <v>#N/A</v>
      </c>
      <c r="AU179" t="e">
        <f t="shared" si="8"/>
        <v>#N/A</v>
      </c>
    </row>
    <row r="180" spans="1:47" x14ac:dyDescent="0.25">
      <c r="A180" t="s">
        <v>104</v>
      </c>
      <c r="B180" t="s">
        <v>294</v>
      </c>
      <c r="C180" t="s">
        <v>187</v>
      </c>
      <c r="E180" t="s">
        <v>347</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FALSE),IF(AG180&lt;&gt;"",CONCATENATE(",",VLOOKUP(AG180,$B$2:$AH$216,33,FALSE)),""))</f>
        <v>na</v>
      </c>
      <c r="AN180">
        <v>10</v>
      </c>
      <c r="AO180">
        <v>10</v>
      </c>
      <c r="AS180" t="e">
        <f>VLOOKUP(F180,Eras!$A$2:$C$12, 2, TRUE)</f>
        <v>#N/A</v>
      </c>
      <c r="AU180" t="e">
        <f t="shared" si="8"/>
        <v>#N/A</v>
      </c>
    </row>
    <row r="181" spans="1:47" x14ac:dyDescent="0.25">
      <c r="A181" t="s">
        <v>105</v>
      </c>
      <c r="B181" t="s">
        <v>295</v>
      </c>
      <c r="C181" t="s">
        <v>187</v>
      </c>
      <c r="E181" t="s">
        <v>347</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FALSE),IF(AG181&lt;&gt;"",CONCATENATE(",",VLOOKUP(AG181,$B$2:$AH$216,33,FALSE)),""))</f>
        <v>na</v>
      </c>
      <c r="AN181">
        <v>10</v>
      </c>
      <c r="AO181">
        <v>10</v>
      </c>
      <c r="AS181" t="e">
        <f>VLOOKUP(F181,Eras!$A$2:$C$12, 2, TRUE)</f>
        <v>#N/A</v>
      </c>
      <c r="AU181" t="e">
        <f t="shared" si="8"/>
        <v>#N/A</v>
      </c>
    </row>
    <row r="182" spans="1:47" x14ac:dyDescent="0.25">
      <c r="A182" t="s">
        <v>106</v>
      </c>
      <c r="B182" t="s">
        <v>241</v>
      </c>
      <c r="C182" t="s">
        <v>187</v>
      </c>
      <c r="E182" t="s">
        <v>347</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FALSE),IF(AG182&lt;&gt;"",CONCATENATE(",",VLOOKUP(AG182,$B$2:$AH$216,33,FALSE)),""))</f>
        <v>na</v>
      </c>
      <c r="AN182">
        <v>10</v>
      </c>
      <c r="AO182">
        <v>10</v>
      </c>
      <c r="AS182" t="e">
        <f>VLOOKUP(F182,Eras!$A$2:$C$12, 2, TRUE)</f>
        <v>#N/A</v>
      </c>
      <c r="AU182" t="e">
        <f t="shared" si="8"/>
        <v>#N/A</v>
      </c>
    </row>
    <row r="183" spans="1:47" x14ac:dyDescent="0.25">
      <c r="A183" t="s">
        <v>107</v>
      </c>
      <c r="B183" t="s">
        <v>242</v>
      </c>
      <c r="C183" t="s">
        <v>187</v>
      </c>
      <c r="E183" t="s">
        <v>347</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FALSE),IF(AG183&lt;&gt;"",CONCATENATE(",",VLOOKUP(AG183,$B$2:$AH$216,33,FALSE)),""))</f>
        <v>na</v>
      </c>
      <c r="AN183">
        <v>10</v>
      </c>
      <c r="AO183">
        <v>10</v>
      </c>
      <c r="AS183" t="e">
        <f>VLOOKUP(F183,Eras!$A$2:$C$12, 2, TRUE)</f>
        <v>#N/A</v>
      </c>
      <c r="AU183" t="e">
        <f t="shared" si="8"/>
        <v>#N/A</v>
      </c>
    </row>
    <row r="184" spans="1:47" x14ac:dyDescent="0.25">
      <c r="A184" t="s">
        <v>108</v>
      </c>
      <c r="B184" t="s">
        <v>243</v>
      </c>
      <c r="C184" t="s">
        <v>187</v>
      </c>
      <c r="E184" t="s">
        <v>347</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FALSE),IF(AG184&lt;&gt;"",CONCATENATE(",",VLOOKUP(AG184,$B$2:$AH$216,33,FALSE)),""))</f>
        <v>na</v>
      </c>
      <c r="AN184">
        <v>10</v>
      </c>
      <c r="AO184">
        <v>10</v>
      </c>
      <c r="AS184" t="e">
        <f>VLOOKUP(F184,Eras!$A$2:$C$12, 2, TRUE)</f>
        <v>#N/A</v>
      </c>
      <c r="AU184" t="e">
        <f t="shared" si="8"/>
        <v>#N/A</v>
      </c>
    </row>
    <row r="185" spans="1:47" x14ac:dyDescent="0.25">
      <c r="A185" t="s">
        <v>678</v>
      </c>
      <c r="B185" t="s">
        <v>685</v>
      </c>
      <c r="C185" t="s">
        <v>187</v>
      </c>
      <c r="E185" t="s">
        <v>347</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FALSE),IF(AG185&lt;&gt;"",CONCATENATE(",",VLOOKUP(AG185,$B$2:$AH$216,33,FALSE)),""))</f>
        <v>na</v>
      </c>
      <c r="AN185">
        <v>10</v>
      </c>
      <c r="AO185">
        <v>10</v>
      </c>
      <c r="AS185" t="e">
        <f>VLOOKUP(F185,Eras!$A$2:$C$12, 2, TRUE)</f>
        <v>#N/A</v>
      </c>
      <c r="AU185" t="e">
        <f t="shared" si="8"/>
        <v>#N/A</v>
      </c>
    </row>
    <row r="186" spans="1:47" x14ac:dyDescent="0.25">
      <c r="A186" t="s">
        <v>109</v>
      </c>
      <c r="B186" t="s">
        <v>291</v>
      </c>
      <c r="C186" t="s">
        <v>187</v>
      </c>
      <c r="E186" t="s">
        <v>347</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FALSE),IF(AG186&lt;&gt;"",CONCATENATE(",",VLOOKUP(AG186,$B$2:$AH$216,33,FALSE)),""))</f>
        <v>na</v>
      </c>
      <c r="AN186">
        <v>10</v>
      </c>
      <c r="AO186">
        <v>10</v>
      </c>
      <c r="AS186" t="e">
        <f>VLOOKUP(F186,Eras!$A$2:$C$12, 2, TRUE)</f>
        <v>#N/A</v>
      </c>
      <c r="AU186" t="e">
        <f t="shared" si="8"/>
        <v>#N/A</v>
      </c>
    </row>
    <row r="187" spans="1:47" x14ac:dyDescent="0.25">
      <c r="A187" t="s">
        <v>110</v>
      </c>
      <c r="B187" t="s">
        <v>290</v>
      </c>
      <c r="C187" t="s">
        <v>187</v>
      </c>
      <c r="E187" t="s">
        <v>347</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FALSE),IF(AG187&lt;&gt;"",CONCATENATE(",",VLOOKUP(AG187,$B$2:$AH$216,33,FALSE)),""))</f>
        <v>na</v>
      </c>
      <c r="AN187">
        <v>10</v>
      </c>
      <c r="AO187">
        <v>10</v>
      </c>
      <c r="AS187" t="e">
        <f>VLOOKUP(F187,Eras!$A$2:$C$12, 2, TRUE)</f>
        <v>#N/A</v>
      </c>
      <c r="AU187" t="e">
        <f t="shared" si="8"/>
        <v>#N/A</v>
      </c>
    </row>
    <row r="188" spans="1:47" x14ac:dyDescent="0.25">
      <c r="A188" t="s">
        <v>111</v>
      </c>
      <c r="B188" t="s">
        <v>299</v>
      </c>
      <c r="C188" t="s">
        <v>187</v>
      </c>
      <c r="E188" t="s">
        <v>347</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FALSE),IF(AG188&lt;&gt;"",CONCATENATE(",",VLOOKUP(AG188,$B$2:$AH$216,33,FALSE)),""))</f>
        <v>na</v>
      </c>
      <c r="AN188">
        <v>10</v>
      </c>
      <c r="AO188">
        <v>10</v>
      </c>
      <c r="AS188" t="e">
        <f>VLOOKUP(F188,Eras!$A$2:$C$12, 2, TRUE)</f>
        <v>#N/A</v>
      </c>
      <c r="AU188" t="e">
        <f t="shared" si="8"/>
        <v>#N/A</v>
      </c>
    </row>
    <row r="189" spans="1:47" x14ac:dyDescent="0.25">
      <c r="A189" t="s">
        <v>112</v>
      </c>
      <c r="B189" t="s">
        <v>325</v>
      </c>
      <c r="C189" t="s">
        <v>187</v>
      </c>
      <c r="E189" t="s">
        <v>347</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FALSE),IF(AG189&lt;&gt;"",CONCATENATE(",",VLOOKUP(AG189,$B$2:$AH$216,33,FALSE)),""))</f>
        <v>na</v>
      </c>
      <c r="AN189">
        <v>10</v>
      </c>
      <c r="AO189">
        <v>10</v>
      </c>
      <c r="AS189" t="e">
        <f>VLOOKUP(F189,Eras!$A$2:$C$12, 2, TRUE)</f>
        <v>#N/A</v>
      </c>
      <c r="AU189" t="e">
        <f t="shared" si="8"/>
        <v>#N/A</v>
      </c>
    </row>
    <row r="190" spans="1:47" x14ac:dyDescent="0.25">
      <c r="A190" t="s">
        <v>113</v>
      </c>
      <c r="B190" t="s">
        <v>298</v>
      </c>
      <c r="C190" t="s">
        <v>187</v>
      </c>
      <c r="E190" t="s">
        <v>347</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FALSE),IF(AG190&lt;&gt;"",CONCATENATE(",",VLOOKUP(AG190,$B$2:$AH$216,33,FALSE)),""))</f>
        <v>na</v>
      </c>
      <c r="AN190">
        <v>10</v>
      </c>
      <c r="AO190">
        <v>10</v>
      </c>
      <c r="AS190" t="e">
        <f>VLOOKUP(F190,Eras!$A$2:$C$12, 2, TRUE)</f>
        <v>#N/A</v>
      </c>
      <c r="AU190" t="e">
        <f t="shared" si="8"/>
        <v>#N/A</v>
      </c>
    </row>
    <row r="191" spans="1:47" x14ac:dyDescent="0.25">
      <c r="A191" t="s">
        <v>115</v>
      </c>
      <c r="B191" t="s">
        <v>245</v>
      </c>
      <c r="C191" t="s">
        <v>187</v>
      </c>
      <c r="E191" t="s">
        <v>347</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FALSE),IF(AG191&lt;&gt;"",CONCATENATE(",",VLOOKUP(AG191,$B$2:$AH$216,33,FALSE)),""))</f>
        <v>na</v>
      </c>
      <c r="AN191">
        <v>10</v>
      </c>
      <c r="AO191">
        <v>10</v>
      </c>
      <c r="AS191" t="e">
        <f>VLOOKUP(F191,Eras!$A$2:$C$12, 2, TRUE)</f>
        <v>#N/A</v>
      </c>
      <c r="AU191" t="e">
        <f t="shared" si="8"/>
        <v>#N/A</v>
      </c>
    </row>
    <row r="192" spans="1:47" x14ac:dyDescent="0.25">
      <c r="A192" t="s">
        <v>116</v>
      </c>
      <c r="B192" t="s">
        <v>246</v>
      </c>
      <c r="C192" t="s">
        <v>187</v>
      </c>
      <c r="E192" t="s">
        <v>347</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FALSE),IF(AG192&lt;&gt;"",CONCATENATE(",",VLOOKUP(AG192,$B$2:$AH$216,33,FALSE)),""))</f>
        <v>na</v>
      </c>
      <c r="AN192">
        <v>10</v>
      </c>
      <c r="AO192">
        <v>10</v>
      </c>
      <c r="AS192" t="e">
        <f>VLOOKUP(F192,Eras!$A$2:$C$12, 2, TRUE)</f>
        <v>#N/A</v>
      </c>
      <c r="AU192" t="e">
        <f t="shared" si="8"/>
        <v>#N/A</v>
      </c>
    </row>
    <row r="193" spans="1:47" x14ac:dyDescent="0.25">
      <c r="A193" t="s">
        <v>117</v>
      </c>
      <c r="B193" t="s">
        <v>296</v>
      </c>
      <c r="C193" t="s">
        <v>187</v>
      </c>
      <c r="E193" t="s">
        <v>347</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FALSE),IF(AG193&lt;&gt;"",CONCATENATE(",",VLOOKUP(AG193,$B$2:$AH$216,33,FALSE)),""))</f>
        <v>na</v>
      </c>
      <c r="AN193">
        <v>10</v>
      </c>
      <c r="AO193">
        <v>10</v>
      </c>
      <c r="AS193" t="e">
        <f>VLOOKUP(F193,Eras!$A$2:$C$12, 2, TRUE)</f>
        <v>#N/A</v>
      </c>
      <c r="AU193" t="e">
        <f t="shared" si="8"/>
        <v>#N/A</v>
      </c>
    </row>
    <row r="194" spans="1:47" x14ac:dyDescent="0.25">
      <c r="A194" t="s">
        <v>118</v>
      </c>
      <c r="B194" t="s">
        <v>323</v>
      </c>
      <c r="C194" t="s">
        <v>187</v>
      </c>
      <c r="E194" t="s">
        <v>347</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FALSE),IF(AG194&lt;&gt;"",CONCATENATE(",",VLOOKUP(AG194,$B$2:$AH$216,33,FALSE)),""))</f>
        <v>na</v>
      </c>
      <c r="AN194">
        <v>10</v>
      </c>
      <c r="AO194">
        <v>10</v>
      </c>
      <c r="AS194" t="e">
        <f>VLOOKUP(F194,Eras!$A$2:$C$12, 2, TRUE)</f>
        <v>#N/A</v>
      </c>
      <c r="AT194" t="s">
        <v>427</v>
      </c>
      <c r="AU194" t="e">
        <f t="shared" si="8"/>
        <v>#N/A</v>
      </c>
    </row>
    <row r="195" spans="1:47" x14ac:dyDescent="0.25">
      <c r="A195" t="s">
        <v>119</v>
      </c>
      <c r="B195" t="s">
        <v>247</v>
      </c>
      <c r="C195" t="s">
        <v>187</v>
      </c>
      <c r="E195" t="s">
        <v>347</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FALSE),IF(AG195&lt;&gt;"",CONCATENATE(",",VLOOKUP(AG195,$B$2:$AH$216,33,FALSE)),""))</f>
        <v>na</v>
      </c>
      <c r="AN195">
        <v>10</v>
      </c>
      <c r="AO195">
        <v>10</v>
      </c>
      <c r="AS195" t="e">
        <f>VLOOKUP(F195,Eras!$A$2:$C$12, 2, TRUE)</f>
        <v>#N/A</v>
      </c>
      <c r="AT195" t="s">
        <v>427</v>
      </c>
      <c r="AU195" t="e">
        <f t="shared" si="8"/>
        <v>#N/A</v>
      </c>
    </row>
    <row r="196" spans="1:47" x14ac:dyDescent="0.25">
      <c r="A196" t="s">
        <v>132</v>
      </c>
      <c r="B196" t="s">
        <v>326</v>
      </c>
      <c r="C196" t="s">
        <v>187</v>
      </c>
      <c r="E196" t="s">
        <v>347</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FALSE),IF(AG196&lt;&gt;"",CONCATENATE(",",VLOOKUP(AG196,$B$2:$AH$216,33,FALSE)),""))</f>
        <v>na</v>
      </c>
      <c r="AN196">
        <v>10</v>
      </c>
      <c r="AO196">
        <v>10</v>
      </c>
      <c r="AS196" t="e">
        <f>VLOOKUP(F196,Eras!$A$2:$C$12, 2, TRUE)</f>
        <v>#N/A</v>
      </c>
      <c r="AU196" t="e">
        <f t="shared" si="8"/>
        <v>#N/A</v>
      </c>
    </row>
    <row r="197" spans="1:47" x14ac:dyDescent="0.25">
      <c r="A197" t="s">
        <v>133</v>
      </c>
      <c r="B197" t="s">
        <v>327</v>
      </c>
      <c r="C197" t="s">
        <v>187</v>
      </c>
      <c r="E197" t="s">
        <v>347</v>
      </c>
      <c r="W197" s="4" t="str">
        <f t="shared" si="6"/>
        <v/>
      </c>
      <c r="AE197" t="str">
        <f>CONCATENATE(VLOOKUP(AF197, 'Voxel Sizes'!$A$2:$B$18,2,FALSE),"x",INT(AB197*15), "x", INT(AC197*15))</f>
        <v>0x0x0</v>
      </c>
      <c r="AF197">
        <f t="shared" si="7"/>
        <v>0</v>
      </c>
      <c r="AH197" t="str">
        <f>CONCATENATE(VLOOKUP(AF197,'Articulated Lengths'!$A$2:$C$16,IF(AG197&lt;&gt;"", 3, 2), FALSE),IF(AG197&lt;&gt;"",CONCATENATE(",",VLOOKUP(AG197,$B$2:$AH$216,33,FALSE)),""))</f>
        <v>na</v>
      </c>
      <c r="AN197">
        <v>10</v>
      </c>
      <c r="AO197">
        <v>10</v>
      </c>
      <c r="AS197" t="e">
        <f>VLOOKUP(F197,Eras!$A$2:$C$12, 2, TRUE)</f>
        <v>#N/A</v>
      </c>
      <c r="AU197" t="e">
        <f t="shared" si="8"/>
        <v>#N/A</v>
      </c>
    </row>
    <row r="198" spans="1:47" x14ac:dyDescent="0.25">
      <c r="A198" t="s">
        <v>134</v>
      </c>
      <c r="B198" t="s">
        <v>259</v>
      </c>
      <c r="C198" t="s">
        <v>187</v>
      </c>
      <c r="E198" t="s">
        <v>347</v>
      </c>
      <c r="W198" s="4" t="str">
        <f t="shared" ref="W198:W221" si="18">IF(AND(S198&gt;0,V198&gt;0),(V198/((S198+T198)*10)),"")</f>
        <v/>
      </c>
      <c r="AE198" t="str">
        <f>CONCATENATE(VLOOKUP(AF198, 'Voxel Sizes'!$A$2:$B$18,2,FALSE),"x",INT(AB198*15), "x", INT(AC198*15))</f>
        <v>0x0x0</v>
      </c>
      <c r="AF198">
        <f t="shared" ref="AF198:AF216" si="19">ROUND(15*((AA198*10)/256),0)</f>
        <v>0</v>
      </c>
      <c r="AH198" t="str">
        <f>CONCATENATE(VLOOKUP(AF198,'Articulated Lengths'!$A$2:$C$16,IF(AG198&lt;&gt;"", 3, 2), FALSE),IF(AG198&lt;&gt;"",CONCATENATE(",",VLOOKUP(AG198,$B$2:$AH$216,33,FALSE)),""))</f>
        <v>na</v>
      </c>
      <c r="AN198">
        <v>10</v>
      </c>
      <c r="AO198">
        <v>10</v>
      </c>
      <c r="AS198" t="e">
        <f>VLOOKUP(F198,Eras!$A$2:$C$12, 2, TRUE)</f>
        <v>#N/A</v>
      </c>
      <c r="AU198" t="e">
        <f t="shared" ref="AU198:AU216" si="20">CONCATENATE(AS198,"_",AT198)</f>
        <v>#N/A</v>
      </c>
    </row>
    <row r="199" spans="1:47" x14ac:dyDescent="0.25">
      <c r="A199" t="s">
        <v>136</v>
      </c>
      <c r="B199" t="s">
        <v>260</v>
      </c>
      <c r="C199" t="s">
        <v>187</v>
      </c>
      <c r="E199" t="s">
        <v>347</v>
      </c>
      <c r="W199" s="4" t="str">
        <f t="shared" si="18"/>
        <v/>
      </c>
      <c r="AE199" t="str">
        <f>CONCATENATE(VLOOKUP(AF199, 'Voxel Sizes'!$A$2:$B$18,2,FALSE),"x",INT(AB199*15), "x", INT(AC199*15))</f>
        <v>0x0x0</v>
      </c>
      <c r="AF199">
        <f t="shared" si="19"/>
        <v>0</v>
      </c>
      <c r="AH199" t="str">
        <f>CONCATENATE(VLOOKUP(AF199,'Articulated Lengths'!$A$2:$C$16,IF(AG199&lt;&gt;"", 3, 2), FALSE),IF(AG199&lt;&gt;"",CONCATENATE(",",VLOOKUP(AG199,$B$2:$AH$216,33,FALSE)),""))</f>
        <v>na</v>
      </c>
      <c r="AN199">
        <v>10</v>
      </c>
      <c r="AO199">
        <v>10</v>
      </c>
      <c r="AS199" t="e">
        <f>VLOOKUP(F199,Eras!$A$2:$C$12, 2, TRUE)</f>
        <v>#N/A</v>
      </c>
      <c r="AU199" t="e">
        <f t="shared" si="20"/>
        <v>#N/A</v>
      </c>
    </row>
    <row r="200" spans="1:47" x14ac:dyDescent="0.25">
      <c r="A200" t="s">
        <v>137</v>
      </c>
      <c r="B200" t="s">
        <v>331</v>
      </c>
      <c r="C200" t="s">
        <v>187</v>
      </c>
      <c r="E200" t="s">
        <v>347</v>
      </c>
      <c r="U200">
        <v>9</v>
      </c>
      <c r="W200" s="4" t="str">
        <f t="shared" si="18"/>
        <v/>
      </c>
      <c r="AE200" t="str">
        <f>CONCATENATE(VLOOKUP(AF200, 'Voxel Sizes'!$A$2:$B$18,2,FALSE),"x",INT(AB200*15), "x", INT(AC200*15))</f>
        <v>0x0x0</v>
      </c>
      <c r="AF200">
        <f t="shared" si="19"/>
        <v>0</v>
      </c>
      <c r="AH200" t="str">
        <f>CONCATENATE(VLOOKUP(AF200,'Articulated Lengths'!$A$2:$C$16,IF(AG200&lt;&gt;"", 3, 2), FALSE),IF(AG200&lt;&gt;"",CONCATENATE(",",VLOOKUP(AG200,$B$2:$AH$216,33,FALSE)),""))</f>
        <v>na</v>
      </c>
      <c r="AN200">
        <v>10</v>
      </c>
      <c r="AO200">
        <v>10</v>
      </c>
      <c r="AS200" t="e">
        <f>VLOOKUP(F200,Eras!$A$2:$C$12, 2, TRUE)</f>
        <v>#N/A</v>
      </c>
      <c r="AU200" t="e">
        <f t="shared" si="20"/>
        <v>#N/A</v>
      </c>
    </row>
    <row r="201" spans="1:47" x14ac:dyDescent="0.25">
      <c r="A201" t="s">
        <v>141</v>
      </c>
      <c r="B201" t="s">
        <v>261</v>
      </c>
      <c r="C201" t="s">
        <v>187</v>
      </c>
      <c r="E201" t="s">
        <v>347</v>
      </c>
      <c r="W201" s="4" t="str">
        <f t="shared" si="18"/>
        <v/>
      </c>
      <c r="AE201" t="str">
        <f>CONCATENATE(VLOOKUP(AF201, 'Voxel Sizes'!$A$2:$B$18,2,FALSE),"x",INT(AB201*15), "x", INT(AC201*15))</f>
        <v>0x0x0</v>
      </c>
      <c r="AF201">
        <f t="shared" si="19"/>
        <v>0</v>
      </c>
      <c r="AH201" t="str">
        <f>CONCATENATE(VLOOKUP(AF201,'Articulated Lengths'!$A$2:$C$16,IF(AG201&lt;&gt;"", 3, 2), FALSE),IF(AG201&lt;&gt;"",CONCATENATE(",",VLOOKUP(AG201,$B$2:$AH$216,33,FALSE)),""))</f>
        <v>na</v>
      </c>
      <c r="AN201">
        <v>10</v>
      </c>
      <c r="AO201">
        <v>10</v>
      </c>
      <c r="AS201" t="e">
        <f>VLOOKUP(F201,Eras!$A$2:$C$12, 2, TRUE)</f>
        <v>#N/A</v>
      </c>
      <c r="AU201" t="e">
        <f t="shared" si="20"/>
        <v>#N/A</v>
      </c>
    </row>
    <row r="202" spans="1:47" x14ac:dyDescent="0.25">
      <c r="A202" t="s">
        <v>142</v>
      </c>
      <c r="B202" t="s">
        <v>262</v>
      </c>
      <c r="C202" t="s">
        <v>187</v>
      </c>
      <c r="E202" t="s">
        <v>347</v>
      </c>
      <c r="W202" s="4" t="str">
        <f t="shared" si="18"/>
        <v/>
      </c>
      <c r="AE202" t="str">
        <f>CONCATENATE(VLOOKUP(AF202, 'Voxel Sizes'!$A$2:$B$18,2,FALSE),"x",INT(AB202*15), "x", INT(AC202*15))</f>
        <v>0x0x0</v>
      </c>
      <c r="AF202">
        <f t="shared" si="19"/>
        <v>0</v>
      </c>
      <c r="AH202" t="str">
        <f>CONCATENATE(VLOOKUP(AF202,'Articulated Lengths'!$A$2:$C$16,IF(AG202&lt;&gt;"", 3, 2), FALSE),IF(AG202&lt;&gt;"",CONCATENATE(",",VLOOKUP(AG202,$B$2:$AH$216,33,FALSE)),""))</f>
        <v>na</v>
      </c>
      <c r="AN202">
        <v>10</v>
      </c>
      <c r="AO202">
        <v>10</v>
      </c>
      <c r="AS202" t="e">
        <f>VLOOKUP(F202,Eras!$A$2:$C$12, 2, TRUE)</f>
        <v>#N/A</v>
      </c>
      <c r="AU202" t="e">
        <f t="shared" si="20"/>
        <v>#N/A</v>
      </c>
    </row>
    <row r="203" spans="1:47" x14ac:dyDescent="0.25">
      <c r="A203" t="s">
        <v>143</v>
      </c>
      <c r="B203" t="s">
        <v>263</v>
      </c>
      <c r="C203" t="s">
        <v>187</v>
      </c>
      <c r="E203" t="s">
        <v>347</v>
      </c>
      <c r="W203" s="4" t="str">
        <f t="shared" si="18"/>
        <v/>
      </c>
      <c r="AE203" t="str">
        <f>CONCATENATE(VLOOKUP(AF203, 'Voxel Sizes'!$A$2:$B$18,2,FALSE),"x",INT(AB203*15), "x", INT(AC203*15))</f>
        <v>0x0x0</v>
      </c>
      <c r="AF203">
        <f t="shared" si="19"/>
        <v>0</v>
      </c>
      <c r="AH203" t="str">
        <f>CONCATENATE(VLOOKUP(AF203,'Articulated Lengths'!$A$2:$C$16,IF(AG203&lt;&gt;"", 3, 2), FALSE),IF(AG203&lt;&gt;"",CONCATENATE(",",VLOOKUP(AG203,$B$2:$AH$216,33,FALSE)),""))</f>
        <v>na</v>
      </c>
      <c r="AN203">
        <v>10</v>
      </c>
      <c r="AO203">
        <v>10</v>
      </c>
      <c r="AS203" t="e">
        <f>VLOOKUP(F203,Eras!$A$2:$C$12, 2, TRUE)</f>
        <v>#N/A</v>
      </c>
      <c r="AU203" t="e">
        <f t="shared" si="20"/>
        <v>#N/A</v>
      </c>
    </row>
    <row r="204" spans="1:47" x14ac:dyDescent="0.25">
      <c r="A204" t="s">
        <v>146</v>
      </c>
      <c r="B204" t="s">
        <v>264</v>
      </c>
      <c r="C204" t="s">
        <v>187</v>
      </c>
      <c r="E204" t="s">
        <v>347</v>
      </c>
      <c r="W204" s="4" t="str">
        <f t="shared" si="18"/>
        <v/>
      </c>
      <c r="AE204" t="str">
        <f>CONCATENATE(VLOOKUP(AF204, 'Voxel Sizes'!$A$2:$B$18,2,FALSE),"x",INT(AB204*15), "x", INT(AC204*15))</f>
        <v>0x0x0</v>
      </c>
      <c r="AF204">
        <f t="shared" si="19"/>
        <v>0</v>
      </c>
      <c r="AH204" t="str">
        <f>CONCATENATE(VLOOKUP(AF204,'Articulated Lengths'!$A$2:$C$16,IF(AG204&lt;&gt;"", 3, 2), FALSE),IF(AG204&lt;&gt;"",CONCATENATE(",",VLOOKUP(AG204,$B$2:$AH$216,33,FALSE)),""))</f>
        <v>na</v>
      </c>
      <c r="AN204">
        <v>10</v>
      </c>
      <c r="AO204">
        <v>10</v>
      </c>
      <c r="AS204" t="e">
        <f>VLOOKUP(F204,Eras!$A$2:$C$12, 2, TRUE)</f>
        <v>#N/A</v>
      </c>
      <c r="AU204" t="e">
        <f t="shared" si="20"/>
        <v>#N/A</v>
      </c>
    </row>
    <row r="205" spans="1:47" x14ac:dyDescent="0.25">
      <c r="A205" t="s">
        <v>147</v>
      </c>
      <c r="B205" t="s">
        <v>265</v>
      </c>
      <c r="C205" t="s">
        <v>187</v>
      </c>
      <c r="E205" t="s">
        <v>347</v>
      </c>
      <c r="W205" s="4" t="str">
        <f t="shared" si="18"/>
        <v/>
      </c>
      <c r="AE205" t="str">
        <f>CONCATENATE(VLOOKUP(AF205, 'Voxel Sizes'!$A$2:$B$18,2,FALSE),"x",INT(AB205*15), "x", INT(AC205*15))</f>
        <v>0x0x0</v>
      </c>
      <c r="AF205">
        <f t="shared" si="19"/>
        <v>0</v>
      </c>
      <c r="AH205" t="str">
        <f>CONCATENATE(VLOOKUP(AF205,'Articulated Lengths'!$A$2:$C$16,IF(AG205&lt;&gt;"", 3, 2), FALSE),IF(AG205&lt;&gt;"",CONCATENATE(",",VLOOKUP(AG205,$B$2:$AH$216,33,FALSE)),""))</f>
        <v>na</v>
      </c>
      <c r="AN205">
        <v>10</v>
      </c>
      <c r="AO205">
        <v>10</v>
      </c>
      <c r="AS205" t="e">
        <f>VLOOKUP(F205,Eras!$A$2:$C$12, 2, TRUE)</f>
        <v>#N/A</v>
      </c>
      <c r="AU205" t="e">
        <f t="shared" si="20"/>
        <v>#N/A</v>
      </c>
    </row>
    <row r="206" spans="1:47" x14ac:dyDescent="0.25">
      <c r="A206" t="s">
        <v>150</v>
      </c>
      <c r="B206" t="s">
        <v>266</v>
      </c>
      <c r="C206" t="s">
        <v>187</v>
      </c>
      <c r="E206" t="s">
        <v>347</v>
      </c>
      <c r="W206" s="4" t="str">
        <f t="shared" si="18"/>
        <v/>
      </c>
      <c r="AE206" t="str">
        <f>CONCATENATE(VLOOKUP(AF206, 'Voxel Sizes'!$A$2:$B$18,2,FALSE),"x",INT(AB206*15), "x", INT(AC206*15))</f>
        <v>0x0x0</v>
      </c>
      <c r="AF206">
        <f t="shared" si="19"/>
        <v>0</v>
      </c>
      <c r="AH206" t="str">
        <f>CONCATENATE(VLOOKUP(AF206,'Articulated Lengths'!$A$2:$C$16,IF(AG206&lt;&gt;"", 3, 2), FALSE),IF(AG206&lt;&gt;"",CONCATENATE(",",VLOOKUP(AG206,$B$2:$AH$216,33,FALSE)),""))</f>
        <v>na</v>
      </c>
      <c r="AN206">
        <v>10</v>
      </c>
      <c r="AO206">
        <v>10</v>
      </c>
      <c r="AS206" t="e">
        <f>VLOOKUP(F206,Eras!$A$2:$C$12, 2, TRUE)</f>
        <v>#N/A</v>
      </c>
      <c r="AU206" t="e">
        <f t="shared" si="20"/>
        <v>#N/A</v>
      </c>
    </row>
    <row r="207" spans="1:47" x14ac:dyDescent="0.25">
      <c r="A207" t="s">
        <v>151</v>
      </c>
      <c r="B207" t="s">
        <v>267</v>
      </c>
      <c r="C207" t="s">
        <v>187</v>
      </c>
      <c r="E207" t="s">
        <v>347</v>
      </c>
      <c r="W207" s="4" t="str">
        <f t="shared" si="18"/>
        <v/>
      </c>
      <c r="AE207" t="str">
        <f>CONCATENATE(VLOOKUP(AF207, 'Voxel Sizes'!$A$2:$B$18,2,FALSE),"x",INT(AB207*15), "x", INT(AC207*15))</f>
        <v>0x0x0</v>
      </c>
      <c r="AF207">
        <f t="shared" si="19"/>
        <v>0</v>
      </c>
      <c r="AH207" t="str">
        <f>CONCATENATE(VLOOKUP(AF207,'Articulated Lengths'!$A$2:$C$16,IF(AG207&lt;&gt;"", 3, 2), FALSE),IF(AG207&lt;&gt;"",CONCATENATE(",",VLOOKUP(AG207,$B$2:$AH$216,33,FALSE)),""))</f>
        <v>na</v>
      </c>
      <c r="AN207">
        <v>10</v>
      </c>
      <c r="AO207">
        <v>10</v>
      </c>
      <c r="AS207" t="e">
        <f>VLOOKUP(F207,Eras!$A$2:$C$12, 2, TRUE)</f>
        <v>#N/A</v>
      </c>
      <c r="AU207" t="e">
        <f t="shared" si="20"/>
        <v>#N/A</v>
      </c>
    </row>
    <row r="208" spans="1:47" x14ac:dyDescent="0.25">
      <c r="A208" t="s">
        <v>152</v>
      </c>
      <c r="B208" t="s">
        <v>268</v>
      </c>
      <c r="C208" t="s">
        <v>187</v>
      </c>
      <c r="E208" t="s">
        <v>347</v>
      </c>
      <c r="W208" s="4" t="str">
        <f t="shared" si="18"/>
        <v/>
      </c>
      <c r="AE208" t="str">
        <f>CONCATENATE(VLOOKUP(AF208, 'Voxel Sizes'!$A$2:$B$18,2,FALSE),"x",INT(AB208*15), "x", INT(AC208*15))</f>
        <v>0x0x0</v>
      </c>
      <c r="AF208">
        <f t="shared" si="19"/>
        <v>0</v>
      </c>
      <c r="AH208" t="str">
        <f>CONCATENATE(VLOOKUP(AF208,'Articulated Lengths'!$A$2:$C$16,IF(AG208&lt;&gt;"", 3, 2), FALSE),IF(AG208&lt;&gt;"",CONCATENATE(",",VLOOKUP(AG208,$B$2:$AH$216,33,FALSE)),""))</f>
        <v>na</v>
      </c>
      <c r="AN208">
        <v>10</v>
      </c>
      <c r="AO208">
        <v>10</v>
      </c>
      <c r="AS208" t="e">
        <f>VLOOKUP(F208,Eras!$A$2:$C$12, 2, TRUE)</f>
        <v>#N/A</v>
      </c>
      <c r="AU208" t="e">
        <f t="shared" si="20"/>
        <v>#N/A</v>
      </c>
    </row>
    <row r="209" spans="1:47" x14ac:dyDescent="0.25">
      <c r="A209" t="s">
        <v>153</v>
      </c>
      <c r="B209" t="s">
        <v>269</v>
      </c>
      <c r="C209" t="s">
        <v>187</v>
      </c>
      <c r="E209" t="s">
        <v>347</v>
      </c>
      <c r="W209" s="4" t="str">
        <f t="shared" si="18"/>
        <v/>
      </c>
      <c r="AE209" t="str">
        <f>CONCATENATE(VLOOKUP(AF209, 'Voxel Sizes'!$A$2:$B$18,2,FALSE),"x",INT(AB209*15), "x", INT(AC209*15))</f>
        <v>0x0x0</v>
      </c>
      <c r="AF209">
        <f t="shared" si="19"/>
        <v>0</v>
      </c>
      <c r="AH209" t="str">
        <f>CONCATENATE(VLOOKUP(AF209,'Articulated Lengths'!$A$2:$C$16,IF(AG209&lt;&gt;"", 3, 2), FALSE),IF(AG209&lt;&gt;"",CONCATENATE(",",VLOOKUP(AG209,$B$2:$AH$216,33,FALSE)),""))</f>
        <v>na</v>
      </c>
      <c r="AN209">
        <v>10</v>
      </c>
      <c r="AO209">
        <v>10</v>
      </c>
      <c r="AS209" t="e">
        <f>VLOOKUP(F209,Eras!$A$2:$C$12, 2, TRUE)</f>
        <v>#N/A</v>
      </c>
      <c r="AU209" t="e">
        <f t="shared" si="20"/>
        <v>#N/A</v>
      </c>
    </row>
    <row r="210" spans="1:47" x14ac:dyDescent="0.25">
      <c r="A210" t="s">
        <v>154</v>
      </c>
      <c r="B210" t="s">
        <v>270</v>
      </c>
      <c r="C210" t="s">
        <v>187</v>
      </c>
      <c r="E210" t="s">
        <v>347</v>
      </c>
      <c r="W210" s="4" t="str">
        <f t="shared" si="18"/>
        <v/>
      </c>
      <c r="AE210" t="str">
        <f>CONCATENATE(VLOOKUP(AF210, 'Voxel Sizes'!$A$2:$B$18,2,FALSE),"x",INT(AB210*15), "x", INT(AC210*15))</f>
        <v>0x0x0</v>
      </c>
      <c r="AF210">
        <f t="shared" si="19"/>
        <v>0</v>
      </c>
      <c r="AH210" t="str">
        <f>CONCATENATE(VLOOKUP(AF210,'Articulated Lengths'!$A$2:$C$16,IF(AG210&lt;&gt;"", 3, 2), FALSE),IF(AG210&lt;&gt;"",CONCATENATE(",",VLOOKUP(AG210,$B$2:$AH$216,33,FALSE)),""))</f>
        <v>na</v>
      </c>
      <c r="AN210">
        <v>10</v>
      </c>
      <c r="AO210">
        <v>10</v>
      </c>
      <c r="AS210" t="e">
        <f>VLOOKUP(F210,Eras!$A$2:$C$12, 2, TRUE)</f>
        <v>#N/A</v>
      </c>
      <c r="AU210" t="e">
        <f t="shared" si="20"/>
        <v>#N/A</v>
      </c>
    </row>
    <row r="211" spans="1:47" x14ac:dyDescent="0.25">
      <c r="A211" t="s">
        <v>155</v>
      </c>
      <c r="B211" t="s">
        <v>271</v>
      </c>
      <c r="C211" t="s">
        <v>187</v>
      </c>
      <c r="E211" t="s">
        <v>347</v>
      </c>
      <c r="W211" s="4" t="str">
        <f t="shared" si="18"/>
        <v/>
      </c>
      <c r="AE211" t="str">
        <f>CONCATENATE(VLOOKUP(AF211, 'Voxel Sizes'!$A$2:$B$18,2,FALSE),"x",INT(AB211*15), "x", INT(AC211*15))</f>
        <v>0x0x0</v>
      </c>
      <c r="AF211">
        <f t="shared" si="19"/>
        <v>0</v>
      </c>
      <c r="AH211" t="str">
        <f>CONCATENATE(VLOOKUP(AF211,'Articulated Lengths'!$A$2:$C$16,IF(AG211&lt;&gt;"", 3, 2), FALSE),IF(AG211&lt;&gt;"",CONCATENATE(",",VLOOKUP(AG211,$B$2:$AH$216,33,FALSE)),""))</f>
        <v>na</v>
      </c>
      <c r="AN211">
        <v>10</v>
      </c>
      <c r="AO211">
        <v>10</v>
      </c>
      <c r="AS211" t="e">
        <f>VLOOKUP(F211,Eras!$A$2:$C$12, 2, TRUE)</f>
        <v>#N/A</v>
      </c>
      <c r="AU211" t="e">
        <f t="shared" si="20"/>
        <v>#N/A</v>
      </c>
    </row>
    <row r="212" spans="1:47" x14ac:dyDescent="0.25">
      <c r="A212" t="s">
        <v>156</v>
      </c>
      <c r="B212" t="s">
        <v>272</v>
      </c>
      <c r="C212" t="s">
        <v>187</v>
      </c>
      <c r="E212" t="s">
        <v>347</v>
      </c>
      <c r="W212" s="4" t="str">
        <f t="shared" si="18"/>
        <v/>
      </c>
      <c r="AE212" t="str">
        <f>CONCATENATE(VLOOKUP(AF212, 'Voxel Sizes'!$A$2:$B$18,2,FALSE),"x",INT(AB212*15), "x", INT(AC212*15))</f>
        <v>0x0x0</v>
      </c>
      <c r="AF212">
        <f t="shared" si="19"/>
        <v>0</v>
      </c>
      <c r="AH212" t="str">
        <f>CONCATENATE(VLOOKUP(AF212,'Articulated Lengths'!$A$2:$C$16,IF(AG212&lt;&gt;"", 3, 2), FALSE),IF(AG212&lt;&gt;"",CONCATENATE(",",VLOOKUP(AG212,$B$2:$AH$216,33,FALSE)),""))</f>
        <v>na</v>
      </c>
      <c r="AN212">
        <v>10</v>
      </c>
      <c r="AO212">
        <v>10</v>
      </c>
      <c r="AS212" t="e">
        <f>VLOOKUP(F212,Eras!$A$2:$C$12, 2, TRUE)</f>
        <v>#N/A</v>
      </c>
      <c r="AU212" t="e">
        <f t="shared" si="20"/>
        <v>#N/A</v>
      </c>
    </row>
    <row r="213" spans="1:47" x14ac:dyDescent="0.25">
      <c r="A213" t="s">
        <v>157</v>
      </c>
      <c r="B213" t="s">
        <v>273</v>
      </c>
      <c r="C213" t="s">
        <v>187</v>
      </c>
      <c r="E213" t="s">
        <v>347</v>
      </c>
      <c r="W213" s="4" t="str">
        <f t="shared" si="18"/>
        <v/>
      </c>
      <c r="AE213" t="str">
        <f>CONCATENATE(VLOOKUP(AF213, 'Voxel Sizes'!$A$2:$B$18,2,FALSE),"x",INT(AB213*15), "x", INT(AC213*15))</f>
        <v>0x0x0</v>
      </c>
      <c r="AF213">
        <f t="shared" si="19"/>
        <v>0</v>
      </c>
      <c r="AH213" t="str">
        <f>CONCATENATE(VLOOKUP(AF213,'Articulated Lengths'!$A$2:$C$16,IF(AG213&lt;&gt;"", 3, 2), FALSE),IF(AG213&lt;&gt;"",CONCATENATE(",",VLOOKUP(AG213,$B$2:$AH$216,33,FALSE)),""))</f>
        <v>na</v>
      </c>
      <c r="AN213">
        <v>10</v>
      </c>
      <c r="AO213">
        <v>10</v>
      </c>
      <c r="AS213" t="e">
        <f>VLOOKUP(F213,Eras!$A$2:$C$12, 2, TRUE)</f>
        <v>#N/A</v>
      </c>
      <c r="AU213" t="e">
        <f t="shared" si="20"/>
        <v>#N/A</v>
      </c>
    </row>
    <row r="214" spans="1:47" x14ac:dyDescent="0.25">
      <c r="A214" t="s">
        <v>158</v>
      </c>
      <c r="B214" t="s">
        <v>274</v>
      </c>
      <c r="C214" t="s">
        <v>187</v>
      </c>
      <c r="E214" t="s">
        <v>347</v>
      </c>
      <c r="W214" s="4" t="str">
        <f t="shared" si="18"/>
        <v/>
      </c>
      <c r="AE214" t="str">
        <f>CONCATENATE(VLOOKUP(AF214, 'Voxel Sizes'!$A$2:$B$18,2,FALSE),"x",INT(AB214*15), "x", INT(AC214*15))</f>
        <v>0x0x0</v>
      </c>
      <c r="AF214">
        <f t="shared" si="19"/>
        <v>0</v>
      </c>
      <c r="AH214" t="str">
        <f>CONCATENATE(VLOOKUP(AF214,'Articulated Lengths'!$A$2:$C$16,IF(AG214&lt;&gt;"", 3, 2), FALSE),IF(AG214&lt;&gt;"",CONCATENATE(",",VLOOKUP(AG214,$B$2:$AH$216,33,FALSE)),""))</f>
        <v>na</v>
      </c>
      <c r="AN214">
        <v>10</v>
      </c>
      <c r="AO214">
        <v>10</v>
      </c>
      <c r="AS214" t="e">
        <f>VLOOKUP(F214,Eras!$A$2:$C$12, 2, TRUE)</f>
        <v>#N/A</v>
      </c>
      <c r="AU214" t="e">
        <f t="shared" si="20"/>
        <v>#N/A</v>
      </c>
    </row>
    <row r="215" spans="1:47" x14ac:dyDescent="0.25">
      <c r="A215" t="s">
        <v>159</v>
      </c>
      <c r="B215" t="s">
        <v>275</v>
      </c>
      <c r="C215" t="s">
        <v>187</v>
      </c>
      <c r="E215" t="s">
        <v>347</v>
      </c>
      <c r="W215" s="4" t="str">
        <f t="shared" si="18"/>
        <v/>
      </c>
      <c r="AE215" t="str">
        <f>CONCATENATE(VLOOKUP(AF215, 'Voxel Sizes'!$A$2:$B$18,2,FALSE),"x",INT(AB215*15), "x", INT(AC215*15))</f>
        <v>0x0x0</v>
      </c>
      <c r="AF215">
        <f t="shared" si="19"/>
        <v>0</v>
      </c>
      <c r="AH215" t="str">
        <f>CONCATENATE(VLOOKUP(AF215,'Articulated Lengths'!$A$2:$C$16,IF(AG215&lt;&gt;"", 3, 2), FALSE),IF(AG215&lt;&gt;"",CONCATENATE(",",VLOOKUP(AG215,$B$2:$AH$216,33,FALSE)),""))</f>
        <v>na</v>
      </c>
      <c r="AN215">
        <v>10</v>
      </c>
      <c r="AO215">
        <v>10</v>
      </c>
      <c r="AS215" t="e">
        <f>VLOOKUP(F215,Eras!$A$2:$C$12, 2, TRUE)</f>
        <v>#N/A</v>
      </c>
      <c r="AU215" t="e">
        <f t="shared" si="20"/>
        <v>#N/A</v>
      </c>
    </row>
    <row r="216" spans="1:47" x14ac:dyDescent="0.25">
      <c r="A216" t="s">
        <v>160</v>
      </c>
      <c r="B216" t="s">
        <v>276</v>
      </c>
      <c r="C216" t="s">
        <v>187</v>
      </c>
      <c r="E216" t="s">
        <v>347</v>
      </c>
      <c r="W216" s="4" t="str">
        <f t="shared" si="18"/>
        <v/>
      </c>
      <c r="AE216" t="str">
        <f>CONCATENATE(VLOOKUP(AF216, 'Voxel Sizes'!$A$2:$B$18,2,FALSE),"x",INT(AB216*15), "x", INT(AC216*15))</f>
        <v>0x0x0</v>
      </c>
      <c r="AF216">
        <f t="shared" si="19"/>
        <v>0</v>
      </c>
      <c r="AH216" t="str">
        <f>CONCATENATE(VLOOKUP(AF216,'Articulated Lengths'!$A$2:$C$16,IF(AG216&lt;&gt;"", 3, 2), FALSE),IF(AG216&lt;&gt;"",CONCATENATE(",",VLOOKUP(AG216,$B$2:$AH$216,33,FALSE)),""))</f>
        <v>na</v>
      </c>
      <c r="AN216">
        <v>10</v>
      </c>
      <c r="AO216">
        <v>10</v>
      </c>
      <c r="AS216" t="e">
        <f>VLOOKUP(F216,Eras!$A$2:$C$12, 2, TRUE)</f>
        <v>#N/A</v>
      </c>
      <c r="AU216" t="e">
        <f t="shared" si="20"/>
        <v>#N/A</v>
      </c>
    </row>
    <row r="217" spans="1:47" x14ac:dyDescent="0.25">
      <c r="A217" t="s">
        <v>469</v>
      </c>
      <c r="B217" t="s">
        <v>476</v>
      </c>
      <c r="C217" t="s">
        <v>187</v>
      </c>
      <c r="W217" s="4" t="str">
        <f t="shared" si="18"/>
        <v/>
      </c>
      <c r="AH217" t="str">
        <f>CONCATENATE(VLOOKUP(AF217,'Articulated Lengths'!$A$2:$C$16,IF(AG217&lt;&gt;"", 3, 2), FALSE),IF(AG217&lt;&gt;"",CONCATENATE(",",VLOOKUP(AG217,$B$2:$AH$216,33,FALSE)),""))</f>
        <v>na</v>
      </c>
    </row>
    <row r="218" spans="1:47" x14ac:dyDescent="0.25">
      <c r="A218" t="s">
        <v>470</v>
      </c>
      <c r="B218" t="s">
        <v>477</v>
      </c>
      <c r="C218" t="s">
        <v>187</v>
      </c>
      <c r="W218" s="4" t="str">
        <f t="shared" si="18"/>
        <v/>
      </c>
      <c r="AH218" t="str">
        <f>CONCATENATE(VLOOKUP(AF218,'Articulated Lengths'!$A$2:$C$16,IF(AG218&lt;&gt;"", 3, 2), FALSE),IF(AG218&lt;&gt;"",CONCATENATE(",",VLOOKUP(AG218,$B$2:$AH$216,33,FALSE)),""))</f>
        <v>na</v>
      </c>
    </row>
    <row r="219" spans="1:47" x14ac:dyDescent="0.25">
      <c r="A219" t="s">
        <v>471</v>
      </c>
      <c r="B219" t="s">
        <v>478</v>
      </c>
      <c r="C219" t="s">
        <v>187</v>
      </c>
      <c r="W219" s="4" t="str">
        <f t="shared" si="18"/>
        <v/>
      </c>
      <c r="AH219" t="str">
        <f>CONCATENATE(VLOOKUP(AF219,'Articulated Lengths'!$A$2:$C$16,IF(AG219&lt;&gt;"", 3, 2), FALSE),IF(AG219&lt;&gt;"",CONCATENATE(",",VLOOKUP(AG219,$B$2:$AH$216,33,FALSE)),""))</f>
        <v>na</v>
      </c>
    </row>
    <row r="220" spans="1:47" x14ac:dyDescent="0.25">
      <c r="A220" t="s">
        <v>472</v>
      </c>
      <c r="B220" t="s">
        <v>479</v>
      </c>
      <c r="C220" t="s">
        <v>187</v>
      </c>
      <c r="W220" s="4" t="str">
        <f t="shared" si="18"/>
        <v/>
      </c>
      <c r="AH220" t="str">
        <f>CONCATENATE(VLOOKUP(AF220,'Articulated Lengths'!$A$2:$C$16,IF(AG220&lt;&gt;"", 3, 2), FALSE),IF(AG220&lt;&gt;"",CONCATENATE(",",VLOOKUP(AG220,$B$2:$AH$216,33,FALSE)),""))</f>
        <v>na</v>
      </c>
    </row>
    <row r="221" spans="1:47" x14ac:dyDescent="0.25">
      <c r="A221" t="s">
        <v>473</v>
      </c>
      <c r="B221" t="s">
        <v>480</v>
      </c>
      <c r="C221" t="s">
        <v>187</v>
      </c>
      <c r="W221" s="4" t="str">
        <f t="shared" si="18"/>
        <v/>
      </c>
      <c r="AH221" t="str">
        <f>CONCATENATE(VLOOKUP(AF221,'Articulated Lengths'!$A$2:$C$16,IF(AG221&lt;&gt;"", 3, 2), FALSE),IF(AG221&lt;&gt;"",CONCATENATE(",",VLOOKUP(AG221,$B$2:$AH$216,33,FALSE)),""))</f>
        <v>na</v>
      </c>
    </row>
  </sheetData>
  <autoFilter ref="A1:AV221" xr:uid="{CF2E8555-48EE-4386-A1B1-369F6A2E644F}"/>
  <sortState xmlns:xlrd2="http://schemas.microsoft.com/office/spreadsheetml/2017/richdata2" ref="A2:AV221">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459</v>
      </c>
      <c r="D1" s="1" t="s">
        <v>409</v>
      </c>
      <c r="E1" s="1" t="s">
        <v>408</v>
      </c>
      <c r="F1" s="1" t="s">
        <v>410</v>
      </c>
      <c r="G1" s="1" t="s">
        <v>411</v>
      </c>
      <c r="H1" s="1" t="s">
        <v>419</v>
      </c>
      <c r="I1" s="1" t="s">
        <v>420</v>
      </c>
      <c r="J1" s="1" t="s">
        <v>421</v>
      </c>
      <c r="K1" s="1" t="s">
        <v>412</v>
      </c>
      <c r="L1" s="1" t="s">
        <v>413</v>
      </c>
      <c r="M1" s="1" t="s">
        <v>414</v>
      </c>
      <c r="N1" s="1" t="s">
        <v>415</v>
      </c>
      <c r="O1" s="1" t="s">
        <v>416</v>
      </c>
      <c r="P1" s="1" t="s">
        <v>427</v>
      </c>
      <c r="Q1" s="1" t="s">
        <v>417</v>
      </c>
      <c r="R1" s="1" t="s">
        <v>418</v>
      </c>
      <c r="S1" s="1" t="s">
        <v>422</v>
      </c>
      <c r="T1" s="1" t="s">
        <v>423</v>
      </c>
      <c r="U1" s="1" t="s">
        <v>424</v>
      </c>
      <c r="V1" s="1" t="s">
        <v>425</v>
      </c>
    </row>
    <row r="2" spans="1:22" x14ac:dyDescent="0.25">
      <c r="A2" s="1" t="s">
        <v>406</v>
      </c>
      <c r="B2" s="1" t="s">
        <v>407</v>
      </c>
    </row>
    <row r="3" spans="1:22" x14ac:dyDescent="0.25">
      <c r="A3" t="s">
        <v>395</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466</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396</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397</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398</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399</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400</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401</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3</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402</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3</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3</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403</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2</v>
      </c>
      <c r="O12">
        <f>COUNTIF(Table!$AU:$AU,CONCATENATE($A12,"_",O$1))</f>
        <v>2</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404</v>
      </c>
      <c r="B13" t="str">
        <f>VLOOKUP(A13, Eras!$B$2:$C$12, 2, FALSE)</f>
        <v>Modern (2005-)</v>
      </c>
      <c r="C13">
        <f>COUNTIF(Table!$AU:$AU,CONCATENATE($A13,"_",C$1))</f>
        <v>0</v>
      </c>
      <c r="D13">
        <f>COUNTIF(Table!$AU:$AU,CONCATENATE($A13,"_",D$1))</f>
        <v>1</v>
      </c>
      <c r="E13">
        <f>COUNTIF(Table!$AU:$AU,CONCATENATE($A13,"_",E$1))</f>
        <v>0</v>
      </c>
      <c r="F13">
        <f>COUNTIF(Table!$AU:$AU,CONCATENATE($A13,"_",F$1))</f>
        <v>0</v>
      </c>
      <c r="G13">
        <f>COUNTIF(Table!$AU:$AU,CONCATENATE($A13,"_",G$1))</f>
        <v>1</v>
      </c>
      <c r="H13">
        <f>COUNTIF(Table!$AU:$AU,CONCATENATE($A13,"_",H$1))</f>
        <v>0</v>
      </c>
      <c r="I13">
        <f>COUNTIF(Table!$AU:$AU,CONCATENATE($A13,"_",I$1))</f>
        <v>0</v>
      </c>
      <c r="J13">
        <f>COUNTIF(Table!$AU:$AU,CONCATENATE($A13,"_",J$1))</f>
        <v>1</v>
      </c>
      <c r="K13">
        <f>COUNTIF(Table!$AU:$AU,CONCATENATE($A13,"_",K$1))</f>
        <v>0</v>
      </c>
      <c r="L13">
        <f>COUNTIF(Table!$AU:$AU,CONCATENATE($A13,"_",L$1))</f>
        <v>0</v>
      </c>
      <c r="M13">
        <f>COUNTIF(Table!$AU:$AU,CONCATENATE($A13,"_",M$1))</f>
        <v>0</v>
      </c>
      <c r="N13">
        <f>COUNTIF(Table!$AU:$AU,CONCATENATE($A13,"_",N$1))</f>
        <v>1</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384</v>
      </c>
      <c r="B1" s="1" t="s">
        <v>394</v>
      </c>
      <c r="C1" s="1" t="s">
        <v>385</v>
      </c>
    </row>
    <row r="2" spans="1:3" x14ac:dyDescent="0.25">
      <c r="A2">
        <v>1800</v>
      </c>
      <c r="B2" t="s">
        <v>395</v>
      </c>
      <c r="C2" t="s">
        <v>465</v>
      </c>
    </row>
    <row r="3" spans="1:3" x14ac:dyDescent="0.25">
      <c r="A3">
        <v>1850</v>
      </c>
      <c r="B3" t="s">
        <v>466</v>
      </c>
      <c r="C3" t="s">
        <v>464</v>
      </c>
    </row>
    <row r="4" spans="1:3" x14ac:dyDescent="0.25">
      <c r="A4">
        <v>1900</v>
      </c>
      <c r="B4" t="s">
        <v>396</v>
      </c>
      <c r="C4" t="s">
        <v>386</v>
      </c>
    </row>
    <row r="5" spans="1:3" x14ac:dyDescent="0.25">
      <c r="A5">
        <v>1923</v>
      </c>
      <c r="B5" t="s">
        <v>397</v>
      </c>
      <c r="C5" t="s">
        <v>510</v>
      </c>
    </row>
    <row r="6" spans="1:3" x14ac:dyDescent="0.25">
      <c r="A6">
        <v>1948</v>
      </c>
      <c r="B6" t="s">
        <v>398</v>
      </c>
      <c r="C6" t="s">
        <v>387</v>
      </c>
    </row>
    <row r="7" spans="1:3" x14ac:dyDescent="0.25">
      <c r="A7">
        <v>1955</v>
      </c>
      <c r="B7" t="s">
        <v>399</v>
      </c>
      <c r="C7" t="s">
        <v>388</v>
      </c>
    </row>
    <row r="8" spans="1:3" x14ac:dyDescent="0.25">
      <c r="A8">
        <v>1965</v>
      </c>
      <c r="B8" t="s">
        <v>400</v>
      </c>
      <c r="C8" t="s">
        <v>389</v>
      </c>
    </row>
    <row r="9" spans="1:3" x14ac:dyDescent="0.25">
      <c r="A9">
        <v>1975</v>
      </c>
      <c r="B9" t="s">
        <v>401</v>
      </c>
      <c r="C9" t="s">
        <v>390</v>
      </c>
    </row>
    <row r="10" spans="1:3" x14ac:dyDescent="0.25">
      <c r="A10">
        <v>1985</v>
      </c>
      <c r="B10" t="s">
        <v>402</v>
      </c>
      <c r="C10" t="s">
        <v>391</v>
      </c>
    </row>
    <row r="11" spans="1:3" x14ac:dyDescent="0.25">
      <c r="A11">
        <v>1995</v>
      </c>
      <c r="B11" t="s">
        <v>403</v>
      </c>
      <c r="C11" t="s">
        <v>392</v>
      </c>
    </row>
    <row r="12" spans="1:3" x14ac:dyDescent="0.25">
      <c r="A12">
        <v>2005</v>
      </c>
      <c r="B12" t="s">
        <v>404</v>
      </c>
      <c r="C12" t="s">
        <v>393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316</v>
      </c>
      <c r="B1" s="1" t="s">
        <v>317</v>
      </c>
      <c r="C1" s="1" t="s">
        <v>596</v>
      </c>
    </row>
    <row r="2" spans="1:3" x14ac:dyDescent="0.25">
      <c r="A2" s="2">
        <v>0</v>
      </c>
      <c r="B2" s="2" t="s">
        <v>187</v>
      </c>
    </row>
    <row r="3" spans="1:3" x14ac:dyDescent="0.25">
      <c r="A3">
        <v>3</v>
      </c>
      <c r="B3" t="s">
        <v>365</v>
      </c>
      <c r="C3" t="s">
        <v>365</v>
      </c>
    </row>
    <row r="4" spans="1:3" x14ac:dyDescent="0.25">
      <c r="A4">
        <v>4</v>
      </c>
      <c r="B4" t="s">
        <v>598</v>
      </c>
      <c r="C4" t="s">
        <v>598</v>
      </c>
    </row>
    <row r="5" spans="1:3" x14ac:dyDescent="0.25">
      <c r="A5">
        <v>5</v>
      </c>
      <c r="B5" t="s">
        <v>694</v>
      </c>
      <c r="C5" t="s">
        <v>694</v>
      </c>
    </row>
    <row r="6" spans="1:3" x14ac:dyDescent="0.25">
      <c r="A6">
        <v>6</v>
      </c>
      <c r="B6" t="s">
        <v>378</v>
      </c>
      <c r="C6" t="s">
        <v>378</v>
      </c>
    </row>
    <row r="7" spans="1:3" x14ac:dyDescent="0.25">
      <c r="A7">
        <v>7</v>
      </c>
      <c r="B7" t="s">
        <v>597</v>
      </c>
      <c r="C7" t="s">
        <v>597</v>
      </c>
    </row>
    <row r="8" spans="1:3" x14ac:dyDescent="0.25">
      <c r="A8">
        <v>8</v>
      </c>
      <c r="B8" t="s">
        <v>695</v>
      </c>
      <c r="C8" t="s">
        <v>695</v>
      </c>
    </row>
    <row r="9" spans="1:3" x14ac:dyDescent="0.25">
      <c r="A9">
        <v>9</v>
      </c>
      <c r="B9" t="s">
        <v>696</v>
      </c>
      <c r="C9" t="s">
        <v>696</v>
      </c>
    </row>
    <row r="10" spans="1:3" x14ac:dyDescent="0.25">
      <c r="A10">
        <v>10</v>
      </c>
      <c r="B10" t="s">
        <v>697</v>
      </c>
      <c r="C10" t="s">
        <v>697</v>
      </c>
    </row>
    <row r="11" spans="1:3" x14ac:dyDescent="0.25">
      <c r="A11">
        <v>11</v>
      </c>
      <c r="B11" t="s">
        <v>698</v>
      </c>
      <c r="C11" t="s">
        <v>698</v>
      </c>
    </row>
    <row r="12" spans="1:3" x14ac:dyDescent="0.25">
      <c r="A12">
        <v>12</v>
      </c>
      <c r="B12" t="s">
        <v>699</v>
      </c>
      <c r="C12" t="s">
        <v>699</v>
      </c>
    </row>
    <row r="13" spans="1:3" x14ac:dyDescent="0.25">
      <c r="A13">
        <v>13</v>
      </c>
      <c r="B13" t="s">
        <v>700</v>
      </c>
      <c r="C13" t="s">
        <v>700</v>
      </c>
    </row>
    <row r="14" spans="1:3" x14ac:dyDescent="0.25">
      <c r="A14">
        <v>14</v>
      </c>
      <c r="B14" t="s">
        <v>701</v>
      </c>
      <c r="C14" t="s">
        <v>701</v>
      </c>
    </row>
    <row r="15" spans="1:3" x14ac:dyDescent="0.25">
      <c r="A15">
        <v>15</v>
      </c>
      <c r="B15" t="s">
        <v>702</v>
      </c>
      <c r="C15" t="s">
        <v>702</v>
      </c>
    </row>
    <row r="16" spans="1:3" x14ac:dyDescent="0.25">
      <c r="A16">
        <v>16</v>
      </c>
      <c r="B16" t="s">
        <v>703</v>
      </c>
      <c r="C16" t="s">
        <v>703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C15" sqref="C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372</v>
      </c>
      <c r="B1" s="1" t="s">
        <v>373</v>
      </c>
      <c r="C1" s="1" t="s">
        <v>374</v>
      </c>
      <c r="D1" s="1" t="s">
        <v>375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2020-07-02T21:16:15Z</dcterms:modified>
</cp:coreProperties>
</file>