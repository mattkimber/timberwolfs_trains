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E796418-B64B-4ADC-B0CF-1E9DB9FC3144}" xr6:coauthVersionLast="45" xr6:coauthVersionMax="45" xr10:uidLastSave="{00000000-0000-0000-0000-000000000000}"/>
  <bookViews>
    <workbookView xWindow="3465" yWindow="1935" windowWidth="22965" windowHeight="1233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62" i="1" l="1"/>
  <c r="V261" i="1"/>
  <c r="V246" i="1" l="1"/>
  <c r="K246" i="1"/>
  <c r="V241" i="1"/>
  <c r="V229" i="1"/>
  <c r="V226" i="1"/>
  <c r="V243" i="1"/>
  <c r="V245" i="1"/>
  <c r="K226" i="1" l="1"/>
  <c r="BC226" i="1" l="1"/>
  <c r="BB226" i="1"/>
  <c r="BA226" i="1"/>
  <c r="BC229" i="1"/>
  <c r="BB229" i="1"/>
  <c r="BA229" i="1"/>
  <c r="CC226" i="1"/>
  <c r="BX226" i="1"/>
  <c r="BT226" i="1"/>
  <c r="BV226" i="1" s="1"/>
  <c r="AY226" i="1"/>
  <c r="AW226" i="1"/>
  <c r="AT226" i="1"/>
  <c r="AI226" i="1"/>
  <c r="AG226" i="1"/>
  <c r="AF226" i="1" s="1"/>
  <c r="X226" i="1"/>
  <c r="AX226" i="1"/>
  <c r="CB264" i="1"/>
  <c r="BZ264" i="1"/>
  <c r="BX264" i="1"/>
  <c r="BY264" i="1" s="1"/>
  <c r="BW264" i="1"/>
  <c r="BT264" i="1"/>
  <c r="BV264" i="1" s="1"/>
  <c r="BC264" i="1"/>
  <c r="BB264" i="1"/>
  <c r="BA264" i="1"/>
  <c r="AY264" i="1"/>
  <c r="AX264" i="1"/>
  <c r="AW264" i="1"/>
  <c r="AT264" i="1"/>
  <c r="AG264" i="1"/>
  <c r="AF264" i="1" s="1"/>
  <c r="X264" i="1"/>
  <c r="CB263" i="1"/>
  <c r="BZ263" i="1"/>
  <c r="BX263" i="1"/>
  <c r="BY263" i="1" s="1"/>
  <c r="BW263" i="1"/>
  <c r="BT263" i="1"/>
  <c r="BV263" i="1" s="1"/>
  <c r="BC263" i="1"/>
  <c r="BB263" i="1"/>
  <c r="BA263" i="1"/>
  <c r="AY263" i="1"/>
  <c r="AX263" i="1"/>
  <c r="AW263" i="1"/>
  <c r="AT263" i="1"/>
  <c r="AG263" i="1"/>
  <c r="AF263" i="1" s="1"/>
  <c r="X263" i="1"/>
  <c r="CB262" i="1"/>
  <c r="BZ262" i="1"/>
  <c r="BX262" i="1"/>
  <c r="BY262" i="1" s="1"/>
  <c r="BW262" i="1"/>
  <c r="BT262" i="1"/>
  <c r="BV262" i="1" s="1"/>
  <c r="BC262" i="1"/>
  <c r="BB262" i="1"/>
  <c r="BA262" i="1"/>
  <c r="AY262" i="1"/>
  <c r="AX262" i="1"/>
  <c r="AW262" i="1"/>
  <c r="AT262" i="1"/>
  <c r="AG262" i="1"/>
  <c r="AF262" i="1" s="1"/>
  <c r="X262" i="1"/>
  <c r="K229" i="1"/>
  <c r="AX229" i="1" s="1"/>
  <c r="X229" i="1"/>
  <c r="AG229" i="1"/>
  <c r="AF229" i="1" s="1"/>
  <c r="AT229" i="1"/>
  <c r="AW229" i="1"/>
  <c r="AY229" i="1"/>
  <c r="BT229" i="1"/>
  <c r="BV229" i="1" s="1"/>
  <c r="BX229" i="1"/>
  <c r="CC229" i="1"/>
  <c r="AI262" i="1" l="1"/>
  <c r="BD229" i="1"/>
  <c r="BF229" i="1" s="1"/>
  <c r="AI229" i="1"/>
  <c r="AI264" i="1"/>
  <c r="BE229" i="1"/>
  <c r="BG229" i="1" s="1"/>
  <c r="BE226" i="1"/>
  <c r="BG226" i="1" s="1"/>
  <c r="BD226" i="1"/>
  <c r="BF226" i="1" s="1"/>
  <c r="BE264" i="1"/>
  <c r="BG264" i="1" s="1"/>
  <c r="BD263" i="1"/>
  <c r="BF263" i="1" s="1"/>
  <c r="BE262" i="1"/>
  <c r="BG262" i="1" s="1"/>
  <c r="CC264" i="1"/>
  <c r="BD264" i="1"/>
  <c r="BF264" i="1" s="1"/>
  <c r="CC262" i="1"/>
  <c r="CC263" i="1"/>
  <c r="BE263" i="1"/>
  <c r="BG263" i="1" s="1"/>
  <c r="AI263" i="1"/>
  <c r="BD262" i="1"/>
  <c r="BF262"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6" i="1"/>
  <c r="BZ236" i="1"/>
  <c r="BX236" i="1"/>
  <c r="BY236" i="1" s="1"/>
  <c r="CC236" i="1" s="1"/>
  <c r="BW236" i="1"/>
  <c r="BT236" i="1"/>
  <c r="BV236" i="1" s="1"/>
  <c r="BC236" i="1"/>
  <c r="BB236" i="1"/>
  <c r="BA236" i="1"/>
  <c r="AY236" i="1"/>
  <c r="AX236" i="1"/>
  <c r="AW236" i="1"/>
  <c r="AT236" i="1"/>
  <c r="AG236" i="1"/>
  <c r="AI236" i="1" s="1"/>
  <c r="X236" i="1"/>
  <c r="V236" i="1"/>
  <c r="B39" i="6" l="1"/>
  <c r="BE236" i="1"/>
  <c r="BG236" i="1" s="1"/>
  <c r="BD236" i="1"/>
  <c r="BF236" i="1" s="1"/>
  <c r="AF236" i="1"/>
  <c r="BT280" i="1"/>
  <c r="BV280" i="1" s="1"/>
  <c r="BT179" i="1"/>
  <c r="BV179" i="1" s="1"/>
  <c r="BT281" i="1"/>
  <c r="BV281" i="1" s="1"/>
  <c r="AW280" i="1"/>
  <c r="AX280" i="1"/>
  <c r="AY280" i="1"/>
  <c r="AW179" i="1"/>
  <c r="AX179" i="1"/>
  <c r="AY179" i="1"/>
  <c r="AW281" i="1"/>
  <c r="AX281" i="1"/>
  <c r="AY281" i="1"/>
  <c r="BX281" i="1"/>
  <c r="BC280" i="1"/>
  <c r="BC179" i="1"/>
  <c r="BC281" i="1"/>
  <c r="BB280" i="1"/>
  <c r="BB179" i="1"/>
  <c r="BB281" i="1"/>
  <c r="AT267" i="1"/>
  <c r="AT268" i="1"/>
  <c r="AT269" i="1"/>
  <c r="AT270" i="1"/>
  <c r="AT271" i="1"/>
  <c r="AT272" i="1"/>
  <c r="AT273" i="1"/>
  <c r="AT274" i="1"/>
  <c r="AT275" i="1"/>
  <c r="AT276" i="1"/>
  <c r="AT277" i="1"/>
  <c r="AT278" i="1"/>
  <c r="AT279" i="1"/>
  <c r="AT280" i="1"/>
  <c r="AT179" i="1"/>
  <c r="AT281" i="1"/>
  <c r="AG280" i="1"/>
  <c r="AF280" i="1" s="1"/>
  <c r="AG179" i="1"/>
  <c r="AF179" i="1" s="1"/>
  <c r="AG281" i="1"/>
  <c r="AF281" i="1" s="1"/>
  <c r="X267" i="1"/>
  <c r="X268" i="1"/>
  <c r="X269" i="1"/>
  <c r="X270" i="1"/>
  <c r="X271" i="1"/>
  <c r="X272" i="1"/>
  <c r="X273" i="1"/>
  <c r="X274" i="1"/>
  <c r="X275" i="1"/>
  <c r="X276" i="1"/>
  <c r="X277" i="1"/>
  <c r="X278" i="1"/>
  <c r="X279" i="1"/>
  <c r="X280" i="1"/>
  <c r="X179" i="1"/>
  <c r="X281" i="1"/>
  <c r="AI280" i="1" l="1"/>
  <c r="AI179" i="1"/>
  <c r="AI281" i="1"/>
  <c r="N13" i="2"/>
  <c r="N14" i="2"/>
  <c r="N15" i="2"/>
  <c r="N16" i="2"/>
  <c r="N3" i="2"/>
  <c r="N4" i="2"/>
  <c r="N5" i="2"/>
  <c r="N6" i="2"/>
  <c r="N7" i="2"/>
  <c r="N8" i="2"/>
  <c r="N9" i="2"/>
  <c r="N10" i="2"/>
  <c r="N11" i="2"/>
  <c r="N12" i="2"/>
  <c r="N2" i="2"/>
  <c r="CC281"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2" i="1"/>
  <c r="BZ104" i="1"/>
  <c r="BZ101" i="1"/>
  <c r="BZ103" i="1"/>
  <c r="BZ106" i="1"/>
  <c r="BZ108" i="1"/>
  <c r="BZ110" i="1"/>
  <c r="BZ112" i="1"/>
  <c r="BZ114" i="1"/>
  <c r="BZ105" i="1"/>
  <c r="BZ107" i="1"/>
  <c r="BZ109" i="1"/>
  <c r="BZ111" i="1"/>
  <c r="BZ113"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7" i="1"/>
  <c r="BZ228" i="1"/>
  <c r="BZ230" i="1"/>
  <c r="BZ231" i="1"/>
  <c r="BZ232" i="1"/>
  <c r="BZ233" i="1"/>
  <c r="BZ234" i="1"/>
  <c r="BZ235" i="1"/>
  <c r="BZ237" i="1"/>
  <c r="BZ238" i="1"/>
  <c r="BZ244" i="1"/>
  <c r="BZ239" i="1"/>
  <c r="BZ240" i="1"/>
  <c r="BZ241" i="1"/>
  <c r="BZ242" i="1"/>
  <c r="BZ247" i="1"/>
  <c r="BZ248" i="1"/>
  <c r="BZ249" i="1"/>
  <c r="BZ250" i="1"/>
  <c r="BZ251" i="1"/>
  <c r="BZ252" i="1"/>
  <c r="BZ253" i="1"/>
  <c r="BZ254" i="1"/>
  <c r="BZ255" i="1"/>
  <c r="BZ256" i="1"/>
  <c r="BZ257" i="1"/>
  <c r="BZ258" i="1"/>
  <c r="BZ259" i="1"/>
  <c r="BZ260" i="1"/>
  <c r="BZ245" i="1"/>
  <c r="BZ243" i="1"/>
  <c r="BZ246" i="1"/>
  <c r="BZ261" i="1"/>
  <c r="BZ265" i="1"/>
  <c r="BZ266" i="1"/>
  <c r="BZ267" i="1"/>
  <c r="BZ268" i="1"/>
  <c r="BZ269" i="1"/>
  <c r="BZ270" i="1"/>
  <c r="BZ271" i="1"/>
  <c r="BZ272" i="1"/>
  <c r="BZ273" i="1"/>
  <c r="BZ274" i="1"/>
  <c r="BZ275" i="1"/>
  <c r="BZ276" i="1"/>
  <c r="BZ277" i="1"/>
  <c r="BZ278" i="1"/>
  <c r="BZ279" i="1"/>
  <c r="BZ280" i="1"/>
  <c r="BZ179"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2" i="1"/>
  <c r="BY102" i="1" s="1"/>
  <c r="BX104" i="1"/>
  <c r="BY104" i="1" s="1"/>
  <c r="BX101" i="1"/>
  <c r="BY101" i="1" s="1"/>
  <c r="BX103" i="1"/>
  <c r="BY103" i="1" s="1"/>
  <c r="BX106" i="1"/>
  <c r="BY106" i="1" s="1"/>
  <c r="BX108" i="1"/>
  <c r="BY108" i="1" s="1"/>
  <c r="BX110" i="1"/>
  <c r="BY110" i="1" s="1"/>
  <c r="BX112" i="1"/>
  <c r="BY112" i="1" s="1"/>
  <c r="BX114" i="1"/>
  <c r="BY114" i="1" s="1"/>
  <c r="BX105" i="1"/>
  <c r="BY105" i="1" s="1"/>
  <c r="BX107" i="1"/>
  <c r="BY107" i="1" s="1"/>
  <c r="BX109" i="1"/>
  <c r="BY109" i="1" s="1"/>
  <c r="BX111" i="1"/>
  <c r="BY111" i="1" s="1"/>
  <c r="BX113" i="1"/>
  <c r="BY113"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7" i="1"/>
  <c r="BY227" i="1" s="1"/>
  <c r="BX228" i="1"/>
  <c r="BY228" i="1" s="1"/>
  <c r="BX230" i="1"/>
  <c r="BY230" i="1" s="1"/>
  <c r="BX231" i="1"/>
  <c r="BY231" i="1" s="1"/>
  <c r="BX232" i="1"/>
  <c r="BY232" i="1" s="1"/>
  <c r="BX233" i="1"/>
  <c r="BY233" i="1" s="1"/>
  <c r="BX234" i="1"/>
  <c r="BY234" i="1" s="1"/>
  <c r="BX235" i="1"/>
  <c r="BY235" i="1" s="1"/>
  <c r="BX237" i="1"/>
  <c r="BY237" i="1" s="1"/>
  <c r="BX238" i="1"/>
  <c r="BY238" i="1" s="1"/>
  <c r="BX244" i="1"/>
  <c r="BY244" i="1" s="1"/>
  <c r="BX239" i="1"/>
  <c r="BY239" i="1" s="1"/>
  <c r="BX240" i="1"/>
  <c r="BY240" i="1" s="1"/>
  <c r="BX241" i="1"/>
  <c r="BY241" i="1" s="1"/>
  <c r="BX242" i="1"/>
  <c r="BY242" i="1" s="1"/>
  <c r="BX247" i="1"/>
  <c r="BY247" i="1" s="1"/>
  <c r="BX248" i="1"/>
  <c r="BY248" i="1" s="1"/>
  <c r="BX249" i="1"/>
  <c r="BY249" i="1" s="1"/>
  <c r="BX250" i="1"/>
  <c r="BY250" i="1" s="1"/>
  <c r="BX251" i="1"/>
  <c r="BY251" i="1" s="1"/>
  <c r="BX252" i="1"/>
  <c r="BY252" i="1" s="1"/>
  <c r="BX253" i="1"/>
  <c r="BY253" i="1" s="1"/>
  <c r="BX254" i="1"/>
  <c r="BY254" i="1" s="1"/>
  <c r="BX255" i="1"/>
  <c r="BX256" i="1"/>
  <c r="BX257" i="1"/>
  <c r="BX258" i="1"/>
  <c r="BX259" i="1"/>
  <c r="BY259" i="1" s="1"/>
  <c r="BX260" i="1"/>
  <c r="BY260" i="1" s="1"/>
  <c r="BX245" i="1"/>
  <c r="BY245" i="1" s="1"/>
  <c r="BX243" i="1"/>
  <c r="BY243" i="1" s="1"/>
  <c r="BX246" i="1"/>
  <c r="BY246" i="1" s="1"/>
  <c r="BX261" i="1"/>
  <c r="BY261" i="1" s="1"/>
  <c r="BX265" i="1"/>
  <c r="BY265" i="1" s="1"/>
  <c r="BX266" i="1"/>
  <c r="BY266" i="1" s="1"/>
  <c r="BX267" i="1"/>
  <c r="BX268" i="1"/>
  <c r="BX269" i="1"/>
  <c r="BX270" i="1"/>
  <c r="BX271" i="1"/>
  <c r="BX272" i="1"/>
  <c r="BX273" i="1"/>
  <c r="BY273" i="1" s="1"/>
  <c r="BX274" i="1"/>
  <c r="BX275" i="1"/>
  <c r="BY275" i="1" s="1"/>
  <c r="BX276" i="1"/>
  <c r="BX277" i="1"/>
  <c r="BX278" i="1"/>
  <c r="BX279" i="1"/>
  <c r="BX280" i="1"/>
  <c r="BY280" i="1" s="1"/>
  <c r="BX179" i="1"/>
  <c r="BY179" i="1" s="1"/>
  <c r="CC179" i="1" s="1"/>
  <c r="BX2" i="1"/>
  <c r="CC280" i="1" l="1"/>
  <c r="BY72" i="1"/>
  <c r="BY256" i="1"/>
  <c r="BY270" i="1"/>
  <c r="BY269" i="1"/>
  <c r="BY279" i="1"/>
  <c r="BY267" i="1"/>
  <c r="BY278" i="1"/>
  <c r="BY257" i="1"/>
  <c r="BY277" i="1"/>
  <c r="BY255" i="1"/>
  <c r="BY271" i="1"/>
  <c r="BY17" i="1"/>
  <c r="BY9" i="1"/>
  <c r="BY276" i="1"/>
  <c r="BY268" i="1"/>
  <c r="BY16" i="1"/>
  <c r="BY8" i="1"/>
  <c r="BY15" i="1"/>
  <c r="BY7" i="1"/>
  <c r="BY2" i="1"/>
  <c r="BY274" i="1"/>
  <c r="BY258" i="1"/>
  <c r="BY14" i="1"/>
  <c r="BY6" i="1"/>
  <c r="BY13" i="1"/>
  <c r="BY5" i="1"/>
  <c r="BY272"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BT98" i="1"/>
  <c r="BV98" i="1" s="1"/>
  <c r="BC98" i="1"/>
  <c r="BB98" i="1"/>
  <c r="BA98" i="1"/>
  <c r="AY98" i="1"/>
  <c r="AX98" i="1"/>
  <c r="AW98" i="1"/>
  <c r="AT98" i="1"/>
  <c r="AG98" i="1"/>
  <c r="X98" i="1"/>
  <c r="Q98" i="1"/>
  <c r="S98" i="1" s="1"/>
  <c r="CC98" i="1" l="1"/>
  <c r="BE98" i="1"/>
  <c r="BG98" i="1" s="1"/>
  <c r="BD98" i="1"/>
  <c r="BF98" i="1" s="1"/>
  <c r="BA281" i="1"/>
  <c r="BA179" i="1"/>
  <c r="BA280" i="1"/>
  <c r="BD179" i="1" l="1"/>
  <c r="BF179" i="1" s="1"/>
  <c r="BE179" i="1"/>
  <c r="BG179" i="1" s="1"/>
  <c r="BD281" i="1"/>
  <c r="BF281" i="1" s="1"/>
  <c r="BE281" i="1"/>
  <c r="BG281" i="1" s="1"/>
  <c r="BD280" i="1"/>
  <c r="BF280" i="1" s="1"/>
  <c r="BE280" i="1"/>
  <c r="BG280"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2" i="1"/>
  <c r="BW104" i="1"/>
  <c r="BW101" i="1"/>
  <c r="BW103" i="1"/>
  <c r="BW106" i="1"/>
  <c r="BW108" i="1"/>
  <c r="BW110" i="1"/>
  <c r="BW112" i="1"/>
  <c r="BW114" i="1"/>
  <c r="BW105" i="1"/>
  <c r="BW107" i="1"/>
  <c r="BW109" i="1"/>
  <c r="BW111" i="1"/>
  <c r="BW113"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7" i="1"/>
  <c r="BW228" i="1"/>
  <c r="BW230" i="1"/>
  <c r="BW231" i="1"/>
  <c r="BW232" i="1"/>
  <c r="BW233" i="1"/>
  <c r="BW234" i="1"/>
  <c r="BW235" i="1"/>
  <c r="BW237" i="1"/>
  <c r="BW238" i="1"/>
  <c r="BW244" i="1"/>
  <c r="BW239" i="1"/>
  <c r="BW240" i="1"/>
  <c r="BW241" i="1"/>
  <c r="BW242" i="1"/>
  <c r="BW247" i="1"/>
  <c r="BW248" i="1"/>
  <c r="BW249" i="1"/>
  <c r="BW250" i="1"/>
  <c r="BW251" i="1"/>
  <c r="BW252" i="1"/>
  <c r="BW253" i="1"/>
  <c r="BW254" i="1"/>
  <c r="BW255" i="1"/>
  <c r="BW256" i="1"/>
  <c r="BW257" i="1"/>
  <c r="BW258" i="1"/>
  <c r="BW259" i="1"/>
  <c r="BW260" i="1"/>
  <c r="BW245" i="1"/>
  <c r="BW243" i="1"/>
  <c r="BW246" i="1"/>
  <c r="BW261" i="1"/>
  <c r="BW265" i="1"/>
  <c r="BW266" i="1"/>
  <c r="BW267" i="1"/>
  <c r="BW268" i="1"/>
  <c r="BW269" i="1"/>
  <c r="BW270" i="1"/>
  <c r="BW271" i="1"/>
  <c r="BW272" i="1"/>
  <c r="BW273" i="1"/>
  <c r="BW274" i="1"/>
  <c r="BW275" i="1"/>
  <c r="BW276" i="1"/>
  <c r="BW277" i="1"/>
  <c r="BW278" i="1"/>
  <c r="BW279"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2" i="1"/>
  <c r="CC102" i="1" s="1"/>
  <c r="CB104" i="1"/>
  <c r="CC104" i="1" s="1"/>
  <c r="CB101" i="1"/>
  <c r="CC101" i="1" s="1"/>
  <c r="CB103" i="1"/>
  <c r="CC103" i="1" s="1"/>
  <c r="CB106" i="1"/>
  <c r="CC106" i="1" s="1"/>
  <c r="CB108" i="1"/>
  <c r="CC108" i="1" s="1"/>
  <c r="CB110" i="1"/>
  <c r="CC110" i="1" s="1"/>
  <c r="CB112" i="1"/>
  <c r="CC112" i="1" s="1"/>
  <c r="CB114" i="1"/>
  <c r="CC114" i="1" s="1"/>
  <c r="CB105" i="1"/>
  <c r="CC105" i="1" s="1"/>
  <c r="CB107" i="1"/>
  <c r="CC107" i="1" s="1"/>
  <c r="CB109" i="1"/>
  <c r="CC109" i="1" s="1"/>
  <c r="CB111" i="1"/>
  <c r="CC111" i="1" s="1"/>
  <c r="CB113" i="1"/>
  <c r="CC113"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7" i="1"/>
  <c r="CC227" i="1" s="1"/>
  <c r="CB228" i="1"/>
  <c r="CC228" i="1" s="1"/>
  <c r="CB230" i="1"/>
  <c r="CC230" i="1" s="1"/>
  <c r="CB231" i="1"/>
  <c r="CC231" i="1" s="1"/>
  <c r="CB232" i="1"/>
  <c r="CC232" i="1" s="1"/>
  <c r="CB233" i="1"/>
  <c r="CC233" i="1" s="1"/>
  <c r="CB234" i="1"/>
  <c r="CC234" i="1" s="1"/>
  <c r="CB235" i="1"/>
  <c r="CC235" i="1" s="1"/>
  <c r="CB237" i="1"/>
  <c r="CC237" i="1" s="1"/>
  <c r="CB238" i="1"/>
  <c r="CC238" i="1" s="1"/>
  <c r="CB244" i="1"/>
  <c r="CC244" i="1" s="1"/>
  <c r="CB239" i="1"/>
  <c r="CC239" i="1" s="1"/>
  <c r="CB240" i="1"/>
  <c r="CC240" i="1" s="1"/>
  <c r="CB241" i="1"/>
  <c r="CC241" i="1" s="1"/>
  <c r="CB242" i="1"/>
  <c r="CC242" i="1" s="1"/>
  <c r="CB247" i="1"/>
  <c r="CC247" i="1" s="1"/>
  <c r="CB248" i="1"/>
  <c r="CC248" i="1" s="1"/>
  <c r="CB249" i="1"/>
  <c r="CC249" i="1" s="1"/>
  <c r="CB250" i="1"/>
  <c r="CC250" i="1" s="1"/>
  <c r="CB251" i="1"/>
  <c r="CC251" i="1" s="1"/>
  <c r="CB252" i="1"/>
  <c r="CC252" i="1" s="1"/>
  <c r="CB253" i="1"/>
  <c r="CC253" i="1" s="1"/>
  <c r="CB254" i="1"/>
  <c r="CC254" i="1" s="1"/>
  <c r="CB255" i="1"/>
  <c r="CC255" i="1" s="1"/>
  <c r="CB256" i="1"/>
  <c r="CC256" i="1" s="1"/>
  <c r="CB257" i="1"/>
  <c r="CC257" i="1" s="1"/>
  <c r="CB258" i="1"/>
  <c r="CC258" i="1" s="1"/>
  <c r="CB259" i="1"/>
  <c r="CC259" i="1" s="1"/>
  <c r="CB260" i="1"/>
  <c r="CC260" i="1" s="1"/>
  <c r="CB245" i="1"/>
  <c r="CC245" i="1" s="1"/>
  <c r="CB243" i="1"/>
  <c r="CC243" i="1" s="1"/>
  <c r="CB246" i="1"/>
  <c r="CC246" i="1" s="1"/>
  <c r="CB261" i="1"/>
  <c r="CC261" i="1" s="1"/>
  <c r="CB265" i="1"/>
  <c r="CC265" i="1" s="1"/>
  <c r="CB266" i="1"/>
  <c r="CC266" i="1" s="1"/>
  <c r="CB267" i="1"/>
  <c r="CC267" i="1" s="1"/>
  <c r="CB268" i="1"/>
  <c r="CC268" i="1" s="1"/>
  <c r="CB269" i="1"/>
  <c r="CC269" i="1" s="1"/>
  <c r="CB270" i="1"/>
  <c r="CC270" i="1" s="1"/>
  <c r="CB271" i="1"/>
  <c r="CC271" i="1" s="1"/>
  <c r="CB272" i="1"/>
  <c r="CC272" i="1" s="1"/>
  <c r="CB273" i="1"/>
  <c r="CC273" i="1" s="1"/>
  <c r="CB274" i="1"/>
  <c r="CC274" i="1" s="1"/>
  <c r="CB275" i="1"/>
  <c r="CC275" i="1" s="1"/>
  <c r="CB276" i="1"/>
  <c r="CC276" i="1" s="1"/>
  <c r="CB277" i="1"/>
  <c r="CC277" i="1" s="1"/>
  <c r="CB278" i="1"/>
  <c r="CC278" i="1" s="1"/>
  <c r="CB279" i="1"/>
  <c r="CC279"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8" i="1"/>
  <c r="X108" i="1" s="1"/>
  <c r="Q110" i="1"/>
  <c r="S110" i="1" s="1"/>
  <c r="Q108" i="1"/>
  <c r="S108" i="1" s="1"/>
  <c r="U101" i="1"/>
  <c r="X101" i="1" s="1"/>
  <c r="BT108" i="1"/>
  <c r="BV108" i="1" s="1"/>
  <c r="BC108" i="1"/>
  <c r="BB108" i="1"/>
  <c r="BA108" i="1"/>
  <c r="AY108" i="1"/>
  <c r="AX108" i="1"/>
  <c r="AW108" i="1"/>
  <c r="AT108" i="1"/>
  <c r="AG108" i="1"/>
  <c r="BT103" i="1"/>
  <c r="BV103" i="1" s="1"/>
  <c r="BC103" i="1"/>
  <c r="BB103" i="1"/>
  <c r="BA103" i="1"/>
  <c r="AY103" i="1"/>
  <c r="AX103" i="1"/>
  <c r="AW103" i="1"/>
  <c r="AT103" i="1"/>
  <c r="AG103" i="1"/>
  <c r="X103" i="1"/>
  <c r="Q103" i="1"/>
  <c r="S103" i="1" s="1"/>
  <c r="BT112" i="1"/>
  <c r="BV112" i="1" s="1"/>
  <c r="BC112" i="1"/>
  <c r="BB112" i="1"/>
  <c r="BA112" i="1"/>
  <c r="AY112" i="1"/>
  <c r="AX112" i="1"/>
  <c r="AW112" i="1"/>
  <c r="AT112" i="1"/>
  <c r="AG112" i="1"/>
  <c r="X112" i="1"/>
  <c r="Q112" i="1"/>
  <c r="S112" i="1" s="1"/>
  <c r="BT106" i="1"/>
  <c r="BV106" i="1" s="1"/>
  <c r="BC106" i="1"/>
  <c r="BB106" i="1"/>
  <c r="BA106" i="1"/>
  <c r="AY106" i="1"/>
  <c r="AX106" i="1"/>
  <c r="AW106" i="1"/>
  <c r="AT106" i="1"/>
  <c r="AG106" i="1"/>
  <c r="X106" i="1"/>
  <c r="Q106" i="1"/>
  <c r="S106" i="1" s="1"/>
  <c r="BT101" i="1"/>
  <c r="BV101" i="1" s="1"/>
  <c r="BC101" i="1"/>
  <c r="BB101" i="1"/>
  <c r="BA101" i="1"/>
  <c r="AY101" i="1"/>
  <c r="AX101" i="1"/>
  <c r="AW101" i="1"/>
  <c r="AT101" i="1"/>
  <c r="AG101" i="1"/>
  <c r="Q101" i="1"/>
  <c r="S101" i="1" s="1"/>
  <c r="BE5" i="1" l="1"/>
  <c r="BG5" i="1" s="1"/>
  <c r="BE7" i="1"/>
  <c r="BG7" i="1" s="1"/>
  <c r="BD5" i="1"/>
  <c r="BF5" i="1" s="1"/>
  <c r="BE108" i="1"/>
  <c r="BG108" i="1" s="1"/>
  <c r="BD7" i="1"/>
  <c r="BF7" i="1" s="1"/>
  <c r="BD108" i="1"/>
  <c r="BF108" i="1" s="1"/>
  <c r="BE103" i="1"/>
  <c r="BG103" i="1" s="1"/>
  <c r="BD103" i="1"/>
  <c r="BF103" i="1" s="1"/>
  <c r="BE112" i="1"/>
  <c r="BG112" i="1" s="1"/>
  <c r="BE106" i="1"/>
  <c r="BG106" i="1" s="1"/>
  <c r="BD106" i="1"/>
  <c r="BF106" i="1" s="1"/>
  <c r="BD112" i="1"/>
  <c r="BF112" i="1" s="1"/>
  <c r="BE101" i="1"/>
  <c r="BG101" i="1" s="1"/>
  <c r="BD101" i="1"/>
  <c r="BF101"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2" i="1"/>
  <c r="V244" i="1"/>
  <c r="V239" i="1"/>
  <c r="V240" i="1"/>
  <c r="V231" i="1"/>
  <c r="V232" i="1"/>
  <c r="V233" i="1"/>
  <c r="V234" i="1"/>
  <c r="V235" i="1"/>
  <c r="V237" i="1"/>
  <c r="V238" i="1"/>
  <c r="V228" i="1"/>
  <c r="V218" i="1"/>
  <c r="V219" i="1"/>
  <c r="V220" i="1"/>
  <c r="V224" i="1"/>
  <c r="V225" i="1"/>
  <c r="V210" i="1"/>
  <c r="V211" i="1"/>
  <c r="V212" i="1"/>
  <c r="V213" i="1"/>
  <c r="V214" i="1"/>
  <c r="V215" i="1"/>
  <c r="V216" i="1"/>
  <c r="V217" i="1"/>
  <c r="V209" i="1"/>
  <c r="V205" i="1"/>
  <c r="V204" i="1"/>
  <c r="V203" i="1"/>
  <c r="V201" i="1"/>
  <c r="V200" i="1"/>
  <c r="V198" i="1"/>
  <c r="V196" i="1"/>
  <c r="V195" i="1"/>
  <c r="V194" i="1"/>
  <c r="V193" i="1"/>
  <c r="V192"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32" i="1"/>
  <c r="X232" i="1" s="1"/>
  <c r="BT232" i="1"/>
  <c r="BV232" i="1" s="1"/>
  <c r="BC232" i="1"/>
  <c r="BB232" i="1"/>
  <c r="BA232" i="1"/>
  <c r="AY232" i="1"/>
  <c r="AX232" i="1"/>
  <c r="AW232" i="1"/>
  <c r="AT232" i="1"/>
  <c r="AG232" i="1"/>
  <c r="AI232" i="1" s="1"/>
  <c r="T208" i="1"/>
  <c r="X208" i="1" s="1"/>
  <c r="BT208" i="1"/>
  <c r="BV208" i="1" s="1"/>
  <c r="BC208" i="1"/>
  <c r="BB208" i="1"/>
  <c r="BA208" i="1"/>
  <c r="AY208" i="1"/>
  <c r="AX208" i="1"/>
  <c r="AW208" i="1"/>
  <c r="AT208" i="1"/>
  <c r="AG208" i="1"/>
  <c r="AI208" i="1" s="1"/>
  <c r="T228" i="1"/>
  <c r="BT227" i="1"/>
  <c r="BV227" i="1" s="1"/>
  <c r="BC227" i="1"/>
  <c r="BB227" i="1"/>
  <c r="AY227" i="1"/>
  <c r="AX227" i="1"/>
  <c r="AW227" i="1"/>
  <c r="AT227" i="1"/>
  <c r="AG227" i="1"/>
  <c r="AI227" i="1" s="1"/>
  <c r="AE227" i="1"/>
  <c r="BA227" i="1" s="1"/>
  <c r="X227" i="1"/>
  <c r="T240" i="1"/>
  <c r="BT239" i="1"/>
  <c r="BV239" i="1" s="1"/>
  <c r="BC239" i="1"/>
  <c r="BB239" i="1"/>
  <c r="BA239" i="1"/>
  <c r="AY239" i="1"/>
  <c r="AX239" i="1"/>
  <c r="AW239" i="1"/>
  <c r="AT239" i="1"/>
  <c r="AG239" i="1"/>
  <c r="AI239" i="1" s="1"/>
  <c r="X239" i="1"/>
  <c r="T235" i="1"/>
  <c r="X235" i="1" s="1"/>
  <c r="BT235" i="1"/>
  <c r="BV235" i="1" s="1"/>
  <c r="BC235" i="1"/>
  <c r="BB235" i="1"/>
  <c r="BA235" i="1"/>
  <c r="AY235" i="1"/>
  <c r="AW235" i="1"/>
  <c r="AT235" i="1"/>
  <c r="AG235" i="1"/>
  <c r="AI235" i="1" s="1"/>
  <c r="K235" i="1"/>
  <c r="AX235" i="1" s="1"/>
  <c r="T216" i="1"/>
  <c r="X216" i="1" s="1"/>
  <c r="BT216" i="1"/>
  <c r="BV216" i="1" s="1"/>
  <c r="BC216" i="1"/>
  <c r="BB216" i="1"/>
  <c r="BA216" i="1"/>
  <c r="AY216" i="1"/>
  <c r="AX216" i="1"/>
  <c r="AW216" i="1"/>
  <c r="AT216" i="1"/>
  <c r="AG216" i="1"/>
  <c r="AI216" i="1" s="1"/>
  <c r="T201" i="1"/>
  <c r="X201" i="1" s="1"/>
  <c r="BT201" i="1"/>
  <c r="BV201" i="1" s="1"/>
  <c r="BC201" i="1"/>
  <c r="BB201" i="1"/>
  <c r="BA201" i="1"/>
  <c r="AY201" i="1"/>
  <c r="AX201" i="1"/>
  <c r="AW201" i="1"/>
  <c r="AT201" i="1"/>
  <c r="AG201" i="1"/>
  <c r="AI201" i="1" s="1"/>
  <c r="T223" i="1"/>
  <c r="X223" i="1" s="1"/>
  <c r="T231" i="1"/>
  <c r="X231" i="1" s="1"/>
  <c r="BT231" i="1"/>
  <c r="BV231" i="1" s="1"/>
  <c r="BC231" i="1"/>
  <c r="BB231" i="1"/>
  <c r="BA231" i="1"/>
  <c r="AY231" i="1"/>
  <c r="AX231" i="1"/>
  <c r="AW231" i="1"/>
  <c r="AT231" i="1"/>
  <c r="AG231" i="1"/>
  <c r="AI231" i="1" s="1"/>
  <c r="T207" i="1"/>
  <c r="X207" i="1" s="1"/>
  <c r="BT207" i="1"/>
  <c r="BV207" i="1" s="1"/>
  <c r="BC207" i="1"/>
  <c r="BB207" i="1"/>
  <c r="BA207" i="1"/>
  <c r="AY207" i="1"/>
  <c r="AX207" i="1"/>
  <c r="AW207" i="1"/>
  <c r="AT207" i="1"/>
  <c r="AG207" i="1"/>
  <c r="AI207" i="1" s="1"/>
  <c r="BT223" i="1"/>
  <c r="BV223" i="1" s="1"/>
  <c r="BC223" i="1"/>
  <c r="BB223" i="1"/>
  <c r="BA223" i="1"/>
  <c r="AY223" i="1"/>
  <c r="AX223" i="1"/>
  <c r="AW223" i="1"/>
  <c r="AT223" i="1"/>
  <c r="AG223" i="1"/>
  <c r="AI223" i="1" s="1"/>
  <c r="BE239" i="1" l="1"/>
  <c r="BG239" i="1" s="1"/>
  <c r="BD239" i="1"/>
  <c r="BF239" i="1" s="1"/>
  <c r="BD227" i="1"/>
  <c r="BE227" i="1"/>
  <c r="BG227" i="1" s="1"/>
  <c r="BE223" i="1"/>
  <c r="BG223" i="1" s="1"/>
  <c r="BD223" i="1"/>
  <c r="BF223" i="1" s="1"/>
  <c r="BE231" i="1"/>
  <c r="BG231" i="1" s="1"/>
  <c r="BD231" i="1"/>
  <c r="BF231" i="1" s="1"/>
  <c r="BE235" i="1"/>
  <c r="BG235" i="1" s="1"/>
  <c r="BD235" i="1"/>
  <c r="BF235" i="1" s="1"/>
  <c r="BD216" i="1"/>
  <c r="BF216" i="1" s="1"/>
  <c r="BE216" i="1"/>
  <c r="BG216" i="1" s="1"/>
  <c r="BD232" i="1"/>
  <c r="BF232" i="1" s="1"/>
  <c r="BE232" i="1"/>
  <c r="BG232" i="1" s="1"/>
  <c r="BE208" i="1"/>
  <c r="BG208" i="1" s="1"/>
  <c r="BE201" i="1"/>
  <c r="BG201" i="1" s="1"/>
  <c r="BE207" i="1"/>
  <c r="BG207" i="1" s="1"/>
  <c r="BD208" i="1"/>
  <c r="BF208" i="1" s="1"/>
  <c r="BF227" i="1"/>
  <c r="AF239" i="1"/>
  <c r="AF216" i="1"/>
  <c r="BD201" i="1"/>
  <c r="BF201" i="1" s="1"/>
  <c r="BD207" i="1"/>
  <c r="BF207" i="1" s="1"/>
  <c r="AF223"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10" i="1"/>
  <c r="AT114" i="1"/>
  <c r="AT93" i="1"/>
  <c r="AT94" i="1"/>
  <c r="AT95" i="1"/>
  <c r="AT96" i="1"/>
  <c r="AT97" i="1"/>
  <c r="AT99" i="1"/>
  <c r="AT100" i="1"/>
  <c r="AT102" i="1"/>
  <c r="AT104" i="1"/>
  <c r="AT105" i="1"/>
  <c r="AT107" i="1"/>
  <c r="AT109" i="1"/>
  <c r="AT111" i="1"/>
  <c r="AT113"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6" i="1"/>
  <c r="AT209" i="1"/>
  <c r="AT210" i="1"/>
  <c r="AT211" i="1"/>
  <c r="AT212" i="1"/>
  <c r="AT213" i="1"/>
  <c r="AT214" i="1"/>
  <c r="AT215" i="1"/>
  <c r="AT217" i="1"/>
  <c r="AT218" i="1"/>
  <c r="AT219" i="1"/>
  <c r="AT220" i="1"/>
  <c r="AT221" i="1"/>
  <c r="AT222" i="1"/>
  <c r="AT224" i="1"/>
  <c r="AT225" i="1"/>
  <c r="AT228" i="1"/>
  <c r="AT230" i="1"/>
  <c r="AT233" i="1"/>
  <c r="AT234" i="1"/>
  <c r="AT237" i="1"/>
  <c r="AT238" i="1"/>
  <c r="AT240" i="1"/>
  <c r="AT241" i="1"/>
  <c r="AT242" i="1"/>
  <c r="AT244" i="1"/>
  <c r="AT247" i="1"/>
  <c r="AT248" i="1"/>
  <c r="AT249" i="1"/>
  <c r="AT250" i="1"/>
  <c r="AT251" i="1"/>
  <c r="AT252" i="1"/>
  <c r="AT253" i="1"/>
  <c r="AT254" i="1"/>
  <c r="AT255" i="1"/>
  <c r="AT256" i="1"/>
  <c r="AT257" i="1"/>
  <c r="AT258" i="1"/>
  <c r="AT259" i="1"/>
  <c r="AT260" i="1"/>
  <c r="AT245" i="1"/>
  <c r="AT243" i="1"/>
  <c r="AT246" i="1"/>
  <c r="AT261" i="1"/>
  <c r="AT265" i="1"/>
  <c r="AT266"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48"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10" i="1"/>
  <c r="BC114" i="1"/>
  <c r="BC132" i="1"/>
  <c r="BC197" i="1"/>
  <c r="BC199" i="1"/>
  <c r="BC241" i="1"/>
  <c r="BC190" i="1"/>
  <c r="BC249" i="1"/>
  <c r="BC250" i="1"/>
  <c r="BC251" i="1"/>
  <c r="BC252" i="1"/>
  <c r="BC253" i="1"/>
  <c r="BC254" i="1"/>
  <c r="BC255" i="1"/>
  <c r="BC256" i="1"/>
  <c r="BC257" i="1"/>
  <c r="BC258" i="1"/>
  <c r="BC259" i="1"/>
  <c r="BC260" i="1"/>
  <c r="BC245" i="1"/>
  <c r="BC243" i="1"/>
  <c r="BC246" i="1"/>
  <c r="BC261" i="1"/>
  <c r="BC265" i="1"/>
  <c r="BC266" i="1"/>
  <c r="BC267" i="1"/>
  <c r="BC268" i="1"/>
  <c r="BC269" i="1"/>
  <c r="BC270" i="1"/>
  <c r="BC271" i="1"/>
  <c r="BC272" i="1"/>
  <c r="BC273" i="1"/>
  <c r="BC274" i="1"/>
  <c r="BC275" i="1"/>
  <c r="BC276" i="1"/>
  <c r="BC277" i="1"/>
  <c r="BC278" i="1"/>
  <c r="BC279" i="1"/>
  <c r="BC192" i="1"/>
  <c r="BC193" i="1"/>
  <c r="BC194" i="1"/>
  <c r="BC195" i="1"/>
  <c r="BC196" i="1"/>
  <c r="BC151" i="1"/>
  <c r="BC198" i="1"/>
  <c r="BC200" i="1"/>
  <c r="BC202" i="1"/>
  <c r="BC203" i="1"/>
  <c r="BC204" i="1"/>
  <c r="BC205" i="1"/>
  <c r="BC206" i="1"/>
  <c r="BC209" i="1"/>
  <c r="BC210" i="1"/>
  <c r="BC211" i="1"/>
  <c r="BC212" i="1"/>
  <c r="BC213" i="1"/>
  <c r="BC214" i="1"/>
  <c r="BC215" i="1"/>
  <c r="BC217" i="1"/>
  <c r="BC218" i="1"/>
  <c r="BC219" i="1"/>
  <c r="BC220" i="1"/>
  <c r="BC221" i="1"/>
  <c r="BC224" i="1"/>
  <c r="BC225" i="1"/>
  <c r="BC228" i="1"/>
  <c r="BC230" i="1"/>
  <c r="BC233" i="1"/>
  <c r="BC234" i="1"/>
  <c r="BC237" i="1"/>
  <c r="BC238" i="1"/>
  <c r="BC240" i="1"/>
  <c r="BC242" i="1"/>
  <c r="BC244" i="1"/>
  <c r="BC222" i="1"/>
  <c r="BC93" i="1"/>
  <c r="BC94" i="1"/>
  <c r="BC95" i="1"/>
  <c r="BC191" i="1"/>
  <c r="BC96" i="1"/>
  <c r="BC97" i="1"/>
  <c r="BC99" i="1"/>
  <c r="BC100" i="1"/>
  <c r="BC102" i="1"/>
  <c r="BC104" i="1"/>
  <c r="BC105" i="1"/>
  <c r="BC107" i="1"/>
  <c r="BC109" i="1"/>
  <c r="BC111" i="1"/>
  <c r="BC113"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80" i="1"/>
  <c r="BC181" i="1"/>
  <c r="BC182" i="1"/>
  <c r="BC183" i="1"/>
  <c r="BC184" i="1"/>
  <c r="BC185" i="1"/>
  <c r="BC186" i="1"/>
  <c r="BC187" i="1"/>
  <c r="BC188" i="1"/>
  <c r="BC189" i="1"/>
  <c r="BC247" i="1"/>
  <c r="BA20" i="1"/>
  <c r="BA18" i="1"/>
  <c r="BA19" i="1"/>
  <c r="BA248"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10" i="1"/>
  <c r="BA114" i="1"/>
  <c r="BA132" i="1"/>
  <c r="BA197" i="1"/>
  <c r="BA199" i="1"/>
  <c r="BA241" i="1"/>
  <c r="BA190" i="1"/>
  <c r="BA249" i="1"/>
  <c r="BA250" i="1"/>
  <c r="BA251" i="1"/>
  <c r="BA252" i="1"/>
  <c r="BA253" i="1"/>
  <c r="BA254" i="1"/>
  <c r="BA255" i="1"/>
  <c r="BA256" i="1"/>
  <c r="BA257" i="1"/>
  <c r="BA258" i="1"/>
  <c r="BA259" i="1"/>
  <c r="BA260" i="1"/>
  <c r="BA245" i="1"/>
  <c r="BA243" i="1"/>
  <c r="BA246" i="1"/>
  <c r="BA261" i="1"/>
  <c r="BA265" i="1"/>
  <c r="BA267" i="1"/>
  <c r="BA268" i="1"/>
  <c r="BA269" i="1"/>
  <c r="BA270" i="1"/>
  <c r="BA271" i="1"/>
  <c r="BA272" i="1"/>
  <c r="BA273" i="1"/>
  <c r="BA274" i="1"/>
  <c r="BA275" i="1"/>
  <c r="BA276" i="1"/>
  <c r="BA277" i="1"/>
  <c r="BA278" i="1"/>
  <c r="BA279" i="1"/>
  <c r="BA192" i="1"/>
  <c r="BA193" i="1"/>
  <c r="BA194" i="1"/>
  <c r="BA196" i="1"/>
  <c r="BA151" i="1"/>
  <c r="BA198" i="1"/>
  <c r="BA200" i="1"/>
  <c r="BA202" i="1"/>
  <c r="BA203" i="1"/>
  <c r="BA204" i="1"/>
  <c r="BA205" i="1"/>
  <c r="BA206" i="1"/>
  <c r="BA209" i="1"/>
  <c r="BA210" i="1"/>
  <c r="BA211" i="1"/>
  <c r="BA212" i="1"/>
  <c r="BA213" i="1"/>
  <c r="BA214" i="1"/>
  <c r="BA215" i="1"/>
  <c r="BA217" i="1"/>
  <c r="BA218" i="1"/>
  <c r="BA219" i="1"/>
  <c r="BA220" i="1"/>
  <c r="BA221" i="1"/>
  <c r="BA224" i="1"/>
  <c r="BA225" i="1"/>
  <c r="BA230" i="1"/>
  <c r="BA233" i="1"/>
  <c r="BA234" i="1"/>
  <c r="BA237" i="1"/>
  <c r="BA238" i="1"/>
  <c r="BA240" i="1"/>
  <c r="BA242" i="1"/>
  <c r="BA244" i="1"/>
  <c r="BA222" i="1"/>
  <c r="BA93" i="1"/>
  <c r="BA94" i="1"/>
  <c r="BA95" i="1"/>
  <c r="BA191" i="1"/>
  <c r="BA96" i="1"/>
  <c r="BA97" i="1"/>
  <c r="BA99" i="1"/>
  <c r="BA100" i="1"/>
  <c r="BA102" i="1"/>
  <c r="BA104" i="1"/>
  <c r="BA105" i="1"/>
  <c r="BA107" i="1"/>
  <c r="BA109" i="1"/>
  <c r="BA111" i="1"/>
  <c r="BA113"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80" i="1"/>
  <c r="BA181" i="1"/>
  <c r="BA182" i="1"/>
  <c r="BA183" i="1"/>
  <c r="BA184" i="1"/>
  <c r="BA185" i="1"/>
  <c r="BA186" i="1"/>
  <c r="BA187" i="1"/>
  <c r="BA188" i="1"/>
  <c r="BA189" i="1"/>
  <c r="BA247" i="1"/>
  <c r="AW20" i="1"/>
  <c r="AX20" i="1"/>
  <c r="AY20" i="1"/>
  <c r="BB20" i="1"/>
  <c r="AW18" i="1"/>
  <c r="AX18" i="1"/>
  <c r="AY18" i="1"/>
  <c r="BB18" i="1"/>
  <c r="AW19" i="1"/>
  <c r="AX19" i="1"/>
  <c r="AY19" i="1"/>
  <c r="BB19" i="1"/>
  <c r="AW248" i="1"/>
  <c r="AX248" i="1"/>
  <c r="AY248" i="1"/>
  <c r="BB248"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10" i="1"/>
  <c r="AX110" i="1"/>
  <c r="AY110" i="1"/>
  <c r="BB110" i="1"/>
  <c r="AW114" i="1"/>
  <c r="AX114" i="1"/>
  <c r="AY114" i="1"/>
  <c r="BB114" i="1"/>
  <c r="AW132" i="1"/>
  <c r="AX132" i="1"/>
  <c r="AY132" i="1"/>
  <c r="BB132" i="1"/>
  <c r="AW197" i="1"/>
  <c r="AX197" i="1"/>
  <c r="AY197" i="1"/>
  <c r="BB197" i="1"/>
  <c r="AW199" i="1"/>
  <c r="AX199" i="1"/>
  <c r="AY199" i="1"/>
  <c r="BB199" i="1"/>
  <c r="AW241" i="1"/>
  <c r="AY241" i="1"/>
  <c r="BB241" i="1"/>
  <c r="AW190" i="1"/>
  <c r="AX190" i="1"/>
  <c r="AY190" i="1"/>
  <c r="BB190" i="1"/>
  <c r="AW249" i="1"/>
  <c r="AX249" i="1"/>
  <c r="AY249" i="1"/>
  <c r="BB249" i="1"/>
  <c r="AW250" i="1"/>
  <c r="AX250" i="1"/>
  <c r="AY250" i="1"/>
  <c r="BB250" i="1"/>
  <c r="AW251" i="1"/>
  <c r="AX251" i="1"/>
  <c r="AY251" i="1"/>
  <c r="BB251"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59" i="1"/>
  <c r="AX259" i="1"/>
  <c r="AY259" i="1"/>
  <c r="BB259" i="1"/>
  <c r="AW260" i="1"/>
  <c r="AX260" i="1"/>
  <c r="AY260" i="1"/>
  <c r="BB260" i="1"/>
  <c r="AW245" i="1"/>
  <c r="AX245" i="1"/>
  <c r="AY245" i="1"/>
  <c r="BB245" i="1"/>
  <c r="AW243" i="1"/>
  <c r="AX243" i="1"/>
  <c r="AY243" i="1"/>
  <c r="BB243" i="1"/>
  <c r="AW246" i="1"/>
  <c r="AX246" i="1"/>
  <c r="AY246" i="1"/>
  <c r="BB246" i="1"/>
  <c r="AW261" i="1"/>
  <c r="AX261" i="1"/>
  <c r="AY261" i="1"/>
  <c r="BB261"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277" i="1"/>
  <c r="AX277" i="1"/>
  <c r="AY277" i="1"/>
  <c r="BB277" i="1"/>
  <c r="AW278" i="1"/>
  <c r="AX278" i="1"/>
  <c r="AY278" i="1"/>
  <c r="BB278" i="1"/>
  <c r="AW279" i="1"/>
  <c r="AX279" i="1"/>
  <c r="AY279" i="1"/>
  <c r="BB279" i="1"/>
  <c r="AW192" i="1"/>
  <c r="AX192" i="1"/>
  <c r="AY192" i="1"/>
  <c r="BB192" i="1"/>
  <c r="AW193" i="1"/>
  <c r="AX193" i="1"/>
  <c r="AY193" i="1"/>
  <c r="BB193" i="1"/>
  <c r="AW194" i="1"/>
  <c r="AX194" i="1"/>
  <c r="AY194" i="1"/>
  <c r="BB194" i="1"/>
  <c r="AW195" i="1"/>
  <c r="AX195" i="1"/>
  <c r="AY195" i="1"/>
  <c r="BB195" i="1"/>
  <c r="AW196" i="1"/>
  <c r="AX196" i="1"/>
  <c r="AY196" i="1"/>
  <c r="BB196" i="1"/>
  <c r="AW151" i="1"/>
  <c r="AX151" i="1"/>
  <c r="AY151" i="1"/>
  <c r="BB151" i="1"/>
  <c r="AW198" i="1"/>
  <c r="AX198" i="1"/>
  <c r="AY198" i="1"/>
  <c r="BB198" i="1"/>
  <c r="AW200" i="1"/>
  <c r="AX200" i="1"/>
  <c r="AY200" i="1"/>
  <c r="BB200" i="1"/>
  <c r="AW202" i="1"/>
  <c r="AX202" i="1"/>
  <c r="AY202" i="1"/>
  <c r="BB202" i="1"/>
  <c r="AW203" i="1"/>
  <c r="AX203" i="1"/>
  <c r="AY203" i="1"/>
  <c r="BB203" i="1"/>
  <c r="AW204" i="1"/>
  <c r="AX204" i="1"/>
  <c r="AY204" i="1"/>
  <c r="BB204" i="1"/>
  <c r="AW205" i="1"/>
  <c r="AX205" i="1"/>
  <c r="AY205" i="1"/>
  <c r="BB205" i="1"/>
  <c r="AW206" i="1"/>
  <c r="AX206" i="1"/>
  <c r="AY206" i="1"/>
  <c r="BB206" i="1"/>
  <c r="AW209" i="1"/>
  <c r="AX209" i="1"/>
  <c r="AY209" i="1"/>
  <c r="BB209" i="1"/>
  <c r="AW210" i="1"/>
  <c r="AX210" i="1"/>
  <c r="AY210" i="1"/>
  <c r="BB210" i="1"/>
  <c r="AW211" i="1"/>
  <c r="AY211" i="1"/>
  <c r="BB211" i="1"/>
  <c r="AW212" i="1"/>
  <c r="AX212" i="1"/>
  <c r="AY212" i="1"/>
  <c r="BB212" i="1"/>
  <c r="AW213" i="1"/>
  <c r="AY213" i="1"/>
  <c r="BB213" i="1"/>
  <c r="AW214" i="1"/>
  <c r="AY214" i="1"/>
  <c r="BB214" i="1"/>
  <c r="AW215" i="1"/>
  <c r="AX215" i="1"/>
  <c r="AY215" i="1"/>
  <c r="BB215" i="1"/>
  <c r="AW217" i="1"/>
  <c r="AY217" i="1"/>
  <c r="BB217" i="1"/>
  <c r="AW218" i="1"/>
  <c r="AX218" i="1"/>
  <c r="AY218" i="1"/>
  <c r="BB218" i="1"/>
  <c r="AW219" i="1"/>
  <c r="AY219" i="1"/>
  <c r="BB219" i="1"/>
  <c r="AW220" i="1"/>
  <c r="AX220" i="1"/>
  <c r="AY220" i="1"/>
  <c r="BB220" i="1"/>
  <c r="AW221" i="1"/>
  <c r="AX221" i="1"/>
  <c r="AY221" i="1"/>
  <c r="BB221" i="1"/>
  <c r="AW224" i="1"/>
  <c r="AX224" i="1"/>
  <c r="AY224" i="1"/>
  <c r="BB224" i="1"/>
  <c r="AW225" i="1"/>
  <c r="AX225" i="1"/>
  <c r="AY225" i="1"/>
  <c r="BB225" i="1"/>
  <c r="AW228" i="1"/>
  <c r="AX228" i="1"/>
  <c r="AY228" i="1"/>
  <c r="BB228" i="1"/>
  <c r="AW230" i="1"/>
  <c r="AX230" i="1"/>
  <c r="AY230" i="1"/>
  <c r="BB230" i="1"/>
  <c r="AW233" i="1"/>
  <c r="AX233" i="1"/>
  <c r="AY233" i="1"/>
  <c r="BB233" i="1"/>
  <c r="AW234" i="1"/>
  <c r="AY234" i="1"/>
  <c r="BB234" i="1"/>
  <c r="AW237" i="1"/>
  <c r="AX237" i="1"/>
  <c r="AY237" i="1"/>
  <c r="BB237" i="1"/>
  <c r="AW238" i="1"/>
  <c r="AX238" i="1"/>
  <c r="AY238" i="1"/>
  <c r="BB238" i="1"/>
  <c r="AW240" i="1"/>
  <c r="AX240" i="1"/>
  <c r="AY240" i="1"/>
  <c r="BB240" i="1"/>
  <c r="AW242" i="1"/>
  <c r="AY242" i="1"/>
  <c r="BB242" i="1"/>
  <c r="AW244" i="1"/>
  <c r="AY244" i="1"/>
  <c r="BB244" i="1"/>
  <c r="AW222" i="1"/>
  <c r="AX222" i="1"/>
  <c r="AY222" i="1"/>
  <c r="BB222" i="1"/>
  <c r="AW93" i="1"/>
  <c r="AX93" i="1"/>
  <c r="AY93" i="1"/>
  <c r="BB93" i="1"/>
  <c r="AW94" i="1"/>
  <c r="AX94" i="1"/>
  <c r="AY94" i="1"/>
  <c r="BB94" i="1"/>
  <c r="AW95" i="1"/>
  <c r="AX95" i="1"/>
  <c r="AY95" i="1"/>
  <c r="BB95" i="1"/>
  <c r="AW191" i="1"/>
  <c r="AX191" i="1"/>
  <c r="AY191" i="1"/>
  <c r="BB191" i="1"/>
  <c r="AW96" i="1"/>
  <c r="AX96" i="1"/>
  <c r="AY96" i="1"/>
  <c r="BB96" i="1"/>
  <c r="AW97" i="1"/>
  <c r="AX97" i="1"/>
  <c r="AY97" i="1"/>
  <c r="BB97" i="1"/>
  <c r="AW99" i="1"/>
  <c r="AX99" i="1"/>
  <c r="AY99" i="1"/>
  <c r="BB99" i="1"/>
  <c r="AW100" i="1"/>
  <c r="AX100" i="1"/>
  <c r="AY100" i="1"/>
  <c r="BB100" i="1"/>
  <c r="AW102" i="1"/>
  <c r="AX102" i="1"/>
  <c r="AY102" i="1"/>
  <c r="BB102" i="1"/>
  <c r="AW104" i="1"/>
  <c r="AX104" i="1"/>
  <c r="AY104" i="1"/>
  <c r="BB104" i="1"/>
  <c r="AW105" i="1"/>
  <c r="AX105" i="1"/>
  <c r="AY105" i="1"/>
  <c r="BB105" i="1"/>
  <c r="AW107" i="1"/>
  <c r="AX107" i="1"/>
  <c r="AY107" i="1"/>
  <c r="BB107" i="1"/>
  <c r="AW109" i="1"/>
  <c r="AX109" i="1"/>
  <c r="AY109" i="1"/>
  <c r="BB109" i="1"/>
  <c r="AW111" i="1"/>
  <c r="AX111" i="1"/>
  <c r="AY111" i="1"/>
  <c r="BB111" i="1"/>
  <c r="AW113" i="1"/>
  <c r="AX113" i="1"/>
  <c r="AY113" i="1"/>
  <c r="BB113"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Y247" i="1"/>
  <c r="AX247" i="1"/>
  <c r="AW247" i="1"/>
  <c r="BB247" i="1"/>
  <c r="BD278" i="1" l="1"/>
  <c r="BF278" i="1" s="1"/>
  <c r="BE278" i="1"/>
  <c r="BG278" i="1" s="1"/>
  <c r="BE275" i="1"/>
  <c r="BG275" i="1" s="1"/>
  <c r="BD275" i="1"/>
  <c r="BF275" i="1" s="1"/>
  <c r="BD272" i="1"/>
  <c r="BF272" i="1" s="1"/>
  <c r="BE272" i="1"/>
  <c r="BG272" i="1" s="1"/>
  <c r="BD268" i="1"/>
  <c r="BF268" i="1" s="1"/>
  <c r="BE268" i="1"/>
  <c r="BG268" i="1" s="1"/>
  <c r="BD261" i="1"/>
  <c r="BF261" i="1" s="1"/>
  <c r="BE261" i="1"/>
  <c r="BG261" i="1" s="1"/>
  <c r="BE245" i="1"/>
  <c r="BG245" i="1" s="1"/>
  <c r="BD245" i="1"/>
  <c r="BF245" i="1" s="1"/>
  <c r="BD258" i="1"/>
  <c r="BF258" i="1" s="1"/>
  <c r="BE258" i="1"/>
  <c r="BG258" i="1" s="1"/>
  <c r="BE255" i="1"/>
  <c r="BG255" i="1" s="1"/>
  <c r="BD255" i="1"/>
  <c r="BF255" i="1" s="1"/>
  <c r="BD252" i="1"/>
  <c r="BF252" i="1" s="1"/>
  <c r="BE252" i="1"/>
  <c r="BG252" i="1" s="1"/>
  <c r="BE249" i="1"/>
  <c r="BG249" i="1" s="1"/>
  <c r="BD249" i="1"/>
  <c r="BF249" i="1" s="1"/>
  <c r="BD230" i="1"/>
  <c r="BE230" i="1"/>
  <c r="BG230" i="1" s="1"/>
  <c r="BE225" i="1"/>
  <c r="BG225" i="1" s="1"/>
  <c r="BD225" i="1"/>
  <c r="BF225" i="1" s="1"/>
  <c r="BE221" i="1"/>
  <c r="BD221" i="1"/>
  <c r="BF221" i="1" s="1"/>
  <c r="BD240" i="1"/>
  <c r="BF240" i="1" s="1"/>
  <c r="BE240" i="1"/>
  <c r="BG240" i="1" s="1"/>
  <c r="BE238" i="1"/>
  <c r="BG238" i="1" s="1"/>
  <c r="BD238" i="1"/>
  <c r="BF238" i="1" s="1"/>
  <c r="BD237" i="1"/>
  <c r="BF237" i="1" s="1"/>
  <c r="BE237" i="1"/>
  <c r="BG237" i="1" s="1"/>
  <c r="BD218" i="1"/>
  <c r="BE218" i="1"/>
  <c r="BE279" i="1"/>
  <c r="BG279" i="1" s="1"/>
  <c r="BD279" i="1"/>
  <c r="BF279" i="1" s="1"/>
  <c r="BD276" i="1"/>
  <c r="BF276" i="1" s="1"/>
  <c r="BE276" i="1"/>
  <c r="BG276" i="1" s="1"/>
  <c r="BE273" i="1"/>
  <c r="BG273" i="1" s="1"/>
  <c r="BD273" i="1"/>
  <c r="BF273" i="1" s="1"/>
  <c r="BD270" i="1"/>
  <c r="BF270" i="1" s="1"/>
  <c r="BE270" i="1"/>
  <c r="BG270" i="1" s="1"/>
  <c r="BE267" i="1"/>
  <c r="BG267" i="1" s="1"/>
  <c r="BD267" i="1"/>
  <c r="BF267" i="1" s="1"/>
  <c r="BE265" i="1"/>
  <c r="BG265" i="1" s="1"/>
  <c r="BD265" i="1"/>
  <c r="BF265" i="1" s="1"/>
  <c r="BD243" i="1"/>
  <c r="BF243" i="1" s="1"/>
  <c r="BE243" i="1"/>
  <c r="BG243" i="1" s="1"/>
  <c r="BE259" i="1"/>
  <c r="BG259" i="1" s="1"/>
  <c r="BD259" i="1"/>
  <c r="BF259" i="1" s="1"/>
  <c r="BD256" i="1"/>
  <c r="BF256" i="1" s="1"/>
  <c r="BE256" i="1"/>
  <c r="BG256" i="1" s="1"/>
  <c r="BE253" i="1"/>
  <c r="BG253" i="1" s="1"/>
  <c r="BD253" i="1"/>
  <c r="BF253" i="1" s="1"/>
  <c r="BD250" i="1"/>
  <c r="BF250" i="1" s="1"/>
  <c r="BE250" i="1"/>
  <c r="BG250" i="1" s="1"/>
  <c r="BE233" i="1"/>
  <c r="BD233" i="1"/>
  <c r="BE215" i="1"/>
  <c r="BG215" i="1" s="1"/>
  <c r="BD215" i="1"/>
  <c r="BF215" i="1" s="1"/>
  <c r="BD248" i="1"/>
  <c r="BF248" i="1" s="1"/>
  <c r="BE248" i="1"/>
  <c r="BG248" i="1" s="1"/>
  <c r="BE247" i="1"/>
  <c r="BG247" i="1" s="1"/>
  <c r="BD247" i="1"/>
  <c r="BF247" i="1" s="1"/>
  <c r="BD222" i="1"/>
  <c r="BE222" i="1"/>
  <c r="BG222" i="1" s="1"/>
  <c r="BE277" i="1"/>
  <c r="BG277" i="1" s="1"/>
  <c r="BD277" i="1"/>
  <c r="BF277" i="1" s="1"/>
  <c r="BD274" i="1"/>
  <c r="BF274" i="1" s="1"/>
  <c r="BE274" i="1"/>
  <c r="BG274" i="1" s="1"/>
  <c r="BE271" i="1"/>
  <c r="BG271" i="1" s="1"/>
  <c r="BD271" i="1"/>
  <c r="BF271" i="1" s="1"/>
  <c r="BE269" i="1"/>
  <c r="BG269" i="1" s="1"/>
  <c r="BD269" i="1"/>
  <c r="BF269" i="1" s="1"/>
  <c r="BE246" i="1"/>
  <c r="BG246" i="1" s="1"/>
  <c r="BD246" i="1"/>
  <c r="BF246" i="1" s="1"/>
  <c r="BD260" i="1"/>
  <c r="BF260" i="1" s="1"/>
  <c r="BE260" i="1"/>
  <c r="BG260" i="1" s="1"/>
  <c r="BE257" i="1"/>
  <c r="BG257" i="1" s="1"/>
  <c r="BD257" i="1"/>
  <c r="BF257" i="1" s="1"/>
  <c r="BD254" i="1"/>
  <c r="BF254" i="1" s="1"/>
  <c r="BE254" i="1"/>
  <c r="BG254" i="1" s="1"/>
  <c r="BE251" i="1"/>
  <c r="BG251" i="1" s="1"/>
  <c r="BD251" i="1"/>
  <c r="BF251" i="1" s="1"/>
  <c r="BD224" i="1"/>
  <c r="BE224" i="1"/>
  <c r="BD220" i="1"/>
  <c r="BF220" i="1" s="1"/>
  <c r="BE220" i="1"/>
  <c r="BG220" i="1" s="1"/>
  <c r="BD212" i="1"/>
  <c r="BE212" i="1"/>
  <c r="BG212" i="1" s="1"/>
  <c r="BE189" i="1"/>
  <c r="BG189" i="1" s="1"/>
  <c r="BE188" i="1"/>
  <c r="BG188" i="1" s="1"/>
  <c r="BE187" i="1"/>
  <c r="BG187" i="1" s="1"/>
  <c r="BE186" i="1"/>
  <c r="BG186" i="1" s="1"/>
  <c r="BE185" i="1"/>
  <c r="BG185" i="1" s="1"/>
  <c r="BE184" i="1"/>
  <c r="BG184" i="1" s="1"/>
  <c r="BE183" i="1"/>
  <c r="BG183" i="1" s="1"/>
  <c r="BE182" i="1"/>
  <c r="BG182" i="1" s="1"/>
  <c r="BE181" i="1"/>
  <c r="BG181" i="1" s="1"/>
  <c r="BE180" i="1"/>
  <c r="BG180"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9" i="1"/>
  <c r="BG199" i="1" s="1"/>
  <c r="BE197" i="1"/>
  <c r="BG197" i="1" s="1"/>
  <c r="BE132" i="1"/>
  <c r="BG132" i="1" s="1"/>
  <c r="BE114" i="1"/>
  <c r="BG114" i="1" s="1"/>
  <c r="BE110" i="1"/>
  <c r="BG110"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3" i="1"/>
  <c r="BG113" i="1" s="1"/>
  <c r="BE111" i="1"/>
  <c r="BG111" i="1" s="1"/>
  <c r="BE109" i="1"/>
  <c r="BG109" i="1" s="1"/>
  <c r="BE107" i="1"/>
  <c r="BG107" i="1" s="1"/>
  <c r="BE105" i="1"/>
  <c r="BG105" i="1" s="1"/>
  <c r="BE104" i="1"/>
  <c r="BG104" i="1" s="1"/>
  <c r="BE102" i="1"/>
  <c r="BG102" i="1" s="1"/>
  <c r="BE100" i="1"/>
  <c r="BG100" i="1" s="1"/>
  <c r="BE99" i="1"/>
  <c r="BG99" i="1" s="1"/>
  <c r="BE97" i="1"/>
  <c r="BG97" i="1" s="1"/>
  <c r="BE96" i="1"/>
  <c r="BG96" i="1" s="1"/>
  <c r="BE191" i="1"/>
  <c r="BG191" i="1" s="1"/>
  <c r="BE95" i="1"/>
  <c r="BG95" i="1" s="1"/>
  <c r="BE94" i="1"/>
  <c r="BG94" i="1" s="1"/>
  <c r="BE93" i="1"/>
  <c r="BG93" i="1" s="1"/>
  <c r="BG218" i="1"/>
  <c r="BE210" i="1"/>
  <c r="BG210" i="1" s="1"/>
  <c r="BE209" i="1"/>
  <c r="BG209" i="1" s="1"/>
  <c r="BE206" i="1"/>
  <c r="BG206" i="1" s="1"/>
  <c r="BE205" i="1"/>
  <c r="BG205" i="1" s="1"/>
  <c r="BE204" i="1"/>
  <c r="BG204" i="1" s="1"/>
  <c r="BE203" i="1"/>
  <c r="BG203" i="1" s="1"/>
  <c r="BE202" i="1"/>
  <c r="BG202" i="1" s="1"/>
  <c r="BE200" i="1"/>
  <c r="BG200" i="1" s="1"/>
  <c r="BE198" i="1"/>
  <c r="BG198" i="1" s="1"/>
  <c r="BE151" i="1"/>
  <c r="BG151" i="1" s="1"/>
  <c r="BE196" i="1"/>
  <c r="BG196" i="1" s="1"/>
  <c r="BE194" i="1"/>
  <c r="BG194" i="1" s="1"/>
  <c r="BE193" i="1"/>
  <c r="BG193" i="1" s="1"/>
  <c r="BE192" i="1"/>
  <c r="BG192" i="1" s="1"/>
  <c r="BE190" i="1"/>
  <c r="BG190"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3" i="1"/>
  <c r="BG224" i="1"/>
  <c r="BG221" i="1"/>
  <c r="BD188" i="1"/>
  <c r="BF188" i="1" s="1"/>
  <c r="BD175" i="1"/>
  <c r="BF175" i="1" s="1"/>
  <c r="BD197" i="1"/>
  <c r="BF197"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80" i="1"/>
  <c r="BF180" i="1" s="1"/>
  <c r="BD169" i="1"/>
  <c r="BF169" i="1" s="1"/>
  <c r="BD114" i="1"/>
  <c r="BF114"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3" i="1"/>
  <c r="BF113" i="1" s="1"/>
  <c r="BD109" i="1"/>
  <c r="BF109" i="1" s="1"/>
  <c r="BD105" i="1"/>
  <c r="BF105" i="1" s="1"/>
  <c r="BD102" i="1"/>
  <c r="BF102" i="1" s="1"/>
  <c r="BD99" i="1"/>
  <c r="BF99" i="1" s="1"/>
  <c r="BD96" i="1"/>
  <c r="BF96" i="1" s="1"/>
  <c r="BD95" i="1"/>
  <c r="BF95" i="1" s="1"/>
  <c r="BD93" i="1"/>
  <c r="BF93" i="1" s="1"/>
  <c r="BD209" i="1"/>
  <c r="BF209" i="1" s="1"/>
  <c r="BD205" i="1"/>
  <c r="BF205" i="1" s="1"/>
  <c r="BD203" i="1"/>
  <c r="BF203" i="1" s="1"/>
  <c r="BD200" i="1"/>
  <c r="BF200" i="1" s="1"/>
  <c r="BD151" i="1"/>
  <c r="BF151" i="1" s="1"/>
  <c r="BD193" i="1"/>
  <c r="BF193" i="1" s="1"/>
  <c r="BD186" i="1"/>
  <c r="BF186" i="1" s="1"/>
  <c r="BD173" i="1"/>
  <c r="BF173" i="1" s="1"/>
  <c r="BD160" i="1"/>
  <c r="BF160" i="1" s="1"/>
  <c r="BD158" i="1"/>
  <c r="BF158" i="1" s="1"/>
  <c r="BD156" i="1"/>
  <c r="BF156" i="1" s="1"/>
  <c r="BF230" i="1"/>
  <c r="BD189" i="1"/>
  <c r="BF189" i="1" s="1"/>
  <c r="BD187" i="1"/>
  <c r="BF187" i="1" s="1"/>
  <c r="BD185" i="1"/>
  <c r="BF185" i="1" s="1"/>
  <c r="BD183" i="1"/>
  <c r="BF183" i="1" s="1"/>
  <c r="BD181" i="1"/>
  <c r="BF181" i="1" s="1"/>
  <c r="BD178" i="1"/>
  <c r="BF178" i="1" s="1"/>
  <c r="BD176" i="1"/>
  <c r="BF176" i="1" s="1"/>
  <c r="BD174" i="1"/>
  <c r="BF174" i="1" s="1"/>
  <c r="BD172" i="1"/>
  <c r="BF172" i="1" s="1"/>
  <c r="BD170" i="1"/>
  <c r="BF170" i="1" s="1"/>
  <c r="BD168" i="1"/>
  <c r="BF168" i="1" s="1"/>
  <c r="BD166" i="1"/>
  <c r="BF166" i="1" s="1"/>
  <c r="BD164" i="1"/>
  <c r="BF164" i="1" s="1"/>
  <c r="BD162" i="1"/>
  <c r="BF162" i="1" s="1"/>
  <c r="BD182" i="1"/>
  <c r="BF182" i="1" s="1"/>
  <c r="BD171" i="1"/>
  <c r="BF171" i="1" s="1"/>
  <c r="BD165" i="1"/>
  <c r="BF165" i="1" s="1"/>
  <c r="BD199" i="1"/>
  <c r="BF199" i="1" s="1"/>
  <c r="BD110" i="1"/>
  <c r="BF110"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1" i="1"/>
  <c r="BF111" i="1" s="1"/>
  <c r="BD107" i="1"/>
  <c r="BF107" i="1" s="1"/>
  <c r="BD104" i="1"/>
  <c r="BF104" i="1" s="1"/>
  <c r="BD100" i="1"/>
  <c r="BF100" i="1" s="1"/>
  <c r="BD97" i="1"/>
  <c r="BF97" i="1" s="1"/>
  <c r="BD191" i="1"/>
  <c r="BF191" i="1" s="1"/>
  <c r="BD94" i="1"/>
  <c r="BF94" i="1" s="1"/>
  <c r="BF222" i="1"/>
  <c r="BF218" i="1"/>
  <c r="BD210" i="1"/>
  <c r="BF210" i="1" s="1"/>
  <c r="BD206" i="1"/>
  <c r="BF206" i="1" s="1"/>
  <c r="BD204" i="1"/>
  <c r="BF204" i="1" s="1"/>
  <c r="BD202" i="1"/>
  <c r="BF202" i="1" s="1"/>
  <c r="BD198" i="1"/>
  <c r="BF198" i="1" s="1"/>
  <c r="BD196" i="1"/>
  <c r="BF196" i="1" s="1"/>
  <c r="BD194" i="1"/>
  <c r="BF194" i="1" s="1"/>
  <c r="BD192" i="1"/>
  <c r="BF192" i="1" s="1"/>
  <c r="BD190" i="1"/>
  <c r="BF190" i="1" s="1"/>
  <c r="BD184" i="1"/>
  <c r="BF184"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3" i="1"/>
  <c r="BF224" i="1"/>
  <c r="BF21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2" i="1"/>
  <c r="BT221" i="1"/>
  <c r="BV221" i="1" s="1"/>
  <c r="AG221" i="1"/>
  <c r="AI221" i="1" s="1"/>
  <c r="X221" i="1"/>
  <c r="AF221" i="1" l="1"/>
  <c r="B27" i="6"/>
  <c r="B14" i="6"/>
  <c r="B13" i="6"/>
  <c r="E11" i="6"/>
  <c r="F11" i="6"/>
  <c r="G11" i="6"/>
  <c r="H11" i="6"/>
  <c r="I11" i="6"/>
  <c r="J11" i="6"/>
  <c r="K11" i="6"/>
  <c r="L11" i="6"/>
  <c r="M11" i="6"/>
  <c r="N11" i="6"/>
  <c r="O11" i="6"/>
  <c r="P11" i="6"/>
  <c r="Q11" i="6"/>
  <c r="R11" i="6"/>
  <c r="S11" i="6"/>
  <c r="T11" i="6"/>
  <c r="U11" i="6"/>
  <c r="C11" i="6"/>
  <c r="D11" i="6"/>
  <c r="B10" i="6"/>
  <c r="B11" i="6" s="1"/>
  <c r="AG206" i="1"/>
  <c r="AI206" i="1" s="1"/>
  <c r="BT245" i="1"/>
  <c r="BV245" i="1" s="1"/>
  <c r="BT243" i="1"/>
  <c r="BV243" i="1" s="1"/>
  <c r="BT246" i="1"/>
  <c r="BV246" i="1" s="1"/>
  <c r="BT261" i="1"/>
  <c r="BV261" i="1" s="1"/>
  <c r="BT265" i="1"/>
  <c r="BV265" i="1" s="1"/>
  <c r="BT266" i="1"/>
  <c r="BV266" i="1" s="1"/>
  <c r="AE266" i="1"/>
  <c r="BA266" i="1" s="1"/>
  <c r="AG245" i="1"/>
  <c r="AG243" i="1"/>
  <c r="AG246" i="1"/>
  <c r="AG261" i="1"/>
  <c r="AG265" i="1"/>
  <c r="AG266" i="1"/>
  <c r="X266" i="1"/>
  <c r="BD266" i="1" l="1"/>
  <c r="BF266" i="1" s="1"/>
  <c r="BE266" i="1"/>
  <c r="BG266" i="1" s="1"/>
  <c r="AI266" i="1"/>
  <c r="AI265" i="1"/>
  <c r="AI261" i="1"/>
  <c r="AI246" i="1"/>
  <c r="AI243" i="1"/>
  <c r="AI245" i="1"/>
  <c r="B15" i="6"/>
  <c r="K234" i="1"/>
  <c r="AX234" i="1" s="1"/>
  <c r="K244" i="1"/>
  <c r="AX244" i="1" s="1"/>
  <c r="BT260" i="1"/>
  <c r="BV260" i="1" s="1"/>
  <c r="AG260" i="1"/>
  <c r="AI260" i="1" s="1"/>
  <c r="X260" i="1"/>
  <c r="BD244" i="1" l="1"/>
  <c r="BF244" i="1" s="1"/>
  <c r="BE244" i="1"/>
  <c r="BG244" i="1" s="1"/>
  <c r="BD234" i="1"/>
  <c r="BF234" i="1" s="1"/>
  <c r="BE234" i="1"/>
  <c r="BG234" i="1" s="1"/>
  <c r="T212" i="1"/>
  <c r="K219" i="1"/>
  <c r="AX219" i="1" s="1"/>
  <c r="BT17" i="1"/>
  <c r="BV17" i="1" s="1"/>
  <c r="AG17" i="1"/>
  <c r="AI17" i="1" s="1"/>
  <c r="X17" i="1"/>
  <c r="BT217" i="1"/>
  <c r="K217" i="1"/>
  <c r="AX217" i="1" s="1"/>
  <c r="T217" i="1"/>
  <c r="BE219" i="1" l="1"/>
  <c r="BG219" i="1" s="1"/>
  <c r="BD219" i="1"/>
  <c r="BF219" i="1" s="1"/>
  <c r="BE217" i="1"/>
  <c r="BG217" i="1" s="1"/>
  <c r="BD217" i="1"/>
  <c r="BF217" i="1" s="1"/>
  <c r="K214" i="1"/>
  <c r="AX214" i="1" s="1"/>
  <c r="T214" i="1"/>
  <c r="BD214" i="1" l="1"/>
  <c r="BF214" i="1" s="1"/>
  <c r="BE214" i="1"/>
  <c r="BG214" i="1" s="1"/>
  <c r="K211" i="1"/>
  <c r="AX211" i="1" s="1"/>
  <c r="T211" i="1"/>
  <c r="BE211" i="1" l="1"/>
  <c r="BG211" i="1" s="1"/>
  <c r="BD211" i="1"/>
  <c r="BF211" i="1" s="1"/>
  <c r="AA203" i="1"/>
  <c r="T198" i="1" l="1"/>
  <c r="T196" i="1"/>
  <c r="BT183" i="1"/>
  <c r="BV183" i="1" s="1"/>
  <c r="AG183" i="1"/>
  <c r="X183" i="1"/>
  <c r="AF183" i="1" l="1"/>
  <c r="AI183" i="1"/>
  <c r="K242" i="1"/>
  <c r="AX242" i="1" s="1"/>
  <c r="BT190" i="1"/>
  <c r="BV190" i="1" s="1"/>
  <c r="AG190" i="1"/>
  <c r="X190" i="1"/>
  <c r="BD242" i="1" l="1"/>
  <c r="BF242" i="1" s="1"/>
  <c r="BE242" i="1"/>
  <c r="BG242" i="1" s="1"/>
  <c r="AI190" i="1"/>
  <c r="AE228" i="1"/>
  <c r="BA228" i="1" s="1"/>
  <c r="BD228" i="1" l="1"/>
  <c r="BF228" i="1" s="1"/>
  <c r="BE228" i="1"/>
  <c r="BG228" i="1" s="1"/>
  <c r="BT25" i="1"/>
  <c r="BV25" i="1" s="1"/>
  <c r="AG25" i="1"/>
  <c r="X25" i="1"/>
  <c r="BT181" i="1"/>
  <c r="BV181" i="1" s="1"/>
  <c r="AG181" i="1"/>
  <c r="AI181" i="1" s="1"/>
  <c r="X181" i="1"/>
  <c r="AF25" i="1" l="1"/>
  <c r="AI25" i="1"/>
  <c r="X209" i="1"/>
  <c r="X205"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09" i="1"/>
  <c r="S109" i="1" s="1"/>
  <c r="Q135" i="1"/>
  <c r="S135" i="1" s="1"/>
  <c r="BT14" i="1" l="1"/>
  <c r="BV14" i="1" s="1"/>
  <c r="AG14" i="1"/>
  <c r="AI14" i="1" s="1"/>
  <c r="X14" i="1"/>
  <c r="U134" i="1"/>
  <c r="Q134" i="1"/>
  <c r="S134" i="1" s="1"/>
  <c r="BT13" i="1" l="1"/>
  <c r="BV13" i="1" s="1"/>
  <c r="AG13" i="1"/>
  <c r="AI13" i="1" s="1"/>
  <c r="X13" i="1"/>
  <c r="AB131" i="1"/>
  <c r="Q131" i="1"/>
  <c r="S131" i="1" s="1"/>
  <c r="AE195" i="1"/>
  <c r="BA195" i="1" s="1"/>
  <c r="BE195" i="1" s="1"/>
  <c r="BG195" i="1" s="1"/>
  <c r="BD195" i="1" l="1"/>
  <c r="BF195" i="1" s="1"/>
  <c r="BT12" i="1"/>
  <c r="BV12" i="1" s="1"/>
  <c r="AG12" i="1"/>
  <c r="AI12" i="1" s="1"/>
  <c r="X12" i="1"/>
  <c r="AB130" i="1"/>
  <c r="AB129" i="1"/>
  <c r="Q129" i="1"/>
  <c r="S129" i="1" s="1"/>
  <c r="AB128" i="1" l="1"/>
  <c r="Q128" i="1"/>
  <c r="S128" i="1" s="1"/>
  <c r="X129" i="1"/>
  <c r="X130" i="1"/>
  <c r="X194" i="1"/>
  <c r="X195"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200" i="1"/>
  <c r="X202" i="1"/>
  <c r="X165" i="1"/>
  <c r="X166" i="1"/>
  <c r="X167" i="1"/>
  <c r="X159" i="1"/>
  <c r="X168" i="1"/>
  <c r="X169" i="1"/>
  <c r="X170" i="1"/>
  <c r="X171" i="1"/>
  <c r="X172" i="1"/>
  <c r="X173" i="1"/>
  <c r="X174" i="1"/>
  <c r="X175" i="1"/>
  <c r="X24" i="1"/>
  <c r="X176" i="1"/>
  <c r="X177" i="1"/>
  <c r="X178" i="1"/>
  <c r="X180" i="1"/>
  <c r="X213" i="1"/>
  <c r="X182" i="1"/>
  <c r="X220" i="1"/>
  <c r="X184" i="1"/>
  <c r="X185" i="1"/>
  <c r="X186" i="1"/>
  <c r="X187" i="1"/>
  <c r="X228" i="1"/>
  <c r="X237" i="1"/>
  <c r="X241" i="1"/>
  <c r="X188" i="1"/>
  <c r="X189" i="1"/>
  <c r="X225" i="1"/>
  <c r="X242" i="1"/>
  <c r="X238" i="1"/>
  <c r="X240" i="1"/>
  <c r="X210" i="1"/>
  <c r="X218" i="1"/>
  <c r="X196" i="1"/>
  <c r="X198" i="1"/>
  <c r="X204" i="1"/>
  <c r="X203" i="1"/>
  <c r="X211" i="1"/>
  <c r="X214" i="1"/>
  <c r="X217" i="1"/>
  <c r="X219" i="1"/>
  <c r="X212" i="1"/>
  <c r="X244" i="1"/>
  <c r="X224" i="1"/>
  <c r="X206" i="1"/>
  <c r="X230" i="1"/>
  <c r="X233" i="1"/>
  <c r="X234" i="1"/>
  <c r="X215" i="1"/>
  <c r="X222" i="1"/>
  <c r="X253" i="1"/>
  <c r="X254" i="1"/>
  <c r="X255" i="1"/>
  <c r="X256" i="1"/>
  <c r="X257" i="1"/>
  <c r="X258" i="1"/>
  <c r="X250" i="1"/>
  <c r="X251" i="1"/>
  <c r="X18" i="1"/>
  <c r="X252" i="1"/>
  <c r="X22" i="1"/>
  <c r="X247" i="1"/>
  <c r="X248" i="1"/>
  <c r="X249" i="1"/>
  <c r="X51" i="1"/>
  <c r="X52" i="1"/>
  <c r="X28" i="1"/>
  <c r="X32" i="1"/>
  <c r="X34" i="1"/>
  <c r="X41" i="1"/>
  <c r="X36" i="1"/>
  <c r="X259" i="1"/>
  <c r="X60" i="1"/>
  <c r="X53" i="1"/>
  <c r="X62" i="1"/>
  <c r="X46" i="1"/>
  <c r="X245" i="1"/>
  <c r="X243" i="1"/>
  <c r="X246" i="1"/>
  <c r="X261"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1" i="1"/>
  <c r="X59" i="1"/>
  <c r="X40" i="1"/>
  <c r="X49" i="1"/>
  <c r="X19" i="1"/>
  <c r="X20" i="1"/>
  <c r="X96" i="1"/>
  <c r="X97" i="1"/>
  <c r="X99" i="1"/>
  <c r="X100" i="1"/>
  <c r="X102" i="1"/>
  <c r="X104" i="1"/>
  <c r="X192" i="1"/>
  <c r="X110" i="1"/>
  <c r="X114" i="1"/>
  <c r="X107" i="1"/>
  <c r="X109" i="1"/>
  <c r="X111" i="1"/>
  <c r="X8" i="1"/>
  <c r="X9" i="1"/>
  <c r="X10" i="1"/>
  <c r="X113" i="1"/>
  <c r="X115" i="1"/>
  <c r="X116" i="1"/>
  <c r="X117" i="1"/>
  <c r="X118" i="1"/>
  <c r="X119" i="1"/>
  <c r="X120" i="1"/>
  <c r="X121" i="1"/>
  <c r="X123" i="1"/>
  <c r="X193"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3" i="1"/>
  <c r="S113" i="1" s="1"/>
  <c r="AB107" i="1"/>
  <c r="BT2" i="1"/>
  <c r="BV2" i="1" s="1"/>
  <c r="AG2" i="1"/>
  <c r="AI2" i="1" s="1"/>
  <c r="Q107" i="1"/>
  <c r="S107" i="1" s="1"/>
  <c r="Q105" i="1"/>
  <c r="S105"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2" i="1"/>
  <c r="S102" i="1" s="1"/>
  <c r="AI112" i="1" l="1"/>
  <c r="AI103" i="1"/>
  <c r="AI106"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1" i="1"/>
  <c r="BV191" i="1" s="1"/>
  <c r="BT96" i="1"/>
  <c r="BV96" i="1" s="1"/>
  <c r="BT97" i="1"/>
  <c r="BV97" i="1" s="1"/>
  <c r="BT99" i="1"/>
  <c r="BV99" i="1" s="1"/>
  <c r="BT100" i="1"/>
  <c r="BV100" i="1" s="1"/>
  <c r="BT102" i="1"/>
  <c r="BV102" i="1" s="1"/>
  <c r="BT104" i="1"/>
  <c r="BV104" i="1" s="1"/>
  <c r="BT110" i="1"/>
  <c r="BV110" i="1" s="1"/>
  <c r="BT114" i="1"/>
  <c r="BV114" i="1" s="1"/>
  <c r="BT105" i="1"/>
  <c r="BV105" i="1" s="1"/>
  <c r="BT107" i="1"/>
  <c r="BV107" i="1" s="1"/>
  <c r="BT92" i="1"/>
  <c r="BV92" i="1" s="1"/>
  <c r="BT109" i="1"/>
  <c r="BV109" i="1" s="1"/>
  <c r="BT111" i="1"/>
  <c r="BV111" i="1" s="1"/>
  <c r="BT113" i="1"/>
  <c r="BV113"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200" i="1"/>
  <c r="BV200"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80" i="1"/>
  <c r="BV180" i="1" s="1"/>
  <c r="BT182" i="1"/>
  <c r="BV182" i="1" s="1"/>
  <c r="BT184" i="1"/>
  <c r="BV184" i="1" s="1"/>
  <c r="BT185" i="1"/>
  <c r="BV185" i="1" s="1"/>
  <c r="BT186" i="1"/>
  <c r="BV186" i="1" s="1"/>
  <c r="BT187" i="1"/>
  <c r="BV187" i="1" s="1"/>
  <c r="BT188" i="1"/>
  <c r="BV188" i="1" s="1"/>
  <c r="BT189" i="1"/>
  <c r="BV189" i="1" s="1"/>
  <c r="BT122" i="1"/>
  <c r="BV122" i="1" s="1"/>
  <c r="BT192" i="1"/>
  <c r="BV192" i="1" s="1"/>
  <c r="BT193" i="1"/>
  <c r="BV193" i="1" s="1"/>
  <c r="BT194" i="1"/>
  <c r="BV194" i="1" s="1"/>
  <c r="BT195" i="1"/>
  <c r="BV195" i="1" s="1"/>
  <c r="BT151" i="1"/>
  <c r="BV151" i="1" s="1"/>
  <c r="BT199" i="1"/>
  <c r="BV199" i="1" s="1"/>
  <c r="BT202" i="1"/>
  <c r="BV202" i="1" s="1"/>
  <c r="BT197" i="1"/>
  <c r="BV197" i="1" s="1"/>
  <c r="BT237" i="1"/>
  <c r="BV237" i="1" s="1"/>
  <c r="BT220" i="1"/>
  <c r="BV220" i="1" s="1"/>
  <c r="BT228" i="1"/>
  <c r="BV228" i="1" s="1"/>
  <c r="BT241" i="1"/>
  <c r="BV241" i="1" s="1"/>
  <c r="BT213" i="1"/>
  <c r="BV213" i="1" s="1"/>
  <c r="BT209" i="1"/>
  <c r="BV209" i="1" s="1"/>
  <c r="BT205" i="1"/>
  <c r="BV205" i="1" s="1"/>
  <c r="BT225" i="1"/>
  <c r="BV225" i="1" s="1"/>
  <c r="BT242" i="1"/>
  <c r="BV242" i="1" s="1"/>
  <c r="BT238" i="1"/>
  <c r="BV238" i="1" s="1"/>
  <c r="BT240" i="1"/>
  <c r="BV240" i="1" s="1"/>
  <c r="BT210" i="1"/>
  <c r="BV210" i="1" s="1"/>
  <c r="BT218" i="1"/>
  <c r="BV218" i="1" s="1"/>
  <c r="BT196" i="1"/>
  <c r="BV196" i="1" s="1"/>
  <c r="BT198" i="1"/>
  <c r="BV198" i="1" s="1"/>
  <c r="BT204" i="1"/>
  <c r="BV204" i="1" s="1"/>
  <c r="BT203" i="1"/>
  <c r="BV203" i="1" s="1"/>
  <c r="BT211" i="1"/>
  <c r="BV211" i="1" s="1"/>
  <c r="BT214" i="1"/>
  <c r="BV214" i="1" s="1"/>
  <c r="BV217" i="1"/>
  <c r="BT219" i="1"/>
  <c r="BV219" i="1" s="1"/>
  <c r="BT212" i="1"/>
  <c r="BV212" i="1" s="1"/>
  <c r="BT244" i="1"/>
  <c r="BV244" i="1" s="1"/>
  <c r="BT224" i="1"/>
  <c r="BV224" i="1" s="1"/>
  <c r="BT206" i="1"/>
  <c r="BV206" i="1" s="1"/>
  <c r="BT230" i="1"/>
  <c r="BV230" i="1" s="1"/>
  <c r="BT233" i="1"/>
  <c r="BV233" i="1" s="1"/>
  <c r="BT234" i="1"/>
  <c r="BV234" i="1" s="1"/>
  <c r="BT215" i="1"/>
  <c r="BV215" i="1" s="1"/>
  <c r="BT222" i="1"/>
  <c r="BV222" i="1" s="1"/>
  <c r="BT253" i="1"/>
  <c r="BV253" i="1" s="1"/>
  <c r="BT267" i="1"/>
  <c r="BV267" i="1" s="1"/>
  <c r="BT254" i="1"/>
  <c r="BV254" i="1" s="1"/>
  <c r="BT255" i="1"/>
  <c r="BV255" i="1" s="1"/>
  <c r="BT256" i="1"/>
  <c r="BV256" i="1" s="1"/>
  <c r="BT257" i="1"/>
  <c r="BV257" i="1" s="1"/>
  <c r="BT258" i="1"/>
  <c r="BV258" i="1" s="1"/>
  <c r="BT268" i="1"/>
  <c r="BV268" i="1" s="1"/>
  <c r="BT269" i="1"/>
  <c r="BV269" i="1" s="1"/>
  <c r="BT270" i="1"/>
  <c r="BV270" i="1" s="1"/>
  <c r="BT271" i="1"/>
  <c r="BV271" i="1" s="1"/>
  <c r="BT272" i="1"/>
  <c r="BV272" i="1" s="1"/>
  <c r="BT273" i="1"/>
  <c r="BV273" i="1" s="1"/>
  <c r="BT275" i="1"/>
  <c r="BV275" i="1" s="1"/>
  <c r="BT274" i="1"/>
  <c r="BV274" i="1" s="1"/>
  <c r="BT279" i="1"/>
  <c r="BV279" i="1" s="1"/>
  <c r="BT278" i="1"/>
  <c r="BV278" i="1" s="1"/>
  <c r="BT276" i="1"/>
  <c r="BV276" i="1" s="1"/>
  <c r="BT277" i="1"/>
  <c r="BV277" i="1" s="1"/>
  <c r="BT250" i="1"/>
  <c r="BV250" i="1" s="1"/>
  <c r="BT251" i="1"/>
  <c r="BV251" i="1" s="1"/>
  <c r="BT18" i="1"/>
  <c r="BV18" i="1" s="1"/>
  <c r="BT20" i="1"/>
  <c r="BV20" i="1" s="1"/>
  <c r="BT252" i="1"/>
  <c r="BV252" i="1" s="1"/>
  <c r="BT22" i="1"/>
  <c r="BV22" i="1" s="1"/>
  <c r="BT23" i="1"/>
  <c r="BV23" i="1" s="1"/>
  <c r="BT24" i="1"/>
  <c r="BV24" i="1" s="1"/>
  <c r="BT247" i="1"/>
  <c r="BV247" i="1" s="1"/>
  <c r="BT248" i="1"/>
  <c r="BV248" i="1" s="1"/>
  <c r="BT249" i="1"/>
  <c r="BV249" i="1" s="1"/>
  <c r="BT48" i="1"/>
  <c r="BV48" i="1" s="1"/>
  <c r="BV51" i="1"/>
  <c r="BT52" i="1"/>
  <c r="BV52" i="1" s="1"/>
  <c r="BT26" i="1"/>
  <c r="BV26" i="1" s="1"/>
  <c r="BT27" i="1"/>
  <c r="BV27" i="1" s="1"/>
  <c r="BT28" i="1"/>
  <c r="BV28" i="1" s="1"/>
  <c r="BT41" i="1"/>
  <c r="BV41" i="1" s="1"/>
  <c r="BT36" i="1"/>
  <c r="BV36" i="1" s="1"/>
  <c r="BT259" i="1"/>
  <c r="BV259"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1" i="1"/>
  <c r="AF112" i="1"/>
  <c r="AF64" i="1"/>
  <c r="AF266" i="1"/>
  <c r="AF3" i="1"/>
  <c r="AF39" i="1"/>
  <c r="AF58" i="1"/>
  <c r="AF16" i="1"/>
  <c r="AF15" i="1"/>
  <c r="AF14" i="1"/>
  <c r="AF93" i="1"/>
  <c r="AF98" i="1"/>
  <c r="AF66" i="1"/>
  <c r="AF57" i="1"/>
  <c r="AF108" i="1"/>
  <c r="AF103" i="1"/>
  <c r="AF42" i="1"/>
  <c r="AF56" i="1"/>
  <c r="AF51" i="1"/>
  <c r="AF33" i="1"/>
  <c r="AF31" i="1"/>
  <c r="AF30" i="1"/>
  <c r="AF37" i="1"/>
  <c r="AF47" i="1"/>
  <c r="AF38" i="1"/>
  <c r="AF181" i="1"/>
  <c r="AF4" i="1"/>
  <c r="AF7" i="1"/>
  <c r="AF106" i="1"/>
  <c r="AF5" i="1"/>
  <c r="AF35" i="1"/>
  <c r="AF61" i="1"/>
  <c r="AF55" i="1"/>
  <c r="AF54" i="1"/>
  <c r="AF63" i="1"/>
  <c r="AF50" i="1"/>
  <c r="AF29" i="1"/>
  <c r="AF17" i="1"/>
  <c r="AF13" i="1"/>
  <c r="AF12" i="1"/>
  <c r="AF8" i="1"/>
  <c r="AF2" i="1"/>
  <c r="AF11" i="1"/>
  <c r="AF49" i="1"/>
  <c r="AF59" i="1"/>
  <c r="AF40" i="1"/>
  <c r="AF6" i="1"/>
  <c r="AF232" i="1"/>
  <c r="AF231" i="1"/>
  <c r="AF235" i="1"/>
  <c r="AF70" i="1"/>
  <c r="AF69" i="1"/>
  <c r="AF207" i="1"/>
  <c r="AF208" i="1"/>
  <c r="AF201" i="1"/>
  <c r="AF227" i="1"/>
  <c r="AF43" i="1"/>
  <c r="AF45" i="1"/>
  <c r="AF71" i="1"/>
  <c r="AF190" i="1"/>
  <c r="AF265" i="1"/>
  <c r="AF245" i="1"/>
  <c r="AF261" i="1"/>
  <c r="AF243" i="1"/>
  <c r="AF246" i="1"/>
  <c r="AF260" i="1"/>
  <c r="AI101" i="1"/>
  <c r="AI108"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1" i="1"/>
  <c r="AI191" i="1" s="1"/>
  <c r="AG96" i="1"/>
  <c r="AI96" i="1" s="1"/>
  <c r="AG97" i="1"/>
  <c r="AI97" i="1" s="1"/>
  <c r="AG99" i="1"/>
  <c r="AI99" i="1" s="1"/>
  <c r="AG100" i="1"/>
  <c r="AI100" i="1" s="1"/>
  <c r="AG102" i="1"/>
  <c r="AI102" i="1" s="1"/>
  <c r="AG104" i="1"/>
  <c r="AI104" i="1" s="1"/>
  <c r="AG110" i="1"/>
  <c r="AI110" i="1" s="1"/>
  <c r="AG114" i="1"/>
  <c r="AI114" i="1" s="1"/>
  <c r="AG105" i="1"/>
  <c r="AI105" i="1" s="1"/>
  <c r="AG107" i="1"/>
  <c r="AI107" i="1" s="1"/>
  <c r="AG92" i="1"/>
  <c r="AI92" i="1" s="1"/>
  <c r="AG109" i="1"/>
  <c r="AI109" i="1" s="1"/>
  <c r="AG111" i="1"/>
  <c r="AI111" i="1" s="1"/>
  <c r="AG113"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200" i="1"/>
  <c r="AI200"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80" i="1"/>
  <c r="AI180" i="1" s="1"/>
  <c r="AG182" i="1"/>
  <c r="AI182" i="1" s="1"/>
  <c r="AG184" i="1"/>
  <c r="AI184" i="1" s="1"/>
  <c r="AG185" i="1"/>
  <c r="AI185" i="1" s="1"/>
  <c r="AG186" i="1"/>
  <c r="AI186" i="1" s="1"/>
  <c r="AG187" i="1"/>
  <c r="AI187" i="1" s="1"/>
  <c r="AG188" i="1"/>
  <c r="AI188" i="1" s="1"/>
  <c r="AG189" i="1"/>
  <c r="AI189" i="1" s="1"/>
  <c r="AG122" i="1"/>
  <c r="AI122" i="1" s="1"/>
  <c r="AG192" i="1"/>
  <c r="AI192" i="1" s="1"/>
  <c r="AG193" i="1"/>
  <c r="AI193" i="1" s="1"/>
  <c r="AG194" i="1"/>
  <c r="AI194" i="1" s="1"/>
  <c r="AG195" i="1"/>
  <c r="AI195" i="1" s="1"/>
  <c r="AG151" i="1"/>
  <c r="AI151" i="1" s="1"/>
  <c r="AG199" i="1"/>
  <c r="AI199" i="1" s="1"/>
  <c r="AG202" i="1"/>
  <c r="AI202" i="1" s="1"/>
  <c r="AG197" i="1"/>
  <c r="AI197" i="1" s="1"/>
  <c r="AG237" i="1"/>
  <c r="AI237" i="1" s="1"/>
  <c r="AG220" i="1"/>
  <c r="AI220" i="1" s="1"/>
  <c r="AG228" i="1"/>
  <c r="AI228" i="1" s="1"/>
  <c r="AG241" i="1"/>
  <c r="AI241" i="1" s="1"/>
  <c r="AG213" i="1"/>
  <c r="AI213" i="1" s="1"/>
  <c r="AG209" i="1"/>
  <c r="AI209" i="1" s="1"/>
  <c r="AG205" i="1"/>
  <c r="AI205" i="1" s="1"/>
  <c r="AG225" i="1"/>
  <c r="AI225" i="1" s="1"/>
  <c r="AG242" i="1"/>
  <c r="AI242" i="1" s="1"/>
  <c r="AG238" i="1"/>
  <c r="AI238" i="1" s="1"/>
  <c r="AG240" i="1"/>
  <c r="AI240" i="1" s="1"/>
  <c r="AG210" i="1"/>
  <c r="AI210" i="1" s="1"/>
  <c r="AG218" i="1"/>
  <c r="AI218" i="1" s="1"/>
  <c r="AG196" i="1"/>
  <c r="AI196" i="1" s="1"/>
  <c r="AG198" i="1"/>
  <c r="AI198" i="1" s="1"/>
  <c r="AG204" i="1"/>
  <c r="AI204" i="1" s="1"/>
  <c r="AG203" i="1"/>
  <c r="AI203" i="1" s="1"/>
  <c r="AG211" i="1"/>
  <c r="AI211" i="1" s="1"/>
  <c r="AG214" i="1"/>
  <c r="AI214" i="1" s="1"/>
  <c r="AG217" i="1"/>
  <c r="AI217" i="1" s="1"/>
  <c r="AG219" i="1"/>
  <c r="AI219" i="1" s="1"/>
  <c r="AG212" i="1"/>
  <c r="AI212" i="1" s="1"/>
  <c r="AG244" i="1"/>
  <c r="AI244" i="1" s="1"/>
  <c r="AG224" i="1"/>
  <c r="AI224" i="1" s="1"/>
  <c r="AG230" i="1"/>
  <c r="AI230" i="1" s="1"/>
  <c r="AG233" i="1"/>
  <c r="AI233" i="1" s="1"/>
  <c r="AG234" i="1"/>
  <c r="AI234" i="1" s="1"/>
  <c r="AG215" i="1"/>
  <c r="AI215" i="1" s="1"/>
  <c r="AG222" i="1"/>
  <c r="AI222" i="1" s="1"/>
  <c r="AG253" i="1"/>
  <c r="AI253" i="1" s="1"/>
  <c r="AG267" i="1"/>
  <c r="AI267" i="1" s="1"/>
  <c r="AG254" i="1"/>
  <c r="AI254" i="1" s="1"/>
  <c r="AG255" i="1"/>
  <c r="AI255" i="1" s="1"/>
  <c r="AG256" i="1"/>
  <c r="AI256" i="1" s="1"/>
  <c r="AG257" i="1"/>
  <c r="AI257" i="1" s="1"/>
  <c r="AG258" i="1"/>
  <c r="AI258" i="1" s="1"/>
  <c r="AG268" i="1"/>
  <c r="AI268" i="1" s="1"/>
  <c r="AG269" i="1"/>
  <c r="AI269" i="1" s="1"/>
  <c r="AG270" i="1"/>
  <c r="AI270" i="1" s="1"/>
  <c r="AG271" i="1"/>
  <c r="AI271" i="1" s="1"/>
  <c r="AG272" i="1"/>
  <c r="AI272" i="1" s="1"/>
  <c r="AG273" i="1"/>
  <c r="AI273" i="1" s="1"/>
  <c r="AG275" i="1"/>
  <c r="AI275" i="1" s="1"/>
  <c r="AG274" i="1"/>
  <c r="AI274" i="1" s="1"/>
  <c r="AG279" i="1"/>
  <c r="AG278" i="1"/>
  <c r="AI278" i="1" s="1"/>
  <c r="AG276" i="1"/>
  <c r="AI276" i="1" s="1"/>
  <c r="AG277" i="1"/>
  <c r="AI277" i="1" s="1"/>
  <c r="AG250" i="1"/>
  <c r="AI250" i="1" s="1"/>
  <c r="AG251" i="1"/>
  <c r="AI251" i="1" s="1"/>
  <c r="AG18" i="1"/>
  <c r="AI18" i="1" s="1"/>
  <c r="AG20" i="1"/>
  <c r="AI20" i="1" s="1"/>
  <c r="AG252" i="1"/>
  <c r="AI252" i="1" s="1"/>
  <c r="AG22" i="1"/>
  <c r="AI22" i="1" s="1"/>
  <c r="AG23" i="1"/>
  <c r="AI23" i="1" s="1"/>
  <c r="AG24" i="1"/>
  <c r="AI24" i="1" s="1"/>
  <c r="AG247" i="1"/>
  <c r="AI247" i="1" s="1"/>
  <c r="AG248" i="1"/>
  <c r="AI248" i="1" s="1"/>
  <c r="AG249" i="1"/>
  <c r="AI249" i="1" s="1"/>
  <c r="AG48" i="1"/>
  <c r="AI48" i="1" s="1"/>
  <c r="AG52" i="1"/>
  <c r="AI52" i="1" s="1"/>
  <c r="AG26" i="1"/>
  <c r="AI26" i="1" s="1"/>
  <c r="AG27" i="1"/>
  <c r="AI27" i="1" s="1"/>
  <c r="AG28" i="1"/>
  <c r="AI28" i="1" s="1"/>
  <c r="AG32" i="1"/>
  <c r="AI32" i="1" s="1"/>
  <c r="AG34" i="1"/>
  <c r="AG41" i="1"/>
  <c r="AI41" i="1" s="1"/>
  <c r="AG36" i="1"/>
  <c r="AI36" i="1" s="1"/>
  <c r="AG259" i="1"/>
  <c r="AI259" i="1" s="1"/>
  <c r="AG60" i="1"/>
  <c r="AI60" i="1" s="1"/>
  <c r="AG53" i="1"/>
  <c r="AI53" i="1" s="1"/>
  <c r="AG62" i="1"/>
  <c r="AI62" i="1" s="1"/>
  <c r="AG46" i="1"/>
  <c r="AI46" i="1" s="1"/>
  <c r="AG9" i="1"/>
  <c r="AI9" i="1" s="1"/>
  <c r="AI279" i="1" l="1"/>
  <c r="AF279" i="1"/>
  <c r="AI125" i="1"/>
  <c r="AF34" i="1"/>
  <c r="AI34" i="1"/>
  <c r="AI124" i="1"/>
  <c r="AI113" i="1"/>
  <c r="AF32" i="1"/>
  <c r="AF259" i="1"/>
  <c r="AF113" i="1"/>
  <c r="AF125" i="1"/>
  <c r="AF124" i="1"/>
  <c r="AF9" i="1"/>
  <c r="AF107" i="1"/>
  <c r="AF104" i="1"/>
  <c r="AF97" i="1"/>
  <c r="AF94" i="1"/>
  <c r="AF88" i="1"/>
  <c r="AF84" i="1"/>
  <c r="AF80" i="1"/>
  <c r="AF76" i="1"/>
  <c r="AF72" i="1"/>
  <c r="AF249" i="1"/>
  <c r="AF20" i="1"/>
  <c r="AF274" i="1"/>
  <c r="AF215" i="1"/>
  <c r="AF203" i="1"/>
  <c r="AF213" i="1"/>
  <c r="AF187" i="1"/>
  <c r="AF172" i="1"/>
  <c r="AF162" i="1"/>
  <c r="AF146" i="1"/>
  <c r="AF138" i="1"/>
  <c r="AF127" i="1"/>
  <c r="AF275" i="1"/>
  <c r="AF234" i="1"/>
  <c r="AF204" i="1"/>
  <c r="AF225" i="1"/>
  <c r="AF195" i="1"/>
  <c r="AF180" i="1"/>
  <c r="AF159" i="1"/>
  <c r="AF156" i="1"/>
  <c r="AF145" i="1"/>
  <c r="AF137" i="1"/>
  <c r="AF132" i="1"/>
  <c r="AF126" i="1"/>
  <c r="AF117" i="1"/>
  <c r="AF111" i="1"/>
  <c r="AF105" i="1"/>
  <c r="AF96" i="1"/>
  <c r="AF91" i="1"/>
  <c r="AF87" i="1"/>
  <c r="AF83" i="1"/>
  <c r="AF79" i="1"/>
  <c r="AF75" i="1"/>
  <c r="AF10" i="1"/>
  <c r="AF62" i="1"/>
  <c r="AF52" i="1"/>
  <c r="AF271" i="1"/>
  <c r="AF254" i="1"/>
  <c r="AF219" i="1"/>
  <c r="AF242" i="1"/>
  <c r="AF151" i="1"/>
  <c r="AF182" i="1"/>
  <c r="AF168" i="1"/>
  <c r="AF157" i="1"/>
  <c r="AF142" i="1"/>
  <c r="AF130" i="1"/>
  <c r="AF123" i="1"/>
  <c r="AF28" i="1"/>
  <c r="AF248" i="1"/>
  <c r="AF18" i="1"/>
  <c r="AF270" i="1"/>
  <c r="AF267" i="1"/>
  <c r="AF224" i="1"/>
  <c r="AF210" i="1"/>
  <c r="AF197" i="1"/>
  <c r="AF186" i="1"/>
  <c r="AF175" i="1"/>
  <c r="AF171" i="1"/>
  <c r="AF161" i="1"/>
  <c r="AF152" i="1"/>
  <c r="AF141" i="1"/>
  <c r="AF129" i="1"/>
  <c r="AF121" i="1"/>
  <c r="AF53" i="1"/>
  <c r="AF41" i="1"/>
  <c r="AF22" i="1"/>
  <c r="AF251" i="1"/>
  <c r="AF278" i="1"/>
  <c r="AF273" i="1"/>
  <c r="AF269" i="1"/>
  <c r="AF256" i="1"/>
  <c r="AF253" i="1"/>
  <c r="AF233" i="1"/>
  <c r="AF244" i="1"/>
  <c r="AF214" i="1"/>
  <c r="AF198" i="1"/>
  <c r="AF240" i="1"/>
  <c r="AF205" i="1"/>
  <c r="AF228" i="1"/>
  <c r="AF202" i="1"/>
  <c r="AF194" i="1"/>
  <c r="AF189" i="1"/>
  <c r="AF185" i="1"/>
  <c r="AF178" i="1"/>
  <c r="AF174" i="1"/>
  <c r="AF170" i="1"/>
  <c r="AF167" i="1"/>
  <c r="AF164" i="1"/>
  <c r="AF160" i="1"/>
  <c r="AF155" i="1"/>
  <c r="AF150" i="1"/>
  <c r="AF144" i="1"/>
  <c r="AF140" i="1"/>
  <c r="AF136" i="1"/>
  <c r="AF133" i="1"/>
  <c r="AF128" i="1"/>
  <c r="AF120" i="1"/>
  <c r="AF116" i="1"/>
  <c r="AF109" i="1"/>
  <c r="AF114" i="1"/>
  <c r="AF191" i="1"/>
  <c r="AF90" i="1"/>
  <c r="AF86" i="1"/>
  <c r="AF82" i="1"/>
  <c r="AF78" i="1"/>
  <c r="AF74" i="1"/>
  <c r="AF149" i="1"/>
  <c r="AF24" i="1"/>
  <c r="AF277" i="1"/>
  <c r="AF258" i="1"/>
  <c r="AF206" i="1"/>
  <c r="AF218" i="1"/>
  <c r="AF237" i="1"/>
  <c r="AF192" i="1"/>
  <c r="AF176" i="1"/>
  <c r="AF165" i="1"/>
  <c r="AF153" i="1"/>
  <c r="AF134" i="1"/>
  <c r="AF118" i="1"/>
  <c r="AF36" i="1"/>
  <c r="AF23" i="1"/>
  <c r="AF276" i="1"/>
  <c r="AF257" i="1"/>
  <c r="AF217" i="1"/>
  <c r="AF241" i="1"/>
  <c r="AF122" i="1"/>
  <c r="AF200" i="1"/>
  <c r="AF27" i="1"/>
  <c r="AF247" i="1"/>
  <c r="AF46" i="1"/>
  <c r="AF60" i="1"/>
  <c r="AF26" i="1"/>
  <c r="AF48" i="1"/>
  <c r="AF252" i="1"/>
  <c r="AF250" i="1"/>
  <c r="AF272" i="1"/>
  <c r="AF268" i="1"/>
  <c r="AF255" i="1"/>
  <c r="AF222" i="1"/>
  <c r="AF230" i="1"/>
  <c r="AF212" i="1"/>
  <c r="AF211" i="1"/>
  <c r="AF196" i="1"/>
  <c r="AF238" i="1"/>
  <c r="AF209" i="1"/>
  <c r="AF220" i="1"/>
  <c r="AF199" i="1"/>
  <c r="AF193" i="1"/>
  <c r="AF188" i="1"/>
  <c r="AF184" i="1"/>
  <c r="AF177" i="1"/>
  <c r="AF173" i="1"/>
  <c r="AF169" i="1"/>
  <c r="AF166" i="1"/>
  <c r="AF163" i="1"/>
  <c r="AF158" i="1"/>
  <c r="AF154" i="1"/>
  <c r="AF147" i="1"/>
  <c r="AF143" i="1"/>
  <c r="AF139" i="1"/>
  <c r="AF135" i="1"/>
  <c r="AF131" i="1"/>
  <c r="AF119" i="1"/>
  <c r="AF115" i="1"/>
  <c r="AF92" i="1"/>
  <c r="AF110" i="1"/>
  <c r="AF99" i="1"/>
  <c r="AF95" i="1"/>
  <c r="AF89" i="1"/>
  <c r="AF85" i="1"/>
  <c r="AF81" i="1"/>
  <c r="AF77" i="1"/>
  <c r="AF73" i="1"/>
  <c r="AF148" i="1"/>
  <c r="AF102" i="1"/>
  <c r="AF100" i="1"/>
  <c r="K213" i="1" l="1"/>
  <c r="AX213" i="1" s="1"/>
  <c r="K241" i="1"/>
  <c r="AX241" i="1" s="1"/>
  <c r="T197" i="1"/>
  <c r="X197" i="1" s="1"/>
  <c r="BE241" i="1" l="1"/>
  <c r="BG241" i="1" s="1"/>
  <c r="BD241" i="1"/>
  <c r="BF241" i="1" s="1"/>
  <c r="BE213" i="1"/>
  <c r="BG213" i="1" s="1"/>
  <c r="BD213" i="1"/>
  <c r="BF213" i="1" s="1"/>
  <c r="T199" i="1"/>
  <c r="X199" i="1" s="1"/>
  <c r="T151" i="1"/>
  <c r="X151" i="1" s="1"/>
  <c r="K161" i="1" l="1"/>
  <c r="AX161" i="1" s="1"/>
  <c r="BE161" i="1" s="1"/>
  <c r="BG161" i="1" s="1"/>
  <c r="K155" i="1"/>
  <c r="AX155" i="1" s="1"/>
  <c r="BE155" i="1" s="1"/>
  <c r="BG155" i="1" s="1"/>
  <c r="BD155" i="1" l="1"/>
  <c r="BF155" i="1" s="1"/>
  <c r="BD161" i="1"/>
  <c r="BF161" i="1" s="1"/>
  <c r="T105" i="1"/>
  <c r="X105" i="1" s="1"/>
  <c r="T85" i="1"/>
  <c r="X85" i="1" s="1"/>
</calcChain>
</file>

<file path=xl/sharedStrings.xml><?xml version="1.0" encoding="utf-8"?>
<sst xmlns="http://schemas.openxmlformats.org/spreadsheetml/2006/main" count="5267" uniqueCount="1352">
  <si>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</si>
  <si>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</si>
  <si>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</si>
  <si>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</si>
  <si>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</si>
  <si>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</si>
  <si>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</si>
  <si>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</si>
  <si>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</si>
  <si>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</si>
  <si>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</si>
  <si>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</si>
  <si>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</si>
  <si>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</si>
  <si>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</si>
  <si>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</si>
  <si>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</si>
  <si>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</si>
  <si>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</si>
  <si>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</si>
  <si>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</si>
  <si>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</si>
  <si>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</si>
  <si>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</si>
  <si>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</si>
  <si>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</si>
  <si>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</si>
  <si>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</si>
  <si>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</si>
  <si>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</si>
  <si>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</si>
  <si>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</si>
  <si>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</si>
  <si>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</si>
  <si>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</si>
  <si>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</si>
  <si>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</si>
  <si>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</si>
  <si>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</si>
  <si>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</si>
  <si>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</si>
  <si>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</si>
  <si>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</si>
  <si>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</si>
  <si>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</si>
  <si>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</si>
  <si>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</si>
  <si>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</si>
  <si>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</si>
  <si>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</si>
  <si>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</si>
  <si>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</si>
  <si>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</si>
  <si>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</si>
  <si>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</si>
  <si>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</si>
  <si>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</si>
  <si>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</si>
  <si>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</si>
  <si>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</si>
  <si>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</si>
  <si>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</si>
  <si>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</si>
  <si>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</si>
  <si>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</si>
  <si>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</si>
  <si>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</si>
  <si>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</si>
  <si>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</si>
  <si>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</si>
  <si>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</si>
  <si>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</si>
  <si>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</si>
  <si>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</si>
  <si>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</si>
  <si>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</si>
  <si>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</si>
  <si>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</si>
  <si>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</si>
  <si>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</si>
  <si>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</si>
  <si>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</si>
  <si>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</si>
  <si>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</si>
  <si>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</si>
  <si>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</si>
  <si>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</si>
  <si>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</si>
  <si>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</si>
  <si>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</si>
  <si>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</si>
  <si>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</si>
  <si>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</si>
  <si>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</si>
  <si>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</si>
  <si>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</si>
  <si>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</si>
  <si>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</si>
  <si>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</si>
  <si>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</si>
  <si>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</si>
  <si>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</si>
  <si>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</si>
  <si>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</si>
  <si>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</si>
  <si>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</si>
  <si>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</si>
  <si>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</si>
  <si>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</si>
  <si>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</si>
  <si>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</si>
  <si>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</si>
  <si>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</si>
  <si>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</si>
  <si>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</si>
  <si>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</si>
  <si>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</si>
  <si>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</si>
  <si>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</si>
  <si>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</si>
  <si>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</si>
  <si>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</si>
  <si>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</si>
  <si>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</si>
  <si>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</si>
  <si>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</si>
  <si>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</si>
  <si>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</si>
  <si>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</si>
  <si>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</si>
  <si>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</si>
  <si>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</si>
  <si>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</si>
  <si>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</si>
  <si>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</si>
  <si>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</si>
  <si>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</si>
  <si>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</si>
  <si>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</si>
  <si>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</si>
  <si>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</si>
  <si>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</si>
  <si>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</si>
  <si>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</si>
  <si>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</si>
  <si>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</si>
  <si>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</si>
  <si>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</si>
  <si>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</si>
  <si>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</si>
  <si>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</si>
  <si>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</si>
  <si>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</si>
  <si>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</si>
  <si>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</si>
  <si>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</si>
  <si>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</si>
  <si>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</si>
  <si>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</si>
  <si>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</si>
  <si>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</si>
  <si>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</si>
  <si>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</si>
  <si>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</si>
  <si>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</si>
  <si>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</si>
  <si>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</si>
  <si>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</si>
  <si>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</si>
  <si>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</si>
  <si>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</si>
  <si>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</si>
  <si>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</si>
  <si>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</si>
  <si>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</si>
  <si>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</si>
  <si>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</si>
  <si>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</si>
  <si>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</si>
  <si>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</si>
  <si>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</si>
  <si>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</si>
  <si>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</si>
  <si>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</si>
  <si>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</si>
  <si>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</si>
  <si>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</si>
  <si>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</si>
  <si>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</si>
  <si>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</si>
  <si>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</si>
  <si>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</si>
  <si>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</si>
  <si>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</si>
  <si>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</si>
  <si>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</si>
  <si>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</si>
  <si>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</si>
  <si>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</si>
  <si>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</si>
  <si>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</si>
  <si>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</si>
  <si>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</si>
  <si>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</si>
  <si>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</si>
  <si>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</si>
  <si>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</si>
  <si>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</si>
  <si>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</si>
  <si>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</si>
  <si>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</si>
  <si>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</si>
  <si>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</si>
  <si>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</si>
  <si>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</si>
  <si>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</si>
  <si>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</si>
  <si>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</si>
  <si>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</si>
  <si>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</si>
  <si>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</si>
  <si>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</si>
  <si>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</si>
  <si>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</si>
  <si>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</si>
  <si>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</si>
  <si>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</si>
  <si>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</si>
  <si>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</si>
  <si>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</si>
  <si>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</si>
  <si>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</si>
  <si>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</si>
  <si>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</si>
  <si>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</si>
  <si>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</si>
  <si>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</si>
  <si>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</si>
  <si>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</si>
  <si>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</si>
  <si>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</si>
  <si>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</si>
  <si>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</si>
  <si>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</si>
  <si>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</si>
  <si>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</si>
  <si>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</si>
  <si>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</si>
  <si>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</si>
  <si>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</si>
  <si>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</si>
  <si>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</si>
  <si>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</si>
  <si>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</si>
  <si>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</si>
  <si>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</si>
  <si>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</si>
  <si>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</si>
  <si>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</si>
  <si>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</si>
  <si>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</si>
  <si>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</si>
  <si>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</si>
  <si>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</si>
  <si>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</si>
  <si>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</si>
  <si>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</si>
  <si>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</si>
  <si>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</si>
  <si>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</si>
  <si>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</si>
  <si>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</si>
  <si>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</si>
  <si>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</si>
  <si>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</si>
  <si>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</si>
  <si>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</si>
  <si>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</si>
  <si>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</si>
  <si>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</si>
  <si>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</si>
  <si>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</si>
  <si>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</si>
  <si>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</si>
  <si>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</si>
  <si>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</si>
  <si>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</si>
  <si>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</si>
  <si>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</si>
  <si>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</si>
  <si>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</si>
  <si>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</si>
  <si>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</si>
  <si>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</si>
  <si>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</si>
  <si>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</si>
  <si>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</si>
  <si>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</si>
  <si>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</si>
  <si>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</si>
  <si>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</si>
  <si>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</si>
  <si>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</si>
  <si>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</si>
  <si>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</si>
  <si>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</si>
  <si>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</si>
  <si>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</si>
  <si>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</si>
  <si>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</si>
  <si>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</si>
  <si>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</si>
  <si>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</si>
  <si>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</si>
  <si>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</si>
  <si>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</si>
  <si>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</si>
  <si>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</si>
  <si>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</si>
  <si>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</si>
  <si>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</si>
  <si>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</si>
  <si>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</si>
  <si>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</si>
  <si>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</si>
  <si>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</si>
  <si>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</si>
  <si>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</si>
  <si>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</si>
  <si>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</si>
  <si>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</si>
  <si>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</si>
  <si>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</si>
  <si>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</si>
  <si>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</si>
  <si>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</si>
  <si>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</si>
  <si>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</si>
  <si>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</si>
  <si>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</si>
  <si>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</si>
  <si>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</si>
  <si>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</si>
  <si>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</si>
  <si>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</si>
  <si>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</si>
  <si>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</si>
  <si>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</si>
  <si>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</si>
  <si>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</si>
  <si>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</si>
  <si>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</si>
  <si>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</si>
  <si>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</si>
  <si>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</si>
  <si>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</si>
  <si>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</si>
  <si>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</si>
  <si>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</si>
  <si>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</si>
  <si>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</si>
  <si>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</si>
  <si>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</si>
  <si>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</si>
  <si>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</si>
  <si>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</si>
  <si>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</si>
  <si>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</si>
  <si>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</si>
  <si>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</si>
  <si>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</si>
  <si>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</si>
  <si>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</si>
  <si>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</si>
  <si>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</si>
  <si>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</si>
  <si>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</si>
  <si>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</si>
  <si>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</si>
  <si>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</si>
  <si>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</si>
  <si>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</si>
  <si>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</si>
  <si>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</si>
  <si>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</si>
  <si>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</si>
  <si>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</si>
  <si>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</si>
  <si>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</si>
  <si>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</si>
  <si>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</si>
  <si>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</si>
  <si>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</si>
  <si>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</si>
  <si>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</si>
  <si>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</si>
  <si>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</si>
  <si>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</si>
  <si>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</si>
  <si>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</si>
  <si>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</si>
  <si>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</si>
  <si>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</si>
  <si>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</si>
  <si>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</si>
  <si>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</si>
  <si>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</si>
  <si>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</si>
  <si>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</si>
  <si>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</si>
  <si>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</si>
  <si>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</si>
  <si>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</si>
  <si>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</si>
  <si>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</si>
  <si>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</si>
  <si>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</si>
  <si>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</si>
  <si>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</si>
  <si>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</si>
  <si>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</si>
  <si>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</si>
  <si>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</si>
  <si>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</si>
  <si>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</si>
  <si>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</si>
  <si>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</si>
  <si>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</si>
  <si>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</si>
  <si>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</si>
  <si>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</si>
  <si>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</si>
  <si>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</si>
  <si>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</si>
  <si>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</si>
  <si>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</si>
  <si>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</si>
  <si>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</si>
  <si>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</si>
  <si>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</si>
  <si>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</si>
  <si>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</si>
  <si>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</si>
  <si>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</si>
  <si>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</si>
  <si>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</si>
  <si>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</si>
  <si>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</si>
  <si>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</si>
  <si>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</si>
  <si>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</si>
  <si>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</si>
  <si>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</si>
  <si>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</si>
  <si>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</si>
  <si>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</si>
  <si>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</si>
  <si>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</si>
  <si>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</si>
  <si>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</si>
  <si>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</si>
  <si>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</si>
  <si>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</si>
  <si>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</si>
  <si>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</si>
  <si>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</si>
  <si>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</si>
  <si>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</si>
  <si>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</si>
  <si>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</si>
  <si>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</si>
  <si>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</si>
  <si>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</si>
  <si>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</si>
  <si>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</si>
  <si>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</si>
  <si>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</si>
  <si>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</si>
  <si>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</si>
  <si>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</si>
  <si>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</si>
  <si>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</si>
  <si>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</si>
  <si>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</si>
  <si>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</si>
  <si>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</si>
  <si>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</si>
  <si>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</si>
  <si>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</si>
  <si>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</si>
  <si>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</si>
  <si>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</si>
  <si>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</si>
  <si>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</si>
  <si>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</si>
  <si>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</si>
  <si>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</si>
  <si>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</si>
  <si>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</si>
  <si>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</si>
  <si>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</si>
  <si>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</si>
  <si>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</si>
  <si>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</si>
  <si>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</si>
  <si>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</si>
  <si>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</si>
  <si>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</si>
  <si>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</si>
  <si>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</si>
  <si>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</si>
  <si>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</si>
  <si>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</si>
  <si>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</si>
  <si>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</si>
  <si>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</si>
  <si>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</si>
  <si>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</si>
  <si>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</si>
  <si>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</si>
  <si>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</si>
  <si>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</si>
  <si>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</si>
  <si>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</si>
  <si>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</si>
  <si>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</si>
  <si>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</si>
  <si>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</si>
  <si>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</si>
  <si>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</si>
  <si>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</si>
  <si>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</si>
  <si>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</si>
  <si>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</si>
  <si>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</si>
  <si>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</si>
  <si>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</si>
  <si>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</si>
  <si>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</si>
  <si>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</si>
  <si>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</si>
  <si>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</si>
  <si>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</si>
  <si>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</si>
  <si>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</si>
  <si>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</si>
  <si>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</si>
  <si>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</si>
  <si>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</si>
  <si>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</si>
  <si>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</si>
  <si>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</si>
  <si>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</si>
  <si>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</si>
  <si>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</si>
  <si>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</si>
  <si>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</si>
  <si>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</si>
  <si>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</si>
  <si>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</si>
  <si>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</si>
  <si>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</si>
  <si>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</si>
  <si>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</si>
  <si>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</si>
  <si>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</si>
  <si>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</si>
  <si>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</si>
  <si>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</si>
  <si>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</si>
  <si>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</si>
  <si>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</si>
  <si>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</si>
  <si>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</si>
  <si>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</si>
  <si>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</si>
  <si>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</si>
  <si>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</si>
  <si>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</si>
  <si>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</si>
  <si>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</si>
  <si>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</si>
  <si>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</si>
  <si>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</si>
  <si>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</si>
  <si>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</si>
  <si>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</si>
  <si>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</si>
  <si>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</si>
  <si>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</si>
  <si>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</si>
  <si>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</si>
  <si>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</si>
  <si>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</si>
  <si>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</si>
  <si>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</si>
  <si>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</si>
  <si>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</si>
  <si>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</si>
  <si>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</si>
  <si>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</si>
  <si>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</si>
  <si>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</si>
  <si>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</si>
  <si>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</si>
  <si>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</si>
  <si>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</si>
  <si>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</si>
  <si>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</si>
  <si>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</si>
  <si>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</si>
  <si>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</si>
  <si>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</si>
  <si>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</si>
  <si>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</si>
  <si>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</si>
  <si>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</si>
  <si>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</si>
  <si>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</si>
  <si>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</si>
  <si>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</si>
  <si>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</si>
  <si>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</si>
  <si>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</si>
  <si>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</si>
  <si>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</si>
  <si>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</si>
  <si>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</si>
  <si>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</si>
  <si>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</si>
  <si>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</si>
  <si>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</si>
  <si>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</si>
  <si>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</si>
  <si>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</si>
  <si>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</si>
  <si>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</si>
  <si>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</si>
  <si>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</si>
  <si>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</si>
  <si>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</si>
  <si>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</si>
  <si>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</si>
  <si>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</si>
  <si>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</si>
  <si>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</si>
  <si>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</si>
  <si>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</si>
  <si>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</si>
  <si>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</si>
  <si>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</si>
  <si>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</si>
  <si>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</si>
  <si>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</si>
  <si>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</si>
  <si>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</si>
  <si>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</si>
  <si>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</si>
  <si>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</si>
  <si>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</si>
  <si>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</si>
  <si>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</si>
  <si>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</si>
  <si>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</si>
  <si>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</si>
  <si>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</si>
  <si>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</si>
  <si>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</si>
  <si>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</si>
  <si>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</si>
  <si>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</si>
  <si>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</si>
  <si>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</si>
  <si>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</si>
  <si>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</si>
  <si>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</si>
  <si>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</si>
  <si>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</si>
  <si>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</si>
  <si>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</si>
  <si>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</si>
  <si>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</si>
  <si>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</si>
  <si>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</si>
  <si>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</si>
  <si>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</si>
  <si>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</si>
  <si>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</si>
  <si>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</si>
  <si>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</si>
  <si>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</si>
  <si>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</si>
  <si>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</si>
  <si>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</si>
  <si>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</si>
  <si>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</si>
  <si>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</si>
  <si>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</si>
  <si>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</si>
  <si>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</si>
  <si>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</si>
  <si>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</si>
  <si>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</si>
  <si>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</si>
  <si>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</si>
  <si>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</si>
  <si>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</si>
  <si>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</si>
  <si>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</si>
  <si>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</si>
  <si>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</si>
  <si>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</si>
  <si>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</si>
  <si>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</si>
  <si>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</si>
  <si>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</si>
  <si>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</si>
  <si>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</si>
  <si>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</si>
  <si>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</si>
  <si>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</si>
  <si>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</si>
  <si>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</si>
  <si>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</si>
  <si>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</si>
  <si>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</si>
  <si>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</si>
  <si>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</si>
  <si>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</si>
  <si>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</si>
  <si>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</si>
  <si>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</si>
  <si>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</si>
  <si>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</si>
  <si>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</si>
  <si>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</si>
  <si>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</si>
  <si>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</si>
  <si>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</si>
  <si>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</si>
  <si>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</si>
  <si>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</si>
  <si>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</si>
  <si>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</si>
  <si>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</si>
  <si>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</si>
  <si>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</si>
  <si>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</si>
  <si>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</si>
  <si>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</si>
  <si>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</si>
  <si>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</si>
  <si>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</si>
  <si>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</si>
  <si>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</si>
  <si>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</si>
  <si>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</si>
  <si>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</si>
  <si>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</si>
  <si>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</si>
  <si>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</si>
  <si>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</si>
  <si>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</si>
  <si>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</si>
  <si>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</si>
  <si>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</si>
  <si>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</si>
  <si>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</si>
  <si>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</si>
  <si>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</si>
  <si>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</si>
  <si>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</si>
  <si>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</si>
  <si>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</si>
  <si>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</si>
  <si>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</si>
  <si>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</si>
  <si>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</si>
  <si>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</si>
  <si>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</si>
  <si>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</si>
  <si>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</si>
  <si>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</si>
  <si>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</si>
  <si>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</si>
  <si>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</si>
  <si>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</si>
  <si>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</si>
  <si>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</si>
  <si>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</si>
  <si>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</si>
  <si>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</si>
  <si>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</si>
  <si>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</si>
  <si>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</si>
  <si>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</si>
  <si>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</si>
  <si>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</si>
  <si>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</si>
  <si>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</si>
  <si>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</si>
  <si>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</si>
  <si>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</si>
  <si>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</si>
  <si>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</si>
  <si>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</si>
  <si>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</si>
  <si>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</si>
  <si>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</si>
  <si>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</si>
  <si>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</si>
  <si>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</si>
  <si>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</si>
  <si>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</si>
  <si>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</si>
  <si>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</si>
  <si>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</si>
  <si>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</si>
  <si>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</si>
  <si>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</si>
  <si>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</si>
  <si>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</si>
  <si>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</si>
  <si>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</si>
  <si>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</si>
  <si>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</si>
  <si>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</si>
  <si>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</si>
  <si>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</si>
  <si>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</si>
  <si>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</si>
  <si>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</si>
  <si>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</si>
  <si>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</si>
  <si>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</si>
  <si>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</si>
  <si>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</si>
  <si>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</si>
  <si>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</si>
  <si>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</si>
  <si>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</si>
  <si>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</si>
  <si>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</si>
  <si>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</si>
  <si>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</si>
  <si>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</si>
  <si>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</si>
  <si>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</si>
  <si>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</si>
  <si>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</si>
  <si>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</si>
  <si>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</si>
  <si>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</si>
  <si>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</si>
  <si>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</si>
  <si>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</si>
  <si>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</si>
  <si>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</si>
  <si>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</si>
  <si>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</si>
  <si>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</si>
  <si>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</si>
  <si>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</si>
  <si>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</si>
  <si>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</si>
  <si>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</si>
  <si>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</si>
  <si>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</si>
  <si>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</si>
  <si>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</si>
  <si>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</si>
  <si>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</si>
  <si>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</si>
  <si>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</si>
  <si>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</si>
  <si>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</si>
  <si>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</si>
  <si>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</si>
  <si>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</si>
  <si>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</si>
  <si>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</si>
  <si>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</si>
  <si>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</si>
  <si>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</si>
  <si>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</si>
  <si>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</si>
  <si>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</si>
  <si>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</si>
  <si>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</si>
  <si>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</si>
  <si>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</si>
  <si>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</si>
  <si>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</si>
  <si>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</si>
  <si>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</si>
  <si>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</si>
  <si>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</si>
  <si>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</si>
  <si>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</si>
  <si>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</si>
  <si>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</si>
  <si>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</si>
  <si>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</si>
  <si>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</si>
  <si>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</si>
  <si>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</si>
  <si>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</si>
  <si>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</si>
  <si>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</si>
  <si>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</si>
  <si>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</si>
  <si>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</si>
  <si>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</si>
  <si>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</si>
  <si>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</si>
  <si>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</si>
  <si>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</si>
  <si>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</si>
  <si>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</si>
  <si>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</si>
  <si>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</si>
  <si>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</si>
  <si>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</si>
  <si>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</si>
  <si>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</si>
  <si>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</si>
  <si>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</si>
  <si>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</si>
  <si>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</si>
  <si>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</si>
  <si>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</si>
  <si>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</si>
  <si>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</si>
  <si>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</si>
  <si>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</si>
  <si>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</si>
  <si>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</si>
  <si>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</si>
  <si>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</si>
  <si>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</si>
  <si>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</si>
  <si>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</si>
  <si>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</si>
  <si>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</si>
  <si>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</si>
  <si>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</si>
  <si>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</si>
  <si>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</si>
  <si>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</si>
  <si>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</si>
  <si>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</si>
  <si>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</si>
  <si>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</si>
  <si>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</si>
  <si>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</si>
  <si>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</si>
  <si>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</si>
  <si>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</si>
  <si>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</si>
  <si>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</si>
  <si>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</si>
  <si>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</si>
  <si>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</si>
  <si>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</si>
  <si>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</si>
  <si>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</si>
  <si>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</si>
  <si>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</si>
  <si>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</si>
  <si>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</si>
  <si>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</si>
  <si>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</si>
  <si>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</si>
  <si>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</si>
  <si>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</si>
  <si>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</si>
  <si>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</si>
  <si>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</si>
  <si>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</si>
  <si>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</si>
  <si>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</si>
  <si>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</si>
  <si>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</si>
  <si>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</si>
  <si>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</si>
  <si>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</si>
  <si>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</si>
  <si>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</si>
  <si>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</si>
  <si>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</si>
  <si>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</si>
  <si>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</si>
  <si>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</si>
  <si>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</si>
  <si>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</si>
  <si>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</si>
  <si>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</si>
  <si>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</si>
  <si>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</si>
  <si>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</si>
  <si>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</si>
  <si>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</si>
  <si>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</si>
  <si>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</si>
  <si>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</si>
  <si>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</si>
  <si>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</si>
  <si>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</si>
  <si>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</si>
  <si>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</si>
  <si>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</si>
  <si>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</si>
  <si>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</si>
  <si>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</si>
  <si>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</si>
  <si>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</si>
  <si>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</si>
  <si>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</si>
  <si>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</si>
  <si>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</si>
  <si>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</si>
  <si>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</si>
  <si>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</si>
  <si>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</si>
  <si>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</si>
  <si>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</si>
  <si>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</si>
  <si>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</si>
  <si>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</si>
  <si>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</si>
  <si>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</si>
  <si>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</si>
  <si>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</si>
  <si>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</si>
  <si>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</si>
  <si>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</si>
  <si>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</si>
  <si>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</si>
  <si>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</si>
  <si>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</si>
  <si>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</si>
  <si>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</si>
  <si>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</si>
  <si>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</si>
  <si>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</si>
  <si>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</si>
  <si>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</si>
  <si>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</si>
  <si>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</si>
  <si>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</si>
  <si>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</si>
  <si>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</si>
  <si>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</si>
  <si>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</si>
  <si>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</si>
  <si>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</si>
  <si>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</si>
  <si>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</si>
  <si>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</si>
  <si>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</si>
  <si>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</si>
  <si>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</si>
  <si>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</si>
  <si>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</si>
  <si>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</si>
  <si>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</si>
  <si>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</si>
  <si>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</si>
  <si>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</si>
  <si>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</si>
  <si>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</si>
  <si>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</si>
  <si>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</si>
  <si>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</si>
  <si>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</si>
  <si>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</si>
  <si>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</si>
  <si>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</si>
  <si>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</si>
  <si>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</si>
  <si>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</si>
  <si>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</si>
  <si>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</si>
  <si>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</si>
  <si>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</si>
  <si>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</si>
  <si>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</si>
  <si>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</si>
  <si>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</si>
  <si>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</si>
  <si>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</si>
  <si>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</si>
  <si>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</si>
  <si>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</si>
  <si>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</si>
  <si>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</si>
  <si>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</si>
  <si>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</si>
  <si>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</si>
  <si>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</si>
  <si>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</si>
  <si>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</si>
  <si>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</si>
  <si>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</si>
  <si>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</si>
  <si>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</si>
  <si>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</si>
  <si>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</si>
  <si>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</si>
  <si>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</si>
  <si>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</si>
  <si>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</si>
  <si>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</si>
  <si>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</si>
  <si>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</si>
  <si>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</si>
  <si>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</si>
  <si>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</si>
  <si>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</si>
  <si>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</si>
  <si>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</si>
  <si>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</si>
  <si>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</si>
  <si>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</si>
  <si>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</si>
  <si>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</si>
  <si>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</si>
  <si>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</si>
  <si>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</si>
  <si>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</si>
  <si>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</si>
  <si>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</si>
  <si>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</si>
  <si>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</si>
  <si>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</si>
  <si>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</si>
  <si>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</si>
  <si>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</si>
  <si>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</si>
  <si>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</si>
  <si>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</si>
  <si>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</si>
  <si>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</si>
  <si>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</si>
  <si>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</si>
  <si>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</si>
  <si>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</si>
  <si>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</si>
  <si>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</si>
  <si>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</si>
  <si>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</si>
  <si>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</si>
  <si>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</si>
  <si>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</si>
  <si>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</si>
  <si>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</si>
  <si>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</si>
  <si>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</si>
  <si>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</si>
  <si>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</si>
  <si>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</si>
  <si>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</si>
  <si>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</si>
  <si>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</si>
  <si>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</si>
  <si>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</si>
  <si>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</si>
  <si>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</si>
  <si>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</si>
  <si>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</si>
  <si>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</si>
  <si>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</si>
  <si>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</si>
  <si>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</si>
  <si>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</si>
  <si>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</si>
  <si>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</si>
  <si>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</si>
  <si>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</si>
  <si>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</si>
  <si>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</si>
  <si>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</si>
  <si>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</si>
  <si>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</si>
  <si>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</si>
  <si>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</si>
  <si>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</si>
  <si>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</si>
  <si>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</si>
  <si>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</si>
  <si>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</si>
  <si>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</si>
  <si>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</si>
  <si>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</si>
  <si>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</si>
  <si>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</si>
  <si>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</si>
  <si>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</si>
  <si>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</si>
  <si>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</si>
  <si>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</si>
  <si>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</si>
  <si>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</si>
  <si>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</si>
  <si>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</si>
  <si>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</si>
  <si>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</si>
  <si>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</si>
  <si>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</si>
  <si>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</si>
  <si>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</si>
  <si>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</si>
  <si>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</si>
  <si>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</si>
  <si>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</si>
  <si>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</si>
  <si>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</si>
  <si>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</si>
  <si>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</si>
  <si>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</si>
  <si>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</si>
  <si>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</si>
  <si>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</si>
  <si>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</si>
  <si>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</si>
  <si>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</si>
  <si>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</si>
  <si>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</si>
  <si>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</si>
  <si>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</si>
  <si>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</si>
  <si>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</si>
  <si>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</si>
  <si>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</si>
  <si>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</si>
  <si>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</si>
  <si>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</si>
  <si>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</si>
  <si>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</si>
  <si>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</si>
  <si>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</si>
  <si>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</si>
  <si>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</si>
  <si>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</si>
  <si>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</si>
  <si>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</si>
  <si>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</si>
  <si>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</si>
  <si>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</si>
  <si>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</si>
  <si>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</si>
  <si>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</si>
  <si>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</si>
  <si>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</si>
  <si>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</si>
  <si>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</si>
  <si>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</si>
  <si>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</si>
  <si>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</si>
  <si>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</si>
  <si>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</si>
  <si>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</si>
  <si>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</si>
  <si>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</si>
  <si>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</si>
  <si>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</si>
  <si>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</si>
  <si>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</si>
  <si>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</si>
  <si>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</si>
  <si>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</si>
  <si>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</si>
  <si>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</si>
  <si>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</si>
  <si>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</si>
  <si>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</si>
  <si>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</si>
  <si>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</si>
  <si>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</si>
  <si>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</si>
  <si>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</si>
  <si>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</si>
  <si>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</si>
  <si>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</si>
  <si>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</si>
  <si>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</si>
  <si>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</si>
  <si>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</si>
  <si>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</si>
  <si>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</si>
  <si>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</si>
  <si>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</si>
  <si>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</si>
  <si>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</si>
  <si>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</si>
  <si>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</si>
  <si>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</si>
  <si>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</si>
  <si>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</si>
  <si>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</si>
  <si>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</si>
  <si>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</si>
  <si>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</si>
  <si>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</si>
  <si>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</si>
  <si>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</si>
  <si>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</si>
  <si>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</si>
  <si>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</si>
  <si>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</si>
  <si>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</si>
  <si>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</si>
  <si>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</si>
  <si>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</si>
  <si>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</si>
  <si>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</si>
  <si>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</si>
  <si>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</si>
  <si>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</si>
  <si>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</si>
  <si>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</si>
  <si>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</si>
  <si>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</si>
  <si>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</si>
  <si>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</si>
  <si>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</si>
  <si>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</si>
  <si>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</si>
  <si>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</si>
  <si>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</si>
  <si>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class_700</t>
  </si>
  <si>
    <t>Siemens Class 707 "Desiro City"</t>
  </si>
  <si>
    <t>class_707</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</si>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</sst>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1"/>
  <sheetViews>
    <sheetView tabSelected="1" workbookViewId="0">
      <pane xSplit="1" ySplit="1" topLeftCell="BV247" activePane="bottomRight" state="frozenSplit"/>
      <selection pane="topRight" activeCell="B1" sqref="B1"/>
      <selection pane="bottomLeft" activeCell="A2" sqref="A2"/>
      <selection pane="bottomRight" activeCell="CA263" sqref="CA26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1318</v>
      </c>
      <c r="AK1" s="12" t="s">
        <v>731</v>
      </c>
      <c r="AL1" s="12" t="s">
        <v>1300</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1271</v>
      </c>
      <c r="BY1" s="1" t="s">
        <v>1265</v>
      </c>
      <c r="BZ1" s="1" t="s">
        <v>1210</v>
      </c>
      <c r="CA1" s="1" t="s">
        <v>1176</v>
      </c>
      <c r="CB1" s="1" t="s">
        <v>1211</v>
      </c>
      <c r="CC1" s="1" t="s">
        <v>387</v>
      </c>
    </row>
    <row r="2" spans="1:81" x14ac:dyDescent="0.25">
      <c r="A2" t="s">
        <v>460</v>
      </c>
      <c r="B2" t="s">
        <v>461</v>
      </c>
      <c r="C2">
        <v>-1</v>
      </c>
      <c r="D2" t="s">
        <v>331</v>
      </c>
      <c r="E2" t="s">
        <v>331</v>
      </c>
      <c r="F2" t="s">
        <v>314</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S2">
        <v>30</v>
      </c>
      <c r="AT2" t="str">
        <f>IF(I2&lt;&gt;"",MAX(8,(I2-G2)-4),"")</f>
        <v/>
      </c>
      <c r="AW2">
        <f>MIN(Y2/150, 1)*30</f>
        <v>0</v>
      </c>
      <c r="AX2">
        <f>MIN(K2/4000, 1)*20</f>
        <v>0</v>
      </c>
      <c r="AY2">
        <f>MIN(W2/400,1)*20</f>
        <v>0</v>
      </c>
      <c r="AZ2" s="4">
        <v>1</v>
      </c>
      <c r="BA2">
        <f>((MAX($J2,1)*MIN($AE2/300,1)))*IF(D2="Wagon",50,10)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BD2*IF($D2="wagon",62.5,781.25)</f>
        <v>0</v>
      </c>
      <c r="BG2" s="15">
        <f>BE2*IF($D2="wagon",2.73,81.25)</f>
        <v>0</v>
      </c>
      <c r="BT2" t="str">
        <f>VLOOKUP(G2,Eras!$A$2:$C$10, 2, TRUE)</f>
        <v>edw</v>
      </c>
      <c r="BV2" t="str">
        <f>CONCATENATE(BT2,"_",BU2)</f>
        <v>edw_</v>
      </c>
      <c r="BW2" t="str">
        <f>IF(AND(BI2&lt;&gt;Y2,BI2&lt;&gt;""),_xlfn.CONCAT("{BLACK}","Tare speed: ","{GOLD}{VELOCITY}{}"), "")</f>
        <v/>
      </c>
      <c r="BX2" t="str">
        <f>_xlfn.CONCAT(E2, "_",F2)</f>
        <v>tender_RAIL</v>
      </c>
      <c r="BY2" t="str">
        <f>VLOOKUP($BX2, Constants!$M:$N, 2, FALSE)</f>
        <v/>
      </c>
      <c r="BZ2" t="str">
        <f>IF(J2&gt;1,_xlfn.CONCAT("{BLACK}Cars: {GOLD}", J2),"")</f>
        <v/>
      </c>
      <c r="CB2" t="str">
        <f>IF(BS2="BRAKE","{YELLOW}Speed bonus for slow wagons{}",IF(BQ2&gt;190,CONCATENATE("{YELLOW}",INT((BQ2-185)/1.85),"% Bonus for long distance travel{}"),IF(AND(BQ2&lt;180,BQ2&lt;&gt;0),CONCATENATE("{YELLOW}",INT((185-BQ2)/1.85),"% Penalty for long distance travel{}"),"")))</f>
        <v/>
      </c>
      <c r="CC2" t="str">
        <f>_xlfn.CONCAT(BW2,BY2,IF(BY2 &lt;&gt; "", " ", ""),BZ2,IF(OR(BZ2&lt;&gt;"", BY2&lt;&gt;""), "{}",""), CB2,"{SILVER}", CA2)</f>
        <v>{SILVER}</v>
      </c>
    </row>
    <row r="3" spans="1:81" x14ac:dyDescent="0.25">
      <c r="A3" t="s">
        <v>348</v>
      </c>
      <c r="B3" t="s">
        <v>349</v>
      </c>
      <c r="C3">
        <v>-1</v>
      </c>
      <c r="D3" t="s">
        <v>331</v>
      </c>
      <c r="E3" t="s">
        <v>331</v>
      </c>
      <c r="F3" t="s">
        <v>314</v>
      </c>
      <c r="G3">
        <v>1900</v>
      </c>
      <c r="T3">
        <v>42</v>
      </c>
      <c r="X3" s="4" t="str">
        <f>IF(AND(T3&gt;0,W3&gt;0),(W3/((T3+U3)*10)),"")</f>
        <v/>
      </c>
      <c r="AA3">
        <v>7.5</v>
      </c>
      <c r="AB3">
        <v>8</v>
      </c>
      <c r="AE3" s="11">
        <v>0</v>
      </c>
      <c r="AF3" t="str">
        <f>CONCATENATE(VLOOKUP(AG3, 'Voxel Sizes'!$A$2:$B$18,2,FALSE),"x",INT(AC3*15), "x", INT(AD3*15))</f>
        <v>82x0x0</v>
      </c>
      <c r="AG3">
        <f>ROUND(15*((AB3*10)/256),0)</f>
        <v>5</v>
      </c>
      <c r="AI3" t="str">
        <f>CONCATENATE(VLOOKUP(AG3,Constants!$A$2:$C$16,IF(AH3&lt;&gt;"", 3, 2), FALSE),IF(AH3&lt;&gt;"",CONCATENATE(",",VLOOKUP(AH3,$B:$AI,34,FALSE)),""))</f>
        <v>2,1,2</v>
      </c>
      <c r="AS3">
        <v>30</v>
      </c>
      <c r="AT3" t="str">
        <f>IF(I3&lt;&gt;"",MAX(8,(I3-G3)-4),"")</f>
        <v/>
      </c>
      <c r="AW3">
        <f>MIN(Y3/150, 1)*30</f>
        <v>0</v>
      </c>
      <c r="AX3">
        <f>MIN(K3/4000, 1)*20</f>
        <v>0</v>
      </c>
      <c r="AY3">
        <f>MIN(W3/400,1)*20</f>
        <v>0</v>
      </c>
      <c r="AZ3" s="4">
        <v>1</v>
      </c>
      <c r="BA3">
        <f>((MAX($J3,1)*MIN($AE3/300,1)))*IF(D3="Wagon",50,10)</f>
        <v>0</v>
      </c>
      <c r="BB3">
        <f>VLOOKUP($E3,Constants!$I:$K, 2, FALSE)</f>
        <v>0</v>
      </c>
      <c r="BC3">
        <f>VLOOKUP($E3,Constants!$I:$K, 3, FALSE)*IF(AND(D3="multiple_unit",Y3&lt;110),0.75,1)</f>
        <v>0</v>
      </c>
      <c r="BD3">
        <f>INT(POWER(((Constants!$G$2+$AW3+$AX3+$AY3+$BA3)*$AZ3)*$BC3, 1.05))+$AV3</f>
        <v>0</v>
      </c>
      <c r="BE3">
        <f>INT(POWER((((Constants!$G$1+$AW3+$AX3+$AY3+$BA3)*(1/$AZ3))*$BB3),IF($D3="wagon",1,1.2)))+$AU3</f>
        <v>0</v>
      </c>
      <c r="BF3" s="15">
        <f>BD3*IF($D3="wagon",62.5,781.25)</f>
        <v>0</v>
      </c>
      <c r="BG3" s="15">
        <f>BE3*IF($D3="wagon",2.73,81.25)</f>
        <v>0</v>
      </c>
      <c r="BT3" t="str">
        <f>VLOOKUP(G3,Eras!$A$2:$C$10, 2, TRUE)</f>
        <v>edw</v>
      </c>
      <c r="BV3" t="str">
        <f>CONCATENATE(BT3,"_",BU3)</f>
        <v>edw_</v>
      </c>
      <c r="BW3" t="str">
        <f>IF(AND(BI3&lt;&gt;Y3,BI3&lt;&gt;""),_xlfn.CONCAT("{BLACK}","Tare speed: ","{GOLD}{VELOCITY}{}"), "")</f>
        <v/>
      </c>
      <c r="BX3" t="str">
        <f>_xlfn.CONCAT(E3, "_",F3)</f>
        <v>tender_RAIL</v>
      </c>
      <c r="BY3" t="str">
        <f>VLOOKUP($BX3, Constants!$M:$N, 2, FALSE)</f>
        <v/>
      </c>
      <c r="BZ3" t="str">
        <f>IF(J3&gt;1,_xlfn.CONCAT("{BLACK}Cars: {GOLD}", J3),"")</f>
        <v/>
      </c>
      <c r="CB3" t="str">
        <f>IF(BS3="BRAKE","{YELLOW}Speed bonus for slow wagons{}",IF(BQ3&gt;190,CONCATENATE("{YELLOW}",INT((BQ3-185)/1.85),"% Bonus for long distance travel{}"),IF(AND(BQ3&lt;180,BQ3&lt;&gt;0),CONCATENATE("{YELLOW}",INT((185-BQ3)/1.85),"% Penalty for long distance travel{}"),"")))</f>
        <v/>
      </c>
      <c r="CC3" t="str">
        <f>_xlfn.CONCAT(BW3,BY3,IF(BY3 &lt;&gt; "", " ", ""),BZ3,IF(OR(BZ3&lt;&gt;"", BY3&lt;&gt;""), "{}",""), CB3,"{SILVER}", CA3)</f>
        <v>{SILVER}</v>
      </c>
    </row>
    <row r="4" spans="1:81" x14ac:dyDescent="0.25">
      <c r="A4" t="s">
        <v>1263</v>
      </c>
      <c r="B4" t="s">
        <v>1264</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S4">
        <v>30</v>
      </c>
      <c r="AT4" t="str">
        <f>IF(I4&lt;&gt;"",MAX(8,(I4-G4)-4),"")</f>
        <v/>
      </c>
      <c r="AW4">
        <f>MIN(Y4/150, 1)*30</f>
        <v>0</v>
      </c>
      <c r="AX4">
        <f>MIN(K4/4000, 1)*20</f>
        <v>0</v>
      </c>
      <c r="AY4">
        <f>MIN(W4/400,1)*20</f>
        <v>0</v>
      </c>
      <c r="AZ4" s="4">
        <v>1</v>
      </c>
      <c r="BA4">
        <f>((MAX($J4,1)*MIN($AE4/300,1)))*IF(D4="Wagon",50,10)</f>
        <v>0</v>
      </c>
      <c r="BB4">
        <f>VLOOKUP($E4,Constants!$I:$K, 2, FALSE)</f>
        <v>0</v>
      </c>
      <c r="BC4">
        <f>VLOOKUP($E4,Constants!$I:$K, 3, FALSE)*IF(AND(D4="multiple_unit",Y4&lt;110),0.75,1)</f>
        <v>0</v>
      </c>
      <c r="BD4">
        <f>INT(POWER(((Constants!$G$2+$AW4+$AX4+$AY4+$BA4)*$AZ4)*$BC4, 1.05))+$AV4</f>
        <v>0</v>
      </c>
      <c r="BE4">
        <f>INT(POWER((((Constants!$G$1+$AW4+$AX4+$AY4+$BA4)*(1/$AZ4))*$BB4),IF($D4="wagon",1,1.2)))+$AU4</f>
        <v>0</v>
      </c>
      <c r="BF4" s="15">
        <f>BD4*IF($D4="wagon",62.5,781.25)</f>
        <v>0</v>
      </c>
      <c r="BG4" s="15">
        <f>BE4*IF($D4="wagon",2.73,81.25)</f>
        <v>0</v>
      </c>
      <c r="BT4" t="str">
        <f>VLOOKUP(G4,Eras!$A$2:$C$10, 2, TRUE)</f>
        <v>edw</v>
      </c>
      <c r="BV4" t="str">
        <f>CONCATENATE(BT4,"_",BU4)</f>
        <v>edw_</v>
      </c>
      <c r="BW4" t="str">
        <f>IF(AND(BI4&lt;&gt;Y4,BI4&lt;&gt;""),_xlfn.CONCAT("{BLACK}","Tare speed: ","{GOLD}{VELOCITY}{}"), "")</f>
        <v/>
      </c>
      <c r="BX4" t="str">
        <f>_xlfn.CONCAT(E4, "_",F4)</f>
        <v>tender_RAIL</v>
      </c>
      <c r="BY4" t="str">
        <f>VLOOKUP($BX4, Constants!$M:$N, 2, FALSE)</f>
        <v/>
      </c>
      <c r="BZ4" t="str">
        <f>IF(J4&gt;1,_xlfn.CONCAT("{BLACK}Cars: {GOLD}", J4),"")</f>
        <v/>
      </c>
      <c r="CB4" t="str">
        <f>IF(BS4="BRAKE","{YELLOW}Speed bonus for slow wagons{}",IF(BQ4&gt;190,CONCATENATE("{YELLOW}",INT((BQ4-185)/1.85),"% Bonus for long distance travel{}"),IF(AND(BQ4&lt;180,BQ4&lt;&gt;0),CONCATENATE("{YELLOW}",INT((185-BQ4)/1.85),"% Penalty for long distance travel{}"),"")))</f>
        <v/>
      </c>
      <c r="CC4" t="str">
        <f>_xlfn.CONCAT(BW4,BY4,IF(BY4 &lt;&gt; "", " ", ""),BZ4,IF(OR(BZ4&lt;&gt;"", BY4&lt;&gt;""), "{}",""), CB4,"{SILVER}", CA4)</f>
        <v>{SILVER}</v>
      </c>
    </row>
    <row r="5" spans="1:81" x14ac:dyDescent="0.25">
      <c r="A5" t="s">
        <v>1250</v>
      </c>
      <c r="B5" t="s">
        <v>1249</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S5">
        <v>30</v>
      </c>
      <c r="AT5" t="str">
        <f>IF(I5&lt;&gt;"",MAX(8,(I5-G5)-4),"")</f>
        <v/>
      </c>
      <c r="AW5">
        <f>MIN(Y5/150, 1)*30</f>
        <v>0</v>
      </c>
      <c r="AX5">
        <f>MIN(K5/4000, 1)*20</f>
        <v>0</v>
      </c>
      <c r="AY5">
        <f>MIN(W5/400,1)*20</f>
        <v>0</v>
      </c>
      <c r="AZ5" s="4">
        <v>1</v>
      </c>
      <c r="BA5">
        <f>((MAX($J5,1)*MIN($AE5/300,1)))*IF(D5="Wagon",50,10)</f>
        <v>0</v>
      </c>
      <c r="BB5">
        <f>VLOOKUP($E5,Constants!$I:$K, 2, FALSE)</f>
        <v>0</v>
      </c>
      <c r="BC5">
        <f>VLOOKUP($E5,Constants!$I:$K, 3, FALSE)*IF(AND(D5="multiple_unit",Y5&lt;110),0.75,1)</f>
        <v>0</v>
      </c>
      <c r="BD5">
        <f>INT(POWER(((Constants!$G$2+$AW5+$AX5+$AY5+$BA5)*$AZ5)*$BC5, 1.05))+$AV5</f>
        <v>0</v>
      </c>
      <c r="BE5">
        <f>INT(POWER((((Constants!$G$1+$AW5+$AX5+$AY5+$BA5)*(1/$AZ5))*$BB5),IF($D5="wagon",1,1.2)))+$AU5</f>
        <v>0</v>
      </c>
      <c r="BF5" s="15">
        <f>BD5*IF($D5="wagon",62.5,781.25)</f>
        <v>0</v>
      </c>
      <c r="BG5" s="15">
        <f>BE5*IF($D5="wagon",2.73,81.25)</f>
        <v>0</v>
      </c>
      <c r="BT5" t="str">
        <f>VLOOKUP(G5,Eras!$A$2:$C$10, 2, TRUE)</f>
        <v>edw</v>
      </c>
      <c r="BV5" t="str">
        <f>CONCATENATE(BT5,"_",BU5)</f>
        <v>edw_</v>
      </c>
      <c r="BW5" t="str">
        <f>IF(AND(BI5&lt;&gt;Y5,BI5&lt;&gt;""),_xlfn.CONCAT("{BLACK}","Tare speed: ","{GOLD}{VELOCITY}{}"), "")</f>
        <v/>
      </c>
      <c r="BX5" t="str">
        <f>_xlfn.CONCAT(E5, "_",F5)</f>
        <v>tender_RAIL</v>
      </c>
      <c r="BY5" t="str">
        <f>VLOOKUP($BX5, Constants!$M:$N, 2, FALSE)</f>
        <v/>
      </c>
      <c r="BZ5" t="str">
        <f>IF(J5&gt;1,_xlfn.CONCAT("{BLACK}Cars: {GOLD}", J5),"")</f>
        <v/>
      </c>
      <c r="CB5" t="str">
        <f>IF(BS5="BRAKE","{YELLOW}Speed bonus for slow wagons{}",IF(BQ5&gt;190,CONCATENATE("{YELLOW}",INT((BQ5-185)/1.85),"% Bonus for long distance travel{}"),IF(AND(BQ5&lt;180,BQ5&lt;&gt;0),CONCATENATE("{YELLOW}",INT((185-BQ5)/1.85),"% Penalty for long distance travel{}"),"")))</f>
        <v/>
      </c>
      <c r="CC5" t="str">
        <f>_xlfn.CONCAT(BW5,BY5,IF(BY5 &lt;&gt; "", " ", ""),BZ5,IF(OR(BZ5&lt;&gt;"", BY5&lt;&gt;""), "{}",""), CB5,"{SILVER}", CA5)</f>
        <v>{SILVER}</v>
      </c>
    </row>
    <row r="6" spans="1:81" x14ac:dyDescent="0.25">
      <c r="A6" t="s">
        <v>429</v>
      </c>
      <c r="B6" t="s">
        <v>430</v>
      </c>
      <c r="C6">
        <v>-1</v>
      </c>
      <c r="D6" t="s">
        <v>331</v>
      </c>
      <c r="E6" t="s">
        <v>331</v>
      </c>
      <c r="F6" t="s">
        <v>314</v>
      </c>
      <c r="G6">
        <v>1900</v>
      </c>
      <c r="T6">
        <v>42</v>
      </c>
      <c r="X6" s="4" t="str">
        <f>IF(AND(T6&gt;0,W6&gt;0),(W6/((T6+U6)*10)),"")</f>
        <v/>
      </c>
      <c r="AA6">
        <v>7.5</v>
      </c>
      <c r="AB6">
        <v>8</v>
      </c>
      <c r="AE6" s="11">
        <v>0</v>
      </c>
      <c r="AF6" t="str">
        <f>CONCATENATE(VLOOKUP(AG6, 'Voxel Sizes'!$A$2:$B$18,2,FALSE),"x",INT(AC6*15), "x", INT(AD6*15))</f>
        <v>82x0x0</v>
      </c>
      <c r="AG6">
        <f>ROUND(15*((AB6*10)/256),0)</f>
        <v>5</v>
      </c>
      <c r="AI6" t="str">
        <f>CONCATENATE(VLOOKUP(AG6,Constants!$A$2:$C$16,IF(AH6&lt;&gt;"", 3, 2), FALSE),IF(AH6&lt;&gt;"",CONCATENATE(",",VLOOKUP(AH6,$B:$AI,34,FALSE)),""))</f>
        <v>2,1,2</v>
      </c>
      <c r="AS6">
        <v>30</v>
      </c>
      <c r="AT6" t="str">
        <f>IF(I6&lt;&gt;"",MAX(8,(I6-G6)-4),"")</f>
        <v/>
      </c>
      <c r="AW6">
        <f>MIN(Y6/150, 1)*30</f>
        <v>0</v>
      </c>
      <c r="AX6">
        <f>MIN(K6/4000, 1)*20</f>
        <v>0</v>
      </c>
      <c r="AY6">
        <f>MIN(W6/400,1)*20</f>
        <v>0</v>
      </c>
      <c r="AZ6" s="4">
        <v>1</v>
      </c>
      <c r="BA6">
        <f>((MAX($J6,1)*MIN($AE6/300,1)))*IF(D6="Wagon",50,10)</f>
        <v>0</v>
      </c>
      <c r="BB6">
        <f>VLOOKUP($E6,Constants!$I:$K, 2, FALSE)</f>
        <v>0</v>
      </c>
      <c r="BC6">
        <f>VLOOKUP($E6,Constants!$I:$K, 3, FALSE)*IF(AND(D6="multiple_unit",Y6&lt;110),0.75,1)</f>
        <v>0</v>
      </c>
      <c r="BD6">
        <f>INT(POWER(((Constants!$G$2+$AW6+$AX6+$AY6+$BA6)*$AZ6)*$BC6, 1.05))+$AV6</f>
        <v>0</v>
      </c>
      <c r="BE6">
        <f>INT(POWER((((Constants!$G$1+$AW6+$AX6+$AY6+$BA6)*(1/$AZ6))*$BB6),IF($D6="wagon",1,1.2)))+$AU6</f>
        <v>0</v>
      </c>
      <c r="BF6" s="15">
        <f>BD6*IF($D6="wagon",62.5,781.25)</f>
        <v>0</v>
      </c>
      <c r="BG6" s="15">
        <f>BE6*IF($D6="wagon",2.73,81.25)</f>
        <v>0</v>
      </c>
      <c r="BT6" t="str">
        <f>VLOOKUP(G6,Eras!$A$2:$C$10, 2, TRUE)</f>
        <v>edw</v>
      </c>
      <c r="BV6" t="str">
        <f>CONCATENATE(BT6,"_",BU6)</f>
        <v>edw_</v>
      </c>
      <c r="BW6" t="str">
        <f>IF(AND(BI6&lt;&gt;Y6,BI6&lt;&gt;""),_xlfn.CONCAT("{BLACK}","Tare speed: ","{GOLD}{VELOCITY}{}"), "")</f>
        <v/>
      </c>
      <c r="BX6" t="str">
        <f>_xlfn.CONCAT(E6, "_",F6)</f>
        <v>tender_RAIL</v>
      </c>
      <c r="BY6" t="str">
        <f>VLOOKUP($BX6, Constants!$M:$N, 2, FALSE)</f>
        <v/>
      </c>
      <c r="BZ6" t="str">
        <f>IF(J6&gt;1,_xlfn.CONCAT("{BLACK}Cars: {GOLD}", J6),"")</f>
        <v/>
      </c>
      <c r="CB6" t="str">
        <f>IF(BS6="BRAKE","{YELLOW}Speed bonus for slow wagons{}",IF(BQ6&gt;190,CONCATENATE("{YELLOW}",INT((BQ6-185)/1.85),"% Bonus for long distance travel{}"),IF(AND(BQ6&lt;180,BQ6&lt;&gt;0),CONCATENATE("{YELLOW}",INT((185-BQ6)/1.85),"% Penalty for long distance travel{}"),"")))</f>
        <v/>
      </c>
      <c r="CC6" t="str">
        <f>_xlfn.CONCAT(BW6,BY6,IF(BY6 &lt;&gt; "", " ", ""),BZ6,IF(OR(BZ6&lt;&gt;"", BY6&lt;&gt;""), "{}",""), CB6,"{SILVER}", CA6)</f>
        <v>{SILVER}</v>
      </c>
    </row>
    <row r="7" spans="1:81" x14ac:dyDescent="0.25">
      <c r="A7" t="s">
        <v>1245</v>
      </c>
      <c r="B7" t="s">
        <v>1244</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S7">
        <v>30</v>
      </c>
      <c r="AT7" t="str">
        <f>IF(I7&lt;&gt;"",MAX(8,(I7-G7)-4),"")</f>
        <v/>
      </c>
      <c r="AW7">
        <f>MIN(Y7/150, 1)*30</f>
        <v>0</v>
      </c>
      <c r="AX7">
        <f>MIN(K7/4000, 1)*20</f>
        <v>0</v>
      </c>
      <c r="AY7">
        <f>MIN(W7/400,1)*20</f>
        <v>0</v>
      </c>
      <c r="AZ7" s="4">
        <v>1</v>
      </c>
      <c r="BA7">
        <f>((MAX($J7,1)*MIN($AE7/300,1)))*IF(D7="Wagon",50,10)</f>
        <v>0</v>
      </c>
      <c r="BB7">
        <f>VLOOKUP($E7,Constants!$I:$K, 2, FALSE)</f>
        <v>0</v>
      </c>
      <c r="BC7">
        <f>VLOOKUP($E7,Constants!$I:$K, 3, FALSE)*IF(AND(D7="multiple_unit",Y7&lt;110),0.75,1)</f>
        <v>0</v>
      </c>
      <c r="BD7">
        <f>INT(POWER(((Constants!$G$2+$AW7+$AX7+$AY7+$BA7)*$AZ7)*$BC7, 1.05))+$AV7</f>
        <v>0</v>
      </c>
      <c r="BE7">
        <f>INT(POWER((((Constants!$G$1+$AW7+$AX7+$AY7+$BA7)*(1/$AZ7))*$BB7),IF($D7="wagon",1,1.2)))+$AU7</f>
        <v>0</v>
      </c>
      <c r="BF7" s="15">
        <f>BD7*IF($D7="wagon",62.5,781.25)</f>
        <v>0</v>
      </c>
      <c r="BG7" s="15">
        <f>BE7*IF($D7="wagon",2.73,81.25)</f>
        <v>0</v>
      </c>
      <c r="BT7" t="str">
        <f>VLOOKUP(G7,Eras!$A$2:$C$10, 2, TRUE)</f>
        <v>edw</v>
      </c>
      <c r="BV7" t="str">
        <f>CONCATENATE(BT7,"_",BU7)</f>
        <v>edw_</v>
      </c>
      <c r="BW7" t="str">
        <f>IF(AND(BI7&lt;&gt;Y7,BI7&lt;&gt;""),_xlfn.CONCAT("{BLACK}","Tare speed: ","{GOLD}{VELOCITY}{}"), "")</f>
        <v/>
      </c>
      <c r="BX7" t="str">
        <f>_xlfn.CONCAT(E7, "_",F7)</f>
        <v>tender_RAIL</v>
      </c>
      <c r="BY7" t="str">
        <f>VLOOKUP($BX7, Constants!$M:$N, 2, FALSE)</f>
        <v/>
      </c>
      <c r="BZ7" t="str">
        <f>IF(J7&gt;1,_xlfn.CONCAT("{BLACK}Cars: {GOLD}", J7),"")</f>
        <v/>
      </c>
      <c r="CB7" t="str">
        <f>IF(BS7="BRAKE","{YELLOW}Speed bonus for slow wagons{}",IF(BQ7&gt;190,CONCATENATE("{YELLOW}",INT((BQ7-185)/1.85),"% Bonus for long distance travel{}"),IF(AND(BQ7&lt;180,BQ7&lt;&gt;0),CONCATENATE("{YELLOW}",INT((185-BQ7)/1.85),"% Penalty for long distance travel{}"),"")))</f>
        <v/>
      </c>
      <c r="CC7" t="str">
        <f>_xlfn.CONCAT(BW7,BY7,IF(BY7 &lt;&gt; "", " ", ""),BZ7,IF(OR(BZ7&lt;&gt;"", BY7&lt;&gt;""), "{}",""), CB7,"{SILVER}", CA7)</f>
        <v>{SILVER}</v>
      </c>
    </row>
    <row r="8" spans="1:81" x14ac:dyDescent="0.25">
      <c r="A8" t="s">
        <v>480</v>
      </c>
      <c r="B8" t="s">
        <v>481</v>
      </c>
      <c r="C8">
        <v>-1</v>
      </c>
      <c r="D8" t="s">
        <v>331</v>
      </c>
      <c r="E8" t="s">
        <v>331</v>
      </c>
      <c r="F8" t="s">
        <v>314</v>
      </c>
      <c r="G8">
        <v>1925</v>
      </c>
      <c r="T8">
        <v>52</v>
      </c>
      <c r="X8" s="4" t="str">
        <f>IF(AND(T8&gt;0,W8&gt;0),(W8/((T8+U8)*10)),"")</f>
        <v/>
      </c>
      <c r="AA8">
        <v>7.64</v>
      </c>
      <c r="AB8">
        <v>8</v>
      </c>
      <c r="AE8" s="11">
        <v>0</v>
      </c>
      <c r="AF8" t="str">
        <f>CONCATENATE(VLOOKUP(AG8, 'Voxel Sizes'!$A$2:$B$18,2,FALSE),"x",INT(AC8*15), "x", INT(AD8*15))</f>
        <v>82x0x0</v>
      </c>
      <c r="AG8">
        <f>ROUND(15*((AB8*10)/256),0)</f>
        <v>5</v>
      </c>
      <c r="AI8" t="str">
        <f>CONCATENATE(VLOOKUP(AG8,Constants!$A$2:$C$16,IF(AH8&lt;&gt;"", 3, 2), FALSE),IF(AH8&lt;&gt;"",CONCATENATE(",",VLOOKUP(AH8,$B:$AI,34,FALSE)),""))</f>
        <v>2,1,2</v>
      </c>
      <c r="AS8">
        <v>30</v>
      </c>
      <c r="AT8" t="str">
        <f>IF(I8&lt;&gt;"",MAX(8,(I8-G8)-4),"")</f>
        <v/>
      </c>
      <c r="AW8">
        <f>MIN(Y8/150, 1)*30</f>
        <v>0</v>
      </c>
      <c r="AX8">
        <f>MIN(K8/4000, 1)*20</f>
        <v>0</v>
      </c>
      <c r="AY8">
        <f>MIN(W8/400,1)*20</f>
        <v>0</v>
      </c>
      <c r="AZ8" s="4">
        <v>1</v>
      </c>
      <c r="BA8">
        <f>((MAX($J8,1)*MIN($AE8/300,1)))*IF(D8="Wagon",50,10)</f>
        <v>0</v>
      </c>
      <c r="BB8">
        <f>VLOOKUP($E8,Constants!$I:$K, 2, FALSE)</f>
        <v>0</v>
      </c>
      <c r="BC8">
        <f>VLOOKUP($E8,Constants!$I:$K, 3, FALSE)*IF(AND(D8="multiple_unit",Y8&lt;110),0.75,1)</f>
        <v>0</v>
      </c>
      <c r="BD8">
        <f>INT(POWER(((Constants!$G$2+$AW8+$AX8+$AY8+$BA8)*$AZ8)*$BC8, 1.05))+$AV8</f>
        <v>0</v>
      </c>
      <c r="BE8">
        <f>INT(POWER((((Constants!$G$1+$AW8+$AX8+$AY8+$BA8)*(1/$AZ8))*$BB8),IF($D8="wagon",1,1.2)))+$AU8</f>
        <v>0</v>
      </c>
      <c r="BF8" s="15">
        <f>BD8*IF($D8="wagon",62.5,781.25)</f>
        <v>0</v>
      </c>
      <c r="BG8" s="15">
        <f>BE8*IF($D8="wagon",2.73,81.25)</f>
        <v>0</v>
      </c>
      <c r="BT8" t="str">
        <f>VLOOKUP(G8,Eras!$A$2:$C$10, 2, TRUE)</f>
        <v>big4</v>
      </c>
      <c r="BV8" t="str">
        <f>CONCATENATE(BT8,"_",BU8)</f>
        <v>big4_</v>
      </c>
      <c r="BW8" t="str">
        <f>IF(AND(BI8&lt;&gt;Y8,BI8&lt;&gt;""),_xlfn.CONCAT("{BLACK}","Tare speed: ","{GOLD}{VELOCITY}{}"), "")</f>
        <v/>
      </c>
      <c r="BX8" t="str">
        <f>_xlfn.CONCAT(E8, "_",F8)</f>
        <v>tender_RAIL</v>
      </c>
      <c r="BY8" t="str">
        <f>VLOOKUP($BX8, Constants!$M:$N, 2, FALSE)</f>
        <v/>
      </c>
      <c r="BZ8" t="str">
        <f>IF(J8&gt;1,_xlfn.CONCAT("{BLACK}Cars: {GOLD}", J8),"")</f>
        <v/>
      </c>
      <c r="CB8" t="str">
        <f>IF(BS8="BRAKE","{YELLOW}Speed bonus for slow wagons{}",IF(BQ8&gt;190,CONCATENATE("{YELLOW}",INT((BQ8-185)/1.85),"% Bonus for long distance travel{}"),IF(AND(BQ8&lt;180,BQ8&lt;&gt;0),CONCATENATE("{YELLOW}",INT((185-BQ8)/1.85),"% Penalty for long distance travel{}"),"")))</f>
        <v/>
      </c>
      <c r="CC8" t="str">
        <f>_xlfn.CONCAT(BW8,BY8,IF(BY8 &lt;&gt; "", " ", ""),BZ8,IF(OR(BZ8&lt;&gt;"", BY8&lt;&gt;""), "{}",""), CB8,"{SILVER}", CA8)</f>
        <v>{SILVER}</v>
      </c>
    </row>
    <row r="9" spans="1:81" x14ac:dyDescent="0.25">
      <c r="A9" t="s">
        <v>330</v>
      </c>
      <c r="B9" t="s">
        <v>329</v>
      </c>
      <c r="C9">
        <v>-1</v>
      </c>
      <c r="D9" t="s">
        <v>331</v>
      </c>
      <c r="E9" t="s">
        <v>331</v>
      </c>
      <c r="F9" t="s">
        <v>314</v>
      </c>
      <c r="G9">
        <v>1925</v>
      </c>
      <c r="T9">
        <v>52</v>
      </c>
      <c r="X9" s="4" t="str">
        <f>IF(AND(T9&gt;0,W9&gt;0),(W9/((T9+U9)*10)),"")</f>
        <v/>
      </c>
      <c r="AA9">
        <v>7.64</v>
      </c>
      <c r="AB9">
        <v>8</v>
      </c>
      <c r="AE9" s="11">
        <v>0</v>
      </c>
      <c r="AF9" t="str">
        <f>CONCATENATE(VLOOKUP(AG9, 'Voxel Sizes'!$A$2:$B$18,2,FALSE),"x",INT(AC9*15), "x", INT(AD9*15))</f>
        <v>82x0x0</v>
      </c>
      <c r="AG9">
        <f>ROUND(15*((AB9*10)/256),0)</f>
        <v>5</v>
      </c>
      <c r="AI9" t="str">
        <f>CONCATENATE(VLOOKUP(AG9,Constants!$A$2:$C$16,IF(AH9&lt;&gt;"", 3, 2), FALSE),IF(AH9&lt;&gt;"",CONCATENATE(",",VLOOKUP(AH9,$B:$AI,34,FALSE)),""))</f>
        <v>2,1,2</v>
      </c>
      <c r="AS9">
        <v>30</v>
      </c>
      <c r="AT9" t="str">
        <f>IF(I9&lt;&gt;"",MAX(8,(I9-G9)-4),"")</f>
        <v/>
      </c>
      <c r="AW9">
        <f>MIN(Y9/150, 1)*30</f>
        <v>0</v>
      </c>
      <c r="AX9">
        <f>MIN(K9/4000, 1)*20</f>
        <v>0</v>
      </c>
      <c r="AY9">
        <f>MIN(W9/400,1)*20</f>
        <v>0</v>
      </c>
      <c r="AZ9" s="4">
        <v>1</v>
      </c>
      <c r="BA9">
        <f>((MAX($J9,1)*MIN($AE9/300,1)))*IF(D9="Wagon",50,10)</f>
        <v>0</v>
      </c>
      <c r="BB9">
        <f>VLOOKUP($E9,Constants!$I:$K, 2, FALSE)</f>
        <v>0</v>
      </c>
      <c r="BC9">
        <f>VLOOKUP($E9,Constants!$I:$K, 3, FALSE)*IF(AND(D9="multiple_unit",Y9&lt;110),0.75,1)</f>
        <v>0</v>
      </c>
      <c r="BD9">
        <f>INT(POWER(((Constants!$G$2+$AW9+$AX9+$AY9+$BA9)*$AZ9)*$BC9, 1.05))+$AV9</f>
        <v>0</v>
      </c>
      <c r="BE9">
        <f>INT(POWER((((Constants!$G$1+$AW9+$AX9+$AY9+$BA9)*(1/$AZ9))*$BB9),IF($D9="wagon",1,1.2)))+$AU9</f>
        <v>0</v>
      </c>
      <c r="BF9" s="15">
        <f>BD9*IF($D9="wagon",62.5,781.25)</f>
        <v>0</v>
      </c>
      <c r="BG9" s="15">
        <f>BE9*IF($D9="wagon",2.73,81.25)</f>
        <v>0</v>
      </c>
      <c r="BT9" t="str">
        <f>VLOOKUP(G9,Eras!$A$2:$C$10, 2, TRUE)</f>
        <v>big4</v>
      </c>
      <c r="BV9" t="str">
        <f>CONCATENATE(BT9,"_",BU9)</f>
        <v>big4_</v>
      </c>
      <c r="BW9" t="str">
        <f>IF(AND(BI9&lt;&gt;Y9,BI9&lt;&gt;""),_xlfn.CONCAT("{BLACK}","Tare speed: ","{GOLD}{VELOCITY}{}"), "")</f>
        <v/>
      </c>
      <c r="BX9" t="str">
        <f>_xlfn.CONCAT(E9, "_",F9)</f>
        <v>tender_RAIL</v>
      </c>
      <c r="BY9" t="str">
        <f>VLOOKUP($BX9, Constants!$M:$N, 2, FALSE)</f>
        <v/>
      </c>
      <c r="BZ9" t="str">
        <f>IF(J9&gt;1,_xlfn.CONCAT("{BLACK}Cars: {GOLD}", J9),"")</f>
        <v/>
      </c>
      <c r="CB9" t="str">
        <f>IF(BS9="BRAKE","{YELLOW}Speed bonus for slow wagons{}",IF(BQ9&gt;190,CONCATENATE("{YELLOW}",INT((BQ9-185)/1.85),"% Bonus for long distance travel{}"),IF(AND(BQ9&lt;180,BQ9&lt;&gt;0),CONCATENATE("{YELLOW}",INT((185-BQ9)/1.85),"% Penalty for long distance travel{}"),"")))</f>
        <v/>
      </c>
      <c r="CC9" t="str">
        <f>_xlfn.CONCAT(BW9,BY9,IF(BY9 &lt;&gt; "", " ", ""),BZ9,IF(OR(BZ9&lt;&gt;"", BY9&lt;&gt;""), "{}",""), CB9,"{SILVER}", CA9)</f>
        <v>{SILVER}</v>
      </c>
    </row>
    <row r="10" spans="1:81" x14ac:dyDescent="0.25">
      <c r="A10" t="s">
        <v>333</v>
      </c>
      <c r="B10" t="s">
        <v>334</v>
      </c>
      <c r="C10">
        <v>-1</v>
      </c>
      <c r="D10" t="s">
        <v>331</v>
      </c>
      <c r="E10" t="s">
        <v>331</v>
      </c>
      <c r="F10" t="s">
        <v>314</v>
      </c>
      <c r="G10">
        <v>1925</v>
      </c>
      <c r="T10">
        <v>52</v>
      </c>
      <c r="X10" s="4" t="str">
        <f>IF(AND(T10&gt;0,W10&gt;0),(W10/((T10+U10)*10)),"")</f>
        <v/>
      </c>
      <c r="AA10">
        <v>7.64</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S10">
        <v>30</v>
      </c>
      <c r="AT10" t="str">
        <f>IF(I10&lt;&gt;"",MAX(8,(I10-G10)-4),"")</f>
        <v/>
      </c>
      <c r="AW10">
        <f>MIN(Y10/150, 1)*30</f>
        <v>0</v>
      </c>
      <c r="AX10">
        <f>MIN(K10/4000, 1)*20</f>
        <v>0</v>
      </c>
      <c r="AY10">
        <f>MIN(W10/400,1)*20</f>
        <v>0</v>
      </c>
      <c r="AZ10" s="4">
        <v>1</v>
      </c>
      <c r="BA10">
        <f>((MAX($J10,1)*MIN($AE10/300,1)))*IF(D10="Wagon",50,10)</f>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BD10*IF($D10="wagon",62.5,781.25)</f>
        <v>0</v>
      </c>
      <c r="BG10" s="15">
        <f>BE10*IF($D10="wagon",2.73,81.25)</f>
        <v>0</v>
      </c>
      <c r="BT10" t="str">
        <f>VLOOKUP(G10,Eras!$A$2:$C$10, 2, TRUE)</f>
        <v>big4</v>
      </c>
      <c r="BV10" t="str">
        <f>CONCATENATE(BT10,"_",BU10)</f>
        <v>big4_</v>
      </c>
      <c r="BW10" t="str">
        <f>IF(AND(BI10&lt;&gt;Y10,BI10&lt;&gt;""),_xlfn.CONCAT("{BLACK}","Tare speed: ","{GOLD}{VELOCITY}{}"), "")</f>
        <v/>
      </c>
      <c r="BX10" t="str">
        <f>_xlfn.CONCAT(E10, "_",F10)</f>
        <v>tender_RAIL</v>
      </c>
      <c r="BY10" t="str">
        <f>VLOOKUP($BX10, Constants!$M:$N, 2, FALSE)</f>
        <v/>
      </c>
      <c r="BZ10" t="str">
        <f>IF(J10&gt;1,_xlfn.CONCAT("{BLACK}Cars: {GOLD}", J10),"")</f>
        <v/>
      </c>
      <c r="CB10" t="str">
        <f>IF(BS10="BRAKE","{YELLOW}Speed bonus for slow wagons{}",IF(BQ10&gt;190,CONCATENATE("{YELLOW}",INT((BQ10-185)/1.85),"% Bonus for long distance travel{}"),IF(AND(BQ10&lt;180,BQ10&lt;&gt;0),CONCATENATE("{YELLOW}",INT((185-BQ10)/1.85),"% Penalty for long distance travel{}"),"")))</f>
        <v/>
      </c>
      <c r="CC10" t="str">
        <f>_xlfn.CONCAT(BW10,BY10,IF(BY10 &lt;&gt; "", " ", ""),BZ10,IF(OR(BZ10&lt;&gt;"", BY10&lt;&gt;""), "{}",""), CB10,"{SILVER}", CA10)</f>
        <v>{SILVER}</v>
      </c>
    </row>
    <row r="11" spans="1:81" x14ac:dyDescent="0.25">
      <c r="A11" t="s">
        <v>475</v>
      </c>
      <c r="B11" t="s">
        <v>476</v>
      </c>
      <c r="C11">
        <v>-1</v>
      </c>
      <c r="D11" t="s">
        <v>331</v>
      </c>
      <c r="E11" t="s">
        <v>331</v>
      </c>
      <c r="F11" t="s">
        <v>314</v>
      </c>
      <c r="G11">
        <v>1927</v>
      </c>
      <c r="T11">
        <v>53</v>
      </c>
      <c r="X11" s="4" t="str">
        <f>IF(AND(T11&gt;0,W11&gt;0),(W11/((T11+U11)*10)),"")</f>
        <v/>
      </c>
      <c r="AA11">
        <v>7.5</v>
      </c>
      <c r="AB11">
        <v>8</v>
      </c>
      <c r="AE11" s="11">
        <v>0</v>
      </c>
      <c r="AF11" t="str">
        <f>CONCATENATE(VLOOKUP(AG11, 'Voxel Sizes'!$A$2:$B$18,2,FALSE),"x",INT(AC11*15), "x", INT(AD11*15))</f>
        <v>82x0x0</v>
      </c>
      <c r="AG11">
        <f>ROUND(15*((AB11*10)/256),0)</f>
        <v>5</v>
      </c>
      <c r="AI11" t="str">
        <f>CONCATENATE(VLOOKUP(AG11,Constants!$A$2:$C$16,IF(AH11&lt;&gt;"", 3, 2), FALSE),IF(AH11&lt;&gt;"",CONCATENATE(",",VLOOKUP(AH11,$B:$AI,34,FALSE)),""))</f>
        <v>2,1,2</v>
      </c>
      <c r="AS11">
        <v>30</v>
      </c>
      <c r="AT11" t="str">
        <f>IF(I11&lt;&gt;"",MAX(8,(I11-G11)-4),"")</f>
        <v/>
      </c>
      <c r="AW11">
        <f>MIN(Y11/150, 1)*30</f>
        <v>0</v>
      </c>
      <c r="AX11">
        <f>MIN(K11/4000, 1)*20</f>
        <v>0</v>
      </c>
      <c r="AY11">
        <f>MIN(W11/400,1)*20</f>
        <v>0</v>
      </c>
      <c r="AZ11" s="4">
        <v>1</v>
      </c>
      <c r="BA11">
        <f>((MAX($J11,1)*MIN($AE11/300,1)))*IF(D11="Wagon",50,10)</f>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BD11*IF($D11="wagon",62.5,781.25)</f>
        <v>0</v>
      </c>
      <c r="BG11" s="15">
        <f>BE11*IF($D11="wagon",2.73,81.25)</f>
        <v>0</v>
      </c>
      <c r="BT11" t="str">
        <f>VLOOKUP(G11,Eras!$A$2:$C$10, 2, TRUE)</f>
        <v>big4</v>
      </c>
      <c r="BV11" t="str">
        <f>CONCATENATE(BT11,"_",BU11)</f>
        <v>big4_</v>
      </c>
      <c r="BW11" t="str">
        <f>IF(AND(BI11&lt;&gt;Y11,BI11&lt;&gt;""),_xlfn.CONCAT("{BLACK}","Tare speed: ","{GOLD}{VELOCITY}{}"), "")</f>
        <v/>
      </c>
      <c r="BX11" t="str">
        <f>_xlfn.CONCAT(E11, "_",F11)</f>
        <v>tender_RAIL</v>
      </c>
      <c r="BY11" t="str">
        <f>VLOOKUP($BX11, Constants!$M:$N, 2, FALSE)</f>
        <v/>
      </c>
      <c r="BZ11" t="str">
        <f>IF(J11&gt;1,_xlfn.CONCAT("{BLACK}Cars: {GOLD}", J11),"")</f>
        <v/>
      </c>
      <c r="CB11" t="str">
        <f>IF(BS11="BRAKE","{YELLOW}Speed bonus for slow wagons{}",IF(BQ11&gt;190,CONCATENATE("{YELLOW}",INT((BQ11-185)/1.85),"% Bonus for long distance travel{}"),IF(AND(BQ11&lt;180,BQ11&lt;&gt;0),CONCATENATE("{YELLOW}",INT((185-BQ11)/1.85),"% Penalty for long distance travel{}"),"")))</f>
        <v/>
      </c>
      <c r="CC11" t="str">
        <f>_xlfn.CONCAT(BW11,BY11,IF(BY11 &lt;&gt; "", " ", ""),BZ11,IF(OR(BZ11&lt;&gt;"", BY11&lt;&gt;""), "{}",""), CB11,"{SILVER}", CA11)</f>
        <v>{SILVER}</v>
      </c>
    </row>
    <row r="12" spans="1:81" x14ac:dyDescent="0.25">
      <c r="A12" t="s">
        <v>502</v>
      </c>
      <c r="B12" t="s">
        <v>501</v>
      </c>
      <c r="C12">
        <v>-1</v>
      </c>
      <c r="D12" t="s">
        <v>331</v>
      </c>
      <c r="E12" t="s">
        <v>331</v>
      </c>
      <c r="F12" t="s">
        <v>314</v>
      </c>
      <c r="G12">
        <v>1935</v>
      </c>
      <c r="T12">
        <v>42</v>
      </c>
      <c r="X12" s="4" t="str">
        <f>IF(AND(T12&gt;0,W12&gt;0),(W12/((T12+U12)*10)),"")</f>
        <v/>
      </c>
      <c r="AA12">
        <v>7.5</v>
      </c>
      <c r="AB12">
        <v>8</v>
      </c>
      <c r="AE12" s="11">
        <v>0</v>
      </c>
      <c r="AF12" t="str">
        <f>CONCATENATE(VLOOKUP(AG12, 'Voxel Sizes'!$A$2:$B$18,2,FALSE),"x",INT(AC12*15), "x", INT(AD12*15))</f>
        <v>82x0x0</v>
      </c>
      <c r="AG12">
        <f>ROUND(15*((AB12*10)/256),0)</f>
        <v>5</v>
      </c>
      <c r="AI12" t="str">
        <f>CONCATENATE(VLOOKUP(AG12,Constants!$A$2:$C$16,IF(AH12&lt;&gt;"", 3, 2), FALSE),IF(AH12&lt;&gt;"",CONCATENATE(",",VLOOKUP(AH12,$B:$AI,34,FALSE)),""))</f>
        <v>2,1,2</v>
      </c>
      <c r="AS12">
        <v>30</v>
      </c>
      <c r="AT12" t="str">
        <f>IF(I12&lt;&gt;"",MAX(8,(I12-G12)-4),"")</f>
        <v/>
      </c>
      <c r="AW12">
        <f>MIN(Y12/150, 1)*30</f>
        <v>0</v>
      </c>
      <c r="AX12">
        <f>MIN(K12/4000, 1)*20</f>
        <v>0</v>
      </c>
      <c r="AY12">
        <f>MIN(W12/400,1)*20</f>
        <v>0</v>
      </c>
      <c r="AZ12" s="4">
        <v>1</v>
      </c>
      <c r="BA12">
        <f>((MAX($J12,1)*MIN($AE12/300,1)))*IF(D12="Wagon",50,10)</f>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BD12*IF($D12="wagon",62.5,781.25)</f>
        <v>0</v>
      </c>
      <c r="BG12" s="15">
        <f>BE12*IF($D12="wagon",2.73,81.25)</f>
        <v>0</v>
      </c>
      <c r="BT12" t="str">
        <f>VLOOKUP(G12,Eras!$A$2:$C$10, 2, TRUE)</f>
        <v>big4</v>
      </c>
      <c r="BV12" t="str">
        <f>CONCATENATE(BT12,"_",BU12)</f>
        <v>big4_</v>
      </c>
      <c r="BW12" t="str">
        <f>IF(AND(BI12&lt;&gt;Y12,BI12&lt;&gt;""),_xlfn.CONCAT("{BLACK}","Tare speed: ","{GOLD}{VELOCITY}{}"), "")</f>
        <v/>
      </c>
      <c r="BX12" t="str">
        <f>_xlfn.CONCAT(E12, "_",F12)</f>
        <v>tender_RAIL</v>
      </c>
      <c r="BY12" t="str">
        <f>VLOOKUP($BX12, Constants!$M:$N, 2, FALSE)</f>
        <v/>
      </c>
      <c r="BZ12" t="str">
        <f>IF(J12&gt;1,_xlfn.CONCAT("{BLACK}Cars: {GOLD}", J12),"")</f>
        <v/>
      </c>
      <c r="CB12" t="str">
        <f>IF(BS12="BRAKE","{YELLOW}Speed bonus for slow wagons{}",IF(BQ12&gt;190,CONCATENATE("{YELLOW}",INT((BQ12-185)/1.85),"% Bonus for long distance travel{}"),IF(AND(BQ12&lt;180,BQ12&lt;&gt;0),CONCATENATE("{YELLOW}",INT((185-BQ12)/1.85),"% Penalty for long distance travel{}"),"")))</f>
        <v/>
      </c>
      <c r="CC12" t="str">
        <f>_xlfn.CONCAT(BW12,BY12,IF(BY12 &lt;&gt; "", " ", ""),BZ12,IF(OR(BZ12&lt;&gt;"", BY12&lt;&gt;""), "{}",""), CB12,"{SILVER}", CA12)</f>
        <v>{SILVER}</v>
      </c>
    </row>
    <row r="13" spans="1:81" ht="13.5" customHeight="1" x14ac:dyDescent="0.25">
      <c r="A13" t="s">
        <v>509</v>
      </c>
      <c r="B13" t="s">
        <v>510</v>
      </c>
      <c r="C13">
        <v>-1</v>
      </c>
      <c r="D13" t="s">
        <v>331</v>
      </c>
      <c r="E13" t="s">
        <v>331</v>
      </c>
      <c r="F13" t="s">
        <v>314</v>
      </c>
      <c r="G13">
        <v>1941</v>
      </c>
      <c r="T13">
        <v>52</v>
      </c>
      <c r="X13" s="4" t="str">
        <f>IF(AND(T13&gt;0,W13&gt;0),(W13/((T13+U13)*10)),"")</f>
        <v/>
      </c>
      <c r="AA13">
        <v>7.64</v>
      </c>
      <c r="AB13">
        <v>8</v>
      </c>
      <c r="AE13" s="11">
        <v>0</v>
      </c>
      <c r="AF13" t="str">
        <f>CONCATENATE(VLOOKUP(AG13, 'Voxel Sizes'!$A$2:$B$18,2,FALSE),"x",INT(AC13*15), "x", INT(AD13*15))</f>
        <v>82x0x0</v>
      </c>
      <c r="AG13">
        <f>ROUND(15*((AB13*10)/256),0)</f>
        <v>5</v>
      </c>
      <c r="AI13" t="str">
        <f>CONCATENATE(VLOOKUP(AG13,Constants!$A$2:$C$16,IF(AH13&lt;&gt;"", 3, 2), FALSE),IF(AH13&lt;&gt;"",CONCATENATE(",",VLOOKUP(AH13,$B:$AI,34,FALSE)),""))</f>
        <v>2,1,2</v>
      </c>
      <c r="AS13">
        <v>30</v>
      </c>
      <c r="AT13" t="str">
        <f>IF(I13&lt;&gt;"",MAX(8,(I13-G13)-4),"")</f>
        <v/>
      </c>
      <c r="AW13">
        <f>MIN(Y13/150, 1)*30</f>
        <v>0</v>
      </c>
      <c r="AX13">
        <f>MIN(K13/4000, 1)*20</f>
        <v>0</v>
      </c>
      <c r="AY13">
        <f>MIN(W13/400,1)*20</f>
        <v>0</v>
      </c>
      <c r="AZ13" s="4">
        <v>1</v>
      </c>
      <c r="BA13">
        <f>((MAX($J13,1)*MIN($AE13/300,1)))*IF(D13="Wagon",50,10)</f>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BD13*IF($D13="wagon",62.5,781.25)</f>
        <v>0</v>
      </c>
      <c r="BG13" s="15">
        <f>BE13*IF($D13="wagon",2.73,81.25)</f>
        <v>0</v>
      </c>
      <c r="BT13" t="str">
        <f>VLOOKUP(G13,Eras!$A$2:$C$10, 2, TRUE)</f>
        <v>big4</v>
      </c>
      <c r="BV13" t="str">
        <f>CONCATENATE(BT13,"_",BU13)</f>
        <v>big4_</v>
      </c>
      <c r="BW13" t="str">
        <f>IF(AND(BI13&lt;&gt;Y13,BI13&lt;&gt;""),_xlfn.CONCAT("{BLACK}","Tare speed: ","{GOLD}{VELOCITY}{}"), "")</f>
        <v/>
      </c>
      <c r="BX13" t="str">
        <f>_xlfn.CONCAT(E13, "_",F13)</f>
        <v>tender_RAIL</v>
      </c>
      <c r="BY13" t="str">
        <f>VLOOKUP($BX13, Constants!$M:$N, 2, FALSE)</f>
        <v/>
      </c>
      <c r="BZ13" t="str">
        <f>IF(J13&gt;1,_xlfn.CONCAT("{BLACK}Cars: {GOLD}", J13),"")</f>
        <v/>
      </c>
      <c r="CB13" t="str">
        <f>IF(BS13="BRAKE","{YELLOW}Speed bonus for slow wagons{}",IF(BQ13&gt;190,CONCATENATE("{YELLOW}",INT((BQ13-185)/1.85),"% Bonus for long distance travel{}"),IF(AND(BQ13&lt;180,BQ13&lt;&gt;0),CONCATENATE("{YELLOW}",INT((185-BQ13)/1.85),"% Penalty for long distance travel{}"),"")))</f>
        <v/>
      </c>
      <c r="CC13" t="str">
        <f>_xlfn.CONCAT(BW13,BY13,IF(BY13 &lt;&gt; "", " ", ""),BZ13,IF(OR(BZ13&lt;&gt;"", BY13&lt;&gt;""), "{}",""), CB13,"{SILVER}", CA13)</f>
        <v>{SILVER}</v>
      </c>
    </row>
    <row r="14" spans="1:81" x14ac:dyDescent="0.25">
      <c r="A14" t="s">
        <v>517</v>
      </c>
      <c r="B14" t="s">
        <v>516</v>
      </c>
      <c r="C14">
        <v>-1</v>
      </c>
      <c r="D14" t="s">
        <v>331</v>
      </c>
      <c r="E14" t="s">
        <v>331</v>
      </c>
      <c r="F14" t="s">
        <v>314</v>
      </c>
      <c r="G14">
        <v>1942</v>
      </c>
      <c r="T14">
        <v>52</v>
      </c>
      <c r="X14" s="4" t="str">
        <f>IF(AND(T14&gt;0,W14&gt;0),(W14/((T14+U14)*10)),"")</f>
        <v/>
      </c>
      <c r="AA14">
        <v>6</v>
      </c>
      <c r="AB14">
        <v>6</v>
      </c>
      <c r="AE14" s="11">
        <v>0</v>
      </c>
      <c r="AF14" t="str">
        <f>CONCATENATE(VLOOKUP(AG14, 'Voxel Sizes'!$A$2:$B$18,2,FALSE),"x",INT(AC14*15), "x", INT(AD14*15))</f>
        <v>60x0x0</v>
      </c>
      <c r="AG14">
        <f>ROUND(15*((AB14*10)/256),0)</f>
        <v>4</v>
      </c>
      <c r="AI14" t="str">
        <f>CONCATENATE(VLOOKUP(AG14,Constants!$A$2:$C$16,IF(AH14&lt;&gt;"", 3, 2), FALSE),IF(AH14&lt;&gt;"",CONCATENATE(",",VLOOKUP(AH14,$B:$AI,34,FALSE)),""))</f>
        <v>1,2,1</v>
      </c>
      <c r="AS14">
        <v>30</v>
      </c>
      <c r="AT14" t="str">
        <f>IF(I14&lt;&gt;"",MAX(8,(I14-G14)-4),"")</f>
        <v/>
      </c>
      <c r="AW14">
        <f>MIN(Y14/150, 1)*30</f>
        <v>0</v>
      </c>
      <c r="AX14">
        <f>MIN(K14/4000, 1)*20</f>
        <v>0</v>
      </c>
      <c r="AY14">
        <f>MIN(W14/400,1)*20</f>
        <v>0</v>
      </c>
      <c r="AZ14" s="4">
        <v>1</v>
      </c>
      <c r="BA14">
        <f>((MAX($J14,1)*MIN($AE14/300,1)))*IF(D14="Wagon",50,10)</f>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BD14*IF($D14="wagon",62.5,781.25)</f>
        <v>0</v>
      </c>
      <c r="BG14" s="15">
        <f>BE14*IF($D14="wagon",2.73,81.25)</f>
        <v>0</v>
      </c>
      <c r="BT14" t="str">
        <f>VLOOKUP(G14,Eras!$A$2:$C$10, 2, TRUE)</f>
        <v>big4</v>
      </c>
      <c r="BV14" t="str">
        <f>CONCATENATE(BT14,"_",BU14)</f>
        <v>big4_</v>
      </c>
      <c r="BW14" t="str">
        <f>IF(AND(BI14&lt;&gt;Y14,BI14&lt;&gt;""),_xlfn.CONCAT("{BLACK}","Tare speed: ","{GOLD}{VELOCITY}{}"), "")</f>
        <v/>
      </c>
      <c r="BX14" t="str">
        <f>_xlfn.CONCAT(E14, "_",F14)</f>
        <v>tender_RAIL</v>
      </c>
      <c r="BY14" t="str">
        <f>VLOOKUP($BX14, Constants!$M:$N, 2, FALSE)</f>
        <v/>
      </c>
      <c r="BZ14" t="str">
        <f>IF(J14&gt;1,_xlfn.CONCAT("{BLACK}Cars: {GOLD}", J14),"")</f>
        <v/>
      </c>
      <c r="CB14" t="str">
        <f>IF(BS14="BRAKE","{YELLOW}Speed bonus for slow wagons{}",IF(BQ14&gt;190,CONCATENATE("{YELLOW}",INT((BQ14-185)/1.85),"% Bonus for long distance travel{}"),IF(AND(BQ14&lt;180,BQ14&lt;&gt;0),CONCATENATE("{YELLOW}",INT((185-BQ14)/1.85),"% Penalty for long distance travel{}"),"")))</f>
        <v/>
      </c>
      <c r="CC14" t="str">
        <f>_xlfn.CONCAT(BW14,BY14,IF(BY14 &lt;&gt; "", " ", ""),BZ14,IF(OR(BZ14&lt;&gt;"", BY14&lt;&gt;""), "{}",""), CB14,"{SILVER}", CA14)</f>
        <v>{SILVER}</v>
      </c>
    </row>
    <row r="15" spans="1:81" x14ac:dyDescent="0.25">
      <c r="A15" t="s">
        <v>522</v>
      </c>
      <c r="B15" t="s">
        <v>523</v>
      </c>
      <c r="C15">
        <v>-1</v>
      </c>
      <c r="D15" t="s">
        <v>331</v>
      </c>
      <c r="E15" t="s">
        <v>331</v>
      </c>
      <c r="F15" t="s">
        <v>314</v>
      </c>
      <c r="G15">
        <v>1943</v>
      </c>
      <c r="T15">
        <v>52</v>
      </c>
      <c r="X15" s="4" t="str">
        <f>IF(AND(T15&gt;0,W15&gt;0),(W15/((T15+U15)*10)),"")</f>
        <v/>
      </c>
      <c r="AA15">
        <v>6</v>
      </c>
      <c r="AB15">
        <v>6</v>
      </c>
      <c r="AE15" s="11">
        <v>0</v>
      </c>
      <c r="AF15" t="str">
        <f>CONCATENATE(VLOOKUP(AG15, 'Voxel Sizes'!$A$2:$B$18,2,FALSE),"x",INT(AC15*15), "x", INT(AD15*15))</f>
        <v>60x0x0</v>
      </c>
      <c r="AG15">
        <f>ROUND(15*((AB15*10)/256),0)</f>
        <v>4</v>
      </c>
      <c r="AI15" t="str">
        <f>CONCATENATE(VLOOKUP(AG15,Constants!$A$2:$C$16,IF(AH15&lt;&gt;"", 3, 2), FALSE),IF(AH15&lt;&gt;"",CONCATENATE(",",VLOOKUP(AH15,$B:$AI,34,FALSE)),""))</f>
        <v>1,2,1</v>
      </c>
      <c r="AS15">
        <v>30</v>
      </c>
      <c r="AT15" t="str">
        <f>IF(I15&lt;&gt;"",MAX(8,(I15-G15)-4),"")</f>
        <v/>
      </c>
      <c r="AW15">
        <f>MIN(Y15/150, 1)*30</f>
        <v>0</v>
      </c>
      <c r="AX15">
        <f>MIN(K15/4000, 1)*20</f>
        <v>0</v>
      </c>
      <c r="AY15">
        <f>MIN(W15/400,1)*20</f>
        <v>0</v>
      </c>
      <c r="AZ15" s="4">
        <v>1</v>
      </c>
      <c r="BA15">
        <f>((MAX($J15,1)*MIN($AE15/300,1)))*IF(D15="Wagon",50,10)</f>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BD15*IF($D15="wagon",62.5,781.25)</f>
        <v>0</v>
      </c>
      <c r="BG15" s="15">
        <f>BE15*IF($D15="wagon",2.73,81.25)</f>
        <v>0</v>
      </c>
      <c r="BT15" t="str">
        <f>VLOOKUP(G15,Eras!$A$2:$C$10, 2, TRUE)</f>
        <v>big4</v>
      </c>
      <c r="BV15" t="str">
        <f>CONCATENATE(BT15,"_",BU15)</f>
        <v>big4_</v>
      </c>
      <c r="BW15" t="str">
        <f>IF(AND(BI15&lt;&gt;Y15,BI15&lt;&gt;""),_xlfn.CONCAT("{BLACK}","Tare speed: ","{GOLD}{VELOCITY}{}"), "")</f>
        <v/>
      </c>
      <c r="BX15" t="str">
        <f>_xlfn.CONCAT(E15, "_",F15)</f>
        <v>tender_RAIL</v>
      </c>
      <c r="BY15" t="str">
        <f>VLOOKUP($BX15, Constants!$M:$N, 2, FALSE)</f>
        <v/>
      </c>
      <c r="BZ15" t="str">
        <f>IF(J15&gt;1,_xlfn.CONCAT("{BLACK}Cars: {GOLD}", J15),"")</f>
        <v/>
      </c>
      <c r="CB15" t="str">
        <f>IF(BS15="BRAKE","{YELLOW}Speed bonus for slow wagons{}",IF(BQ15&gt;190,CONCATENATE("{YELLOW}",INT((BQ15-185)/1.85),"% Bonus for long distance travel{}"),IF(AND(BQ15&lt;180,BQ15&lt;&gt;0),CONCATENATE("{YELLOW}",INT((185-BQ15)/1.85),"% Penalty for long distance travel{}"),"")))</f>
        <v/>
      </c>
      <c r="CC15" t="str">
        <f>_xlfn.CONCAT(BW15,BY15,IF(BY15 &lt;&gt; "", " ", ""),BZ15,IF(OR(BZ15&lt;&gt;"", BY15&lt;&gt;""), "{}",""), CB15,"{SILVER}", CA15)</f>
        <v>{SILVER}</v>
      </c>
    </row>
    <row r="16" spans="1:81" x14ac:dyDescent="0.25">
      <c r="A16" t="s">
        <v>537</v>
      </c>
      <c r="B16" t="s">
        <v>536</v>
      </c>
      <c r="C16">
        <v>-1</v>
      </c>
      <c r="D16" t="s">
        <v>331</v>
      </c>
      <c r="E16" t="s">
        <v>331</v>
      </c>
      <c r="F16" t="s">
        <v>314</v>
      </c>
      <c r="G16">
        <v>1946</v>
      </c>
      <c r="T16">
        <v>52</v>
      </c>
      <c r="X16" s="4" t="str">
        <f>IF(AND(T16&gt;0,W16&gt;0),(W16/((T16+U16)*10)),"")</f>
        <v/>
      </c>
      <c r="AA16">
        <v>6</v>
      </c>
      <c r="AB16">
        <v>6</v>
      </c>
      <c r="AE16" s="11">
        <v>0</v>
      </c>
      <c r="AF16" t="str">
        <f>CONCATENATE(VLOOKUP(AG16, 'Voxel Sizes'!$A$2:$B$18,2,FALSE),"x",INT(AC16*15), "x", INT(AD16*15))</f>
        <v>60x0x0</v>
      </c>
      <c r="AG16">
        <f>ROUND(15*((AB16*10)/256),0)</f>
        <v>4</v>
      </c>
      <c r="AI16" t="str">
        <f>CONCATENATE(VLOOKUP(AG16,Constants!$A$2:$C$16,IF(AH16&lt;&gt;"", 3, 2), FALSE),IF(AH16&lt;&gt;"",CONCATENATE(",",VLOOKUP(AH16,$B:$AI,34,FALSE)),""))</f>
        <v>1,2,1</v>
      </c>
      <c r="AS16">
        <v>30</v>
      </c>
      <c r="AT16" t="str">
        <f>IF(I16&lt;&gt;"",MAX(8,(I16-G16)-4),"")</f>
        <v/>
      </c>
      <c r="AW16">
        <f>MIN(Y16/150, 1)*30</f>
        <v>0</v>
      </c>
      <c r="AX16">
        <f>MIN(K16/4000, 1)*20</f>
        <v>0</v>
      </c>
      <c r="AY16">
        <f>MIN(W16/400,1)*20</f>
        <v>0</v>
      </c>
      <c r="AZ16" s="4">
        <v>1</v>
      </c>
      <c r="BA16">
        <f>((MAX($J16,1)*MIN($AE16/300,1)))*IF(D16="Wagon",50,10)</f>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BD16*IF($D16="wagon",62.5,781.25)</f>
        <v>0</v>
      </c>
      <c r="BG16" s="15">
        <f>BE16*IF($D16="wagon",2.73,81.25)</f>
        <v>0</v>
      </c>
      <c r="BT16" t="str">
        <f>VLOOKUP(G16,Eras!$A$2:$C$10, 2, TRUE)</f>
        <v>big4</v>
      </c>
      <c r="BV16" t="str">
        <f>CONCATENATE(BT16,"_",BU16)</f>
        <v>big4_</v>
      </c>
      <c r="BW16" t="str">
        <f>IF(AND(BI16&lt;&gt;Y16,BI16&lt;&gt;""),_xlfn.CONCAT("{BLACK}","Tare speed: ","{GOLD}{VELOCITY}{}"), "")</f>
        <v/>
      </c>
      <c r="BX16" t="str">
        <f>_xlfn.CONCAT(E16, "_",F16)</f>
        <v>tender_RAIL</v>
      </c>
      <c r="BY16" t="str">
        <f>VLOOKUP($BX16, Constants!$M:$N, 2, FALSE)</f>
        <v/>
      </c>
      <c r="BZ16" t="str">
        <f>IF(J16&gt;1,_xlfn.CONCAT("{BLACK}Cars: {GOLD}", J16),"")</f>
        <v/>
      </c>
      <c r="CB16" t="str">
        <f>IF(BS16="BRAKE","{YELLOW}Speed bonus for slow wagons{}",IF(BQ16&gt;190,CONCATENATE("{YELLOW}",INT((BQ16-185)/1.85),"% Bonus for long distance travel{}"),IF(AND(BQ16&lt;180,BQ16&lt;&gt;0),CONCATENATE("{YELLOW}",INT((185-BQ16)/1.85),"% Penalty for long distance travel{}"),"")))</f>
        <v/>
      </c>
      <c r="CC16" t="str">
        <f>_xlfn.CONCAT(BW16,BY16,IF(BY16 &lt;&gt; "", " ", ""),BZ16,IF(OR(BZ16&lt;&gt;"", BY16&lt;&gt;""), "{}",""), CB16,"{SILVER}", CA16)</f>
        <v>{SILVER}</v>
      </c>
    </row>
    <row r="17" spans="1:81" x14ac:dyDescent="0.25">
      <c r="A17" t="s">
        <v>680</v>
      </c>
      <c r="B17" t="s">
        <v>681</v>
      </c>
      <c r="C17">
        <v>-1</v>
      </c>
      <c r="D17" t="s">
        <v>331</v>
      </c>
      <c r="E17" t="s">
        <v>331</v>
      </c>
      <c r="F17" t="s">
        <v>314</v>
      </c>
      <c r="G17">
        <v>1958</v>
      </c>
      <c r="T17">
        <v>52</v>
      </c>
      <c r="X17" s="4" t="str">
        <f>IF(AND(T17&gt;0,W17&gt;0),(W17/((T17+U17)*10)),"")</f>
        <v/>
      </c>
      <c r="AA17">
        <v>6</v>
      </c>
      <c r="AB17">
        <v>8</v>
      </c>
      <c r="AE17" s="11">
        <v>0</v>
      </c>
      <c r="AF17" t="str">
        <f>CONCATENATE(VLOOKUP(AG17, 'Voxel Sizes'!$A$2:$B$18,2,FALSE),"x",INT(AC17*15), "x", INT(AD17*15))</f>
        <v>82x0x0</v>
      </c>
      <c r="AG17">
        <f>ROUND(15*((AB17*10)/256),0)</f>
        <v>5</v>
      </c>
      <c r="AI17" t="str">
        <f>CONCATENATE(VLOOKUP(AG17,Constants!$A$2:$C$16,IF(AH17&lt;&gt;"", 3, 2), FALSE),IF(AH17&lt;&gt;"",CONCATENATE(",",VLOOKUP(AH17,$B:$AI,34,FALSE)),""))</f>
        <v>2,1,2</v>
      </c>
      <c r="AS17">
        <v>30</v>
      </c>
      <c r="AT17" t="str">
        <f>IF(I17&lt;&gt;"",MAX(8,(I17-G17)-4),"")</f>
        <v/>
      </c>
      <c r="AW17">
        <f>MIN(Y17/150, 1)*30</f>
        <v>0</v>
      </c>
      <c r="AX17">
        <f>MIN(K17/4000, 1)*20</f>
        <v>0</v>
      </c>
      <c r="AY17">
        <f>MIN(W17/400,1)*20</f>
        <v>0</v>
      </c>
      <c r="AZ17" s="4">
        <v>1</v>
      </c>
      <c r="BA17">
        <f>((MAX($J17,1)*MIN($AE17/300,1)))*IF(D17="Wagon",50,10)</f>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BD17*IF($D17="wagon",62.5,781.25)</f>
        <v>0</v>
      </c>
      <c r="BG17" s="15">
        <f>BE17*IF($D17="wagon",2.73,81.25)</f>
        <v>0</v>
      </c>
      <c r="BT17" t="str">
        <f>VLOOKUP(G17,Eras!$A$2:$C$10, 2, TRUE)</f>
        <v>dsl</v>
      </c>
      <c r="BV17" t="str">
        <f>CONCATENATE(BT17,"_",BU17)</f>
        <v>dsl_</v>
      </c>
      <c r="BW17" t="str">
        <f>IF(AND(BI17&lt;&gt;Y17,BI17&lt;&gt;""),_xlfn.CONCAT("{BLACK}","Tare speed: ","{GOLD}{VELOCITY}{}"), "")</f>
        <v/>
      </c>
      <c r="BX17" t="str">
        <f>_xlfn.CONCAT(E17, "_",F17)</f>
        <v>tender_RAIL</v>
      </c>
      <c r="BY17" t="str">
        <f>VLOOKUP($BX17, Constants!$M:$N, 2, FALSE)</f>
        <v/>
      </c>
      <c r="BZ17" t="str">
        <f>IF(J17&gt;1,_xlfn.CONCAT("{BLACK}Cars: {GOLD}", J17),"")</f>
        <v/>
      </c>
      <c r="CB17" t="str">
        <f>IF(BS17="BRAKE","{YELLOW}Speed bonus for slow wagons{}",IF(BQ17&gt;190,CONCATENATE("{YELLOW}",INT((BQ17-185)/1.85),"% Bonus for long distance travel{}"),IF(AND(BQ17&lt;180,BQ17&lt;&gt;0),CONCATENATE("{YELLOW}",INT((185-BQ17)/1.85),"% Penalty for long distance travel{}"),"")))</f>
        <v/>
      </c>
      <c r="CC17" t="str">
        <f>_xlfn.CONCAT(BW17,BY17,IF(BY17 &lt;&gt; "", " ", ""),BZ17,IF(OR(BZ17&lt;&gt;"", BY17&lt;&gt;""), "{}",""), CB17,"{SILVER}", CA17)</f>
        <v>{SILVER}</v>
      </c>
    </row>
    <row r="18" spans="1:81" x14ac:dyDescent="0.25">
      <c r="A18" t="s">
        <v>127</v>
      </c>
      <c r="B18" t="s">
        <v>235</v>
      </c>
      <c r="C18">
        <v>10</v>
      </c>
      <c r="D18" t="s">
        <v>321</v>
      </c>
      <c r="E18" t="s">
        <v>1162</v>
      </c>
      <c r="F18" t="s">
        <v>314</v>
      </c>
      <c r="G18">
        <v>1892</v>
      </c>
      <c r="I18">
        <v>1935</v>
      </c>
      <c r="T18">
        <v>28</v>
      </c>
      <c r="V18">
        <v>6</v>
      </c>
      <c r="X18" s="4" t="str">
        <f>IF(AND(T18&gt;0,W18&gt;0),(W18/((T18+U18)*10)),"")</f>
        <v/>
      </c>
      <c r="Y18">
        <v>80</v>
      </c>
      <c r="AA18">
        <v>16.2</v>
      </c>
      <c r="AB18">
        <v>16.2</v>
      </c>
      <c r="AC18">
        <v>2.8</v>
      </c>
      <c r="AE18" s="11">
        <v>42</v>
      </c>
      <c r="AF18" t="str">
        <f>CONCATENATE(VLOOKUP(AG18, 'Voxel Sizes'!$A$2:$B$18,2,FALSE),"x",INT(AC18*15), "x", INT(AD18*15))</f>
        <v>152x42x0</v>
      </c>
      <c r="AG18">
        <f>ROUND(15*((AB18*10)/256),0)</f>
        <v>9</v>
      </c>
      <c r="AI18" t="str">
        <f>CONCATENATE(VLOOKUP(AG18,Constants!$A$2:$C$16,IF(AH18&lt;&gt;"", 3, 2), FALSE),IF(AH18&lt;&gt;"",CONCATENATE(",",VLOOKUP(AH18,$B:$AI,34,FALSE)),""))</f>
        <v>2,5,2</v>
      </c>
      <c r="AS18">
        <v>30</v>
      </c>
      <c r="AT18">
        <f>IF(I18&lt;&gt;"",MAX(8,(I18-G18)-4),"")</f>
        <v>39</v>
      </c>
      <c r="AU18">
        <v>69</v>
      </c>
      <c r="AV18">
        <f>19*3</f>
        <v>57</v>
      </c>
      <c r="AW18">
        <f>MIN(Y18/150, 1)*30</f>
        <v>16</v>
      </c>
      <c r="AX18">
        <f>MIN(K18/4000, 1)*20</f>
        <v>0</v>
      </c>
      <c r="AY18">
        <f>MIN(W18/400,1)*20</f>
        <v>0</v>
      </c>
      <c r="AZ18" s="4">
        <v>1</v>
      </c>
      <c r="BA18">
        <f>((MAX($J18,1)*MIN($AE18/300,1)))*IF(D18="Wagon",50,10)</f>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BD18*IF($D18="wagon",62.5,781.25)</f>
        <v>4750</v>
      </c>
      <c r="BG18" s="15">
        <f>BE18*IF($D18="wagon",2.73,81.25)</f>
        <v>311.21999999999997</v>
      </c>
      <c r="BJ18">
        <f>Y18</f>
        <v>80</v>
      </c>
      <c r="BP18">
        <v>1</v>
      </c>
      <c r="BQ18">
        <v>185</v>
      </c>
      <c r="BR18" t="s">
        <v>930</v>
      </c>
      <c r="BS18" t="s">
        <v>323</v>
      </c>
      <c r="BT18" t="str">
        <f>VLOOKUP(G18,Eras!$A$2:$C$10, 2, TRUE)</f>
        <v>vct</v>
      </c>
      <c r="BU18" t="s">
        <v>375</v>
      </c>
      <c r="BV18" t="str">
        <f>CONCATENATE(BT18,"_",BU18)</f>
        <v>vct_Carriage</v>
      </c>
      <c r="BW18" t="str">
        <f>IF(AND(BI18&lt;&gt;Y18,BI18&lt;&gt;""),_xlfn.CONCAT("{BLACK}","Tare speed: ","{GOLD}{VELOCITY}{}"), "")</f>
        <v/>
      </c>
      <c r="BX18" t="str">
        <f>_xlfn.CONCAT(E18, "_",F18)</f>
        <v>carriage_RAIL</v>
      </c>
      <c r="BY18" t="str">
        <f>VLOOKUP($BX18, Constants!$M:$N, 2, FALSE)</f>
        <v/>
      </c>
      <c r="BZ18" t="str">
        <f>IF(J18&gt;1,_xlfn.CONCAT("{BLACK}Cars: {GOLD}", J18),"")</f>
        <v/>
      </c>
      <c r="CA18" t="s">
        <v>764</v>
      </c>
      <c r="CB18" t="str">
        <f>IF(BS18="BRAKE","{YELLOW}Speed bonus for slow wagons{}",IF(BQ18&gt;190,CONCATENATE("{YELLOW}",INT((BQ18-185)/1.85),"% Bonus for long distance travel{}"),IF(AND(BQ18&lt;180,BQ18&lt;&gt;0),CONCATENATE("{YELLOW}",INT((185-BQ18)/1.85),"% Penalty for long distance travel{}"),"")))</f>
        <v/>
      </c>
      <c r="CC18" t="str">
        <f>_xlfn.CONCAT(BW18,BY18,IF(BY18 &lt;&gt; "", " ", ""),BZ18,IF(OR(BZ18&lt;&gt;"", BY18&lt;&gt;""), "{}",""), CB18,"{SILVER}", CA18)</f>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IF(AND(T19&gt;0,W19&gt;0),(W19/((T19+U19)*10)),"")</f>
        <v/>
      </c>
      <c r="Y19">
        <v>85</v>
      </c>
      <c r="AA19">
        <v>17.7</v>
      </c>
      <c r="AB19">
        <v>17.7</v>
      </c>
      <c r="AC19">
        <v>2.83</v>
      </c>
      <c r="AD19">
        <v>3.79</v>
      </c>
      <c r="AE19" s="11">
        <v>48</v>
      </c>
      <c r="AF19" t="str">
        <f>CONCATENATE(VLOOKUP(AG19, 'Voxel Sizes'!$A$2:$B$18,2,FALSE),"x",INT(AC19*15), "x", INT(AD19*15))</f>
        <v>164x42x56</v>
      </c>
      <c r="AG19">
        <f>ROUND(15*((AB19*10)/256),0)</f>
        <v>10</v>
      </c>
      <c r="AI19" t="str">
        <f>CONCATENATE(VLOOKUP(AG19,Constants!$A$2:$C$16,IF(AH19&lt;&gt;"", 3, 2), FALSE),IF(AH19&lt;&gt;"",CONCATENATE(",",VLOOKUP(AH19,$B:$AI,34,FALSE)),""))</f>
        <v>4,2,4</v>
      </c>
      <c r="AS19">
        <v>30</v>
      </c>
      <c r="AT19">
        <f>IF(I19&lt;&gt;"",MAX(8,(I19-G19)-4),"")</f>
        <v>47</v>
      </c>
      <c r="AU19">
        <v>72</v>
      </c>
      <c r="AV19">
        <f>20*3</f>
        <v>60</v>
      </c>
      <c r="AW19">
        <f>MIN(Y19/150, 1)*30</f>
        <v>17</v>
      </c>
      <c r="AX19">
        <f>MIN(K19/4000, 1)*20</f>
        <v>0</v>
      </c>
      <c r="AY19">
        <f>MIN(W19/400,1)*20</f>
        <v>0</v>
      </c>
      <c r="AZ19" s="4">
        <v>1</v>
      </c>
      <c r="BA19">
        <f>((MAX($J19,1)*MIN($AE19/300,1)))*IF(D19="Wagon",50,10)</f>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BD19*IF($D19="wagon",62.5,781.25)</f>
        <v>5000</v>
      </c>
      <c r="BG19" s="15">
        <f>BE19*IF($D19="wagon",2.73,81.25)</f>
        <v>327.60000000000002</v>
      </c>
      <c r="BJ19">
        <f>Y19</f>
        <v>85</v>
      </c>
      <c r="BP19">
        <v>1</v>
      </c>
      <c r="BQ19">
        <v>185</v>
      </c>
      <c r="BR19" t="s">
        <v>930</v>
      </c>
      <c r="BS19" t="s">
        <v>323</v>
      </c>
      <c r="BT19" t="str">
        <f>VLOOKUP(G19,Eras!$A$2:$C$10, 2, TRUE)</f>
        <v>edw</v>
      </c>
      <c r="BU19" t="s">
        <v>375</v>
      </c>
      <c r="BV19" t="str">
        <f>CONCATENATE(BT19,"_",BU19)</f>
        <v>edw_Carriage</v>
      </c>
      <c r="BW19" t="str">
        <f>IF(AND(BI19&lt;&gt;Y19,BI19&lt;&gt;""),_xlfn.CONCAT("{BLACK}","Tare speed: ","{GOLD}{VELOCITY}{}"), "")</f>
        <v/>
      </c>
      <c r="BX19" t="str">
        <f>_xlfn.CONCAT(E19, "_",F19)</f>
        <v>carriage_RAIL</v>
      </c>
      <c r="BY19" t="str">
        <f>VLOOKUP($BX19, Constants!$M:$N, 2, FALSE)</f>
        <v/>
      </c>
      <c r="BZ19" t="str">
        <f>IF(J19&gt;1,_xlfn.CONCAT("{BLACK}Cars: {GOLD}", J19),"")</f>
        <v/>
      </c>
      <c r="CA19" t="s">
        <v>437</v>
      </c>
      <c r="CB19" t="str">
        <f>IF(BS19="BRAKE","{YELLOW}Speed bonus for slow wagons{}",IF(BQ19&gt;190,CONCATENATE("{YELLOW}",INT((BQ19-185)/1.85),"% Bonus for long distance travel{}"),IF(AND(BQ19&lt;180,BQ19&lt;&gt;0),CONCATENATE("{YELLOW}",INT((185-BQ19)/1.85),"% Penalty for long distance travel{}"),"")))</f>
        <v/>
      </c>
      <c r="CC19" t="str">
        <f>_xlfn.CONCAT(BW19,BY19,IF(BY19 &lt;&gt; "", " ", ""),BZ19,IF(OR(BZ19&lt;&gt;"", BY19&lt;&gt;""), "{}",""), CB19,"{SILVER}", CA19)</f>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IF(AND(T20&gt;0,W20&gt;0),(W20/((T20+U20)*10)),"")</f>
        <v/>
      </c>
      <c r="Y20">
        <v>95</v>
      </c>
      <c r="AA20">
        <v>20</v>
      </c>
      <c r="AB20">
        <v>20</v>
      </c>
      <c r="AE20" s="11">
        <v>48</v>
      </c>
      <c r="AF20" t="str">
        <f>CONCATENATE(VLOOKUP(AG20, 'Voxel Sizes'!$A$2:$B$18,2,FALSE),"x",INT(AC20*15), "x", INT(AD20*15))</f>
        <v>198x0x0</v>
      </c>
      <c r="AG20">
        <f>ROUND(15*((AB20*10)/256),0)</f>
        <v>12</v>
      </c>
      <c r="AI20" t="str">
        <f>CONCATENATE(VLOOKUP(AG20,Constants!$A$2:$C$16,IF(AH20&lt;&gt;"", 3, 2), FALSE),IF(AH20&lt;&gt;"",CONCATENATE(",",VLOOKUP(AH20,$B:$AI,34,FALSE)),""))</f>
        <v>4,4,4</v>
      </c>
      <c r="AS20">
        <v>30</v>
      </c>
      <c r="AT20">
        <f>IF(I20&lt;&gt;"",MAX(8,(I20-G20)-4),"")</f>
        <v>38</v>
      </c>
      <c r="AU20">
        <v>93</v>
      </c>
      <c r="AV20">
        <f>26*3</f>
        <v>78</v>
      </c>
      <c r="AW20">
        <f>MIN(Y20/150, 1)*30</f>
        <v>19</v>
      </c>
      <c r="AX20">
        <f>MIN(K20/4000, 1)*20</f>
        <v>0</v>
      </c>
      <c r="AY20">
        <f>MIN(W20/400,1)*20</f>
        <v>0</v>
      </c>
      <c r="AZ20" s="4">
        <v>1</v>
      </c>
      <c r="BA20">
        <f>((MAX($J20,1)*MIN($AE20/300,1)))*IF(D20="Wagon",50,10)</f>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BD20*IF($D20="wagon",62.5,781.25)</f>
        <v>6500</v>
      </c>
      <c r="BG20" s="15">
        <f>BE20*IF($D20="wagon",2.73,81.25)</f>
        <v>425.88</v>
      </c>
      <c r="BJ20">
        <f>Y20</f>
        <v>95</v>
      </c>
      <c r="BP20">
        <v>1</v>
      </c>
      <c r="BQ20">
        <v>260</v>
      </c>
      <c r="BR20" t="s">
        <v>930</v>
      </c>
      <c r="BS20" t="s">
        <v>323</v>
      </c>
      <c r="BT20" t="str">
        <f>VLOOKUP(G20,Eras!$A$2:$C$10, 2, TRUE)</f>
        <v>big4</v>
      </c>
      <c r="BU20" t="s">
        <v>375</v>
      </c>
      <c r="BV20" t="str">
        <f>CONCATENATE(BT20,"_",BU20)</f>
        <v>big4_Carriage</v>
      </c>
      <c r="BW20" t="str">
        <f>IF(AND(BI20&lt;&gt;Y20,BI20&lt;&gt;""),_xlfn.CONCAT("{BLACK}","Tare speed: ","{GOLD}{VELOCITY}{}"), "")</f>
        <v/>
      </c>
      <c r="BX20" t="str">
        <f>_xlfn.CONCAT(E20, "_",F20)</f>
        <v>luxury_carriage_RAIL</v>
      </c>
      <c r="BY20" t="str">
        <f>VLOOKUP($BX20, Constants!$M:$N, 2, FALSE)</f>
        <v/>
      </c>
      <c r="BZ20" t="str">
        <f>IF(J20&gt;1,_xlfn.CONCAT("{BLACK}Cars: {GOLD}", J20),"")</f>
        <v/>
      </c>
      <c r="CA20" t="s">
        <v>488</v>
      </c>
      <c r="CB20" t="str">
        <f>IF(BS20="BRAKE","{YELLOW}Speed bonus for slow wagons{}",IF(BQ20&gt;190,CONCATENATE("{YELLOW}",INT((BQ20-185)/1.85),"% Bonus for long distance travel{}"),IF(AND(BQ20&lt;180,BQ20&lt;&gt;0),CONCATENATE("{YELLOW}",INT((185-BQ20)/1.85),"% Penalty for long distance travel{}"),"")))</f>
        <v>{YELLOW}40% Bonus for long distance travel{}</v>
      </c>
      <c r="CC20" t="str">
        <f>_xlfn.CONCAT(BW20,BY20,IF(BY20 &lt;&gt; "", " ", ""),BZ20,IF(OR(BZ20&lt;&gt;"", BY20&lt;&gt;""), "{}",""), CB20,"{SILVER}", CA20)</f>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IF(AND(T21&gt;0,W21&gt;0),(W21/((T21+U21)*10)),"")</f>
        <v/>
      </c>
      <c r="Y21">
        <v>130</v>
      </c>
      <c r="AA21">
        <v>17.7</v>
      </c>
      <c r="AB21">
        <v>17.7</v>
      </c>
      <c r="AC21">
        <v>2.83</v>
      </c>
      <c r="AD21">
        <v>3.79</v>
      </c>
      <c r="AE21" s="11">
        <v>45</v>
      </c>
      <c r="AF21" t="str">
        <f>CONCATENATE(VLOOKUP(AG21, 'Voxel Sizes'!$A$2:$B$18,2,FALSE),"x",INT(AC21*15), "x", INT(AD21*15))</f>
        <v>164x42x56</v>
      </c>
      <c r="AG21">
        <f>ROUND(15*((AB21*10)/256),0)</f>
        <v>10</v>
      </c>
      <c r="AI21" t="str">
        <f>CONCATENATE(VLOOKUP(AG21,Constants!$A$2:$C$16,IF(AH21&lt;&gt;"", 3, 2), FALSE),IF(AH21&lt;&gt;"",CONCATENATE(",",VLOOKUP(AH21,$B:$AI,34,FALSE)),""))</f>
        <v>4,2,4</v>
      </c>
      <c r="AR21" t="s">
        <v>1227</v>
      </c>
      <c r="AS21">
        <v>30</v>
      </c>
      <c r="AT21">
        <f>IF(I21&lt;&gt;"",MAX(8,(I21-G21)-4),"")</f>
        <v>30</v>
      </c>
      <c r="AU21">
        <v>102</v>
      </c>
      <c r="AV21">
        <f>31*3</f>
        <v>93</v>
      </c>
      <c r="AW21">
        <f>MIN(Y21/150, 1)*30</f>
        <v>26</v>
      </c>
      <c r="AX21">
        <f>MIN(K21/4000, 1)*20</f>
        <v>0</v>
      </c>
      <c r="AY21">
        <f>MIN(W21/400,1)*20</f>
        <v>0</v>
      </c>
      <c r="AZ21" s="4">
        <v>1</v>
      </c>
      <c r="BA21">
        <f>((MAX($J21,1)*MIN($AE21/300,1)))*IF(D21="Wagon",50,10)</f>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BD21*IF($D21="wagon",62.5,781.25)</f>
        <v>7750</v>
      </c>
      <c r="BG21" s="15">
        <f>BE21*IF($D21="wagon",2.73,81.25)</f>
        <v>475.02</v>
      </c>
      <c r="BJ21">
        <f>Y21</f>
        <v>130</v>
      </c>
      <c r="BP21">
        <v>1</v>
      </c>
      <c r="BQ21">
        <v>222</v>
      </c>
      <c r="BR21" t="s">
        <v>930</v>
      </c>
      <c r="BS21" t="s">
        <v>323</v>
      </c>
      <c r="BT21" t="str">
        <f>VLOOKUP(G21,Eras!$A$2:$C$10, 2, TRUE)</f>
        <v>big4</v>
      </c>
      <c r="BU21" t="s">
        <v>375</v>
      </c>
      <c r="BV21" t="str">
        <f>CONCATENATE(BT21,"_",BU21)</f>
        <v>big4_Carriage</v>
      </c>
      <c r="BW21" t="str">
        <f>IF(AND(BI21&lt;&gt;Y21,BI21&lt;&gt;""),_xlfn.CONCAT("{BLACK}","Tare speed: ","{GOLD}{VELOCITY}{}"), "")</f>
        <v/>
      </c>
      <c r="BX21" t="str">
        <f>_xlfn.CONCAT(E21, "_",F21)</f>
        <v>luxury_carriage_RAIL</v>
      </c>
      <c r="BY21" t="str">
        <f>VLOOKUP($BX21, Constants!$M:$N, 2, FALSE)</f>
        <v/>
      </c>
      <c r="BZ21" t="str">
        <f>IF(J21&gt;1,_xlfn.CONCAT("{BLACK}Cars: {GOLD}", J21),"")</f>
        <v/>
      </c>
      <c r="CA21" t="s">
        <v>1180</v>
      </c>
      <c r="CB21" t="str">
        <f>IF(BS21="BRAKE","{YELLOW}Speed bonus for slow wagons{}",IF(BQ21&gt;190,CONCATENATE("{YELLOW}",INT((BQ21-185)/1.85),"% Bonus for long distance travel{}"),IF(AND(BQ21&lt;180,BQ21&lt;&gt;0),CONCATENATE("{YELLOW}",INT((185-BQ21)/1.85),"% Penalty for long distance travel{}"),"")))</f>
        <v>{YELLOW}20% Bonus for long distance travel{}</v>
      </c>
      <c r="CC21" t="str">
        <f>_xlfn.CONCAT(BW21,BY21,IF(BY21 &lt;&gt; "", " ", ""),BZ21,IF(OR(BZ21&lt;&gt;"", BY21&lt;&gt;""), "{}",""), CB21,"{SILVER}", CA21)</f>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IF(AND(T22&gt;0,W22&gt;0),(W22/((T22+U22)*10)),"")</f>
        <v/>
      </c>
      <c r="Y22">
        <v>100</v>
      </c>
      <c r="AA22">
        <v>19.3</v>
      </c>
      <c r="AB22">
        <v>20</v>
      </c>
      <c r="AE22" s="11">
        <v>54</v>
      </c>
      <c r="AF22" t="str">
        <f>CONCATENATE(VLOOKUP(AG22, 'Voxel Sizes'!$A$2:$B$18,2,FALSE),"x",INT(AC22*15), "x", INT(AD22*15))</f>
        <v>198x0x0</v>
      </c>
      <c r="AG22">
        <f>ROUND(15*((AB22*10)/256),0)</f>
        <v>12</v>
      </c>
      <c r="AI22" t="str">
        <f>CONCATENATE(VLOOKUP(AG22,Constants!$A$2:$C$16,IF(AH22&lt;&gt;"", 3, 2), FALSE),IF(AH22&lt;&gt;"",CONCATENATE(",",VLOOKUP(AH22,$B:$AI,34,FALSE)),""))</f>
        <v>4,4,4</v>
      </c>
      <c r="AS22">
        <v>30</v>
      </c>
      <c r="AT22">
        <f>IF(I22&lt;&gt;"",MAX(8,(I22-G22)-4),"")</f>
        <v>19</v>
      </c>
      <c r="AU22">
        <v>76</v>
      </c>
      <c r="AV22">
        <f>23*3</f>
        <v>69</v>
      </c>
      <c r="AW22">
        <f>MIN(Y22/150, 1)*30</f>
        <v>20</v>
      </c>
      <c r="AX22">
        <f>MIN(K22/4000, 1)*20</f>
        <v>0</v>
      </c>
      <c r="AY22">
        <f>MIN(W22/400,1)*20</f>
        <v>0</v>
      </c>
      <c r="AZ22" s="4">
        <v>1</v>
      </c>
      <c r="BA22">
        <f>((MAX($J22,1)*MIN($AE22/300,1)))*IF(D22="Wagon",50,10)</f>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BD22*IF($D22="wagon",62.5,781.25)</f>
        <v>5750</v>
      </c>
      <c r="BG22" s="15">
        <f>BE22*IF($D22="wagon",2.73,81.25)</f>
        <v>349.44</v>
      </c>
      <c r="BJ22">
        <f>Y22</f>
        <v>100</v>
      </c>
      <c r="BP22">
        <v>1</v>
      </c>
      <c r="BQ22">
        <v>185</v>
      </c>
      <c r="BR22" t="s">
        <v>930</v>
      </c>
      <c r="BS22" t="s">
        <v>323</v>
      </c>
      <c r="BT22" t="str">
        <f>VLOOKUP(G22,Eras!$A$2:$C$10, 2, TRUE)</f>
        <v>ebr</v>
      </c>
      <c r="BU22" t="s">
        <v>375</v>
      </c>
      <c r="BV22" t="str">
        <f>CONCATENATE(BT22,"_",BU22)</f>
        <v>ebr_Carriage</v>
      </c>
      <c r="BW22" t="str">
        <f>IF(AND(BI22&lt;&gt;Y22,BI22&lt;&gt;""),_xlfn.CONCAT("{BLACK}","Tare speed: ","{GOLD}{VELOCITY}{}"), "")</f>
        <v/>
      </c>
      <c r="BX22" t="str">
        <f>_xlfn.CONCAT(E22, "_",F22)</f>
        <v>carriage_RAIL</v>
      </c>
      <c r="BY22" t="str">
        <f>VLOOKUP($BX22, Constants!$M:$N, 2, FALSE)</f>
        <v/>
      </c>
      <c r="BZ22" t="str">
        <f>IF(J22&gt;1,_xlfn.CONCAT("{BLACK}Cars: {GOLD}", J22),"")</f>
        <v/>
      </c>
      <c r="CA22" t="s">
        <v>670</v>
      </c>
      <c r="CB22" t="str">
        <f>IF(BS22="BRAKE","{YELLOW}Speed bonus for slow wagons{}",IF(BQ22&gt;190,CONCATENATE("{YELLOW}",INT((BQ22-185)/1.85),"% Bonus for long distance travel{}"),IF(AND(BQ22&lt;180,BQ22&lt;&gt;0),CONCATENATE("{YELLOW}",INT((185-BQ22)/1.85),"% Penalty for long distance travel{}"),"")))</f>
        <v/>
      </c>
      <c r="CC22" t="str">
        <f>_xlfn.CONCAT(BW22,BY22,IF(BY22 &lt;&gt; "", " ", ""),BZ22,IF(OR(BZ22&lt;&gt;"", BY22&lt;&gt;""), "{}",""), CB22,"{SILVER}", CA22)</f>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IF(AND(T23&gt;0,W23&gt;0),(W23/((T23+U23)*10)),"")</f>
        <v/>
      </c>
      <c r="Y23">
        <v>110</v>
      </c>
      <c r="AA23">
        <v>19.66</v>
      </c>
      <c r="AB23">
        <v>19.66</v>
      </c>
      <c r="AC23">
        <v>2.83</v>
      </c>
      <c r="AD23">
        <v>3.79</v>
      </c>
      <c r="AE23" s="11">
        <v>57</v>
      </c>
      <c r="AF23" t="str">
        <f>CONCATENATE(VLOOKUP(AG23, 'Voxel Sizes'!$A$2:$B$18,2,FALSE),"x",INT(AC23*15), "x", INT(AD23*15))</f>
        <v>198x42x56</v>
      </c>
      <c r="AG23">
        <f>ROUND(15*((AB23*10)/256),0)</f>
        <v>12</v>
      </c>
      <c r="AI23" t="str">
        <f>CONCATENATE(VLOOKUP(AG23,Constants!$A$2:$C$16,IF(AH23&lt;&gt;"", 3, 2), FALSE),IF(AH23&lt;&gt;"",CONCATENATE(",",VLOOKUP(AH23,$B:$AI,34,FALSE)),""))</f>
        <v>4,4,4</v>
      </c>
      <c r="AS23">
        <v>30</v>
      </c>
      <c r="AT23">
        <f>IF(I23&lt;&gt;"",MAX(8,(I23-G23)-4),"")</f>
        <v>50</v>
      </c>
      <c r="AU23">
        <v>79</v>
      </c>
      <c r="AV23">
        <f>25*3</f>
        <v>75</v>
      </c>
      <c r="AW23">
        <f>MIN(Y23/150, 1)*30</f>
        <v>22</v>
      </c>
      <c r="AX23">
        <f>MIN(K23/4000, 1)*20</f>
        <v>0</v>
      </c>
      <c r="AY23">
        <f>MIN(W23/400,1)*20</f>
        <v>0</v>
      </c>
      <c r="AZ23" s="4">
        <v>1</v>
      </c>
      <c r="BA23">
        <f>((MAX($J23,1)*MIN($AE23/300,1)))*IF(D23="Wagon",50,10)</f>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BD23*IF($D23="wagon",62.5,781.25)</f>
        <v>6250</v>
      </c>
      <c r="BG23" s="15">
        <f>BE23*IF($D23="wagon",2.73,81.25)</f>
        <v>365.82</v>
      </c>
      <c r="BJ23">
        <f>Y23</f>
        <v>110</v>
      </c>
      <c r="BP23">
        <v>1</v>
      </c>
      <c r="BQ23">
        <v>185</v>
      </c>
      <c r="BR23" t="s">
        <v>930</v>
      </c>
      <c r="BS23" t="s">
        <v>323</v>
      </c>
      <c r="BT23" t="str">
        <f>VLOOKUP(G23,Eras!$A$2:$C$10, 2, TRUE)</f>
        <v>dsl</v>
      </c>
      <c r="BU23" t="s">
        <v>375</v>
      </c>
      <c r="BV23" t="str">
        <f>CONCATENATE(BT23,"_",BU23)</f>
        <v>dsl_Carriage</v>
      </c>
      <c r="BW23" t="str">
        <f>IF(AND(BI23&lt;&gt;Y23,BI23&lt;&gt;""),_xlfn.CONCAT("{BLACK}","Tare speed: ","{GOLD}{VELOCITY}{}"), "")</f>
        <v/>
      </c>
      <c r="BX23" t="str">
        <f>_xlfn.CONCAT(E23, "_",F23)</f>
        <v>carriage_RAIL</v>
      </c>
      <c r="BY23" t="str">
        <f>VLOOKUP($BX23, Constants!$M:$N, 2, FALSE)</f>
        <v/>
      </c>
      <c r="BZ23" t="str">
        <f>IF(J23&gt;1,_xlfn.CONCAT("{BLACK}Cars: {GOLD}", J23),"")</f>
        <v/>
      </c>
      <c r="CA23" t="s">
        <v>401</v>
      </c>
      <c r="CB23" t="str">
        <f>IF(BS23="BRAKE","{YELLOW}Speed bonus for slow wagons{}",IF(BQ23&gt;190,CONCATENATE("{YELLOW}",INT((BQ23-185)/1.85),"% Bonus for long distance travel{}"),IF(AND(BQ23&lt;180,BQ23&lt;&gt;0),CONCATENATE("{YELLOW}",INT((185-BQ23)/1.85),"% Penalty for long distance travel{}"),"")))</f>
        <v/>
      </c>
      <c r="CC23" t="str">
        <f>_xlfn.CONCAT(BW23,BY23,IF(BY23 &lt;&gt; "", " ", ""),BZ23,IF(OR(BZ23&lt;&gt;"", BY23&lt;&gt;""), "{}",""), CB23,"{SILVER}", CA23)</f>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IF(AND(T24&gt;0,W24&gt;0),(W24/((T24+U24)*10)),"")</f>
        <v/>
      </c>
      <c r="Y24">
        <v>125</v>
      </c>
      <c r="AA24">
        <v>23</v>
      </c>
      <c r="AB24">
        <v>23</v>
      </c>
      <c r="AC24">
        <v>2.82</v>
      </c>
      <c r="AD24">
        <v>3.79</v>
      </c>
      <c r="AE24" s="11">
        <v>72</v>
      </c>
      <c r="AF24" t="str">
        <f>CONCATENATE(VLOOKUP(AG24, 'Voxel Sizes'!$A$2:$B$18,2,FALSE),"x",INT(AC24*15), "x", INT(AD24*15))</f>
        <v>214x42x56</v>
      </c>
      <c r="AG24">
        <f>ROUND(15*((AB24*10)/256),0)</f>
        <v>13</v>
      </c>
      <c r="AI24" t="str">
        <f>CONCATENATE(VLOOKUP(AG24,Constants!$A$2:$C$16,IF(AH24&lt;&gt;"", 3, 2), FALSE),IF(AH24&lt;&gt;"",CONCATENATE(",",VLOOKUP(AH24,$B:$AI,34,FALSE)),""))</f>
        <v>4,5,4</v>
      </c>
      <c r="AS24">
        <v>30</v>
      </c>
      <c r="AT24" t="str">
        <f>IF(I24&lt;&gt;"",MAX(8,(I24-G24)-4),"")</f>
        <v/>
      </c>
      <c r="AU24">
        <v>86</v>
      </c>
      <c r="AV24">
        <f>29*3</f>
        <v>87</v>
      </c>
      <c r="AW24">
        <f>MIN(Y24/150, 1)*30</f>
        <v>25</v>
      </c>
      <c r="AX24">
        <f>MIN(K24/4000, 1)*20</f>
        <v>0</v>
      </c>
      <c r="AY24">
        <f>MIN(W24/400,1)*20</f>
        <v>0</v>
      </c>
      <c r="AZ24" s="4">
        <v>1</v>
      </c>
      <c r="BA24">
        <f>((MAX($J24,1)*MIN($AE24/300,1)))*IF(D24="Wagon",50,10)</f>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BD24*IF($D24="wagon",62.5,781.25)</f>
        <v>7250</v>
      </c>
      <c r="BG24" s="15">
        <f>BE24*IF($D24="wagon",2.73,81.25)</f>
        <v>404.04</v>
      </c>
      <c r="BJ24">
        <f>Y24</f>
        <v>125</v>
      </c>
      <c r="BP24">
        <v>2</v>
      </c>
      <c r="BQ24">
        <v>205</v>
      </c>
      <c r="BR24" t="s">
        <v>930</v>
      </c>
      <c r="BS24" t="s">
        <v>323</v>
      </c>
      <c r="BT24" t="str">
        <f>VLOOKUP(G24,Eras!$A$2:$C$10, 2, TRUE)</f>
        <v>lbr</v>
      </c>
      <c r="BU24" t="s">
        <v>375</v>
      </c>
      <c r="BV24" t="str">
        <f>CONCATENATE(BT24,"_",BU24)</f>
        <v>lbr_Carriage</v>
      </c>
      <c r="BW24" t="str">
        <f>IF(AND(BI24&lt;&gt;Y24,BI24&lt;&gt;""),_xlfn.CONCAT("{BLACK}","Tare speed: ","{GOLD}{VELOCITY}{}"), "")</f>
        <v/>
      </c>
      <c r="BX24" t="str">
        <f>_xlfn.CONCAT(E24, "_",F24)</f>
        <v>carriage_RAIL</v>
      </c>
      <c r="BY24" t="str">
        <f>VLOOKUP($BX24, Constants!$M:$N, 2, FALSE)</f>
        <v/>
      </c>
      <c r="BZ24" t="str">
        <f>IF(J24&gt;1,_xlfn.CONCAT("{BLACK}Cars: {GOLD}", J24),"")</f>
        <v/>
      </c>
      <c r="CA24" t="s">
        <v>402</v>
      </c>
      <c r="CB24" t="str">
        <f>IF(BS24="BRAKE","{YELLOW}Speed bonus for slow wagons{}",IF(BQ24&gt;190,CONCATENATE("{YELLOW}",INT((BQ24-185)/1.85),"% Bonus for long distance travel{}"),IF(AND(BQ24&lt;180,BQ24&lt;&gt;0),CONCATENATE("{YELLOW}",INT((185-BQ24)/1.85),"% Penalty for long distance travel{}"),"")))</f>
        <v>{YELLOW}10% Bonus for long distance travel{}</v>
      </c>
      <c r="CC24" t="str">
        <f>_xlfn.CONCAT(BW24,BY24,IF(BY24 &lt;&gt; "", " ", ""),BZ24,IF(OR(BZ24&lt;&gt;"", BY24&lt;&gt;""), "{}",""), CB24,"{SILVER}", CA24)</f>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IF(AND(T25&gt;0,W25&gt;0),(W25/((T25+U25)*10)),"")</f>
        <v/>
      </c>
      <c r="Y25">
        <v>140</v>
      </c>
      <c r="AA25">
        <v>23</v>
      </c>
      <c r="AB25">
        <v>23</v>
      </c>
      <c r="AC25">
        <v>2.82</v>
      </c>
      <c r="AD25">
        <v>3.79</v>
      </c>
      <c r="AE25" s="11">
        <v>72</v>
      </c>
      <c r="AF25" t="str">
        <f>CONCATENATE(VLOOKUP(AG25, 'Voxel Sizes'!$A$2:$B$18,2,FALSE),"x",INT(AC25*15), "x", INT(AD25*15))</f>
        <v>214x42x56</v>
      </c>
      <c r="AG25">
        <f>ROUND(15*((AB25*10)/256),0)</f>
        <v>13</v>
      </c>
      <c r="AI25" t="str">
        <f>CONCATENATE(VLOOKUP(AG25,Constants!$A$2:$C$16,IF(AH25&lt;&gt;"", 3, 2), FALSE),IF(AH25&lt;&gt;"",CONCATENATE(",",VLOOKUP(AH25,$B:$AI,34,FALSE)),""))</f>
        <v>4,5,4</v>
      </c>
      <c r="AS25">
        <v>30</v>
      </c>
      <c r="AT25" t="str">
        <f>IF(I25&lt;&gt;"",MAX(8,(I25-G25)-4),"")</f>
        <v/>
      </c>
      <c r="AU25">
        <v>90</v>
      </c>
      <c r="AV25">
        <f>31*3</f>
        <v>93</v>
      </c>
      <c r="AW25">
        <f>MIN(Y25/150, 1)*30</f>
        <v>28</v>
      </c>
      <c r="AX25">
        <f>MIN(K25/4000, 1)*20</f>
        <v>0</v>
      </c>
      <c r="AY25">
        <f>MIN(W25/400,1)*20</f>
        <v>0</v>
      </c>
      <c r="AZ25" s="4">
        <v>1</v>
      </c>
      <c r="BA25">
        <f>((MAX($J25,1)*MIN($AE25/300,1)))*IF(D25="Wagon",50,10)</f>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BD25*IF($D25="wagon",62.5,781.25)</f>
        <v>7750</v>
      </c>
      <c r="BG25" s="15">
        <f>BE25*IF($D25="wagon",2.73,81.25)</f>
        <v>425.88</v>
      </c>
      <c r="BJ25">
        <f>Y25</f>
        <v>140</v>
      </c>
      <c r="BP25">
        <v>7</v>
      </c>
      <c r="BQ25">
        <v>222</v>
      </c>
      <c r="BR25" t="s">
        <v>930</v>
      </c>
      <c r="BS25" t="s">
        <v>323</v>
      </c>
      <c r="BT25" t="str">
        <f>VLOOKUP(G25,Eras!$A$2:$C$10, 2, TRUE)</f>
        <v>lbr</v>
      </c>
      <c r="BU25" t="s">
        <v>375</v>
      </c>
      <c r="BV25" t="str">
        <f>CONCATENATE(BT25,"_",BU25)</f>
        <v>lbr_Carriage</v>
      </c>
      <c r="BW25" t="str">
        <f>IF(AND(BI25&lt;&gt;Y25,BI25&lt;&gt;""),_xlfn.CONCAT("{BLACK}","Tare speed: ","{GOLD}{VELOCITY}{}"), "")</f>
        <v/>
      </c>
      <c r="BX25" t="str">
        <f>_xlfn.CONCAT(E25, "_",F25)</f>
        <v>carriage_RAIL</v>
      </c>
      <c r="BY25" t="str">
        <f>VLOOKUP($BX25, Constants!$M:$N, 2, FALSE)</f>
        <v/>
      </c>
      <c r="BZ25" t="str">
        <f>IF(J25&gt;1,_xlfn.CONCAT("{BLACK}Cars: {GOLD}", J25),"")</f>
        <v/>
      </c>
      <c r="CA25" t="s">
        <v>617</v>
      </c>
      <c r="CB25" t="str">
        <f>IF(BS25="BRAKE","{YELLOW}Speed bonus for slow wagons{}",IF(BQ25&gt;190,CONCATENATE("{YELLOW}",INT((BQ25-185)/1.85),"% Bonus for long distance travel{}"),IF(AND(BQ25&lt;180,BQ25&lt;&gt;0),CONCATENATE("{YELLOW}",INT((185-BQ25)/1.85),"% Penalty for long distance travel{}"),"")))</f>
        <v>{YELLOW}20% Bonus for long distance travel{}</v>
      </c>
      <c r="CC25" t="str">
        <f>_xlfn.CONCAT(BW25,BY25,IF(BY25 &lt;&gt; "", " ", ""),BZ25,IF(OR(BZ25&lt;&gt;"", BY25&lt;&gt;""), "{}",""), CB25,"{SILVER}", CA25)</f>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IF(AND(T26&gt;0,W26&gt;0),(W26/((T26+U26)*10)),"")</f>
        <v/>
      </c>
      <c r="Y26">
        <v>35</v>
      </c>
      <c r="AA26">
        <v>4.9000000000000004</v>
      </c>
      <c r="AB26">
        <v>6</v>
      </c>
      <c r="AE26" s="11">
        <v>15</v>
      </c>
      <c r="AF26" t="str">
        <f>CONCATENATE(VLOOKUP(AG26, 'Voxel Sizes'!$A$2:$B$18,2,FALSE),"x",INT(AC26*15), "x", INT(AD26*15))</f>
        <v>60x0x0</v>
      </c>
      <c r="AG26">
        <f>ROUND(15*((AB26*10)/256),0)</f>
        <v>4</v>
      </c>
      <c r="AI26" t="str">
        <f>CONCATENATE(VLOOKUP(AG26,Constants!$A$2:$C$16,IF(AH26&lt;&gt;"", 3, 2), FALSE),IF(AH26&lt;&gt;"",CONCATENATE(",",VLOOKUP(AH26,$B:$AI,34,FALSE)),""))</f>
        <v>1,2,1</v>
      </c>
      <c r="AS26">
        <v>30</v>
      </c>
      <c r="AT26">
        <f>IF(I26&lt;&gt;"",MAX(8,(I26-G26)-4),"")</f>
        <v>66</v>
      </c>
      <c r="AW26">
        <f>MIN(Y26/150, 1)*30</f>
        <v>7</v>
      </c>
      <c r="AX26">
        <f>MIN(K26/4000, 1)*20</f>
        <v>0</v>
      </c>
      <c r="AY26">
        <f>MIN(W26/400,1)*20</f>
        <v>0</v>
      </c>
      <c r="AZ26" s="4">
        <v>1</v>
      </c>
      <c r="BA26">
        <f>((MAX($J26,1)*MIN($AE26/300,1)))*IF(D26="Wagon",50,10)</f>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BD26*IF($D26="wagon",62.5,781.25)</f>
        <v>437.5</v>
      </c>
      <c r="BG26" s="15">
        <f>BE26*IF($D26="wagon",2.73,81.25)</f>
        <v>65.52</v>
      </c>
      <c r="BJ26">
        <f>INT(Y26*1.25)</f>
        <v>43</v>
      </c>
      <c r="BP26">
        <v>1</v>
      </c>
      <c r="BQ26">
        <v>185</v>
      </c>
      <c r="BR26" t="s">
        <v>1097</v>
      </c>
      <c r="BS26" t="s">
        <v>769</v>
      </c>
      <c r="BT26" t="str">
        <f>VLOOKUP(G26,Eras!$A$2:$C$10, 2, TRUE)</f>
        <v>vct</v>
      </c>
      <c r="BU26" t="s">
        <v>380</v>
      </c>
      <c r="BV26" t="str">
        <f>CONCATENATE(BT26,"_",BU26)</f>
        <v>vct_Open Wagon</v>
      </c>
      <c r="BW26" t="str">
        <f>IF(AND(BI26&lt;&gt;Y26,BI26&lt;&gt;""),_xlfn.CONCAT("{BLACK}","Tare speed: ","{GOLD}{VELOCITY}{}"), "")</f>
        <v/>
      </c>
      <c r="BX26" t="str">
        <f>_xlfn.CONCAT(E26, "_",F26)</f>
        <v>wagon_RAIL</v>
      </c>
      <c r="BY26" t="str">
        <f>VLOOKUP($BX26, Constants!$M:$N, 2, FALSE)</f>
        <v/>
      </c>
      <c r="BZ26" t="str">
        <f>IF(J26&gt;1,_xlfn.CONCAT("{BLACK}Cars: {GOLD}", J26),"")</f>
        <v/>
      </c>
      <c r="CA26" t="s">
        <v>404</v>
      </c>
      <c r="CB26" t="str">
        <f>IF(BS26="BRAKE","{YELLOW}Speed bonus for slow wagons{}",IF(BQ26&gt;190,CONCATENATE("{YELLOW}",INT((BQ26-185)/1.85),"% Bonus for long distance travel{}"),IF(AND(BQ26&lt;180,BQ26&lt;&gt;0),CONCATENATE("{YELLOW}",INT((185-BQ26)/1.85),"% Penalty for long distance travel{}"),"")))</f>
        <v/>
      </c>
      <c r="CC26" t="str">
        <f>_xlfn.CONCAT(BW26,BY26,IF(BY26 &lt;&gt; "", " ", ""),BZ26,IF(OR(BZ26&lt;&gt;"", BY26&lt;&gt;""), "{}",""), CB26,"{SILVER}", CA26)</f>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IF(AND(T27&gt;0,W27&gt;0),(W27/((T27+U27)*10)),"")</f>
        <v/>
      </c>
      <c r="Y27">
        <v>45</v>
      </c>
      <c r="AA27">
        <v>4.9000000000000004</v>
      </c>
      <c r="AB27">
        <v>6</v>
      </c>
      <c r="AE27" s="11">
        <v>21</v>
      </c>
      <c r="AF27" t="str">
        <f>CONCATENATE(VLOOKUP(AG27, 'Voxel Sizes'!$A$2:$B$18,2,FALSE),"x",INT(AC27*15), "x", INT(AD27*15))</f>
        <v>60x0x0</v>
      </c>
      <c r="AG27">
        <f>ROUND(15*((AB27*10)/256),0)</f>
        <v>4</v>
      </c>
      <c r="AI27" t="str">
        <f>CONCATENATE(VLOOKUP(AG27,Constants!$A$2:$C$16,IF(AH27&lt;&gt;"", 3, 2), FALSE),IF(AH27&lt;&gt;"",CONCATENATE(",",VLOOKUP(AH27,$B:$AI,34,FALSE)),""))</f>
        <v>1,2,1</v>
      </c>
      <c r="AS27">
        <v>30</v>
      </c>
      <c r="AT27">
        <f>IF(I27&lt;&gt;"",MAX(8,(I27-G27)-4),"")</f>
        <v>59</v>
      </c>
      <c r="AW27">
        <f>MIN(Y27/150, 1)*30</f>
        <v>9</v>
      </c>
      <c r="AX27">
        <f>MIN(K27/4000, 1)*20</f>
        <v>0</v>
      </c>
      <c r="AY27">
        <f>MIN(W27/400,1)*20</f>
        <v>0</v>
      </c>
      <c r="AZ27" s="4">
        <v>1</v>
      </c>
      <c r="BA27">
        <f>((MAX($J27,1)*MIN($AE27/300,1)))*IF(D27="Wagon",50,10)</f>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BD27*IF($D27="wagon",62.5,781.25)</f>
        <v>500</v>
      </c>
      <c r="BG27" s="15">
        <f>BE27*IF($D27="wagon",2.73,81.25)</f>
        <v>73.709999999999994</v>
      </c>
      <c r="BJ27">
        <f>INT(Y27*1.25)</f>
        <v>56</v>
      </c>
      <c r="BP27">
        <v>1</v>
      </c>
      <c r="BQ27">
        <v>185</v>
      </c>
      <c r="BR27" t="s">
        <v>1097</v>
      </c>
      <c r="BS27" t="s">
        <v>769</v>
      </c>
      <c r="BT27" t="str">
        <f>VLOOKUP(G27,Eras!$A$2:$C$10, 2, TRUE)</f>
        <v>edw</v>
      </c>
      <c r="BU27" t="s">
        <v>380</v>
      </c>
      <c r="BV27" t="str">
        <f>CONCATENATE(BT27,"_",BU27)</f>
        <v>edw_Open Wagon</v>
      </c>
      <c r="BW27" t="str">
        <f>IF(AND(BI27&lt;&gt;Y27,BI27&lt;&gt;""),_xlfn.CONCAT("{BLACK}","Tare speed: ","{GOLD}{VELOCITY}{}"), "")</f>
        <v/>
      </c>
      <c r="BX27" t="str">
        <f>_xlfn.CONCAT(E27, "_",F27)</f>
        <v>wagon_RAIL</v>
      </c>
      <c r="BY27" t="str">
        <f>VLOOKUP($BX27, Constants!$M:$N, 2, FALSE)</f>
        <v/>
      </c>
      <c r="BZ27" t="str">
        <f>IF(J27&gt;1,_xlfn.CONCAT("{BLACK}Cars: {GOLD}", J27),"")</f>
        <v/>
      </c>
      <c r="CA27" t="s">
        <v>405</v>
      </c>
      <c r="CB27" t="str">
        <f>IF(BS27="BRAKE","{YELLOW}Speed bonus for slow wagons{}",IF(BQ27&gt;190,CONCATENATE("{YELLOW}",INT((BQ27-185)/1.85),"% Bonus for long distance travel{}"),IF(AND(BQ27&lt;180,BQ27&lt;&gt;0),CONCATENATE("{YELLOW}",INT((185-BQ27)/1.85),"% Penalty for long distance travel{}"),"")))</f>
        <v/>
      </c>
      <c r="CC27" t="str">
        <f>_xlfn.CONCAT(BW27,BY27,IF(BY27 &lt;&gt; "", " ", ""),BZ27,IF(OR(BZ27&lt;&gt;"", BY27&lt;&gt;""), "{}",""), CB27,"{SILVER}", CA27)</f>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IF(AND(T28&gt;0,W28&gt;0),(W28/((T28+U28)*10)),"")</f>
        <v/>
      </c>
      <c r="Y28">
        <v>50</v>
      </c>
      <c r="AA28">
        <v>8</v>
      </c>
      <c r="AB28">
        <v>8</v>
      </c>
      <c r="AE28" s="11">
        <v>27</v>
      </c>
      <c r="AF28" t="str">
        <f>CONCATENATE(VLOOKUP(AG28, 'Voxel Sizes'!$A$2:$B$18,2,FALSE),"x",INT(AC28*15), "x", INT(AD28*15))</f>
        <v>82x0x0</v>
      </c>
      <c r="AG28">
        <f>ROUND(15*((AB28*10)/256),0)</f>
        <v>5</v>
      </c>
      <c r="AI28" t="str">
        <f>CONCATENATE(VLOOKUP(AG28,Constants!$A$2:$C$16,IF(AH28&lt;&gt;"", 3, 2), FALSE),IF(AH28&lt;&gt;"",CONCATENATE(",",VLOOKUP(AH28,$B:$AI,34,FALSE)),""))</f>
        <v>2,1,2</v>
      </c>
      <c r="AS28">
        <v>30</v>
      </c>
      <c r="AT28">
        <f>IF(I28&lt;&gt;"",MAX(8,(I28-G28)-4),"")</f>
        <v>31</v>
      </c>
      <c r="AW28">
        <f>MIN(Y28/150, 1)*30</f>
        <v>10</v>
      </c>
      <c r="AX28">
        <f>MIN(K28/4000, 1)*20</f>
        <v>0</v>
      </c>
      <c r="AY28">
        <f>MIN(W28/400,1)*20</f>
        <v>0</v>
      </c>
      <c r="AZ28" s="4">
        <v>1</v>
      </c>
      <c r="BA28">
        <f>((MAX($J28,1)*MIN($AE28/300,1)))*IF(D28="Wagon",50,10)</f>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BD28*IF($D28="wagon",62.5,781.25)</f>
        <v>562.5</v>
      </c>
      <c r="BG28" s="15">
        <f>BE28*IF($D28="wagon",2.73,81.25)</f>
        <v>79.17</v>
      </c>
      <c r="BJ28">
        <f>INT(Y28*1.25)</f>
        <v>62</v>
      </c>
      <c r="BP28">
        <v>1</v>
      </c>
      <c r="BQ28">
        <v>185</v>
      </c>
      <c r="BR28" t="s">
        <v>1097</v>
      </c>
      <c r="BS28" t="s">
        <v>769</v>
      </c>
      <c r="BT28" t="str">
        <f>VLOOKUP(G28,Eras!$A$2:$C$10, 2, TRUE)</f>
        <v>big4</v>
      </c>
      <c r="BU28" t="s">
        <v>380</v>
      </c>
      <c r="BV28" t="str">
        <f>CONCATENATE(BT28,"_",BU28)</f>
        <v>big4_Open Wagon</v>
      </c>
      <c r="BW28" t="str">
        <f>IF(AND(BI28&lt;&gt;Y28,BI28&lt;&gt;""),_xlfn.CONCAT("{BLACK}","Tare speed: ","{GOLD}{VELOCITY}{}"), "")</f>
        <v/>
      </c>
      <c r="BX28" t="str">
        <f>_xlfn.CONCAT(E28, "_",F28)</f>
        <v>wagon_RAIL</v>
      </c>
      <c r="BY28" t="str">
        <f>VLOOKUP($BX28, Constants!$M:$N, 2, FALSE)</f>
        <v/>
      </c>
      <c r="BZ28" t="str">
        <f>IF(J28&gt;1,_xlfn.CONCAT("{BLACK}Cars: {GOLD}", J28),"")</f>
        <v/>
      </c>
      <c r="CA28" t="s">
        <v>770</v>
      </c>
      <c r="CB28" t="str">
        <f>IF(BS28="BRAKE","{YELLOW}Speed bonus for slow wagons{}",IF(BQ28&gt;190,CONCATENATE("{YELLOW}",INT((BQ28-185)/1.85),"% Bonus for long distance travel{}"),IF(AND(BQ28&lt;180,BQ28&lt;&gt;0),CONCATENATE("{YELLOW}",INT((185-BQ28)/1.85),"% Penalty for long distance travel{}"),"")))</f>
        <v/>
      </c>
      <c r="CC28" t="str">
        <f>_xlfn.CONCAT(BW28,BY28,IF(BY28 &lt;&gt; "", " ", ""),BZ28,IF(OR(BZ28&lt;&gt;"", BY28&lt;&gt;""), "{}",""), CB28,"{SILVER}", CA28)</f>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IF(AND(T29&gt;0,W29&gt;0),(W29/((T29+U29)*10)),"")</f>
        <v/>
      </c>
      <c r="Y29">
        <v>60</v>
      </c>
      <c r="AA29">
        <v>8</v>
      </c>
      <c r="AB29">
        <v>8</v>
      </c>
      <c r="AE29" s="11">
        <v>27</v>
      </c>
      <c r="AF29" t="str">
        <f>CONCATENATE(VLOOKUP(AG29, 'Voxel Sizes'!$A$2:$B$18,2,FALSE),"x",INT(AC29*15), "x", INT(AD29*15))</f>
        <v>82x0x0</v>
      </c>
      <c r="AG29">
        <f>ROUND(15*((AB29*10)/256),0)</f>
        <v>5</v>
      </c>
      <c r="AI29" t="str">
        <f>CONCATENATE(VLOOKUP(AG29,Constants!$A$2:$C$16,IF(AH29&lt;&gt;"", 3, 2), FALSE),IF(AH29&lt;&gt;"",CONCATENATE(",",VLOOKUP(AH29,$B:$AI,34,FALSE)),""))</f>
        <v>2,1,2</v>
      </c>
      <c r="AS29">
        <v>30</v>
      </c>
      <c r="AT29">
        <f>IF(I29&lt;&gt;"",MAX(8,(I29-G29)-4),"")</f>
        <v>30</v>
      </c>
      <c r="AW29">
        <f>MIN(Y29/150, 1)*30</f>
        <v>12</v>
      </c>
      <c r="AX29">
        <f>MIN(K29/4000, 1)*20</f>
        <v>0</v>
      </c>
      <c r="AY29">
        <f>MIN(W29/400,1)*20</f>
        <v>0</v>
      </c>
      <c r="AZ29" s="4">
        <v>1</v>
      </c>
      <c r="BA29">
        <f>((MAX($J29,1)*MIN($AE29/300,1)))*IF(D29="Wagon",50,10)</f>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BD29*IF($D29="wagon",62.5,781.25)</f>
        <v>625</v>
      </c>
      <c r="BG29" s="15">
        <f>BE29*IF($D29="wagon",2.73,81.25)</f>
        <v>84.63</v>
      </c>
      <c r="BJ29">
        <f>INT(Y29*1.25)</f>
        <v>75</v>
      </c>
      <c r="BP29">
        <v>1</v>
      </c>
      <c r="BQ29">
        <v>185</v>
      </c>
      <c r="BR29" t="s">
        <v>1097</v>
      </c>
      <c r="BS29" t="s">
        <v>769</v>
      </c>
      <c r="BT29" t="str">
        <f>VLOOKUP(G29,Eras!$A$2:$C$10, 2, TRUE)</f>
        <v>ebr</v>
      </c>
      <c r="BU29" t="s">
        <v>380</v>
      </c>
      <c r="BV29" t="str">
        <f>CONCATENATE(BT29,"_",BU29)</f>
        <v>ebr_Open Wagon</v>
      </c>
      <c r="BW29" t="str">
        <f>IF(AND(BI29&lt;&gt;Y29,BI29&lt;&gt;""),_xlfn.CONCAT("{BLACK}","Tare speed: ","{GOLD}{VELOCITY}{}"), "")</f>
        <v/>
      </c>
      <c r="BX29" t="str">
        <f>_xlfn.CONCAT(E29, "_",F29)</f>
        <v>wagon_RAIL</v>
      </c>
      <c r="BY29" t="str">
        <f>VLOOKUP($BX29, Constants!$M:$N, 2, FALSE)</f>
        <v/>
      </c>
      <c r="BZ29" t="str">
        <f>IF(J29&gt;1,_xlfn.CONCAT("{BLACK}Cars: {GOLD}", J29),"")</f>
        <v/>
      </c>
      <c r="CA29" t="s">
        <v>776</v>
      </c>
      <c r="CB29" t="str">
        <f>IF(BS29="BRAKE","{YELLOW}Speed bonus for slow wagons{}",IF(BQ29&gt;190,CONCATENATE("{YELLOW}",INT((BQ29-185)/1.85),"% Bonus for long distance travel{}"),IF(AND(BQ29&lt;180,BQ29&lt;&gt;0),CONCATENATE("{YELLOW}",INT((185-BQ29)/1.85),"% Penalty for long distance travel{}"),"")))</f>
        <v/>
      </c>
      <c r="CC29" t="str">
        <f>_xlfn.CONCAT(BW29,BY29,IF(BY29 &lt;&gt; "", " ", ""),BZ29,IF(OR(BZ29&lt;&gt;"", BY29&lt;&gt;""), "{}",""), CB29,"{SILVER}", CA29)</f>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IF(AND(T30&gt;0,W30&gt;0),(W30/((T30+U30)*10)),"")</f>
        <v/>
      </c>
      <c r="Y30">
        <v>70</v>
      </c>
      <c r="AA30">
        <v>10</v>
      </c>
      <c r="AB30">
        <v>10</v>
      </c>
      <c r="AE30" s="11">
        <v>33</v>
      </c>
      <c r="AF30" t="str">
        <f>CONCATENATE(VLOOKUP(AG30, 'Voxel Sizes'!$A$2:$B$18,2,FALSE),"x",INT(AC30*15), "x", INT(AD30*15))</f>
        <v>102x0x0</v>
      </c>
      <c r="AG30">
        <f>ROUND(15*((AB30*10)/256),0)</f>
        <v>6</v>
      </c>
      <c r="AI30" t="str">
        <f>CONCATENATE(VLOOKUP(AG30,Constants!$A$2:$C$16,IF(AH30&lt;&gt;"", 3, 2), FALSE),IF(AH30&lt;&gt;"",CONCATENATE(",",VLOOKUP(AH30,$B:$AI,34,FALSE)),""))</f>
        <v>2,2,2</v>
      </c>
      <c r="AS30">
        <v>30</v>
      </c>
      <c r="AT30">
        <f>IF(I30&lt;&gt;"",MAX(8,(I30-G30)-4),"")</f>
        <v>43</v>
      </c>
      <c r="AW30">
        <f>MIN(Y30/150, 1)*30</f>
        <v>14</v>
      </c>
      <c r="AX30">
        <f>MIN(K30/4000, 1)*20</f>
        <v>0</v>
      </c>
      <c r="AY30">
        <f>MIN(W30/400,1)*20</f>
        <v>0</v>
      </c>
      <c r="AZ30" s="4">
        <v>1</v>
      </c>
      <c r="BA30">
        <f>((MAX($J30,1)*MIN($AE30/300,1)))*IF(D30="Wagon",50,10)</f>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BD30*IF($D30="wagon",62.5,781.25)</f>
        <v>750</v>
      </c>
      <c r="BG30" s="15">
        <f>BE30*IF($D30="wagon",2.73,81.25)</f>
        <v>92.82</v>
      </c>
      <c r="BJ30">
        <f>INT(Y30*1.25)</f>
        <v>87</v>
      </c>
      <c r="BP30">
        <v>1</v>
      </c>
      <c r="BQ30">
        <v>185</v>
      </c>
      <c r="BR30" t="s">
        <v>1097</v>
      </c>
      <c r="BS30" t="s">
        <v>769</v>
      </c>
      <c r="BT30" t="str">
        <f>VLOOKUP(G30,Eras!$A$2:$C$10, 2, TRUE)</f>
        <v>lbr</v>
      </c>
      <c r="BU30" t="s">
        <v>380</v>
      </c>
      <c r="BV30" t="str">
        <f>CONCATENATE(BT30,"_",BU30)</f>
        <v>lbr_Open Wagon</v>
      </c>
      <c r="BW30" t="str">
        <f>IF(AND(BI30&lt;&gt;Y30,BI30&lt;&gt;""),_xlfn.CONCAT("{BLACK}","Tare speed: ","{GOLD}{VELOCITY}{}"), "")</f>
        <v/>
      </c>
      <c r="BX30" t="str">
        <f>_xlfn.CONCAT(E30, "_",F30)</f>
        <v>wagon_RAIL</v>
      </c>
      <c r="BY30" t="str">
        <f>VLOOKUP($BX30, Constants!$M:$N, 2, FALSE)</f>
        <v/>
      </c>
      <c r="BZ30" t="str">
        <f>IF(J30&gt;1,_xlfn.CONCAT("{BLACK}Cars: {GOLD}", J30),"")</f>
        <v/>
      </c>
      <c r="CA30" t="s">
        <v>777</v>
      </c>
      <c r="CB30" t="str">
        <f>IF(BS30="BRAKE","{YELLOW}Speed bonus for slow wagons{}",IF(BQ30&gt;190,CONCATENATE("{YELLOW}",INT((BQ30-185)/1.85),"% Bonus for long distance travel{}"),IF(AND(BQ30&lt;180,BQ30&lt;&gt;0),CONCATENATE("{YELLOW}",INT((185-BQ30)/1.85),"% Penalty for long distance travel{}"),"")))</f>
        <v/>
      </c>
      <c r="CC30" t="str">
        <f>_xlfn.CONCAT(BW30,BY30,IF(BY30 &lt;&gt; "", " ", ""),BZ30,IF(OR(BZ30&lt;&gt;"", BY30&lt;&gt;""), "{}",""), CB30,"{SILVER}", CA30)</f>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IF(AND(T31&gt;0,W31&gt;0),(W31/((T31+U31)*10)),"")</f>
        <v/>
      </c>
      <c r="Y31">
        <v>80</v>
      </c>
      <c r="AA31">
        <v>10</v>
      </c>
      <c r="AB31">
        <v>10</v>
      </c>
      <c r="AE31" s="11">
        <v>45</v>
      </c>
      <c r="AF31" t="str">
        <f>CONCATENATE(VLOOKUP(AG31, 'Voxel Sizes'!$A$2:$B$18,2,FALSE),"x",INT(AC31*15), "x", INT(AD31*15))</f>
        <v>102x0x0</v>
      </c>
      <c r="AG31">
        <f>ROUND(15*((AB31*10)/256),0)</f>
        <v>6</v>
      </c>
      <c r="AI31" t="str">
        <f>CONCATENATE(VLOOKUP(AG31,Constants!$A$2:$C$16,IF(AH31&lt;&gt;"", 3, 2), FALSE),IF(AH31&lt;&gt;"",CONCATENATE(",",VLOOKUP(AH31,$B:$AI,34,FALSE)),""))</f>
        <v>2,2,2</v>
      </c>
      <c r="AS31">
        <v>30</v>
      </c>
      <c r="AT31" t="str">
        <f>IF(I31&lt;&gt;"",MAX(8,(I31-G31)-4),"")</f>
        <v/>
      </c>
      <c r="AW31">
        <f>MIN(Y31/150, 1)*30</f>
        <v>16</v>
      </c>
      <c r="AX31">
        <f>MIN(K31/4000, 1)*20</f>
        <v>0</v>
      </c>
      <c r="AY31">
        <f>MIN(W31/400,1)*20</f>
        <v>0</v>
      </c>
      <c r="AZ31" s="4">
        <v>1</v>
      </c>
      <c r="BA31">
        <f>((MAX($J31,1)*MIN($AE31/300,1)))*IF(D31="Wagon",50,10)</f>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BD31*IF($D31="wagon",62.5,781.25)</f>
        <v>875</v>
      </c>
      <c r="BG31" s="15">
        <f>BE31*IF($D31="wagon",2.73,81.25)</f>
        <v>103.74</v>
      </c>
      <c r="BJ31">
        <f>INT(Y31*1.25)</f>
        <v>100</v>
      </c>
      <c r="BP31">
        <v>1</v>
      </c>
      <c r="BQ31">
        <v>185</v>
      </c>
      <c r="BR31" t="s">
        <v>1097</v>
      </c>
      <c r="BS31" t="s">
        <v>769</v>
      </c>
      <c r="BT31" t="str">
        <f>VLOOKUP(G31,Eras!$A$2:$C$10, 2, TRUE)</f>
        <v>lbr</v>
      </c>
      <c r="BU31" t="s">
        <v>380</v>
      </c>
      <c r="BV31" t="str">
        <f>CONCATENATE(BT31,"_",BU31)</f>
        <v>lbr_Open Wagon</v>
      </c>
      <c r="BW31" t="str">
        <f>IF(AND(BI31&lt;&gt;Y31,BI31&lt;&gt;""),_xlfn.CONCAT("{BLACK}","Tare speed: ","{GOLD}{VELOCITY}{}"), "")</f>
        <v/>
      </c>
      <c r="BX31" t="str">
        <f>_xlfn.CONCAT(E31, "_",F31)</f>
        <v>wagon_RAIL</v>
      </c>
      <c r="BY31" t="str">
        <f>VLOOKUP($BX31, Constants!$M:$N, 2, FALSE)</f>
        <v/>
      </c>
      <c r="BZ31" t="str">
        <f>IF(J31&gt;1,_xlfn.CONCAT("{BLACK}Cars: {GOLD}", J31),"")</f>
        <v/>
      </c>
      <c r="CA31" t="s">
        <v>781</v>
      </c>
      <c r="CB31" t="str">
        <f>IF(BS31="BRAKE","{YELLOW}Speed bonus for slow wagons{}",IF(BQ31&gt;190,CONCATENATE("{YELLOW}",INT((BQ31-185)/1.85),"% Bonus for long distance travel{}"),IF(AND(BQ31&lt;180,BQ31&lt;&gt;0),CONCATENATE("{YELLOW}",INT((185-BQ31)/1.85),"% Penalty for long distance travel{}"),"")))</f>
        <v/>
      </c>
      <c r="CC31" t="str">
        <f>_xlfn.CONCAT(BW31,BY31,IF(BY31 &lt;&gt; "", " ", ""),BZ31,IF(OR(BZ31&lt;&gt;"", BY31&lt;&gt;""), "{}",""), CB31,"{SILVER}", CA31)</f>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IF(AND(T32&gt;0,W32&gt;0),(W32/((T32+U32)*10)),"")</f>
        <v/>
      </c>
      <c r="Y32">
        <v>80</v>
      </c>
      <c r="AA32">
        <v>17</v>
      </c>
      <c r="AB32">
        <v>17</v>
      </c>
      <c r="AE32" s="11">
        <v>78</v>
      </c>
      <c r="AF32" t="str">
        <f>CONCATENATE(VLOOKUP(AG32, 'Voxel Sizes'!$A$2:$B$18,2,FALSE),"x",INT(AC32*15), "x", INT(AD32*15))</f>
        <v>164x0x0</v>
      </c>
      <c r="AG32">
        <f>ROUND(15*((AB32*10)/256),0)</f>
        <v>10</v>
      </c>
      <c r="AI32" t="str">
        <f>CONCATENATE(VLOOKUP(AG32,Constants!$A$2:$C$16,IF(AH32&lt;&gt;"", 3, 2), FALSE),IF(AH32&lt;&gt;"",CONCATENATE(",",VLOOKUP(AH32,$B:$AI,34,FALSE)),""))</f>
        <v>4,2,4</v>
      </c>
      <c r="AS32">
        <v>30</v>
      </c>
      <c r="AT32" t="str">
        <f>IF(I32&lt;&gt;"",MAX(8,(I32-G32)-4),"")</f>
        <v/>
      </c>
      <c r="AW32">
        <f>MIN(Y32/150, 1)*30</f>
        <v>16</v>
      </c>
      <c r="AX32">
        <f>MIN(K32/4000, 1)*20</f>
        <v>0</v>
      </c>
      <c r="AY32">
        <f>MIN(W32/400,1)*20</f>
        <v>0</v>
      </c>
      <c r="AZ32" s="4">
        <v>1</v>
      </c>
      <c r="BA32">
        <f>((MAX($J32,1)*MIN($AE32/300,1)))*IF(D32="Wagon",50,10)</f>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BD32*IF($D32="wagon",62.5,781.25)</f>
        <v>1062.5</v>
      </c>
      <c r="BG32" s="15">
        <f>BE32*IF($D32="wagon",2.73,81.25)</f>
        <v>120.12</v>
      </c>
      <c r="BJ32">
        <f>INT(Y32*1.25)</f>
        <v>100</v>
      </c>
      <c r="BP32">
        <v>1</v>
      </c>
      <c r="BQ32">
        <v>185</v>
      </c>
      <c r="BR32" t="s">
        <v>1097</v>
      </c>
      <c r="BS32" t="s">
        <v>769</v>
      </c>
      <c r="BT32" t="str">
        <f>VLOOKUP(G32,Eras!$A$2:$C$10, 2, TRUE)</f>
        <v>mod</v>
      </c>
      <c r="BU32" t="s">
        <v>380</v>
      </c>
      <c r="BV32" t="str">
        <f>CONCATENATE(BT32,"_",BU32)</f>
        <v>mod_Open Wagon</v>
      </c>
      <c r="BW32" t="str">
        <f>IF(AND(BI32&lt;&gt;Y32,BI32&lt;&gt;""),_xlfn.CONCAT("{BLACK}","Tare speed: ","{GOLD}{VELOCITY}{}"), "")</f>
        <v/>
      </c>
      <c r="BX32" t="str">
        <f>_xlfn.CONCAT(E32, "_",F32)</f>
        <v>wagon_RAIL</v>
      </c>
      <c r="BY32" t="str">
        <f>VLOOKUP($BX32, Constants!$M:$N, 2, FALSE)</f>
        <v/>
      </c>
      <c r="BZ32" t="str">
        <f>IF(J32&gt;1,_xlfn.CONCAT("{BLACK}Cars: {GOLD}", J32),"")</f>
        <v/>
      </c>
      <c r="CA32" t="s">
        <v>782</v>
      </c>
      <c r="CB32" t="str">
        <f>IF(BS32="BRAKE","{YELLOW}Speed bonus for slow wagons{}",IF(BQ32&gt;190,CONCATENATE("{YELLOW}",INT((BQ32-185)/1.85),"% Bonus for long distance travel{}"),IF(AND(BQ32&lt;180,BQ32&lt;&gt;0),CONCATENATE("{YELLOW}",INT((185-BQ32)/1.85),"% Penalty for long distance travel{}"),"")))</f>
        <v/>
      </c>
      <c r="CC32" t="str">
        <f>_xlfn.CONCAT(BW32,BY32,IF(BY32 &lt;&gt; "", " ", ""),BZ32,IF(OR(BZ32&lt;&gt;"", BY32&lt;&gt;""), "{}",""), CB32,"{SILVER}", CA32)</f>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IF(AND(T33&gt;0,W33&gt;0),(W33/((T33+U33)*10)),"")</f>
        <v/>
      </c>
      <c r="Y33">
        <v>60</v>
      </c>
      <c r="AA33">
        <v>10</v>
      </c>
      <c r="AB33">
        <v>10</v>
      </c>
      <c r="AE33" s="11">
        <v>45</v>
      </c>
      <c r="AF33" t="str">
        <f>CONCATENATE(VLOOKUP(AG33, 'Voxel Sizes'!$A$2:$B$18,2,FALSE),"x",INT(AC33*15), "x", INT(AD33*15))</f>
        <v>102x0x0</v>
      </c>
      <c r="AG33">
        <f>ROUND(15*((AB33*10)/256),0)</f>
        <v>6</v>
      </c>
      <c r="AI33" t="str">
        <f>CONCATENATE(VLOOKUP(AG33,Constants!$A$2:$C$16,IF(AH33&lt;&gt;"", 3, 2), FALSE),IF(AH33&lt;&gt;"",CONCATENATE(",",VLOOKUP(AH33,$B:$AI,34,FALSE)),""))</f>
        <v>2,2,2</v>
      </c>
      <c r="AS33">
        <v>30</v>
      </c>
      <c r="AT33">
        <f>IF(I33&lt;&gt;"",MAX(8,(I33-G33)-4),"")</f>
        <v>38</v>
      </c>
      <c r="AW33">
        <f>MIN(Y33/150, 1)*30</f>
        <v>12</v>
      </c>
      <c r="AX33">
        <f>MIN(K33/4000, 1)*20</f>
        <v>0</v>
      </c>
      <c r="AY33">
        <f>MIN(W33/400,1)*20</f>
        <v>0</v>
      </c>
      <c r="AZ33" s="4">
        <v>1</v>
      </c>
      <c r="BA33">
        <f>((MAX($J33,1)*MIN($AE33/300,1)))*IF(D33="Wagon",50,10)</f>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BD33*IF($D33="wagon",62.5,781.25)</f>
        <v>750</v>
      </c>
      <c r="BG33" s="15">
        <f>BE33*IF($D33="wagon",2.73,81.25)</f>
        <v>92.82</v>
      </c>
      <c r="BJ33">
        <f>INT(Y33*1.25)</f>
        <v>75</v>
      </c>
      <c r="BP33">
        <v>1</v>
      </c>
      <c r="BQ33">
        <v>185</v>
      </c>
      <c r="BR33" t="s">
        <v>1097</v>
      </c>
      <c r="BS33" t="s">
        <v>769</v>
      </c>
      <c r="BT33" t="str">
        <f>VLOOKUP(G33,Eras!$A$2:$C$10, 2, TRUE)</f>
        <v>dsl</v>
      </c>
      <c r="BU33" t="s">
        <v>380</v>
      </c>
      <c r="BV33" t="str">
        <f>CONCATENATE(BT33,"_",BU33)</f>
        <v>dsl_Open Wagon</v>
      </c>
      <c r="BW33" t="str">
        <f>IF(AND(BI33&lt;&gt;Y33,BI33&lt;&gt;""),_xlfn.CONCAT("{BLACK}","Tare speed: ","{GOLD}{VELOCITY}{}"), "")</f>
        <v/>
      </c>
      <c r="BX33" t="str">
        <f>_xlfn.CONCAT(E33, "_",F33)</f>
        <v>wagon_RAIL</v>
      </c>
      <c r="BY33" t="str">
        <f>VLOOKUP($BX33, Constants!$M:$N, 2, FALSE)</f>
        <v/>
      </c>
      <c r="BZ33" t="str">
        <f>IF(J33&gt;1,_xlfn.CONCAT("{BLACK}Cars: {GOLD}", J33),"")</f>
        <v/>
      </c>
      <c r="CA33" t="s">
        <v>787</v>
      </c>
      <c r="CB33" t="str">
        <f>IF(BS33="BRAKE","{YELLOW}Speed bonus for slow wagons{}",IF(BQ33&gt;190,CONCATENATE("{YELLOW}",INT((BQ33-185)/1.85),"% Bonus for long distance travel{}"),IF(AND(BQ33&lt;180,BQ33&lt;&gt;0),CONCATENATE("{YELLOW}",INT((185-BQ33)/1.85),"% Penalty for long distance travel{}"),"")))</f>
        <v/>
      </c>
      <c r="CC33" t="str">
        <f>_xlfn.CONCAT(BW33,BY33,IF(BY33 &lt;&gt; "", " ", ""),BZ33,IF(OR(BZ33&lt;&gt;"", BY33&lt;&gt;""), "{}",""), CB33,"{SILVER}", CA33)</f>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IF(AND(T34&gt;0,W34&gt;0),(W34/((T34+U34)*10)),"")</f>
        <v/>
      </c>
      <c r="Y34">
        <v>80</v>
      </c>
      <c r="AA34">
        <v>19.7</v>
      </c>
      <c r="AB34">
        <v>19.399999999999999</v>
      </c>
      <c r="AE34" s="11">
        <v>78</v>
      </c>
      <c r="AF34" t="str">
        <f>CONCATENATE(VLOOKUP(AG34, 'Voxel Sizes'!$A$2:$B$18,2,FALSE),"x",INT(AC34*15), "x", INT(AD34*15))</f>
        <v>186x0x0</v>
      </c>
      <c r="AG34">
        <f>ROUND(15*((AB34*10)/256),0)</f>
        <v>11</v>
      </c>
      <c r="AI34" t="str">
        <f>CONCATENATE(VLOOKUP(AG34,Constants!$A$2:$C$16,IF(AH34&lt;&gt;"", 3, 2), FALSE),IF(AH34&lt;&gt;"",CONCATENATE(",",VLOOKUP(AH34,$B:$AI,34,FALSE)),""))</f>
        <v>4,3,4</v>
      </c>
      <c r="AS34">
        <v>30</v>
      </c>
      <c r="AT34" t="str">
        <f>IF(I34&lt;&gt;"",MAX(8,(I34-G34)-4),"")</f>
        <v/>
      </c>
      <c r="AW34">
        <f>MIN(Y34/150, 1)*30</f>
        <v>16</v>
      </c>
      <c r="AX34">
        <f>MIN(K34/4000, 1)*20</f>
        <v>0</v>
      </c>
      <c r="AY34">
        <f>MIN(W34/400,1)*20</f>
        <v>0</v>
      </c>
      <c r="AZ34" s="4">
        <v>1</v>
      </c>
      <c r="BA34">
        <f>((MAX($J34,1)*MIN($AE34/300,1)))*IF(D34="Wagon",50,10)</f>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BD34*IF($D34="wagon",62.5,781.25)</f>
        <v>1062.5</v>
      </c>
      <c r="BG34" s="15">
        <f>BE34*IF($D34="wagon",2.73,81.25)</f>
        <v>120.12</v>
      </c>
      <c r="BJ34">
        <f>INT(Y34*1.25)</f>
        <v>100</v>
      </c>
      <c r="BP34">
        <v>1</v>
      </c>
      <c r="BQ34">
        <v>185</v>
      </c>
      <c r="BR34" t="s">
        <v>1097</v>
      </c>
      <c r="BS34" t="s">
        <v>769</v>
      </c>
      <c r="BT34" t="str">
        <f>VLOOKUP(G34,Eras!$A$2:$C$10, 2, TRUE)</f>
        <v>prv</v>
      </c>
      <c r="BU34" t="s">
        <v>380</v>
      </c>
      <c r="BV34" t="str">
        <f>CONCATENATE(BT34,"_",BU34)</f>
        <v>prv_Open Wagon</v>
      </c>
      <c r="BW34" t="str">
        <f>IF(AND(BI34&lt;&gt;Y34,BI34&lt;&gt;""),_xlfn.CONCAT("{BLACK}","Tare speed: ","{GOLD}{VELOCITY}{}"), "")</f>
        <v/>
      </c>
      <c r="BX34" t="str">
        <f>_xlfn.CONCAT(E34, "_",F34)</f>
        <v>wagon_RAIL</v>
      </c>
      <c r="BY34" t="str">
        <f>VLOOKUP($BX34, Constants!$M:$N, 2, FALSE)</f>
        <v/>
      </c>
      <c r="BZ34" t="str">
        <f>IF(J34&gt;1,_xlfn.CONCAT("{BLACK}Cars: {GOLD}", J34),"")</f>
        <v/>
      </c>
      <c r="CA34" t="s">
        <v>783</v>
      </c>
      <c r="CB34" t="str">
        <f>IF(BS34="BRAKE","{YELLOW}Speed bonus for slow wagons{}",IF(BQ34&gt;190,CONCATENATE("{YELLOW}",INT((BQ34-185)/1.85),"% Bonus for long distance travel{}"),IF(AND(BQ34&lt;180,BQ34&lt;&gt;0),CONCATENATE("{YELLOW}",INT((185-BQ34)/1.85),"% Penalty for long distance travel{}"),"")))</f>
        <v/>
      </c>
      <c r="CC34" t="str">
        <f>_xlfn.CONCAT(BW34,BY34,IF(BY34 &lt;&gt; "", " ", ""),BZ34,IF(OR(BZ34&lt;&gt;"", BY34&lt;&gt;""), "{}",""), CB34,"{SILVER}", CA34)</f>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IF(AND(T35&gt;0,W35&gt;0),(W35/((T35+U35)*10)),"")</f>
        <v/>
      </c>
      <c r="Y35">
        <v>60</v>
      </c>
      <c r="AA35">
        <v>8</v>
      </c>
      <c r="AB35">
        <v>8</v>
      </c>
      <c r="AE35" s="11">
        <v>27</v>
      </c>
      <c r="AF35" t="str">
        <f>CONCATENATE(VLOOKUP(AG35, 'Voxel Sizes'!$A$2:$B$18,2,FALSE),"x",INT(AC35*15), "x", INT(AD35*15))</f>
        <v>82x0x0</v>
      </c>
      <c r="AG35">
        <f>ROUND(15*((AB35*10)/256),0)</f>
        <v>5</v>
      </c>
      <c r="AI35" t="str">
        <f>CONCATENATE(VLOOKUP(AG35,Constants!$A$2:$C$16,IF(AH35&lt;&gt;"", 3, 2), FALSE),IF(AH35&lt;&gt;"",CONCATENATE(",",VLOOKUP(AH35,$B:$AI,34,FALSE)),""))</f>
        <v>2,1,2</v>
      </c>
      <c r="AS35">
        <v>30</v>
      </c>
      <c r="AT35">
        <f>IF(I35&lt;&gt;"",MAX(8,(I35-G35)-4),"")</f>
        <v>36</v>
      </c>
      <c r="AW35">
        <f>MIN(Y35/150, 1)*30</f>
        <v>12</v>
      </c>
      <c r="AX35">
        <f>MIN(K35/4000, 1)*20</f>
        <v>0</v>
      </c>
      <c r="AY35">
        <f>MIN(W35/400,1)*20</f>
        <v>0</v>
      </c>
      <c r="AZ35" s="4">
        <v>1</v>
      </c>
      <c r="BA35">
        <f>((MAX($J35,1)*MIN($AE35/300,1)))*IF(D35="Wagon",50,10)</f>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BD35*IF($D35="wagon",62.5,781.25)</f>
        <v>625</v>
      </c>
      <c r="BG35" s="15">
        <f>BE35*IF($D35="wagon",2.73,81.25)</f>
        <v>84.63</v>
      </c>
      <c r="BJ35">
        <f>INT(Y35*1.25)</f>
        <v>75</v>
      </c>
      <c r="BP35">
        <v>1</v>
      </c>
      <c r="BQ35">
        <v>185</v>
      </c>
      <c r="BR35" t="s">
        <v>1100</v>
      </c>
      <c r="BS35" t="s">
        <v>326</v>
      </c>
      <c r="BT35" t="str">
        <f>VLOOKUP(G35,Eras!$A$2:$C$10, 2, TRUE)</f>
        <v>big4</v>
      </c>
      <c r="BU35" t="s">
        <v>748</v>
      </c>
      <c r="BV35" t="str">
        <f>CONCATENATE(BT35,"_",BU35)</f>
        <v>big4_Extra</v>
      </c>
      <c r="BW35" t="str">
        <f>IF(AND(BI35&lt;&gt;Y35,BI35&lt;&gt;""),_xlfn.CONCAT("{BLACK}","Tare speed: ","{GOLD}{VELOCITY}{}"), "")</f>
        <v/>
      </c>
      <c r="BX35" t="str">
        <f>_xlfn.CONCAT(E35, "_",F35)</f>
        <v>wagon_RAIL</v>
      </c>
      <c r="BY35" t="str">
        <f>VLOOKUP($BX35, Constants!$M:$N, 2, FALSE)</f>
        <v/>
      </c>
      <c r="BZ35" t="str">
        <f>IF(J35&gt;1,_xlfn.CONCAT("{BLACK}Cars: {GOLD}", J35),"")</f>
        <v/>
      </c>
      <c r="CA35" t="s">
        <v>852</v>
      </c>
      <c r="CB35" t="str">
        <f>IF(BS35="BRAKE","{YELLOW}Speed bonus for slow wagons{}",IF(BQ35&gt;190,CONCATENATE("{YELLOW}",INT((BQ35-185)/1.85),"% Bonus for long distance travel{}"),IF(AND(BQ35&lt;180,BQ35&lt;&gt;0),CONCATENATE("{YELLOW}",INT((185-BQ35)/1.85),"% Penalty for long distance travel{}"),"")))</f>
        <v/>
      </c>
      <c r="CC35" t="str">
        <f>_xlfn.CONCAT(BW35,BY35,IF(BY35 &lt;&gt; "", " ", ""),BZ35,IF(OR(BZ35&lt;&gt;"", BY35&lt;&gt;""), "{}",""), CB35,"{SILVER}", CA35)</f>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IF(AND(T36&gt;0,W36&gt;0),(W36/((T36+U36)*10)),"")</f>
        <v/>
      </c>
      <c r="Y36">
        <v>70</v>
      </c>
      <c r="AA36">
        <v>19.3</v>
      </c>
      <c r="AB36">
        <v>19.3</v>
      </c>
      <c r="AE36" s="11">
        <v>60</v>
      </c>
      <c r="AF36" t="str">
        <f>CONCATENATE(VLOOKUP(AG36, 'Voxel Sizes'!$A$2:$B$18,2,FALSE),"x",INT(AC36*15), "x", INT(AD36*15))</f>
        <v>186x0x0</v>
      </c>
      <c r="AG36">
        <f>ROUND(15*((AB36*10)/256),0)</f>
        <v>11</v>
      </c>
      <c r="AI36" t="str">
        <f>CONCATENATE(VLOOKUP(AG36,Constants!$A$2:$C$16,IF(AH36&lt;&gt;"", 3, 2), FALSE),IF(AH36&lt;&gt;"",CONCATENATE(",",VLOOKUP(AH36,$B:$AI,34,FALSE)),""))</f>
        <v>4,3,4</v>
      </c>
      <c r="AS36">
        <v>30</v>
      </c>
      <c r="AT36">
        <f>IF(I36&lt;&gt;"",MAX(8,(I36-G36)-4),"")</f>
        <v>27</v>
      </c>
      <c r="AW36">
        <f>MIN(Y36/150, 1)*30</f>
        <v>14</v>
      </c>
      <c r="AX36">
        <f>MIN(K36/4000, 1)*20</f>
        <v>0</v>
      </c>
      <c r="AY36">
        <f>MIN(W36/400,1)*20</f>
        <v>0</v>
      </c>
      <c r="AZ36" s="4">
        <v>1</v>
      </c>
      <c r="BA36">
        <f>((MAX($J36,1)*MIN($AE36/300,1)))*IF(D36="Wagon",50,10)</f>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BD36*IF($D36="wagon",62.5,781.25)</f>
        <v>875</v>
      </c>
      <c r="BG36" s="15">
        <f>BE36*IF($D36="wagon",2.73,81.25)</f>
        <v>106.47</v>
      </c>
      <c r="BJ36">
        <f>INT(Y36*1.25)</f>
        <v>87</v>
      </c>
      <c r="BP36">
        <v>1</v>
      </c>
      <c r="BQ36">
        <v>185</v>
      </c>
      <c r="BR36" t="s">
        <v>1100</v>
      </c>
      <c r="BS36" t="s">
        <v>326</v>
      </c>
      <c r="BT36" t="str">
        <f>VLOOKUP(G36,Eras!$A$2:$C$10, 2, TRUE)</f>
        <v>dsl</v>
      </c>
      <c r="BU36" t="s">
        <v>748</v>
      </c>
      <c r="BV36" t="str">
        <f>CONCATENATE(BT36,"_",BU36)</f>
        <v>dsl_Extra</v>
      </c>
      <c r="BW36" t="str">
        <f>IF(AND(BI36&lt;&gt;Y36,BI36&lt;&gt;""),_xlfn.CONCAT("{BLACK}","Tare speed: ","{GOLD}{VELOCITY}{}"), "")</f>
        <v/>
      </c>
      <c r="BX36" t="str">
        <f>_xlfn.CONCAT(E36, "_",F36)</f>
        <v>wagon_RAIL</v>
      </c>
      <c r="BY36" t="str">
        <f>VLOOKUP($BX36, Constants!$M:$N, 2, FALSE)</f>
        <v/>
      </c>
      <c r="BZ36" t="str">
        <f>IF(J36&gt;1,_xlfn.CONCAT("{BLACK}Cars: {GOLD}", J36),"")</f>
        <v/>
      </c>
      <c r="CA36" t="s">
        <v>853</v>
      </c>
      <c r="CB36" t="str">
        <f>IF(BS36="BRAKE","{YELLOW}Speed bonus for slow wagons{}",IF(BQ36&gt;190,CONCATENATE("{YELLOW}",INT((BQ36-185)/1.85),"% Bonus for long distance travel{}"),IF(AND(BQ36&lt;180,BQ36&lt;&gt;0),CONCATENATE("{YELLOW}",INT((185-BQ36)/1.85),"% Penalty for long distance travel{}"),"")))</f>
        <v/>
      </c>
      <c r="CC36" t="str">
        <f>_xlfn.CONCAT(BW36,BY36,IF(BY36 &lt;&gt; "", " ", ""),BZ36,IF(OR(BZ36&lt;&gt;"", BY36&lt;&gt;""), "{}",""), CB36,"{SILVER}", CA36)</f>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IF(AND(T37&gt;0,W37&gt;0),(W37/((T37+U37)*10)),"")</f>
        <v/>
      </c>
      <c r="Y37">
        <v>90</v>
      </c>
      <c r="AA37">
        <v>19.3</v>
      </c>
      <c r="AB37">
        <v>19.3</v>
      </c>
      <c r="AE37" s="11">
        <v>60</v>
      </c>
      <c r="AF37" t="str">
        <f>CONCATENATE(VLOOKUP(AG37, 'Voxel Sizes'!$A$2:$B$18,2,FALSE),"x",INT(AC37*15), "x", INT(AD37*15))</f>
        <v>186x0x0</v>
      </c>
      <c r="AG37">
        <f>ROUND(15*((AB37*10)/256),0)</f>
        <v>11</v>
      </c>
      <c r="AI37" t="str">
        <f>CONCATENATE(VLOOKUP(AG37,Constants!$A$2:$C$16,IF(AH37&lt;&gt;"", 3, 2), FALSE),IF(AH37&lt;&gt;"",CONCATENATE(",",VLOOKUP(AH37,$B:$AI,34,FALSE)),""))</f>
        <v>4,3,4</v>
      </c>
      <c r="AS37">
        <v>30</v>
      </c>
      <c r="AT37" t="str">
        <f>IF(I37&lt;&gt;"",MAX(8,(I37-G37)-4),"")</f>
        <v/>
      </c>
      <c r="AW37">
        <f>MIN(Y37/150, 1)*30</f>
        <v>18</v>
      </c>
      <c r="AX37">
        <f>MIN(K37/4000, 1)*20</f>
        <v>0</v>
      </c>
      <c r="AY37">
        <f>MIN(W37/400,1)*20</f>
        <v>0</v>
      </c>
      <c r="AZ37" s="4">
        <v>1</v>
      </c>
      <c r="BA37">
        <f>((MAX($J37,1)*MIN($AE37/300,1)))*IF(D37="Wagon",50,10)</f>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BD37*IF($D37="wagon",62.5,781.25)</f>
        <v>1000</v>
      </c>
      <c r="BG37" s="15">
        <f>BE37*IF($D37="wagon",2.73,81.25)</f>
        <v>117.39</v>
      </c>
      <c r="BJ37">
        <f>INT(Y37*1.25)</f>
        <v>112</v>
      </c>
      <c r="BP37">
        <v>1</v>
      </c>
      <c r="BQ37">
        <v>185</v>
      </c>
      <c r="BR37" t="s">
        <v>1100</v>
      </c>
      <c r="BS37" t="s">
        <v>326</v>
      </c>
      <c r="BT37" t="str">
        <f>VLOOKUP(G37,Eras!$A$2:$C$10, 2, TRUE)</f>
        <v>lbr</v>
      </c>
      <c r="BU37" t="s">
        <v>748</v>
      </c>
      <c r="BV37" t="str">
        <f>CONCATENATE(BT37,"_",BU37)</f>
        <v>lbr_Extra</v>
      </c>
      <c r="BW37" t="str">
        <f>IF(AND(BI37&lt;&gt;Y37,BI37&lt;&gt;""),_xlfn.CONCAT("{BLACK}","Tare speed: ","{GOLD}{VELOCITY}{}"), "")</f>
        <v/>
      </c>
      <c r="BX37" t="str">
        <f>_xlfn.CONCAT(E37, "_",F37)</f>
        <v>wagon_RAIL</v>
      </c>
      <c r="BY37" t="str">
        <f>VLOOKUP($BX37, Constants!$M:$N, 2, FALSE)</f>
        <v/>
      </c>
      <c r="BZ37" t="str">
        <f>IF(J37&gt;1,_xlfn.CONCAT("{BLACK}Cars: {GOLD}", J37),"")</f>
        <v/>
      </c>
      <c r="CA37" t="s">
        <v>854</v>
      </c>
      <c r="CB37" t="str">
        <f>IF(BS37="BRAKE","{YELLOW}Speed bonus for slow wagons{}",IF(BQ37&gt;190,CONCATENATE("{YELLOW}",INT((BQ37-185)/1.85),"% Bonus for long distance travel{}"),IF(AND(BQ37&lt;180,BQ37&lt;&gt;0),CONCATENATE("{YELLOW}",INT((185-BQ37)/1.85),"% Penalty for long distance travel{}"),"")))</f>
        <v/>
      </c>
      <c r="CC37" t="str">
        <f>_xlfn.CONCAT(BW37,BY37,IF(BY37 &lt;&gt; "", " ", ""),BZ37,IF(OR(BZ37&lt;&gt;"", BY37&lt;&gt;""), "{}",""), CB37,"{SILVER}", CA37)</f>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IF(AND(T38&gt;0,W38&gt;0),(W38/((T38+U38)*10)),"")</f>
        <v/>
      </c>
      <c r="Y38">
        <v>90</v>
      </c>
      <c r="AA38">
        <v>19.3</v>
      </c>
      <c r="AB38">
        <v>19.3</v>
      </c>
      <c r="AE38" s="11">
        <v>51</v>
      </c>
      <c r="AF38" t="str">
        <f>CONCATENATE(VLOOKUP(AG38, 'Voxel Sizes'!$A$2:$B$18,2,FALSE),"x",INT(AC38*15), "x", INT(AD38*15))</f>
        <v>186x0x0</v>
      </c>
      <c r="AG38">
        <f>ROUND(15*((AB38*10)/256),0)</f>
        <v>11</v>
      </c>
      <c r="AI38" t="str">
        <f>CONCATENATE(VLOOKUP(AG38,Constants!$A$2:$C$16,IF(AH38&lt;&gt;"", 3, 2), FALSE),IF(AH38&lt;&gt;"",CONCATENATE(",",VLOOKUP(AH38,$B:$AI,34,FALSE)),""))</f>
        <v>4,3,4</v>
      </c>
      <c r="AS38">
        <v>30</v>
      </c>
      <c r="AT38" t="str">
        <f>IF(I38&lt;&gt;"",MAX(8,(I38-G38)-4),"")</f>
        <v/>
      </c>
      <c r="AW38">
        <f>MIN(Y38/150, 1)*30</f>
        <v>18</v>
      </c>
      <c r="AX38">
        <f>MIN(K38/4000, 1)*20</f>
        <v>0</v>
      </c>
      <c r="AY38">
        <f>MIN(W38/400,1)*20</f>
        <v>0</v>
      </c>
      <c r="AZ38" s="4">
        <v>1</v>
      </c>
      <c r="BA38">
        <f>((MAX($J38,1)*MIN($AE38/300,1)))*IF(D38="Wagon",50,10)</f>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BD38*IF($D38="wagon",62.5,781.25)</f>
        <v>1000</v>
      </c>
      <c r="BG38" s="15">
        <f>BE38*IF($D38="wagon",2.73,81.25)</f>
        <v>111.92999999999999</v>
      </c>
      <c r="BJ38">
        <f>INT(Y38*1.25)</f>
        <v>112</v>
      </c>
      <c r="BP38">
        <v>1</v>
      </c>
      <c r="BQ38">
        <v>185</v>
      </c>
      <c r="BR38" t="s">
        <v>1100</v>
      </c>
      <c r="BS38" t="s">
        <v>326</v>
      </c>
      <c r="BT38" t="str">
        <f>VLOOKUP(G38,Eras!$A$2:$C$10, 2, TRUE)</f>
        <v>prv</v>
      </c>
      <c r="BU38" t="s">
        <v>748</v>
      </c>
      <c r="BV38" t="str">
        <f>CONCATENATE(BT38,"_",BU38)</f>
        <v>prv_Extra</v>
      </c>
      <c r="BW38" t="str">
        <f>IF(AND(BI38&lt;&gt;Y38,BI38&lt;&gt;""),_xlfn.CONCAT("{BLACK}","Tare speed: ","{GOLD}{VELOCITY}{}"), "")</f>
        <v/>
      </c>
      <c r="BX38" t="str">
        <f>_xlfn.CONCAT(E38, "_",F38)</f>
        <v>wagon_RAIL</v>
      </c>
      <c r="BY38" t="str">
        <f>VLOOKUP($BX38, Constants!$M:$N, 2, FALSE)</f>
        <v/>
      </c>
      <c r="BZ38" t="str">
        <f>IF(J38&gt;1,_xlfn.CONCAT("{BLACK}Cars: {GOLD}", J38),"")</f>
        <v/>
      </c>
      <c r="CA38" t="s">
        <v>867</v>
      </c>
      <c r="CB38" t="str">
        <f>IF(BS38="BRAKE","{YELLOW}Speed bonus for slow wagons{}",IF(BQ38&gt;190,CONCATENATE("{YELLOW}",INT((BQ38-185)/1.85),"% Bonus for long distance travel{}"),IF(AND(BQ38&lt;180,BQ38&lt;&gt;0),CONCATENATE("{YELLOW}",INT((185-BQ38)/1.85),"% Penalty for long distance travel{}"),"")))</f>
        <v/>
      </c>
      <c r="CC38" t="str">
        <f>_xlfn.CONCAT(BW38,BY38,IF(BY38 &lt;&gt; "", " ", ""),BZ38,IF(OR(BZ38&lt;&gt;"", BY38&lt;&gt;""), "{}",""), CB38,"{SILVER}", CA38)</f>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IF(AND(T39&gt;0,W39&gt;0),(W39/((T39+U39)*10)),"")</f>
        <v/>
      </c>
      <c r="Y39">
        <v>35</v>
      </c>
      <c r="AA39">
        <v>6</v>
      </c>
      <c r="AB39">
        <v>6</v>
      </c>
      <c r="AE39" s="11">
        <v>24</v>
      </c>
      <c r="AF39" t="str">
        <f>CONCATENATE(VLOOKUP(AG39, 'Voxel Sizes'!$A$2:$B$18,2,FALSE),"x",INT(AC39*15), "x", INT(AD39*15))</f>
        <v>60x0x0</v>
      </c>
      <c r="AG39">
        <f>ROUND(15*((AB39*10)/256),0)</f>
        <v>4</v>
      </c>
      <c r="AI39" t="str">
        <f>CONCATENATE(VLOOKUP(AG39,Constants!$A$2:$C$16,IF(AH39&lt;&gt;"", 3, 2), FALSE),IF(AH39&lt;&gt;"",CONCATENATE(",",VLOOKUP(AH39,$B:$AI,34,FALSE)),""))</f>
        <v>1,2,1</v>
      </c>
      <c r="AS39">
        <v>30</v>
      </c>
      <c r="AT39">
        <f>IF(I39&lt;&gt;"",MAX(8,(I39-G39)-4),"")</f>
        <v>70</v>
      </c>
      <c r="AW39">
        <f>MIN(Y39/150, 1)*30</f>
        <v>7</v>
      </c>
      <c r="AX39">
        <f>MIN(K39/4000, 1)*20</f>
        <v>0</v>
      </c>
      <c r="AY39">
        <f>MIN(W39/400,1)*20</f>
        <v>0</v>
      </c>
      <c r="AZ39" s="4">
        <v>1</v>
      </c>
      <c r="BA39">
        <f>((MAX($J39,1)*MIN($AE39/300,1)))*IF(D39="Wagon",50,10)</f>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BD39*IF($D39="wagon",62.5,781.25)</f>
        <v>437.5</v>
      </c>
      <c r="BG39" s="15">
        <f>BE39*IF($D39="wagon",2.73,81.25)</f>
        <v>70.98</v>
      </c>
      <c r="BJ39">
        <f>INT(Y39*1.25)</f>
        <v>43</v>
      </c>
      <c r="BP39">
        <v>1</v>
      </c>
      <c r="BQ39">
        <v>185</v>
      </c>
      <c r="BR39" t="s">
        <v>1099</v>
      </c>
      <c r="BS39" t="s">
        <v>451</v>
      </c>
      <c r="BT39" t="str">
        <f>VLOOKUP(G39,Eras!$A$2:$C$10, 2, TRUE)</f>
        <v>vct</v>
      </c>
      <c r="BU39" t="s">
        <v>381</v>
      </c>
      <c r="BV39" t="str">
        <f>CONCATENATE(BT39,"_",BU39)</f>
        <v>vct_Flat Wagon</v>
      </c>
      <c r="BW39" t="str">
        <f>IF(AND(BI39&lt;&gt;Y39,BI39&lt;&gt;""),_xlfn.CONCAT("{BLACK}","Tare speed: ","{GOLD}{VELOCITY}{}"), "")</f>
        <v/>
      </c>
      <c r="BX39" t="str">
        <f>_xlfn.CONCAT(E39, "_",F39)</f>
        <v>wagon_RAIL</v>
      </c>
      <c r="BY39" t="str">
        <f>VLOOKUP($BX39, Constants!$M:$N, 2, FALSE)</f>
        <v/>
      </c>
      <c r="BZ39" t="str">
        <f>IF(J39&gt;1,_xlfn.CONCAT("{BLACK}Cars: {GOLD}", J39),"")</f>
        <v/>
      </c>
      <c r="CA39" t="s">
        <v>836</v>
      </c>
      <c r="CB39" t="str">
        <f>IF(BS39="BRAKE","{YELLOW}Speed bonus for slow wagons{}",IF(BQ39&gt;190,CONCATENATE("{YELLOW}",INT((BQ39-185)/1.85),"% Bonus for long distance travel{}"),IF(AND(BQ39&lt;180,BQ39&lt;&gt;0),CONCATENATE("{YELLOW}",INT((185-BQ39)/1.85),"% Penalty for long distance travel{}"),"")))</f>
        <v/>
      </c>
      <c r="CC39" t="str">
        <f>_xlfn.CONCAT(BW39,BY39,IF(BY39 &lt;&gt; "", " ", ""),BZ39,IF(OR(BZ39&lt;&gt;"", BY39&lt;&gt;""), "{}",""), CB39,"{SILVER}", CA39)</f>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IF(AND(T40&gt;0,W40&gt;0),(W40/((T40+U40)*10)),"")</f>
        <v/>
      </c>
      <c r="Y40">
        <v>45</v>
      </c>
      <c r="AA40">
        <v>8</v>
      </c>
      <c r="AB40">
        <v>8</v>
      </c>
      <c r="AE40" s="11">
        <v>24</v>
      </c>
      <c r="AF40" t="str">
        <f>CONCATENATE(VLOOKUP(AG40, 'Voxel Sizes'!$A$2:$B$18,2,FALSE),"x",INT(AC40*15), "x", INT(AD40*15))</f>
        <v>82x0x0</v>
      </c>
      <c r="AG40">
        <f>ROUND(15*((AB40*10)/256),0)</f>
        <v>5</v>
      </c>
      <c r="AI40" t="str">
        <f>CONCATENATE(VLOOKUP(AG40,Constants!$A$2:$C$16,IF(AH40&lt;&gt;"", 3, 2), FALSE),IF(AH40&lt;&gt;"",CONCATENATE(",",VLOOKUP(AH40,$B:$AI,34,FALSE)),""))</f>
        <v>2,1,2</v>
      </c>
      <c r="AS40">
        <v>30</v>
      </c>
      <c r="AT40">
        <f>IF(I40&lt;&gt;"",MAX(8,(I40-G40)-4),"")</f>
        <v>50</v>
      </c>
      <c r="AW40">
        <f>MIN(Y40/150, 1)*30</f>
        <v>9</v>
      </c>
      <c r="AX40">
        <f>MIN(K40/4000, 1)*20</f>
        <v>0</v>
      </c>
      <c r="AY40">
        <f>MIN(W40/400,1)*20</f>
        <v>0</v>
      </c>
      <c r="AZ40" s="4">
        <v>1</v>
      </c>
      <c r="BA40">
        <f>((MAX($J40,1)*MIN($AE40/300,1)))*IF(D40="Wagon",50,10)</f>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BD40*IF($D40="wagon",62.5,781.25)</f>
        <v>500</v>
      </c>
      <c r="BG40" s="15">
        <f>BE40*IF($D40="wagon",2.73,81.25)</f>
        <v>76.44</v>
      </c>
      <c r="BJ40">
        <f>INT(Y40*1.25)</f>
        <v>56</v>
      </c>
      <c r="BP40">
        <v>1</v>
      </c>
      <c r="BQ40">
        <v>185</v>
      </c>
      <c r="BR40" t="s">
        <v>1099</v>
      </c>
      <c r="BS40" t="s">
        <v>451</v>
      </c>
      <c r="BT40" t="str">
        <f>VLOOKUP(G40,Eras!$A$2:$C$10, 2, TRUE)</f>
        <v>edw</v>
      </c>
      <c r="BU40" t="s">
        <v>381</v>
      </c>
      <c r="BV40" t="str">
        <f>CONCATENATE(BT40,"_",BU40)</f>
        <v>edw_Flat Wagon</v>
      </c>
      <c r="BW40" t="str">
        <f>IF(AND(BI40&lt;&gt;Y40,BI40&lt;&gt;""),_xlfn.CONCAT("{BLACK}","Tare speed: ","{GOLD}{VELOCITY}{}"), "")</f>
        <v/>
      </c>
      <c r="BX40" t="str">
        <f>_xlfn.CONCAT(E40, "_",F40)</f>
        <v>wagon_RAIL</v>
      </c>
      <c r="BY40" t="str">
        <f>VLOOKUP($BX40, Constants!$M:$N, 2, FALSE)</f>
        <v/>
      </c>
      <c r="BZ40" t="str">
        <f>IF(J40&gt;1,_xlfn.CONCAT("{BLACK}Cars: {GOLD}", J40),"")</f>
        <v/>
      </c>
      <c r="CA40" t="s">
        <v>452</v>
      </c>
      <c r="CB40" t="str">
        <f>IF(BS40="BRAKE","{YELLOW}Speed bonus for slow wagons{}",IF(BQ40&gt;190,CONCATENATE("{YELLOW}",INT((BQ40-185)/1.85),"% Bonus for long distance travel{}"),IF(AND(BQ40&lt;180,BQ40&lt;&gt;0),CONCATENATE("{YELLOW}",INT((185-BQ40)/1.85),"% Penalty for long distance travel{}"),"")))</f>
        <v/>
      </c>
      <c r="CC40" t="str">
        <f>_xlfn.CONCAT(BW40,BY40,IF(BY40 &lt;&gt; "", " ", ""),BZ40,IF(OR(BZ40&lt;&gt;"", BY40&lt;&gt;""), "{}",""), CB40,"{SILVER}", CA40)</f>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IF(AND(T41&gt;0,W41&gt;0),(W41/((T41+U41)*10)),"")</f>
        <v/>
      </c>
      <c r="Y41">
        <v>45</v>
      </c>
      <c r="AA41">
        <v>15.2</v>
      </c>
      <c r="AB41">
        <v>15.2</v>
      </c>
      <c r="AE41" s="11">
        <v>42</v>
      </c>
      <c r="AF41" t="str">
        <f>CONCATENATE(VLOOKUP(AG41, 'Voxel Sizes'!$A$2:$B$18,2,FALSE),"x",INT(AC41*15), "x", INT(AD41*15))</f>
        <v>152x0x0</v>
      </c>
      <c r="AG41">
        <f>ROUND(15*((AB41*10)/256),0)</f>
        <v>9</v>
      </c>
      <c r="AI41" t="str">
        <f>CONCATENATE(VLOOKUP(AG41,Constants!$A$2:$C$16,IF(AH41&lt;&gt;"", 3, 2), FALSE),IF(AH41&lt;&gt;"",CONCATENATE(",",VLOOKUP(AH41,$B:$AI,34,FALSE)),""))</f>
        <v>2,5,2</v>
      </c>
      <c r="AS41">
        <v>30</v>
      </c>
      <c r="AT41">
        <f>IF(I41&lt;&gt;"",MAX(8,(I41-G41)-4),"")</f>
        <v>45</v>
      </c>
      <c r="AW41">
        <f>MIN(Y41/150, 1)*30</f>
        <v>9</v>
      </c>
      <c r="AX41">
        <f>MIN(K41/4000, 1)*20</f>
        <v>0</v>
      </c>
      <c r="AY41">
        <f>MIN(W41/400,1)*20</f>
        <v>0</v>
      </c>
      <c r="AZ41" s="4">
        <v>1</v>
      </c>
      <c r="BA41">
        <f>((MAX($J41,1)*MIN($AE41/300,1)))*IF(D41="Wagon",50,10)</f>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BD41*IF($D41="wagon",62.5,781.25)</f>
        <v>625</v>
      </c>
      <c r="BG41" s="15">
        <f>BE41*IF($D41="wagon",2.73,81.25)</f>
        <v>84.63</v>
      </c>
      <c r="BJ41">
        <f>INT(Y41*1.25)</f>
        <v>56</v>
      </c>
      <c r="BP41">
        <v>1</v>
      </c>
      <c r="BQ41">
        <v>185</v>
      </c>
      <c r="BR41" t="s">
        <v>1099</v>
      </c>
      <c r="BS41" t="s">
        <v>451</v>
      </c>
      <c r="BT41" t="str">
        <f>VLOOKUP(G41,Eras!$A$2:$C$10, 2, TRUE)</f>
        <v>edw</v>
      </c>
      <c r="BU41" t="s">
        <v>381</v>
      </c>
      <c r="BV41" t="str">
        <f>CONCATENATE(BT41,"_",BU41)</f>
        <v>edw_Flat Wagon</v>
      </c>
      <c r="BW41" t="str">
        <f>IF(AND(BI41&lt;&gt;Y41,BI41&lt;&gt;""),_xlfn.CONCAT("{BLACK}","Tare speed: ","{GOLD}{VELOCITY}{}"), "")</f>
        <v/>
      </c>
      <c r="BX41" t="str">
        <f>_xlfn.CONCAT(E41, "_",F41)</f>
        <v>wagon_RAIL</v>
      </c>
      <c r="BY41" t="str">
        <f>VLOOKUP($BX41, Constants!$M:$N, 2, FALSE)</f>
        <v/>
      </c>
      <c r="BZ41" t="str">
        <f>IF(J41&gt;1,_xlfn.CONCAT("{BLACK}Cars: {GOLD}", J41),"")</f>
        <v/>
      </c>
      <c r="CA41" t="s">
        <v>817</v>
      </c>
      <c r="CB41" t="str">
        <f>IF(BS41="BRAKE","{YELLOW}Speed bonus for slow wagons{}",IF(BQ41&gt;190,CONCATENATE("{YELLOW}",INT((BQ41-185)/1.85),"% Bonus for long distance travel{}"),IF(AND(BQ41&lt;180,BQ41&lt;&gt;0),CONCATENATE("{YELLOW}",INT((185-BQ41)/1.85),"% Penalty for long distance travel{}"),"")))</f>
        <v/>
      </c>
      <c r="CC41" t="str">
        <f>_xlfn.CONCAT(BW41,BY41,IF(BY41 &lt;&gt; "", " ", ""),BZ41,IF(OR(BZ41&lt;&gt;"", BY41&lt;&gt;""), "{}",""), CB41,"{SILVER}", CA41)</f>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IF(AND(T42&gt;0,W42&gt;0),(W42/((T42+U42)*10)),"")</f>
        <v/>
      </c>
      <c r="Y42">
        <v>50</v>
      </c>
      <c r="AA42">
        <v>10</v>
      </c>
      <c r="AB42">
        <v>10</v>
      </c>
      <c r="AE42" s="11">
        <v>30</v>
      </c>
      <c r="AF42" t="str">
        <f>CONCATENATE(VLOOKUP(AG42, 'Voxel Sizes'!$A$2:$B$18,2,FALSE),"x",INT(AC42*15), "x", INT(AD42*15))</f>
        <v>102x0x0</v>
      </c>
      <c r="AG42">
        <f>ROUND(15*((AB42*10)/256),0)</f>
        <v>6</v>
      </c>
      <c r="AI42" t="str">
        <f>CONCATENATE(VLOOKUP(AG42,Constants!$A$2:$C$16,IF(AH42&lt;&gt;"", 3, 2), FALSE),IF(AH42&lt;&gt;"",CONCATENATE(",",VLOOKUP(AH42,$B:$AI,34,FALSE)),""))</f>
        <v>2,2,2</v>
      </c>
      <c r="AS42">
        <v>30</v>
      </c>
      <c r="AT42">
        <f>IF(I42&lt;&gt;"",MAX(8,(I42-G42)-4),"")</f>
        <v>41</v>
      </c>
      <c r="AW42">
        <f>MIN(Y42/150, 1)*30</f>
        <v>10</v>
      </c>
      <c r="AX42">
        <f>MIN(K42/4000, 1)*20</f>
        <v>0</v>
      </c>
      <c r="AY42">
        <f>MIN(W42/400,1)*20</f>
        <v>0</v>
      </c>
      <c r="AZ42" s="4">
        <v>1</v>
      </c>
      <c r="BA42">
        <f>((MAX($J42,1)*MIN($AE42/300,1)))*IF(D42="Wagon",50,10)</f>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BD42*IF($D42="wagon",62.5,781.25)</f>
        <v>625</v>
      </c>
      <c r="BG42" s="15">
        <f>BE42*IF($D42="wagon",2.73,81.25)</f>
        <v>81.900000000000006</v>
      </c>
      <c r="BJ42">
        <f>INT(Y42*1.25)</f>
        <v>62</v>
      </c>
      <c r="BP42">
        <v>1</v>
      </c>
      <c r="BQ42">
        <v>185</v>
      </c>
      <c r="BR42" t="s">
        <v>1099</v>
      </c>
      <c r="BS42" t="s">
        <v>451</v>
      </c>
      <c r="BT42" t="str">
        <f>VLOOKUP(G42,Eras!$A$2:$C$10, 2, TRUE)</f>
        <v>big4</v>
      </c>
      <c r="BU42" t="s">
        <v>381</v>
      </c>
      <c r="BV42" t="str">
        <f>CONCATENATE(BT42,"_",BU42)</f>
        <v>big4_Flat Wagon</v>
      </c>
      <c r="BW42" t="str">
        <f>IF(AND(BI42&lt;&gt;Y42,BI42&lt;&gt;""),_xlfn.CONCAT("{BLACK}","Tare speed: ","{GOLD}{VELOCITY}{}"), "")</f>
        <v/>
      </c>
      <c r="BX42" t="str">
        <f>_xlfn.CONCAT(E42, "_",F42)</f>
        <v>wagon_RAIL</v>
      </c>
      <c r="BY42" t="str">
        <f>VLOOKUP($BX42, Constants!$M:$N, 2, FALSE)</f>
        <v/>
      </c>
      <c r="BZ42" t="str">
        <f>IF(J42&gt;1,_xlfn.CONCAT("{BLACK}Cars: {GOLD}", J42),"")</f>
        <v/>
      </c>
      <c r="CA42" t="s">
        <v>825</v>
      </c>
      <c r="CB42" t="str">
        <f>IF(BS42="BRAKE","{YELLOW}Speed bonus for slow wagons{}",IF(BQ42&gt;190,CONCATENATE("{YELLOW}",INT((BQ42-185)/1.85),"% Bonus for long distance travel{}"),IF(AND(BQ42&lt;180,BQ42&lt;&gt;0),CONCATENATE("{YELLOW}",INT((185-BQ42)/1.85),"% Penalty for long distance travel{}"),"")))</f>
        <v/>
      </c>
      <c r="CC42" t="str">
        <f>_xlfn.CONCAT(BW42,BY42,IF(BY42 &lt;&gt; "", " ", ""),BZ42,IF(OR(BZ42&lt;&gt;"", BY42&lt;&gt;""), "{}",""), CB42,"{SILVER}", CA42)</f>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IF(AND(T43&gt;0,W43&gt;0),(W43/((T43+U43)*10)),"")</f>
        <v/>
      </c>
      <c r="Y43">
        <v>60</v>
      </c>
      <c r="AA43">
        <v>15.8</v>
      </c>
      <c r="AB43">
        <v>19.8</v>
      </c>
      <c r="AE43" s="11">
        <f>19*3</f>
        <v>57</v>
      </c>
      <c r="AF43" t="str">
        <f>CONCATENATE(VLOOKUP(AG43, 'Voxel Sizes'!$A$2:$B$18,2,FALSE),"x",INT(AC43*15), "x", INT(AD43*15))</f>
        <v>198x0x0</v>
      </c>
      <c r="AG43">
        <f>ROUND(15*((AB43*10)/256),0)</f>
        <v>12</v>
      </c>
      <c r="AI43" t="str">
        <f>CONCATENATE(VLOOKUP(AG43,Constants!$A$2:$C$16,IF(AH43&lt;&gt;"", 3, 2), FALSE),IF(AH43&lt;&gt;"",CONCATENATE(",",VLOOKUP(AH43,$B:$AI,34,FALSE)),""))</f>
        <v>4,4,4</v>
      </c>
      <c r="AS43">
        <v>30</v>
      </c>
      <c r="AT43">
        <f>IF(I43&lt;&gt;"",MAX(8,(I43-G43)-4),"")</f>
        <v>57</v>
      </c>
      <c r="AW43">
        <f>MIN(Y43/150, 1)*30</f>
        <v>12</v>
      </c>
      <c r="AX43">
        <f>MIN(K43/4000, 1)*20</f>
        <v>0</v>
      </c>
      <c r="AY43">
        <f>MIN(W43/400,1)*20</f>
        <v>0</v>
      </c>
      <c r="AZ43" s="4">
        <v>1</v>
      </c>
      <c r="BA43">
        <f>((MAX($J43,1)*MIN($AE43/300,1)))*IF(D43="Wagon",50,10)</f>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BD43*IF($D43="wagon",62.5,781.25)</f>
        <v>812.5</v>
      </c>
      <c r="BG43" s="15">
        <f>BE43*IF($D43="wagon",2.73,81.25)</f>
        <v>98.28</v>
      </c>
      <c r="BJ43">
        <f>INT(Y43*1.25)</f>
        <v>75</v>
      </c>
      <c r="BP43">
        <v>1</v>
      </c>
      <c r="BQ43">
        <v>185</v>
      </c>
      <c r="BR43" t="s">
        <v>1099</v>
      </c>
      <c r="BS43" t="s">
        <v>451</v>
      </c>
      <c r="BT43" t="str">
        <f>VLOOKUP(G43,Eras!$A$2:$C$10, 2, TRUE)</f>
        <v>ebr</v>
      </c>
      <c r="BU43" t="s">
        <v>381</v>
      </c>
      <c r="BV43" t="str">
        <f>CONCATENATE(BT43,"_",BU43)</f>
        <v>ebr_Flat Wagon</v>
      </c>
      <c r="BW43" t="str">
        <f>IF(AND(BI43&lt;&gt;Y43,BI43&lt;&gt;""),_xlfn.CONCAT("{BLACK}","Tare speed: ","{GOLD}{VELOCITY}{}"), "")</f>
        <v/>
      </c>
      <c r="BX43" t="str">
        <f>_xlfn.CONCAT(E43, "_",F43)</f>
        <v>wagon_RAIL</v>
      </c>
      <c r="BY43" t="str">
        <f>VLOOKUP($BX43, Constants!$M:$N, 2, FALSE)</f>
        <v/>
      </c>
      <c r="BZ43" t="str">
        <f>IF(J43&gt;1,_xlfn.CONCAT("{BLACK}Cars: {GOLD}", J43),"")</f>
        <v/>
      </c>
      <c r="CA43" t="s">
        <v>831</v>
      </c>
      <c r="CB43" t="str">
        <f>IF(BS43="BRAKE","{YELLOW}Speed bonus for slow wagons{}",IF(BQ43&gt;190,CONCATENATE("{YELLOW}",INT((BQ43-185)/1.85),"% Bonus for long distance travel{}"),IF(AND(BQ43&lt;180,BQ43&lt;&gt;0),CONCATENATE("{YELLOW}",INT((185-BQ43)/1.85),"% Penalty for long distance travel{}"),"")))</f>
        <v/>
      </c>
      <c r="CC43" t="str">
        <f>_xlfn.CONCAT(BW43,BY43,IF(BY43 &lt;&gt; "", " ", ""),BZ43,IF(OR(BZ43&lt;&gt;"", BY43&lt;&gt;""), "{}",""), CB43,"{SILVER}", CA43)</f>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IF(AND(T44&gt;0,W44&gt;0),(W44/((T44+U44)*10)),"")</f>
        <v/>
      </c>
      <c r="Y44">
        <v>70</v>
      </c>
      <c r="AA44">
        <v>15.8</v>
      </c>
      <c r="AB44">
        <v>15.8</v>
      </c>
      <c r="AE44" s="11">
        <v>45</v>
      </c>
      <c r="AF44" t="str">
        <f>CONCATENATE(VLOOKUP(AG44, 'Voxel Sizes'!$A$2:$B$18,2,FALSE),"x",INT(AC44*15), "x", INT(AD44*15))</f>
        <v>152x0x0</v>
      </c>
      <c r="AG44">
        <f>ROUND(15*((AB44*10)/256),0)</f>
        <v>9</v>
      </c>
      <c r="AI44" t="str">
        <f>CONCATENATE(VLOOKUP(AG44,Constants!$A$2:$C$16,IF(AH44&lt;&gt;"", 3, 2), FALSE),IF(AH44&lt;&gt;"",CONCATENATE(",",VLOOKUP(AH44,$B:$AI,34,FALSE)),""))</f>
        <v>2,5,2</v>
      </c>
      <c r="AS44">
        <v>30</v>
      </c>
      <c r="AT44" t="str">
        <f>IF(I44&lt;&gt;"",MAX(8,(I44-G44)-4),"")</f>
        <v/>
      </c>
      <c r="AW44">
        <f>MIN(Y44/150, 1)*30</f>
        <v>14</v>
      </c>
      <c r="AX44">
        <f>MIN(K44/4000, 1)*20</f>
        <v>0</v>
      </c>
      <c r="AY44">
        <f>MIN(W44/400,1)*20</f>
        <v>0</v>
      </c>
      <c r="AZ44" s="4">
        <v>1</v>
      </c>
      <c r="BA44">
        <f>((MAX($J44,1)*MIN($AE44/300,1)))*IF(D44="Wagon",50,10)</f>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BD44*IF($D44="wagon",62.5,781.25)</f>
        <v>812.5</v>
      </c>
      <c r="BG44" s="15">
        <f>BE44*IF($D44="wagon",2.73,81.25)</f>
        <v>98.28</v>
      </c>
      <c r="BJ44">
        <f>INT(Y44*1.25)</f>
        <v>87</v>
      </c>
      <c r="BP44">
        <v>1</v>
      </c>
      <c r="BQ44">
        <v>185</v>
      </c>
      <c r="BR44" t="s">
        <v>1099</v>
      </c>
      <c r="BS44" t="s">
        <v>451</v>
      </c>
      <c r="BT44" t="str">
        <f>VLOOKUP(G44,Eras!$A$2:$C$10, 2, TRUE)</f>
        <v>lbr</v>
      </c>
      <c r="BU44" t="s">
        <v>381</v>
      </c>
      <c r="BV44" t="str">
        <f>CONCATENATE(BT44,"_",BU44)</f>
        <v>lbr_Flat Wagon</v>
      </c>
      <c r="BW44" t="str">
        <f>IF(AND(BI44&lt;&gt;Y44,BI44&lt;&gt;""),_xlfn.CONCAT("{BLACK}","Tare speed: ","{GOLD}{VELOCITY}{}"), "")</f>
        <v/>
      </c>
      <c r="BX44" t="str">
        <f>_xlfn.CONCAT(E44, "_",F44)</f>
        <v>wagon_RAIL</v>
      </c>
      <c r="BY44" t="str">
        <f>VLOOKUP($BX44, Constants!$M:$N, 2, FALSE)</f>
        <v/>
      </c>
      <c r="BZ44" t="str">
        <f>IF(J44&gt;1,_xlfn.CONCAT("{BLACK}Cars: {GOLD}", J44),"")</f>
        <v/>
      </c>
      <c r="CA44" t="s">
        <v>828</v>
      </c>
      <c r="CB44" t="str">
        <f>IF(BS44="BRAKE","{YELLOW}Speed bonus for slow wagons{}",IF(BQ44&gt;190,CONCATENATE("{YELLOW}",INT((BQ44-185)/1.85),"% Bonus for long distance travel{}"),IF(AND(BQ44&lt;180,BQ44&lt;&gt;0),CONCATENATE("{YELLOW}",INT((185-BQ44)/1.85),"% Penalty for long distance travel{}"),"")))</f>
        <v/>
      </c>
      <c r="CC44" t="str">
        <f>_xlfn.CONCAT(BW44,BY44,IF(BY44 &lt;&gt; "", " ", ""),BZ44,IF(OR(BZ44&lt;&gt;"", BY44&lt;&gt;""), "{}",""), CB44,"{SILVER}", CA44)</f>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IF(AND(T45&gt;0,W45&gt;0),(W45/((T45+U45)*10)),"")</f>
        <v/>
      </c>
      <c r="Y45">
        <v>85</v>
      </c>
      <c r="AA45">
        <v>15.8</v>
      </c>
      <c r="AB45">
        <v>19.8</v>
      </c>
      <c r="AE45" s="11">
        <v>60</v>
      </c>
      <c r="AF45" t="str">
        <f>CONCATENATE(VLOOKUP(AG45, 'Voxel Sizes'!$A$2:$B$18,2,FALSE),"x",INT(AC45*15), "x", INT(AD45*15))</f>
        <v>198x0x0</v>
      </c>
      <c r="AG45">
        <f>ROUND(15*((AB45*10)/256),0)</f>
        <v>12</v>
      </c>
      <c r="AI45" t="str">
        <f>CONCATENATE(VLOOKUP(AG45,Constants!$A$2:$C$16,IF(AH45&lt;&gt;"", 3, 2), FALSE),IF(AH45&lt;&gt;"",CONCATENATE(",",VLOOKUP(AH45,$B:$AI,34,FALSE)),""))</f>
        <v>4,4,4</v>
      </c>
      <c r="AS45">
        <v>30</v>
      </c>
      <c r="AT45" t="str">
        <f>IF(I45&lt;&gt;"",MAX(8,(I45-G45)-4),"")</f>
        <v/>
      </c>
      <c r="AW45">
        <f>MIN(Y45/150, 1)*30</f>
        <v>17</v>
      </c>
      <c r="AX45">
        <f>MIN(K45/4000, 1)*20</f>
        <v>0</v>
      </c>
      <c r="AY45">
        <f>MIN(W45/400,1)*20</f>
        <v>0</v>
      </c>
      <c r="AZ45" s="4">
        <v>1</v>
      </c>
      <c r="BA45">
        <f>((MAX($J45,1)*MIN($AE45/300,1)))*IF(D45="Wagon",50,10)</f>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BD45*IF($D45="wagon",62.5,781.25)</f>
        <v>1000</v>
      </c>
      <c r="BG45" s="15">
        <f>BE45*IF($D45="wagon",2.73,81.25)</f>
        <v>114.66</v>
      </c>
      <c r="BJ45">
        <f>INT(Y45*1.25)</f>
        <v>106</v>
      </c>
      <c r="BP45">
        <v>1</v>
      </c>
      <c r="BQ45">
        <v>185</v>
      </c>
      <c r="BR45" t="s">
        <v>1099</v>
      </c>
      <c r="BS45" t="s">
        <v>451</v>
      </c>
      <c r="BT45" t="str">
        <f>VLOOKUP(G45,Eras!$A$2:$C$10, 2, TRUE)</f>
        <v>mod</v>
      </c>
      <c r="BU45" t="s">
        <v>381</v>
      </c>
      <c r="BV45" t="str">
        <f>CONCATENATE(BT45,"_",BU45)</f>
        <v>mod_Flat Wagon</v>
      </c>
      <c r="BW45" t="str">
        <f>IF(AND(BI45&lt;&gt;Y45,BI45&lt;&gt;""),_xlfn.CONCAT("{BLACK}","Tare speed: ","{GOLD}{VELOCITY}{}"), "")</f>
        <v/>
      </c>
      <c r="BX45" t="str">
        <f>_xlfn.CONCAT(E45, "_",F45)</f>
        <v>wagon_RAIL</v>
      </c>
      <c r="BY45" t="str">
        <f>VLOOKUP($BX45, Constants!$M:$N, 2, FALSE)</f>
        <v/>
      </c>
      <c r="BZ45" t="str">
        <f>IF(J45&gt;1,_xlfn.CONCAT("{BLACK}Cars: {GOLD}", J45),"")</f>
        <v/>
      </c>
      <c r="CA45" t="s">
        <v>834</v>
      </c>
      <c r="CB45" t="str">
        <f>IF(BS45="BRAKE","{YELLOW}Speed bonus for slow wagons{}",IF(BQ45&gt;190,CONCATENATE("{YELLOW}",INT((BQ45-185)/1.85),"% Bonus for long distance travel{}"),IF(AND(BQ45&lt;180,BQ45&lt;&gt;0),CONCATENATE("{YELLOW}",INT((185-BQ45)/1.85),"% Penalty for long distance travel{}"),"")))</f>
        <v/>
      </c>
      <c r="CC45" t="str">
        <f>_xlfn.CONCAT(BW45,BY45,IF(BY45 &lt;&gt; "", " ", ""),BZ45,IF(OR(BZ45&lt;&gt;"", BY45&lt;&gt;""), "{}",""), CB45,"{SILVER}", CA45)</f>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IF(AND(T46&gt;0,W46&gt;0),(W46/((T46+U46)*10)),"")</f>
        <v/>
      </c>
      <c r="Y46">
        <v>70</v>
      </c>
      <c r="AA46">
        <v>13.3</v>
      </c>
      <c r="AB46">
        <v>13.3</v>
      </c>
      <c r="AE46" s="11">
        <v>42</v>
      </c>
      <c r="AF46" t="str">
        <f>CONCATENATE(VLOOKUP(AG46, 'Voxel Sizes'!$A$2:$B$18,2,FALSE),"x",INT(AC46*15), "x", INT(AD46*15))</f>
        <v>136x0x0</v>
      </c>
      <c r="AG46">
        <f>ROUND(15*((AB46*10)/256),0)</f>
        <v>8</v>
      </c>
      <c r="AI46" t="str">
        <f>CONCATENATE(VLOOKUP(AG46,Constants!$A$2:$C$16,IF(AH46&lt;&gt;"", 3, 2), FALSE),IF(AH46&lt;&gt;"",CONCATENATE(",",VLOOKUP(AH46,$B:$AI,34,FALSE)),""))</f>
        <v>2,4,2</v>
      </c>
      <c r="AS46">
        <v>30</v>
      </c>
      <c r="AT46" t="str">
        <f>IF(I46&lt;&gt;"",MAX(8,(I46-G46)-4),"")</f>
        <v/>
      </c>
      <c r="AW46">
        <f>MIN(Y46/150, 1)*30</f>
        <v>14</v>
      </c>
      <c r="AX46">
        <f>MIN(K46/4000, 1)*20</f>
        <v>0</v>
      </c>
      <c r="AY46">
        <f>MIN(W46/400,1)*20</f>
        <v>0</v>
      </c>
      <c r="AZ46" s="4">
        <v>1</v>
      </c>
      <c r="BA46">
        <f>((MAX($J46,1)*MIN($AE46/300,1)))*IF(D46="Wagon",50,10)</f>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BD46*IF($D46="wagon",62.5,781.25)</f>
        <v>812.5</v>
      </c>
      <c r="BG46" s="15">
        <f>BE46*IF($D46="wagon",2.73,81.25)</f>
        <v>98.28</v>
      </c>
      <c r="BJ46">
        <f>INT(Y46*1.25)</f>
        <v>87</v>
      </c>
      <c r="BP46">
        <v>1</v>
      </c>
      <c r="BQ46">
        <v>185</v>
      </c>
      <c r="BR46" t="s">
        <v>945</v>
      </c>
      <c r="BS46" t="s">
        <v>848</v>
      </c>
      <c r="BT46" t="str">
        <f>VLOOKUP(G46,Eras!$A$2:$C$10, 2, TRUE)</f>
        <v>lbr</v>
      </c>
      <c r="BU46" t="s">
        <v>381</v>
      </c>
      <c r="BV46" t="str">
        <f>CONCATENATE(BT46,"_",BU46)</f>
        <v>lbr_Flat Wagon</v>
      </c>
      <c r="BW46" t="str">
        <f>IF(AND(BI46&lt;&gt;Y46,BI46&lt;&gt;""),_xlfn.CONCAT("{BLACK}","Tare speed: ","{GOLD}{VELOCITY}{}"), "")</f>
        <v/>
      </c>
      <c r="BX46" t="str">
        <f>_xlfn.CONCAT(E46, "_",F46)</f>
        <v>wagon_RAIL</v>
      </c>
      <c r="BY46" t="str">
        <f>VLOOKUP($BX46, Constants!$M:$N, 2, FALSE)</f>
        <v/>
      </c>
      <c r="BZ46" t="str">
        <f>IF(J46&gt;1,_xlfn.CONCAT("{BLACK}Cars: {GOLD}", J46),"")</f>
        <v/>
      </c>
      <c r="CA46" t="s">
        <v>849</v>
      </c>
      <c r="CB46" t="str">
        <f>IF(BS46="BRAKE","{YELLOW}Speed bonus for slow wagons{}",IF(BQ46&gt;190,CONCATENATE("{YELLOW}",INT((BQ46-185)/1.85),"% Bonus for long distance travel{}"),IF(AND(BQ46&lt;180,BQ46&lt;&gt;0),CONCATENATE("{YELLOW}",INT((185-BQ46)/1.85),"% Penalty for long distance travel{}"),"")))</f>
        <v/>
      </c>
      <c r="CC46" t="str">
        <f>_xlfn.CONCAT(BW46,BY46,IF(BY46 &lt;&gt; "", " ", ""),BZ46,IF(OR(BZ46&lt;&gt;"", BY46&lt;&gt;""), "{}",""), CB46,"{SILVER}", CA46)</f>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IF(AND(T47&gt;0,W47&gt;0),(W47/((T47+U47)*10)),"")</f>
        <v/>
      </c>
      <c r="Y47">
        <v>85</v>
      </c>
      <c r="AA47">
        <v>18.600000000000001</v>
      </c>
      <c r="AB47">
        <v>18.600000000000001</v>
      </c>
      <c r="AE47" s="11">
        <v>78</v>
      </c>
      <c r="AF47" t="str">
        <f>CONCATENATE(VLOOKUP(AG47, 'Voxel Sizes'!$A$2:$B$18,2,FALSE),"x",INT(AC47*15), "x", INT(AD47*15))</f>
        <v>186x0x0</v>
      </c>
      <c r="AG47">
        <f>ROUND(15*((AB47*10)/256),0)</f>
        <v>11</v>
      </c>
      <c r="AI47" t="str">
        <f>CONCATENATE(VLOOKUP(AG47,Constants!$A$2:$C$16,IF(AH47&lt;&gt;"", 3, 2), FALSE),IF(AH47&lt;&gt;"",CONCATENATE(",",VLOOKUP(AH47,$B:$AI,34,FALSE)),""))</f>
        <v>4,3,4</v>
      </c>
      <c r="AS47">
        <v>30</v>
      </c>
      <c r="AT47" t="str">
        <f>IF(I47&lt;&gt;"",MAX(8,(I47-G47)-4),"")</f>
        <v/>
      </c>
      <c r="AW47">
        <f>MIN(Y47/150, 1)*30</f>
        <v>17</v>
      </c>
      <c r="AX47">
        <f>MIN(K47/4000, 1)*20</f>
        <v>0</v>
      </c>
      <c r="AY47">
        <f>MIN(W47/400,1)*20</f>
        <v>0</v>
      </c>
      <c r="AZ47" s="4">
        <v>1</v>
      </c>
      <c r="BA47">
        <f>((MAX($J47,1)*MIN($AE47/300,1)))*IF(D47="Wagon",50,10)</f>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BD47*IF($D47="wagon",62.5,781.25)</f>
        <v>1125</v>
      </c>
      <c r="BG47" s="15">
        <f>BE47*IF($D47="wagon",2.73,81.25)</f>
        <v>122.85</v>
      </c>
      <c r="BJ47">
        <f>INT(Y47*1.25)</f>
        <v>106</v>
      </c>
      <c r="BP47">
        <v>1</v>
      </c>
      <c r="BQ47">
        <v>185</v>
      </c>
      <c r="BR47" t="s">
        <v>945</v>
      </c>
      <c r="BS47" t="s">
        <v>848</v>
      </c>
      <c r="BT47" t="str">
        <f>VLOOKUP(G47,Eras!$A$2:$C$10, 2, TRUE)</f>
        <v>prv</v>
      </c>
      <c r="BU47" t="s">
        <v>381</v>
      </c>
      <c r="BV47" t="str">
        <f>CONCATENATE(BT47,"_",BU47)</f>
        <v>prv_Flat Wagon</v>
      </c>
      <c r="BW47" t="str">
        <f>IF(AND(BI47&lt;&gt;Y47,BI47&lt;&gt;""),_xlfn.CONCAT("{BLACK}","Tare speed: ","{GOLD}{VELOCITY}{}"), "")</f>
        <v/>
      </c>
      <c r="BX47" t="str">
        <f>_xlfn.CONCAT(E47, "_",F47)</f>
        <v>wagon_RAIL</v>
      </c>
      <c r="BY47" t="str">
        <f>VLOOKUP($BX47, Constants!$M:$N, 2, FALSE)</f>
        <v/>
      </c>
      <c r="BZ47" t="str">
        <f>IF(J47&gt;1,_xlfn.CONCAT("{BLACK}Cars: {GOLD}", J47),"")</f>
        <v/>
      </c>
      <c r="CA47" t="s">
        <v>847</v>
      </c>
      <c r="CB47" t="str">
        <f>IF(BS47="BRAKE","{YELLOW}Speed bonus for slow wagons{}",IF(BQ47&gt;190,CONCATENATE("{YELLOW}",INT((BQ47-185)/1.85),"% Bonus for long distance travel{}"),IF(AND(BQ47&lt;180,BQ47&lt;&gt;0),CONCATENATE("{YELLOW}",INT((185-BQ47)/1.85),"% Penalty for long distance travel{}"),"")))</f>
        <v/>
      </c>
      <c r="CC47" t="str">
        <f>_xlfn.CONCAT(BW47,BY47,IF(BY47 &lt;&gt; "", " ", ""),BZ47,IF(OR(BZ47&lt;&gt;"", BY47&lt;&gt;""), "{}",""), CB47,"{SILVER}", CA47)</f>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IF(AND(T48&gt;0,W48&gt;0),(W48/((T48+U48)*10)),"")</f>
        <v/>
      </c>
      <c r="Y48">
        <v>35</v>
      </c>
      <c r="AA48">
        <v>4.9000000000000004</v>
      </c>
      <c r="AB48">
        <v>6</v>
      </c>
      <c r="AE48" s="11">
        <v>15</v>
      </c>
      <c r="AF48" t="str">
        <f>CONCATENATE(VLOOKUP(AG48, 'Voxel Sizes'!$A$2:$B$18,2,FALSE),"x",INT(AC48*15), "x", INT(AD48*15))</f>
        <v>60x0x0</v>
      </c>
      <c r="AG48">
        <f>ROUND(15*((AB48*10)/256),0)</f>
        <v>4</v>
      </c>
      <c r="AI48" t="str">
        <f>CONCATENATE(VLOOKUP(AG48,Constants!$A$2:$C$16,IF(AH48&lt;&gt;"", 3, 2), FALSE),IF(AH48&lt;&gt;"",CONCATENATE(",",VLOOKUP(AH48,$B:$AI,34,FALSE)),""))</f>
        <v>1,2,1</v>
      </c>
      <c r="AS48">
        <v>30</v>
      </c>
      <c r="AT48">
        <f>IF(I48&lt;&gt;"",MAX(8,(I48-G48)-4),"")</f>
        <v>56</v>
      </c>
      <c r="AW48">
        <f>MIN(Y48/150, 1)*30</f>
        <v>7</v>
      </c>
      <c r="AX48">
        <f>MIN(K48/4000, 1)*20</f>
        <v>0</v>
      </c>
      <c r="AY48">
        <f>MIN(W48/400,1)*20</f>
        <v>0</v>
      </c>
      <c r="AZ48" s="4">
        <v>1</v>
      </c>
      <c r="BA48">
        <f>((MAX($J48,1)*MIN($AE48/300,1)))*IF(D48="Wagon",50,10)</f>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BD48*IF($D48="wagon",62.5,781.25)</f>
        <v>437.5</v>
      </c>
      <c r="BG48" s="15">
        <f>BE48*IF($D48="wagon",2.73,81.25)</f>
        <v>65.52</v>
      </c>
      <c r="BJ48">
        <f>INT(Y48*1.25)</f>
        <v>43</v>
      </c>
      <c r="BP48">
        <v>1</v>
      </c>
      <c r="BQ48">
        <v>185</v>
      </c>
      <c r="BR48" t="s">
        <v>383</v>
      </c>
      <c r="BS48" t="s">
        <v>324</v>
      </c>
      <c r="BT48" t="str">
        <f>VLOOKUP(G48,Eras!$A$2:$C$10, 2, TRUE)</f>
        <v>vct</v>
      </c>
      <c r="BU48" t="s">
        <v>383</v>
      </c>
      <c r="BV48" t="str">
        <f>CONCATENATE(BT48,"_",BU48)</f>
        <v>vct_Tanker</v>
      </c>
      <c r="BW48" t="str">
        <f>IF(AND(BI48&lt;&gt;Y48,BI48&lt;&gt;""),_xlfn.CONCAT("{BLACK}","Tare speed: ","{GOLD}{VELOCITY}{}"), "")</f>
        <v/>
      </c>
      <c r="BX48" t="str">
        <f>_xlfn.CONCAT(E48, "_",F48)</f>
        <v>wagon_RAIL</v>
      </c>
      <c r="BY48" t="str">
        <f>VLOOKUP($BX48, Constants!$M:$N, 2, FALSE)</f>
        <v/>
      </c>
      <c r="BZ48" t="str">
        <f>IF(J48&gt;1,_xlfn.CONCAT("{BLACK}Cars: {GOLD}", J48),"")</f>
        <v/>
      </c>
      <c r="CA48" t="s">
        <v>403</v>
      </c>
      <c r="CB48" t="str">
        <f>IF(BS48="BRAKE","{YELLOW}Speed bonus for slow wagons{}",IF(BQ48&gt;190,CONCATENATE("{YELLOW}",INT((BQ48-185)/1.85),"% Bonus for long distance travel{}"),IF(AND(BQ48&lt;180,BQ48&lt;&gt;0),CONCATENATE("{YELLOW}",INT((185-BQ48)/1.85),"% Penalty for long distance travel{}"),"")))</f>
        <v/>
      </c>
      <c r="CC48" t="str">
        <f>_xlfn.CONCAT(BW48,BY48,IF(BY48 &lt;&gt; "", " ", ""),BZ48,IF(OR(BZ48&lt;&gt;"", BY48&lt;&gt;""), "{}",""), CB48,"{SILVER}", CA48)</f>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IF(AND(T49&gt;0,W49&gt;0),(W49/((T49+U49)*10)),"")</f>
        <v/>
      </c>
      <c r="Y49">
        <v>45</v>
      </c>
      <c r="AA49">
        <v>8</v>
      </c>
      <c r="AB49">
        <v>8</v>
      </c>
      <c r="AE49" s="11">
        <v>21</v>
      </c>
      <c r="AF49" t="str">
        <f>CONCATENATE(VLOOKUP(AG49, 'Voxel Sizes'!$A$2:$B$18,2,FALSE),"x",INT(AC49*15), "x", INT(AD49*15))</f>
        <v>82x0x0</v>
      </c>
      <c r="AG49">
        <f>ROUND(15*((AB49*10)/256),0)</f>
        <v>5</v>
      </c>
      <c r="AI49" t="str">
        <f>CONCATENATE(VLOOKUP(AG49,Constants!$A$2:$C$16,IF(AH49&lt;&gt;"", 3, 2), FALSE),IF(AH49&lt;&gt;"",CONCATENATE(",",VLOOKUP(AH49,$B:$AI,34,FALSE)),""))</f>
        <v>2,1,2</v>
      </c>
      <c r="AS49">
        <v>30</v>
      </c>
      <c r="AT49">
        <f>IF(I49&lt;&gt;"",MAX(8,(I49-G49)-4),"")</f>
        <v>34</v>
      </c>
      <c r="AW49">
        <f>MIN(Y49/150, 1)*30</f>
        <v>9</v>
      </c>
      <c r="AX49">
        <f>MIN(K49/4000, 1)*20</f>
        <v>0</v>
      </c>
      <c r="AY49">
        <f>MIN(W49/400,1)*20</f>
        <v>0</v>
      </c>
      <c r="AZ49" s="4">
        <v>1</v>
      </c>
      <c r="BA49">
        <f>((MAX($J49,1)*MIN($AE49/300,1)))*IF(D49="Wagon",50,10)</f>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BD49*IF($D49="wagon",62.5,781.25)</f>
        <v>500</v>
      </c>
      <c r="BG49" s="15">
        <f>BE49*IF($D49="wagon",2.73,81.25)</f>
        <v>73.709999999999994</v>
      </c>
      <c r="BJ49">
        <f>INT(Y49*1.25)</f>
        <v>56</v>
      </c>
      <c r="BP49">
        <v>1</v>
      </c>
      <c r="BQ49">
        <v>185</v>
      </c>
      <c r="BR49" t="s">
        <v>383</v>
      </c>
      <c r="BS49" t="s">
        <v>324</v>
      </c>
      <c r="BT49" t="str">
        <f>VLOOKUP(G49,Eras!$A$2:$C$10, 2, TRUE)</f>
        <v>edw</v>
      </c>
      <c r="BU49" t="s">
        <v>383</v>
      </c>
      <c r="BV49" t="str">
        <f>CONCATENATE(BT49,"_",BU49)</f>
        <v>edw_Tanker</v>
      </c>
      <c r="BW49" t="str">
        <f>IF(AND(BI49&lt;&gt;Y49,BI49&lt;&gt;""),_xlfn.CONCAT("{BLACK}","Tare speed: ","{GOLD}{VELOCITY}{}"), "")</f>
        <v/>
      </c>
      <c r="BX49" t="str">
        <f>_xlfn.CONCAT(E49, "_",F49)</f>
        <v>wagon_RAIL</v>
      </c>
      <c r="BY49" t="str">
        <f>VLOOKUP($BX49, Constants!$M:$N, 2, FALSE)</f>
        <v/>
      </c>
      <c r="BZ49" t="str">
        <f>IF(J49&gt;1,_xlfn.CONCAT("{BLACK}Cars: {GOLD}", J49),"")</f>
        <v/>
      </c>
      <c r="CA49" t="s">
        <v>448</v>
      </c>
      <c r="CB49" t="str">
        <f>IF(BS49="BRAKE","{YELLOW}Speed bonus for slow wagons{}",IF(BQ49&gt;190,CONCATENATE("{YELLOW}",INT((BQ49-185)/1.85),"% Bonus for long distance travel{}"),IF(AND(BQ49&lt;180,BQ49&lt;&gt;0),CONCATENATE("{YELLOW}",INT((185-BQ49)/1.85),"% Penalty for long distance travel{}"),"")))</f>
        <v/>
      </c>
      <c r="CC49" t="str">
        <f>_xlfn.CONCAT(BW49,BY49,IF(BY49 &lt;&gt; "", " ", ""),BZ49,IF(OR(BZ49&lt;&gt;"", BY49&lt;&gt;""), "{}",""), CB49,"{SILVER}", CA49)</f>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ROUND(15*((AB50*10)/256),0)</f>
        <v>5</v>
      </c>
      <c r="AI50" t="str">
        <f>CONCATENATE(VLOOKUP(AG50,Constants!$A$2:$C$16,IF(AH50&lt;&gt;"", 3, 2), FALSE),IF(AH50&lt;&gt;"",CONCATENATE(",",VLOOKUP(AH50,$B:$AI,34,FALSE)),""))</f>
        <v>2,1,2</v>
      </c>
      <c r="AS50">
        <v>30</v>
      </c>
      <c r="AT50">
        <f>IF(I50&lt;&gt;"",MAX(8,(I50-G50)-4),"")</f>
        <v>43</v>
      </c>
      <c r="AW50">
        <f>MIN(Y50/150, 1)*30</f>
        <v>10</v>
      </c>
      <c r="AX50">
        <f>MIN(K50/4000, 1)*20</f>
        <v>0</v>
      </c>
      <c r="AY50">
        <f>MIN(W50/400,1)*20</f>
        <v>0</v>
      </c>
      <c r="AZ50" s="4">
        <v>1</v>
      </c>
      <c r="BA50">
        <f>((MAX($J50,1)*MIN($AE50/300,1)))*IF(D50="Wagon",50,10)</f>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BD50*IF($D50="wagon",62.5,781.25)</f>
        <v>562.5</v>
      </c>
      <c r="BG50" s="15">
        <f>BE50*IF($D50="wagon",2.73,81.25)</f>
        <v>79.17</v>
      </c>
      <c r="BJ50">
        <f>INT(Y50*1.25)</f>
        <v>62</v>
      </c>
      <c r="BP50">
        <v>1</v>
      </c>
      <c r="BQ50">
        <v>185</v>
      </c>
      <c r="BR50" t="s">
        <v>383</v>
      </c>
      <c r="BS50" t="s">
        <v>324</v>
      </c>
      <c r="BT50" t="str">
        <f>VLOOKUP(G50,Eras!$A$2:$C$10, 2, TRUE)</f>
        <v>big4</v>
      </c>
      <c r="BU50" t="s">
        <v>383</v>
      </c>
      <c r="BV50" t="str">
        <f>CONCATENATE(BT50,"_",BU50)</f>
        <v>big4_Tanker</v>
      </c>
      <c r="BW50" t="str">
        <f>IF(AND(BI50&lt;&gt;Y50,BI50&lt;&gt;""),_xlfn.CONCAT("{BLACK}","Tare speed: ","{GOLD}{VELOCITY}{}"), "")</f>
        <v/>
      </c>
      <c r="BX50" t="str">
        <f>_xlfn.CONCAT(E50, "_",F50)</f>
        <v>wagon_RAIL</v>
      </c>
      <c r="BY50" t="str">
        <f>VLOOKUP($BX50, Constants!$M:$N, 2, FALSE)</f>
        <v/>
      </c>
      <c r="BZ50" t="str">
        <f>IF(J50&gt;1,_xlfn.CONCAT("{BLACK}Cars: {GOLD}", J50),"")</f>
        <v/>
      </c>
      <c r="CA50" t="s">
        <v>791</v>
      </c>
      <c r="CB50" t="str">
        <f>IF(BS50="BRAKE","{YELLOW}Speed bonus for slow wagons{}",IF(BQ50&gt;190,CONCATENATE("{YELLOW}",INT((BQ50-185)/1.85),"% Bonus for long distance travel{}"),IF(AND(BQ50&lt;180,BQ50&lt;&gt;0),CONCATENATE("{YELLOW}",INT((185-BQ50)/1.85),"% Penalty for long distance travel{}"),"")))</f>
        <v/>
      </c>
      <c r="CC50" t="str">
        <f>_xlfn.CONCAT(BW50,BY50,IF(BY50 &lt;&gt; "", " ", ""),BZ50,IF(OR(BZ50&lt;&gt;"", BY50&lt;&gt;""), "{}",""), CB50,"{SILVER}", CA50)</f>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IF(AND(T51&gt;0,W51&gt;0),(W51/((T51+U51)*10)),"")</f>
        <v/>
      </c>
      <c r="Y51">
        <v>65</v>
      </c>
      <c r="AA51">
        <v>9.8000000000000007</v>
      </c>
      <c r="AB51">
        <v>9.8000000000000007</v>
      </c>
      <c r="AE51" s="11">
        <v>33</v>
      </c>
      <c r="AF51" t="str">
        <f>CONCATENATE(VLOOKUP(AG51, 'Voxel Sizes'!$A$2:$B$18,2,FALSE),"x",INT(AC51*15), "x", INT(AD51*15))</f>
        <v>102x0x0</v>
      </c>
      <c r="AG51">
        <f>ROUND(15*((AB51*10)/256),0)</f>
        <v>6</v>
      </c>
      <c r="AI51" t="str">
        <f>CONCATENATE(VLOOKUP(AG51,Constants!$A$2:$C$16,IF(AH51&lt;&gt;"", 3, 2), FALSE),IF(AH51&lt;&gt;"",CONCATENATE(",",VLOOKUP(AH51,$B:$AI,34,FALSE)),""))</f>
        <v>2,2,2</v>
      </c>
      <c r="AS51">
        <v>30</v>
      </c>
      <c r="AT51" t="str">
        <f>IF(I51&lt;&gt;"",MAX(8,(I51-G51)-4),"")</f>
        <v/>
      </c>
      <c r="AW51">
        <f>MIN(Y51/150, 1)*30</f>
        <v>13</v>
      </c>
      <c r="AX51">
        <f>MIN(K51/4000, 1)*20</f>
        <v>0</v>
      </c>
      <c r="AY51">
        <f>MIN(W51/400,1)*20</f>
        <v>0</v>
      </c>
      <c r="AZ51" s="4">
        <v>1</v>
      </c>
      <c r="BA51">
        <f>((MAX($J51,1)*MIN($AE51/300,1)))*IF(D51="Wagon",50,10)</f>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BD51*IF($D51="wagon",62.5,781.25)</f>
        <v>687.5</v>
      </c>
      <c r="BG51" s="15">
        <f>BE51*IF($D51="wagon",2.73,81.25)</f>
        <v>90.09</v>
      </c>
      <c r="BJ51">
        <f>INT(Y51*1.25)</f>
        <v>81</v>
      </c>
      <c r="BP51">
        <v>1</v>
      </c>
      <c r="BQ51">
        <v>185</v>
      </c>
      <c r="BR51" t="s">
        <v>383</v>
      </c>
      <c r="BS51" t="s">
        <v>324</v>
      </c>
      <c r="BT51" t="str">
        <f>VLOOKUP(G51,Eras!$A$2:$C$10, 2, TRUE)</f>
        <v>dsl</v>
      </c>
      <c r="BU51" t="s">
        <v>383</v>
      </c>
      <c r="BV51" t="str">
        <f>CONCATENATE(BT51,"_",BU51)</f>
        <v>dsl_Tanker</v>
      </c>
      <c r="BW51" t="str">
        <f>IF(AND(BI51&lt;&gt;Y51,BI51&lt;&gt;""),_xlfn.CONCAT("{BLACK}","Tare speed: ","{GOLD}{VELOCITY}{}"), "")</f>
        <v/>
      </c>
      <c r="BX51" t="str">
        <f>_xlfn.CONCAT(E51, "_",F51)</f>
        <v>wagon_RAIL</v>
      </c>
      <c r="BY51" t="str">
        <f>VLOOKUP($BX51, Constants!$M:$N, 2, FALSE)</f>
        <v/>
      </c>
      <c r="BZ51" t="str">
        <f>IF(J51&gt;1,_xlfn.CONCAT("{BLACK}Cars: {GOLD}", J51),"")</f>
        <v/>
      </c>
      <c r="CA51" t="s">
        <v>765</v>
      </c>
      <c r="CB51" t="str">
        <f>IF(BS51="BRAKE","{YELLOW}Speed bonus for slow wagons{}",IF(BQ51&gt;190,CONCATENATE("{YELLOW}",INT((BQ51-185)/1.85),"% Bonus for long distance travel{}"),IF(AND(BQ51&lt;180,BQ51&lt;&gt;0),CONCATENATE("{YELLOW}",INT((185-BQ51)/1.85),"% Penalty for long distance travel{}"),"")))</f>
        <v/>
      </c>
      <c r="CC51" t="str">
        <f>_xlfn.CONCAT(BW51,BY51,IF(BY51 &lt;&gt; "", " ", ""),BZ51,IF(OR(BZ51&lt;&gt;"", BY51&lt;&gt;""), "{}",""), CB51,"{SILVER}", CA51)</f>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IF(AND(T52&gt;0,W52&gt;0),(W52/((T52+U52)*10)),"")</f>
        <v/>
      </c>
      <c r="Y52">
        <v>70</v>
      </c>
      <c r="AA52">
        <v>17.7</v>
      </c>
      <c r="AB52">
        <v>17.7</v>
      </c>
      <c r="AE52" s="11">
        <v>78</v>
      </c>
      <c r="AF52" t="str">
        <f>CONCATENATE(VLOOKUP(AG52, 'Voxel Sizes'!$A$2:$B$18,2,FALSE),"x",INT(AC52*15), "x", INT(AD52*15))</f>
        <v>164x0x0</v>
      </c>
      <c r="AG52">
        <f>ROUND(15*((AB52*10)/256),0)</f>
        <v>10</v>
      </c>
      <c r="AI52" t="str">
        <f>CONCATENATE(VLOOKUP(AG52,Constants!$A$2:$C$16,IF(AH52&lt;&gt;"", 3, 2), FALSE),IF(AH52&lt;&gt;"",CONCATENATE(",",VLOOKUP(AH52,$B:$AI,34,FALSE)),""))</f>
        <v>4,2,4</v>
      </c>
      <c r="AS52">
        <v>30</v>
      </c>
      <c r="AT52" t="str">
        <f>IF(I52&lt;&gt;"",MAX(8,(I52-G52)-4),"")</f>
        <v/>
      </c>
      <c r="AW52">
        <f>MIN(Y52/150, 1)*30</f>
        <v>14</v>
      </c>
      <c r="AX52">
        <f>MIN(K52/4000, 1)*20</f>
        <v>0</v>
      </c>
      <c r="AY52">
        <f>MIN(W52/400,1)*20</f>
        <v>0</v>
      </c>
      <c r="AZ52" s="4">
        <v>1</v>
      </c>
      <c r="BA52">
        <f>((MAX($J52,1)*MIN($AE52/300,1)))*IF(D52="Wagon",50,10)</f>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BD52*IF($D52="wagon",62.5,781.25)</f>
        <v>1000</v>
      </c>
      <c r="BG52" s="15">
        <f>BE52*IF($D52="wagon",2.73,81.25)</f>
        <v>114.66</v>
      </c>
      <c r="BJ52">
        <f>INT(Y52*1.25)</f>
        <v>87</v>
      </c>
      <c r="BP52">
        <v>1</v>
      </c>
      <c r="BQ52">
        <v>185</v>
      </c>
      <c r="BR52" t="s">
        <v>383</v>
      </c>
      <c r="BS52" t="s">
        <v>324</v>
      </c>
      <c r="BT52" t="str">
        <f>VLOOKUP(G52,Eras!$A$2:$C$10, 2, TRUE)</f>
        <v>lbr</v>
      </c>
      <c r="BU52" t="s">
        <v>383</v>
      </c>
      <c r="BV52" t="str">
        <f>CONCATENATE(BT52,"_",BU52)</f>
        <v>lbr_Tanker</v>
      </c>
      <c r="BW52" t="str">
        <f>IF(AND(BI52&lt;&gt;Y52,BI52&lt;&gt;""),_xlfn.CONCAT("{BLACK}","Tare speed: ","{GOLD}{VELOCITY}{}"), "")</f>
        <v/>
      </c>
      <c r="BX52" t="str">
        <f>_xlfn.CONCAT(E52, "_",F52)</f>
        <v>wagon_RAIL</v>
      </c>
      <c r="BY52" t="str">
        <f>VLOOKUP($BX52, Constants!$M:$N, 2, FALSE)</f>
        <v/>
      </c>
      <c r="BZ52" t="str">
        <f>IF(J52&gt;1,_xlfn.CONCAT("{BLACK}Cars: {GOLD}", J52),"")</f>
        <v/>
      </c>
      <c r="CA52" t="s">
        <v>766</v>
      </c>
      <c r="CB52" t="str">
        <f>IF(BS52="BRAKE","{YELLOW}Speed bonus for slow wagons{}",IF(BQ52&gt;190,CONCATENATE("{YELLOW}",INT((BQ52-185)/1.85),"% Bonus for long distance travel{}"),IF(AND(BQ52&lt;180,BQ52&lt;&gt;0),CONCATENATE("{YELLOW}",INT((185-BQ52)/1.85),"% Penalty for long distance travel{}"),"")))</f>
        <v/>
      </c>
      <c r="CC52" t="str">
        <f>_xlfn.CONCAT(BW52,BY52,IF(BY52 &lt;&gt; "", " ", ""),BZ52,IF(OR(BZ52&lt;&gt;"", BY52&lt;&gt;""), "{}",""), CB52,"{SILVER}", CA52)</f>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IF(AND(T53&gt;0,W53&gt;0),(W53/((T53+U53)*10)),"")</f>
        <v/>
      </c>
      <c r="Y53">
        <v>40</v>
      </c>
      <c r="AA53">
        <v>6</v>
      </c>
      <c r="AB53">
        <v>6</v>
      </c>
      <c r="AE53" s="11">
        <v>18</v>
      </c>
      <c r="AF53" t="str">
        <f>CONCATENATE(VLOOKUP(AG53, 'Voxel Sizes'!$A$2:$B$18,2,FALSE),"x",INT(AC53*15), "x", INT(AD53*15))</f>
        <v>60x0x0</v>
      </c>
      <c r="AG53">
        <f>ROUND(15*((AB53*10)/256),0)</f>
        <v>4</v>
      </c>
      <c r="AI53" t="str">
        <f>CONCATENATE(VLOOKUP(AG53,Constants!$A$2:$C$16,IF(AH53&lt;&gt;"", 3, 2), FALSE),IF(AH53&lt;&gt;"",CONCATENATE(",",VLOOKUP(AH53,$B:$AI,34,FALSE)),""))</f>
        <v>1,2,1</v>
      </c>
      <c r="AS53">
        <v>30</v>
      </c>
      <c r="AT53">
        <f>IF(I53&lt;&gt;"",MAX(8,(I53-G53)-4),"")</f>
        <v>71</v>
      </c>
      <c r="AW53">
        <f>MIN(Y53/150, 1)*30</f>
        <v>8</v>
      </c>
      <c r="AX53">
        <f>MIN(K53/4000, 1)*20</f>
        <v>0</v>
      </c>
      <c r="AY53">
        <f>MIN(W53/400,1)*20</f>
        <v>0</v>
      </c>
      <c r="AZ53" s="4">
        <v>1</v>
      </c>
      <c r="BA53">
        <f>((MAX($J53,1)*MIN($AE53/300,1)))*IF(D53="Wagon",50,10)</f>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BD53*IF($D53="wagon",62.5,781.25)</f>
        <v>437.5</v>
      </c>
      <c r="BG53" s="15">
        <f>BE53*IF($D53="wagon",2.73,81.25)</f>
        <v>70.98</v>
      </c>
      <c r="BJ53">
        <f>INT(Y53*1.25)</f>
        <v>50</v>
      </c>
      <c r="BP53">
        <v>1</v>
      </c>
      <c r="BQ53">
        <v>185</v>
      </c>
      <c r="BR53" t="s">
        <v>961</v>
      </c>
      <c r="BS53" t="s">
        <v>808</v>
      </c>
      <c r="BT53" t="str">
        <f>VLOOKUP(G53,Eras!$A$2:$C$10, 2, TRUE)</f>
        <v>vct</v>
      </c>
      <c r="BU53" t="s">
        <v>382</v>
      </c>
      <c r="BV53" t="str">
        <f>CONCATENATE(BT53,"_",BU53)</f>
        <v>vct_Van</v>
      </c>
      <c r="BW53" t="str">
        <f>IF(AND(BI53&lt;&gt;Y53,BI53&lt;&gt;""),_xlfn.CONCAT("{BLACK}","Tare speed: ","{GOLD}{VELOCITY}{}"), "")</f>
        <v/>
      </c>
      <c r="BX53" t="str">
        <f>_xlfn.CONCAT(E53, "_",F53)</f>
        <v>wagon_RAIL</v>
      </c>
      <c r="BY53" t="str">
        <f>VLOOKUP($BX53, Constants!$M:$N, 2, FALSE)</f>
        <v/>
      </c>
      <c r="BZ53" t="str">
        <f>IF(J53&gt;1,_xlfn.CONCAT("{BLACK}Cars: {GOLD}", J53),"")</f>
        <v/>
      </c>
      <c r="CA53" t="s">
        <v>807</v>
      </c>
      <c r="CB53" t="str">
        <f>IF(BS53="BRAKE","{YELLOW}Speed bonus for slow wagons{}",IF(BQ53&gt;190,CONCATENATE("{YELLOW}",INT((BQ53-185)/1.85),"% Bonus for long distance travel{}"),IF(AND(BQ53&lt;180,BQ53&lt;&gt;0),CONCATENATE("{YELLOW}",INT((185-BQ53)/1.85),"% Penalty for long distance travel{}"),"")))</f>
        <v/>
      </c>
      <c r="CC53" t="str">
        <f>_xlfn.CONCAT(BW53,BY53,IF(BY53 &lt;&gt; "", " ", ""),BZ53,IF(OR(BZ53&lt;&gt;"", BY53&lt;&gt;""), "{}",""), CB53,"{SILVER}", CA53)</f>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IF(AND(T54&gt;0,W54&gt;0),(W54/((T54+U54)*10)),"")</f>
        <v/>
      </c>
      <c r="Y54">
        <v>45</v>
      </c>
      <c r="AA54">
        <v>8.9</v>
      </c>
      <c r="AB54">
        <v>8.9</v>
      </c>
      <c r="AE54" s="11">
        <v>24</v>
      </c>
      <c r="AF54" t="str">
        <f>CONCATENATE(VLOOKUP(AG54, 'Voxel Sizes'!$A$2:$B$18,2,FALSE),"x",INT(AC54*15), "x", INT(AD54*15))</f>
        <v>82x0x0</v>
      </c>
      <c r="AG54">
        <f>ROUND(15*((AB54*10)/256),0)</f>
        <v>5</v>
      </c>
      <c r="AI54" t="str">
        <f>CONCATENATE(VLOOKUP(AG54,Constants!$A$2:$C$16,IF(AH54&lt;&gt;"", 3, 2), FALSE),IF(AH54&lt;&gt;"",CONCATENATE(",",VLOOKUP(AH54,$B:$AI,34,FALSE)),""))</f>
        <v>2,1,2</v>
      </c>
      <c r="AS54">
        <v>30</v>
      </c>
      <c r="AT54">
        <f>IF(I54&lt;&gt;"",MAX(8,(I54-G54)-4),"")</f>
        <v>46</v>
      </c>
      <c r="AW54">
        <f>MIN(Y54/150, 1)*30</f>
        <v>9</v>
      </c>
      <c r="AX54">
        <f>MIN(K54/4000, 1)*20</f>
        <v>0</v>
      </c>
      <c r="AY54">
        <f>MIN(W54/400,1)*20</f>
        <v>0</v>
      </c>
      <c r="AZ54" s="4">
        <v>1</v>
      </c>
      <c r="BA54">
        <f>((MAX($J54,1)*MIN($AE54/300,1)))*IF(D54="Wagon",50,10)</f>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BD54*IF($D54="wagon",62.5,781.25)</f>
        <v>500</v>
      </c>
      <c r="BG54" s="15">
        <f>BE54*IF($D54="wagon",2.73,81.25)</f>
        <v>76.44</v>
      </c>
      <c r="BJ54">
        <f>INT(Y54*1.25)</f>
        <v>56</v>
      </c>
      <c r="BP54">
        <v>1</v>
      </c>
      <c r="BQ54">
        <v>185</v>
      </c>
      <c r="BR54" t="s">
        <v>961</v>
      </c>
      <c r="BS54" t="s">
        <v>808</v>
      </c>
      <c r="BT54" t="str">
        <f>VLOOKUP(G54,Eras!$A$2:$C$10, 2, TRUE)</f>
        <v>edw</v>
      </c>
      <c r="BU54" t="s">
        <v>382</v>
      </c>
      <c r="BV54" t="str">
        <f>CONCATENATE(BT54,"_",BU54)</f>
        <v>edw_Van</v>
      </c>
      <c r="BW54" t="str">
        <f>IF(AND(BI54&lt;&gt;Y54,BI54&lt;&gt;""),_xlfn.CONCAT("{BLACK}","Tare speed: ","{GOLD}{VELOCITY}{}"), "")</f>
        <v/>
      </c>
      <c r="BX54" t="str">
        <f>_xlfn.CONCAT(E54, "_",F54)</f>
        <v>wagon_RAIL</v>
      </c>
      <c r="BY54" t="str">
        <f>VLOOKUP($BX54, Constants!$M:$N, 2, FALSE)</f>
        <v/>
      </c>
      <c r="BZ54" t="str">
        <f>IF(J54&gt;1,_xlfn.CONCAT("{BLACK}Cars: {GOLD}", J54),"")</f>
        <v/>
      </c>
      <c r="CA54" t="s">
        <v>811</v>
      </c>
      <c r="CB54" t="str">
        <f>IF(BS54="BRAKE","{YELLOW}Speed bonus for slow wagons{}",IF(BQ54&gt;190,CONCATENATE("{YELLOW}",INT((BQ54-185)/1.85),"% Bonus for long distance travel{}"),IF(AND(BQ54&lt;180,BQ54&lt;&gt;0),CONCATENATE("{YELLOW}",INT((185-BQ54)/1.85),"% Penalty for long distance travel{}"),"")))</f>
        <v/>
      </c>
      <c r="CC54" t="str">
        <f>_xlfn.CONCAT(BW54,BY54,IF(BY54 &lt;&gt; "", " ", ""),BZ54,IF(OR(BZ54&lt;&gt;"", BY54&lt;&gt;""), "{}",""), CB54,"{SILVER}", CA54)</f>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IF(AND(T55&gt;0,W55&gt;0),(W55/((T55+U55)*10)),"")</f>
        <v/>
      </c>
      <c r="Y55">
        <v>50</v>
      </c>
      <c r="AA55">
        <v>8.9</v>
      </c>
      <c r="AB55">
        <v>8.9</v>
      </c>
      <c r="AE55" s="11">
        <v>24</v>
      </c>
      <c r="AF55" t="str">
        <f>CONCATENATE(VLOOKUP(AG55, 'Voxel Sizes'!$A$2:$B$18,2,FALSE),"x",INT(AC55*15), "x", INT(AD55*15))</f>
        <v>82x0x0</v>
      </c>
      <c r="AG55">
        <f>ROUND(15*((AB55*10)/256),0)</f>
        <v>5</v>
      </c>
      <c r="AI55" t="str">
        <f>CONCATENATE(VLOOKUP(AG55,Constants!$A$2:$C$16,IF(AH55&lt;&gt;"", 3, 2), FALSE),IF(AH55&lt;&gt;"",CONCATENATE(",",VLOOKUP(AH55,$B:$AI,34,FALSE)),""))</f>
        <v>2,1,2</v>
      </c>
      <c r="AS55">
        <v>30</v>
      </c>
      <c r="AT55">
        <f>IF(I55&lt;&gt;"",MAX(8,(I55-G55)-4),"")</f>
        <v>41</v>
      </c>
      <c r="AW55">
        <f>MIN(Y55/150, 1)*30</f>
        <v>10</v>
      </c>
      <c r="AX55">
        <f>MIN(K55/4000, 1)*20</f>
        <v>0</v>
      </c>
      <c r="AY55">
        <f>MIN(W55/400,1)*20</f>
        <v>0</v>
      </c>
      <c r="AZ55" s="4">
        <v>1</v>
      </c>
      <c r="BA55">
        <f>((MAX($J55,1)*MIN($AE55/300,1)))*IF(D55="Wagon",50,10)</f>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BD55*IF($D55="wagon",62.5,781.25)</f>
        <v>562.5</v>
      </c>
      <c r="BG55" s="15">
        <f>BE55*IF($D55="wagon",2.73,81.25)</f>
        <v>79.17</v>
      </c>
      <c r="BJ55">
        <f>INT(Y55*1.25)</f>
        <v>62</v>
      </c>
      <c r="BP55">
        <v>1</v>
      </c>
      <c r="BQ55">
        <v>185</v>
      </c>
      <c r="BR55" t="s">
        <v>961</v>
      </c>
      <c r="BS55" t="s">
        <v>808</v>
      </c>
      <c r="BT55" t="str">
        <f>VLOOKUP(G55,Eras!$A$2:$C$10, 2, TRUE)</f>
        <v>big4</v>
      </c>
      <c r="BU55" t="s">
        <v>382</v>
      </c>
      <c r="BV55" t="str">
        <f>CONCATENATE(BT55,"_",BU55)</f>
        <v>big4_Van</v>
      </c>
      <c r="BW55" t="str">
        <f>IF(AND(BI55&lt;&gt;Y55,BI55&lt;&gt;""),_xlfn.CONCAT("{BLACK}","Tare speed: ","{GOLD}{VELOCITY}{}"), "")</f>
        <v/>
      </c>
      <c r="BX55" t="str">
        <f>_xlfn.CONCAT(E55, "_",F55)</f>
        <v>wagon_RAIL</v>
      </c>
      <c r="BY55" t="str">
        <f>VLOOKUP($BX55, Constants!$M:$N, 2, FALSE)</f>
        <v/>
      </c>
      <c r="BZ55" t="str">
        <f>IF(J55&gt;1,_xlfn.CONCAT("{BLACK}Cars: {GOLD}", J55),"")</f>
        <v/>
      </c>
      <c r="CA55" t="s">
        <v>812</v>
      </c>
      <c r="CB55" t="str">
        <f>IF(BS55="BRAKE","{YELLOW}Speed bonus for slow wagons{}",IF(BQ55&gt;190,CONCATENATE("{YELLOW}",INT((BQ55-185)/1.85),"% Bonus for long distance travel{}"),IF(AND(BQ55&lt;180,BQ55&lt;&gt;0),CONCATENATE("{YELLOW}",INT((185-BQ55)/1.85),"% Penalty for long distance travel{}"),"")))</f>
        <v/>
      </c>
      <c r="CC55" t="str">
        <f>_xlfn.CONCAT(BW55,BY55,IF(BY55 &lt;&gt; "", " ", ""),BZ55,IF(OR(BZ55&lt;&gt;"", BY55&lt;&gt;""), "{}",""), CB55,"{SILVER}", CA55)</f>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IF(AND(T56&gt;0,W56&gt;0),(W56/((T56+U56)*10)),"")</f>
        <v/>
      </c>
      <c r="Y56">
        <v>65</v>
      </c>
      <c r="AA56">
        <v>10.6</v>
      </c>
      <c r="AB56">
        <v>10.6</v>
      </c>
      <c r="AE56" s="11">
        <v>39</v>
      </c>
      <c r="AF56" t="str">
        <f>CONCATENATE(VLOOKUP(AG56, 'Voxel Sizes'!$A$2:$B$18,2,FALSE),"x",INT(AC56*15), "x", INT(AD56*15))</f>
        <v>102x0x0</v>
      </c>
      <c r="AG56">
        <f>ROUND(15*((AB56*10)/256),0)</f>
        <v>6</v>
      </c>
      <c r="AI56" t="str">
        <f>CONCATENATE(VLOOKUP(AG56,Constants!$A$2:$C$16,IF(AH56&lt;&gt;"", 3, 2), FALSE),IF(AH56&lt;&gt;"",CONCATENATE(",",VLOOKUP(AH56,$B:$AI,34,FALSE)),""))</f>
        <v>2,2,2</v>
      </c>
      <c r="AS56">
        <v>30</v>
      </c>
      <c r="AT56">
        <f>IF(I56&lt;&gt;"",MAX(8,(I56-G56)-4),"")</f>
        <v>36</v>
      </c>
      <c r="AW56">
        <f>MIN(Y56/150, 1)*30</f>
        <v>13</v>
      </c>
      <c r="AX56">
        <f>MIN(K56/4000, 1)*20</f>
        <v>0</v>
      </c>
      <c r="AY56">
        <f>MIN(W56/400,1)*20</f>
        <v>0</v>
      </c>
      <c r="AZ56" s="4">
        <v>1</v>
      </c>
      <c r="BA56">
        <f>((MAX($J56,1)*MIN($AE56/300,1)))*IF(D56="Wagon",50,10)</f>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BD56*IF($D56="wagon",62.5,781.25)</f>
        <v>750</v>
      </c>
      <c r="BG56" s="15">
        <f>BE56*IF($D56="wagon",2.73,81.25)</f>
        <v>92.82</v>
      </c>
      <c r="BJ56">
        <f>INT(Y56*1.25)</f>
        <v>81</v>
      </c>
      <c r="BP56">
        <v>1</v>
      </c>
      <c r="BQ56">
        <v>185</v>
      </c>
      <c r="BR56" t="s">
        <v>961</v>
      </c>
      <c r="BS56" t="s">
        <v>808</v>
      </c>
      <c r="BT56" t="str">
        <f>VLOOKUP(G56,Eras!$A$2:$C$10, 2, TRUE)</f>
        <v>dsl</v>
      </c>
      <c r="BU56" t="s">
        <v>382</v>
      </c>
      <c r="BV56" t="str">
        <f>CONCATENATE(BT56,"_",BU56)</f>
        <v>dsl_Van</v>
      </c>
      <c r="BW56" t="str">
        <f>IF(AND(BI56&lt;&gt;Y56,BI56&lt;&gt;""),_xlfn.CONCAT("{BLACK}","Tare speed: ","{GOLD}{VELOCITY}{}"), "")</f>
        <v/>
      </c>
      <c r="BX56" t="str">
        <f>_xlfn.CONCAT(E56, "_",F56)</f>
        <v>wagon_RAIL</v>
      </c>
      <c r="BY56" t="str">
        <f>VLOOKUP($BX56, Constants!$M:$N, 2, FALSE)</f>
        <v/>
      </c>
      <c r="BZ56" t="str">
        <f>IF(J56&gt;1,_xlfn.CONCAT("{BLACK}Cars: {GOLD}", J56),"")</f>
        <v/>
      </c>
      <c r="CA56" t="s">
        <v>816</v>
      </c>
      <c r="CB56" t="str">
        <f>IF(BS56="BRAKE","{YELLOW}Speed bonus for slow wagons{}",IF(BQ56&gt;190,CONCATENATE("{YELLOW}",INT((BQ56-185)/1.85),"% Bonus for long distance travel{}"),IF(AND(BQ56&lt;180,BQ56&lt;&gt;0),CONCATENATE("{YELLOW}",INT((185-BQ56)/1.85),"% Penalty for long distance travel{}"),"")))</f>
        <v/>
      </c>
      <c r="CC56" t="str">
        <f>_xlfn.CONCAT(BW56,BY56,IF(BY56 &lt;&gt; "", " ", ""),BZ56,IF(OR(BZ56&lt;&gt;"", BY56&lt;&gt;""), "{}",""), CB56,"{SILVER}", CA56)</f>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IF(AND(T57&gt;0,W57&gt;0),(W57/((T57+U57)*10)),"")</f>
        <v/>
      </c>
      <c r="Y57">
        <v>75</v>
      </c>
      <c r="AA57">
        <v>12.2</v>
      </c>
      <c r="AB57">
        <v>12.2</v>
      </c>
      <c r="AE57" s="11">
        <v>39</v>
      </c>
      <c r="AF57" t="str">
        <f>CONCATENATE(VLOOKUP(AG57, 'Voxel Sizes'!$A$2:$B$18,2,FALSE),"x",INT(AC57*15), "x", INT(AD57*15))</f>
        <v>120x0x0</v>
      </c>
      <c r="AG57">
        <f>ROUND(15*((AB57*10)/256),0)</f>
        <v>7</v>
      </c>
      <c r="AI57" t="str">
        <f>CONCATENATE(VLOOKUP(AG57,Constants!$A$2:$C$16,IF(AH57&lt;&gt;"", 3, 2), FALSE),IF(AH57&lt;&gt;"",CONCATENATE(",",VLOOKUP(AH57,$B:$AI,34,FALSE)),""))</f>
        <v>2,3,2</v>
      </c>
      <c r="AS57">
        <v>30</v>
      </c>
      <c r="AT57" t="str">
        <f>IF(I57&lt;&gt;"",MAX(8,(I57-G57)-4),"")</f>
        <v/>
      </c>
      <c r="AW57">
        <f>MIN(Y57/150, 1)*30</f>
        <v>15</v>
      </c>
      <c r="AX57">
        <f>MIN(K57/4000, 1)*20</f>
        <v>0</v>
      </c>
      <c r="AY57">
        <f>MIN(W57/400,1)*20</f>
        <v>0</v>
      </c>
      <c r="AZ57" s="4">
        <v>1</v>
      </c>
      <c r="BA57">
        <f>((MAX($J57,1)*MIN($AE57/300,1)))*IF(D57="Wagon",50,10)</f>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BD57*IF($D57="wagon",62.5,781.25)</f>
        <v>812.5</v>
      </c>
      <c r="BG57" s="15">
        <f>BE57*IF($D57="wagon",2.73,81.25)</f>
        <v>98.28</v>
      </c>
      <c r="BJ57">
        <f>INT(Y57*1.25)</f>
        <v>93</v>
      </c>
      <c r="BP57">
        <v>1</v>
      </c>
      <c r="BQ57">
        <v>185</v>
      </c>
      <c r="BR57" t="s">
        <v>961</v>
      </c>
      <c r="BS57" t="s">
        <v>808</v>
      </c>
      <c r="BT57" t="str">
        <f>VLOOKUP(G57,Eras!$A$2:$C$10, 2, TRUE)</f>
        <v>lbr</v>
      </c>
      <c r="BU57" t="s">
        <v>382</v>
      </c>
      <c r="BV57" t="str">
        <f>CONCATENATE(BT57,"_",BU57)</f>
        <v>lbr_Van</v>
      </c>
      <c r="BW57" t="str">
        <f>IF(AND(BI57&lt;&gt;Y57,BI57&lt;&gt;""),_xlfn.CONCAT("{BLACK}","Tare speed: ","{GOLD}{VELOCITY}{}"), "")</f>
        <v/>
      </c>
      <c r="BX57" t="str">
        <f>_xlfn.CONCAT(E57, "_",F57)</f>
        <v>wagon_RAIL</v>
      </c>
      <c r="BY57" t="str">
        <f>VLOOKUP($BX57, Constants!$M:$N, 2, FALSE)</f>
        <v/>
      </c>
      <c r="BZ57" t="str">
        <f>IF(J57&gt;1,_xlfn.CONCAT("{BLACK}Cars: {GOLD}", J57),"")</f>
        <v/>
      </c>
      <c r="CA57" t="s">
        <v>815</v>
      </c>
      <c r="CB57" t="str">
        <f>IF(BS57="BRAKE","{YELLOW}Speed bonus for slow wagons{}",IF(BQ57&gt;190,CONCATENATE("{YELLOW}",INT((BQ57-185)/1.85),"% Bonus for long distance travel{}"),IF(AND(BQ57&lt;180,BQ57&lt;&gt;0),CONCATENATE("{YELLOW}",INT((185-BQ57)/1.85),"% Penalty for long distance travel{}"),"")))</f>
        <v/>
      </c>
      <c r="CC57" t="str">
        <f>_xlfn.CONCAT(BW57,BY57,IF(BY57 &lt;&gt; "", " ", ""),BZ57,IF(OR(BZ57&lt;&gt;"", BY57&lt;&gt;""), "{}",""), CB57,"{SILVER}", CA57)</f>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IF(AND(T58&gt;0,W58&gt;0),(W58/((T58+U58)*10)),"")</f>
        <v/>
      </c>
      <c r="Y58">
        <v>45</v>
      </c>
      <c r="AA58">
        <v>6</v>
      </c>
      <c r="AB58">
        <v>6</v>
      </c>
      <c r="AE58" s="11">
        <v>18</v>
      </c>
      <c r="AF58" t="str">
        <f>CONCATENATE(VLOOKUP(AG58, 'Voxel Sizes'!$A$2:$B$18,2,FALSE),"x",INT(AC58*15), "x", INT(AD58*15))</f>
        <v>60x0x0</v>
      </c>
      <c r="AG58">
        <f>ROUND(15*((AB58*10)/256),0)</f>
        <v>4</v>
      </c>
      <c r="AI58" t="str">
        <f>CONCATENATE(VLOOKUP(AG58,Constants!$A$2:$C$16,IF(AH58&lt;&gt;"", 3, 2), FALSE),IF(AH58&lt;&gt;"",CONCATENATE(",",VLOOKUP(AH58,$B:$AI,34,FALSE)),""))</f>
        <v>1,2,1</v>
      </c>
      <c r="AS58">
        <v>30</v>
      </c>
      <c r="AT58">
        <f>IF(I58&lt;&gt;"",MAX(8,(I58-G58)-4),"")</f>
        <v>76</v>
      </c>
      <c r="AW58">
        <f>MIN(Y58/150, 1)*30</f>
        <v>9</v>
      </c>
      <c r="AX58">
        <f>MIN(K58/4000, 1)*20</f>
        <v>0</v>
      </c>
      <c r="AY58">
        <f>MIN(W58/400,1)*20</f>
        <v>0</v>
      </c>
      <c r="AZ58" s="4">
        <v>1</v>
      </c>
      <c r="BA58">
        <f>((MAX($J58,1)*MIN($AE58/300,1)))*IF(D58="Wagon",50,10)</f>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BD58*IF($D58="wagon",62.5,781.25)</f>
        <v>500</v>
      </c>
      <c r="BG58" s="15">
        <f>BE58*IF($D58="wagon",2.73,81.25)</f>
        <v>73.709999999999994</v>
      </c>
      <c r="BJ58">
        <f>INT(Y58*1.25)</f>
        <v>56</v>
      </c>
      <c r="BP58">
        <v>1</v>
      </c>
      <c r="BQ58">
        <v>185</v>
      </c>
      <c r="BR58" t="s">
        <v>382</v>
      </c>
      <c r="BS58" t="s">
        <v>326</v>
      </c>
      <c r="BT58" t="str">
        <f>VLOOKUP(G58,Eras!$A$2:$C$10, 2, TRUE)</f>
        <v>vct</v>
      </c>
      <c r="BU58" t="s">
        <v>382</v>
      </c>
      <c r="BV58" t="str">
        <f>CONCATENATE(BT58,"_",BU58)</f>
        <v>vct_Van</v>
      </c>
      <c r="BW58" t="str">
        <f>IF(AND(BI58&lt;&gt;Y58,BI58&lt;&gt;""),_xlfn.CONCAT("{BLACK}","Tare speed: ","{GOLD}{VELOCITY}{}"), "")</f>
        <v/>
      </c>
      <c r="BX58" t="str">
        <f>_xlfn.CONCAT(E58, "_",F58)</f>
        <v>wagon_RAIL</v>
      </c>
      <c r="BY58" t="str">
        <f>VLOOKUP($BX58, Constants!$M:$N, 2, FALSE)</f>
        <v/>
      </c>
      <c r="BZ58" t="str">
        <f>IF(J58&gt;1,_xlfn.CONCAT("{BLACK}Cars: {GOLD}", J58),"")</f>
        <v/>
      </c>
      <c r="CA58" t="s">
        <v>806</v>
      </c>
      <c r="CB58" t="str">
        <f>IF(BS58="BRAKE","{YELLOW}Speed bonus for slow wagons{}",IF(BQ58&gt;190,CONCATENATE("{YELLOW}",INT((BQ58-185)/1.85),"% Bonus for long distance travel{}"),IF(AND(BQ58&lt;180,BQ58&lt;&gt;0),CONCATENATE("{YELLOW}",INT((185-BQ58)/1.85),"% Penalty for long distance travel{}"),"")))</f>
        <v/>
      </c>
      <c r="CC58" t="str">
        <f>_xlfn.CONCAT(BW58,BY58,IF(BY58 &lt;&gt; "", " ", ""),BZ58,IF(OR(BZ58&lt;&gt;"", BY58&lt;&gt;""), "{}",""), CB58,"{SILVER}", CA58)</f>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IF(AND(T59&gt;0,W59&gt;0),(W59/((T59+U59)*10)),"")</f>
        <v/>
      </c>
      <c r="Y59">
        <v>50</v>
      </c>
      <c r="AA59">
        <v>8</v>
      </c>
      <c r="AB59">
        <v>8</v>
      </c>
      <c r="AE59" s="11">
        <v>24</v>
      </c>
      <c r="AF59" t="str">
        <f>CONCATENATE(VLOOKUP(AG59, 'Voxel Sizes'!$A$2:$B$18,2,FALSE),"x",INT(AC59*15), "x", INT(AD59*15))</f>
        <v>82x0x0</v>
      </c>
      <c r="AG59">
        <f>ROUND(15*((AB59*10)/256),0)</f>
        <v>5</v>
      </c>
      <c r="AI59" t="str">
        <f>CONCATENATE(VLOOKUP(AG59,Constants!$A$2:$C$16,IF(AH59&lt;&gt;"", 3, 2), FALSE),IF(AH59&lt;&gt;"",CONCATENATE(",",VLOOKUP(AH59,$B:$AI,34,FALSE)),""))</f>
        <v>2,1,2</v>
      </c>
      <c r="AS59">
        <v>30</v>
      </c>
      <c r="AT59">
        <f>IF(I59&lt;&gt;"",MAX(8,(I59-G59)-4),"")</f>
        <v>54</v>
      </c>
      <c r="AW59">
        <f>MIN(Y59/150, 1)*30</f>
        <v>10</v>
      </c>
      <c r="AX59">
        <f>MIN(K59/4000, 1)*20</f>
        <v>0</v>
      </c>
      <c r="AY59">
        <f>MIN(W59/400,1)*20</f>
        <v>0</v>
      </c>
      <c r="AZ59" s="4">
        <v>1</v>
      </c>
      <c r="BA59">
        <f>((MAX($J59,1)*MIN($AE59/300,1)))*IF(D59="Wagon",50,10)</f>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BD59*IF($D59="wagon",62.5,781.25)</f>
        <v>562.5</v>
      </c>
      <c r="BG59" s="15">
        <f>BE59*IF($D59="wagon",2.73,81.25)</f>
        <v>79.17</v>
      </c>
      <c r="BJ59">
        <f>INT(Y59*1.25)</f>
        <v>62</v>
      </c>
      <c r="BP59">
        <v>1</v>
      </c>
      <c r="BQ59">
        <v>185</v>
      </c>
      <c r="BR59" t="s">
        <v>382</v>
      </c>
      <c r="BS59" t="s">
        <v>326</v>
      </c>
      <c r="BT59" t="str">
        <f>VLOOKUP(G59,Eras!$A$2:$C$10, 2, TRUE)</f>
        <v>edw</v>
      </c>
      <c r="BU59" t="s">
        <v>382</v>
      </c>
      <c r="BV59" t="str">
        <f>CONCATENATE(BT59,"_",BU59)</f>
        <v>edw_Van</v>
      </c>
      <c r="BW59" t="str">
        <f>IF(AND(BI59&lt;&gt;Y59,BI59&lt;&gt;""),_xlfn.CONCAT("{BLACK}","Tare speed: ","{GOLD}{VELOCITY}{}"), "")</f>
        <v/>
      </c>
      <c r="BX59" t="str">
        <f>_xlfn.CONCAT(E59, "_",F59)</f>
        <v>wagon_RAIL</v>
      </c>
      <c r="BY59" t="str">
        <f>VLOOKUP($BX59, Constants!$M:$N, 2, FALSE)</f>
        <v/>
      </c>
      <c r="BZ59" t="str">
        <f>IF(J59&gt;1,_xlfn.CONCAT("{BLACK}Cars: {GOLD}", J59),"")</f>
        <v/>
      </c>
      <c r="CA59" t="s">
        <v>453</v>
      </c>
      <c r="CB59" t="str">
        <f>IF(BS59="BRAKE","{YELLOW}Speed bonus for slow wagons{}",IF(BQ59&gt;190,CONCATENATE("{YELLOW}",INT((BQ59-185)/1.85),"% Bonus for long distance travel{}"),IF(AND(BQ59&lt;180,BQ59&lt;&gt;0),CONCATENATE("{YELLOW}",INT((185-BQ59)/1.85),"% Penalty for long distance travel{}"),"")))</f>
        <v/>
      </c>
      <c r="CC59" t="str">
        <f>_xlfn.CONCAT(BW59,BY59,IF(BY59 &lt;&gt; "", " ", ""),BZ59,IF(OR(BZ59&lt;&gt;"", BY59&lt;&gt;""), "{}",""), CB59,"{SILVER}", CA59)</f>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IF(AND(T60&gt;0,W60&gt;0),(W60/((T60+U60)*10)),"")</f>
        <v/>
      </c>
      <c r="Y60">
        <v>60</v>
      </c>
      <c r="AA60">
        <v>8</v>
      </c>
      <c r="AB60">
        <v>8</v>
      </c>
      <c r="AE60" s="11">
        <v>27</v>
      </c>
      <c r="AF60" t="str">
        <f>CONCATENATE(VLOOKUP(AG60, 'Voxel Sizes'!$A$2:$B$18,2,FALSE),"x",INT(AC60*15), "x", INT(AD60*15))</f>
        <v>82x0x0</v>
      </c>
      <c r="AG60">
        <f>ROUND(15*((AB60*10)/256),0)</f>
        <v>5</v>
      </c>
      <c r="AI60" t="str">
        <f>CONCATENATE(VLOOKUP(AG60,Constants!$A$2:$C$16,IF(AH60&lt;&gt;"", 3, 2), FALSE),IF(AH60&lt;&gt;"",CONCATENATE(",",VLOOKUP(AH60,$B:$AI,34,FALSE)),""))</f>
        <v>2,1,2</v>
      </c>
      <c r="AS60">
        <v>30</v>
      </c>
      <c r="AT60">
        <f>IF(I60&lt;&gt;"",MAX(8,(I60-G60)-4),"")</f>
        <v>34</v>
      </c>
      <c r="AW60">
        <f>MIN(Y60/150, 1)*30</f>
        <v>12</v>
      </c>
      <c r="AX60">
        <f>MIN(K60/4000, 1)*20</f>
        <v>0</v>
      </c>
      <c r="AY60">
        <f>MIN(W60/400,1)*20</f>
        <v>0</v>
      </c>
      <c r="AZ60" s="4">
        <v>1</v>
      </c>
      <c r="BA60">
        <f>((MAX($J60,1)*MIN($AE60/300,1)))*IF(D60="Wagon",50,10)</f>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BD60*IF($D60="wagon",62.5,781.25)</f>
        <v>625</v>
      </c>
      <c r="BG60" s="15">
        <f>BE60*IF($D60="wagon",2.73,81.25)</f>
        <v>84.63</v>
      </c>
      <c r="BJ60">
        <f>INT(Y60*1.25)</f>
        <v>75</v>
      </c>
      <c r="BP60">
        <v>1</v>
      </c>
      <c r="BQ60">
        <v>185</v>
      </c>
      <c r="BR60" t="s">
        <v>382</v>
      </c>
      <c r="BS60" t="s">
        <v>326</v>
      </c>
      <c r="BT60" t="str">
        <f>VLOOKUP(G60,Eras!$A$2:$C$10, 2, TRUE)</f>
        <v>big4</v>
      </c>
      <c r="BU60" t="s">
        <v>382</v>
      </c>
      <c r="BV60" t="str">
        <f>CONCATENATE(BT60,"_",BU60)</f>
        <v>big4_Van</v>
      </c>
      <c r="BW60" t="str">
        <f>IF(AND(BI60&lt;&gt;Y60,BI60&lt;&gt;""),_xlfn.CONCAT("{BLACK}","Tare speed: ","{GOLD}{VELOCITY}{}"), "")</f>
        <v/>
      </c>
      <c r="BX60" t="str">
        <f>_xlfn.CONCAT(E60, "_",F60)</f>
        <v>wagon_RAIL</v>
      </c>
      <c r="BY60" t="str">
        <f>VLOOKUP($BX60, Constants!$M:$N, 2, FALSE)</f>
        <v/>
      </c>
      <c r="BZ60" t="str">
        <f>IF(J60&gt;1,_xlfn.CONCAT("{BLACK}Cars: {GOLD}", J60),"")</f>
        <v/>
      </c>
      <c r="CA60" t="s">
        <v>794</v>
      </c>
      <c r="CB60" t="str">
        <f>IF(BS60="BRAKE","{YELLOW}Speed bonus for slow wagons{}",IF(BQ60&gt;190,CONCATENATE("{YELLOW}",INT((BQ60-185)/1.85),"% Bonus for long distance travel{}"),IF(AND(BQ60&lt;180,BQ60&lt;&gt;0),CONCATENATE("{YELLOW}",INT((185-BQ60)/1.85),"% Penalty for long distance travel{}"),"")))</f>
        <v/>
      </c>
      <c r="CC60" t="str">
        <f>_xlfn.CONCAT(BW60,BY60,IF(BY60 &lt;&gt; "", " ", ""),BZ60,IF(OR(BZ60&lt;&gt;"", BY60&lt;&gt;""), "{}",""), CB60,"{SILVER}", CA60)</f>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IF(AND(T61&gt;0,W61&gt;0),(W61/((T61+U61)*10)),"")</f>
        <v/>
      </c>
      <c r="Y61">
        <v>65</v>
      </c>
      <c r="AA61">
        <v>8</v>
      </c>
      <c r="AB61">
        <v>8</v>
      </c>
      <c r="AE61" s="11">
        <v>27</v>
      </c>
      <c r="AF61" t="str">
        <f>CONCATENATE(VLOOKUP(AG61, 'Voxel Sizes'!$A$2:$B$18,2,FALSE),"x",INT(AC61*15), "x", INT(AD61*15))</f>
        <v>82x0x0</v>
      </c>
      <c r="AG61">
        <f>ROUND(15*((AB61*10)/256),0)</f>
        <v>5</v>
      </c>
      <c r="AI61" t="str">
        <f>CONCATENATE(VLOOKUP(AG61,Constants!$A$2:$C$16,IF(AH61&lt;&gt;"", 3, 2), FALSE),IF(AH61&lt;&gt;"",CONCATENATE(",",VLOOKUP(AH61,$B:$AI,34,FALSE)),""))</f>
        <v>2,1,2</v>
      </c>
      <c r="AS61">
        <v>30</v>
      </c>
      <c r="AT61">
        <f>IF(I61&lt;&gt;"",MAX(8,(I61-G61)-4),"")</f>
        <v>19</v>
      </c>
      <c r="AW61">
        <f>MIN(Y61/150, 1)*30</f>
        <v>13</v>
      </c>
      <c r="AX61">
        <f>MIN(K61/4000, 1)*20</f>
        <v>0</v>
      </c>
      <c r="AY61">
        <f>MIN(W61/400,1)*20</f>
        <v>0</v>
      </c>
      <c r="AZ61" s="4">
        <v>1</v>
      </c>
      <c r="BA61">
        <f>((MAX($J61,1)*MIN($AE61/300,1)))*IF(D61="Wagon",50,10)</f>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BD61*IF($D61="wagon",62.5,781.25)</f>
        <v>687.5</v>
      </c>
      <c r="BG61" s="15">
        <f>BE61*IF($D61="wagon",2.73,81.25)</f>
        <v>87.36</v>
      </c>
      <c r="BJ61">
        <f>INT(Y61*1.25)</f>
        <v>81</v>
      </c>
      <c r="BP61">
        <v>1</v>
      </c>
      <c r="BQ61">
        <v>185</v>
      </c>
      <c r="BR61" t="s">
        <v>382</v>
      </c>
      <c r="BS61" t="s">
        <v>326</v>
      </c>
      <c r="BT61" t="str">
        <f>VLOOKUP(G61,Eras!$A$2:$C$10, 2, TRUE)</f>
        <v>dsl</v>
      </c>
      <c r="BU61" t="s">
        <v>382</v>
      </c>
      <c r="BV61" t="str">
        <f>CONCATENATE(BT61,"_",BU61)</f>
        <v>dsl_Van</v>
      </c>
      <c r="BW61" t="str">
        <f>IF(AND(BI61&lt;&gt;Y61,BI61&lt;&gt;""),_xlfn.CONCAT("{BLACK}","Tare speed: ","{GOLD}{VELOCITY}{}"), "")</f>
        <v/>
      </c>
      <c r="BX61" t="str">
        <f>_xlfn.CONCAT(E61, "_",F61)</f>
        <v>wagon_RAIL</v>
      </c>
      <c r="BY61" t="str">
        <f>VLOOKUP($BX61, Constants!$M:$N, 2, FALSE)</f>
        <v/>
      </c>
      <c r="BZ61" t="str">
        <f>IF(J61&gt;1,_xlfn.CONCAT("{BLACK}Cars: {GOLD}", J61),"")</f>
        <v/>
      </c>
      <c r="CA61" t="s">
        <v>797</v>
      </c>
      <c r="CB61" t="str">
        <f>IF(BS61="BRAKE","{YELLOW}Speed bonus for slow wagons{}",IF(BQ61&gt;190,CONCATENATE("{YELLOW}",INT((BQ61-185)/1.85),"% Bonus for long distance travel{}"),IF(AND(BQ61&lt;180,BQ61&lt;&gt;0),CONCATENATE("{YELLOW}",INT((185-BQ61)/1.85),"% Penalty for long distance travel{}"),"")))</f>
        <v/>
      </c>
      <c r="CC61" t="str">
        <f>_xlfn.CONCAT(BW61,BY61,IF(BY61 &lt;&gt; "", " ", ""),BZ61,IF(OR(BZ61&lt;&gt;"", BY61&lt;&gt;""), "{}",""), CB61,"{SILVER}", CA61)</f>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IF(AND(T62&gt;0,W62&gt;0),(W62/((T62+U62)*10)),"")</f>
        <v/>
      </c>
      <c r="Y62">
        <v>75</v>
      </c>
      <c r="AA62">
        <v>11.2</v>
      </c>
      <c r="AB62">
        <v>11.2</v>
      </c>
      <c r="AE62" s="11">
        <v>39</v>
      </c>
      <c r="AF62" t="str">
        <f>CONCATENATE(VLOOKUP(AG62, 'Voxel Sizes'!$A$2:$B$18,2,FALSE),"x",INT(AC62*15), "x", INT(AD62*15))</f>
        <v>120x0x0</v>
      </c>
      <c r="AG62">
        <f>ROUND(15*((AB62*10)/256),0)</f>
        <v>7</v>
      </c>
      <c r="AI62" t="str">
        <f>CONCATENATE(VLOOKUP(AG62,Constants!$A$2:$C$16,IF(AH62&lt;&gt;"", 3, 2), FALSE),IF(AH62&lt;&gt;"",CONCATENATE(",",VLOOKUP(AH62,$B:$AI,34,FALSE)),""))</f>
        <v>2,3,2</v>
      </c>
      <c r="AS62">
        <v>30</v>
      </c>
      <c r="AT62">
        <f>IF(I62&lt;&gt;"",MAX(8,(I62-G62)-4),"")</f>
        <v>37</v>
      </c>
      <c r="AW62">
        <f>MIN(Y62/150, 1)*30</f>
        <v>15</v>
      </c>
      <c r="AX62">
        <f>MIN(K62/4000, 1)*20</f>
        <v>0</v>
      </c>
      <c r="AY62">
        <f>MIN(W62/400,1)*20</f>
        <v>0</v>
      </c>
      <c r="AZ62" s="4">
        <v>1</v>
      </c>
      <c r="BA62">
        <f>((MAX($J62,1)*MIN($AE62/300,1)))*IF(D62="Wagon",50,10)</f>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BD62*IF($D62="wagon",62.5,781.25)</f>
        <v>812.5</v>
      </c>
      <c r="BG62" s="15">
        <f>BE62*IF($D62="wagon",2.73,81.25)</f>
        <v>98.28</v>
      </c>
      <c r="BJ62">
        <f>INT(Y62*1.25)</f>
        <v>93</v>
      </c>
      <c r="BP62">
        <v>1</v>
      </c>
      <c r="BQ62">
        <v>185</v>
      </c>
      <c r="BR62" t="s">
        <v>382</v>
      </c>
      <c r="BS62" t="s">
        <v>326</v>
      </c>
      <c r="BT62" t="str">
        <f>VLOOKUP(G62,Eras!$A$2:$C$10, 2, TRUE)</f>
        <v>dsl</v>
      </c>
      <c r="BU62" t="s">
        <v>382</v>
      </c>
      <c r="BV62" t="str">
        <f>CONCATENATE(BT62,"_",BU62)</f>
        <v>dsl_Van</v>
      </c>
      <c r="BW62" t="str">
        <f>IF(AND(BI62&lt;&gt;Y62,BI62&lt;&gt;""),_xlfn.CONCAT("{BLACK}","Tare speed: ","{GOLD}{VELOCITY}{}"), "")</f>
        <v/>
      </c>
      <c r="BX62" t="str">
        <f>_xlfn.CONCAT(E62, "_",F62)</f>
        <v>wagon_RAIL</v>
      </c>
      <c r="BY62" t="str">
        <f>VLOOKUP($BX62, Constants!$M:$N, 2, FALSE)</f>
        <v/>
      </c>
      <c r="BZ62" t="str">
        <f>IF(J62&gt;1,_xlfn.CONCAT("{BLACK}Cars: {GOLD}", J62),"")</f>
        <v/>
      </c>
      <c r="CA62" t="s">
        <v>801</v>
      </c>
      <c r="CB62" t="str">
        <f>IF(BS62="BRAKE","{YELLOW}Speed bonus for slow wagons{}",IF(BQ62&gt;190,CONCATENATE("{YELLOW}",INT((BQ62-185)/1.85),"% Bonus for long distance travel{}"),IF(AND(BQ62&lt;180,BQ62&lt;&gt;0),CONCATENATE("{YELLOW}",INT((185-BQ62)/1.85),"% Penalty for long distance travel{}"),"")))</f>
        <v/>
      </c>
      <c r="CC62" t="str">
        <f>_xlfn.CONCAT(BW62,BY62,IF(BY62 &lt;&gt; "", " ", ""),BZ62,IF(OR(BZ62&lt;&gt;"", BY62&lt;&gt;""), "{}",""), CB62,"{SILVER}", CA62)</f>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IF(AND(T63&gt;0,W63&gt;0),(W63/((T63+U63)*10)),"")</f>
        <v/>
      </c>
      <c r="Y63">
        <v>75</v>
      </c>
      <c r="AA63">
        <v>8</v>
      </c>
      <c r="AB63">
        <v>8</v>
      </c>
      <c r="AE63" s="11">
        <v>27</v>
      </c>
      <c r="AF63" t="str">
        <f>CONCATENATE(VLOOKUP(AG63, 'Voxel Sizes'!$A$2:$B$18,2,FALSE),"x",INT(AC63*15), "x", INT(AD63*15))</f>
        <v>82x0x0</v>
      </c>
      <c r="AG63">
        <f>ROUND(15*((AB63*10)/256),0)</f>
        <v>5</v>
      </c>
      <c r="AI63" t="str">
        <f>CONCATENATE(VLOOKUP(AG63,Constants!$A$2:$C$16,IF(AH63&lt;&gt;"", 3, 2), FALSE),IF(AH63&lt;&gt;"",CONCATENATE(",",VLOOKUP(AH63,$B:$AI,34,FALSE)),""))</f>
        <v>2,1,2</v>
      </c>
      <c r="AS63">
        <v>30</v>
      </c>
      <c r="AT63" t="str">
        <f>IF(I63&lt;&gt;"",MAX(8,(I63-G63)-4),"")</f>
        <v/>
      </c>
      <c r="AW63">
        <f>MIN(Y63/150, 1)*30</f>
        <v>15</v>
      </c>
      <c r="AX63">
        <f>MIN(K63/4000, 1)*20</f>
        <v>0</v>
      </c>
      <c r="AY63">
        <f>MIN(W63/400,1)*20</f>
        <v>0</v>
      </c>
      <c r="AZ63" s="4">
        <v>1</v>
      </c>
      <c r="BA63">
        <f>((MAX($J63,1)*MIN($AE63/300,1)))*IF(D63="Wagon",50,10)</f>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BD63*IF($D63="wagon",62.5,781.25)</f>
        <v>750</v>
      </c>
      <c r="BG63" s="15">
        <f>BE63*IF($D63="wagon",2.73,81.25)</f>
        <v>92.82</v>
      </c>
      <c r="BJ63">
        <f>INT(Y63*1.25)</f>
        <v>93</v>
      </c>
      <c r="BP63">
        <v>1</v>
      </c>
      <c r="BQ63">
        <v>185</v>
      </c>
      <c r="BR63" t="s">
        <v>382</v>
      </c>
      <c r="BS63" t="s">
        <v>326</v>
      </c>
      <c r="BT63" t="str">
        <f>VLOOKUP(G63,Eras!$A$2:$C$10, 2, TRUE)</f>
        <v>lbr</v>
      </c>
      <c r="BU63" t="s">
        <v>382</v>
      </c>
      <c r="BV63" t="str">
        <f>CONCATENATE(BT63,"_",BU63)</f>
        <v>lbr_Van</v>
      </c>
      <c r="BW63" t="str">
        <f>IF(AND(BI63&lt;&gt;Y63,BI63&lt;&gt;""),_xlfn.CONCAT("{BLACK}","Tare speed: ","{GOLD}{VELOCITY}{}"), "")</f>
        <v/>
      </c>
      <c r="BX63" t="str">
        <f>_xlfn.CONCAT(E63, "_",F63)</f>
        <v>wagon_RAIL</v>
      </c>
      <c r="BY63" t="str">
        <f>VLOOKUP($BX63, Constants!$M:$N, 2, FALSE)</f>
        <v/>
      </c>
      <c r="BZ63" t="str">
        <f>IF(J63&gt;1,_xlfn.CONCAT("{BLACK}Cars: {GOLD}", J63),"")</f>
        <v/>
      </c>
      <c r="CA63" t="s">
        <v>800</v>
      </c>
      <c r="CB63" t="str">
        <f>IF(BS63="BRAKE","{YELLOW}Speed bonus for slow wagons{}",IF(BQ63&gt;190,CONCATENATE("{YELLOW}",INT((BQ63-185)/1.85),"% Bonus for long distance travel{}"),IF(AND(BQ63&lt;180,BQ63&lt;&gt;0),CONCATENATE("{YELLOW}",INT((185-BQ63)/1.85),"% Penalty for long distance travel{}"),"")))</f>
        <v/>
      </c>
      <c r="CC63" t="str">
        <f>_xlfn.CONCAT(BW63,BY63,IF(BY63 &lt;&gt; "", " ", ""),BZ63,IF(OR(BZ63&lt;&gt;"", BY63&lt;&gt;""), "{}",""), CB63,"{SILVER}", CA63)</f>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IF(AND(T64&gt;0,W64&gt;0),(W64/((T64+U64)*10)),"")</f>
        <v/>
      </c>
      <c r="Y64">
        <v>85</v>
      </c>
      <c r="AA64">
        <v>12.8</v>
      </c>
      <c r="AB64">
        <v>12.8</v>
      </c>
      <c r="AE64" s="11">
        <v>45</v>
      </c>
      <c r="AF64" t="str">
        <f>CONCATENATE(VLOOKUP(AG64, 'Voxel Sizes'!$A$2:$B$18,2,FALSE),"x",INT(AC64*15), "x", INT(AD64*15))</f>
        <v>136x0x0</v>
      </c>
      <c r="AG64">
        <f>ROUND(15*((AB64*10)/256),0)</f>
        <v>8</v>
      </c>
      <c r="AI64" t="str">
        <f>CONCATENATE(VLOOKUP(AG64,Constants!$A$2:$C$16,IF(AH64&lt;&gt;"", 3, 2), FALSE),IF(AH64&lt;&gt;"",CONCATENATE(",",VLOOKUP(AH64,$B:$AI,34,FALSE)),""))</f>
        <v>2,4,2</v>
      </c>
      <c r="AS64">
        <v>30</v>
      </c>
      <c r="AT64" t="str">
        <f>IF(I64&lt;&gt;"",MAX(8,(I64-G64)-4),"")</f>
        <v/>
      </c>
      <c r="AW64">
        <f>MIN(Y64/150, 1)*30</f>
        <v>17</v>
      </c>
      <c r="AX64">
        <f>MIN(K64/4000, 1)*20</f>
        <v>0</v>
      </c>
      <c r="AY64">
        <f>MIN(W64/400,1)*20</f>
        <v>0</v>
      </c>
      <c r="AZ64" s="4">
        <v>1</v>
      </c>
      <c r="BA64">
        <f>((MAX($J64,1)*MIN($AE64/300,1)))*IF(D64="Wagon",50,10)</f>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BD64*IF($D64="wagon",62.5,781.25)</f>
        <v>937.5</v>
      </c>
      <c r="BG64" s="15">
        <f>BE64*IF($D64="wagon",2.73,81.25)</f>
        <v>106.47</v>
      </c>
      <c r="BJ64">
        <v>100</v>
      </c>
      <c r="BP64">
        <v>1</v>
      </c>
      <c r="BQ64">
        <v>185</v>
      </c>
      <c r="BR64" t="s">
        <v>382</v>
      </c>
      <c r="BS64" t="s">
        <v>326</v>
      </c>
      <c r="BT64" t="str">
        <f>VLOOKUP(G64,Eras!$A$2:$C$10, 2, TRUE)</f>
        <v>lbr</v>
      </c>
      <c r="BU64" t="s">
        <v>382</v>
      </c>
      <c r="BV64" t="str">
        <f>CONCATENATE(BT64,"_",BU64)</f>
        <v>lbr_Van</v>
      </c>
      <c r="BW64" t="str">
        <f>IF(AND(BI64&lt;&gt;Y64,BI64&lt;&gt;""),_xlfn.CONCAT("{BLACK}","Tare speed: ","{GOLD}{VELOCITY}{}"), "")</f>
        <v/>
      </c>
      <c r="BX64" t="str">
        <f>_xlfn.CONCAT(E64, "_",F64)</f>
        <v>wagon_RAIL</v>
      </c>
      <c r="BY64" t="str">
        <f>VLOOKUP($BX64, Constants!$M:$N, 2, FALSE)</f>
        <v/>
      </c>
      <c r="BZ64" t="str">
        <f>IF(J64&gt;1,_xlfn.CONCAT("{BLACK}Cars: {GOLD}", J64),"")</f>
        <v/>
      </c>
      <c r="CA64" t="s">
        <v>803</v>
      </c>
      <c r="CB64" t="str">
        <f>IF(BS64="BRAKE","{YELLOW}Speed bonus for slow wagons{}",IF(BQ64&gt;190,CONCATENATE("{YELLOW}",INT((BQ64-185)/1.85),"% Bonus for long distance travel{}"),IF(AND(BQ64&lt;180,BQ64&lt;&gt;0),CONCATENATE("{YELLOW}",INT((185-BQ64)/1.85),"% Penalty for long distance travel{}"),"")))</f>
        <v/>
      </c>
      <c r="CC64" t="str">
        <f>_xlfn.CONCAT(BW64,BY64,IF(BY64 &lt;&gt; "", " ", ""),BZ64,IF(OR(BZ64&lt;&gt;"", BY64&lt;&gt;""), "{}",""), CB64,"{SILVER}", CA64)</f>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IF(AND(T65&gt;0,W65&gt;0),(W65/((T65+U65)*10)),"")</f>
        <v/>
      </c>
      <c r="Y65">
        <v>70</v>
      </c>
      <c r="AA65">
        <v>15</v>
      </c>
      <c r="AB65">
        <v>15</v>
      </c>
      <c r="AE65" s="11">
        <v>60</v>
      </c>
      <c r="AF65" t="str">
        <f>CONCATENATE(VLOOKUP(AG65, 'Voxel Sizes'!$A$2:$B$18,2,FALSE),"x",INT(AC65*15), "x", INT(AD65*15))</f>
        <v>152x0x0</v>
      </c>
      <c r="AG65">
        <f>ROUND(15*((AB65*10)/256),0)</f>
        <v>9</v>
      </c>
      <c r="AI65" t="str">
        <f>CONCATENATE(VLOOKUP(AG65,Constants!$A$2:$C$16,IF(AH65&lt;&gt;"", 3, 2), FALSE),IF(AH65&lt;&gt;"",CONCATENATE(",",VLOOKUP(AH65,$B:$AI,34,FALSE)),""))</f>
        <v>2,5,2</v>
      </c>
      <c r="AS65">
        <v>30</v>
      </c>
      <c r="AT65">
        <f>IF(I65&lt;&gt;"",MAX(8,(I65-G65)-4),"")</f>
        <v>48</v>
      </c>
      <c r="AU65">
        <v>25</v>
      </c>
      <c r="AV65">
        <v>8</v>
      </c>
      <c r="AW65">
        <f>MIN(Y65/150, 1)*30</f>
        <v>14</v>
      </c>
      <c r="AX65">
        <f>MIN(K65/4000, 1)*20</f>
        <v>0</v>
      </c>
      <c r="AY65">
        <f>MIN(W65/400,1)*20</f>
        <v>0</v>
      </c>
      <c r="AZ65" s="4">
        <v>1</v>
      </c>
      <c r="BA65">
        <f>((MAX($J65,1)*MIN($AE65/300,1)))*IF(D65="Wagon",50,10)</f>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BD65*IF($D65="wagon",62.5,781.25)</f>
        <v>1375</v>
      </c>
      <c r="BG65" s="15">
        <f>BE65*IF($D65="wagon",2.73,81.25)</f>
        <v>174.72</v>
      </c>
      <c r="BJ65">
        <f>Y65</f>
        <v>70</v>
      </c>
      <c r="BP65">
        <v>1</v>
      </c>
      <c r="BQ65">
        <v>185</v>
      </c>
      <c r="BR65" t="s">
        <v>1103</v>
      </c>
      <c r="BS65" t="s">
        <v>699</v>
      </c>
      <c r="BT65" t="str">
        <f>VLOOKUP(G65,Eras!$A$2:$C$10, 2, TRUE)</f>
        <v>edw</v>
      </c>
      <c r="BU65" t="s">
        <v>376</v>
      </c>
      <c r="BV65" t="str">
        <f>CONCATENATE(BT65,"_",BU65)</f>
        <v>edw_Mail Carriage</v>
      </c>
      <c r="BW65" t="str">
        <f>IF(AND(BI65&lt;&gt;Y65,BI65&lt;&gt;""),_xlfn.CONCAT("{BLACK}","Tare speed: ","{GOLD}{VELOCITY}{}"), "")</f>
        <v/>
      </c>
      <c r="BX65" t="str">
        <f>_xlfn.CONCAT(E65, "_",F65)</f>
        <v>wagon_RAIL</v>
      </c>
      <c r="BY65" t="str">
        <f>VLOOKUP($BX65, Constants!$M:$N, 2, FALSE)</f>
        <v/>
      </c>
      <c r="BZ65" t="str">
        <f>IF(J65&gt;1,_xlfn.CONCAT("{BLACK}Cars: {GOLD}", J65),"")</f>
        <v/>
      </c>
      <c r="CA65" t="s">
        <v>866</v>
      </c>
      <c r="CB65" t="str">
        <f>IF(BS65="BRAKE","{YELLOW}Speed bonus for slow wagons{}",IF(BQ65&gt;190,CONCATENATE("{YELLOW}",INT((BQ65-185)/1.85),"% Bonus for long distance travel{}"),IF(AND(BQ65&lt;180,BQ65&lt;&gt;0),CONCATENATE("{YELLOW}",INT((185-BQ65)/1.85),"% Penalty for long distance travel{}"),"")))</f>
        <v/>
      </c>
      <c r="CC65" t="str">
        <f>_xlfn.CONCAT(BW65,BY65,IF(BY65 &lt;&gt; "", " ", ""),BZ65,IF(OR(BZ65&lt;&gt;"", BY65&lt;&gt;""), "{}",""), CB65,"{SILVER}", CA65)</f>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IF(AND(T66&gt;0,W66&gt;0),(W66/((T66+U66)*10)),"")</f>
        <v/>
      </c>
      <c r="Y66">
        <v>80</v>
      </c>
      <c r="AA66">
        <v>11.2</v>
      </c>
      <c r="AB66">
        <v>11.2</v>
      </c>
      <c r="AE66" s="11">
        <v>45</v>
      </c>
      <c r="AF66" t="str">
        <f>CONCATENATE(VLOOKUP(AG66, 'Voxel Sizes'!$A$2:$B$18,2,FALSE),"x",INT(AC66*15), "x", INT(AD66*15))</f>
        <v>120x0x0</v>
      </c>
      <c r="AG66">
        <f>ROUND(15*((AB66*10)/256),0)</f>
        <v>7</v>
      </c>
      <c r="AI66" t="str">
        <f>CONCATENATE(VLOOKUP(AG66,Constants!$A$2:$C$16,IF(AH66&lt;&gt;"", 3, 2), FALSE),IF(AH66&lt;&gt;"",CONCATENATE(",",VLOOKUP(AH66,$B:$AI,34,FALSE)),""))</f>
        <v>2,3,2</v>
      </c>
      <c r="AS66">
        <v>30</v>
      </c>
      <c r="AT66">
        <f>IF(I66&lt;&gt;"",MAX(8,(I66-G66)-4),"")</f>
        <v>21</v>
      </c>
      <c r="AU66">
        <v>25</v>
      </c>
      <c r="AV66">
        <v>9</v>
      </c>
      <c r="AW66">
        <f>MIN(Y66/150, 1)*30</f>
        <v>16</v>
      </c>
      <c r="AX66">
        <f>MIN(K66/4000, 1)*20</f>
        <v>0</v>
      </c>
      <c r="AY66">
        <f>MIN(W66/400,1)*20</f>
        <v>0</v>
      </c>
      <c r="AZ66" s="4">
        <v>1</v>
      </c>
      <c r="BA66">
        <f>((MAX($J66,1)*MIN($AE66/300,1)))*IF(D66="Wagon",50,10)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BD66*IF($D66="wagon",62.5,781.25)</f>
        <v>1437.5</v>
      </c>
      <c r="BG66" s="15">
        <f>BE66*IF($D66="wagon",2.73,81.25)</f>
        <v>171.99</v>
      </c>
      <c r="BJ66">
        <f>Y66</f>
        <v>80</v>
      </c>
      <c r="BP66">
        <v>1</v>
      </c>
      <c r="BQ66">
        <v>185</v>
      </c>
      <c r="BR66" t="s">
        <v>1101</v>
      </c>
      <c r="BS66" t="s">
        <v>699</v>
      </c>
      <c r="BT66" t="str">
        <f>VLOOKUP(G66,Eras!$A$2:$C$10, 2, TRUE)</f>
        <v>ebr</v>
      </c>
      <c r="BU66" t="s">
        <v>376</v>
      </c>
      <c r="BV66" t="str">
        <f>CONCATENATE(BT66,"_",BU66)</f>
        <v>ebr_Mail Carriage</v>
      </c>
      <c r="BW66" t="str">
        <f>IF(AND(BI66&lt;&gt;Y66,BI66&lt;&gt;""),_xlfn.CONCAT("{BLACK}","Tare speed: ","{GOLD}{VELOCITY}{}"), "")</f>
        <v/>
      </c>
      <c r="BX66" t="str">
        <f>_xlfn.CONCAT(E66, "_",F66)</f>
        <v>wagon_RAIL</v>
      </c>
      <c r="BY66" t="str">
        <f>VLOOKUP($BX66, Constants!$M:$N, 2, FALSE)</f>
        <v/>
      </c>
      <c r="BZ66" t="str">
        <f>IF(J66&gt;1,_xlfn.CONCAT("{BLACK}Cars: {GOLD}", J66),"")</f>
        <v/>
      </c>
      <c r="CA66" t="s">
        <v>868</v>
      </c>
      <c r="CB66" t="str">
        <f>IF(BS66="BRAKE","{YELLOW}Speed bonus for slow wagons{}",IF(BQ66&gt;190,CONCATENATE("{YELLOW}",INT((BQ66-185)/1.85),"% Bonus for long distance travel{}"),IF(AND(BQ66&lt;180,BQ66&lt;&gt;0),CONCATENATE("{YELLOW}",INT((185-BQ66)/1.85),"% Penalty for long distance travel{}"),"")))</f>
        <v/>
      </c>
      <c r="CC66" t="str">
        <f>_xlfn.CONCAT(BW66,BY66,IF(BY66 &lt;&gt; "", " ", ""),BZ66,IF(OR(BZ66&lt;&gt;"", BY66&lt;&gt;""), "{}",""), CB66,"{SILVER}", CA66)</f>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IF(AND(T67&gt;0,W67&gt;0),(W67/((T67+U67)*10)),"")</f>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S67">
        <v>30</v>
      </c>
      <c r="AT67">
        <f>IF(I67&lt;&gt;"",MAX(8,(I67-G67)-4),"")</f>
        <v>39</v>
      </c>
      <c r="AU67">
        <v>47</v>
      </c>
      <c r="AV67">
        <v>20</v>
      </c>
      <c r="AW67">
        <f>MIN(Y67/150, 1)*30</f>
        <v>16</v>
      </c>
      <c r="AX67">
        <f>MIN(K67/4000, 1)*20</f>
        <v>0</v>
      </c>
      <c r="AY67">
        <f>MIN(W67/400,1)*20</f>
        <v>0</v>
      </c>
      <c r="AZ67" s="4">
        <v>1</v>
      </c>
      <c r="BA67">
        <f>((MAX($J67,1)*MIN($AE67/300,1)))*IF(D67="Wagon",50,10)</f>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BD67*IF($D67="wagon",62.5,781.25)</f>
        <v>2500</v>
      </c>
      <c r="BG67" s="15">
        <f>BE67*IF($D67="wagon",2.73,81.25)</f>
        <v>256.62</v>
      </c>
      <c r="BJ67">
        <f>Y67</f>
        <v>80</v>
      </c>
      <c r="BP67">
        <v>1</v>
      </c>
      <c r="BQ67">
        <v>185</v>
      </c>
      <c r="BR67" t="s">
        <v>1101</v>
      </c>
      <c r="BS67" t="s">
        <v>699</v>
      </c>
      <c r="BT67" t="str">
        <f>VLOOKUP(G67,Eras!$A$2:$C$10, 2, TRUE)</f>
        <v>vct</v>
      </c>
      <c r="BU67" t="s">
        <v>376</v>
      </c>
      <c r="BV67" t="str">
        <f>CONCATENATE(BT67,"_",BU67)</f>
        <v>vct_Mail Carriage</v>
      </c>
      <c r="BW67" t="str">
        <f>IF(AND(BI67&lt;&gt;Y67,BI67&lt;&gt;""),_xlfn.CONCAT("{BLACK}","Tare speed: ","{GOLD}{VELOCITY}{}"), "")</f>
        <v/>
      </c>
      <c r="BX67" t="str">
        <f>_xlfn.CONCAT(E67, "_",F67)</f>
        <v>carriage_RAIL</v>
      </c>
      <c r="BY67" t="str">
        <f>VLOOKUP($BX67, Constants!$M:$N, 2, FALSE)</f>
        <v/>
      </c>
      <c r="BZ67" t="str">
        <f>IF(J67&gt;1,_xlfn.CONCAT("{BLACK}Cars: {GOLD}", J67),"")</f>
        <v/>
      </c>
      <c r="CA67" t="s">
        <v>1221</v>
      </c>
      <c r="CB67" t="str">
        <f>IF(BS67="BRAKE","{YELLOW}Speed bonus for slow wagons{}",IF(BQ67&gt;190,CONCATENATE("{YELLOW}",INT((BQ67-185)/1.85),"% Bonus for long distance travel{}"),IF(AND(BQ67&lt;180,BQ67&lt;&gt;0),CONCATENATE("{YELLOW}",INT((185-BQ67)/1.85),"% Penalty for long distance travel{}"),"")))</f>
        <v/>
      </c>
      <c r="CC67" t="str">
        <f>_xlfn.CONCAT(BW67,BY67,IF(BY67 &lt;&gt; "", " ", ""),BZ67,IF(OR(BZ67&lt;&gt;"", BY67&lt;&gt;""), "{}",""), CB67,"{SILVER}", CA67)</f>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IF(AND(T68&gt;0,W68&gt;0),(W68/((T68+U68)*10)),"")</f>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S68">
        <v>30</v>
      </c>
      <c r="AT68">
        <f>IF(I68&lt;&gt;"",MAX(8,(I68-G68)-4),"")</f>
        <v>47</v>
      </c>
      <c r="AU68">
        <v>49</v>
      </c>
      <c r="AV68">
        <v>21</v>
      </c>
      <c r="AW68">
        <f>MIN(Y68/150, 1)*30</f>
        <v>17</v>
      </c>
      <c r="AX68">
        <f>MIN(K68/4000, 1)*20</f>
        <v>0</v>
      </c>
      <c r="AY68">
        <f>MIN(W68/400,1)*20</f>
        <v>0</v>
      </c>
      <c r="AZ68" s="4">
        <v>1</v>
      </c>
      <c r="BA68">
        <f>((MAX($J68,1)*MIN($AE68/300,1)))*IF(D68="Wagon",50,10)</f>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BD68*IF($D68="wagon",62.5,781.25)</f>
        <v>2625</v>
      </c>
      <c r="BG68" s="15">
        <f>BE68*IF($D68="wagon",2.73,81.25)</f>
        <v>267.54000000000002</v>
      </c>
      <c r="BJ68">
        <f>Y68</f>
        <v>85</v>
      </c>
      <c r="BP68">
        <v>1</v>
      </c>
      <c r="BQ68">
        <v>185</v>
      </c>
      <c r="BR68" t="s">
        <v>1101</v>
      </c>
      <c r="BS68" t="s">
        <v>699</v>
      </c>
      <c r="BT68" t="str">
        <f>VLOOKUP(G68,Eras!$A$2:$C$10, 2, TRUE)</f>
        <v>edw</v>
      </c>
      <c r="BU68" t="s">
        <v>376</v>
      </c>
      <c r="BV68" t="str">
        <f>CONCATENATE(BT68,"_",BU68)</f>
        <v>edw_Mail Carriage</v>
      </c>
      <c r="BW68" t="str">
        <f>IF(AND(BI68&lt;&gt;Y68,BI68&lt;&gt;""),_xlfn.CONCAT("{BLACK}","Tare speed: ","{GOLD}{VELOCITY}{}"), "")</f>
        <v/>
      </c>
      <c r="BX68" t="str">
        <f>_xlfn.CONCAT(E68, "_",F68)</f>
        <v>carriage_RAIL</v>
      </c>
      <c r="BY68" t="str">
        <f>VLOOKUP($BX68, Constants!$M:$N, 2, FALSE)</f>
        <v/>
      </c>
      <c r="BZ68" t="str">
        <f>IF(J68&gt;1,_xlfn.CONCAT("{BLACK}Cars: {GOLD}", J68),"")</f>
        <v/>
      </c>
      <c r="CA68" t="s">
        <v>1222</v>
      </c>
      <c r="CB68" t="str">
        <f>IF(BS68="BRAKE","{YELLOW}Speed bonus for slow wagons{}",IF(BQ68&gt;190,CONCATENATE("{YELLOW}",INT((BQ68-185)/1.85),"% Bonus for long distance travel{}"),IF(AND(BQ68&lt;180,BQ68&lt;&gt;0),CONCATENATE("{YELLOW}",INT((185-BQ68)/1.85),"% Penalty for long distance travel{}"),"")))</f>
        <v/>
      </c>
      <c r="CC68" t="str">
        <f>_xlfn.CONCAT(BW68,BY68,IF(BY68 &lt;&gt; "", " ", ""),BZ68,IF(OR(BZ68&lt;&gt;"", BY68&lt;&gt;""), "{}",""), CB68,"{SILVER}", CA68)</f>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IF(AND(T69&gt;0,W69&gt;0),(W69/((T69+U69)*10)),"")</f>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S69">
        <v>30</v>
      </c>
      <c r="AT69">
        <f>IF(I69&lt;&gt;"",MAX(8,(I69-G69)-4),"")</f>
        <v>19</v>
      </c>
      <c r="AU69">
        <v>55</v>
      </c>
      <c r="AV69">
        <v>25</v>
      </c>
      <c r="AW69">
        <f>MIN(Y69/150, 1)*30</f>
        <v>20</v>
      </c>
      <c r="AX69">
        <f>MIN(K69/4000, 1)*20</f>
        <v>0</v>
      </c>
      <c r="AY69">
        <f>MIN(W69/400,1)*20</f>
        <v>0</v>
      </c>
      <c r="AZ69" s="4">
        <v>1</v>
      </c>
      <c r="BA69">
        <f>((MAX($J69,1)*MIN($AE69/300,1)))*IF(D69="Wagon",50,10)</f>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BD69*IF($D69="wagon",62.5,781.25)</f>
        <v>3125</v>
      </c>
      <c r="BG69" s="15">
        <f>BE69*IF($D69="wagon",2.73,81.25)</f>
        <v>300.3</v>
      </c>
      <c r="BJ69">
        <f>Y69</f>
        <v>100</v>
      </c>
      <c r="BP69">
        <v>1</v>
      </c>
      <c r="BQ69">
        <v>185</v>
      </c>
      <c r="BR69" t="s">
        <v>1101</v>
      </c>
      <c r="BS69" t="s">
        <v>699</v>
      </c>
      <c r="BT69" t="str">
        <f>VLOOKUP(G69,Eras!$A$2:$C$10, 2, TRUE)</f>
        <v>ebr</v>
      </c>
      <c r="BU69" t="s">
        <v>376</v>
      </c>
      <c r="BV69" t="str">
        <f>CONCATENATE(BT69,"_",BU69)</f>
        <v>ebr_Mail Carriage</v>
      </c>
      <c r="BW69" t="str">
        <f>IF(AND(BI69&lt;&gt;Y69,BI69&lt;&gt;""),_xlfn.CONCAT("{BLACK}","Tare speed: ","{GOLD}{VELOCITY}{}"), "")</f>
        <v/>
      </c>
      <c r="BX69" t="str">
        <f>_xlfn.CONCAT(E69, "_",F69)</f>
        <v>carriage_RAIL</v>
      </c>
      <c r="BY69" t="str">
        <f>VLOOKUP($BX69, Constants!$M:$N, 2, FALSE)</f>
        <v/>
      </c>
      <c r="BZ69" t="str">
        <f>IF(J69&gt;1,_xlfn.CONCAT("{BLACK}Cars: {GOLD}", J69),"")</f>
        <v/>
      </c>
      <c r="CA69" t="s">
        <v>1218</v>
      </c>
      <c r="CB69" t="str">
        <f>IF(BS69="BRAKE","{YELLOW}Speed bonus for slow wagons{}",IF(BQ69&gt;190,CONCATENATE("{YELLOW}",INT((BQ69-185)/1.85),"% Bonus for long distance travel{}"),IF(AND(BQ69&lt;180,BQ69&lt;&gt;0),CONCATENATE("{YELLOW}",INT((185-BQ69)/1.85),"% Penalty for long distance travel{}"),"")))</f>
        <v/>
      </c>
      <c r="CC69" t="str">
        <f>_xlfn.CONCAT(BW69,BY69,IF(BY69 &lt;&gt; "", " ", ""),BZ69,IF(OR(BZ69&lt;&gt;"", BY69&lt;&gt;""), "{}",""), CB69,"{SILVER}", CA69)</f>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IF(AND(T70&gt;0,W70&gt;0),(W70/((T70+U70)*10)),"")</f>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S70">
        <v>30</v>
      </c>
      <c r="AT70">
        <f>IF(I70&lt;&gt;"",MAX(8,(I70-G70)-4),"")</f>
        <v>50</v>
      </c>
      <c r="AU70">
        <v>58</v>
      </c>
      <c r="AV70">
        <v>27</v>
      </c>
      <c r="AW70">
        <f>MIN(Y70/150, 1)*30</f>
        <v>22</v>
      </c>
      <c r="AX70">
        <f>MIN(K70/4000, 1)*20</f>
        <v>0</v>
      </c>
      <c r="AY70">
        <f>MIN(W70/400,1)*20</f>
        <v>0</v>
      </c>
      <c r="AZ70" s="4">
        <v>1</v>
      </c>
      <c r="BA70">
        <f>((MAX($J70,1)*MIN($AE70/300,1)))*IF(D70="Wagon",50,10)</f>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BD70*IF($D70="wagon",62.5,781.25)</f>
        <v>3375</v>
      </c>
      <c r="BG70" s="15">
        <f>BE70*IF($D70="wagon",2.73,81.25)</f>
        <v>316.68</v>
      </c>
      <c r="BJ70">
        <f>Y70</f>
        <v>110</v>
      </c>
      <c r="BP70">
        <v>1</v>
      </c>
      <c r="BQ70">
        <v>185</v>
      </c>
      <c r="BR70" t="s">
        <v>1101</v>
      </c>
      <c r="BS70" t="s">
        <v>699</v>
      </c>
      <c r="BT70" t="str">
        <f>VLOOKUP(G70,Eras!$A$2:$C$10, 2, TRUE)</f>
        <v>dsl</v>
      </c>
      <c r="BU70" t="s">
        <v>375</v>
      </c>
      <c r="BV70" t="str">
        <f>CONCATENATE(BT70,"_",BU70)</f>
        <v>dsl_Carriage</v>
      </c>
      <c r="BW70" t="str">
        <f>IF(AND(BI70&lt;&gt;Y70,BI70&lt;&gt;""),_xlfn.CONCAT("{BLACK}","Tare speed: ","{GOLD}{VELOCITY}{}"), "")</f>
        <v/>
      </c>
      <c r="BX70" t="str">
        <f>_xlfn.CONCAT(E70, "_",F70)</f>
        <v>carriage_RAIL</v>
      </c>
      <c r="BY70" t="str">
        <f>VLOOKUP($BX70, Constants!$M:$N, 2, FALSE)</f>
        <v/>
      </c>
      <c r="BZ70" t="str">
        <f>IF(J70&gt;1,_xlfn.CONCAT("{BLACK}Cars: {GOLD}", J70),"")</f>
        <v/>
      </c>
      <c r="CA70" t="s">
        <v>1225</v>
      </c>
      <c r="CB70" t="str">
        <f>IF(BS70="BRAKE","{YELLOW}Speed bonus for slow wagons{}",IF(BQ70&gt;190,CONCATENATE("{YELLOW}",INT((BQ70-185)/1.85),"% Bonus for long distance travel{}"),IF(AND(BQ70&lt;180,BQ70&lt;&gt;0),CONCATENATE("{YELLOW}",INT((185-BQ70)/1.85),"% Penalty for long distance travel{}"),"")))</f>
        <v/>
      </c>
      <c r="CC70" t="str">
        <f>_xlfn.CONCAT(BW70,BY70,IF(BY70 &lt;&gt; "", " ", ""),BZ70,IF(OR(BZ70&lt;&gt;"", BY70&lt;&gt;""), "{}",""), CB70,"{SILVER}", CA70)</f>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IF(AND(T71&gt;0,W71&gt;0),(W71/((T71+U71)*10)),"")</f>
        <v/>
      </c>
      <c r="Y71">
        <v>100</v>
      </c>
      <c r="AA71">
        <v>19.3</v>
      </c>
      <c r="AB71">
        <v>20</v>
      </c>
      <c r="AE71" s="11">
        <v>78</v>
      </c>
      <c r="AF71" t="str">
        <f>CONCATENATE(VLOOKUP(AG71, 'Voxel Sizes'!$A$2:$B$18,2,FALSE),"x",INT(AC71*15), "x", INT(AD71*15))</f>
        <v>198x0x0</v>
      </c>
      <c r="AG71">
        <f>ROUND(15*((AB71*10)/256),0)</f>
        <v>12</v>
      </c>
      <c r="AI71" t="str">
        <f>CONCATENATE(VLOOKUP(AG71,Constants!$A$2:$C$16,IF(AH71&lt;&gt;"", 3, 2), FALSE),IF(AH71&lt;&gt;"",CONCATENATE(",",VLOOKUP(AH71,$B:$AI,34,FALSE)),""))</f>
        <v>4,4,4</v>
      </c>
      <c r="AS71">
        <v>30</v>
      </c>
      <c r="AT71" t="str">
        <f>IF(I71&lt;&gt;"",MAX(8,(I71-G71)-4),"")</f>
        <v/>
      </c>
      <c r="AU71">
        <v>48</v>
      </c>
      <c r="AV71">
        <v>19</v>
      </c>
      <c r="AW71">
        <f>MIN(Y71/150, 1)*30</f>
        <v>20</v>
      </c>
      <c r="AX71">
        <f>MIN(K71/4000, 1)*20</f>
        <v>0</v>
      </c>
      <c r="AY71">
        <f>MIN(W71/400,1)*20</f>
        <v>0</v>
      </c>
      <c r="AZ71" s="4">
        <v>1</v>
      </c>
      <c r="BA71">
        <f>((MAX($J71,1)*MIN($AE71/300,1)))*IF(D71="Wagon",50,10)</f>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BD71*IF($D71="wagon",62.5,781.25)</f>
        <v>2375</v>
      </c>
      <c r="BG71" s="15">
        <f>BE71*IF($D71="wagon",2.73,81.25)</f>
        <v>262.08</v>
      </c>
      <c r="BJ71">
        <f>Y71</f>
        <v>100</v>
      </c>
      <c r="BP71">
        <v>1</v>
      </c>
      <c r="BQ71">
        <v>233</v>
      </c>
      <c r="BR71" t="s">
        <v>1101</v>
      </c>
      <c r="BS71" t="s">
        <v>699</v>
      </c>
      <c r="BT71" t="str">
        <f>VLOOKUP(G71,Eras!$A$2:$C$10, 2, TRUE)</f>
        <v>dsl</v>
      </c>
      <c r="BU71" t="s">
        <v>376</v>
      </c>
      <c r="BV71" t="str">
        <f>CONCATENATE(BT71,"_",BU71)</f>
        <v>dsl_Mail Carriage</v>
      </c>
      <c r="BW71" t="str">
        <f>IF(AND(BI71&lt;&gt;Y71,BI71&lt;&gt;""),_xlfn.CONCAT("{BLACK}","Tare speed: ","{GOLD}{VELOCITY}{}"), "")</f>
        <v/>
      </c>
      <c r="BX71" t="str">
        <f>_xlfn.CONCAT(E71, "_",F71)</f>
        <v>wagon_RAIL</v>
      </c>
      <c r="BY71" t="str">
        <f>VLOOKUP($BX71, Constants!$M:$N, 2, FALSE)</f>
        <v/>
      </c>
      <c r="BZ71" t="str">
        <f>IF(J71&gt;1,_xlfn.CONCAT("{BLACK}Cars: {GOLD}", J71),"")</f>
        <v/>
      </c>
      <c r="CA71" t="s">
        <v>845</v>
      </c>
      <c r="CB71" t="str">
        <f>IF(BS71="BRAKE","{YELLOW}Speed bonus for slow wagons{}",IF(BQ71&gt;190,CONCATENATE("{YELLOW}",INT((BQ71-185)/1.85),"% Bonus for long distance travel{}"),IF(AND(BQ71&lt;180,BQ71&lt;&gt;0),CONCATENATE("{YELLOW}",INT((185-BQ71)/1.85),"% Penalty for long distance travel{}"),"")))</f>
        <v>{YELLOW}25% Bonus for long distance travel{}</v>
      </c>
      <c r="CC71" t="str">
        <f>_xlfn.CONCAT(BW71,BY71,IF(BY71 &lt;&gt; "", " ", ""),BZ71,IF(OR(BZ71&lt;&gt;"", BY71&lt;&gt;""), "{}",""), CB71,"{SILVER}", CA71)</f>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IF(AND(T72&gt;0,W72&gt;0),(W72/((T72+U72)*10)),"")</f>
        <v/>
      </c>
      <c r="Y72">
        <v>5</v>
      </c>
      <c r="AE72" s="11">
        <v>0</v>
      </c>
      <c r="AF72" t="str">
        <f>CONCATENATE(VLOOKUP(AG72, 'Voxel Sizes'!$A$2:$B$18,2,FALSE),"x",INT(AC72*15), "x", INT(AD72*15))</f>
        <v>0x0x0</v>
      </c>
      <c r="AG72">
        <f>ROUND(15*((AB72*10)/256),0)</f>
        <v>0</v>
      </c>
      <c r="AI72" t="str">
        <f>CONCATENATE(VLOOKUP(AG72,Constants!$A$2:$C$16,IF(AH72&lt;&gt;"", 3, 2), FALSE),IF(AH72&lt;&gt;"",CONCATENATE(",",VLOOKUP(AH72,$B:$AI,34,FALSE)),""))</f>
        <v>na</v>
      </c>
      <c r="AS72">
        <v>30</v>
      </c>
      <c r="AT72" t="str">
        <f>IF(I72&lt;&gt;"",MAX(8,(I72-G72)-4),"")</f>
        <v/>
      </c>
      <c r="AW72">
        <f>MIN(Y72/150, 1)*30</f>
        <v>1</v>
      </c>
      <c r="AX72">
        <f>MIN(K72/4000, 1)*20</f>
        <v>0</v>
      </c>
      <c r="AY72">
        <f>MIN(W72/400,1)*20</f>
        <v>0</v>
      </c>
      <c r="AZ72" s="4">
        <v>1</v>
      </c>
      <c r="BA72">
        <f>((MAX($J72,1)*MIN($AE72/300,1)))*IF(D72="Wagon",50,10)</f>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BD72*IF($D72="wagon",62.5,781.25)</f>
        <v>8593.75</v>
      </c>
      <c r="BG72" s="15">
        <f>BE72*IF($D72="wagon",2.73,81.25)</f>
        <v>2600</v>
      </c>
      <c r="BP72">
        <v>1</v>
      </c>
      <c r="BQ72">
        <v>185</v>
      </c>
      <c r="BT72" t="str">
        <f>VLOOKUP(G72,Eras!$A$2:$C$10, 2, TRUE)</f>
        <v>early</v>
      </c>
      <c r="BU72" t="s">
        <v>367</v>
      </c>
      <c r="BV72" t="str">
        <f>CONCATENATE(BT72,"_",BU72)</f>
        <v>early_Mixed Traffic</v>
      </c>
      <c r="BW72" t="str">
        <f>IF(AND(BI72&lt;&gt;Y72,BI72&lt;&gt;""),_xlfn.CONCAT("{BLACK}","Tare speed: ","{GOLD}{VELOCITY}{}"), "")</f>
        <v/>
      </c>
      <c r="BX72" t="str">
        <f>_xlfn.CONCAT(E72, "_",F72)</f>
        <v>steam_NGRL</v>
      </c>
      <c r="BY72" t="str">
        <f>VLOOKUP($BX72, Constants!$M:$N, 2, FALSE)</f>
        <v/>
      </c>
      <c r="BZ72" t="str">
        <f>IF(J72&gt;1,_xlfn.CONCAT("{BLACK}Cars: {GOLD}", J72),"")</f>
        <v/>
      </c>
      <c r="CB72" t="str">
        <f>IF(BS72="BRAKE","{YELLOW}Speed bonus for slow wagons{}",IF(BQ72&gt;190,CONCATENATE("{YELLOW}",INT((BQ72-185)/1.85),"% Bonus for long distance travel{}"),IF(AND(BQ72&lt;180,BQ72&lt;&gt;0),CONCATENATE("{YELLOW}",INT((185-BQ72)/1.85),"% Penalty for long distance travel{}"),"")))</f>
        <v/>
      </c>
      <c r="CC72" t="str">
        <f>_xlfn.CONCAT(BW72,BY72,IF(BY72 &lt;&gt; "", " ", ""),BZ72,IF(OR(BZ72&lt;&gt;"", BY72&lt;&gt;""), "{}",""), CB72,"{SILVER}", CA72)</f>
        <v>{SILVER}</v>
      </c>
    </row>
    <row r="73" spans="1:81" x14ac:dyDescent="0.25">
      <c r="A73" t="s">
        <v>0</v>
      </c>
      <c r="B73" t="s">
        <v>169</v>
      </c>
      <c r="C73">
        <v>152</v>
      </c>
      <c r="D73" t="s">
        <v>168</v>
      </c>
      <c r="E73" t="s">
        <v>311</v>
      </c>
      <c r="F73" t="s">
        <v>314</v>
      </c>
      <c r="G73">
        <v>1812</v>
      </c>
      <c r="T73">
        <v>5</v>
      </c>
      <c r="X73" s="4" t="str">
        <f>IF(AND(T73&gt;0,W73&gt;0),(W73/((T73+U73)*10)),"")</f>
        <v/>
      </c>
      <c r="AE73" s="11">
        <v>0</v>
      </c>
      <c r="AF73" t="str">
        <f>CONCATENATE(VLOOKUP(AG73, 'Voxel Sizes'!$A$2:$B$18,2,FALSE),"x",INT(AC73*15), "x", INT(AD73*15))</f>
        <v>0x0x0</v>
      </c>
      <c r="AG73">
        <f>ROUND(15*((AB73*10)/256),0)</f>
        <v>0</v>
      </c>
      <c r="AI73" t="str">
        <f>CONCATENATE(VLOOKUP(AG73,Constants!$A$2:$C$16,IF(AH73&lt;&gt;"", 3, 2), FALSE),IF(AH73&lt;&gt;"",CONCATENATE(",",VLOOKUP(AH73,$B:$AI,34,FALSE)),""))</f>
        <v>na</v>
      </c>
      <c r="AS73">
        <v>30</v>
      </c>
      <c r="AT73" t="str">
        <f>IF(I73&lt;&gt;"",MAX(8,(I73-G73)-4),"")</f>
        <v/>
      </c>
      <c r="AW73">
        <f>MIN(Y73/150, 1)*30</f>
        <v>0</v>
      </c>
      <c r="AX73">
        <f>MIN(K73/4000, 1)*20</f>
        <v>0</v>
      </c>
      <c r="AY73">
        <f>MIN(W73/400,1)*20</f>
        <v>0</v>
      </c>
      <c r="AZ73" s="4">
        <v>1</v>
      </c>
      <c r="BA73">
        <f>((MAX($J73,1)*MIN($AE73/300,1)))*IF(D73="Wagon",50,10)</f>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BD73*IF($D73="wagon",62.5,781.25)</f>
        <v>7031.25</v>
      </c>
      <c r="BG73" s="15">
        <f>BE73*IF($D73="wagon",2.73,81.25)</f>
        <v>2437.5</v>
      </c>
      <c r="BP73">
        <v>2</v>
      </c>
      <c r="BT73" t="str">
        <f>VLOOKUP(G73,Eras!$A$2:$C$10, 2, TRUE)</f>
        <v>early</v>
      </c>
      <c r="BV73" t="str">
        <f>CONCATENATE(BT73,"_",BU73)</f>
        <v>early_</v>
      </c>
      <c r="BW73" t="str">
        <f>IF(AND(BI73&lt;&gt;Y73,BI73&lt;&gt;""),_xlfn.CONCAT("{BLACK}","Tare speed: ","{GOLD}{VELOCITY}{}"), "")</f>
        <v/>
      </c>
      <c r="BX73" t="str">
        <f>_xlfn.CONCAT(E73, "_",F73)</f>
        <v>steam_RAIL</v>
      </c>
      <c r="BY73" t="str">
        <f>VLOOKUP($BX73, Constants!$M:$N, 2, FALSE)</f>
        <v>{BLACK}Powered by: {GOLD}Steam</v>
      </c>
      <c r="BZ73" t="str">
        <f>IF(J73&gt;1,_xlfn.CONCAT("{BLACK}Cars: {GOLD}", J73),"")</f>
        <v/>
      </c>
      <c r="CB73" t="str">
        <f>IF(BS73="BRAKE","{YELLOW}Speed bonus for slow wagons{}",IF(BQ73&gt;190,CONCATENATE("{YELLOW}",INT((BQ73-185)/1.85),"% Bonus for long distance travel{}"),IF(AND(BQ73&lt;180,BQ73&lt;&gt;0),CONCATENATE("{YELLOW}",INT((185-BQ73)/1.85),"% Penalty for long distance travel{}"),"")))</f>
        <v/>
      </c>
      <c r="CC73" t="str">
        <f>_xlfn.CONCAT(BW73,BY73,IF(BY73 &lt;&gt; "", " ", ""),BZ73,IF(OR(BZ73&lt;&gt;"", BY73&lt;&gt;""), "{}",""), CB73,"{SILVER}", CA73)</f>
        <v>{BLACK}Powered by: {GOLD}Steam {}{SILVER}</v>
      </c>
    </row>
    <row r="74" spans="1:81" x14ac:dyDescent="0.25">
      <c r="A74" t="s">
        <v>1</v>
      </c>
      <c r="B74" t="s">
        <v>170</v>
      </c>
      <c r="C74">
        <v>153</v>
      </c>
      <c r="D74" t="s">
        <v>168</v>
      </c>
      <c r="E74" t="s">
        <v>311</v>
      </c>
      <c r="F74" t="s">
        <v>314</v>
      </c>
      <c r="G74">
        <v>1825</v>
      </c>
      <c r="T74">
        <v>7</v>
      </c>
      <c r="W74">
        <v>8.5</v>
      </c>
      <c r="X74" s="4">
        <f>IF(AND(T74&gt;0,W74&gt;0),(W74/((T74+U74)*10)),"")</f>
        <v>0.12142857142857143</v>
      </c>
      <c r="Y74">
        <v>15</v>
      </c>
      <c r="AE74" s="11">
        <v>0</v>
      </c>
      <c r="AF74" t="str">
        <f>CONCATENATE(VLOOKUP(AG74, 'Voxel Sizes'!$A$2:$B$18,2,FALSE),"x",INT(AC74*15), "x", INT(AD74*15))</f>
        <v>0x0x0</v>
      </c>
      <c r="AG74">
        <f>ROUND(15*((AB74*10)/256),0)</f>
        <v>0</v>
      </c>
      <c r="AI74" t="str">
        <f>CONCATENATE(VLOOKUP(AG74,Constants!$A$2:$C$16,IF(AH74&lt;&gt;"", 3, 2), FALSE),IF(AH74&lt;&gt;"",CONCATENATE(",",VLOOKUP(AH74,$B:$AI,34,FALSE)),""))</f>
        <v>na</v>
      </c>
      <c r="AS74">
        <v>30</v>
      </c>
      <c r="AT74" t="str">
        <f>IF(I74&lt;&gt;"",MAX(8,(I74-G74)-4),"")</f>
        <v/>
      </c>
      <c r="AW74">
        <f>MIN(Y74/150, 1)*30</f>
        <v>3</v>
      </c>
      <c r="AX74">
        <f>MIN(K74/4000, 1)*20</f>
        <v>0</v>
      </c>
      <c r="AY74">
        <f>MIN(W74/400,1)*20</f>
        <v>0.42500000000000004</v>
      </c>
      <c r="AZ74" s="4">
        <v>1</v>
      </c>
      <c r="BA74">
        <f>((MAX($J74,1)*MIN($AE74/300,1)))*IF(D74="Wagon",50,10)</f>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BD74*IF($D74="wagon",62.5,781.25)</f>
        <v>12500</v>
      </c>
      <c r="BG74" s="15">
        <f>BE74*IF($D74="wagon",2.73,81.25)</f>
        <v>3168.75</v>
      </c>
      <c r="BP74">
        <v>3</v>
      </c>
      <c r="BT74" t="str">
        <f>VLOOKUP(G74,Eras!$A$2:$C$10, 2, TRUE)</f>
        <v>early</v>
      </c>
      <c r="BU74" t="s">
        <v>367</v>
      </c>
      <c r="BV74" t="str">
        <f>CONCATENATE(BT74,"_",BU74)</f>
        <v>early_Mixed Traffic</v>
      </c>
      <c r="BW74" t="str">
        <f>IF(AND(BI74&lt;&gt;Y74,BI74&lt;&gt;""),_xlfn.CONCAT("{BLACK}","Tare speed: ","{GOLD}{VELOCITY}{}"), "")</f>
        <v/>
      </c>
      <c r="BX74" t="str">
        <f>_xlfn.CONCAT(E74, "_",F74)</f>
        <v>steam_RAIL</v>
      </c>
      <c r="BY74" t="str">
        <f>VLOOKUP($BX74, Constants!$M:$N, 2, FALSE)</f>
        <v>{BLACK}Powered by: {GOLD}Steam</v>
      </c>
      <c r="BZ74" t="str">
        <f>IF(J74&gt;1,_xlfn.CONCAT("{BLACK}Cars: {GOLD}", J74),"")</f>
        <v/>
      </c>
      <c r="CB74" t="str">
        <f>IF(BS74="BRAKE","{YELLOW}Speed bonus for slow wagons{}",IF(BQ74&gt;190,CONCATENATE("{YELLOW}",INT((BQ74-185)/1.85),"% Bonus for long distance travel{}"),IF(AND(BQ74&lt;180,BQ74&lt;&gt;0),CONCATENATE("{YELLOW}",INT((185-BQ74)/1.85),"% Penalty for long distance travel{}"),"")))</f>
        <v/>
      </c>
      <c r="CC74" t="str">
        <f>_xlfn.CONCAT(BW74,BY74,IF(BY74 &lt;&gt; "", " ", ""),BZ74,IF(OR(BZ74&lt;&gt;"", BY74&lt;&gt;""), "{}",""), CB74,"{SILVER}", CA74)</f>
        <v>{BLACK}Powered by: {GOLD}Steam {}{SILVER}</v>
      </c>
    </row>
    <row r="75" spans="1:81" x14ac:dyDescent="0.25">
      <c r="A75" t="s">
        <v>2</v>
      </c>
      <c r="B75" t="s">
        <v>171</v>
      </c>
      <c r="C75">
        <v>154</v>
      </c>
      <c r="D75" t="s">
        <v>168</v>
      </c>
      <c r="E75" t="s">
        <v>311</v>
      </c>
      <c r="F75" t="s">
        <v>314</v>
      </c>
      <c r="G75">
        <v>1830</v>
      </c>
      <c r="T75">
        <v>4.3</v>
      </c>
      <c r="X75" s="4" t="str">
        <f>IF(AND(T75&gt;0,W75&gt;0),(W75/((T75+U75)*10)),"")</f>
        <v/>
      </c>
      <c r="AE75" s="11">
        <v>0</v>
      </c>
      <c r="AF75" t="str">
        <f>CONCATENATE(VLOOKUP(AG75, 'Voxel Sizes'!$A$2:$B$18,2,FALSE),"x",INT(AC75*15), "x", INT(AD75*15))</f>
        <v>0x0x0</v>
      </c>
      <c r="AG75">
        <f>ROUND(15*((AB75*10)/256),0)</f>
        <v>0</v>
      </c>
      <c r="AI75" t="str">
        <f>CONCATENATE(VLOOKUP(AG75,Constants!$A$2:$C$16,IF(AH75&lt;&gt;"", 3, 2), FALSE),IF(AH75&lt;&gt;"",CONCATENATE(",",VLOOKUP(AH75,$B:$AI,34,FALSE)),""))</f>
        <v>na</v>
      </c>
      <c r="AS75">
        <v>30</v>
      </c>
      <c r="AT75" t="str">
        <f>IF(I75&lt;&gt;"",MAX(8,(I75-G75)-4),"")</f>
        <v/>
      </c>
      <c r="AW75">
        <f>MIN(Y75/150, 1)*30</f>
        <v>0</v>
      </c>
      <c r="AX75">
        <f>MIN(K75/4000, 1)*20</f>
        <v>0</v>
      </c>
      <c r="AY75">
        <f>MIN(W75/400,1)*20</f>
        <v>0</v>
      </c>
      <c r="AZ75" s="4">
        <v>1</v>
      </c>
      <c r="BA75">
        <f>((MAX($J75,1)*MIN($AE75/300,1)))*IF(D75="Wagon",50,10)</f>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BD75*IF($D75="wagon",62.5,781.25)</f>
        <v>7031.25</v>
      </c>
      <c r="BG75" s="15">
        <f>BE75*IF($D75="wagon",2.73,81.25)</f>
        <v>2437.5</v>
      </c>
      <c r="BP75">
        <v>4</v>
      </c>
      <c r="BT75" t="str">
        <f>VLOOKUP(G75,Eras!$A$2:$C$10, 2, TRUE)</f>
        <v>early</v>
      </c>
      <c r="BU75" t="s">
        <v>367</v>
      </c>
      <c r="BV75" t="str">
        <f>CONCATENATE(BT75,"_",BU75)</f>
        <v>early_Mixed Traffic</v>
      </c>
      <c r="BW75" t="str">
        <f>IF(AND(BI75&lt;&gt;Y75,BI75&lt;&gt;""),_xlfn.CONCAT("{BLACK}","Tare speed: ","{GOLD}{VELOCITY}{}"), "")</f>
        <v/>
      </c>
      <c r="BX75" t="str">
        <f>_xlfn.CONCAT(E75, "_",F75)</f>
        <v>steam_RAIL</v>
      </c>
      <c r="BY75" t="str">
        <f>VLOOKUP($BX75, Constants!$M:$N, 2, FALSE)</f>
        <v>{BLACK}Powered by: {GOLD}Steam</v>
      </c>
      <c r="BZ75" t="str">
        <f>IF(J75&gt;1,_xlfn.CONCAT("{BLACK}Cars: {GOLD}", J75),"")</f>
        <v/>
      </c>
      <c r="CB75" t="str">
        <f>IF(BS75="BRAKE","{YELLOW}Speed bonus for slow wagons{}",IF(BQ75&gt;190,CONCATENATE("{YELLOW}",INT((BQ75-185)/1.85),"% Bonus for long distance travel{}"),IF(AND(BQ75&lt;180,BQ75&lt;&gt;0),CONCATENATE("{YELLOW}",INT((185-BQ75)/1.85),"% Penalty for long distance travel{}"),"")))</f>
        <v/>
      </c>
      <c r="CC75" t="str">
        <f>_xlfn.CONCAT(BW75,BY75,IF(BY75 &lt;&gt; "", " ", ""),BZ75,IF(OR(BZ75&lt;&gt;"", BY75&lt;&gt;""), "{}",""), CB75,"{SILVER}", CA75)</f>
        <v>{BLACK}Powered by: {GOLD}Steam {}{SILVER}</v>
      </c>
    </row>
    <row r="76" spans="1:81" x14ac:dyDescent="0.25">
      <c r="A76" t="s">
        <v>143</v>
      </c>
      <c r="B76" t="s">
        <v>247</v>
      </c>
      <c r="C76">
        <v>155</v>
      </c>
      <c r="D76" t="s">
        <v>168</v>
      </c>
      <c r="E76" t="s">
        <v>311</v>
      </c>
      <c r="F76" t="s">
        <v>314</v>
      </c>
      <c r="G76">
        <v>1838</v>
      </c>
      <c r="W76">
        <v>9.6</v>
      </c>
      <c r="X76" s="4" t="str">
        <f>IF(AND(T76&gt;0,W76&gt;0),(W76/((T76+U76)*10)),"")</f>
        <v/>
      </c>
      <c r="Y76">
        <v>45</v>
      </c>
      <c r="AE76" s="11">
        <v>0</v>
      </c>
      <c r="AF76" t="str">
        <f>CONCATENATE(VLOOKUP(AG76, 'Voxel Sizes'!$A$2:$B$18,2,FALSE),"x",INT(AC76*15), "x", INT(AD76*15))</f>
        <v>0x0x0</v>
      </c>
      <c r="AG76">
        <f>ROUND(15*((AB76*10)/256),0)</f>
        <v>0</v>
      </c>
      <c r="AI76" t="str">
        <f>CONCATENATE(VLOOKUP(AG76,Constants!$A$2:$C$16,IF(AH76&lt;&gt;"", 3, 2), FALSE),IF(AH76&lt;&gt;"",CONCATENATE(",",VLOOKUP(AH76,$B:$AI,34,FALSE)),""))</f>
        <v>na</v>
      </c>
      <c r="AS76">
        <v>30</v>
      </c>
      <c r="AT76" t="str">
        <f>IF(I76&lt;&gt;"",MAX(8,(I76-G76)-4),"")</f>
        <v/>
      </c>
      <c r="AW76">
        <f>MIN(Y76/150, 1)*30</f>
        <v>9</v>
      </c>
      <c r="AX76">
        <f>MIN(K76/4000, 1)*20</f>
        <v>0</v>
      </c>
      <c r="AY76">
        <f>MIN(W76/400,1)*20</f>
        <v>0.48</v>
      </c>
      <c r="AZ76" s="4">
        <v>1</v>
      </c>
      <c r="BA76">
        <f>((MAX($J76,1)*MIN($AE76/300,1)))*IF(D76="Wagon",50,10)</f>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BD76*IF($D76="wagon",62.5,781.25)</f>
        <v>21875</v>
      </c>
      <c r="BG76" s="15">
        <f>BE76*IF($D76="wagon",2.73,81.25)</f>
        <v>4387.5</v>
      </c>
      <c r="BP76">
        <v>5</v>
      </c>
      <c r="BT76" t="str">
        <f>VLOOKUP(G76,Eras!$A$2:$C$10, 2, TRUE)</f>
        <v>early</v>
      </c>
      <c r="BU76" t="s">
        <v>367</v>
      </c>
      <c r="BV76" t="str">
        <f>CONCATENATE(BT76,"_",BU76)</f>
        <v>early_Mixed Traffic</v>
      </c>
      <c r="BW76" t="str">
        <f>IF(AND(BI76&lt;&gt;Y76,BI76&lt;&gt;""),_xlfn.CONCAT("{BLACK}","Tare speed: ","{GOLD}{VELOCITY}{}"), "")</f>
        <v/>
      </c>
      <c r="BX76" t="str">
        <f>_xlfn.CONCAT(E76, "_",F76)</f>
        <v>steam_RAIL</v>
      </c>
      <c r="BY76" t="str">
        <f>VLOOKUP($BX76, Constants!$M:$N, 2, FALSE)</f>
        <v>{BLACK}Powered by: {GOLD}Steam</v>
      </c>
      <c r="BZ76" t="str">
        <f>IF(J76&gt;1,_xlfn.CONCAT("{BLACK}Cars: {GOLD}", J76),"")</f>
        <v/>
      </c>
      <c r="CB76" t="str">
        <f>IF(BS76="BRAKE","{YELLOW}Speed bonus for slow wagons{}",IF(BQ76&gt;190,CONCATENATE("{YELLOW}",INT((BQ76-185)/1.85),"% Bonus for long distance travel{}"),IF(AND(BQ76&lt;180,BQ76&lt;&gt;0),CONCATENATE("{YELLOW}",INT((185-BQ76)/1.85),"% Penalty for long distance travel{}"),"")))</f>
        <v/>
      </c>
      <c r="CC76" t="str">
        <f>_xlfn.CONCAT(BW76,BY76,IF(BY76 &lt;&gt; "", " ", ""),BZ76,IF(OR(BZ76&lt;&gt;"", BY76&lt;&gt;""), "{}",""), CB76,"{SILVER}", CA76)</f>
        <v>{BLACK}Powered by: {GOLD}Steam {}{SILVER}</v>
      </c>
    </row>
    <row r="77" spans="1:81" x14ac:dyDescent="0.25">
      <c r="A77" t="s">
        <v>144</v>
      </c>
      <c r="B77" t="s">
        <v>248</v>
      </c>
      <c r="C77">
        <v>158</v>
      </c>
      <c r="D77" t="s">
        <v>168</v>
      </c>
      <c r="E77" t="s">
        <v>311</v>
      </c>
      <c r="F77" t="s">
        <v>314</v>
      </c>
      <c r="G77">
        <v>1838</v>
      </c>
      <c r="X77" s="4" t="str">
        <f>IF(AND(T77&gt;0,W77&gt;0),(W77/((T77+U77)*10)),"")</f>
        <v/>
      </c>
      <c r="AE77" s="11">
        <v>0</v>
      </c>
      <c r="AF77" t="str">
        <f>CONCATENATE(VLOOKUP(AG77, 'Voxel Sizes'!$A$2:$B$18,2,FALSE),"x",INT(AC77*15), "x", INT(AD77*15))</f>
        <v>0x0x0</v>
      </c>
      <c r="AG77">
        <f>ROUND(15*((AB77*10)/256),0)</f>
        <v>0</v>
      </c>
      <c r="AI77" t="str">
        <f>CONCATENATE(VLOOKUP(AG77,Constants!$A$2:$C$16,IF(AH77&lt;&gt;"", 3, 2), FALSE),IF(AH77&lt;&gt;"",CONCATENATE(",",VLOOKUP(AH77,$B:$AI,34,FALSE)),""))</f>
        <v>na</v>
      </c>
      <c r="AS77">
        <v>30</v>
      </c>
      <c r="AT77" t="str">
        <f>IF(I77&lt;&gt;"",MAX(8,(I77-G77)-4),"")</f>
        <v/>
      </c>
      <c r="AW77">
        <f>MIN(Y77/150, 1)*30</f>
        <v>0</v>
      </c>
      <c r="AX77">
        <f>MIN(K77/4000, 1)*20</f>
        <v>0</v>
      </c>
      <c r="AY77">
        <f>MIN(W77/400,1)*20</f>
        <v>0</v>
      </c>
      <c r="AZ77" s="4">
        <v>1</v>
      </c>
      <c r="BA77">
        <f>((MAX($J77,1)*MIN($AE77/300,1)))*IF(D77="Wagon",50,10)</f>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BD77*IF($D77="wagon",62.5,781.25)</f>
        <v>7031.25</v>
      </c>
      <c r="BG77" s="15">
        <f>BE77*IF($D77="wagon",2.73,81.25)</f>
        <v>2437.5</v>
      </c>
      <c r="BP77">
        <v>6</v>
      </c>
      <c r="BT77" t="str">
        <f>VLOOKUP(G77,Eras!$A$2:$C$10, 2, TRUE)</f>
        <v>early</v>
      </c>
      <c r="BU77" t="s">
        <v>368</v>
      </c>
      <c r="BV77" t="str">
        <f>CONCATENATE(BT77,"_",BU77)</f>
        <v>early_Express</v>
      </c>
      <c r="BW77" t="str">
        <f>IF(AND(BI77&lt;&gt;Y77,BI77&lt;&gt;""),_xlfn.CONCAT("{BLACK}","Tare speed: ","{GOLD}{VELOCITY}{}"), "")</f>
        <v/>
      </c>
      <c r="BX77" t="str">
        <f>_xlfn.CONCAT(E77, "_",F77)</f>
        <v>steam_RAIL</v>
      </c>
      <c r="BY77" t="str">
        <f>VLOOKUP($BX77, Constants!$M:$N, 2, FALSE)</f>
        <v>{BLACK}Powered by: {GOLD}Steam</v>
      </c>
      <c r="BZ77" t="str">
        <f>IF(J77&gt;1,_xlfn.CONCAT("{BLACK}Cars: {GOLD}", J77),"")</f>
        <v/>
      </c>
      <c r="CB77" t="str">
        <f>IF(BS77="BRAKE","{YELLOW}Speed bonus for slow wagons{}",IF(BQ77&gt;190,CONCATENATE("{YELLOW}",INT((BQ77-185)/1.85),"% Bonus for long distance travel{}"),IF(AND(BQ77&lt;180,BQ77&lt;&gt;0),CONCATENATE("{YELLOW}",INT((185-BQ77)/1.85),"% Penalty for long distance travel{}"),"")))</f>
        <v/>
      </c>
      <c r="CC77" t="str">
        <f>_xlfn.CONCAT(BW77,BY77,IF(BY77 &lt;&gt; "", " ", ""),BZ77,IF(OR(BZ77&lt;&gt;"", BY77&lt;&gt;""), "{}",""), CB77,"{SILVER}", CA77)</f>
        <v>{BLACK}Powered by: {GOLD}Steam {}{SILVER}</v>
      </c>
    </row>
    <row r="78" spans="1:81" x14ac:dyDescent="0.25">
      <c r="A78" t="s">
        <v>3</v>
      </c>
      <c r="B78" t="s">
        <v>172</v>
      </c>
      <c r="C78">
        <v>160</v>
      </c>
      <c r="D78" t="s">
        <v>168</v>
      </c>
      <c r="E78" t="s">
        <v>311</v>
      </c>
      <c r="F78" t="s">
        <v>314</v>
      </c>
      <c r="G78">
        <v>1846</v>
      </c>
      <c r="T78">
        <v>19</v>
      </c>
      <c r="W78">
        <v>34</v>
      </c>
      <c r="X78" s="4">
        <f>IF(AND(T78&gt;0,W78&gt;0),(W78/((T78+U78)*10)),"")</f>
        <v>0.17894736842105263</v>
      </c>
      <c r="AE78" s="11">
        <v>0</v>
      </c>
      <c r="AF78" t="str">
        <f>CONCATENATE(VLOOKUP(AG78, 'Voxel Sizes'!$A$2:$B$18,2,FALSE),"x",INT(AC78*15), "x", INT(AD78*15))</f>
        <v>0x0x0</v>
      </c>
      <c r="AG78">
        <f>ROUND(15*((AB78*10)/256),0)</f>
        <v>0</v>
      </c>
      <c r="AI78" t="str">
        <f>CONCATENATE(VLOOKUP(AG78,Constants!$A$2:$C$16,IF(AH78&lt;&gt;"", 3, 2), FALSE),IF(AH78&lt;&gt;"",CONCATENATE(",",VLOOKUP(AH78,$B:$AI,34,FALSE)),""))</f>
        <v>na</v>
      </c>
      <c r="AS78">
        <v>30</v>
      </c>
      <c r="AT78" t="str">
        <f>IF(I78&lt;&gt;"",MAX(8,(I78-G78)-4),"")</f>
        <v/>
      </c>
      <c r="AW78">
        <f>MIN(Y78/150, 1)*30</f>
        <v>0</v>
      </c>
      <c r="AX78">
        <f>MIN(K78/4000, 1)*20</f>
        <v>0</v>
      </c>
      <c r="AY78">
        <f>MIN(W78/400,1)*20</f>
        <v>1.7000000000000002</v>
      </c>
      <c r="AZ78" s="4">
        <v>1</v>
      </c>
      <c r="BA78">
        <f>((MAX($J78,1)*MIN($AE78/300,1)))*IF(D78="Wagon",50,10)</f>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BD78*IF($D78="wagon",62.5,781.25)</f>
        <v>9375</v>
      </c>
      <c r="BG78" s="15">
        <f>BE78*IF($D78="wagon",2.73,81.25)</f>
        <v>2762.5</v>
      </c>
      <c r="BP78">
        <v>7</v>
      </c>
      <c r="BT78" t="str">
        <f>VLOOKUP(G78,Eras!$A$2:$C$10, 2, TRUE)</f>
        <v>early</v>
      </c>
      <c r="BV78" t="str">
        <f>CONCATENATE(BT78,"_",BU78)</f>
        <v>early_</v>
      </c>
      <c r="BW78" t="str">
        <f>IF(AND(BI78&lt;&gt;Y78,BI78&lt;&gt;""),_xlfn.CONCAT("{BLACK}","Tare speed: ","{GOLD}{VELOCITY}{}"), "")</f>
        <v/>
      </c>
      <c r="BX78" t="str">
        <f>_xlfn.CONCAT(E78, "_",F78)</f>
        <v>steam_RAIL</v>
      </c>
      <c r="BY78" t="str">
        <f>VLOOKUP($BX78, Constants!$M:$N, 2, FALSE)</f>
        <v>{BLACK}Powered by: {GOLD}Steam</v>
      </c>
      <c r="BZ78" t="str">
        <f>IF(J78&gt;1,_xlfn.CONCAT("{BLACK}Cars: {GOLD}", J78),"")</f>
        <v/>
      </c>
      <c r="CB78" t="str">
        <f>IF(BS78="BRAKE","{YELLOW}Speed bonus for slow wagons{}",IF(BQ78&gt;190,CONCATENATE("{YELLOW}",INT((BQ78-185)/1.85),"% Bonus for long distance travel{}"),IF(AND(BQ78&lt;180,BQ78&lt;&gt;0),CONCATENATE("{YELLOW}",INT((185-BQ78)/1.85),"% Penalty for long distance travel{}"),"")))</f>
        <v/>
      </c>
      <c r="CC78" t="str">
        <f>_xlfn.CONCAT(BW78,BY78,IF(BY78 &lt;&gt; "", " ", ""),BZ78,IF(OR(BZ78&lt;&gt;"", BY78&lt;&gt;""), "{}",""), CB78,"{SILVER}", CA78)</f>
        <v>{BLACK}Powered by: {GOLD}Steam {}{SILVER}</v>
      </c>
    </row>
    <row r="79" spans="1:81" x14ac:dyDescent="0.25">
      <c r="A79" t="s">
        <v>6</v>
      </c>
      <c r="B79" t="s">
        <v>249</v>
      </c>
      <c r="C79">
        <v>162</v>
      </c>
      <c r="D79" t="s">
        <v>168</v>
      </c>
      <c r="E79" t="s">
        <v>311</v>
      </c>
      <c r="F79" t="s">
        <v>314</v>
      </c>
      <c r="G79">
        <v>1846</v>
      </c>
      <c r="T79">
        <v>42</v>
      </c>
      <c r="X79" s="4" t="str">
        <f>IF(AND(T79&gt;0,W79&gt;0),(W79/((T79+U79)*10)),"")</f>
        <v/>
      </c>
      <c r="AA79">
        <v>6</v>
      </c>
      <c r="AB79">
        <v>6</v>
      </c>
      <c r="AE79" s="11">
        <v>0</v>
      </c>
      <c r="AF79" t="str">
        <f>CONCATENATE(VLOOKUP(AG79, 'Voxel Sizes'!$A$2:$B$18,2,FALSE),"x",INT(AC79*15), "x", INT(AD79*15))</f>
        <v>60x0x0</v>
      </c>
      <c r="AG79">
        <f>ROUND(15*((AB79*10)/256),0)</f>
        <v>4</v>
      </c>
      <c r="AI79" t="str">
        <f>CONCATENATE(VLOOKUP(AG79,Constants!$A$2:$C$16,IF(AH79&lt;&gt;"", 3, 2), FALSE),IF(AH79&lt;&gt;"",CONCATENATE(",",VLOOKUP(AH79,$B:$AI,34,FALSE)),""))</f>
        <v>1,2,1</v>
      </c>
      <c r="AS79">
        <v>30</v>
      </c>
      <c r="AT79" t="str">
        <f>IF(I79&lt;&gt;"",MAX(8,(I79-G79)-4),"")</f>
        <v/>
      </c>
      <c r="AW79">
        <f>MIN(Y79/150, 1)*30</f>
        <v>0</v>
      </c>
      <c r="AX79">
        <f>MIN(K79/4000, 1)*20</f>
        <v>0</v>
      </c>
      <c r="AY79">
        <f>MIN(W79/400,1)*20</f>
        <v>0</v>
      </c>
      <c r="AZ79" s="4">
        <v>1</v>
      </c>
      <c r="BA79">
        <f>((MAX($J79,1)*MIN($AE79/300,1)))*IF(D79="Wagon",50,10)</f>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BD79*IF($D79="wagon",62.5,781.25)</f>
        <v>7031.25</v>
      </c>
      <c r="BG79" s="15">
        <f>BE79*IF($D79="wagon",2.73,81.25)</f>
        <v>2437.5</v>
      </c>
      <c r="BP79">
        <v>8</v>
      </c>
      <c r="BT79" t="str">
        <f>VLOOKUP(G79,Eras!$A$2:$C$10, 2, TRUE)</f>
        <v>early</v>
      </c>
      <c r="BV79" t="str">
        <f>CONCATENATE(BT79,"_",BU79)</f>
        <v>early_</v>
      </c>
      <c r="BW79" t="str">
        <f>IF(AND(BI79&lt;&gt;Y79,BI79&lt;&gt;""),_xlfn.CONCAT("{BLACK}","Tare speed: ","{GOLD}{VELOCITY}{}"), "")</f>
        <v/>
      </c>
      <c r="BX79" t="str">
        <f>_xlfn.CONCAT(E79, "_",F79)</f>
        <v>steam_RAIL</v>
      </c>
      <c r="BY79" t="str">
        <f>VLOOKUP($BX79, Constants!$M:$N, 2, FALSE)</f>
        <v>{BLACK}Powered by: {GOLD}Steam</v>
      </c>
      <c r="BZ79" t="str">
        <f>IF(J79&gt;1,_xlfn.CONCAT("{BLACK}Cars: {GOLD}", J79),"")</f>
        <v/>
      </c>
      <c r="CB79" t="str">
        <f>IF(BS79="BRAKE","{YELLOW}Speed bonus for slow wagons{}",IF(BQ79&gt;190,CONCATENATE("{YELLOW}",INT((BQ79-185)/1.85),"% Bonus for long distance travel{}"),IF(AND(BQ79&lt;180,BQ79&lt;&gt;0),CONCATENATE("{YELLOW}",INT((185-BQ79)/1.85),"% Penalty for long distance travel{}"),"")))</f>
        <v/>
      </c>
      <c r="CC79" t="str">
        <f>_xlfn.CONCAT(BW79,BY79,IF(BY79 &lt;&gt; "", " ", ""),BZ79,IF(OR(BZ79&lt;&gt;"", BY79&lt;&gt;""), "{}",""), CB79,"{SILVER}", CA79)</f>
        <v>{BLACK}Powered by: {GOLD}Steam {}{SILVER}</v>
      </c>
    </row>
    <row r="80" spans="1:81" x14ac:dyDescent="0.25">
      <c r="A80" t="s">
        <v>4</v>
      </c>
      <c r="B80" t="s">
        <v>173</v>
      </c>
      <c r="C80">
        <v>164</v>
      </c>
      <c r="D80" t="s">
        <v>168</v>
      </c>
      <c r="E80" t="s">
        <v>311</v>
      </c>
      <c r="F80" t="s">
        <v>314</v>
      </c>
      <c r="G80">
        <v>1847</v>
      </c>
      <c r="X80" s="4" t="str">
        <f>IF(AND(T80&gt;0,W80&gt;0),(W80/((T80+U80)*10)),"")</f>
        <v/>
      </c>
      <c r="Y80">
        <v>60</v>
      </c>
      <c r="AE80" s="11">
        <v>0</v>
      </c>
      <c r="AF80" t="str">
        <f>CONCATENATE(VLOOKUP(AG80, 'Voxel Sizes'!$A$2:$B$18,2,FALSE),"x",INT(AC80*15), "x", INT(AD80*15))</f>
        <v>0x0x0</v>
      </c>
      <c r="AG80">
        <f>ROUND(15*((AB80*10)/256),0)</f>
        <v>0</v>
      </c>
      <c r="AI80" t="str">
        <f>CONCATENATE(VLOOKUP(AG80,Constants!$A$2:$C$16,IF(AH80&lt;&gt;"", 3, 2), FALSE),IF(AH80&lt;&gt;"",CONCATENATE(",",VLOOKUP(AH80,$B:$AI,34,FALSE)),""))</f>
        <v>na</v>
      </c>
      <c r="AS80">
        <v>30</v>
      </c>
      <c r="AT80" t="str">
        <f>IF(I80&lt;&gt;"",MAX(8,(I80-G80)-4),"")</f>
        <v/>
      </c>
      <c r="AW80">
        <f>MIN(Y80/150, 1)*30</f>
        <v>12</v>
      </c>
      <c r="AX80">
        <f>MIN(K80/4000, 1)*20</f>
        <v>0</v>
      </c>
      <c r="AY80">
        <f>MIN(W80/400,1)*20</f>
        <v>0</v>
      </c>
      <c r="AZ80" s="4">
        <v>1</v>
      </c>
      <c r="BA80">
        <f>((MAX($J80,1)*MIN($AE80/300,1)))*IF(D80="Wagon",50,10)</f>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BD80*IF($D80="wagon",62.5,781.25)</f>
        <v>26562.5</v>
      </c>
      <c r="BG80" s="15">
        <f>BE80*IF($D80="wagon",2.73,81.25)</f>
        <v>4956.25</v>
      </c>
      <c r="BP80">
        <v>9</v>
      </c>
      <c r="BT80" t="str">
        <f>VLOOKUP(G80,Eras!$A$2:$C$10, 2, TRUE)</f>
        <v>early</v>
      </c>
      <c r="BV80" t="str">
        <f>CONCATENATE(BT80,"_",BU80)</f>
        <v>early_</v>
      </c>
      <c r="BW80" t="str">
        <f>IF(AND(BI80&lt;&gt;Y80,BI80&lt;&gt;""),_xlfn.CONCAT("{BLACK}","Tare speed: ","{GOLD}{VELOCITY}{}"), "")</f>
        <v/>
      </c>
      <c r="BX80" t="str">
        <f>_xlfn.CONCAT(E80, "_",F80)</f>
        <v>steam_RAIL</v>
      </c>
      <c r="BY80" t="str">
        <f>VLOOKUP($BX80, Constants!$M:$N, 2, FALSE)</f>
        <v>{BLACK}Powered by: {GOLD}Steam</v>
      </c>
      <c r="BZ80" t="str">
        <f>IF(J80&gt;1,_xlfn.CONCAT("{BLACK}Cars: {GOLD}", J80),"")</f>
        <v/>
      </c>
      <c r="CB80" t="str">
        <f>IF(BS80="BRAKE","{YELLOW}Speed bonus for slow wagons{}",IF(BQ80&gt;190,CONCATENATE("{YELLOW}",INT((BQ80-185)/1.85),"% Bonus for long distance travel{}"),IF(AND(BQ80&lt;180,BQ80&lt;&gt;0),CONCATENATE("{YELLOW}",INT((185-BQ80)/1.85),"% Penalty for long distance travel{}"),"")))</f>
        <v/>
      </c>
      <c r="CC80" t="str">
        <f>_xlfn.CONCAT(BW80,BY80,IF(BY80 &lt;&gt; "", " ", ""),BZ80,IF(OR(BZ80&lt;&gt;"", BY80&lt;&gt;""), "{}",""), CB80,"{SILVER}", CA80)</f>
        <v>{BLACK}Powered by: {GOLD}Steam {}{SILVER}</v>
      </c>
    </row>
    <row r="81" spans="1:81" x14ac:dyDescent="0.25">
      <c r="A81" t="s">
        <v>5</v>
      </c>
      <c r="B81" t="s">
        <v>174</v>
      </c>
      <c r="C81">
        <v>166</v>
      </c>
      <c r="D81" t="s">
        <v>168</v>
      </c>
      <c r="E81" t="s">
        <v>311</v>
      </c>
      <c r="F81" t="s">
        <v>314</v>
      </c>
      <c r="G81">
        <v>1852</v>
      </c>
      <c r="T81">
        <v>64</v>
      </c>
      <c r="W81">
        <v>65</v>
      </c>
      <c r="X81" s="4">
        <f>IF(AND(T81&gt;0,W81&gt;0),(W81/((T81+U81)*10)),"")</f>
        <v>0.1015625</v>
      </c>
      <c r="AE81" s="11">
        <v>0</v>
      </c>
      <c r="AF81" t="str">
        <f>CONCATENATE(VLOOKUP(AG81, 'Voxel Sizes'!$A$2:$B$18,2,FALSE),"x",INT(AC81*15), "x", INT(AD81*15))</f>
        <v>0x0x0</v>
      </c>
      <c r="AG81">
        <f>ROUND(15*((AB81*10)/256),0)</f>
        <v>0</v>
      </c>
      <c r="AI81" t="str">
        <f>CONCATENATE(VLOOKUP(AG81,Constants!$A$2:$C$16,IF(AH81&lt;&gt;"", 3, 2), FALSE),IF(AH81&lt;&gt;"",CONCATENATE(",",VLOOKUP(AH81,$B:$AI,34,FALSE)),""))</f>
        <v>na</v>
      </c>
      <c r="AS81">
        <v>30</v>
      </c>
      <c r="AT81" t="str">
        <f>IF(I81&lt;&gt;"",MAX(8,(I81-G81)-4),"")</f>
        <v/>
      </c>
      <c r="AW81">
        <f>MIN(Y81/150, 1)*30</f>
        <v>0</v>
      </c>
      <c r="AX81">
        <f>MIN(K81/4000, 1)*20</f>
        <v>0</v>
      </c>
      <c r="AY81">
        <f>MIN(W81/400,1)*20</f>
        <v>3.25</v>
      </c>
      <c r="AZ81" s="4">
        <v>1</v>
      </c>
      <c r="BA81">
        <f>((MAX($J81,1)*MIN($AE81/300,1)))*IF(D81="Wagon",50,10)</f>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BD81*IF($D81="wagon",62.5,781.25)</f>
        <v>12500</v>
      </c>
      <c r="BG81" s="15">
        <f>BE81*IF($D81="wagon",2.73,81.25)</f>
        <v>3087.5</v>
      </c>
      <c r="BP81">
        <v>10</v>
      </c>
      <c r="BT81" t="str">
        <f>VLOOKUP(G81,Eras!$A$2:$C$10, 2, TRUE)</f>
        <v>vct</v>
      </c>
      <c r="BV81" t="str">
        <f>CONCATENATE(BT81,"_",BU81)</f>
        <v>vct_</v>
      </c>
      <c r="BW81" t="str">
        <f>IF(AND(BI81&lt;&gt;Y81,BI81&lt;&gt;""),_xlfn.CONCAT("{BLACK}","Tare speed: ","{GOLD}{VELOCITY}{}"), "")</f>
        <v/>
      </c>
      <c r="BX81" t="str">
        <f>_xlfn.CONCAT(E81, "_",F81)</f>
        <v>steam_RAIL</v>
      </c>
      <c r="BY81" t="str">
        <f>VLOOKUP($BX81, Constants!$M:$N, 2, FALSE)</f>
        <v>{BLACK}Powered by: {GOLD}Steam</v>
      </c>
      <c r="BZ81" t="str">
        <f>IF(J81&gt;1,_xlfn.CONCAT("{BLACK}Cars: {GOLD}", J81),"")</f>
        <v/>
      </c>
      <c r="CB81" t="str">
        <f>IF(BS81="BRAKE","{YELLOW}Speed bonus for slow wagons{}",IF(BQ81&gt;190,CONCATENATE("{YELLOW}",INT((BQ81-185)/1.85),"% Bonus for long distance travel{}"),IF(AND(BQ81&lt;180,BQ81&lt;&gt;0),CONCATENATE("{YELLOW}",INT((185-BQ81)/1.85),"% Penalty for long distance travel{}"),"")))</f>
        <v/>
      </c>
      <c r="CC81" t="str">
        <f>_xlfn.CONCAT(BW81,BY81,IF(BY81 &lt;&gt; "", " ", ""),BZ81,IF(OR(BZ81&lt;&gt;"", BY81&lt;&gt;""), "{}",""), CB81,"{SILVER}", CA81)</f>
        <v>{BLACK}Powered by: {GOLD}Steam {}{SILVER}</v>
      </c>
    </row>
    <row r="82" spans="1:81" x14ac:dyDescent="0.25">
      <c r="A82" t="s">
        <v>7</v>
      </c>
      <c r="B82" t="s">
        <v>250</v>
      </c>
      <c r="C82">
        <v>168</v>
      </c>
      <c r="D82" t="s">
        <v>168</v>
      </c>
      <c r="E82" t="s">
        <v>311</v>
      </c>
      <c r="F82" t="s">
        <v>314</v>
      </c>
      <c r="G82">
        <v>1859</v>
      </c>
      <c r="T82">
        <v>27.4</v>
      </c>
      <c r="X82" s="4" t="str">
        <f>IF(AND(T82&gt;0,W82&gt;0),(W82/((T82+U82)*10)),"")</f>
        <v/>
      </c>
      <c r="Y82">
        <v>70</v>
      </c>
      <c r="AE82" s="11">
        <v>0</v>
      </c>
      <c r="AF82" t="str">
        <f>CONCATENATE(VLOOKUP(AG82, 'Voxel Sizes'!$A$2:$B$18,2,FALSE),"x",INT(AC82*15), "x", INT(AD82*15))</f>
        <v>0x0x0</v>
      </c>
      <c r="AG82">
        <f>ROUND(15*((AB82*10)/256),0)</f>
        <v>0</v>
      </c>
      <c r="AI82" t="str">
        <f>CONCATENATE(VLOOKUP(AG82,Constants!$A$2:$C$16,IF(AH82&lt;&gt;"", 3, 2), FALSE),IF(AH82&lt;&gt;"",CONCATENATE(",",VLOOKUP(AH82,$B:$AI,34,FALSE)),""))</f>
        <v>na</v>
      </c>
      <c r="AS82">
        <v>30</v>
      </c>
      <c r="AT82" t="str">
        <f>IF(I82&lt;&gt;"",MAX(8,(I82-G82)-4),"")</f>
        <v/>
      </c>
      <c r="AW82">
        <f>MIN(Y82/150, 1)*30</f>
        <v>14</v>
      </c>
      <c r="AX82">
        <f>MIN(K82/4000, 1)*20</f>
        <v>0</v>
      </c>
      <c r="AY82">
        <f>MIN(W82/400,1)*20</f>
        <v>0</v>
      </c>
      <c r="AZ82" s="4">
        <v>1</v>
      </c>
      <c r="BA82">
        <f>((MAX($J82,1)*MIN($AE82/300,1)))*IF(D82="Wagon",50,10)</f>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BD82*IF($D82="wagon",62.5,781.25)</f>
        <v>29687.5</v>
      </c>
      <c r="BG82" s="15">
        <f>BE82*IF($D82="wagon",2.73,81.25)</f>
        <v>5443.75</v>
      </c>
      <c r="BP82">
        <v>11</v>
      </c>
      <c r="BT82" t="str">
        <f>VLOOKUP(G82,Eras!$A$2:$C$10, 2, TRUE)</f>
        <v>vct</v>
      </c>
      <c r="BV82" t="str">
        <f>CONCATENATE(BT82,"_",BU82)</f>
        <v>vct_</v>
      </c>
      <c r="BW82" t="str">
        <f>IF(AND(BI82&lt;&gt;Y82,BI82&lt;&gt;""),_xlfn.CONCAT("{BLACK}","Tare speed: ","{GOLD}{VELOCITY}{}"), "")</f>
        <v/>
      </c>
      <c r="BX82" t="str">
        <f>_xlfn.CONCAT(E82, "_",F82)</f>
        <v>steam_RAIL</v>
      </c>
      <c r="BY82" t="str">
        <f>VLOOKUP($BX82, Constants!$M:$N, 2, FALSE)</f>
        <v>{BLACK}Powered by: {GOLD}Steam</v>
      </c>
      <c r="BZ82" t="str">
        <f>IF(J82&gt;1,_xlfn.CONCAT("{BLACK}Cars: {GOLD}", J82),"")</f>
        <v/>
      </c>
      <c r="CB82" t="str">
        <f>IF(BS82="BRAKE","{YELLOW}Speed bonus for slow wagons{}",IF(BQ82&gt;190,CONCATENATE("{YELLOW}",INT((BQ82-185)/1.85),"% Bonus for long distance travel{}"),IF(AND(BQ82&lt;180,BQ82&lt;&gt;0),CONCATENATE("{YELLOW}",INT((185-BQ82)/1.85),"% Penalty for long distance travel{}"),"")))</f>
        <v/>
      </c>
      <c r="CC82" t="str">
        <f>_xlfn.CONCAT(BW82,BY82,IF(BY82 &lt;&gt; "", " ", ""),BZ82,IF(OR(BZ82&lt;&gt;"", BY82&lt;&gt;""), "{}",""), CB82,"{SILVER}", CA82)</f>
        <v>{BLACK}Powered by: {GOLD}Steam {}{SILVER}</v>
      </c>
    </row>
    <row r="83" spans="1:81" x14ac:dyDescent="0.25">
      <c r="A83" t="s">
        <v>19</v>
      </c>
      <c r="B83" t="s">
        <v>175</v>
      </c>
      <c r="C83">
        <v>170</v>
      </c>
      <c r="D83" t="s">
        <v>168</v>
      </c>
      <c r="E83" t="s">
        <v>311</v>
      </c>
      <c r="F83" t="s">
        <v>314</v>
      </c>
      <c r="G83">
        <v>1868</v>
      </c>
      <c r="T83">
        <v>35.799999999999997</v>
      </c>
      <c r="W83">
        <v>65</v>
      </c>
      <c r="X83" s="4">
        <f>IF(AND(T83&gt;0,W83&gt;0),(W83/((T83+U83)*10)),"")</f>
        <v>0.18156424581005587</v>
      </c>
      <c r="AA83">
        <v>8.65</v>
      </c>
      <c r="AB83">
        <v>8.65</v>
      </c>
      <c r="AD83">
        <v>3.7</v>
      </c>
      <c r="AE83" s="11">
        <v>0</v>
      </c>
      <c r="AF83" t="str">
        <f>CONCATENATE(VLOOKUP(AG83, 'Voxel Sizes'!$A$2:$B$18,2,FALSE),"x",INT(AC83*15), "x", INT(AD83*15))</f>
        <v>82x0x55</v>
      </c>
      <c r="AG83">
        <f>ROUND(15*((AB83*10)/256),0)</f>
        <v>5</v>
      </c>
      <c r="AI83" t="str">
        <f>CONCATENATE(VLOOKUP(AG83,Constants!$A$2:$C$16,IF(AH83&lt;&gt;"", 3, 2), FALSE),IF(AH83&lt;&gt;"",CONCATENATE(",",VLOOKUP(AH83,$B:$AI,34,FALSE)),""))</f>
        <v>2,1,2</v>
      </c>
      <c r="AS83">
        <v>30</v>
      </c>
      <c r="AT83" t="str">
        <f>IF(I83&lt;&gt;"",MAX(8,(I83-G83)-4),"")</f>
        <v/>
      </c>
      <c r="AW83">
        <f>MIN(Y83/150, 1)*30</f>
        <v>0</v>
      </c>
      <c r="AX83">
        <f>MIN(K83/4000, 1)*20</f>
        <v>0</v>
      </c>
      <c r="AY83">
        <f>MIN(W83/400,1)*20</f>
        <v>3.25</v>
      </c>
      <c r="AZ83" s="4">
        <v>1</v>
      </c>
      <c r="BA83">
        <f>((MAX($J83,1)*MIN($AE83/300,1)))*IF(D83="Wagon",50,10)</f>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BD83*IF($D83="wagon",62.5,781.25)</f>
        <v>12500</v>
      </c>
      <c r="BG83" s="15">
        <f>BE83*IF($D83="wagon",2.73,81.25)</f>
        <v>3087.5</v>
      </c>
      <c r="BP83">
        <v>12</v>
      </c>
      <c r="BT83" t="str">
        <f>VLOOKUP(G83,Eras!$A$2:$C$10, 2, TRUE)</f>
        <v>vct</v>
      </c>
      <c r="BV83" t="str">
        <f>CONCATENATE(BT83,"_",BU83)</f>
        <v>vct_</v>
      </c>
      <c r="BW83" t="str">
        <f>IF(AND(BI83&lt;&gt;Y83,BI83&lt;&gt;""),_xlfn.CONCAT("{BLACK}","Tare speed: ","{GOLD}{VELOCITY}{}"), "")</f>
        <v/>
      </c>
      <c r="BX83" t="str">
        <f>_xlfn.CONCAT(E83, "_",F83)</f>
        <v>steam_RAIL</v>
      </c>
      <c r="BY83" t="str">
        <f>VLOOKUP($BX83, Constants!$M:$N, 2, FALSE)</f>
        <v>{BLACK}Powered by: {GOLD}Steam</v>
      </c>
      <c r="BZ83" t="str">
        <f>IF(J83&gt;1,_xlfn.CONCAT("{BLACK}Cars: {GOLD}", J83),"")</f>
        <v/>
      </c>
      <c r="CB83" t="str">
        <f>IF(BS83="BRAKE","{YELLOW}Speed bonus for slow wagons{}",IF(BQ83&gt;190,CONCATENATE("{YELLOW}",INT((BQ83-185)/1.85),"% Bonus for long distance travel{}"),IF(AND(BQ83&lt;180,BQ83&lt;&gt;0),CONCATENATE("{YELLOW}",INT((185-BQ83)/1.85),"% Penalty for long distance travel{}"),"")))</f>
        <v/>
      </c>
      <c r="CC83" t="str">
        <f>_xlfn.CONCAT(BW83,BY83,IF(BY83 &lt;&gt; "", " ", ""),BZ83,IF(OR(BZ83&lt;&gt;"", BY83&lt;&gt;""), "{}",""), CB83,"{SILVER}", CA83)</f>
        <v>{BLACK}Powered by: {GOLD}Steam {}{SILVER}</v>
      </c>
    </row>
    <row r="84" spans="1:81" x14ac:dyDescent="0.25">
      <c r="A84" t="s">
        <v>41</v>
      </c>
      <c r="B84" t="s">
        <v>251</v>
      </c>
      <c r="C84">
        <v>172</v>
      </c>
      <c r="D84" t="s">
        <v>168</v>
      </c>
      <c r="E84" t="s">
        <v>311</v>
      </c>
      <c r="F84" t="s">
        <v>314</v>
      </c>
      <c r="G84">
        <v>1872</v>
      </c>
      <c r="H84">
        <v>1880</v>
      </c>
      <c r="T84">
        <v>28</v>
      </c>
      <c r="W84">
        <v>34</v>
      </c>
      <c r="X84" s="4">
        <f>IF(AND(T84&gt;0,W84&gt;0),(W84/((T84+U84)*10)),"")</f>
        <v>0.12142857142857143</v>
      </c>
      <c r="Y84">
        <v>45</v>
      </c>
      <c r="AA84">
        <v>7.94</v>
      </c>
      <c r="AB84">
        <v>7.94</v>
      </c>
      <c r="AE84" s="11">
        <v>0</v>
      </c>
      <c r="AF84" t="str">
        <f>CONCATENATE(VLOOKUP(AG84, 'Voxel Sizes'!$A$2:$B$18,2,FALSE),"x",INT(AC84*15), "x", INT(AD84*15))</f>
        <v>82x0x0</v>
      </c>
      <c r="AG84">
        <f>ROUND(15*((AB84*10)/256),0)</f>
        <v>5</v>
      </c>
      <c r="AI84" t="str">
        <f>CONCATENATE(VLOOKUP(AG84,Constants!$A$2:$C$16,IF(AH84&lt;&gt;"", 3, 2), FALSE),IF(AH84&lt;&gt;"",CONCATENATE(",",VLOOKUP(AH84,$B:$AI,34,FALSE)),""))</f>
        <v>2,1,2</v>
      </c>
      <c r="AS84">
        <v>30</v>
      </c>
      <c r="AT84" t="str">
        <f>IF(I84&lt;&gt;"",MAX(8,(I84-G84)-4),"")</f>
        <v/>
      </c>
      <c r="AW84">
        <f>MIN(Y84/150, 1)*30</f>
        <v>9</v>
      </c>
      <c r="AX84">
        <f>MIN(K84/4000, 1)*20</f>
        <v>0</v>
      </c>
      <c r="AY84">
        <f>MIN(W84/400,1)*20</f>
        <v>1.7000000000000002</v>
      </c>
      <c r="AZ84" s="4">
        <v>1</v>
      </c>
      <c r="BA84">
        <f>((MAX($J84,1)*MIN($AE84/300,1)))*IF(D84="Wagon",50,10)</f>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BD84*IF($D84="wagon",62.5,781.25)</f>
        <v>24218.75</v>
      </c>
      <c r="BG84" s="15">
        <f>BE84*IF($D84="wagon",2.73,81.25)</f>
        <v>4712.5</v>
      </c>
      <c r="BP84">
        <v>1</v>
      </c>
      <c r="BT84" t="str">
        <f>VLOOKUP(G84,Eras!$A$2:$C$10, 2, TRUE)</f>
        <v>vct</v>
      </c>
      <c r="BV84" t="str">
        <f>CONCATENATE(BT84,"_",BU84)</f>
        <v>vct_</v>
      </c>
      <c r="BW84" t="str">
        <f>IF(AND(BI84&lt;&gt;Y84,BI84&lt;&gt;""),_xlfn.CONCAT("{BLACK}","Tare speed: ","{GOLD}{VELOCITY}{}"), "")</f>
        <v/>
      </c>
      <c r="BX84" t="str">
        <f>_xlfn.CONCAT(E84, "_",F84)</f>
        <v>steam_RAIL</v>
      </c>
      <c r="BY84" t="str">
        <f>VLOOKUP($BX84, Constants!$M:$N, 2, FALSE)</f>
        <v>{BLACK}Powered by: {GOLD}Steam</v>
      </c>
      <c r="BZ84" t="str">
        <f>IF(J84&gt;1,_xlfn.CONCAT("{BLACK}Cars: {GOLD}", J84),"")</f>
        <v/>
      </c>
      <c r="CB84" t="str">
        <f>IF(BS84="BRAKE","{YELLOW}Speed bonus for slow wagons{}",IF(BQ84&gt;190,CONCATENATE("{YELLOW}",INT((BQ84-185)/1.85),"% Bonus for long distance travel{}"),IF(AND(BQ84&lt;180,BQ84&lt;&gt;0),CONCATENATE("{YELLOW}",INT((185-BQ84)/1.85),"% Penalty for long distance travel{}"),"")))</f>
        <v/>
      </c>
      <c r="CC84" t="str">
        <f>_xlfn.CONCAT(BW84,BY84,IF(BY84 &lt;&gt; "", " ", ""),BZ84,IF(OR(BZ84&lt;&gt;"", BY84&lt;&gt;""), "{}",""), CB84,"{SILVER}", CA84)</f>
        <v>{BLACK}Powered by: {GOLD}Steam {}{SILVER}</v>
      </c>
    </row>
    <row r="85" spans="1:81" x14ac:dyDescent="0.25">
      <c r="A85" t="s">
        <v>9</v>
      </c>
      <c r="B85" t="s">
        <v>176</v>
      </c>
      <c r="C85">
        <v>174</v>
      </c>
      <c r="D85" t="s">
        <v>168</v>
      </c>
      <c r="E85" t="s">
        <v>311</v>
      </c>
      <c r="F85" t="s">
        <v>314</v>
      </c>
      <c r="G85">
        <v>1883</v>
      </c>
      <c r="T85">
        <f>41.6+34.3</f>
        <v>75.900000000000006</v>
      </c>
      <c r="W85">
        <v>75.400000000000006</v>
      </c>
      <c r="X85" s="4">
        <f>IF(AND(T85&gt;0,W85&gt;0),(W85/((T85+U85)*10)),"")</f>
        <v>9.9341238471673268E-2</v>
      </c>
      <c r="AE85" s="11">
        <v>0</v>
      </c>
      <c r="AF85" t="str">
        <f>CONCATENATE(VLOOKUP(AG85, 'Voxel Sizes'!$A$2:$B$18,2,FALSE),"x",INT(AC85*15), "x", INT(AD85*15))</f>
        <v>0x0x0</v>
      </c>
      <c r="AG85">
        <f>ROUND(15*((AB85*10)/256),0)</f>
        <v>0</v>
      </c>
      <c r="AI85" t="str">
        <f>CONCATENATE(VLOOKUP(AG85,Constants!$A$2:$C$16,IF(AH85&lt;&gt;"", 3, 2), FALSE),IF(AH85&lt;&gt;"",CONCATENATE(",",VLOOKUP(AH85,$B:$AI,34,FALSE)),""))</f>
        <v>na</v>
      </c>
      <c r="AS85">
        <v>30</v>
      </c>
      <c r="AT85" t="str">
        <f>IF(I85&lt;&gt;"",MAX(8,(I85-G85)-4),"")</f>
        <v/>
      </c>
      <c r="AW85">
        <f>MIN(Y85/150, 1)*30</f>
        <v>0</v>
      </c>
      <c r="AX85">
        <f>MIN(K85/4000, 1)*20</f>
        <v>0</v>
      </c>
      <c r="AY85">
        <f>MIN(W85/400,1)*20</f>
        <v>3.77</v>
      </c>
      <c r="AZ85" s="4">
        <v>1</v>
      </c>
      <c r="BA85">
        <f>((MAX($J85,1)*MIN($AE85/300,1)))*IF(D85="Wagon",50,10)</f>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BD85*IF($D85="wagon",62.5,781.25)</f>
        <v>13281.25</v>
      </c>
      <c r="BG85" s="15">
        <f>BE85*IF($D85="wagon",2.73,81.25)</f>
        <v>3168.75</v>
      </c>
      <c r="BP85">
        <v>2</v>
      </c>
      <c r="BT85" t="str">
        <f>VLOOKUP(G85,Eras!$A$2:$C$10, 2, TRUE)</f>
        <v>vct</v>
      </c>
      <c r="BV85" t="str">
        <f>CONCATENATE(BT85,"_",BU85)</f>
        <v>vct_</v>
      </c>
      <c r="BW85" t="str">
        <f>IF(AND(BI85&lt;&gt;Y85,BI85&lt;&gt;""),_xlfn.CONCAT("{BLACK}","Tare speed: ","{GOLD}{VELOCITY}{}"), "")</f>
        <v/>
      </c>
      <c r="BX85" t="str">
        <f>_xlfn.CONCAT(E85, "_",F85)</f>
        <v>steam_RAIL</v>
      </c>
      <c r="BY85" t="str">
        <f>VLOOKUP($BX85, Constants!$M:$N, 2, FALSE)</f>
        <v>{BLACK}Powered by: {GOLD}Steam</v>
      </c>
      <c r="BZ85" t="str">
        <f>IF(J85&gt;1,_xlfn.CONCAT("{BLACK}Cars: {GOLD}", J85),"")</f>
        <v/>
      </c>
      <c r="CB85" t="str">
        <f>IF(BS85="BRAKE","{YELLOW}Speed bonus for slow wagons{}",IF(BQ85&gt;190,CONCATENATE("{YELLOW}",INT((BQ85-185)/1.85),"% Bonus for long distance travel{}"),IF(AND(BQ85&lt;180,BQ85&lt;&gt;0),CONCATENATE("{YELLOW}",INT((185-BQ85)/1.85),"% Penalty for long distance travel{}"),"")))</f>
        <v/>
      </c>
      <c r="CC85" t="str">
        <f>_xlfn.CONCAT(BW85,BY85,IF(BY85 &lt;&gt; "", " ", ""),BZ85,IF(OR(BZ85&lt;&gt;"", BY85&lt;&gt;""), "{}",""), CB85,"{SILVER}", CA85)</f>
        <v>{BLACK}Powered by: {GOLD}Steam {}{SILVER}</v>
      </c>
    </row>
    <row r="86" spans="1:81" x14ac:dyDescent="0.25">
      <c r="A86" t="s">
        <v>145</v>
      </c>
      <c r="B86" t="s">
        <v>177</v>
      </c>
      <c r="C86">
        <v>176</v>
      </c>
      <c r="D86" t="s">
        <v>168</v>
      </c>
      <c r="E86" t="s">
        <v>311</v>
      </c>
      <c r="F86" t="s">
        <v>314</v>
      </c>
      <c r="G86">
        <v>1883</v>
      </c>
      <c r="T86">
        <v>41.2</v>
      </c>
      <c r="W86">
        <v>76</v>
      </c>
      <c r="X86" s="4">
        <f>IF(AND(T86&gt;0,W86&gt;0),(W86/((T86+U86)*10)),"")</f>
        <v>0.18446601941747573</v>
      </c>
      <c r="AA86">
        <v>14.4</v>
      </c>
      <c r="AB86">
        <v>14.4</v>
      </c>
      <c r="AE86" s="11">
        <v>0</v>
      </c>
      <c r="AF86" t="str">
        <f>CONCATENATE(VLOOKUP(AG86, 'Voxel Sizes'!$A$2:$B$18,2,FALSE),"x",INT(AC86*15), "x", INT(AD86*15))</f>
        <v>136x0x0</v>
      </c>
      <c r="AG86">
        <f>ROUND(15*((AB86*10)/256),0)</f>
        <v>8</v>
      </c>
      <c r="AI86" t="str">
        <f>CONCATENATE(VLOOKUP(AG86,Constants!$A$2:$C$16,IF(AH86&lt;&gt;"", 3, 2), FALSE),IF(AH86&lt;&gt;"",CONCATENATE(",",VLOOKUP(AH86,$B:$AI,34,FALSE)),""))</f>
        <v>2,4,2</v>
      </c>
      <c r="AS86">
        <v>30</v>
      </c>
      <c r="AT86" t="str">
        <f>IF(I86&lt;&gt;"",MAX(8,(I86-G86)-4),"")</f>
        <v/>
      </c>
      <c r="AW86">
        <f>MIN(Y86/150, 1)*30</f>
        <v>0</v>
      </c>
      <c r="AX86">
        <f>MIN(K86/4000, 1)*20</f>
        <v>0</v>
      </c>
      <c r="AY86">
        <f>MIN(W86/400,1)*20</f>
        <v>3.8</v>
      </c>
      <c r="AZ86" s="4">
        <v>1</v>
      </c>
      <c r="BA86">
        <f>((MAX($J86,1)*MIN($AE86/300,1)))*IF(D86="Wagon",50,10)</f>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BD86*IF($D86="wagon",62.5,781.25)</f>
        <v>13281.25</v>
      </c>
      <c r="BG86" s="15">
        <f>BE86*IF($D86="wagon",2.73,81.25)</f>
        <v>3168.75</v>
      </c>
      <c r="BP86">
        <v>3</v>
      </c>
      <c r="BT86" t="str">
        <f>VLOOKUP(G86,Eras!$A$2:$C$10, 2, TRUE)</f>
        <v>vct</v>
      </c>
      <c r="BV86" t="str">
        <f>CONCATENATE(BT86,"_",BU86)</f>
        <v>vct_</v>
      </c>
      <c r="BW86" t="str">
        <f>IF(AND(BI86&lt;&gt;Y86,BI86&lt;&gt;""),_xlfn.CONCAT("{BLACK}","Tare speed: ","{GOLD}{VELOCITY}{}"), "")</f>
        <v/>
      </c>
      <c r="BX86" t="str">
        <f>_xlfn.CONCAT(E86, "_",F86)</f>
        <v>steam_RAIL</v>
      </c>
      <c r="BY86" t="str">
        <f>VLOOKUP($BX86, Constants!$M:$N, 2, FALSE)</f>
        <v>{BLACK}Powered by: {GOLD}Steam</v>
      </c>
      <c r="BZ86" t="str">
        <f>IF(J86&gt;1,_xlfn.CONCAT("{BLACK}Cars: {GOLD}", J86),"")</f>
        <v/>
      </c>
      <c r="CB86" t="str">
        <f>IF(BS86="BRAKE","{YELLOW}Speed bonus for slow wagons{}",IF(BQ86&gt;190,CONCATENATE("{YELLOW}",INT((BQ86-185)/1.85),"% Bonus for long distance travel{}"),IF(AND(BQ86&lt;180,BQ86&lt;&gt;0),CONCATENATE("{YELLOW}",INT((185-BQ86)/1.85),"% Penalty for long distance travel{}"),"")))</f>
        <v/>
      </c>
      <c r="CC86" t="str">
        <f>_xlfn.CONCAT(BW86,BY86,IF(BY86 &lt;&gt; "", " ", ""),BZ86,IF(OR(BZ86&lt;&gt;"", BY86&lt;&gt;""), "{}",""), CB86,"{SILVER}", CA86)</f>
        <v>{BLACK}Powered by: {GOLD}Steam {}{SILVER}</v>
      </c>
    </row>
    <row r="87" spans="1:81" x14ac:dyDescent="0.25">
      <c r="A87" t="s">
        <v>15</v>
      </c>
      <c r="B87" t="s">
        <v>178</v>
      </c>
      <c r="C87">
        <v>178</v>
      </c>
      <c r="D87" t="s">
        <v>168</v>
      </c>
      <c r="E87" t="s">
        <v>311</v>
      </c>
      <c r="F87" t="s">
        <v>314</v>
      </c>
      <c r="G87">
        <v>1888</v>
      </c>
      <c r="T87">
        <v>42.6</v>
      </c>
      <c r="W87">
        <v>88</v>
      </c>
      <c r="X87" s="4">
        <f>IF(AND(T87&gt;0,W87&gt;0),(W87/((T87+U87)*10)),"")</f>
        <v>0.20657276995305165</v>
      </c>
      <c r="AA87">
        <v>14.99</v>
      </c>
      <c r="AB87">
        <v>14.99</v>
      </c>
      <c r="AE87" s="11">
        <v>0</v>
      </c>
      <c r="AF87" t="str">
        <f>CONCATENATE(VLOOKUP(AG87, 'Voxel Sizes'!$A$2:$B$18,2,FALSE),"x",INT(AC87*15), "x", INT(AD87*15))</f>
        <v>152x0x0</v>
      </c>
      <c r="AG87">
        <f>ROUND(15*((AB87*10)/256),0)</f>
        <v>9</v>
      </c>
      <c r="AI87" t="str">
        <f>CONCATENATE(VLOOKUP(AG87,Constants!$A$2:$C$16,IF(AH87&lt;&gt;"", 3, 2), FALSE),IF(AH87&lt;&gt;"",CONCATENATE(",",VLOOKUP(AH87,$B:$AI,34,FALSE)),""))</f>
        <v>2,5,2</v>
      </c>
      <c r="AS87">
        <v>30</v>
      </c>
      <c r="AT87" t="str">
        <f>IF(I87&lt;&gt;"",MAX(8,(I87-G87)-4),"")</f>
        <v/>
      </c>
      <c r="AW87">
        <f>MIN(Y87/150, 1)*30</f>
        <v>0</v>
      </c>
      <c r="AX87">
        <f>MIN(K87/4000, 1)*20</f>
        <v>0</v>
      </c>
      <c r="AY87">
        <f>MIN(W87/400,1)*20</f>
        <v>4.4000000000000004</v>
      </c>
      <c r="AZ87" s="4">
        <v>1</v>
      </c>
      <c r="BA87">
        <f>((MAX($J87,1)*MIN($AE87/300,1)))*IF(D87="Wagon",50,10)</f>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BD87*IF($D87="wagon",62.5,781.25)</f>
        <v>14062.5</v>
      </c>
      <c r="BG87" s="15">
        <f>BE87*IF($D87="wagon",2.73,81.25)</f>
        <v>3331.25</v>
      </c>
      <c r="BP87">
        <v>4</v>
      </c>
      <c r="BT87" t="str">
        <f>VLOOKUP(G87,Eras!$A$2:$C$10, 2, TRUE)</f>
        <v>vct</v>
      </c>
      <c r="BV87" t="str">
        <f>CONCATENATE(BT87,"_",BU87)</f>
        <v>vct_</v>
      </c>
      <c r="BW87" t="str">
        <f>IF(AND(BI87&lt;&gt;Y87,BI87&lt;&gt;""),_xlfn.CONCAT("{BLACK}","Tare speed: ","{GOLD}{VELOCITY}{}"), "")</f>
        <v/>
      </c>
      <c r="BX87" t="str">
        <f>_xlfn.CONCAT(E87, "_",F87)</f>
        <v>steam_RAIL</v>
      </c>
      <c r="BY87" t="str">
        <f>VLOOKUP($BX87, Constants!$M:$N, 2, FALSE)</f>
        <v>{BLACK}Powered by: {GOLD}Steam</v>
      </c>
      <c r="BZ87" t="str">
        <f>IF(J87&gt;1,_xlfn.CONCAT("{BLACK}Cars: {GOLD}", J87),"")</f>
        <v/>
      </c>
      <c r="CB87" t="str">
        <f>IF(BS87="BRAKE","{YELLOW}Speed bonus for slow wagons{}",IF(BQ87&gt;190,CONCATENATE("{YELLOW}",INT((BQ87-185)/1.85),"% Bonus for long distance travel{}"),IF(AND(BQ87&lt;180,BQ87&lt;&gt;0),CONCATENATE("{YELLOW}",INT((185-BQ87)/1.85),"% Penalty for long distance travel{}"),"")))</f>
        <v/>
      </c>
      <c r="CC87" t="str">
        <f>_xlfn.CONCAT(BW87,BY87,IF(BY87 &lt;&gt; "", " ", ""),BZ87,IF(OR(BZ87&lt;&gt;"", BY87&lt;&gt;""), "{}",""), CB87,"{SILVER}", CA87)</f>
        <v>{BLACK}Powered by: {GOLD}Steam {}{SILVER}</v>
      </c>
    </row>
    <row r="88" spans="1:81" x14ac:dyDescent="0.25">
      <c r="A88" t="s">
        <v>8</v>
      </c>
      <c r="B88" t="s">
        <v>179</v>
      </c>
      <c r="C88">
        <v>180</v>
      </c>
      <c r="D88" t="s">
        <v>168</v>
      </c>
      <c r="E88" t="s">
        <v>311</v>
      </c>
      <c r="F88" t="s">
        <v>314</v>
      </c>
      <c r="G88">
        <v>1891</v>
      </c>
      <c r="X88" s="4" t="str">
        <f>IF(AND(T88&gt;0,W88&gt;0),(W88/((T88+U88)*10)),"")</f>
        <v/>
      </c>
      <c r="AE88" s="11">
        <v>0</v>
      </c>
      <c r="AF88" t="str">
        <f>CONCATENATE(VLOOKUP(AG88, 'Voxel Sizes'!$A$2:$B$18,2,FALSE),"x",INT(AC88*15), "x", INT(AD88*15))</f>
        <v>0x0x0</v>
      </c>
      <c r="AG88">
        <f>ROUND(15*((AB88*10)/256),0)</f>
        <v>0</v>
      </c>
      <c r="AI88" t="str">
        <f>CONCATENATE(VLOOKUP(AG88,Constants!$A$2:$C$16,IF(AH88&lt;&gt;"", 3, 2), FALSE),IF(AH88&lt;&gt;"",CONCATENATE(",",VLOOKUP(AH88,$B:$AI,34,FALSE)),""))</f>
        <v>na</v>
      </c>
      <c r="AS88">
        <v>30</v>
      </c>
      <c r="AT88" t="str">
        <f>IF(I88&lt;&gt;"",MAX(8,(I88-G88)-4),"")</f>
        <v/>
      </c>
      <c r="AW88">
        <f>MIN(Y88/150, 1)*30</f>
        <v>0</v>
      </c>
      <c r="AX88">
        <f>MIN(K88/4000, 1)*20</f>
        <v>0</v>
      </c>
      <c r="AY88">
        <f>MIN(W88/400,1)*20</f>
        <v>0</v>
      </c>
      <c r="AZ88" s="4">
        <v>1</v>
      </c>
      <c r="BA88">
        <f>((MAX($J88,1)*MIN($AE88/300,1)))*IF(D88="Wagon",50,10)</f>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BD88*IF($D88="wagon",62.5,781.25)</f>
        <v>7031.25</v>
      </c>
      <c r="BG88" s="15">
        <f>BE88*IF($D88="wagon",2.73,81.25)</f>
        <v>2437.5</v>
      </c>
      <c r="BP88">
        <v>5</v>
      </c>
      <c r="BT88" t="str">
        <f>VLOOKUP(G88,Eras!$A$2:$C$10, 2, TRUE)</f>
        <v>vct</v>
      </c>
      <c r="BU88" t="s">
        <v>368</v>
      </c>
      <c r="BV88" t="str">
        <f>CONCATENATE(BT88,"_",BU88)</f>
        <v>vct_Express</v>
      </c>
      <c r="BW88" t="str">
        <f>IF(AND(BI88&lt;&gt;Y88,BI88&lt;&gt;""),_xlfn.CONCAT("{BLACK}","Tare speed: ","{GOLD}{VELOCITY}{}"), "")</f>
        <v/>
      </c>
      <c r="BX88" t="str">
        <f>_xlfn.CONCAT(E88, "_",F88)</f>
        <v>steam_RAIL</v>
      </c>
      <c r="BY88" t="str">
        <f>VLOOKUP($BX88, Constants!$M:$N, 2, FALSE)</f>
        <v>{BLACK}Powered by: {GOLD}Steam</v>
      </c>
      <c r="BZ88" t="str">
        <f>IF(J88&gt;1,_xlfn.CONCAT("{BLACK}Cars: {GOLD}", J88),"")</f>
        <v/>
      </c>
      <c r="CB88" t="str">
        <f>IF(BS88="BRAKE","{YELLOW}Speed bonus for slow wagons{}",IF(BQ88&gt;190,CONCATENATE("{YELLOW}",INT((BQ88-185)/1.85),"% Bonus for long distance travel{}"),IF(AND(BQ88&lt;180,BQ88&lt;&gt;0),CONCATENATE("{YELLOW}",INT((185-BQ88)/1.85),"% Penalty for long distance travel{}"),"")))</f>
        <v/>
      </c>
      <c r="CC88" t="str">
        <f>_xlfn.CONCAT(BW88,BY88,IF(BY88 &lt;&gt; "", " ", ""),BZ88,IF(OR(BZ88&lt;&gt;"", BY88&lt;&gt;""), "{}",""), CB88,"{SILVER}", CA88)</f>
        <v>{BLACK}Powered by: {GOLD}Steam {}{SILVER}</v>
      </c>
    </row>
    <row r="89" spans="1:81" x14ac:dyDescent="0.25">
      <c r="A89" t="s">
        <v>17</v>
      </c>
      <c r="B89" t="s">
        <v>280</v>
      </c>
      <c r="C89">
        <v>182</v>
      </c>
      <c r="D89" t="s">
        <v>168</v>
      </c>
      <c r="E89" t="s">
        <v>311</v>
      </c>
      <c r="F89" t="s">
        <v>314</v>
      </c>
      <c r="G89">
        <v>1896</v>
      </c>
      <c r="T89">
        <v>48</v>
      </c>
      <c r="W89">
        <v>68</v>
      </c>
      <c r="X89" s="4">
        <f>IF(AND(T89&gt;0,W89&gt;0),(W89/((T89+U89)*10)),"")</f>
        <v>0.14166666666666666</v>
      </c>
      <c r="Y89">
        <v>90</v>
      </c>
      <c r="AE89" s="11">
        <v>0</v>
      </c>
      <c r="AF89" t="str">
        <f>CONCATENATE(VLOOKUP(AG89, 'Voxel Sizes'!$A$2:$B$18,2,FALSE),"x",INT(AC89*15), "x", INT(AD89*15))</f>
        <v>0x0x0</v>
      </c>
      <c r="AG89">
        <f>ROUND(15*((AB89*10)/256),0)</f>
        <v>0</v>
      </c>
      <c r="AI89" t="str">
        <f>CONCATENATE(VLOOKUP(AG89,Constants!$A$2:$C$16,IF(AH89&lt;&gt;"", 3, 2), FALSE),IF(AH89&lt;&gt;"",CONCATENATE(",",VLOOKUP(AH89,$B:$AI,34,FALSE)),""))</f>
        <v>na</v>
      </c>
      <c r="AS89">
        <v>30</v>
      </c>
      <c r="AT89" t="str">
        <f>IF(I89&lt;&gt;"",MAX(8,(I89-G89)-4),"")</f>
        <v/>
      </c>
      <c r="AW89">
        <f>MIN(Y89/150, 1)*30</f>
        <v>18</v>
      </c>
      <c r="AX89">
        <f>MIN(K89/4000, 1)*20</f>
        <v>0</v>
      </c>
      <c r="AY89">
        <f>MIN(W89/400,1)*20</f>
        <v>3.4000000000000004</v>
      </c>
      <c r="AZ89" s="4">
        <v>1</v>
      </c>
      <c r="BA89">
        <f>((MAX($J89,1)*MIN($AE89/300,1)))*IF(D89="Wagon",50,10)</f>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BD89*IF($D89="wagon",62.5,781.25)</f>
        <v>42187.5</v>
      </c>
      <c r="BG89" s="15">
        <f>BE89*IF($D89="wagon",2.73,81.25)</f>
        <v>7150</v>
      </c>
      <c r="BP89">
        <v>6</v>
      </c>
      <c r="BT89" t="str">
        <f>VLOOKUP(G89,Eras!$A$2:$C$10, 2, TRUE)</f>
        <v>vct</v>
      </c>
      <c r="BV89" t="str">
        <f>CONCATENATE(BT89,"_",BU89)</f>
        <v>vct_</v>
      </c>
      <c r="BW89" t="str">
        <f>IF(AND(BI89&lt;&gt;Y89,BI89&lt;&gt;""),_xlfn.CONCAT("{BLACK}","Tare speed: ","{GOLD}{VELOCITY}{}"), "")</f>
        <v/>
      </c>
      <c r="BX89" t="str">
        <f>_xlfn.CONCAT(E89, "_",F89)</f>
        <v>steam_RAIL</v>
      </c>
      <c r="BY89" t="str">
        <f>VLOOKUP($BX89, Constants!$M:$N, 2, FALSE)</f>
        <v>{BLACK}Powered by: {GOLD}Steam</v>
      </c>
      <c r="BZ89" t="str">
        <f>IF(J89&gt;1,_xlfn.CONCAT("{BLACK}Cars: {GOLD}", J89),"")</f>
        <v/>
      </c>
      <c r="CB89" t="str">
        <f>IF(BS89="BRAKE","{YELLOW}Speed bonus for slow wagons{}",IF(BQ89&gt;190,CONCATENATE("{YELLOW}",INT((BQ89-185)/1.85),"% Bonus for long distance travel{}"),IF(AND(BQ89&lt;180,BQ89&lt;&gt;0),CONCATENATE("{YELLOW}",INT((185-BQ89)/1.85),"% Penalty for long distance travel{}"),"")))</f>
        <v/>
      </c>
      <c r="CC89" t="str">
        <f>_xlfn.CONCAT(BW89,BY89,IF(BY89 &lt;&gt; "", " ", ""),BZ89,IF(OR(BZ89&lt;&gt;"", BY89&lt;&gt;""), "{}",""), CB89,"{SILVER}", CA89)</f>
        <v>{BLACK}Powered by: {GOLD}Steam {}{SILVER}</v>
      </c>
    </row>
    <row r="90" spans="1:81" x14ac:dyDescent="0.25">
      <c r="A90" t="s">
        <v>152</v>
      </c>
      <c r="B90" t="s">
        <v>180</v>
      </c>
      <c r="C90">
        <v>184</v>
      </c>
      <c r="D90" t="s">
        <v>168</v>
      </c>
      <c r="E90" t="s">
        <v>311</v>
      </c>
      <c r="F90" t="s">
        <v>314</v>
      </c>
      <c r="G90">
        <v>1897</v>
      </c>
      <c r="H90">
        <v>1911</v>
      </c>
      <c r="W90">
        <v>87</v>
      </c>
      <c r="X90" s="4" t="str">
        <f>IF(AND(T90&gt;0,W90&gt;0),(W90/((T90+U90)*10)),"")</f>
        <v/>
      </c>
      <c r="AA90">
        <v>10.5</v>
      </c>
      <c r="AB90">
        <v>10.5</v>
      </c>
      <c r="AE90" s="11">
        <v>0</v>
      </c>
      <c r="AF90" t="str">
        <f>CONCATENATE(VLOOKUP(AG90, 'Voxel Sizes'!$A$2:$B$18,2,FALSE),"x",INT(AC90*15), "x", INT(AD90*15))</f>
        <v>102x0x0</v>
      </c>
      <c r="AG90">
        <f>ROUND(15*((AB90*10)/256),0)</f>
        <v>6</v>
      </c>
      <c r="AI90" t="str">
        <f>CONCATENATE(VLOOKUP(AG90,Constants!$A$2:$C$16,IF(AH90&lt;&gt;"", 3, 2), FALSE),IF(AH90&lt;&gt;"",CONCATENATE(",",VLOOKUP(AH90,$B:$AI,34,FALSE)),""))</f>
        <v>2,2,2</v>
      </c>
      <c r="AS90">
        <v>30</v>
      </c>
      <c r="AT90" t="str">
        <f>IF(I90&lt;&gt;"",MAX(8,(I90-G90)-4),"")</f>
        <v/>
      </c>
      <c r="AW90">
        <f>MIN(Y90/150, 1)*30</f>
        <v>0</v>
      </c>
      <c r="AX90">
        <f>MIN(K90/4000, 1)*20</f>
        <v>0</v>
      </c>
      <c r="AY90">
        <f>MIN(W90/400,1)*20</f>
        <v>4.3499999999999996</v>
      </c>
      <c r="AZ90" s="4">
        <v>1</v>
      </c>
      <c r="BA90">
        <f>((MAX($J90,1)*MIN($AE90/300,1)))*IF(D90="Wagon",50,10)</f>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BD90*IF($D90="wagon",62.5,781.25)</f>
        <v>14062.5</v>
      </c>
      <c r="BG90" s="15">
        <f>BE90*IF($D90="wagon",2.73,81.25)</f>
        <v>3331.25</v>
      </c>
      <c r="BP90">
        <v>7</v>
      </c>
      <c r="BT90" t="str">
        <f>VLOOKUP(G90,Eras!$A$2:$C$10, 2, TRUE)</f>
        <v>vct</v>
      </c>
      <c r="BV90" t="str">
        <f>CONCATENATE(BT90,"_",BU90)</f>
        <v>vct_</v>
      </c>
      <c r="BW90" t="str">
        <f>IF(AND(BI90&lt;&gt;Y90,BI90&lt;&gt;""),_xlfn.CONCAT("{BLACK}","Tare speed: ","{GOLD}{VELOCITY}{}"), "")</f>
        <v/>
      </c>
      <c r="BX90" t="str">
        <f>_xlfn.CONCAT(E90, "_",F90)</f>
        <v>steam_RAIL</v>
      </c>
      <c r="BY90" t="str">
        <f>VLOOKUP($BX90, Constants!$M:$N, 2, FALSE)</f>
        <v>{BLACK}Powered by: {GOLD}Steam</v>
      </c>
      <c r="BZ90" t="str">
        <f>IF(J90&gt;1,_xlfn.CONCAT("{BLACK}Cars: {GOLD}", J90),"")</f>
        <v/>
      </c>
      <c r="CB90" t="str">
        <f>IF(BS90="BRAKE","{YELLOW}Speed bonus for slow wagons{}",IF(BQ90&gt;190,CONCATENATE("{YELLOW}",INT((BQ90-185)/1.85),"% Bonus for long distance travel{}"),IF(AND(BQ90&lt;180,BQ90&lt;&gt;0),CONCATENATE("{YELLOW}",INT((185-BQ90)/1.85),"% Penalty for long distance travel{}"),"")))</f>
        <v/>
      </c>
      <c r="CC90" t="str">
        <f>_xlfn.CONCAT(BW90,BY90,IF(BY90 &lt;&gt; "", " ", ""),BZ90,IF(OR(BZ90&lt;&gt;"", BY90&lt;&gt;""), "{}",""), CB90,"{SILVER}", CA90)</f>
        <v>{BLACK}Powered by: {GOLD}Steam {}{SILVER}</v>
      </c>
    </row>
    <row r="91" spans="1:81" x14ac:dyDescent="0.25">
      <c r="A91" t="s">
        <v>12</v>
      </c>
      <c r="B91" t="s">
        <v>279</v>
      </c>
      <c r="C91">
        <v>186</v>
      </c>
      <c r="D91" t="s">
        <v>168</v>
      </c>
      <c r="E91" t="s">
        <v>311</v>
      </c>
      <c r="F91" t="s">
        <v>314</v>
      </c>
      <c r="G91">
        <v>1899</v>
      </c>
      <c r="X91" s="4" t="str">
        <f>IF(AND(T91&gt;0,W91&gt;0),(W91/((T91+U91)*10)),"")</f>
        <v/>
      </c>
      <c r="AE91" s="11">
        <v>0</v>
      </c>
      <c r="AF91" t="str">
        <f>CONCATENATE(VLOOKUP(AG91, 'Voxel Sizes'!$A$2:$B$18,2,FALSE),"x",INT(AC91*15), "x", INT(AD91*15))</f>
        <v>0x0x0</v>
      </c>
      <c r="AG91">
        <f>ROUND(15*((AB91*10)/256),0)</f>
        <v>0</v>
      </c>
      <c r="AI91" t="str">
        <f>CONCATENATE(VLOOKUP(AG91,Constants!$A$2:$C$16,IF(AH91&lt;&gt;"", 3, 2), FALSE),IF(AH91&lt;&gt;"",CONCATENATE(",",VLOOKUP(AH91,$B:$AI,34,FALSE)),""))</f>
        <v>na</v>
      </c>
      <c r="AS91">
        <v>30</v>
      </c>
      <c r="AT91" t="str">
        <f>IF(I91&lt;&gt;"",MAX(8,(I91-G91)-4),"")</f>
        <v/>
      </c>
      <c r="AW91">
        <f>MIN(Y91/150, 1)*30</f>
        <v>0</v>
      </c>
      <c r="AX91">
        <f>MIN(K91/4000, 1)*20</f>
        <v>0</v>
      </c>
      <c r="AY91">
        <f>MIN(W91/400,1)*20</f>
        <v>0</v>
      </c>
      <c r="AZ91" s="4">
        <v>1</v>
      </c>
      <c r="BA91">
        <f>((MAX($J91,1)*MIN($AE91/300,1)))*IF(D91="Wagon",50,10)</f>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BD91*IF($D91="wagon",62.5,781.25)</f>
        <v>7031.25</v>
      </c>
      <c r="BG91" s="15">
        <f>BE91*IF($D91="wagon",2.73,81.25)</f>
        <v>2437.5</v>
      </c>
      <c r="BP91">
        <v>8</v>
      </c>
      <c r="BT91" t="str">
        <f>VLOOKUP(G91,Eras!$A$2:$C$10, 2, TRUE)</f>
        <v>vct</v>
      </c>
      <c r="BV91" t="str">
        <f>CONCATENATE(BT91,"_",BU91)</f>
        <v>vct_</v>
      </c>
      <c r="BW91" t="str">
        <f>IF(AND(BI91&lt;&gt;Y91,BI91&lt;&gt;""),_xlfn.CONCAT("{BLACK}","Tare speed: ","{GOLD}{VELOCITY}{}"), "")</f>
        <v/>
      </c>
      <c r="BX91" t="str">
        <f>_xlfn.CONCAT(E91, "_",F91)</f>
        <v>steam_RAIL</v>
      </c>
      <c r="BY91" t="str">
        <f>VLOOKUP($BX91, Constants!$M:$N, 2, FALSE)</f>
        <v>{BLACK}Powered by: {GOLD}Steam</v>
      </c>
      <c r="BZ91" t="str">
        <f>IF(J91&gt;1,_xlfn.CONCAT("{BLACK}Cars: {GOLD}", J91),"")</f>
        <v/>
      </c>
      <c r="CB91" t="str">
        <f>IF(BS91="BRAKE","{YELLOW}Speed bonus for slow wagons{}",IF(BQ91&gt;190,CONCATENATE("{YELLOW}",INT((BQ91-185)/1.85),"% Bonus for long distance travel{}"),IF(AND(BQ91&lt;180,BQ91&lt;&gt;0),CONCATENATE("{YELLOW}",INT((185-BQ91)/1.85),"% Penalty for long distance travel{}"),"")))</f>
        <v/>
      </c>
      <c r="CC91" t="str">
        <f>_xlfn.CONCAT(BW91,BY91,IF(BY91 &lt;&gt; "", " ", ""),BZ91,IF(OR(BZ91&lt;&gt;"", BY91&lt;&gt;""), "{}",""), CB91,"{SILVER}", CA91)</f>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IF(AND(T92&gt;0,W92&gt;0),(W92/((T92+U92)*10)),"")</f>
        <v>0.18585858585858586</v>
      </c>
      <c r="Y92">
        <v>40</v>
      </c>
      <c r="AA92">
        <v>9.57</v>
      </c>
      <c r="AB92">
        <v>9.57</v>
      </c>
      <c r="AE92" s="11">
        <v>0</v>
      </c>
      <c r="AF92" t="str">
        <f>CONCATENATE(VLOOKUP(AG92, 'Voxel Sizes'!$A$2:$B$18,2,FALSE),"x",INT(AC92*15), "x", INT(AD92*15))</f>
        <v>102x0x0</v>
      </c>
      <c r="AG92">
        <f>ROUND(15*((AB92*10)/256),0)</f>
        <v>6</v>
      </c>
      <c r="AI92" t="str">
        <f>CONCATENATE(VLOOKUP(AG92,Constants!$A$2:$C$16,IF(AH92&lt;&gt;"", 3, 2), FALSE),IF(AH92&lt;&gt;"",CONCATENATE(",",VLOOKUP(AH92,$B:$AI,34,FALSE)),""))</f>
        <v>2,2,2</v>
      </c>
      <c r="AQ92">
        <v>1</v>
      </c>
      <c r="AS92">
        <v>30</v>
      </c>
      <c r="AT92">
        <f>IF(I92&lt;&gt;"",MAX(8,(I92-G92)-4),"")</f>
        <v>51</v>
      </c>
      <c r="AW92">
        <f>MIN(Y92/150, 1)*30</f>
        <v>8</v>
      </c>
      <c r="AX92">
        <f>MIN(K92/4000, 1)*20</f>
        <v>3</v>
      </c>
      <c r="AY92">
        <f>MIN(W92/400,1)*20</f>
        <v>4.6000000000000005</v>
      </c>
      <c r="AZ92" s="4">
        <v>1</v>
      </c>
      <c r="BA92">
        <f>((MAX($J92,1)*MIN($AE92/300,1)))*IF(D92="Wagon",50,10)</f>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BD92*IF($D92="wagon",62.5,781.25)</f>
        <v>32031.25</v>
      </c>
      <c r="BG92" s="15">
        <f>BE92*IF($D92="wagon",2.73,81.25)</f>
        <v>5768.75</v>
      </c>
      <c r="BP92">
        <v>9</v>
      </c>
      <c r="BT92" t="str">
        <f>VLOOKUP(G92,Eras!$A$2:$C$10, 2, TRUE)</f>
        <v>vct</v>
      </c>
      <c r="BU92" t="s">
        <v>366</v>
      </c>
      <c r="BV92" t="str">
        <f>CONCATENATE(BT92,"_",BU92)</f>
        <v>vct_Cheap</v>
      </c>
      <c r="BW92" t="str">
        <f>IF(AND(BI92&lt;&gt;Y92,BI92&lt;&gt;""),_xlfn.CONCAT("{BLACK}","Tare speed: ","{GOLD}{VELOCITY}{}"), "")</f>
        <v/>
      </c>
      <c r="BX92" t="str">
        <f>_xlfn.CONCAT(E92, "_",F92)</f>
        <v>steam_RAIL</v>
      </c>
      <c r="BY92" t="str">
        <f>VLOOKUP($BX92, Constants!$M:$N, 2, FALSE)</f>
        <v>{BLACK}Powered by: {GOLD}Steam</v>
      </c>
      <c r="BZ92" t="str">
        <f>IF(J92&gt;1,_xlfn.CONCAT("{BLACK}Cars: {GOLD}", J92),"")</f>
        <v/>
      </c>
      <c r="CA92" t="s">
        <v>1209</v>
      </c>
      <c r="CB92" t="str">
        <f>IF(BS92="BRAKE","{YELLOW}Speed bonus for slow wagons{}",IF(BQ92&gt;190,CONCATENATE("{YELLOW}",INT((BQ92-185)/1.85),"% Bonus for long distance travel{}"),IF(AND(BQ92&lt;180,BQ92&lt;&gt;0),CONCATENATE("{YELLOW}",INT((185-BQ92)/1.85),"% Penalty for long distance travel{}"),"")))</f>
        <v/>
      </c>
      <c r="CC92" t="str">
        <f>_xlfn.CONCAT(BW92,BY92,IF(BY92 &lt;&gt; "", " ", ""),BZ92,IF(OR(BZ92&lt;&gt;"", BY92&lt;&gt;""), "{}",""), CB92,"{SILVER}", CA92)</f>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IF(AND(T93&gt;0,W93&gt;0),(W93/((T93+U93)*10)),"")</f>
        <v>0.21304347826086956</v>
      </c>
      <c r="Y93">
        <v>30</v>
      </c>
      <c r="AA93">
        <v>6.12</v>
      </c>
      <c r="AB93">
        <v>6.12</v>
      </c>
      <c r="AE93" s="11">
        <v>0</v>
      </c>
      <c r="AF93" t="str">
        <f>CONCATENATE(VLOOKUP(AG93, 'Voxel Sizes'!$A$2:$B$18,2,FALSE),"x",INT(AC93*15), "x", INT(AD93*15))</f>
        <v>60x0x0</v>
      </c>
      <c r="AG93">
        <f>ROUND(15*((AB93*10)/256),0)</f>
        <v>4</v>
      </c>
      <c r="AI93" t="str">
        <f>CONCATENATE(VLOOKUP(AG93,Constants!$A$2:$C$16,IF(AH93&lt;&gt;"", 3, 2), FALSE),IF(AH93&lt;&gt;"",CONCATENATE(",",VLOOKUP(AH93,$B:$AI,34,FALSE)),""))</f>
        <v>1,2,1</v>
      </c>
      <c r="AQ93">
        <v>1</v>
      </c>
      <c r="AS93">
        <v>30</v>
      </c>
      <c r="AT93">
        <f>IF(I93&lt;&gt;"",MAX(8,(I93-G93)-4),"")</f>
        <v>50</v>
      </c>
      <c r="AW93">
        <f>MIN(Y93/150, 1)*30</f>
        <v>6</v>
      </c>
      <c r="AX93">
        <f>MIN(K93/4000, 1)*20</f>
        <v>1.75</v>
      </c>
      <c r="AY93">
        <f>MIN(W93/400,1)*20</f>
        <v>2.4500000000000002</v>
      </c>
      <c r="AZ93" s="4">
        <v>1</v>
      </c>
      <c r="BA93">
        <f>((MAX($J93,1)*MIN($AE93/300,1)))*IF(D93="Wagon",50,10)</f>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BD93*IF($D93="wagon",62.5,781.25)</f>
        <v>23437.5</v>
      </c>
      <c r="BG93" s="15">
        <f>BE93*IF($D93="wagon",2.73,81.25)</f>
        <v>4550</v>
      </c>
      <c r="BP93">
        <v>10</v>
      </c>
      <c r="BT93" t="str">
        <f>VLOOKUP(G93,Eras!$A$2:$C$10, 2, TRUE)</f>
        <v>edw</v>
      </c>
      <c r="BU93" t="s">
        <v>366</v>
      </c>
      <c r="BV93" t="str">
        <f>CONCATENATE(BT93,"_",BU93)</f>
        <v>edw_Cheap</v>
      </c>
      <c r="BW93" t="str">
        <f>IF(AND(BI93&lt;&gt;Y93,BI93&lt;&gt;""),_xlfn.CONCAT("{BLACK}","Tare speed: ","{GOLD}{VELOCITY}{}"), "")</f>
        <v/>
      </c>
      <c r="BX93" t="str">
        <f>_xlfn.CONCAT(E93, "_",F93)</f>
        <v>steam_RAIL</v>
      </c>
      <c r="BY93" t="str">
        <f>VLOOKUP($BX93, Constants!$M:$N, 2, FALSE)</f>
        <v>{BLACK}Powered by: {GOLD}Steam</v>
      </c>
      <c r="BZ93" t="str">
        <f>IF(J93&gt;1,_xlfn.CONCAT("{BLACK}Cars: {GOLD}", J93),"")</f>
        <v/>
      </c>
      <c r="CA93" t="s">
        <v>440</v>
      </c>
      <c r="CB93" t="str">
        <f>IF(BS93="BRAKE","{YELLOW}Speed bonus for slow wagons{}",IF(BQ93&gt;190,CONCATENATE("{YELLOW}",INT((BQ93-185)/1.85),"% Bonus for long distance travel{}"),IF(AND(BQ93&lt;180,BQ93&lt;&gt;0),CONCATENATE("{YELLOW}",INT((185-BQ93)/1.85),"% Penalty for long distance travel{}"),"")))</f>
        <v/>
      </c>
      <c r="CC93" t="str">
        <f>_xlfn.CONCAT(BW93,BY93,IF(BY93 &lt;&gt; "", " ", ""),BZ93,IF(OR(BZ93&lt;&gt;"", BY93&lt;&gt;""), "{}",""), CB93,"{SILVER}", CA93)</f>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IF(AND(T94&gt;0,W94&gt;0),(W94/((T94+U94)*10)),"")</f>
        <v>9.3269230769230771E-2</v>
      </c>
      <c r="Y94">
        <v>80</v>
      </c>
      <c r="AA94">
        <v>17.268999999999998</v>
      </c>
      <c r="AB94">
        <f>AA94-7.5</f>
        <v>9.7689999999999984</v>
      </c>
      <c r="AE94" s="11">
        <v>0</v>
      </c>
      <c r="AF94" t="str">
        <f>CONCATENATE(VLOOKUP(AG94, 'Voxel Sizes'!$A$2:$B$18,2,FALSE),"x",INT(AC94*15), "x", INT(AD94*15))</f>
        <v>102x0x0</v>
      </c>
      <c r="AG94">
        <f>ROUND(15*((AB94*10)/256),0)</f>
        <v>6</v>
      </c>
      <c r="AH94" t="s">
        <v>349</v>
      </c>
      <c r="AI94" t="str">
        <f>CONCATENATE(VLOOKUP(AG94,Constants!$A$2:$C$16,IF(AH94&lt;&gt;"", 3, 2), FALSE),IF(AH94&lt;&gt;"",CONCATENATE(",",VLOOKUP(AH94,$B:$AI,34,FALSE)),""))</f>
        <v>2,2,2,2,1,2</v>
      </c>
      <c r="AQ94">
        <v>1</v>
      </c>
      <c r="AS94">
        <v>30</v>
      </c>
      <c r="AT94">
        <f>IF(I94&lt;&gt;"",MAX(8,(I94-G94)-4),"")</f>
        <v>29</v>
      </c>
      <c r="AW94">
        <f>MIN(Y94/150, 1)*30</f>
        <v>16</v>
      </c>
      <c r="AX94">
        <f>MIN(K94/4000, 1)*20</f>
        <v>4.75</v>
      </c>
      <c r="AY94">
        <f>MIN(W94/400,1)*20</f>
        <v>4.8499999999999996</v>
      </c>
      <c r="AZ94" s="4">
        <v>1</v>
      </c>
      <c r="BA94">
        <f>((MAX($J94,1)*MIN($AE94/300,1)))*IF(D94="Wagon",50,10)</f>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BD94*IF($D94="wagon",62.5,781.25)</f>
        <v>49218.75</v>
      </c>
      <c r="BG94" s="15">
        <f>BE94*IF($D94="wagon",2.73,81.25)</f>
        <v>8125</v>
      </c>
      <c r="BP94">
        <v>11</v>
      </c>
      <c r="BT94" t="str">
        <f>VLOOKUP(G94,Eras!$A$2:$C$10, 2, TRUE)</f>
        <v>edw</v>
      </c>
      <c r="BU94" t="s">
        <v>368</v>
      </c>
      <c r="BV94" t="str">
        <f>CONCATENATE(BT94,"_",BU94)</f>
        <v>edw_Express</v>
      </c>
      <c r="BW94" t="str">
        <f>IF(AND(BI94&lt;&gt;Y94,BI94&lt;&gt;""),_xlfn.CONCAT("{BLACK}","Tare speed: ","{GOLD}{VELOCITY}{}"), "")</f>
        <v/>
      </c>
      <c r="BX94" t="str">
        <f>_xlfn.CONCAT(E94, "_",F94)</f>
        <v>steam_RAIL</v>
      </c>
      <c r="BY94" t="str">
        <f>VLOOKUP($BX94, Constants!$M:$N, 2, FALSE)</f>
        <v>{BLACK}Powered by: {GOLD}Steam</v>
      </c>
      <c r="BZ94" t="str">
        <f>IF(J94&gt;1,_xlfn.CONCAT("{BLACK}Cars: {GOLD}", J94),"")</f>
        <v/>
      </c>
      <c r="CA94" t="s">
        <v>388</v>
      </c>
      <c r="CB94" t="str">
        <f>IF(BS94="BRAKE","{YELLOW}Speed bonus for slow wagons{}",IF(BQ94&gt;190,CONCATENATE("{YELLOW}",INT((BQ94-185)/1.85),"% Bonus for long distance travel{}"),IF(AND(BQ94&lt;180,BQ94&lt;&gt;0),CONCATENATE("{YELLOW}",INT((185-BQ94)/1.85),"% Penalty for long distance travel{}"),"")))</f>
        <v/>
      </c>
      <c r="CC94" t="str">
        <f>_xlfn.CONCAT(BW94,BY94,IF(BY94 &lt;&gt; "", " ", ""),BZ94,IF(OR(BZ94&lt;&gt;"", BY94&lt;&gt;""), "{}",""), CB94,"{SILVER}", CA94)</f>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IF(AND(T95&gt;0,W95&gt;0),(W95/((T95+U95)*10)),"")</f>
        <v>0.19473684210526315</v>
      </c>
      <c r="Y95">
        <v>27</v>
      </c>
      <c r="AA95">
        <v>11.56</v>
      </c>
      <c r="AB95">
        <v>11.56</v>
      </c>
      <c r="AD95">
        <v>3.93</v>
      </c>
      <c r="AE95" s="11">
        <v>0</v>
      </c>
      <c r="AF95" t="str">
        <f>CONCATENATE(VLOOKUP(AG95, 'Voxel Sizes'!$A$2:$B$18,2,FALSE),"x",INT(AC95*15), "x", INT(AD95*15))</f>
        <v>120x0x58</v>
      </c>
      <c r="AG95">
        <f>ROUND(15*((AB95*10)/256),0)</f>
        <v>7</v>
      </c>
      <c r="AI95" t="str">
        <f>CONCATENATE(VLOOKUP(AG95,Constants!$A$2:$C$16,IF(AH95&lt;&gt;"", 3, 2), FALSE),IF(AH95&lt;&gt;"",CONCATENATE(",",VLOOKUP(AH95,$B:$AI,34,FALSE)),""))</f>
        <v>2,3,2</v>
      </c>
      <c r="AS95">
        <v>30</v>
      </c>
      <c r="AT95">
        <f>IF(I95&lt;&gt;"",MAX(8,(I95-G95)-4),"")</f>
        <v>20</v>
      </c>
      <c r="AW95">
        <f>MIN(Y95/150, 1)*30</f>
        <v>5.3999999999999995</v>
      </c>
      <c r="AX95">
        <f>MIN(K95/4000, 1)*20</f>
        <v>3.2</v>
      </c>
      <c r="AY95">
        <f>MIN(W95/400,1)*20</f>
        <v>5.5500000000000007</v>
      </c>
      <c r="AZ95" s="4">
        <v>1</v>
      </c>
      <c r="BA95">
        <f>((MAX($J95,1)*MIN($AE95/300,1)))*IF(D95="Wagon",50,10)</f>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BD95*IF($D95="wagon",62.5,781.25)</f>
        <v>41406.25</v>
      </c>
      <c r="BG95" s="15">
        <f>BE95*IF($D95="wagon",2.73,81.25)</f>
        <v>3818.75</v>
      </c>
      <c r="BP95">
        <v>12</v>
      </c>
      <c r="BT95" t="str">
        <f>VLOOKUP(G95,Eras!$A$2:$C$10, 2, TRUE)</f>
        <v>edw</v>
      </c>
      <c r="BU95" t="s">
        <v>379</v>
      </c>
      <c r="BV95" t="str">
        <f>CONCATENATE(BT95,"_",BU95)</f>
        <v>edw_Freight (Electric)</v>
      </c>
      <c r="BW95" t="str">
        <f>IF(AND(BI95&lt;&gt;Y95,BI95&lt;&gt;""),_xlfn.CONCAT("{BLACK}","Tare speed: ","{GOLD}{VELOCITY}{}"), "")</f>
        <v/>
      </c>
      <c r="BX95" t="str">
        <f>_xlfn.CONCAT(E95, "_",F95)</f>
        <v>electric_ELRL</v>
      </c>
      <c r="BY95" t="str">
        <f>VLOOKUP($BX95, Constants!$M:$N, 2, FALSE)</f>
        <v>{BLACK}Powered by: {GOLD}25kV AC</v>
      </c>
      <c r="BZ95" t="str">
        <f>IF(J95&gt;1,_xlfn.CONCAT("{BLACK}Cars: {GOLD}", J95),"")</f>
        <v/>
      </c>
      <c r="CA95" t="s">
        <v>390</v>
      </c>
      <c r="CB95" t="str">
        <f>IF(BS95="BRAKE","{YELLOW}Speed bonus for slow wagons{}",IF(BQ95&gt;190,CONCATENATE("{YELLOW}",INT((BQ95-185)/1.85),"% Bonus for long distance travel{}"),IF(AND(BQ95&lt;180,BQ95&lt;&gt;0),CONCATENATE("{YELLOW}",INT((185-BQ95)/1.85),"% Penalty for long distance travel{}"),"")))</f>
        <v/>
      </c>
      <c r="CC95" t="str">
        <f>_xlfn.CONCAT(BW95,BY95,IF(BY95 &lt;&gt; "", " ", ""),BZ95,IF(OR(BZ95&lt;&gt;"", BY95&lt;&gt;""), "{}",""), CB95,"{SILVER}", CA95)</f>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((($Y96/2)/60)*5280)/($R96*3.2*PI())</f>
        <v>150.4511571415573</v>
      </c>
      <c r="R96" s="6">
        <v>1.6</v>
      </c>
      <c r="S96" s="6">
        <f>((($M96*$M96/4)*PI())*($N96/12)*$O96*$P96*$Q96)/(33000*1.1)</f>
        <v>731.24999999999977</v>
      </c>
      <c r="T96">
        <v>55</v>
      </c>
      <c r="W96">
        <v>77</v>
      </c>
      <c r="X96" s="4">
        <f>IF(AND(T96&gt;0,W96&gt;0),(W96/((T96+U96)*10)),"")</f>
        <v>0.14000000000000001</v>
      </c>
      <c r="Y96">
        <v>55</v>
      </c>
      <c r="AA96">
        <v>10.02</v>
      </c>
      <c r="AB96">
        <v>10.02</v>
      </c>
      <c r="AE96" s="11">
        <v>0</v>
      </c>
      <c r="AF96" t="str">
        <f>CONCATENATE(VLOOKUP(AG96, 'Voxel Sizes'!$A$2:$B$18,2,FALSE),"x",INT(AC96*15), "x", INT(AD96*15))</f>
        <v>102x0x0</v>
      </c>
      <c r="AG96">
        <f>ROUND(15*((AB96*10)/256),0)</f>
        <v>6</v>
      </c>
      <c r="AI96" t="str">
        <f>CONCATENATE(VLOOKUP(AG96,Constants!$A$2:$C$16,IF(AH96&lt;&gt;"", 3, 2), FALSE),IF(AH96&lt;&gt;"",CONCATENATE(",",VLOOKUP(AH96,$B:$AI,34,FALSE)),""))</f>
        <v>2,2,2</v>
      </c>
      <c r="AQ96">
        <v>1</v>
      </c>
      <c r="AS96">
        <v>30</v>
      </c>
      <c r="AT96">
        <f>IF(I96&lt;&gt;"",MAX(8,(I96-G96)-4),"")</f>
        <v>54</v>
      </c>
      <c r="AW96">
        <f>MIN(Y96/150, 1)*30</f>
        <v>11</v>
      </c>
      <c r="AX96">
        <f>MIN(K96/4000, 1)*20</f>
        <v>3.65</v>
      </c>
      <c r="AY96">
        <f>MIN(W96/400,1)*20</f>
        <v>3.85</v>
      </c>
      <c r="AZ96" s="4">
        <v>1</v>
      </c>
      <c r="BA96">
        <f>((MAX($J96,1)*MIN($AE96/300,1)))*IF(D96="Wagon",50,10)</f>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BD96*IF($D96="wagon",62.5,781.25)</f>
        <v>37500</v>
      </c>
      <c r="BG96" s="15">
        <f>BE96*IF($D96="wagon",2.73,81.25)</f>
        <v>6418.75</v>
      </c>
      <c r="BP96">
        <v>1</v>
      </c>
      <c r="BT96" t="str">
        <f>VLOOKUP(G96,Eras!$A$2:$C$10, 2, TRUE)</f>
        <v>edw</v>
      </c>
      <c r="BU96" t="s">
        <v>417</v>
      </c>
      <c r="BV96" t="str">
        <f>CONCATENATE(BT96,"_",BU96)</f>
        <v>edw_Passenger</v>
      </c>
      <c r="BW96" t="str">
        <f>IF(AND(BI96&lt;&gt;Y96,BI96&lt;&gt;""),_xlfn.CONCAT("{BLACK}","Tare speed: ","{GOLD}{VELOCITY}{}"), "")</f>
        <v/>
      </c>
      <c r="BX96" t="str">
        <f>_xlfn.CONCAT(E96, "_",F96)</f>
        <v>steam_RAIL</v>
      </c>
      <c r="BY96" t="str">
        <f>VLOOKUP($BX96, Constants!$M:$N, 2, FALSE)</f>
        <v>{BLACK}Powered by: {GOLD}Steam</v>
      </c>
      <c r="BZ96" t="str">
        <f>IF(J96&gt;1,_xlfn.CONCAT("{BLACK}Cars: {GOLD}", J96),"")</f>
        <v/>
      </c>
      <c r="CA96" t="s">
        <v>409</v>
      </c>
      <c r="CB96" t="str">
        <f>IF(BS96="BRAKE","{YELLOW}Speed bonus for slow wagons{}",IF(BQ96&gt;190,CONCATENATE("{YELLOW}",INT((BQ96-185)/1.85),"% Bonus for long distance travel{}"),IF(AND(BQ96&lt;180,BQ96&lt;&gt;0),CONCATENATE("{YELLOW}",INT((185-BQ96)/1.85),"% Penalty for long distance travel{}"),"")))</f>
        <v/>
      </c>
      <c r="CC96" t="str">
        <f>_xlfn.CONCAT(BW96,BY96,IF(BY96 &lt;&gt; "", " ", ""),BZ96,IF(OR(BZ96&lt;&gt;"", BY96&lt;&gt;""), "{}",""), CB96,"{SILVER}", CA96)</f>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((($Y97/2)/60)*5280)/($R97*3.2*PI())</f>
        <v>192.57748114119337</v>
      </c>
      <c r="R97" s="6">
        <v>1.25</v>
      </c>
      <c r="S97" s="6">
        <f>((($M97*$M97/4)*PI())*($N97/12)*$O97*$P97*$Q97)/(33000*1.1)</f>
        <v>867</v>
      </c>
      <c r="T97">
        <v>63.4</v>
      </c>
      <c r="W97">
        <v>95</v>
      </c>
      <c r="X97" s="4">
        <f>IF(AND(T97&gt;0,W97&gt;0),(W97/((T97+U97)*10)),"")</f>
        <v>0.14984227129337541</v>
      </c>
      <c r="Y97">
        <v>55</v>
      </c>
      <c r="AA97">
        <v>11.5</v>
      </c>
      <c r="AB97">
        <v>11.5</v>
      </c>
      <c r="AE97" s="11">
        <v>0</v>
      </c>
      <c r="AF97" t="str">
        <f>CONCATENATE(VLOOKUP(AG97, 'Voxel Sizes'!$A$2:$B$18,2,FALSE),"x",INT(AC97*15), "x", INT(AD97*15))</f>
        <v>120x0x0</v>
      </c>
      <c r="AG97">
        <f>ROUND(15*((AB97*10)/256),0)</f>
        <v>7</v>
      </c>
      <c r="AI97" t="str">
        <f>CONCATENATE(VLOOKUP(AG97,Constants!$A$2:$C$16,IF(AH97&lt;&gt;"", 3, 2), FALSE),IF(AH97&lt;&gt;"",CONCATENATE(",",VLOOKUP(AH97,$B:$AI,34,FALSE)),""))</f>
        <v>2,3,2</v>
      </c>
      <c r="AQ97">
        <v>1</v>
      </c>
      <c r="AS97">
        <v>38</v>
      </c>
      <c r="AT97">
        <f>IF(I97&lt;&gt;"",MAX(8,(I97-G97)-4),"")</f>
        <v>47</v>
      </c>
      <c r="AW97">
        <f>MIN(Y97/150, 1)*30</f>
        <v>11</v>
      </c>
      <c r="AX97">
        <f>MIN(K97/4000, 1)*20</f>
        <v>4.25</v>
      </c>
      <c r="AY97">
        <f>MIN(W97/400,1)*20</f>
        <v>4.75</v>
      </c>
      <c r="AZ97" s="4">
        <v>1</v>
      </c>
      <c r="BA97">
        <f>((MAX($J97,1)*MIN($AE97/300,1)))*IF(D97="Wagon",50,10)</f>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BD97*IF($D97="wagon",62.5,781.25)</f>
        <v>39843.75</v>
      </c>
      <c r="BG97" s="15">
        <f>BE97*IF($D97="wagon",2.73,81.25)</f>
        <v>6825</v>
      </c>
      <c r="BP97">
        <v>2</v>
      </c>
      <c r="BT97" t="str">
        <f>VLOOKUP(G97,Eras!$A$2:$C$10, 2, TRUE)</f>
        <v>edw</v>
      </c>
      <c r="BU97" t="s">
        <v>367</v>
      </c>
      <c r="BV97" t="str">
        <f>CONCATENATE(BT97,"_",BU97)</f>
        <v>edw_Mixed Traffic</v>
      </c>
      <c r="BW97" t="str">
        <f>IF(AND(BI97&lt;&gt;Y97,BI97&lt;&gt;""),_xlfn.CONCAT("{BLACK}","Tare speed: ","{GOLD}{VELOCITY}{}"), "")</f>
        <v/>
      </c>
      <c r="BX97" t="str">
        <f>_xlfn.CONCAT(E97, "_",F97)</f>
        <v>steam_RAIL</v>
      </c>
      <c r="BY97" t="str">
        <f>VLOOKUP($BX97, Constants!$M:$N, 2, FALSE)</f>
        <v>{BLACK}Powered by: {GOLD}Steam</v>
      </c>
      <c r="BZ97" t="str">
        <f>IF(J97&gt;1,_xlfn.CONCAT("{BLACK}Cars: {GOLD}", J97),"")</f>
        <v/>
      </c>
      <c r="CA97" t="s">
        <v>418</v>
      </c>
      <c r="CB97" t="str">
        <f>IF(BS97="BRAKE","{YELLOW}Speed bonus for slow wagons{}",IF(BQ97&gt;190,CONCATENATE("{YELLOW}",INT((BQ97-185)/1.85),"% Bonus for long distance travel{}"),IF(AND(BQ97&lt;180,BQ97&lt;&gt;0),CONCATENATE("{YELLOW}",INT((185-BQ97)/1.85),"% Penalty for long distance travel{}"),"")))</f>
        <v/>
      </c>
      <c r="CC97" t="str">
        <f>_xlfn.CONCAT(BW97,BY97,IF(BY97 &lt;&gt; "", " ", ""),BZ97,IF(OR(BZ97&lt;&gt;"", BY97&lt;&gt;""), "{}",""), CB97,"{SILVER}", CA97)</f>
        <v>{BLACK}Powered by: {GOLD}Steam {}{SILVER}The GWR "Small Prairie" tank engines were designed for operating branch lines.</v>
      </c>
    </row>
    <row r="98" spans="1:81" ht="14.25" customHeight="1" x14ac:dyDescent="0.25">
      <c r="A98" t="s">
        <v>1260</v>
      </c>
      <c r="B98" t="s">
        <v>1261</v>
      </c>
      <c r="C98">
        <v>205</v>
      </c>
      <c r="D98" t="s">
        <v>302</v>
      </c>
      <c r="E98" t="s">
        <v>311</v>
      </c>
      <c r="F98" t="s">
        <v>314</v>
      </c>
      <c r="G98">
        <v>1906</v>
      </c>
      <c r="H98">
        <v>1923</v>
      </c>
      <c r="I98">
        <v>1957</v>
      </c>
      <c r="K98">
        <v>1200</v>
      </c>
      <c r="M98" s="6">
        <v>14.25</v>
      </c>
      <c r="N98" s="6">
        <v>26</v>
      </c>
      <c r="O98" s="6">
        <v>4</v>
      </c>
      <c r="P98" s="6">
        <v>225</v>
      </c>
      <c r="Q98" s="7">
        <f>((($Y98/2)/60)*5280)/($R98*3.2*PI())</f>
        <v>181.47545340356362</v>
      </c>
      <c r="R98" s="6">
        <v>2.0499999999999998</v>
      </c>
      <c r="S98" s="6">
        <f>((($M98*$M98/4)*PI())*($N98/12)*$O98*$P98*$Q98)/(33000*1.1)</f>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1264</v>
      </c>
      <c r="AI98" t="str">
        <f>CONCATENATE(VLOOKUP(AG98,Constants!$A$2:$C$16,IF(AH98&lt;&gt;"", 3, 2), FALSE),IF(AH98&lt;&gt;"",CONCATENATE(",",VLOOKUP(AH98,$B:$AI,34,FALSE)),""))</f>
        <v>2,3,2,2,1,2</v>
      </c>
      <c r="AQ98">
        <v>1</v>
      </c>
      <c r="AS98">
        <v>29</v>
      </c>
      <c r="AT98">
        <f>IF(I98&lt;&gt;"",MAX(8,(I98-G98)-4),"")</f>
        <v>47</v>
      </c>
      <c r="AU98">
        <v>12</v>
      </c>
      <c r="AV98">
        <v>10</v>
      </c>
      <c r="AW98">
        <f>MIN(Y98/150, 1)*30</f>
        <v>17</v>
      </c>
      <c r="AX98">
        <f>MIN(K98/4000, 1)*20</f>
        <v>6</v>
      </c>
      <c r="AY98">
        <f>MIN(W98/400,1)*20</f>
        <v>5.5500000000000007</v>
      </c>
      <c r="AZ98" s="4">
        <v>1</v>
      </c>
      <c r="BA98">
        <f>((MAX($J98,1)*MIN($AE98/300,1)))*IF(D98="Wagon",50,10)</f>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BD98*IF($D98="wagon",62.5,781.25)</f>
        <v>61718.75</v>
      </c>
      <c r="BG98" s="15">
        <f>BE98*IF($D98="wagon",2.73,81.25)</f>
        <v>9831.25</v>
      </c>
      <c r="BP98">
        <v>1</v>
      </c>
      <c r="BT98" t="str">
        <f>VLOOKUP(G98,Eras!$A$2:$C$10, 2, TRUE)</f>
        <v>edw</v>
      </c>
      <c r="BU98" t="s">
        <v>368</v>
      </c>
      <c r="BV98" t="str">
        <f>CONCATENATE(BT98,"_",BU98)</f>
        <v>edw_Express</v>
      </c>
      <c r="BW98" t="str">
        <f>IF(AND(BI98&lt;&gt;Y98,BI98&lt;&gt;""),_xlfn.CONCAT("{BLACK}","Tare speed: ","{GOLD}{VELOCITY}{}"), "")</f>
        <v/>
      </c>
      <c r="BX98" t="str">
        <f>_xlfn.CONCAT(E98, "_",F98)</f>
        <v>steam_RAIL</v>
      </c>
      <c r="BY98" t="str">
        <f>VLOOKUP($BX98, Constants!$M:$N, 2, FALSE)</f>
        <v>{BLACK}Powered by: {GOLD}Steam</v>
      </c>
      <c r="BZ98" t="str">
        <f>IF(J98&gt;1,_xlfn.CONCAT("{BLACK}Cars: {GOLD}", J98),"")</f>
        <v/>
      </c>
      <c r="CA98" t="s">
        <v>1262</v>
      </c>
      <c r="CB98" t="str">
        <f>IF(BS98="BRAKE","{YELLOW}Speed bonus for slow wagons{}",IF(BQ98&gt;190,CONCATENATE("{YELLOW}",INT((BQ98-185)/1.85),"% Bonus for long distance travel{}"),IF(AND(BQ98&lt;180,BQ98&lt;&gt;0),CONCATENATE("{YELLOW}",INT((185-BQ98)/1.85),"% Penalty for long distance travel{}"),"")))</f>
        <v/>
      </c>
      <c r="CC98" t="str">
        <f>_xlfn.CONCAT(BW98,BY98,IF(BY98 &lt;&gt; "", " ", ""),BZ98,IF(OR(BZ98&lt;&gt;"", BY98&lt;&gt;""), "{}",""), CB98,"{SILVER}", CA98)</f>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((($Y99/2)/60)*5280)/($R99*3.2*PI())</f>
        <v>128.72826279491534</v>
      </c>
      <c r="R99" s="6">
        <v>1.7</v>
      </c>
      <c r="S99" s="6">
        <f>((($M99*$M99/4)*PI())*($N99/12)*$O99*$P99*$Q99)/(33000*1.1)</f>
        <v>868.98395721925135</v>
      </c>
      <c r="T99">
        <v>87</v>
      </c>
      <c r="W99">
        <v>106</v>
      </c>
      <c r="X99" s="4">
        <f>IF(AND(T99&gt;0,W99&gt;0),(W99/((T99+U99)*10)),"")</f>
        <v>0.12183908045977011</v>
      </c>
      <c r="Y99">
        <v>50</v>
      </c>
      <c r="AA99">
        <v>13.1</v>
      </c>
      <c r="AB99">
        <v>13.1</v>
      </c>
      <c r="AE99" s="11">
        <v>0</v>
      </c>
      <c r="AF99" t="str">
        <f>CONCATENATE(VLOOKUP(AG99, 'Voxel Sizes'!$A$2:$B$18,2,FALSE),"x",INT(AC99*15), "x", INT(AD99*15))</f>
        <v>136x0x0</v>
      </c>
      <c r="AG99">
        <f>ROUND(15*((AB99*10)/256),0)</f>
        <v>8</v>
      </c>
      <c r="AI99" t="str">
        <f>CONCATENATE(VLOOKUP(AG99,Constants!$A$2:$C$16,IF(AH99&lt;&gt;"", 3, 2), FALSE),IF(AH99&lt;&gt;"",CONCATENATE(",",VLOOKUP(AH99,$B:$AI,34,FALSE)),""))</f>
        <v>2,4,2</v>
      </c>
      <c r="AQ99">
        <v>1</v>
      </c>
      <c r="AS99">
        <v>32</v>
      </c>
      <c r="AT99">
        <f>IF(I99&lt;&gt;"",MAX(8,(I99-G99)-4),"")</f>
        <v>45</v>
      </c>
      <c r="AW99">
        <f>MIN(Y99/150, 1)*30</f>
        <v>10</v>
      </c>
      <c r="AX99">
        <f>MIN(K99/4000, 1)*20</f>
        <v>4.25</v>
      </c>
      <c r="AY99">
        <f>MIN(W99/400,1)*20</f>
        <v>5.3000000000000007</v>
      </c>
      <c r="AZ99" s="4">
        <v>1</v>
      </c>
      <c r="BA99">
        <f>((MAX($J99,1)*MIN($AE99/300,1)))*IF(D99="Wagon",50,10)</f>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BD99*IF($D99="wagon",62.5,781.25)</f>
        <v>39062.5</v>
      </c>
      <c r="BG99" s="15">
        <f>BE99*IF($D99="wagon",2.73,81.25)</f>
        <v>6662.5</v>
      </c>
      <c r="BP99">
        <v>3</v>
      </c>
      <c r="BT99" t="str">
        <f>VLOOKUP(G99,Eras!$A$2:$C$10, 2, TRUE)</f>
        <v>edw</v>
      </c>
      <c r="BU99" t="s">
        <v>417</v>
      </c>
      <c r="BV99" t="str">
        <f>CONCATENATE(BT99,"_",BU99)</f>
        <v>edw_Passenger</v>
      </c>
      <c r="BW99" t="str">
        <f>IF(AND(BI99&lt;&gt;Y99,BI99&lt;&gt;""),_xlfn.CONCAT("{BLACK}","Tare speed: ","{GOLD}{VELOCITY}{}"), "")</f>
        <v/>
      </c>
      <c r="BX99" t="str">
        <f>_xlfn.CONCAT(E99, "_",F99)</f>
        <v>steam_RAIL</v>
      </c>
      <c r="BY99" t="str">
        <f>VLOOKUP($BX99, Constants!$M:$N, 2, FALSE)</f>
        <v>{BLACK}Powered by: {GOLD}Steam</v>
      </c>
      <c r="BZ99" t="str">
        <f>IF(J99&gt;1,_xlfn.CONCAT("{BLACK}Cars: {GOLD}", J99),"")</f>
        <v/>
      </c>
      <c r="CA99" t="s">
        <v>421</v>
      </c>
      <c r="CB99" t="str">
        <f>IF(BS99="BRAKE","{YELLOW}Speed bonus for slow wagons{}",IF(BQ99&gt;190,CONCATENATE("{YELLOW}",INT((BQ99-185)/1.85),"% Bonus for long distance travel{}"),IF(AND(BQ99&lt;180,BQ99&lt;&gt;0),CONCATENATE("{YELLOW}",INT((185-BQ99)/1.85),"% Penalty for long distance travel{}"),"")))</f>
        <v/>
      </c>
      <c r="CC99" t="str">
        <f>_xlfn.CONCAT(BW99,BY99,IF(BY99 &lt;&gt; "", " ", ""),BZ99,IF(OR(BZ99&lt;&gt;"", BY99&lt;&gt;""), "{}",""), CB99,"{SILVER}", CA99)</f>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((($Y100/2)/60)*5280)/($R100*3.2*PI())</f>
        <v>123.28904042329923</v>
      </c>
      <c r="R100" s="6">
        <v>1.42</v>
      </c>
      <c r="S100" s="6">
        <f>((($M100*$M100/4)*PI())*($N100/12)*$O100*$P100*$Q100)/(33000*1.1)</f>
        <v>917.57362355953899</v>
      </c>
      <c r="T100">
        <v>75</v>
      </c>
      <c r="U100" s="9">
        <v>42</v>
      </c>
      <c r="W100">
        <v>139</v>
      </c>
      <c r="X100" s="4">
        <f>IF(AND(T100&gt;0,W100&gt;0),(W100/((T100+U100)*10)),"")</f>
        <v>0.1188034188034188</v>
      </c>
      <c r="Y100">
        <v>40</v>
      </c>
      <c r="AA100">
        <v>18.809999999999999</v>
      </c>
      <c r="AB100">
        <v>11.31</v>
      </c>
      <c r="AE100" s="11">
        <v>0</v>
      </c>
      <c r="AF100" t="str">
        <f>CONCATENATE(VLOOKUP(AG100, 'Voxel Sizes'!$A$2:$B$18,2,FALSE),"x",INT(AC100*15), "x", INT(AD100*15))</f>
        <v>120x0x0</v>
      </c>
      <c r="AG100">
        <f>ROUND(15*((AB100*10)/256),0)</f>
        <v>7</v>
      </c>
      <c r="AH100" t="s">
        <v>349</v>
      </c>
      <c r="AI100" t="str">
        <f>CONCATENATE(VLOOKUP(AG100,Constants!$A$2:$C$16,IF(AH100&lt;&gt;"", 3, 2), FALSE),IF(AH100&lt;&gt;"",CONCATENATE(",",VLOOKUP(AH100,$B:$AI,34,FALSE)),""))</f>
        <v>2,3,2,2,1,2</v>
      </c>
      <c r="AQ100">
        <v>1</v>
      </c>
      <c r="AS100">
        <v>34</v>
      </c>
      <c r="AT100">
        <f>IF(I100&lt;&gt;"",MAX(8,(I100-G100)-4),"")</f>
        <v>51</v>
      </c>
      <c r="AW100">
        <f>MIN(Y100/150, 1)*30</f>
        <v>8</v>
      </c>
      <c r="AX100">
        <f>MIN(K100/4000, 1)*20</f>
        <v>6.25</v>
      </c>
      <c r="AY100">
        <f>MIN(W100/400,1)*20</f>
        <v>6.9499999999999993</v>
      </c>
      <c r="AZ100" s="4">
        <v>1</v>
      </c>
      <c r="BA100">
        <f>((MAX($J100,1)*MIN($AE100/300,1)))*IF(D100="Wagon",50,10)</f>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BD100*IF($D100="wagon",62.5,781.25)</f>
        <v>41406.25</v>
      </c>
      <c r="BG100" s="15">
        <f>BE100*IF($D100="wagon",2.73,81.25)</f>
        <v>7068.75</v>
      </c>
      <c r="BP100">
        <v>4</v>
      </c>
      <c r="BT100" t="str">
        <f>VLOOKUP(G100,Eras!$A$2:$C$10, 2, TRUE)</f>
        <v>edw</v>
      </c>
      <c r="BU100" t="s">
        <v>369</v>
      </c>
      <c r="BV100" t="str">
        <f>CONCATENATE(BT100,"_",BU100)</f>
        <v>edw_Freight</v>
      </c>
      <c r="BW100" t="str">
        <f>IF(AND(BI100&lt;&gt;Y100,BI100&lt;&gt;""),_xlfn.CONCAT("{BLACK}","Tare speed: ","{GOLD}{VELOCITY}{}"), "")</f>
        <v/>
      </c>
      <c r="BX100" t="str">
        <f>_xlfn.CONCAT(E100, "_",F100)</f>
        <v>steam_RAIL</v>
      </c>
      <c r="BY100" t="str">
        <f>VLOOKUP($BX100, Constants!$M:$N, 2, FALSE)</f>
        <v>{BLACK}Powered by: {GOLD}Steam</v>
      </c>
      <c r="BZ100" t="str">
        <f>IF(J100&gt;1,_xlfn.CONCAT("{BLACK}Cars: {GOLD}", J100),"")</f>
        <v/>
      </c>
      <c r="CA100" t="s">
        <v>1259</v>
      </c>
      <c r="CB100" t="str">
        <f>IF(BS100="BRAKE","{YELLOW}Speed bonus for slow wagons{}",IF(BQ100&gt;190,CONCATENATE("{YELLOW}",INT((BQ100-185)/1.85),"% Bonus for long distance travel{}"),IF(AND(BQ100&lt;180,BQ100&lt;&gt;0),CONCATENATE("{YELLOW}",INT((185-BQ100)/1.85),"% Penalty for long distance travel{}"),"")))</f>
        <v/>
      </c>
      <c r="CC100" t="str">
        <f>_xlfn.CONCAT(BW100,BY100,IF(BY100 &lt;&gt; "", " ", ""),BZ100,IF(OR(BZ100&lt;&gt;"", BY100&lt;&gt;""), "{}",""), CB100,"{SILVER}", CA100)</f>
        <v>{BLACK}Powered by: {GOLD}Steam {}{SILVER}The Robinson 8K is a heavy freight engine based on earlier 0-8-0 designs, with a front pony truck to improve the ride and axle loads at the front of the locomotive.</v>
      </c>
    </row>
    <row r="101" spans="1:81" x14ac:dyDescent="0.25">
      <c r="A101" t="s">
        <v>1231</v>
      </c>
      <c r="B101" t="s">
        <v>1230</v>
      </c>
      <c r="C101">
        <v>209</v>
      </c>
      <c r="D101" t="s">
        <v>302</v>
      </c>
      <c r="E101" t="s">
        <v>311</v>
      </c>
      <c r="F101" t="s">
        <v>314</v>
      </c>
      <c r="G101">
        <v>1919</v>
      </c>
      <c r="I101">
        <v>1956</v>
      </c>
      <c r="K101">
        <v>1400</v>
      </c>
      <c r="M101" s="6">
        <v>16.75</v>
      </c>
      <c r="N101" s="6">
        <v>28</v>
      </c>
      <c r="O101" s="6">
        <v>4</v>
      </c>
      <c r="P101" s="6">
        <v>180</v>
      </c>
      <c r="Q101" s="7">
        <f>((($Y101/2)/60)*5280)/($R101*3.2*PI())</f>
        <v>125.05031242934635</v>
      </c>
      <c r="R101" s="6">
        <v>1.4</v>
      </c>
      <c r="S101" s="6">
        <f>((($M101*$M101/4)*PI())*($N101/12)*$O101*$P101*$Q101)/(33000*1.1)</f>
        <v>1275.2840909090912</v>
      </c>
      <c r="T101">
        <v>74.8</v>
      </c>
      <c r="U101" s="9">
        <f>106.7-74.8</f>
        <v>31.900000000000006</v>
      </c>
      <c r="W101">
        <v>193</v>
      </c>
      <c r="X101" s="4">
        <f>IF(AND(T101&gt;0,W101&gt;0),(W101/((T101+U101)*10)),"")</f>
        <v>0.18088097469540768</v>
      </c>
      <c r="Y101">
        <v>40</v>
      </c>
      <c r="AB101">
        <v>13</v>
      </c>
      <c r="AE101" s="11">
        <v>0</v>
      </c>
      <c r="AF101" t="str">
        <f>CONCATENATE(VLOOKUP(AG101, 'Voxel Sizes'!$A$2:$B$18,2,FALSE),"x",INT(AC101*15), "x", INT(AD101*15))</f>
        <v>136x0x0</v>
      </c>
      <c r="AG101">
        <f>ROUND(15*((AB101*10)/256),0)</f>
        <v>8</v>
      </c>
      <c r="AH101" t="s">
        <v>1249</v>
      </c>
      <c r="AI101" t="str">
        <f>CONCATENATE(VLOOKUP(AG101,Constants!$A$2:$C$16,IF(AH101&lt;&gt;"", 3, 2), FALSE),IF(AH101&lt;&gt;"",CONCATENATE(",",VLOOKUP(AH101,$B:$AI,34,FALSE)),""))</f>
        <v>2,4,2,2,1,2</v>
      </c>
      <c r="AQ101">
        <v>1</v>
      </c>
      <c r="AS101">
        <v>31</v>
      </c>
      <c r="AT101">
        <f>IF(I101&lt;&gt;"",MAX(8,(I101-G101)-4),"")</f>
        <v>33</v>
      </c>
      <c r="AV101">
        <v>4</v>
      </c>
      <c r="AW101">
        <f>MIN(Y101/150, 1)*30</f>
        <v>8</v>
      </c>
      <c r="AX101">
        <f>MIN(K101/4000, 1)*20</f>
        <v>7</v>
      </c>
      <c r="AY101">
        <f>MIN(W101/400,1)*20</f>
        <v>9.65</v>
      </c>
      <c r="AZ101" s="4">
        <v>1</v>
      </c>
      <c r="BA101">
        <f>((MAX($J101,1)*MIN($AE101/300,1)))*IF(D101="Wagon",50,10)</f>
        <v>0</v>
      </c>
      <c r="BB101">
        <f>VLOOKUP($E101,Constants!$I:$K, 2, FALSE)</f>
        <v>1.1499999999999999</v>
      </c>
      <c r="BC101">
        <f>VLOOKUP($E101,Constants!$I:$K, 3, FALSE)*IF(AND(D101="multiple_unit",Y101&lt;110),0.75,1)</f>
        <v>1.7</v>
      </c>
      <c r="BD101">
        <f>INT(POWER(((Constants!$G$2+$AW101+$AX101+$AY101+$BA101)*$AZ101)*$BC101, 1.05))+$AV101</f>
        <v>65</v>
      </c>
      <c r="BE101">
        <f>INT(POWER((((Constants!$G$1+$AW101+$AX101+$AY101+$BA101)*(1/$AZ101))*$BB101),IF($D101="wagon",1,1.2)))+$AU101</f>
        <v>97</v>
      </c>
      <c r="BF101" s="15">
        <f>BD101*IF($D101="wagon",62.5,781.25)</f>
        <v>50781.25</v>
      </c>
      <c r="BG101" s="15">
        <f>BE101*IF($D101="wagon",2.73,81.25)</f>
        <v>7881.25</v>
      </c>
      <c r="BP101">
        <v>3</v>
      </c>
      <c r="BT101" t="str">
        <f>VLOOKUP(G101,Eras!$A$2:$C$10, 2, TRUE)</f>
        <v>edw</v>
      </c>
      <c r="BU101" t="s">
        <v>369</v>
      </c>
      <c r="BV101" t="str">
        <f>CONCATENATE(BT101,"_",BU101)</f>
        <v>edw_Freight</v>
      </c>
      <c r="BW101" t="str">
        <f>IF(AND(BI101&lt;&gt;Y101,BI101&lt;&gt;""),_xlfn.CONCAT("{BLACK}","Tare speed: ","{GOLD}{VELOCITY}{}"), "")</f>
        <v/>
      </c>
      <c r="BX101" t="str">
        <f>_xlfn.CONCAT(E101, "_",F101)</f>
        <v>steam_RAIL</v>
      </c>
      <c r="BY101" t="str">
        <f>VLOOKUP($BX101, Constants!$M:$N, 2, FALSE)</f>
        <v>{BLACK}Powered by: {GOLD}Steam</v>
      </c>
      <c r="BZ101" t="str">
        <f>IF(J101&gt;1,_xlfn.CONCAT("{BLACK}Cars: {GOLD}", J101),"")</f>
        <v/>
      </c>
      <c r="CA101" t="s">
        <v>1242</v>
      </c>
      <c r="CB101" t="str">
        <f>IF(BS101="BRAKE","{YELLOW}Speed bonus for slow wagons{}",IF(BQ101&gt;190,CONCATENATE("{YELLOW}",INT((BQ101-185)/1.85),"% Bonus for long distance travel{}"),IF(AND(BQ101&lt;180,BQ101&lt;&gt;0),CONCATENATE("{YELLOW}",INT((185-BQ101)/1.85),"% Penalty for long distance travel{}"),"")))</f>
        <v/>
      </c>
      <c r="CC101" t="str">
        <f>_xlfn.CONCAT(BW101,BY101,IF(BY101 &lt;&gt; "", " ", ""),BZ101,IF(OR(BZ101&lt;&gt;"", BY101&lt;&gt;""), "{}",""), CB101,"{SILVER}", CA101)</f>
        <v>{BLACK}Powered by: {GOLD}Steam {}{SILVER}The "Lickey Banker" was a single 0-10-0 engine built to help add power and tractive effort to trains climbing the 1 in 37 Lickey Incline.</v>
      </c>
    </row>
    <row r="102" spans="1:81" x14ac:dyDescent="0.25">
      <c r="A102" t="s">
        <v>427</v>
      </c>
      <c r="B102" t="s">
        <v>428</v>
      </c>
      <c r="C102">
        <v>210</v>
      </c>
      <c r="D102" t="s">
        <v>302</v>
      </c>
      <c r="E102" t="s">
        <v>311</v>
      </c>
      <c r="F102" t="s">
        <v>314</v>
      </c>
      <c r="G102">
        <v>1912</v>
      </c>
      <c r="I102">
        <v>1962</v>
      </c>
      <c r="K102">
        <v>1050</v>
      </c>
      <c r="M102" s="6">
        <v>20</v>
      </c>
      <c r="N102" s="6">
        <v>26</v>
      </c>
      <c r="O102" s="6">
        <v>2</v>
      </c>
      <c r="P102" s="6">
        <v>180</v>
      </c>
      <c r="Q102" s="7">
        <f>((($Y102/2)/60)*5280)/($R102*3.2*PI())</f>
        <v>141.60108907440687</v>
      </c>
      <c r="R102" s="6">
        <v>1.7</v>
      </c>
      <c r="S102" s="6">
        <f>((($M102*$M102/4)*PI())*($N102/12)*$O102*$P102*$Q102)/(33000*1.1)</f>
        <v>955.88235294117646</v>
      </c>
      <c r="T102">
        <v>61</v>
      </c>
      <c r="W102">
        <v>104</v>
      </c>
      <c r="X102" s="4">
        <f>IF(AND(T102&gt;0,W102&gt;0),(W102/((T102+U102)*10)),"")</f>
        <v>0.17049180327868851</v>
      </c>
      <c r="Y102">
        <v>55</v>
      </c>
      <c r="AA102">
        <v>14.4</v>
      </c>
      <c r="AB102">
        <v>10</v>
      </c>
      <c r="AE102" s="11">
        <v>0</v>
      </c>
      <c r="AF102" t="str">
        <f>CONCATENATE(VLOOKUP(AG102, 'Voxel Sizes'!$A$2:$B$18,2,FALSE),"x",INT(AC102*15), "x", INT(AD102*15))</f>
        <v>102x0x0</v>
      </c>
      <c r="AG102">
        <f>ROUND(15*((AB102*10)/256),0)</f>
        <v>6</v>
      </c>
      <c r="AH102" t="s">
        <v>430</v>
      </c>
      <c r="AI102" t="str">
        <f>CONCATENATE(VLOOKUP(AG102,Constants!$A$2:$C$16,IF(AH102&lt;&gt;"", 3, 2), FALSE),IF(AH102&lt;&gt;"",CONCATENATE(",",VLOOKUP(AH102,$B:$AI,34,FALSE)),""))</f>
        <v>2,2,2,2,1,2</v>
      </c>
      <c r="AQ102">
        <v>1</v>
      </c>
      <c r="AS102">
        <v>30</v>
      </c>
      <c r="AT102">
        <f>IF(I102&lt;&gt;"",MAX(8,(I102-G102)-4),"")</f>
        <v>46</v>
      </c>
      <c r="AU102">
        <v>5</v>
      </c>
      <c r="AW102">
        <f>MIN(Y102/150, 1)*30</f>
        <v>11</v>
      </c>
      <c r="AX102">
        <f>MIN(K102/4000, 1)*20</f>
        <v>5.25</v>
      </c>
      <c r="AY102">
        <f>MIN(W102/400,1)*20</f>
        <v>5.2</v>
      </c>
      <c r="AZ102" s="4">
        <v>1</v>
      </c>
      <c r="BA102">
        <f>((MAX($J102,1)*MIN($AE102/300,1)))*IF(D102="Wagon",50,10)</f>
        <v>0</v>
      </c>
      <c r="BB102">
        <f>VLOOKUP($E102,Constants!$I:$K, 2, FALSE)</f>
        <v>1.1499999999999999</v>
      </c>
      <c r="BC102">
        <f>VLOOKUP($E102,Constants!$I:$K, 3, FALSE)*IF(AND(D102="multiple_unit",Y102&lt;110),0.75,1)</f>
        <v>1.7</v>
      </c>
      <c r="BD102">
        <f>INT(POWER(((Constants!$G$2+$AW102+$AX102+$AY102+$BA102)*$AZ102)*$BC102, 1.05))+$AV102</f>
        <v>54</v>
      </c>
      <c r="BE102">
        <f>INT(POWER((((Constants!$G$1+$AW102+$AX102+$AY102+$BA102)*(1/$AZ102))*$BB102),IF($D102="wagon",1,1.2)))+$AU102</f>
        <v>93</v>
      </c>
      <c r="BF102" s="15">
        <f>BD102*IF($D102="wagon",62.5,781.25)</f>
        <v>42187.5</v>
      </c>
      <c r="BG102" s="15">
        <f>BE102*IF($D102="wagon",2.73,81.25)</f>
        <v>7556.25</v>
      </c>
      <c r="BP102">
        <v>5</v>
      </c>
      <c r="BT102" t="str">
        <f>VLOOKUP(G102,Eras!$A$2:$C$10, 2, TRUE)</f>
        <v>edw</v>
      </c>
      <c r="BU102" t="s">
        <v>369</v>
      </c>
      <c r="BV102" t="str">
        <f>CONCATENATE(BT102,"_",BU102)</f>
        <v>edw_Freight</v>
      </c>
      <c r="BW102" t="str">
        <f>IF(AND(BI102&lt;&gt;Y102,BI102&lt;&gt;""),_xlfn.CONCAT("{BLACK}","Tare speed: ","{GOLD}{VELOCITY}{}"), "")</f>
        <v/>
      </c>
      <c r="BX102" t="str">
        <f>_xlfn.CONCAT(E102, "_",F102)</f>
        <v>steam_RAIL</v>
      </c>
      <c r="BY102" t="str">
        <f>VLOOKUP($BX102, Constants!$M:$N, 2, FALSE)</f>
        <v>{BLACK}Powered by: {GOLD}Steam</v>
      </c>
      <c r="BZ102" t="str">
        <f>IF(J102&gt;1,_xlfn.CONCAT("{BLACK}Cars: {GOLD}", J102),"")</f>
        <v/>
      </c>
      <c r="CA102" t="s">
        <v>426</v>
      </c>
      <c r="CB102" t="str">
        <f>IF(BS102="BRAKE","{YELLOW}Speed bonus for slow wagons{}",IF(BQ102&gt;190,CONCATENATE("{YELLOW}",INT((BQ102-185)/1.85),"% Bonus for long distance travel{}"),IF(AND(BQ102&lt;180,BQ102&lt;&gt;0),CONCATENATE("{YELLOW}",INT((185-BQ102)/1.85),"% Penalty for long distance travel{}"),"")))</f>
        <v/>
      </c>
      <c r="CC102" t="str">
        <f>_xlfn.CONCAT(BW102,BY102,IF(BY102 &lt;&gt; "", " ", ""),BZ102,IF(OR(BZ102&lt;&gt;"", BY102&lt;&gt;""), "{}",""), CB102,"{SILVER}", CA102)</f>
        <v>{BLACK}Powered by: {GOLD}Steam {}{SILVER}The Gresley K2 is a freight engine, designed for the GNR which had been using passenger engines to haul goods trains.</v>
      </c>
    </row>
    <row r="103" spans="1:81" x14ac:dyDescent="0.25">
      <c r="A103" t="s">
        <v>1238</v>
      </c>
      <c r="B103" t="s">
        <v>1239</v>
      </c>
      <c r="C103">
        <v>211</v>
      </c>
      <c r="D103" t="s">
        <v>302</v>
      </c>
      <c r="E103" t="s">
        <v>311</v>
      </c>
      <c r="F103" t="s">
        <v>314</v>
      </c>
      <c r="G103">
        <v>1920</v>
      </c>
      <c r="I103">
        <v>1960</v>
      </c>
      <c r="K103">
        <v>1250</v>
      </c>
      <c r="M103" s="6">
        <v>20</v>
      </c>
      <c r="N103" s="6">
        <v>28</v>
      </c>
      <c r="O103" s="6">
        <v>2</v>
      </c>
      <c r="P103" s="6">
        <v>180</v>
      </c>
      <c r="Q103" s="7">
        <f>((($Y103/2)/60)*5280)/($R103*3.2*PI())</f>
        <v>175.07043740108486</v>
      </c>
      <c r="R103" s="6">
        <v>1.5</v>
      </c>
      <c r="S103" s="6">
        <f>((($M103*$M103/4)*PI())*($N103/12)*$O103*$P103*$Q103)/(33000*1.1)</f>
        <v>1272.727272727273</v>
      </c>
      <c r="T103">
        <v>55.6</v>
      </c>
      <c r="U103" s="9">
        <v>32</v>
      </c>
      <c r="W103">
        <v>129</v>
      </c>
      <c r="X103" s="4">
        <f>IF(AND(T103&gt;0,W103&gt;0),(W103/((T103+U103)*10)),"")</f>
        <v>0.14726027397260275</v>
      </c>
      <c r="Y103">
        <v>60</v>
      </c>
      <c r="AA103">
        <v>16.61</v>
      </c>
      <c r="AB103">
        <v>10</v>
      </c>
      <c r="AE103" s="11">
        <v>0</v>
      </c>
      <c r="AF103" t="str">
        <f>CONCATENATE(VLOOKUP(AG103, 'Voxel Sizes'!$A$2:$B$18,2,FALSE),"x",INT(AC103*15), "x", INT(AD103*15))</f>
        <v>102x0x0</v>
      </c>
      <c r="AG103">
        <f>ROUND(15*((AB103*10)/256),0)</f>
        <v>6</v>
      </c>
      <c r="AH103" t="s">
        <v>430</v>
      </c>
      <c r="AI103" t="str">
        <f>CONCATENATE(VLOOKUP(AG103,Constants!$A$2:$C$16,IF(AH103&lt;&gt;"", 3, 2), FALSE),IF(AH103&lt;&gt;"",CONCATENATE(",",VLOOKUP(AH103,$B:$AI,34,FALSE)),""))</f>
        <v>2,2,2,2,1,2</v>
      </c>
      <c r="AQ103">
        <v>1</v>
      </c>
      <c r="AS103">
        <v>30</v>
      </c>
      <c r="AT103">
        <f>IF(I103&lt;&gt;"",MAX(8,(I103-G103)-4),"")</f>
        <v>36</v>
      </c>
      <c r="AW103">
        <f>MIN(Y103/150, 1)*30</f>
        <v>12</v>
      </c>
      <c r="AX103">
        <f>MIN(K103/4000, 1)*20</f>
        <v>6.25</v>
      </c>
      <c r="AY103">
        <f>MIN(W103/400,1)*20</f>
        <v>6.45</v>
      </c>
      <c r="AZ103" s="4">
        <v>1</v>
      </c>
      <c r="BA103">
        <f>((MAX($J103,1)*MIN($AE103/300,1)))*IF(D103="Wagon",50,10)</f>
        <v>0</v>
      </c>
      <c r="BB103">
        <f>VLOOKUP($E103,Constants!$I:$K, 2, FALSE)</f>
        <v>1.1499999999999999</v>
      </c>
      <c r="BC103">
        <f>VLOOKUP($E103,Constants!$I:$K, 3, FALSE)*IF(AND(D103="multiple_unit",Y103&lt;110),0.75,1)</f>
        <v>1.7</v>
      </c>
      <c r="BD103">
        <f>INT(POWER(((Constants!$G$2+$AW103+$AX103+$AY103+$BA103)*$AZ103)*$BC103, 1.05))+$AV103</f>
        <v>61</v>
      </c>
      <c r="BE103">
        <f>INT(POWER((((Constants!$G$1+$AW103+$AX103+$AY103+$BA103)*(1/$AZ103))*$BB103),IF($D103="wagon",1,1.2)))+$AU103</f>
        <v>98</v>
      </c>
      <c r="BF103" s="15">
        <f>BD103*IF($D103="wagon",62.5,781.25)</f>
        <v>47656.25</v>
      </c>
      <c r="BG103" s="15">
        <f>BE103*IF($D103="wagon",2.73,81.25)</f>
        <v>7962.5</v>
      </c>
      <c r="BP103">
        <v>4</v>
      </c>
      <c r="BT103" t="str">
        <f>VLOOKUP(G103,Eras!$A$2:$C$10, 2, TRUE)</f>
        <v>edw</v>
      </c>
      <c r="BU103" t="s">
        <v>369</v>
      </c>
      <c r="BV103" t="str">
        <f>CONCATENATE(BT103,"_",BU103)</f>
        <v>edw_Freight</v>
      </c>
      <c r="BW103" t="str">
        <f>IF(AND(BI103&lt;&gt;Y103,BI103&lt;&gt;""),_xlfn.CONCAT("{BLACK}","Tare speed: ","{GOLD}{VELOCITY}{}"), "")</f>
        <v/>
      </c>
      <c r="BX103" t="str">
        <f>_xlfn.CONCAT(E103, "_",F103)</f>
        <v>steam_RAIL</v>
      </c>
      <c r="BY103" t="str">
        <f>VLOOKUP($BX103, Constants!$M:$N, 2, FALSE)</f>
        <v>{BLACK}Powered by: {GOLD}Steam</v>
      </c>
      <c r="BZ103" t="str">
        <f>IF(J103&gt;1,_xlfn.CONCAT("{BLACK}Cars: {GOLD}", J103),"")</f>
        <v/>
      </c>
      <c r="CA103" t="s">
        <v>1243</v>
      </c>
      <c r="CB103" t="str">
        <f>IF(BS103="BRAKE","{YELLOW}Speed bonus for slow wagons{}",IF(BQ103&gt;190,CONCATENATE("{YELLOW}",INT((BQ103-185)/1.85),"% Bonus for long distance travel{}"),IF(AND(BQ103&lt;180,BQ103&lt;&gt;0),CONCATENATE("{YELLOW}",INT((185-BQ103)/1.85),"% Penalty for long distance travel{}"),"")))</f>
        <v/>
      </c>
      <c r="CC103" t="str">
        <f>_xlfn.CONCAT(BW103,BY103,IF(BY103 &lt;&gt; "", " ", ""),BZ103,IF(OR(BZ103&lt;&gt;"", BY103&lt;&gt;""), "{}",""), CB103,"{SILVER}", CA103)</f>
        <v>{BLACK}Powered by: {GOLD}Steam {}{SILVER}The D81 (later LNER J20 Class) was the most powerful British 0-6-0 tender locomotive for over twenty years.</v>
      </c>
    </row>
    <row r="104" spans="1:81" x14ac:dyDescent="0.25">
      <c r="A104" t="s">
        <v>66</v>
      </c>
      <c r="B104" t="s">
        <v>185</v>
      </c>
      <c r="C104">
        <v>212</v>
      </c>
      <c r="D104" t="s">
        <v>302</v>
      </c>
      <c r="E104" t="s">
        <v>336</v>
      </c>
      <c r="F104" t="s">
        <v>337</v>
      </c>
      <c r="G104">
        <v>1914</v>
      </c>
      <c r="H104">
        <v>1919</v>
      </c>
      <c r="I104">
        <v>1950</v>
      </c>
      <c r="K104">
        <v>1100</v>
      </c>
      <c r="T104">
        <v>76</v>
      </c>
      <c r="W104">
        <v>140</v>
      </c>
      <c r="X104" s="4">
        <f>IF(AND(T104&gt;0,W104&gt;0),(W104/((T104+U104)*10)),"")</f>
        <v>0.18421052631578946</v>
      </c>
      <c r="Y104">
        <v>35</v>
      </c>
      <c r="AA104">
        <v>12</v>
      </c>
      <c r="AB104">
        <v>12</v>
      </c>
      <c r="AE104" s="11">
        <v>0</v>
      </c>
      <c r="AF104" t="str">
        <f>CONCATENATE(VLOOKUP(AG104, 'Voxel Sizes'!$A$2:$B$18,2,FALSE),"x",INT(AC104*15), "x", INT(AD104*15))</f>
        <v>120x0x0</v>
      </c>
      <c r="AG104">
        <f>ROUND(15*((AB104*10)/256),0)</f>
        <v>7</v>
      </c>
      <c r="AI104" t="str">
        <f>CONCATENATE(VLOOKUP(AG104,Constants!$A$2:$C$16,IF(AH104&lt;&gt;"", 3, 2), FALSE),IF(AH104&lt;&gt;"",CONCATENATE(",",VLOOKUP(AH104,$B:$AI,34,FALSE)),""))</f>
        <v>2,3,2</v>
      </c>
      <c r="AS104">
        <v>16</v>
      </c>
      <c r="AT104">
        <f>IF(I104&lt;&gt;"",MAX(8,(I104-G104)-4),"")</f>
        <v>32</v>
      </c>
      <c r="AV104">
        <v>8</v>
      </c>
      <c r="AW104">
        <f>MIN(Y104/150, 1)*30</f>
        <v>7</v>
      </c>
      <c r="AX104">
        <f>MIN(K104/4000, 1)*20</f>
        <v>5.5</v>
      </c>
      <c r="AY104">
        <f>MIN(W104/400,1)*20</f>
        <v>7</v>
      </c>
      <c r="AZ104" s="4">
        <v>1</v>
      </c>
      <c r="BA104">
        <f>((MAX($J104,1)*MIN($AE104/300,1)))*IF(D104="Wagon",50,10)</f>
        <v>0</v>
      </c>
      <c r="BB104">
        <f>VLOOKUP($E104,Constants!$I:$K, 2, FALSE)</f>
        <v>0.85</v>
      </c>
      <c r="BC104">
        <f>VLOOKUP($E104,Constants!$I:$K, 3, FALSE)*IF(AND(D104="multiple_unit",Y104&lt;110),0.75,1)</f>
        <v>2.2999999999999998</v>
      </c>
      <c r="BD104">
        <f>INT(POWER(((Constants!$G$2+$AW104+$AX104+$AY104+$BA104)*$AZ104)*$BC104, 1.05))+$AV104</f>
        <v>76</v>
      </c>
      <c r="BE104">
        <f>INT(POWER((((Constants!$G$1+$AW104+$AX104+$AY104+$BA104)*(1/$AZ104))*$BB104),IF($D104="wagon",1,1.2)))+$AU104</f>
        <v>57</v>
      </c>
      <c r="BF104" s="15">
        <f>BD104*IF($D104="wagon",62.5,781.25)</f>
        <v>59375</v>
      </c>
      <c r="BG104" s="15">
        <f>BE104*IF($D104="wagon",2.73,81.25)</f>
        <v>4631.25</v>
      </c>
      <c r="BP104">
        <v>6</v>
      </c>
      <c r="BT104" t="str">
        <f>VLOOKUP(G104,Eras!$A$2:$C$10, 2, TRUE)</f>
        <v>edw</v>
      </c>
      <c r="BU104" t="s">
        <v>379</v>
      </c>
      <c r="BV104" t="str">
        <f>CONCATENATE(BT104,"_",BU104)</f>
        <v>edw_Freight (Electric)</v>
      </c>
      <c r="BW104" t="str">
        <f>IF(AND(BI104&lt;&gt;Y104,BI104&lt;&gt;""),_xlfn.CONCAT("{BLACK}","Tare speed: ","{GOLD}{VELOCITY}{}"), "")</f>
        <v/>
      </c>
      <c r="BX104" t="str">
        <f>_xlfn.CONCAT(E104, "_",F104)</f>
        <v>electric_ELRL</v>
      </c>
      <c r="BY104" t="str">
        <f>VLOOKUP($BX104, Constants!$M:$N, 2, FALSE)</f>
        <v>{BLACK}Powered by: {GOLD}25kV AC</v>
      </c>
      <c r="BZ104" t="str">
        <f>IF(J104&gt;1,_xlfn.CONCAT("{BLACK}Cars: {GOLD}", J104),"")</f>
        <v/>
      </c>
      <c r="CA104" t="s">
        <v>431</v>
      </c>
      <c r="CB104" t="str">
        <f>IF(BS104="BRAKE","{YELLOW}Speed bonus for slow wagons{}",IF(BQ104&gt;190,CONCATENATE("{YELLOW}",INT((BQ104-185)/1.85),"% Bonus for long distance travel{}"),IF(AND(BQ104&lt;180,BQ104&lt;&gt;0),CONCATENATE("{YELLOW}",INT((185-BQ104)/1.85),"% Penalty for long distance travel{}"),"")))</f>
        <v/>
      </c>
      <c r="CC104" t="str">
        <f>_xlfn.CONCAT(BW104,BY104,IF(BY104 &lt;&gt; "", " ", ""),BZ104,IF(OR(BZ104&lt;&gt;"", BY104&lt;&gt;""), "{}",""), CB104,"{SILVER}", CA104)</f>
        <v>{BLACK}Powered by: {GOLD}25kV AC {}{SILVER}The LNER EF1 is an early electric freight engine designed for hauling heavy coal trains.</v>
      </c>
    </row>
    <row r="105" spans="1:81" x14ac:dyDescent="0.25">
      <c r="A105" t="s">
        <v>11</v>
      </c>
      <c r="B105" t="s">
        <v>187</v>
      </c>
      <c r="C105">
        <v>214</v>
      </c>
      <c r="D105" t="s">
        <v>302</v>
      </c>
      <c r="E105" t="s">
        <v>311</v>
      </c>
      <c r="F105" t="s">
        <v>314</v>
      </c>
      <c r="G105">
        <v>1923</v>
      </c>
      <c r="I105">
        <v>1966</v>
      </c>
      <c r="K105">
        <v>950</v>
      </c>
      <c r="M105" s="6">
        <v>20</v>
      </c>
      <c r="N105" s="6">
        <v>26</v>
      </c>
      <c r="O105" s="6">
        <v>2</v>
      </c>
      <c r="P105" s="6">
        <v>175</v>
      </c>
      <c r="Q105" s="7">
        <f>((($Y105/2)/60)*5280)/($R105*3.2*PI())</f>
        <v>150.4511571415573</v>
      </c>
      <c r="R105" s="6">
        <v>1.6</v>
      </c>
      <c r="S105" s="6">
        <f>((($M105*$M105/4)*PI())*($N105/12)*$O105*$P105*$Q105)/(33000*1.1)</f>
        <v>987.41319444444446</v>
      </c>
      <c r="T105">
        <f>49.5+41.8</f>
        <v>91.3</v>
      </c>
      <c r="W105">
        <v>109</v>
      </c>
      <c r="X105" s="4">
        <f>IF(AND(T105&gt;0,W105&gt;0),(W105/((T105+U105)*10)),"")</f>
        <v>0.11938663745892661</v>
      </c>
      <c r="Y105">
        <v>55</v>
      </c>
      <c r="AA105">
        <v>15.8</v>
      </c>
      <c r="AB105">
        <v>10</v>
      </c>
      <c r="AE105" s="11">
        <v>0</v>
      </c>
      <c r="AF105" t="str">
        <f>CONCATENATE(VLOOKUP(AG105, 'Voxel Sizes'!$A$2:$B$18,2,FALSE),"x",INT(AC105*15), "x", INT(AD105*15))</f>
        <v>102x0x0</v>
      </c>
      <c r="AG105">
        <f>ROUND(15*((AB105*10)/256),0)</f>
        <v>6</v>
      </c>
      <c r="AH105" t="s">
        <v>349</v>
      </c>
      <c r="AI105" t="str">
        <f>CONCATENATE(VLOOKUP(AG105,Constants!$A$2:$C$16,IF(AH105&lt;&gt;"", 3, 2), FALSE),IF(AH105&lt;&gt;"",CONCATENATE(",",VLOOKUP(AH105,$B:$AI,34,FALSE)),""))</f>
        <v>2,2,2,2,1,2</v>
      </c>
      <c r="AQ105">
        <v>1</v>
      </c>
      <c r="AS105">
        <v>36</v>
      </c>
      <c r="AT105">
        <f>IF(I105&lt;&gt;"",MAX(8,(I105-G105)-4),"")</f>
        <v>39</v>
      </c>
      <c r="AW105">
        <f>MIN(Y105/150, 1)*30</f>
        <v>11</v>
      </c>
      <c r="AX105">
        <f>MIN(K105/4000, 1)*20</f>
        <v>4.75</v>
      </c>
      <c r="AY105">
        <f>MIN(W105/400,1)*20</f>
        <v>5.45</v>
      </c>
      <c r="AZ105" s="4">
        <v>1</v>
      </c>
      <c r="BA105">
        <f>((MAX($J105,1)*MIN($AE105/300,1)))*IF(D105="Wagon",50,10)</f>
        <v>0</v>
      </c>
      <c r="BB105">
        <f>VLOOKUP($E105,Constants!$I:$K, 2, FALSE)</f>
        <v>1.1499999999999999</v>
      </c>
      <c r="BC105">
        <f>VLOOKUP($E105,Constants!$I:$K, 3, FALSE)*IF(AND(D105="multiple_unit",Y105&lt;110),0.75,1)</f>
        <v>1.7</v>
      </c>
      <c r="BD105">
        <f>INT(POWER(((Constants!$G$2+$AW105+$AX105+$AY105+$BA105)*$AZ105)*$BC105, 1.05))+$AV105</f>
        <v>53</v>
      </c>
      <c r="BE105">
        <f>INT(POWER((((Constants!$G$1+$AW105+$AX105+$AY105+$BA105)*(1/$AZ105))*$BB105),IF($D105="wagon",1,1.2)))+$AU105</f>
        <v>87</v>
      </c>
      <c r="BF105" s="15">
        <f>BD105*IF($D105="wagon",62.5,781.25)</f>
        <v>41406.25</v>
      </c>
      <c r="BG105" s="15">
        <f>BE105*IF($D105="wagon",2.73,81.25)</f>
        <v>7068.75</v>
      </c>
      <c r="BP105">
        <v>9</v>
      </c>
      <c r="BT105" t="str">
        <f>VLOOKUP(G105,Eras!$A$2:$C$10, 2, TRUE)</f>
        <v>big4</v>
      </c>
      <c r="BU105" t="s">
        <v>367</v>
      </c>
      <c r="BV105" t="str">
        <f>CONCATENATE(BT105,"_",BU105)</f>
        <v>big4_Mixed Traffic</v>
      </c>
      <c r="BW105" t="str">
        <f>IF(AND(BI105&lt;&gt;Y105,BI105&lt;&gt;""),_xlfn.CONCAT("{BLACK}","Tare speed: ","{GOLD}{VELOCITY}{}"), "")</f>
        <v/>
      </c>
      <c r="BX105" t="str">
        <f>_xlfn.CONCAT(E105, "_",F105)</f>
        <v>steam_RAIL</v>
      </c>
      <c r="BY105" t="str">
        <f>VLOOKUP($BX105, Constants!$M:$N, 2, FALSE)</f>
        <v>{BLACK}Powered by: {GOLD}Steam</v>
      </c>
      <c r="BZ105" t="str">
        <f>IF(J105&gt;1,_xlfn.CONCAT("{BLACK}Cars: {GOLD}", J105),"")</f>
        <v/>
      </c>
      <c r="CA105" t="s">
        <v>457</v>
      </c>
      <c r="CB105" t="str">
        <f>IF(BS105="BRAKE","{YELLOW}Speed bonus for slow wagons{}",IF(BQ105&gt;190,CONCATENATE("{YELLOW}",INT((BQ105-185)/1.85),"% Bonus for long distance travel{}"),IF(AND(BQ105&lt;180,BQ105&lt;&gt;0),CONCATENATE("{YELLOW}",INT((185-BQ105)/1.85),"% Penalty for long distance travel{}"),"")))</f>
        <v/>
      </c>
      <c r="CC105" t="str">
        <f>_xlfn.CONCAT(BW105,BY105,IF(BY105 &lt;&gt; "", " ", ""),BZ105,IF(OR(BZ105&lt;&gt;"", BY105&lt;&gt;""), "{}",""), CB105,"{SILVER}", CA105)</f>
        <v>{BLACK}Powered by: {GOLD}Steam {}{SILVER}The Fowler 4F is a development of the earlier Midland 3835 class.</v>
      </c>
    </row>
    <row r="106" spans="1:81" x14ac:dyDescent="0.25">
      <c r="A106" t="s">
        <v>1232</v>
      </c>
      <c r="B106" t="s">
        <v>1234</v>
      </c>
      <c r="C106">
        <v>215</v>
      </c>
      <c r="D106" t="s">
        <v>302</v>
      </c>
      <c r="E106" t="s">
        <v>311</v>
      </c>
      <c r="F106" t="s">
        <v>314</v>
      </c>
      <c r="G106">
        <v>1921</v>
      </c>
      <c r="I106">
        <v>1962</v>
      </c>
      <c r="K106">
        <v>450</v>
      </c>
      <c r="M106" s="6">
        <v>15</v>
      </c>
      <c r="N106" s="6">
        <v>22</v>
      </c>
      <c r="O106" s="6">
        <v>2</v>
      </c>
      <c r="P106" s="6">
        <v>160</v>
      </c>
      <c r="Q106" s="7">
        <f>((($Y106/2)/60)*5280)/($R106*3.2*PI())</f>
        <v>159.15494309189532</v>
      </c>
      <c r="R106" s="6">
        <v>1.1000000000000001</v>
      </c>
      <c r="S106" s="6">
        <f>((($M106*$M106/4)*PI())*($N106/12)*$O106*$P106*$Q106)/(33000*1.1)</f>
        <v>454.54545454545445</v>
      </c>
      <c r="T106">
        <v>33.299999999999997</v>
      </c>
      <c r="W106">
        <v>65</v>
      </c>
      <c r="X106" s="4">
        <f>IF(AND(T106&gt;0,W106&gt;0),(W106/((T106+U106)*10)),"")</f>
        <v>0.19519519519519518</v>
      </c>
      <c r="Y106">
        <v>40</v>
      </c>
      <c r="AB106">
        <v>8</v>
      </c>
      <c r="AE106" s="11">
        <v>0</v>
      </c>
      <c r="AF106" t="str">
        <f>CONCATENATE(VLOOKUP(AG106, 'Voxel Sizes'!$A$2:$B$18,2,FALSE),"x",INT(AC106*15), "x", INT(AD106*15))</f>
        <v>82x0x0</v>
      </c>
      <c r="AG106">
        <f>ROUND(15*((AB106*10)/256),0)</f>
        <v>5</v>
      </c>
      <c r="AI106" t="str">
        <f>CONCATENATE(VLOOKUP(AG106,Constants!$A$2:$C$16,IF(AH106&lt;&gt;"", 3, 2), FALSE),IF(AH106&lt;&gt;"",CONCATENATE(",",VLOOKUP(AH106,$B:$AI,34,FALSE)),""))</f>
        <v>2,1,2</v>
      </c>
      <c r="AQ106">
        <v>1</v>
      </c>
      <c r="AS106">
        <v>33</v>
      </c>
      <c r="AT106">
        <f>IF(I106&lt;&gt;"",MAX(8,(I106-G106)-4),"")</f>
        <v>37</v>
      </c>
      <c r="AU106">
        <v>-15</v>
      </c>
      <c r="AV106">
        <v>-9</v>
      </c>
      <c r="AW106">
        <f>MIN(Y106/150, 1)*30</f>
        <v>8</v>
      </c>
      <c r="AX106">
        <f>MIN(K106/4000, 1)*20</f>
        <v>2.25</v>
      </c>
      <c r="AY106">
        <f>MIN(W106/400,1)*20</f>
        <v>3.25</v>
      </c>
      <c r="AZ106" s="4">
        <v>1</v>
      </c>
      <c r="BA106">
        <f>((MAX($J106,1)*MIN($AE106/300,1)))*IF(D106="Wagon",50,10)</f>
        <v>0</v>
      </c>
      <c r="BB106">
        <f>VLOOKUP($E106,Constants!$I:$K, 2, FALSE)</f>
        <v>1.1499999999999999</v>
      </c>
      <c r="BC106">
        <f>VLOOKUP($E106,Constants!$I:$K, 3, FALSE)*IF(AND(D106="multiple_unit",Y106&lt;110),0.75,1)</f>
        <v>1.7</v>
      </c>
      <c r="BD106">
        <f>INT(POWER(((Constants!$G$2+$AW106+$AX106+$AY106+$BA106)*$AZ106)*$BC106, 1.05))+$AV106</f>
        <v>28</v>
      </c>
      <c r="BE106">
        <f>INT(POWER((((Constants!$G$1+$AW106+$AX106+$AY106+$BA106)*(1/$AZ106))*$BB106),IF($D106="wagon",1,1.2)))+$AU106</f>
        <v>50</v>
      </c>
      <c r="BF106" s="15">
        <f>BD106*IF($D106="wagon",62.5,781.25)</f>
        <v>21875</v>
      </c>
      <c r="BG106" s="15">
        <f>BE106*IF($D106="wagon",2.73,81.25)</f>
        <v>4062.5</v>
      </c>
      <c r="BP106">
        <v>6</v>
      </c>
      <c r="BT106" t="str">
        <f>VLOOKUP(G106,Eras!$A$2:$C$10, 2, TRUE)</f>
        <v>edw</v>
      </c>
      <c r="BU106" t="s">
        <v>366</v>
      </c>
      <c r="BV106" t="str">
        <f>CONCATENATE(BT106,"_",BU106)</f>
        <v>edw_Cheap</v>
      </c>
      <c r="BW106" t="str">
        <f>IF(AND(BI106&lt;&gt;Y106,BI106&lt;&gt;""),_xlfn.CONCAT("{BLACK}","Tare speed: ","{GOLD}{VELOCITY}{}"), "")</f>
        <v/>
      </c>
      <c r="BX106" t="str">
        <f>_xlfn.CONCAT(E106, "_",F106)</f>
        <v>steam_RAIL</v>
      </c>
      <c r="BY106" t="str">
        <f>VLOOKUP($BX106, Constants!$M:$N, 2, FALSE)</f>
        <v>{BLACK}Powered by: {GOLD}Steam</v>
      </c>
      <c r="BZ106" t="str">
        <f>IF(J106&gt;1,_xlfn.CONCAT("{BLACK}Cars: {GOLD}", J106),"")</f>
        <v/>
      </c>
      <c r="CA106" t="s">
        <v>1251</v>
      </c>
      <c r="CB106" t="str">
        <f>IF(BS106="BRAKE","{YELLOW}Speed bonus for slow wagons{}",IF(BQ106&gt;190,CONCATENATE("{YELLOW}",INT((BQ106-185)/1.85),"% Bonus for long distance travel{}"),IF(AND(BQ106&lt;180,BQ106&lt;&gt;0),CONCATENATE("{YELLOW}",INT((185-BQ106)/1.85),"% Penalty for long distance travel{}"),"")))</f>
        <v/>
      </c>
      <c r="CC106" t="str">
        <f>_xlfn.CONCAT(BW106,BY106,IF(BY106 &lt;&gt; "", " ", ""),BZ106,IF(OR(BZ106&lt;&gt;"", BY106&lt;&gt;""), "{}",""), CB106,"{SILVER}", CA106)</f>
        <v>{BLACK}Powered by: {GOLD}Steam {}{SILVER}The 1528 class is a small 0-4-0 tank engine. Designed for shunting, it was built in two batches, the first in 1907 and the second (as here) with minor detail changes in 1921</v>
      </c>
    </row>
    <row r="107" spans="1:81" x14ac:dyDescent="0.25">
      <c r="A107" t="s">
        <v>458</v>
      </c>
      <c r="B107" t="s">
        <v>459</v>
      </c>
      <c r="C107">
        <v>216</v>
      </c>
      <c r="D107" t="s">
        <v>302</v>
      </c>
      <c r="E107" t="s">
        <v>311</v>
      </c>
      <c r="F107" t="s">
        <v>314</v>
      </c>
      <c r="G107">
        <v>1923</v>
      </c>
      <c r="H107">
        <v>1950</v>
      </c>
      <c r="I107">
        <v>1950</v>
      </c>
      <c r="K107">
        <v>1900</v>
      </c>
      <c r="M107" s="6">
        <v>16</v>
      </c>
      <c r="N107" s="6">
        <v>26</v>
      </c>
      <c r="O107" s="6">
        <v>4</v>
      </c>
      <c r="P107" s="6">
        <v>225</v>
      </c>
      <c r="Q107" s="7">
        <f>((($Y107/2)/60)*5280)/($R107*3.2*PI())</f>
        <v>223.21480768638321</v>
      </c>
      <c r="R107" s="6">
        <v>2</v>
      </c>
      <c r="S107" s="6">
        <f>((($M107*$M107/4)*PI())*($N107/12)*$O107*$P107*$Q107)/(33000*1.1)</f>
        <v>2410.9090909090905</v>
      </c>
      <c r="T107">
        <v>81.099999999999994</v>
      </c>
      <c r="U107" s="9">
        <v>48</v>
      </c>
      <c r="W107">
        <v>141</v>
      </c>
      <c r="X107" s="4">
        <f>IF(AND(T107&gt;0,W107&gt;0),(W107/((T107+U107)*10)),"")</f>
        <v>0.10921766072811774</v>
      </c>
      <c r="Y107">
        <v>102</v>
      </c>
      <c r="Z107">
        <v>1</v>
      </c>
      <c r="AA107">
        <v>19.86</v>
      </c>
      <c r="AB107">
        <f>AA107-7.64</f>
        <v>12.219999999999999</v>
      </c>
      <c r="AD107">
        <v>4.07</v>
      </c>
      <c r="AE107" s="11">
        <v>0</v>
      </c>
      <c r="AF107" t="str">
        <f>CONCATENATE(VLOOKUP(AG107, 'Voxel Sizes'!$A$2:$B$18,2,FALSE),"x",INT(AC107*15), "x", INT(AD107*15))</f>
        <v>120x0x61</v>
      </c>
      <c r="AG107">
        <f>ROUND(15*((AB107*10)/256),0)</f>
        <v>7</v>
      </c>
      <c r="AH107" t="s">
        <v>461</v>
      </c>
      <c r="AI107" t="str">
        <f>CONCATENATE(VLOOKUP(AG107,Constants!$A$2:$C$16,IF(AH107&lt;&gt;"", 3, 2), FALSE),IF(AH107&lt;&gt;"",CONCATENATE(",",VLOOKUP(AH107,$B:$AI,34,FALSE)),""))</f>
        <v>2,3,2,2,1,2</v>
      </c>
      <c r="AQ107">
        <v>1</v>
      </c>
      <c r="AS107">
        <v>30</v>
      </c>
      <c r="AT107">
        <f>IF(I107&lt;&gt;"",MAX(8,(I107-G107)-4),"")</f>
        <v>23</v>
      </c>
      <c r="AW107">
        <f>MIN(Y107/150, 1)*30</f>
        <v>20.400000000000002</v>
      </c>
      <c r="AX107">
        <f>MIN(K107/4000, 1)*20</f>
        <v>9.5</v>
      </c>
      <c r="AY107">
        <f>MIN(W107/400,1)*20</f>
        <v>7.05</v>
      </c>
      <c r="AZ107" s="4">
        <v>1</v>
      </c>
      <c r="BA107">
        <f>((MAX($J107,1)*MIN($AE107/300,1)))*IF(D107="Wagon",50,10)</f>
        <v>0</v>
      </c>
      <c r="BB107">
        <f>VLOOKUP($E107,Constants!$I:$K, 2, FALSE)</f>
        <v>1.1499999999999999</v>
      </c>
      <c r="BC107">
        <f>VLOOKUP($E107,Constants!$I:$K, 3, FALSE)*IF(AND(D107="multiple_unit",Y107&lt;110),0.75,1)</f>
        <v>1.7</v>
      </c>
      <c r="BD107">
        <f>INT(POWER(((Constants!$G$2+$AW107+$AX107+$AY107+$BA107)*$AZ107)*$BC107, 1.05))+$AV107</f>
        <v>88</v>
      </c>
      <c r="BE107">
        <f>INT(POWER((((Constants!$G$1+$AW107+$AX107+$AY107+$BA107)*(1/$AZ107))*$BB107),IF($D107="wagon",1,1.2)))+$AU107</f>
        <v>135</v>
      </c>
      <c r="BF107" s="15">
        <f>BD107*IF($D107="wagon",62.5,781.25)</f>
        <v>68750</v>
      </c>
      <c r="BG107" s="15">
        <f>BE107*IF($D107="wagon",2.73,81.25)</f>
        <v>10968.75</v>
      </c>
      <c r="BP107">
        <v>10</v>
      </c>
      <c r="BT107" t="str">
        <f>VLOOKUP(G107,Eras!$A$2:$C$10, 2, TRUE)</f>
        <v>big4</v>
      </c>
      <c r="BU107" t="s">
        <v>368</v>
      </c>
      <c r="BV107" t="str">
        <f>CONCATENATE(BT107,"_",BU107)</f>
        <v>big4_Express</v>
      </c>
      <c r="BW107" t="str">
        <f>IF(AND(BI107&lt;&gt;Y107,BI107&lt;&gt;""),_xlfn.CONCAT("{BLACK}","Tare speed: ","{GOLD}{VELOCITY}{}"), "")</f>
        <v/>
      </c>
      <c r="BX107" t="str">
        <f>_xlfn.CONCAT(E107, "_",F107)</f>
        <v>steam_RAIL</v>
      </c>
      <c r="BY107" t="str">
        <f>VLOOKUP($BX107, Constants!$M:$N, 2, FALSE)</f>
        <v>{BLACK}Powered by: {GOLD}Steam</v>
      </c>
      <c r="BZ107" t="str">
        <f>IF(J107&gt;1,_xlfn.CONCAT("{BLACK}Cars: {GOLD}", J107),"")</f>
        <v/>
      </c>
      <c r="CA107" t="s">
        <v>462</v>
      </c>
      <c r="CB107" t="str">
        <f>IF(BS107="BRAKE","{YELLOW}Speed bonus for slow wagons{}",IF(BQ107&gt;190,CONCATENATE("{YELLOW}",INT((BQ107-185)/1.85),"% Bonus for long distance travel{}"),IF(AND(BQ107&lt;180,BQ107&lt;&gt;0),CONCATENATE("{YELLOW}",INT((185-BQ107)/1.85),"% Penalty for long distance travel{}"),"")))</f>
        <v/>
      </c>
      <c r="CC107" t="str">
        <f>_xlfn.CONCAT(BW107,BY107,IF(BY107 &lt;&gt; "", " ", ""),BZ107,IF(OR(BZ107&lt;&gt;"", BY107&lt;&gt;""), "{}",""), CB107,"{SILVER}", CA107)</f>
        <v>{BLACK}Powered by: {GOLD}Steam {}{SILVER}The Castle Class is a large, powerful express locomotive designed by GWR Chief Mechanical Engineer Charles Collett</v>
      </c>
    </row>
    <row r="108" spans="1:81" x14ac:dyDescent="0.25">
      <c r="A108" t="s">
        <v>1233</v>
      </c>
      <c r="B108" t="s">
        <v>1237</v>
      </c>
      <c r="C108">
        <v>217</v>
      </c>
      <c r="D108" t="s">
        <v>302</v>
      </c>
      <c r="E108" t="s">
        <v>311</v>
      </c>
      <c r="F108" t="s">
        <v>314</v>
      </c>
      <c r="G108">
        <v>1921</v>
      </c>
      <c r="H108">
        <v>1922</v>
      </c>
      <c r="I108">
        <v>1964</v>
      </c>
      <c r="K108">
        <v>1000</v>
      </c>
      <c r="M108" s="6">
        <v>20.5</v>
      </c>
      <c r="N108" s="6">
        <v>24</v>
      </c>
      <c r="O108" s="6">
        <v>2</v>
      </c>
      <c r="P108" s="6">
        <v>175</v>
      </c>
      <c r="Q108" s="7">
        <f>((($Y108/2)/60)*5280)/($R108*3.2*PI())</f>
        <v>157.43744370601161</v>
      </c>
      <c r="R108" s="6">
        <v>1.39</v>
      </c>
      <c r="S108" s="6">
        <f>((($M108*$M108/4)*PI())*($N108/12)*$O108*$P108*$Q108)/(33000*1.1)</f>
        <v>1002.0676640505778</v>
      </c>
      <c r="T108">
        <v>63</v>
      </c>
      <c r="U108" s="9">
        <f>104.4-63</f>
        <v>41.400000000000006</v>
      </c>
      <c r="W108">
        <v>125</v>
      </c>
      <c r="X108" s="4">
        <f>IF(AND(T108&gt;0,W108&gt;0),(W108/((T108+U108)*10)),"")</f>
        <v>0.11973180076628352</v>
      </c>
      <c r="Y108">
        <v>50</v>
      </c>
      <c r="AB108">
        <v>10</v>
      </c>
      <c r="AE108" s="11">
        <v>0</v>
      </c>
      <c r="AF108" t="str">
        <f>CONCATENATE(VLOOKUP(AG108, 'Voxel Sizes'!$A$2:$B$18,2,FALSE),"x",INT(AC108*15), "x", INT(AD108*15))</f>
        <v>102x0x0</v>
      </c>
      <c r="AG108">
        <f>ROUND(15*((AB108*10)/256),0)</f>
        <v>6</v>
      </c>
      <c r="AH108" t="s">
        <v>1244</v>
      </c>
      <c r="AI108" t="str">
        <f>CONCATENATE(VLOOKUP(AG108,Constants!$A$2:$C$16,IF(AH108&lt;&gt;"", 3, 2), FALSE),IF(AH108&lt;&gt;"",CONCATENATE(",",VLOOKUP(AH108,$B:$AI,34,FALSE)),""))</f>
        <v>2,2,2,2,1,2</v>
      </c>
      <c r="AQ108">
        <v>1</v>
      </c>
      <c r="AS108">
        <v>30</v>
      </c>
      <c r="AT108">
        <f>IF(I108&lt;&gt;"",MAX(8,(I108-G108)-4),"")</f>
        <v>39</v>
      </c>
      <c r="AW108">
        <f>MIN(Y108/150, 1)*30</f>
        <v>10</v>
      </c>
      <c r="AX108">
        <f>MIN(K108/4000, 1)*20</f>
        <v>5</v>
      </c>
      <c r="AY108">
        <f>MIN(W108/400,1)*20</f>
        <v>6.25</v>
      </c>
      <c r="AZ108" s="4">
        <v>1</v>
      </c>
      <c r="BA108">
        <f>((MAX($J108,1)*MIN($AE108/300,1)))*IF(D108="Wagon",50,10)</f>
        <v>0</v>
      </c>
      <c r="BB108">
        <f>VLOOKUP($E108,Constants!$I:$K, 2, FALSE)</f>
        <v>1.1499999999999999</v>
      </c>
      <c r="BC108">
        <f>VLOOKUP($E108,Constants!$I:$K, 3, FALSE)*IF(AND(D108="multiple_unit",Y108&lt;110),0.75,1)</f>
        <v>1.7</v>
      </c>
      <c r="BD108">
        <f>INT(POWER(((Constants!$G$2+$AW108+$AX108+$AY108+$BA108)*$AZ108)*$BC108, 1.05))+$AV108</f>
        <v>53</v>
      </c>
      <c r="BE108">
        <f>INT(POWER((((Constants!$G$1+$AW108+$AX108+$AY108+$BA108)*(1/$AZ108))*$BB108),IF($D108="wagon",1,1.2)))+$AU108</f>
        <v>87</v>
      </c>
      <c r="BF108" s="15">
        <f>BD108*IF($D108="wagon",62.5,781.25)</f>
        <v>41406.25</v>
      </c>
      <c r="BG108" s="15">
        <f>BE108*IF($D108="wagon",2.73,81.25)</f>
        <v>7068.75</v>
      </c>
      <c r="BP108">
        <v>7</v>
      </c>
      <c r="BT108" t="str">
        <f>VLOOKUP(G108,Eras!$A$2:$C$10, 2, TRUE)</f>
        <v>edw</v>
      </c>
      <c r="BU108" t="s">
        <v>369</v>
      </c>
      <c r="BV108" t="str">
        <f>CONCATENATE(BT108,"_",BU108)</f>
        <v>edw_Freight</v>
      </c>
      <c r="BW108" t="str">
        <f>IF(AND(BI108&lt;&gt;Y108,BI108&lt;&gt;""),_xlfn.CONCAT("{BLACK}","Tare speed: ","{GOLD}{VELOCITY}{}"), "")</f>
        <v/>
      </c>
      <c r="BX108" t="str">
        <f>_xlfn.CONCAT(E108, "_",F108)</f>
        <v>steam_RAIL</v>
      </c>
      <c r="BY108" t="str">
        <f>VLOOKUP($BX108, Constants!$M:$N, 2, FALSE)</f>
        <v>{BLACK}Powered by: {GOLD}Steam</v>
      </c>
      <c r="BZ108" t="str">
        <f>IF(J108&gt;1,_xlfn.CONCAT("{BLACK}Cars: {GOLD}", J108),"")</f>
        <v/>
      </c>
      <c r="CA108" t="s">
        <v>1246</v>
      </c>
      <c r="CB108" t="str">
        <f>IF(BS108="BRAKE","{YELLOW}Speed bonus for slow wagons{}",IF(BQ108&gt;190,CONCATENATE("{YELLOW}",INT((BQ108-185)/1.85),"% Bonus for long distance travel{}"),IF(AND(BQ108&lt;180,BQ108&lt;&gt;0),CONCATENATE("{YELLOW}",INT((185-BQ108)/1.85),"% Penalty for long distance travel{}"),"")))</f>
        <v/>
      </c>
      <c r="CC108" t="str">
        <f>_xlfn.CONCAT(BW108,BY108,IF(BY108 &lt;&gt; "", " ", ""),BZ108,IF(OR(BZ108&lt;&gt;"", BY108&lt;&gt;""), "{}",""), CB108,"{SILVER}", CA108)</f>
        <v>{BLACK}Powered by: {GOLD}Steam {}{SILVER}The LNWR G2 is an 0-8-0 freight locomotive, built from scratch as a new class and never rebuilt instead of the usual LNWR practice of rebuilding existing 8-coupled locomotives.</v>
      </c>
    </row>
    <row r="109" spans="1:81" x14ac:dyDescent="0.25">
      <c r="A109" t="s">
        <v>10</v>
      </c>
      <c r="B109" t="s">
        <v>188</v>
      </c>
      <c r="C109">
        <v>218</v>
      </c>
      <c r="D109" t="s">
        <v>302</v>
      </c>
      <c r="E109" t="s">
        <v>311</v>
      </c>
      <c r="F109" t="s">
        <v>314</v>
      </c>
      <c r="G109">
        <v>1924</v>
      </c>
      <c r="I109">
        <v>1967</v>
      </c>
      <c r="K109">
        <v>650</v>
      </c>
      <c r="M109" s="6">
        <v>18</v>
      </c>
      <c r="N109" s="6">
        <v>26</v>
      </c>
      <c r="O109" s="6">
        <v>2</v>
      </c>
      <c r="P109" s="6">
        <v>160</v>
      </c>
      <c r="Q109" s="7">
        <f>((($Y109/2)/60)*5280)/($R109*3.2*PI())</f>
        <v>140.68160148301465</v>
      </c>
      <c r="R109" s="6">
        <v>1.4</v>
      </c>
      <c r="S109" s="6">
        <f>((($M109*$M109/4)*PI())*($N109/12)*$O109*$P109*$Q109)/(33000*1.1)</f>
        <v>683.76623376623365</v>
      </c>
      <c r="T109">
        <v>50.2</v>
      </c>
      <c r="W109">
        <v>93</v>
      </c>
      <c r="X109" s="4">
        <f>IF(AND(T109&gt;0,W109&gt;0),(W109/((T109+U109)*10)),"")</f>
        <v>0.1852589641434263</v>
      </c>
      <c r="Y109">
        <v>45</v>
      </c>
      <c r="AA109">
        <v>9.57</v>
      </c>
      <c r="AB109">
        <v>9.57</v>
      </c>
      <c r="AE109" s="11">
        <v>0</v>
      </c>
      <c r="AF109" t="str">
        <f>CONCATENATE(VLOOKUP(AG109, 'Voxel Sizes'!$A$2:$B$18,2,FALSE),"x",INT(AC109*15), "x", INT(AD109*15))</f>
        <v>102x0x0</v>
      </c>
      <c r="AG109">
        <f>ROUND(15*((AB109*10)/256),0)</f>
        <v>6</v>
      </c>
      <c r="AI109" t="str">
        <f>CONCATENATE(VLOOKUP(AG109,Constants!$A$2:$C$16,IF(AH109&lt;&gt;"", 3, 2), FALSE),IF(AH109&lt;&gt;"",CONCATENATE(",",VLOOKUP(AH109,$B:$AI,34,FALSE)),""))</f>
        <v>2,2,2</v>
      </c>
      <c r="AQ109">
        <v>1</v>
      </c>
      <c r="AS109">
        <v>48</v>
      </c>
      <c r="AT109">
        <f>IF(I109&lt;&gt;"",MAX(8,(I109-G109)-4),"")</f>
        <v>39</v>
      </c>
      <c r="AW109">
        <f>MIN(Y109/150, 1)*30</f>
        <v>9</v>
      </c>
      <c r="AX109">
        <f>MIN(K109/4000, 1)*20</f>
        <v>3.25</v>
      </c>
      <c r="AY109">
        <f>MIN(W109/400,1)*20</f>
        <v>4.6500000000000004</v>
      </c>
      <c r="AZ109" s="4">
        <v>1</v>
      </c>
      <c r="BA109">
        <f>((MAX($J109,1)*MIN($AE109/300,1)))*IF(D109="Wagon",50,10)</f>
        <v>0</v>
      </c>
      <c r="BB109">
        <f>VLOOKUP($E109,Constants!$I:$K, 2, FALSE)</f>
        <v>1.1499999999999999</v>
      </c>
      <c r="BC109">
        <f>VLOOKUP($E109,Constants!$I:$K, 3, FALSE)*IF(AND(D109="multiple_unit",Y109&lt;110),0.75,1)</f>
        <v>1.7</v>
      </c>
      <c r="BD109">
        <f>INT(POWER(((Constants!$G$2+$AW109+$AX109+$AY109+$BA109)*$AZ109)*$BC109, 1.05))+$AV109</f>
        <v>44</v>
      </c>
      <c r="BE109">
        <f>INT(POWER((((Constants!$G$1+$AW109+$AX109+$AY109+$BA109)*(1/$AZ109))*$BB109),IF($D109="wagon",1,1.2)))+$AU109</f>
        <v>75</v>
      </c>
      <c r="BF109" s="15">
        <f>BD109*IF($D109="wagon",62.5,781.25)</f>
        <v>34375</v>
      </c>
      <c r="BG109" s="15">
        <f>BE109*IF($D109="wagon",2.73,81.25)</f>
        <v>6093.75</v>
      </c>
      <c r="BP109">
        <v>11</v>
      </c>
      <c r="BT109" t="str">
        <f>VLOOKUP(G109,Eras!$A$2:$C$10, 2, TRUE)</f>
        <v>big4</v>
      </c>
      <c r="BU109" t="s">
        <v>366</v>
      </c>
      <c r="BV109" t="str">
        <f>CONCATENATE(BT109,"_",BU109)</f>
        <v>big4_Cheap</v>
      </c>
      <c r="BW109" t="str">
        <f>IF(AND(BI109&lt;&gt;Y109,BI109&lt;&gt;""),_xlfn.CONCAT("{BLACK}","Tare speed: ","{GOLD}{VELOCITY}{}"), "")</f>
        <v/>
      </c>
      <c r="BX109" t="str">
        <f>_xlfn.CONCAT(E109, "_",F109)</f>
        <v>steam_RAIL</v>
      </c>
      <c r="BY109" t="str">
        <f>VLOOKUP($BX109, Constants!$M:$N, 2, FALSE)</f>
        <v>{BLACK}Powered by: {GOLD}Steam</v>
      </c>
      <c r="BZ109" t="str">
        <f>IF(J109&gt;1,_xlfn.CONCAT("{BLACK}Cars: {GOLD}", J109),"")</f>
        <v/>
      </c>
      <c r="CA109" t="s">
        <v>391</v>
      </c>
      <c r="CB109" t="str">
        <f>IF(BS109="BRAKE","{YELLOW}Speed bonus for slow wagons{}",IF(BQ109&gt;190,CONCATENATE("{YELLOW}",INT((BQ109-185)/1.85),"% Bonus for long distance travel{}"),IF(AND(BQ109&lt;180,BQ109&lt;&gt;0),CONCATENATE("{YELLOW}",INT((185-BQ109)/1.85),"% Penalty for long distance travel{}"),"")))</f>
        <v/>
      </c>
      <c r="CC109" t="str">
        <f>_xlfn.CONCAT(BW109,BY109,IF(BY109 &lt;&gt; "", " ", ""),BZ109,IF(OR(BZ109&lt;&gt;"", BY109&lt;&gt;""), "{}",""), CB109,"{SILVER}", CA109)</f>
        <v>{BLACK}Powered by: {GOLD}Steam {}{SILVER}The Jinty is a popular tank engine that was built in large quantities. Although small and low powered it is reliable and cheap to run. Jinties were sometimes run in pairs (or more) for working on steep inclines.</v>
      </c>
    </row>
    <row r="110" spans="1:81" x14ac:dyDescent="0.25">
      <c r="A110" t="s">
        <v>1240</v>
      </c>
      <c r="B110" t="s">
        <v>1241</v>
      </c>
      <c r="C110">
        <v>219</v>
      </c>
      <c r="D110" t="s">
        <v>302</v>
      </c>
      <c r="E110" t="s">
        <v>311</v>
      </c>
      <c r="F110" t="s">
        <v>314</v>
      </c>
      <c r="G110">
        <v>1921</v>
      </c>
      <c r="H110">
        <v>1922</v>
      </c>
      <c r="I110">
        <v>1959</v>
      </c>
      <c r="K110">
        <v>1350</v>
      </c>
      <c r="M110" s="6">
        <v>20.5</v>
      </c>
      <c r="N110" s="6">
        <v>26</v>
      </c>
      <c r="O110" s="6">
        <v>2</v>
      </c>
      <c r="P110" s="6">
        <v>180</v>
      </c>
      <c r="Q110" s="7">
        <f>((($Y110/2)/60)*5280)/($R110*3.2*PI())</f>
        <v>195.8024628827923</v>
      </c>
      <c r="R110" s="6">
        <v>1.9</v>
      </c>
      <c r="S110" s="6">
        <f>((($M110*$M110/4)*PI())*($N110/12)*$O110*$P110*$Q110)/(33000*1.1)</f>
        <v>1388.6849581339709</v>
      </c>
      <c r="T110">
        <v>62.2</v>
      </c>
      <c r="U110" s="9">
        <v>40</v>
      </c>
      <c r="W110">
        <v>95</v>
      </c>
      <c r="X110" s="4">
        <f>IF(AND(T110&gt;0,W110&gt;0),(W110/((T110+U110)*10)),"")</f>
        <v>9.2954990215264183E-2</v>
      </c>
      <c r="Y110">
        <v>85</v>
      </c>
      <c r="AB110">
        <v>10</v>
      </c>
      <c r="AE110" s="11">
        <v>0</v>
      </c>
      <c r="AF110" t="str">
        <f>CONCATENATE(VLOOKUP(AG110, 'Voxel Sizes'!$A$2:$B$18,2,FALSE),"x",INT(AC110*15), "x", INT(AD110*15))</f>
        <v>102x0x0</v>
      </c>
      <c r="AG110">
        <f>ROUND(15*((AB110*10)/256),0)</f>
        <v>6</v>
      </c>
      <c r="AH110" t="s">
        <v>1244</v>
      </c>
      <c r="AI110" t="str">
        <f>CONCATENATE(VLOOKUP(AG110,Constants!$A$2:$C$16,IF(AH110&lt;&gt;"", 3, 2), FALSE),IF(AH110&lt;&gt;"",CONCATENATE(",",VLOOKUP(AH110,$B:$AI,34,FALSE)),""))</f>
        <v>2,2,2,2,1,2</v>
      </c>
      <c r="AS110">
        <v>31</v>
      </c>
      <c r="AT110">
        <f>IF(I110&lt;&gt;"",MAX(8,(I110-G110)-4),"")</f>
        <v>34</v>
      </c>
      <c r="AW110">
        <f>MIN(Y110/150, 1)*30</f>
        <v>17</v>
      </c>
      <c r="AX110">
        <f>MIN(K110/4000, 1)*20</f>
        <v>6.75</v>
      </c>
      <c r="AY110">
        <f>MIN(W110/400,1)*20</f>
        <v>4.75</v>
      </c>
      <c r="AZ110" s="4">
        <v>1</v>
      </c>
      <c r="BA110">
        <f>((MAX($J110,1)*MIN($AE110/300,1)))*IF(D110="Wagon",50,10)</f>
        <v>0</v>
      </c>
      <c r="BB110">
        <f>VLOOKUP($E110,Constants!$I:$K, 2, FALSE)</f>
        <v>1.1499999999999999</v>
      </c>
      <c r="BC110">
        <f>VLOOKUP($E110,Constants!$I:$K, 3, FALSE)*IF(AND(D110="multiple_unit",Y110&lt;110),0.75,1)</f>
        <v>1.7</v>
      </c>
      <c r="BD110">
        <f>INT(POWER(((Constants!$G$2+$AW110+$AX110+$AY110+$BA110)*$AZ110)*$BC110, 1.05))+$AV110</f>
        <v>69</v>
      </c>
      <c r="BE110">
        <f>INT(POWER((((Constants!$G$1+$AW110+$AX110+$AY110+$BA110)*(1/$AZ110))*$BB110),IF($D110="wagon",1,1.2)))+$AU110</f>
        <v>109</v>
      </c>
      <c r="BF110" s="15">
        <f>BD110*IF($D110="wagon",62.5,781.25)</f>
        <v>53906.25</v>
      </c>
      <c r="BG110" s="15">
        <f>BE110*IF($D110="wagon",2.73,81.25)</f>
        <v>8856.25</v>
      </c>
      <c r="BP110">
        <v>8</v>
      </c>
      <c r="BT110" t="str">
        <f>VLOOKUP(G110,Eras!$A$2:$C$10, 2, TRUE)</f>
        <v>edw</v>
      </c>
      <c r="BU110" t="s">
        <v>368</v>
      </c>
      <c r="BV110" t="str">
        <f>CONCATENATE(BT110,"_",BU110)</f>
        <v>edw_Express</v>
      </c>
      <c r="BW110" t="str">
        <f>IF(AND(BI110&lt;&gt;Y110,BI110&lt;&gt;""),_xlfn.CONCAT("{BLACK}","Tare speed: ","{GOLD}{VELOCITY}{}"), "")</f>
        <v/>
      </c>
      <c r="BX110" t="str">
        <f>_xlfn.CONCAT(E110, "_",F110)</f>
        <v>steam_RAIL</v>
      </c>
      <c r="BY110" t="str">
        <f>VLOOKUP($BX110, Constants!$M:$N, 2, FALSE)</f>
        <v>{BLACK}Powered by: {GOLD}Steam</v>
      </c>
      <c r="BZ110" t="str">
        <f>IF(J110&gt;1,_xlfn.CONCAT("{BLACK}Cars: {GOLD}", J110),"")</f>
        <v/>
      </c>
      <c r="CA110" t="s">
        <v>1247</v>
      </c>
      <c r="CB110" t="str">
        <f>IF(BS110="BRAKE","{YELLOW}Speed bonus for slow wagons{}",IF(BQ110&gt;190,CONCATENATE("{YELLOW}",INT((BQ110-185)/1.85),"% Bonus for long distance travel{}"),IF(AND(BQ110&lt;180,BQ110&lt;&gt;0),CONCATENATE("{YELLOW}",INT((185-BQ110)/1.85),"% Penalty for long distance travel{}"),"")))</f>
        <v/>
      </c>
      <c r="CC110" t="str">
        <f>_xlfn.CONCAT(BW110,BY110,IF(BY110 &lt;&gt; "", " ", ""),BZ110,IF(OR(BZ110&lt;&gt;"", BY110&lt;&gt;""), "{}",""), CB110,"{SILVER}", CA110)</f>
        <v>{BLACK}Powered by: {GOLD}Steam {}{SILVER}The Caledonian 72 class was a 4-4-0 express locomotive, later inherited by the LMS after grouping.</v>
      </c>
    </row>
    <row r="111" spans="1:81" x14ac:dyDescent="0.25">
      <c r="A111" t="s">
        <v>21</v>
      </c>
      <c r="B111" t="s">
        <v>189</v>
      </c>
      <c r="C111">
        <v>220</v>
      </c>
      <c r="D111" t="s">
        <v>302</v>
      </c>
      <c r="E111" t="s">
        <v>311</v>
      </c>
      <c r="F111" t="s">
        <v>314</v>
      </c>
      <c r="G111">
        <v>1924</v>
      </c>
      <c r="H111">
        <v>1928</v>
      </c>
      <c r="I111">
        <v>1965</v>
      </c>
      <c r="K111">
        <v>900</v>
      </c>
      <c r="T111">
        <v>62</v>
      </c>
      <c r="W111">
        <v>115</v>
      </c>
      <c r="X111" s="4">
        <f>IF(AND(T111&gt;0,W111&gt;0),(W111/((T111+U111)*10)),"")</f>
        <v>0.18548387096774194</v>
      </c>
      <c r="Y111">
        <v>50</v>
      </c>
      <c r="AA111">
        <v>11.43</v>
      </c>
      <c r="AB111">
        <v>11.43</v>
      </c>
      <c r="AE111" s="11">
        <v>0</v>
      </c>
      <c r="AF111" t="str">
        <f>CONCATENATE(VLOOKUP(AG111, 'Voxel Sizes'!$A$2:$B$18,2,FALSE),"x",INT(AC111*15), "x", INT(AD111*15))</f>
        <v>120x0x0</v>
      </c>
      <c r="AG111">
        <f>ROUND(15*((AB111*10)/256),0)</f>
        <v>7</v>
      </c>
      <c r="AI111" t="str">
        <f>CONCATENATE(VLOOKUP(AG111,Constants!$A$2:$C$16,IF(AH111&lt;&gt;"", 3, 2), FALSE),IF(AH111&lt;&gt;"",CONCATENATE(",",VLOOKUP(AH111,$B:$AI,34,FALSE)),""))</f>
        <v>2,3,2</v>
      </c>
      <c r="AQ111">
        <v>1</v>
      </c>
      <c r="AS111">
        <v>33</v>
      </c>
      <c r="AT111">
        <f>IF(I111&lt;&gt;"",MAX(8,(I111-G111)-4),"")</f>
        <v>37</v>
      </c>
      <c r="AW111">
        <f>MIN(Y111/150, 1)*30</f>
        <v>10</v>
      </c>
      <c r="AX111">
        <f>MIN(K111/4000, 1)*20</f>
        <v>4.5</v>
      </c>
      <c r="AY111">
        <f>MIN(W111/400,1)*20</f>
        <v>5.75</v>
      </c>
      <c r="AZ111" s="4">
        <v>1</v>
      </c>
      <c r="BA111">
        <f>((MAX($J111,1)*MIN($AE111/300,1)))*IF(D111="Wagon",50,10)</f>
        <v>0</v>
      </c>
      <c r="BB111">
        <f>VLOOKUP($E111,Constants!$I:$K, 2, FALSE)</f>
        <v>1.1499999999999999</v>
      </c>
      <c r="BC111">
        <f>VLOOKUP($E111,Constants!$I:$K, 3, FALSE)*IF(AND(D111="multiple_unit",Y111&lt;110),0.75,1)</f>
        <v>1.7</v>
      </c>
      <c r="BD111">
        <f>INT(POWER(((Constants!$G$2+$AW111+$AX111+$AY111+$BA111)*$AZ111)*$BC111, 1.05))+$AV111</f>
        <v>51</v>
      </c>
      <c r="BE111">
        <f>INT(POWER((((Constants!$G$1+$AW111+$AX111+$AY111+$BA111)*(1/$AZ111))*$BB111),IF($D111="wagon",1,1.2)))+$AU111</f>
        <v>85</v>
      </c>
      <c r="BF111" s="15">
        <f>BD111*IF($D111="wagon",62.5,781.25)</f>
        <v>39843.75</v>
      </c>
      <c r="BG111" s="15">
        <f>BE111*IF($D111="wagon",2.73,81.25)</f>
        <v>6906.25</v>
      </c>
      <c r="BP111">
        <v>12</v>
      </c>
      <c r="BT111" t="str">
        <f>VLOOKUP(G111,Eras!$A$2:$C$10, 2, TRUE)</f>
        <v>big4</v>
      </c>
      <c r="BU111" t="s">
        <v>367</v>
      </c>
      <c r="BV111" t="str">
        <f>CONCATENATE(BT111,"_",BU111)</f>
        <v>big4_Mixed Traffic</v>
      </c>
      <c r="BW111" t="str">
        <f>IF(AND(BI111&lt;&gt;Y111,BI111&lt;&gt;""),_xlfn.CONCAT("{BLACK}","Tare speed: ","{GOLD}{VELOCITY}{}"), "")</f>
        <v/>
      </c>
      <c r="BX111" t="str">
        <f>_xlfn.CONCAT(E111, "_",F111)</f>
        <v>steam_RAIL</v>
      </c>
      <c r="BY111" t="str">
        <f>VLOOKUP($BX111, Constants!$M:$N, 2, FALSE)</f>
        <v>{BLACK}Powered by: {GOLD}Steam</v>
      </c>
      <c r="BZ111" t="str">
        <f>IF(J111&gt;1,_xlfn.CONCAT("{BLACK}Cars: {GOLD}", J111),"")</f>
        <v/>
      </c>
      <c r="CA111" t="s">
        <v>392</v>
      </c>
      <c r="CB111" t="str">
        <f>IF(BS111="BRAKE","{YELLOW}Speed bonus for slow wagons{}",IF(BQ111&gt;190,CONCATENATE("{YELLOW}",INT((BQ111-185)/1.85),"% Bonus for long distance travel{}"),IF(AND(BQ111&lt;180,BQ111&lt;&gt;0),CONCATENATE("{YELLOW}",INT((185-BQ111)/1.85),"% Penalty for long distance travel{}"),"")))</f>
        <v/>
      </c>
      <c r="CC111" t="str">
        <f>_xlfn.CONCAT(BW111,BY111,IF(BY111 &lt;&gt; "", " ", ""),BZ111,IF(OR(BZ111&lt;&gt;"", BY111&lt;&gt;""), "{}",""), CB111,"{SILVER}", CA111)</f>
        <v>{BLACK}Powered by: {GOLD}Steam {}{SILVER}The 5600 Class is a large tank engine that offers more power and tractive effort than smaller 0-6-0 tank engines, at the expense of greater weight and higher running costs.</v>
      </c>
    </row>
    <row r="112" spans="1:81" x14ac:dyDescent="0.25">
      <c r="A112" t="s">
        <v>1235</v>
      </c>
      <c r="B112" t="s">
        <v>1236</v>
      </c>
      <c r="C112">
        <v>221</v>
      </c>
      <c r="D112" t="s">
        <v>302</v>
      </c>
      <c r="E112" t="s">
        <v>311</v>
      </c>
      <c r="F112" t="s">
        <v>314</v>
      </c>
      <c r="G112">
        <v>1923</v>
      </c>
      <c r="I112">
        <v>1951</v>
      </c>
      <c r="K112">
        <v>1000</v>
      </c>
      <c r="M112" s="6">
        <v>20</v>
      </c>
      <c r="N112" s="6">
        <v>26</v>
      </c>
      <c r="O112" s="6">
        <v>2</v>
      </c>
      <c r="P112" s="6">
        <v>185</v>
      </c>
      <c r="Q112" s="7">
        <f>((($Y112/2)/60)*5280)/($R112*3.2*PI())</f>
        <v>144.81929564427978</v>
      </c>
      <c r="R112" s="6">
        <v>1.36</v>
      </c>
      <c r="S112" s="6">
        <f>((($M112*$M112/4)*PI())*($N112/12)*$O112*$P112*$Q112)/(33000*1.1)</f>
        <v>1004.7627005347595</v>
      </c>
      <c r="T112">
        <v>61</v>
      </c>
      <c r="W112">
        <v>133</v>
      </c>
      <c r="X112" s="4">
        <f>IF(AND(T112&gt;0,W112&gt;0),(W112/((T112+U112)*10)),"")</f>
        <v>0.21803278688524591</v>
      </c>
      <c r="Y112">
        <v>45</v>
      </c>
      <c r="AB112">
        <v>14</v>
      </c>
      <c r="AE112" s="11">
        <v>0</v>
      </c>
      <c r="AF112" t="str">
        <f>CONCATENATE(VLOOKUP(AG112, 'Voxel Sizes'!$A$2:$B$18,2,FALSE),"x",INT(AC112*15), "x", INT(AD112*15))</f>
        <v>136x0x0</v>
      </c>
      <c r="AG112">
        <f>ROUND(15*((AB112*10)/256),0)</f>
        <v>8</v>
      </c>
      <c r="AI112" t="str">
        <f>CONCATENATE(VLOOKUP(AG112,Constants!$A$2:$C$16,IF(AH112&lt;&gt;"", 3, 2), FALSE),IF(AH112&lt;&gt;"",CONCATENATE(",",VLOOKUP(AH112,$B:$AI,34,FALSE)),""))</f>
        <v>2,4,2</v>
      </c>
      <c r="AQ112">
        <v>1</v>
      </c>
      <c r="AS112">
        <v>30</v>
      </c>
      <c r="AT112">
        <f>IF(I112&lt;&gt;"",MAX(8,(I112-G112)-4),"")</f>
        <v>24</v>
      </c>
      <c r="AW112">
        <f>MIN(Y112/150, 1)*30</f>
        <v>9</v>
      </c>
      <c r="AX112">
        <f>MIN(K112/4000, 1)*20</f>
        <v>5</v>
      </c>
      <c r="AY112">
        <f>MIN(W112/400,1)*20</f>
        <v>6.65</v>
      </c>
      <c r="AZ112" s="4">
        <v>1</v>
      </c>
      <c r="BA112">
        <f>((MAX($J112,1)*MIN($AE112/300,1)))*IF(D112="Wagon",50,10)</f>
        <v>0</v>
      </c>
      <c r="BB112">
        <f>VLOOKUP($E112,Constants!$I:$K, 2, FALSE)</f>
        <v>1.1499999999999999</v>
      </c>
      <c r="BC112">
        <f>VLOOKUP($E112,Constants!$I:$K, 3, FALSE)*IF(AND(D112="multiple_unit",Y112&lt;110),0.75,1)</f>
        <v>1.7</v>
      </c>
      <c r="BD112">
        <f>INT(POWER(((Constants!$G$2+$AW112+$AX112+$AY112+$BA112)*$AZ112)*$BC112, 1.05))+$AV112</f>
        <v>52</v>
      </c>
      <c r="BE112">
        <f>INT(POWER((((Constants!$G$1+$AW112+$AX112+$AY112+$BA112)*(1/$AZ112))*$BB112),IF($D112="wagon",1,1.2)))+$AU112</f>
        <v>86</v>
      </c>
      <c r="BF112" s="15">
        <f>BD112*IF($D112="wagon",62.5,781.25)</f>
        <v>40625</v>
      </c>
      <c r="BG112" s="15">
        <f>BE112*IF($D112="wagon",2.73,81.25)</f>
        <v>6987.5</v>
      </c>
      <c r="BP112">
        <v>5</v>
      </c>
      <c r="BT112" t="str">
        <f>VLOOKUP(G112,Eras!$A$2:$C$10, 2, TRUE)</f>
        <v>big4</v>
      </c>
      <c r="BU112" t="s">
        <v>369</v>
      </c>
      <c r="BV112" t="str">
        <f>CONCATENATE(BT112,"_",BU112)</f>
        <v>big4_Freight</v>
      </c>
      <c r="BW112" t="str">
        <f>IF(AND(BI112&lt;&gt;Y112,BI112&lt;&gt;""),_xlfn.CONCAT("{BLACK}","Tare speed: ","{GOLD}{VELOCITY}{}"), "")</f>
        <v/>
      </c>
      <c r="BX112" t="str">
        <f>_xlfn.CONCAT(E112, "_",F112)</f>
        <v>steam_RAIL</v>
      </c>
      <c r="BY112" t="str">
        <f>VLOOKUP($BX112, Constants!$M:$N, 2, FALSE)</f>
        <v>{BLACK}Powered by: {GOLD}Steam</v>
      </c>
      <c r="BZ112" t="str">
        <f>IF(J112&gt;1,_xlfn.CONCAT("{BLACK}Cars: {GOLD}", J112),"")</f>
        <v/>
      </c>
      <c r="CA112" t="s">
        <v>1248</v>
      </c>
      <c r="CB112" t="str">
        <f>IF(BS112="BRAKE","{YELLOW}Speed bonus for slow wagons{}",IF(BQ112&gt;190,CONCATENATE("{YELLOW}",INT((BQ112-185)/1.85),"% Bonus for long distance travel{}"),IF(AND(BQ112&lt;180,BQ112&lt;&gt;0),CONCATENATE("{YELLOW}",INT((185-BQ112)/1.85),"% Penalty for long distance travel{}"),"")))</f>
        <v/>
      </c>
      <c r="CC112" t="str">
        <f>_xlfn.CONCAT(BW112,BY112,IF(BY112 &lt;&gt; "", " ", ""),BZ112,IF(OR(BZ112&lt;&gt;"", BY112&lt;&gt;""), "{}",""), CB112,"{SILVER}", CA112)</f>
        <v>{BLACK}Powered by: {GOLD}Steam {}{SILVER}The LNWR 380 class is a large tank locomotive with an 0-8-4T chassis. It was derived from the LNWR's 0-8-0 tender engines and similar 0-8-2T tanks.</v>
      </c>
    </row>
    <row r="113" spans="1:81" x14ac:dyDescent="0.25">
      <c r="A113" t="s">
        <v>31</v>
      </c>
      <c r="B113" t="s">
        <v>335</v>
      </c>
      <c r="C113">
        <v>222</v>
      </c>
      <c r="D113" t="s">
        <v>302</v>
      </c>
      <c r="E113" t="s">
        <v>311</v>
      </c>
      <c r="F113" t="s">
        <v>314</v>
      </c>
      <c r="G113">
        <v>1926</v>
      </c>
      <c r="H113">
        <v>1932</v>
      </c>
      <c r="I113">
        <v>1967</v>
      </c>
      <c r="K113">
        <v>1400</v>
      </c>
      <c r="M113" s="6">
        <v>21</v>
      </c>
      <c r="N113" s="6">
        <v>26</v>
      </c>
      <c r="O113" s="6">
        <v>2</v>
      </c>
      <c r="P113" s="6">
        <v>180</v>
      </c>
      <c r="Q113" s="7">
        <f>((($Y113/2)/60)*5280)/($R113*3.2*PI())</f>
        <v>191.48329090743655</v>
      </c>
      <c r="R113" s="6">
        <v>1.6</v>
      </c>
      <c r="S113" s="6">
        <f>((($M113*$M113/4)*PI())*($N113/12)*$O113*$P113*$Q113)/(33000*1.1)</f>
        <v>1425.1065340909088</v>
      </c>
      <c r="T113">
        <v>67</v>
      </c>
      <c r="U113" s="9">
        <v>46</v>
      </c>
      <c r="W113">
        <v>118</v>
      </c>
      <c r="X113" s="4">
        <f>IF(AND(T113&gt;0,W113&gt;0),(W113/((T113+U113)*10)),"")</f>
        <v>0.10442477876106195</v>
      </c>
      <c r="Y113">
        <v>70</v>
      </c>
      <c r="AA113">
        <v>10.44</v>
      </c>
      <c r="AB113">
        <v>10.44</v>
      </c>
      <c r="AE113" s="11">
        <v>0</v>
      </c>
      <c r="AF113" t="str">
        <f>CONCATENATE(VLOOKUP(AG113, 'Voxel Sizes'!$A$2:$B$18,2,FALSE),"x",INT(AC113*15), "x", INT(AD113*15))</f>
        <v>102x0x0</v>
      </c>
      <c r="AG113">
        <f>ROUND(15*((AB113*10)/256),0)</f>
        <v>6</v>
      </c>
      <c r="AH113" t="s">
        <v>329</v>
      </c>
      <c r="AI113" t="str">
        <f>CONCATENATE(VLOOKUP(AG113,Constants!$A$2:$C$16,IF(AH113&lt;&gt;"", 3, 2), FALSE),IF(AH113&lt;&gt;"",CONCATENATE(",",VLOOKUP(AH113,$B:$AI,34,FALSE)),""))</f>
        <v>2,2,2,2,1,2</v>
      </c>
      <c r="AQ113">
        <v>1</v>
      </c>
      <c r="AS113">
        <v>28</v>
      </c>
      <c r="AT113">
        <f>IF(I113&lt;&gt;"",MAX(8,(I113-G113)-4),"")</f>
        <v>37</v>
      </c>
      <c r="AW113">
        <f>MIN(Y113/150, 1)*30</f>
        <v>14</v>
      </c>
      <c r="AX113">
        <f>MIN(K113/4000, 1)*20</f>
        <v>7</v>
      </c>
      <c r="AY113">
        <f>MIN(W113/400,1)*20</f>
        <v>5.8999999999999995</v>
      </c>
      <c r="AZ113" s="4">
        <v>1</v>
      </c>
      <c r="BA113">
        <f>((MAX($J113,1)*MIN($AE113/300,1)))*IF(D113="Wagon",50,10)</f>
        <v>0</v>
      </c>
      <c r="BB113">
        <f>VLOOKUP($E113,Constants!$I:$K, 2, FALSE)</f>
        <v>1.1499999999999999</v>
      </c>
      <c r="BC113">
        <f>VLOOKUP($E113,Constants!$I:$K, 3, FALSE)*IF(AND(D113="multiple_unit",Y113&lt;110),0.75,1)</f>
        <v>1.7</v>
      </c>
      <c r="BD113">
        <f>INT(POWER(((Constants!$G$2+$AW113+$AX113+$AY113+$BA113)*$AZ113)*$BC113, 1.05))+$AV113</f>
        <v>66</v>
      </c>
      <c r="BE113">
        <f>INT(POWER((((Constants!$G$1+$AW113+$AX113+$AY113+$BA113)*(1/$AZ113))*$BB113),IF($D113="wagon",1,1.2)))+$AU113</f>
        <v>104</v>
      </c>
      <c r="BF113" s="15">
        <f>BD113*IF($D113="wagon",62.5,781.25)</f>
        <v>51562.5</v>
      </c>
      <c r="BG113" s="15">
        <f>BE113*IF($D113="wagon",2.73,81.25)</f>
        <v>8450</v>
      </c>
      <c r="BP113">
        <v>1</v>
      </c>
      <c r="BT113" t="str">
        <f>VLOOKUP(G113,Eras!$A$2:$C$10, 2, TRUE)</f>
        <v>big4</v>
      </c>
      <c r="BU113" t="s">
        <v>368</v>
      </c>
      <c r="BV113" t="str">
        <f>CONCATENATE(BT113,"_",BU113)</f>
        <v>big4_Express</v>
      </c>
      <c r="BW113" t="str">
        <f>IF(AND(BI113&lt;&gt;Y113,BI113&lt;&gt;""),_xlfn.CONCAT("{BLACK}","Tare speed: ","{GOLD}{VELOCITY}{}"), "")</f>
        <v/>
      </c>
      <c r="BX113" t="str">
        <f>_xlfn.CONCAT(E113, "_",F113)</f>
        <v>steam_RAIL</v>
      </c>
      <c r="BY113" t="str">
        <f>VLOOKUP($BX113, Constants!$M:$N, 2, FALSE)</f>
        <v>{BLACK}Powered by: {GOLD}Steam</v>
      </c>
      <c r="BZ113" t="str">
        <f>IF(J113&gt;1,_xlfn.CONCAT("{BLACK}Cars: {GOLD}", J113),"")</f>
        <v/>
      </c>
      <c r="CA113" t="s">
        <v>393</v>
      </c>
      <c r="CB113" t="str">
        <f>IF(BS113="BRAKE","{YELLOW}Speed bonus for slow wagons{}",IF(BQ113&gt;190,CONCATENATE("{YELLOW}",INT((BQ113-185)/1.85),"% Bonus for long distance travel{}"),IF(AND(BQ113&lt;180,BQ113&lt;&gt;0),CONCATENATE("{YELLOW}",INT((185-BQ113)/1.85),"% Penalty for long distance travel{}"),"")))</f>
        <v/>
      </c>
      <c r="CC113" t="str">
        <f>_xlfn.CONCAT(BW113,BY113,IF(BY113 &lt;&gt; "", " ", ""),BZ113,IF(OR(BZ113&lt;&gt;"", BY113&lt;&gt;""), "{}",""), CB113,"{SILVER}", CA113)</f>
        <v>{BLACK}Powered by: {GOLD}Steam {}{SILVER}The Hughes Crab was named for its distinctive "scuttling" motion, caused by the inclined cylinders.</v>
      </c>
    </row>
    <row r="114" spans="1:81" x14ac:dyDescent="0.25">
      <c r="A114" t="s">
        <v>24</v>
      </c>
      <c r="B114" t="s">
        <v>186</v>
      </c>
      <c r="C114">
        <v>223</v>
      </c>
      <c r="D114" t="s">
        <v>168</v>
      </c>
      <c r="E114" t="s">
        <v>311</v>
      </c>
      <c r="F114" t="s">
        <v>314</v>
      </c>
      <c r="G114">
        <v>1922</v>
      </c>
      <c r="H114">
        <v>1924</v>
      </c>
      <c r="W114">
        <v>119</v>
      </c>
      <c r="X114" s="4" t="str">
        <f>IF(AND(T114&gt;0,W114&gt;0),(W114/((T114+U114)*10)),"")</f>
        <v/>
      </c>
      <c r="AE114" s="11">
        <v>0</v>
      </c>
      <c r="AF114" t="str">
        <f>CONCATENATE(VLOOKUP(AG114, 'Voxel Sizes'!$A$2:$B$18,2,FALSE),"x",INT(AC114*15), "x", INT(AD114*15))</f>
        <v>0x0x0</v>
      </c>
      <c r="AG114">
        <f>ROUND(15*((AB114*10)/256),0)</f>
        <v>0</v>
      </c>
      <c r="AI114" t="str">
        <f>CONCATENATE(VLOOKUP(AG114,Constants!$A$2:$C$16,IF(AH114&lt;&gt;"", 3, 2), FALSE),IF(AH114&lt;&gt;"",CONCATENATE(",",VLOOKUP(AH114,$B:$AI,34,FALSE)),""))</f>
        <v>na</v>
      </c>
      <c r="AQ114">
        <v>1</v>
      </c>
      <c r="AS114">
        <v>30</v>
      </c>
      <c r="AT114" t="str">
        <f>IF(I114&lt;&gt;"",MAX(8,(I114-G114)-4),"")</f>
        <v/>
      </c>
      <c r="AW114">
        <f>MIN(Y114/150, 1)*30</f>
        <v>0</v>
      </c>
      <c r="AX114">
        <f>MIN(K114/4000, 1)*20</f>
        <v>0</v>
      </c>
      <c r="AY114">
        <f>MIN(W114/400,1)*20</f>
        <v>5.9499999999999993</v>
      </c>
      <c r="AZ114" s="4">
        <v>1</v>
      </c>
      <c r="BA114">
        <f>((MAX($J114,1)*MIN($AE114/300,1)))*IF(D114="Wagon",50,10)</f>
        <v>0</v>
      </c>
      <c r="BB114">
        <f>VLOOKUP($E114,Constants!$I:$K, 2, FALSE)</f>
        <v>1.1499999999999999</v>
      </c>
      <c r="BC114">
        <f>VLOOKUP($E114,Constants!$I:$K, 3, FALSE)*IF(AND(D114="multiple_unit",Y114&lt;110),0.75,1)</f>
        <v>1.7</v>
      </c>
      <c r="BD114">
        <f>INT(POWER(((Constants!$G$2+$AW114+$AX114+$AY114+$BA114)*$AZ114)*$BC114, 1.05))+$AV114</f>
        <v>21</v>
      </c>
      <c r="BE114">
        <f>INT(POWER((((Constants!$G$1+$AW114+$AX114+$AY114+$BA114)*(1/$AZ114))*$BB114),IF($D114="wagon",1,1.2)))+$AU114</f>
        <v>45</v>
      </c>
      <c r="BF114" s="15">
        <f>BD114*IF($D114="wagon",62.5,781.25)</f>
        <v>16406.25</v>
      </c>
      <c r="BG114" s="15">
        <f>BE114*IF($D114="wagon",2.73,81.25)</f>
        <v>3656.25</v>
      </c>
      <c r="BP114">
        <v>8</v>
      </c>
      <c r="BT114" t="str">
        <f>VLOOKUP(G114,Eras!$A$2:$C$10, 2, TRUE)</f>
        <v>edw</v>
      </c>
      <c r="BV114" t="str">
        <f>CONCATENATE(BT114,"_",BU114)</f>
        <v>edw_</v>
      </c>
      <c r="BW114" t="str">
        <f>IF(AND(BI114&lt;&gt;Y114,BI114&lt;&gt;""),_xlfn.CONCAT("{BLACK}","Tare speed: ","{GOLD}{VELOCITY}{}"), "")</f>
        <v/>
      </c>
      <c r="BX114" t="str">
        <f>_xlfn.CONCAT(E114, "_",F114)</f>
        <v>steam_RAIL</v>
      </c>
      <c r="BY114" t="str">
        <f>VLOOKUP($BX114, Constants!$M:$N, 2, FALSE)</f>
        <v>{BLACK}Powered by: {GOLD}Steam</v>
      </c>
      <c r="BZ114" t="str">
        <f>IF(J114&gt;1,_xlfn.CONCAT("{BLACK}Cars: {GOLD}", J114),"")</f>
        <v/>
      </c>
      <c r="CB114" t="str">
        <f>IF(BS114="BRAKE","{YELLOW}Speed bonus for slow wagons{}",IF(BQ114&gt;190,CONCATENATE("{YELLOW}",INT((BQ114-185)/1.85),"% Bonus for long distance travel{}"),IF(AND(BQ114&lt;180,BQ114&lt;&gt;0),CONCATENATE("{YELLOW}",INT((185-BQ114)/1.85),"% Penalty for long distance travel{}"),"")))</f>
        <v/>
      </c>
      <c r="CC114" t="str">
        <f>_xlfn.CONCAT(BW114,BY114,IF(BY114 &lt;&gt; "", " ", ""),BZ114,IF(OR(BZ114&lt;&gt;"", BY114&lt;&gt;""), "{}",""), CB114,"{SILVER}", CA114)</f>
        <v>{BLACK}Powered by: {GOLD}Steam {}{SILVER}</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((($Y115/2)/60)*5280)/($R115*3.2*PI())</f>
        <v>164.12853506351706</v>
      </c>
      <c r="R115" s="6">
        <v>2</v>
      </c>
      <c r="S115" s="6">
        <f>((($M115*$M115/4)*PI())*($N115/12)*$O115*$P115*$Q115)/(33000*1.1)</f>
        <v>1200.7457386363637</v>
      </c>
      <c r="T115">
        <v>66</v>
      </c>
      <c r="U115" s="9">
        <v>53</v>
      </c>
      <c r="W115">
        <v>96</v>
      </c>
      <c r="X115" s="4">
        <f>IF(AND(T115&gt;0,W115&gt;0),(W115/((T115+U115)*10)),"")</f>
        <v>8.067226890756303E-2</v>
      </c>
      <c r="Y115">
        <v>75</v>
      </c>
      <c r="AA115">
        <v>17.899999999999999</v>
      </c>
      <c r="AB115">
        <f>AA115-7.5</f>
        <v>10.399999999999999</v>
      </c>
      <c r="AE115" s="11">
        <v>0</v>
      </c>
      <c r="AF115" t="str">
        <f>CONCATENATE(VLOOKUP(AG115, 'Voxel Sizes'!$A$2:$B$18,2,FALSE),"x",INT(AC115*15), "x", INT(AD115*15))</f>
        <v>102x0x0</v>
      </c>
      <c r="AG115">
        <f>ROUND(15*((AB115*10)/256),0)</f>
        <v>6</v>
      </c>
      <c r="AH115" t="s">
        <v>430</v>
      </c>
      <c r="AI115" t="str">
        <f>CONCATENATE(VLOOKUP(AG115,Constants!$A$2:$C$16,IF(AH115&lt;&gt;"", 3, 2), FALSE),IF(AH115&lt;&gt;"",CONCATENATE(",",VLOOKUP(AH115,$B:$AI,34,FALSE)),""))</f>
        <v>2,2,2,2,1,2</v>
      </c>
      <c r="AQ115">
        <v>1</v>
      </c>
      <c r="AS115">
        <v>30</v>
      </c>
      <c r="AT115">
        <f>IF(I115&lt;&gt;"",MAX(8,(I115-G115)-4),"")</f>
        <v>30</v>
      </c>
      <c r="AW115">
        <f>MIN(Y115/150, 1)*30</f>
        <v>15</v>
      </c>
      <c r="AX115">
        <f>MIN(K115/4000, 1)*20</f>
        <v>6</v>
      </c>
      <c r="AY115">
        <f>MIN(W115/400,1)*20</f>
        <v>4.8</v>
      </c>
      <c r="AZ115" s="4">
        <v>1</v>
      </c>
      <c r="BA115">
        <f>((MAX($J115,1)*MIN($AE115/300,1)))*IF(D115="Wagon",50,10)</f>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BD115*IF($D115="wagon",62.5,781.25)</f>
        <v>49218.75</v>
      </c>
      <c r="BG115" s="15">
        <f>BE115*IF($D115="wagon",2.73,81.25)</f>
        <v>8206.25</v>
      </c>
      <c r="BP115">
        <v>2</v>
      </c>
      <c r="BT115" t="str">
        <f>VLOOKUP(G115,Eras!$A$2:$C$10, 2, TRUE)</f>
        <v>big4</v>
      </c>
      <c r="BU115" t="s">
        <v>417</v>
      </c>
      <c r="BV115" t="str">
        <f>CONCATENATE(BT115,"_",BU115)</f>
        <v>big4_Passenger</v>
      </c>
      <c r="BW115" t="str">
        <f>IF(AND(BI115&lt;&gt;Y115,BI115&lt;&gt;""),_xlfn.CONCAT("{BLACK}","Tare speed: ","{GOLD}{VELOCITY}{}"), "")</f>
        <v/>
      </c>
      <c r="BX115" t="str">
        <f>_xlfn.CONCAT(E115, "_",F115)</f>
        <v>steam_RAIL</v>
      </c>
      <c r="BY115" t="str">
        <f>VLOOKUP($BX115, Constants!$M:$N, 2, FALSE)</f>
        <v>{BLACK}Powered by: {GOLD}Steam</v>
      </c>
      <c r="BZ115" t="str">
        <f>IF(J115&gt;1,_xlfn.CONCAT("{BLACK}Cars: {GOLD}", J115),"")</f>
        <v/>
      </c>
      <c r="CA115" t="s">
        <v>463</v>
      </c>
      <c r="CB115" t="str">
        <f>IF(BS115="BRAKE","{YELLOW}Speed bonus for slow wagons{}",IF(BQ115&gt;190,CONCATENATE("{YELLOW}",INT((BQ115-185)/1.85),"% Bonus for long distance travel{}"),IF(AND(BQ115&lt;180,BQ115&lt;&gt;0),CONCATENATE("{YELLOW}",INT((185-BQ115)/1.85),"% Penalty for long distance travel{}"),"")))</f>
        <v/>
      </c>
      <c r="CC115" t="str">
        <f>_xlfn.CONCAT(BW115,BY115,IF(BY115 &lt;&gt; "", " ", ""),BZ115,IF(OR(BZ115&lt;&gt;"", BY115&lt;&gt;""), "{}",""), CB115,"{SILVER}", CA115)</f>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((($Y116/2)/60)*5280)/($R116*3.2*PI())</f>
        <v>232.10095867568069</v>
      </c>
      <c r="R116" s="6">
        <v>1.98</v>
      </c>
      <c r="S116" s="6">
        <f>((($M116*$M116/4)*PI())*($N116/12)*$O116*$P116*$Q116)/(33000*1.1)</f>
        <v>3094.166690580043</v>
      </c>
      <c r="T116">
        <v>90.4</v>
      </c>
      <c r="W116">
        <v>179</v>
      </c>
      <c r="X116" s="4">
        <f>IF(AND(T116&gt;0,W116&gt;0),(W116/((T116+U116)*10)),"")</f>
        <v>0.19800884955752213</v>
      </c>
      <c r="Y116">
        <v>105</v>
      </c>
      <c r="AA116">
        <v>20.78</v>
      </c>
      <c r="AB116">
        <f>AA116-7.5</f>
        <v>13.280000000000001</v>
      </c>
      <c r="AD116">
        <v>4.08</v>
      </c>
      <c r="AE116" s="11">
        <v>0</v>
      </c>
      <c r="AF116" t="str">
        <f>CONCATENATE(VLOOKUP(AG116, 'Voxel Sizes'!$A$2:$B$18,2,FALSE),"x",INT(AC116*15), "x", INT(AD116*15))</f>
        <v>136x0x61</v>
      </c>
      <c r="AG116">
        <f>ROUND(15*((AB116*10)/256),0)</f>
        <v>8</v>
      </c>
      <c r="AH116" t="s">
        <v>461</v>
      </c>
      <c r="AI116" t="str">
        <f>CONCATENATE(VLOOKUP(AG116,Constants!$A$2:$C$16,IF(AH116&lt;&gt;"", 3, 2), FALSE),IF(AH116&lt;&gt;"",CONCATENATE(",",VLOOKUP(AH116,$B:$AI,34,FALSE)),""))</f>
        <v>2,4,2,2,1,2</v>
      </c>
      <c r="AQ116">
        <v>1</v>
      </c>
      <c r="AS116">
        <v>30</v>
      </c>
      <c r="AT116">
        <f>IF(I116&lt;&gt;"",MAX(8,(I116-G116)-4),"")</f>
        <v>31</v>
      </c>
      <c r="AW116">
        <f>MIN(Y116/150, 1)*30</f>
        <v>21</v>
      </c>
      <c r="AX116">
        <f>MIN(K116/4000, 1)*20</f>
        <v>11.5</v>
      </c>
      <c r="AY116">
        <f>MIN(W116/400,1)*20</f>
        <v>8.9499999999999993</v>
      </c>
      <c r="AZ116" s="4">
        <v>1</v>
      </c>
      <c r="BA116">
        <f>((MAX($J116,1)*MIN($AE116/300,1)))*IF(D116="Wagon",50,10)</f>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BD116*IF($D116="wagon",62.5,781.25)</f>
        <v>76562.5</v>
      </c>
      <c r="BG116" s="15">
        <f>BE116*IF($D116="wagon",2.73,81.25)</f>
        <v>12106.25</v>
      </c>
      <c r="BP116">
        <v>3</v>
      </c>
      <c r="BT116" t="str">
        <f>VLOOKUP(G116,Eras!$A$2:$C$10, 2, TRUE)</f>
        <v>big4</v>
      </c>
      <c r="BU116" t="s">
        <v>368</v>
      </c>
      <c r="BV116" t="str">
        <f>CONCATENATE(BT116,"_",BU116)</f>
        <v>big4_Express</v>
      </c>
      <c r="BW116" t="str">
        <f>IF(AND(BI116&lt;&gt;Y116,BI116&lt;&gt;""),_xlfn.CONCAT("{BLACK}","Tare speed: ","{GOLD}{VELOCITY}{}"), "")</f>
        <v/>
      </c>
      <c r="BX116" t="str">
        <f>_xlfn.CONCAT(E116, "_",F116)</f>
        <v>steam_RAIL</v>
      </c>
      <c r="BY116" t="str">
        <f>VLOOKUP($BX116, Constants!$M:$N, 2, FALSE)</f>
        <v>{BLACK}Powered by: {GOLD}Steam</v>
      </c>
      <c r="BZ116" t="str">
        <f>IF(J116&gt;1,_xlfn.CONCAT("{BLACK}Cars: {GOLD}", J116),"")</f>
        <v/>
      </c>
      <c r="CA116" t="s">
        <v>467</v>
      </c>
      <c r="CB116" t="str">
        <f>IF(BS116="BRAKE","{YELLOW}Speed bonus for slow wagons{}",IF(BQ116&gt;190,CONCATENATE("{YELLOW}",INT((BQ116-185)/1.85),"% Bonus for long distance travel{}"),IF(AND(BQ116&lt;180,BQ116&lt;&gt;0),CONCATENATE("{YELLOW}",INT((185-BQ116)/1.85),"% Penalty for long distance travel{}"),"")))</f>
        <v/>
      </c>
      <c r="CC116" t="str">
        <f>_xlfn.CONCAT(BW116,BY116,IF(BY116 &lt;&gt; "", " ", ""),BZ116,IF(OR(BZ116&lt;&gt;"", BY116&lt;&gt;""), "{}",""), CB116,"{SILVER}", CA116)</f>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((($Y117/2)/60)*5280)/($R117*3.2*PI())</f>
        <v>205.96522047186451</v>
      </c>
      <c r="R117" s="6">
        <v>1.7</v>
      </c>
      <c r="S117" s="6">
        <f>((($M117*$M117/4)*PI())*($N117/12)*$O117*$P117*$Q117)/(33000*1.1)</f>
        <v>1394.2364824717758</v>
      </c>
      <c r="T117">
        <v>87.6</v>
      </c>
      <c r="W117">
        <v>102</v>
      </c>
      <c r="X117" s="4">
        <f>IF(AND(T117&gt;0,W117&gt;0),(W117/((T117+U117)*10)),"")</f>
        <v>0.11643835616438356</v>
      </c>
      <c r="Y117">
        <v>80</v>
      </c>
      <c r="AA117">
        <v>14.4</v>
      </c>
      <c r="AB117">
        <v>14.4</v>
      </c>
      <c r="AE117" s="11">
        <v>0</v>
      </c>
      <c r="AF117" t="str">
        <f>CONCATENATE(VLOOKUP(AG117, 'Voxel Sizes'!$A$2:$B$18,2,FALSE),"x",INT(AC117*15), "x", INT(AD117*15))</f>
        <v>136x0x0</v>
      </c>
      <c r="AG117">
        <f>ROUND(15*((AB117*10)/256),0)</f>
        <v>8</v>
      </c>
      <c r="AI117" t="str">
        <f>CONCATENATE(VLOOKUP(AG117,Constants!$A$2:$C$16,IF(AH117&lt;&gt;"", 3, 2), FALSE),IF(AH117&lt;&gt;"",CONCATENATE(",",VLOOKUP(AH117,$B:$AI,34,FALSE)),""))</f>
        <v>2,4,2</v>
      </c>
      <c r="AQ117">
        <v>1</v>
      </c>
      <c r="AS117">
        <v>30</v>
      </c>
      <c r="AT117">
        <f>IF(I117&lt;&gt;"",MAX(8,(I117-G117)-4),"")</f>
        <v>35</v>
      </c>
      <c r="AW117">
        <f>MIN(Y117/150, 1)*30</f>
        <v>16</v>
      </c>
      <c r="AX117">
        <f>MIN(K117/4000, 1)*20</f>
        <v>4.75</v>
      </c>
      <c r="AY117">
        <f>MIN(W117/400,1)*20</f>
        <v>5.0999999999999996</v>
      </c>
      <c r="AZ117" s="4">
        <v>1</v>
      </c>
      <c r="BA117">
        <f>((MAX($J117,1)*MIN($AE117/300,1)))*IF(D117="Wagon",50,10)</f>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BD117*IF($D117="wagon",62.5,781.25)</f>
        <v>49218.75</v>
      </c>
      <c r="BG117" s="15">
        <f>BE117*IF($D117="wagon",2.73,81.25)</f>
        <v>8206.25</v>
      </c>
      <c r="BP117">
        <v>4</v>
      </c>
      <c r="BT117" t="str">
        <f>VLOOKUP(G117,Eras!$A$2:$C$10, 2, TRUE)</f>
        <v>big4</v>
      </c>
      <c r="BU117" t="s">
        <v>367</v>
      </c>
      <c r="BV117" t="str">
        <f>CONCATENATE(BT117,"_",BU117)</f>
        <v>big4_Mixed Traffic</v>
      </c>
      <c r="BW117" t="str">
        <f>IF(AND(BI117&lt;&gt;Y117,BI117&lt;&gt;""),_xlfn.CONCAT("{BLACK}","Tare speed: ","{GOLD}{VELOCITY}{}"), "")</f>
        <v/>
      </c>
      <c r="BX117" t="str">
        <f>_xlfn.CONCAT(E117, "_",F117)</f>
        <v>steam_RAIL</v>
      </c>
      <c r="BY117" t="str">
        <f>VLOOKUP($BX117, Constants!$M:$N, 2, FALSE)</f>
        <v>{BLACK}Powered by: {GOLD}Steam</v>
      </c>
      <c r="BZ117" t="str">
        <f>IF(J117&gt;1,_xlfn.CONCAT("{BLACK}Cars: {GOLD}", J117),"")</f>
        <v/>
      </c>
      <c r="CA117" t="s">
        <v>468</v>
      </c>
      <c r="CB117" t="str">
        <f>IF(BS117="BRAKE","{YELLOW}Speed bonus for slow wagons{}",IF(BQ117&gt;190,CONCATENATE("{YELLOW}",INT((BQ117-185)/1.85),"% Bonus for long distance travel{}"),IF(AND(BQ117&lt;180,BQ117&lt;&gt;0),CONCATENATE("{YELLOW}",INT((185-BQ117)/1.85),"% Penalty for long distance travel{}"),"")))</f>
        <v/>
      </c>
      <c r="CC117" t="str">
        <f>_xlfn.CONCAT(BW117,BY117,IF(BY117 &lt;&gt; "", " ", ""),BZ117,IF(OR(BZ117&lt;&gt;"", BY117&lt;&gt;""), "{}",""), CB117,"{SILVER}", CA117)</f>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((($Y118/2)/60)*5280)/($R118*3.2*PI())</f>
        <v>194.52270822342763</v>
      </c>
      <c r="R118" s="6">
        <v>1.8</v>
      </c>
      <c r="S118" s="6">
        <f>((($M118*$M118/4)*PI())*($N118/12)*$O118*$P118*$Q118)/(33000*1.1)</f>
        <v>1620.501893939394</v>
      </c>
      <c r="T118">
        <v>76.2</v>
      </c>
      <c r="U118" s="9">
        <v>47</v>
      </c>
      <c r="W118">
        <v>121</v>
      </c>
      <c r="X118" s="4">
        <f>IF(AND(T118&gt;0,W118&gt;0),(W118/((T118+U118)*10)),"")</f>
        <v>9.8214285714285712E-2</v>
      </c>
      <c r="Y118">
        <v>80</v>
      </c>
      <c r="AA118">
        <v>19.2</v>
      </c>
      <c r="AB118">
        <f>AA118-7.5</f>
        <v>11.7</v>
      </c>
      <c r="AD118">
        <v>4.04</v>
      </c>
      <c r="AE118" s="11">
        <v>0</v>
      </c>
      <c r="AF118" t="str">
        <f>CONCATENATE(VLOOKUP(AG118, 'Voxel Sizes'!$A$2:$B$18,2,FALSE),"x",INT(AC118*15), "x", INT(AD118*15))</f>
        <v>120x0x60</v>
      </c>
      <c r="AG118">
        <f>ROUND(15*((AB118*10)/256),0)</f>
        <v>7</v>
      </c>
      <c r="AH118" t="s">
        <v>461</v>
      </c>
      <c r="AI118" t="str">
        <f>CONCATENATE(VLOOKUP(AG118,Constants!$A$2:$C$16,IF(AH118&lt;&gt;"", 3, 2), FALSE),IF(AH118&lt;&gt;"",CONCATENATE(",",VLOOKUP(AH118,$B:$AI,34,FALSE)),""))</f>
        <v>2,3,2,2,1,2</v>
      </c>
      <c r="AQ118">
        <v>1</v>
      </c>
      <c r="AS118">
        <v>30</v>
      </c>
      <c r="AT118">
        <f>IF(I118&lt;&gt;"",MAX(8,(I118-G118)-4),"")</f>
        <v>33</v>
      </c>
      <c r="AW118">
        <f>MIN(Y118/150, 1)*30</f>
        <v>16</v>
      </c>
      <c r="AX118">
        <f>MIN(K118/4000, 1)*20</f>
        <v>8</v>
      </c>
      <c r="AY118">
        <f>MIN(W118/400,1)*20</f>
        <v>6.05</v>
      </c>
      <c r="AZ118" s="4">
        <v>1</v>
      </c>
      <c r="BA118">
        <f>((MAX($J118,1)*MIN($AE118/300,1)))*IF(D118="Wagon",50,10)</f>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BD118*IF($D118="wagon",62.5,781.25)</f>
        <v>57031.25</v>
      </c>
      <c r="BG118" s="15">
        <f>BE118*IF($D118="wagon",2.73,81.25)</f>
        <v>9262.5</v>
      </c>
      <c r="BP118">
        <v>5</v>
      </c>
      <c r="BT118" t="str">
        <f>VLOOKUP(G118,Eras!$A$2:$C$10, 2, TRUE)</f>
        <v>big4</v>
      </c>
      <c r="BU118" t="s">
        <v>367</v>
      </c>
      <c r="BV118" t="str">
        <f>CONCATENATE(BT118,"_",BU118)</f>
        <v>big4_Mixed Traffic</v>
      </c>
      <c r="BW118" t="str">
        <f>IF(AND(BI118&lt;&gt;Y118,BI118&lt;&gt;""),_xlfn.CONCAT("{BLACK}","Tare speed: ","{GOLD}{VELOCITY}{}"), "")</f>
        <v/>
      </c>
      <c r="BX118" t="str">
        <f>_xlfn.CONCAT(E118, "_",F118)</f>
        <v>steam_RAIL</v>
      </c>
      <c r="BY118" t="str">
        <f>VLOOKUP($BX118, Constants!$M:$N, 2, FALSE)</f>
        <v>{BLACK}Powered by: {GOLD}Steam</v>
      </c>
      <c r="BZ118" t="str">
        <f>IF(J118&gt;1,_xlfn.CONCAT("{BLACK}Cars: {GOLD}", J118),"")</f>
        <v/>
      </c>
      <c r="CA118" t="s">
        <v>471</v>
      </c>
      <c r="CB118" t="str">
        <f>IF(BS118="BRAKE","{YELLOW}Speed bonus for slow wagons{}",IF(BQ118&gt;190,CONCATENATE("{YELLOW}",INT((BQ118-185)/1.85),"% Bonus for long distance travel{}"),IF(AND(BQ118&lt;180,BQ118&lt;&gt;0),CONCATENATE("{YELLOW}",INT((185-BQ118)/1.85),"% Penalty for long distance travel{}"),"")))</f>
        <v/>
      </c>
      <c r="CC118" t="str">
        <f>_xlfn.CONCAT(BW118,BY118,IF(BY118 &lt;&gt; "", " ", ""),BZ118,IF(OR(BZ118&lt;&gt;"", BY118&lt;&gt;""), "{}",""), CB118,"{SILVER}", CA118)</f>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((($Y119/2)/60)*5280)/($R119*3.2*PI())</f>
        <v>236.34509049146459</v>
      </c>
      <c r="R119" s="6">
        <v>2</v>
      </c>
      <c r="S119" s="6">
        <f>((($M119*$M119/4)*PI())*($N119/12)*$O119*$P119*$Q119)/(33000*1.1)</f>
        <v>2639.8124999999995</v>
      </c>
      <c r="T119">
        <v>92.8</v>
      </c>
      <c r="U119" s="9">
        <v>54</v>
      </c>
      <c r="W119">
        <v>146</v>
      </c>
      <c r="X119" s="4">
        <f>IF(AND(T119&gt;0,W119&gt;0),(W119/((T119+U119)*10)),"")</f>
        <v>9.9455040871934602E-2</v>
      </c>
      <c r="Y119">
        <v>108</v>
      </c>
      <c r="Z119">
        <v>1</v>
      </c>
      <c r="AA119">
        <v>21.46</v>
      </c>
      <c r="AB119">
        <f>AA119-7.5</f>
        <v>13.96</v>
      </c>
      <c r="AE119" s="11">
        <v>0</v>
      </c>
      <c r="AF119" t="str">
        <f>CONCATENATE(VLOOKUP(AG119, 'Voxel Sizes'!$A$2:$B$18,2,FALSE),"x",INT(AC119*15), "x", INT(AD119*15))</f>
        <v>136x0x0</v>
      </c>
      <c r="AG119">
        <f>ROUND(15*((AB119*10)/256),0)</f>
        <v>8</v>
      </c>
      <c r="AH119" t="s">
        <v>476</v>
      </c>
      <c r="AI119" t="str">
        <f>CONCATENATE(VLOOKUP(AG119,Constants!$A$2:$C$16,IF(AH119&lt;&gt;"", 3, 2), FALSE),IF(AH119&lt;&gt;"",CONCATENATE(",",VLOOKUP(AH119,$B:$AI,34,FALSE)),""))</f>
        <v>2,4,2,2,1,2</v>
      </c>
      <c r="AQ119">
        <v>1</v>
      </c>
      <c r="AS119">
        <v>32</v>
      </c>
      <c r="AT119">
        <f>IF(I119&lt;&gt;"",MAX(8,(I119-G119)-4),"")</f>
        <v>34</v>
      </c>
      <c r="AW119">
        <f>MIN(Y119/150, 1)*30</f>
        <v>21.599999999999998</v>
      </c>
      <c r="AX119">
        <f>MIN(K119/4000, 1)*20</f>
        <v>10.5</v>
      </c>
      <c r="AY119">
        <f>MIN(W119/400,1)*20</f>
        <v>7.3</v>
      </c>
      <c r="AZ119" s="4">
        <v>1</v>
      </c>
      <c r="BA119">
        <f>((MAX($J119,1)*MIN($AE119/300,1)))*IF(D119="Wagon",50,10)</f>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BD119*IF($D119="wagon",62.5,781.25)</f>
        <v>72656.25</v>
      </c>
      <c r="BG119" s="15">
        <f>BE119*IF($D119="wagon",2.73,81.25)</f>
        <v>11618.75</v>
      </c>
      <c r="BP119">
        <v>6</v>
      </c>
      <c r="BT119" t="str">
        <f>VLOOKUP(G119,Eras!$A$2:$C$10, 2, TRUE)</f>
        <v>big4</v>
      </c>
      <c r="BU119" t="s">
        <v>368</v>
      </c>
      <c r="BV119" t="str">
        <f>CONCATENATE(BT119,"_",BU119)</f>
        <v>big4_Express</v>
      </c>
      <c r="BW119" t="str">
        <f>IF(AND(BI119&lt;&gt;Y119,BI119&lt;&gt;""),_xlfn.CONCAT("{BLACK}","Tare speed: ","{GOLD}{VELOCITY}{}"), "")</f>
        <v/>
      </c>
      <c r="BX119" t="str">
        <f>_xlfn.CONCAT(E119, "_",F119)</f>
        <v>steam_RAIL</v>
      </c>
      <c r="BY119" t="str">
        <f>VLOOKUP($BX119, Constants!$M:$N, 2, FALSE)</f>
        <v>{BLACK}Powered by: {GOLD}Steam</v>
      </c>
      <c r="BZ119" t="str">
        <f>IF(J119&gt;1,_xlfn.CONCAT("{BLACK}Cars: {GOLD}", J119),"")</f>
        <v/>
      </c>
      <c r="CA119" t="s">
        <v>473</v>
      </c>
      <c r="CB119" t="str">
        <f>IF(BS119="BRAKE","{YELLOW}Speed bonus for slow wagons{}",IF(BQ119&gt;190,CONCATENATE("{YELLOW}",INT((BQ119-185)/1.85),"% Bonus for long distance travel{}"),IF(AND(BQ119&lt;180,BQ119&lt;&gt;0),CONCATENATE("{YELLOW}",INT((185-BQ119)/1.85),"% Penalty for long distance travel{}"),"")))</f>
        <v/>
      </c>
      <c r="CC119" t="str">
        <f>_xlfn.CONCAT(BW119,BY119,IF(BY119 &lt;&gt; "", " ", ""),BZ119,IF(OR(BZ119&lt;&gt;"", BY119&lt;&gt;""), "{}",""), CB119,"{SILVER}", CA119)</f>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((($Y120/2)/60)*5280)/($R120*3.2*PI())</f>
        <v>187.57546864401954</v>
      </c>
      <c r="R120" s="6">
        <v>1.4</v>
      </c>
      <c r="S120" s="6">
        <f>((($M120*$M120/4)*PI())*($N120/12)*$O120*$P120*$Q120)/(33000*1.1)</f>
        <v>994.31818181818198</v>
      </c>
      <c r="T120">
        <v>48.3</v>
      </c>
      <c r="W120">
        <v>100</v>
      </c>
      <c r="X120" s="4">
        <f>IF(AND(T120&gt;0,W120&gt;0),(W120/((T120+U120)*10)),"")</f>
        <v>0.20703933747412009</v>
      </c>
      <c r="Y120">
        <v>60</v>
      </c>
      <c r="Z120">
        <v>1</v>
      </c>
      <c r="AA120">
        <v>9.5</v>
      </c>
      <c r="AB120">
        <v>9.5</v>
      </c>
      <c r="AD120">
        <v>3.7349999999999999</v>
      </c>
      <c r="AE120" s="11">
        <v>0</v>
      </c>
      <c r="AF120" t="str">
        <f>CONCATENATE(VLOOKUP(AG120, 'Voxel Sizes'!$A$2:$B$18,2,FALSE),"x",INT(AC120*15), "x", INT(AD120*15))</f>
        <v>102x0x56</v>
      </c>
      <c r="AG120">
        <f>ROUND(15*((AB120*10)/256),0)</f>
        <v>6</v>
      </c>
      <c r="AI120" t="str">
        <f>CONCATENATE(VLOOKUP(AG120,Constants!$A$2:$C$16,IF(AH120&lt;&gt;"", 3, 2), FALSE),IF(AH120&lt;&gt;"",CONCATENATE(",",VLOOKUP(AH120,$B:$AI,34,FALSE)),""))</f>
        <v>2,2,2</v>
      </c>
      <c r="AQ120">
        <v>1</v>
      </c>
      <c r="AS120">
        <v>37</v>
      </c>
      <c r="AT120">
        <f>IF(I120&lt;&gt;"",MAX(8,(I120-G120)-4),"")</f>
        <v>38</v>
      </c>
      <c r="AW120">
        <f>MIN(Y120/150, 1)*30</f>
        <v>12</v>
      </c>
      <c r="AX120">
        <f>MIN(K120/4000, 1)*20</f>
        <v>3.75</v>
      </c>
      <c r="AY120">
        <f>MIN(W120/400,1)*20</f>
        <v>5</v>
      </c>
      <c r="AZ120" s="4">
        <v>1</v>
      </c>
      <c r="BA120">
        <f>((MAX($J120,1)*MIN($AE120/300,1)))*IF(D120="Wagon",50,10)</f>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BD120*IF($D120="wagon",62.5,781.25)</f>
        <v>40625</v>
      </c>
      <c r="BG120" s="15">
        <f>BE120*IF($D120="wagon",2.73,81.25)</f>
        <v>6987.5</v>
      </c>
      <c r="BP120">
        <v>7</v>
      </c>
      <c r="BT120" t="str">
        <f>VLOOKUP(G120,Eras!$A$2:$C$10, 2, TRUE)</f>
        <v>big4</v>
      </c>
      <c r="BU120" t="s">
        <v>366</v>
      </c>
      <c r="BV120" t="str">
        <f>CONCATENATE(BT120,"_",BU120)</f>
        <v>big4_Cheap</v>
      </c>
      <c r="BW120" t="str">
        <f>IF(AND(BI120&lt;&gt;Y120,BI120&lt;&gt;""),_xlfn.CONCAT("{BLACK}","Tare speed: ","{GOLD}{VELOCITY}{}"), "")</f>
        <v/>
      </c>
      <c r="BX120" t="str">
        <f>_xlfn.CONCAT(E120, "_",F120)</f>
        <v>steam_RAIL</v>
      </c>
      <c r="BY120" t="str">
        <f>VLOOKUP($BX120, Constants!$M:$N, 2, FALSE)</f>
        <v>{BLACK}Powered by: {GOLD}Steam</v>
      </c>
      <c r="BZ120" t="str">
        <f>IF(J120&gt;1,_xlfn.CONCAT("{BLACK}Cars: {GOLD}", J120),"")</f>
        <v/>
      </c>
      <c r="CA120" t="s">
        <v>477</v>
      </c>
      <c r="CB120" t="str">
        <f>IF(BS120="BRAKE","{YELLOW}Speed bonus for slow wagons{}",IF(BQ120&gt;190,CONCATENATE("{YELLOW}",INT((BQ120-185)/1.85),"% Bonus for long distance travel{}"),IF(AND(BQ120&lt;180,BQ120&lt;&gt;0),CONCATENATE("{YELLOW}",INT((185-BQ120)/1.85),"% Penalty for long distance travel{}"),"")))</f>
        <v/>
      </c>
      <c r="CC120" t="str">
        <f>_xlfn.CONCAT(BW120,BY120,IF(BY120 &lt;&gt; "", " ", ""),BZ120,IF(OR(BZ120&lt;&gt;"", BY120&lt;&gt;""), "{}",""), CB120,"{SILVER}", CA120)</f>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((($Y121/2)/60)*5280)/($R121*3.2*PI())</f>
        <v>207.89614441378828</v>
      </c>
      <c r="R121" s="6">
        <v>2</v>
      </c>
      <c r="S121" s="6">
        <f>((($M121*$M121/4)*PI())*($N121/12)*$O121*$P121*$Q121)/(33000*1.1)</f>
        <v>1751.19140625</v>
      </c>
      <c r="T121">
        <v>68.2</v>
      </c>
      <c r="U121" s="9">
        <v>43.1</v>
      </c>
      <c r="W121">
        <v>111</v>
      </c>
      <c r="X121" s="4">
        <f>IF(AND(T121&gt;0,W121&gt;0),(W121/((T121+U121)*10)),"")</f>
        <v>9.9730458221024262E-2</v>
      </c>
      <c r="Y121">
        <v>95</v>
      </c>
      <c r="AA121">
        <v>17.93</v>
      </c>
      <c r="AB121">
        <f>AA121-7.5</f>
        <v>10.43</v>
      </c>
      <c r="AD121">
        <v>3.96</v>
      </c>
      <c r="AE121" s="11">
        <v>0</v>
      </c>
      <c r="AF121" t="str">
        <f>CONCATENATE(VLOOKUP(AG121, 'Voxel Sizes'!$A$2:$B$18,2,FALSE),"x",INT(AC121*15), "x", INT(AD121*15))</f>
        <v>102x0x59</v>
      </c>
      <c r="AG121">
        <f>ROUND(15*((AB121*10)/256),0)</f>
        <v>6</v>
      </c>
      <c r="AH121" t="s">
        <v>481</v>
      </c>
      <c r="AI121" t="str">
        <f>CONCATENATE(VLOOKUP(AG121,Constants!$A$2:$C$16,IF(AH121&lt;&gt;"", 3, 2), FALSE),IF(AH121&lt;&gt;"",CONCATENATE(",",VLOOKUP(AH121,$B:$AI,34,FALSE)),""))</f>
        <v>2,2,2,2,1,2</v>
      </c>
      <c r="AQ121">
        <v>1</v>
      </c>
      <c r="AS121">
        <v>29</v>
      </c>
      <c r="AT121">
        <f>IF(I121&lt;&gt;"",MAX(8,(I121-G121)-4),"")</f>
        <v>27</v>
      </c>
      <c r="AW121">
        <f>MIN(Y121/150, 1)*30</f>
        <v>19</v>
      </c>
      <c r="AX121">
        <f>MIN(K121/4000, 1)*20</f>
        <v>8.75</v>
      </c>
      <c r="AY121">
        <f>MIN(W121/400,1)*20</f>
        <v>5.5500000000000007</v>
      </c>
      <c r="AZ121" s="4">
        <v>1</v>
      </c>
      <c r="BA121">
        <f>((MAX($J121,1)*MIN($AE121/300,1)))*IF(D121="Wagon",50,10)</f>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BD121*IF($D121="wagon",62.5,781.25)</f>
        <v>62500</v>
      </c>
      <c r="BG121" s="15">
        <f>BE121*IF($D121="wagon",2.73,81.25)</f>
        <v>10075</v>
      </c>
      <c r="BP121">
        <v>8</v>
      </c>
      <c r="BT121" t="str">
        <f>VLOOKUP(G121,Eras!$A$2:$C$10, 2, TRUE)</f>
        <v>big4</v>
      </c>
      <c r="BU121" t="s">
        <v>368</v>
      </c>
      <c r="BV121" t="str">
        <f>CONCATENATE(BT121,"_",BU121)</f>
        <v>big4_Express</v>
      </c>
      <c r="BW121" t="str">
        <f>IF(AND(BI121&lt;&gt;Y121,BI121&lt;&gt;""),_xlfn.CONCAT("{BLACK}","Tare speed: ","{GOLD}{VELOCITY}{}"), "")</f>
        <v/>
      </c>
      <c r="BX121" t="str">
        <f>_xlfn.CONCAT(E121, "_",F121)</f>
        <v>steam_RAIL</v>
      </c>
      <c r="BY121" t="str">
        <f>VLOOKUP($BX121, Constants!$M:$N, 2, FALSE)</f>
        <v>{BLACK}Powered by: {GOLD}Steam</v>
      </c>
      <c r="BZ121" t="str">
        <f>IF(J121&gt;1,_xlfn.CONCAT("{BLACK}Cars: {GOLD}", J121),"")</f>
        <v/>
      </c>
      <c r="CA121" t="s">
        <v>479</v>
      </c>
      <c r="CB121" t="str">
        <f>IF(BS121="BRAKE","{YELLOW}Speed bonus for slow wagons{}",IF(BQ121&gt;190,CONCATENATE("{YELLOW}",INT((BQ121-185)/1.85),"% Bonus for long distance travel{}"),IF(AND(BQ121&lt;180,BQ121&lt;&gt;0),CONCATENATE("{YELLOW}",INT((185-BQ121)/1.85),"% Penalty for long distance travel{}"),"")))</f>
        <v/>
      </c>
      <c r="CC121" t="str">
        <f>_xlfn.CONCAT(BW121,BY121,IF(BY121 &lt;&gt; "", " ", ""),BZ121,IF(OR(BZ121&lt;&gt;"", BY121&lt;&gt;""), "{}",""), CB121,"{SILVER}", CA121)</f>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V122">
        <v>8</v>
      </c>
      <c r="W122">
        <v>55</v>
      </c>
      <c r="X122" s="4">
        <f>IF(AND(T122&gt;0,W122&gt;0),(W122/((T122+U122)*10)),"")</f>
        <v>0.15714285714285714</v>
      </c>
      <c r="Y122">
        <v>63</v>
      </c>
      <c r="AA122">
        <v>18.399999999999999</v>
      </c>
      <c r="AB122">
        <v>17</v>
      </c>
      <c r="AE122" s="11">
        <v>69</v>
      </c>
      <c r="AF122" t="str">
        <f>CONCATENATE(VLOOKUP(AG122, 'Voxel Sizes'!$A$2:$B$18,2,FALSE),"x",INT(AC122*15), "x", INT(AD122*15))</f>
        <v>164x0x0</v>
      </c>
      <c r="AG122">
        <f>ROUND(15*((AB122*10)/256),0)</f>
        <v>10</v>
      </c>
      <c r="AI122" t="str">
        <f>CONCATENATE(VLOOKUP(AG122,Constants!$A$2:$C$16,IF(AH122&lt;&gt;"", 3, 2), FALSE),IF(AH122&lt;&gt;"",CONCATENATE(",",VLOOKUP(AH122,$B:$AI,34,FALSE)),""))</f>
        <v>4,2,4</v>
      </c>
      <c r="AM122" t="s">
        <v>211</v>
      </c>
      <c r="AO122">
        <v>1</v>
      </c>
      <c r="AS122">
        <v>16</v>
      </c>
      <c r="AT122">
        <f>IF(I122&lt;&gt;"",MAX(8,(I122-G122)-4),"")</f>
        <v>25</v>
      </c>
      <c r="AW122">
        <f>MIN(Y122/150, 1)*30</f>
        <v>12.6</v>
      </c>
      <c r="AX122">
        <f>MIN(K122/4000, 1)*20</f>
        <v>1.3</v>
      </c>
      <c r="AY122">
        <f>MIN(W122/400,1)*20</f>
        <v>2.75</v>
      </c>
      <c r="AZ122" s="4">
        <v>1</v>
      </c>
      <c r="BA122">
        <f>((MAX($J122,1)*MIN($AE122/300,1)))*IF(D122="Wagon",50,10)</f>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BD122*IF($D122="wagon",62.5,781.25)</f>
        <v>32812.5</v>
      </c>
      <c r="BG122" s="15">
        <f>BE122*IF($D122="wagon",2.73,81.25)</f>
        <v>5525</v>
      </c>
      <c r="BP122">
        <v>9</v>
      </c>
      <c r="BS122" t="s">
        <v>323</v>
      </c>
      <c r="BT122" t="str">
        <f>VLOOKUP(G122,Eras!$A$2:$C$10, 2, TRUE)</f>
        <v>big4</v>
      </c>
      <c r="BU122" t="s">
        <v>370</v>
      </c>
      <c r="BV122" t="str">
        <f>CONCATENATE(BT122,"_",BU122)</f>
        <v>big4_DMU (Cheap)</v>
      </c>
      <c r="BW122" t="str">
        <f>IF(AND(BI122&lt;&gt;Y122,BI122&lt;&gt;""),_xlfn.CONCAT("{BLACK}","Tare speed: ","{GOLD}{VELOCITY}{}"), "")</f>
        <v/>
      </c>
      <c r="BX122" t="str">
        <f>_xlfn.CONCAT(E122, "_",F122)</f>
        <v>diesel_RAIL</v>
      </c>
      <c r="BY122" t="str">
        <f>VLOOKUP($BX122, Constants!$M:$N, 2, FALSE)</f>
        <v>{BLACK}Powered by: {GOLD}Diesel</v>
      </c>
      <c r="BZ122" t="str">
        <f>IF(J122&gt;1,_xlfn.CONCAT("{BLACK}Cars: {GOLD}", J122),"")</f>
        <v/>
      </c>
      <c r="CA122" t="s">
        <v>490</v>
      </c>
      <c r="CB122" t="str">
        <f>IF(BS122="BRAKE","{YELLOW}Speed bonus for slow wagons{}",IF(BQ122&gt;190,CONCATENATE("{YELLOW}",INT((BQ122-185)/1.85),"% Bonus for long distance travel{}"),IF(AND(BQ122&lt;180,BQ122&lt;&gt;0),CONCATENATE("{YELLOW}",INT((185-BQ122)/1.85),"% Penalty for long distance travel{}"),"")))</f>
        <v/>
      </c>
      <c r="CC122" t="str">
        <f>_xlfn.CONCAT(BW122,BY122,IF(BY122 &lt;&gt; "", " ", ""),BZ122,IF(OR(BZ122&lt;&gt;"", BY122&lt;&gt;""), "{}",""), CB122,"{SILVER}", CA122)</f>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IF(AND(T123&gt;0,W123&gt;0),(W123/((T123+U123)*10)),"")</f>
        <v>0.14418604651162792</v>
      </c>
      <c r="Y123">
        <v>80</v>
      </c>
      <c r="AA123">
        <v>9.1199999999999992</v>
      </c>
      <c r="AB123">
        <v>9.1199999999999992</v>
      </c>
      <c r="AD123">
        <v>3.82</v>
      </c>
      <c r="AE123" s="11">
        <v>0</v>
      </c>
      <c r="AF123" t="str">
        <f>CONCATENATE(VLOOKUP(AG123, 'Voxel Sizes'!$A$2:$B$18,2,FALSE),"x",INT(AC123*15), "x", INT(AD123*15))</f>
        <v>82x0x57</v>
      </c>
      <c r="AG123">
        <f>ROUND(15*((AB123*10)/256),0)</f>
        <v>5</v>
      </c>
      <c r="AI123" t="str">
        <f>CONCATENATE(VLOOKUP(AG123,Constants!$A$2:$C$16,IF(AH123&lt;&gt;"", 3, 2), FALSE),IF(AH123&lt;&gt;"",CONCATENATE(",",VLOOKUP(AH123,$B:$AI,34,FALSE)),""))</f>
        <v>2,1,2</v>
      </c>
      <c r="AQ123">
        <v>1</v>
      </c>
      <c r="AS123">
        <v>36</v>
      </c>
      <c r="AT123">
        <f>IF(I123&lt;&gt;"",MAX(8,(I123-G123)-4),"")</f>
        <v>29</v>
      </c>
      <c r="AW123">
        <f>MIN(Y123/150, 1)*30</f>
        <v>16</v>
      </c>
      <c r="AX123">
        <f>MIN(K123/4000, 1)*20</f>
        <v>3</v>
      </c>
      <c r="AY123">
        <f>MIN(W123/400,1)*20</f>
        <v>3.1</v>
      </c>
      <c r="AZ123" s="4">
        <v>1</v>
      </c>
      <c r="BA123">
        <f>((MAX($J123,1)*MIN($AE123/300,1)))*IF(D123="Wagon",50,10)</f>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BD123*IF($D123="wagon",62.5,781.25)</f>
        <v>42968.75</v>
      </c>
      <c r="BG123" s="15">
        <f>BE123*IF($D123="wagon",2.73,81.25)</f>
        <v>7312.5</v>
      </c>
      <c r="BP123">
        <v>10</v>
      </c>
      <c r="BT123" t="str">
        <f>VLOOKUP(G123,Eras!$A$2:$C$10, 2, TRUE)</f>
        <v>big4</v>
      </c>
      <c r="BU123" t="s">
        <v>366</v>
      </c>
      <c r="BV123" t="str">
        <f>CONCATENATE(BT123,"_",BU123)</f>
        <v>big4_Cheap</v>
      </c>
      <c r="BW123" t="str">
        <f>IF(AND(BI123&lt;&gt;Y123,BI123&lt;&gt;""),_xlfn.CONCAT("{BLACK}","Tare speed: ","{GOLD}{VELOCITY}{}"), "")</f>
        <v/>
      </c>
      <c r="BX123" t="str">
        <f>_xlfn.CONCAT(E123, "_",F123)</f>
        <v>steam_RAIL</v>
      </c>
      <c r="BY123" t="str">
        <f>VLOOKUP($BX123, Constants!$M:$N, 2, FALSE)</f>
        <v>{BLACK}Powered by: {GOLD}Steam</v>
      </c>
      <c r="BZ123" t="str">
        <f>IF(J123&gt;1,_xlfn.CONCAT("{BLACK}Cars: {GOLD}", J123),"")</f>
        <v/>
      </c>
      <c r="CA123" t="s">
        <v>483</v>
      </c>
      <c r="CB123" t="str">
        <f>IF(BS123="BRAKE","{YELLOW}Speed bonus for slow wagons{}",IF(BQ123&gt;190,CONCATENATE("{YELLOW}",INT((BQ123-185)/1.85),"% Bonus for long distance travel{}"),IF(AND(BQ123&lt;180,BQ123&lt;&gt;0),CONCATENATE("{YELLOW}",INT((185-BQ123)/1.85),"% Penalty for long distance travel{}"),"")))</f>
        <v/>
      </c>
      <c r="CC123" t="str">
        <f>_xlfn.CONCAT(BW123,BY123,IF(BY123 &lt;&gt; "", " ", ""),BZ123,IF(OR(BZ123&lt;&gt;"", BY123&lt;&gt;""), "{}",""), CB123,"{SILVER}", CA123)</f>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IF(AND(T124&gt;0,W124&gt;0),(W124/((T124+U124)*10)),"")</f>
        <v>9.4639865996649919E-2</v>
      </c>
      <c r="Y124">
        <v>92</v>
      </c>
      <c r="Z124">
        <v>1</v>
      </c>
      <c r="AA124">
        <v>11.76</v>
      </c>
      <c r="AB124">
        <v>11.76</v>
      </c>
      <c r="AE124" s="11">
        <v>0</v>
      </c>
      <c r="AF124" t="str">
        <f>CONCATENATE(VLOOKUP(AG124, 'Voxel Sizes'!$A$2:$B$18,2,FALSE),"x",INT(AC124*15), "x", INT(AD124*15))</f>
        <v>120x0x0</v>
      </c>
      <c r="AG124">
        <f>ROUND(15*((AB124*10)/256),0)</f>
        <v>7</v>
      </c>
      <c r="AH124" t="s">
        <v>334</v>
      </c>
      <c r="AI124" t="str">
        <f>CONCATENATE(VLOOKUP(AG124,Constants!$A$2:$C$16,IF(AH124&lt;&gt;"", 3, 2), FALSE),IF(AH124&lt;&gt;"",CONCATENATE(",",VLOOKUP(AH124,$B:$AI,34,FALSE)),""))</f>
        <v>2,3,2,2,1,2</v>
      </c>
      <c r="AQ124">
        <v>1</v>
      </c>
      <c r="AS124">
        <v>34</v>
      </c>
      <c r="AT124">
        <f>IF(I124&lt;&gt;"",MAX(8,(I124-G124)-4),"")</f>
        <v>29</v>
      </c>
      <c r="AW124">
        <f>MIN(Y124/150, 1)*30</f>
        <v>18.399999999999999</v>
      </c>
      <c r="AX124">
        <f>MIN(K124/4000, 1)*20</f>
        <v>6.25</v>
      </c>
      <c r="AY124">
        <f>MIN(W124/400,1)*20</f>
        <v>5.6499999999999995</v>
      </c>
      <c r="AZ124" s="4">
        <v>1</v>
      </c>
      <c r="BA124">
        <f>((MAX($J124,1)*MIN($AE124/300,1)))*IF(D124="Wagon",50,10)</f>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BD124*IF($D124="wagon",62.5,781.25)</f>
        <v>57031.25</v>
      </c>
      <c r="BG124" s="15">
        <f>BE124*IF($D124="wagon",2.73,81.25)</f>
        <v>9262.5</v>
      </c>
      <c r="BP124">
        <v>11</v>
      </c>
      <c r="BT124" t="str">
        <f>VLOOKUP(G124,Eras!$A$2:$C$10, 2, TRUE)</f>
        <v>big4</v>
      </c>
      <c r="BU124" t="s">
        <v>367</v>
      </c>
      <c r="BV124" t="str">
        <f>CONCATENATE(BT124,"_",BU124)</f>
        <v>big4_Mixed Traffic</v>
      </c>
      <c r="BW124" t="str">
        <f>IF(AND(BI124&lt;&gt;Y124,BI124&lt;&gt;""),_xlfn.CONCAT("{BLACK}","Tare speed: ","{GOLD}{VELOCITY}{}"), "")</f>
        <v/>
      </c>
      <c r="BX124" t="str">
        <f>_xlfn.CONCAT(E124, "_",F124)</f>
        <v>steam_RAIL</v>
      </c>
      <c r="BY124" t="str">
        <f>VLOOKUP($BX124, Constants!$M:$N, 2, FALSE)</f>
        <v>{BLACK}Powered by: {GOLD}Steam</v>
      </c>
      <c r="BZ124" t="str">
        <f>IF(J124&gt;1,_xlfn.CONCAT("{BLACK}Cars: {GOLD}", J124),"")</f>
        <v/>
      </c>
      <c r="CA124" t="s">
        <v>408</v>
      </c>
      <c r="CB124" t="str">
        <f>IF(BS124="BRAKE","{YELLOW}Speed bonus for slow wagons{}",IF(BQ124&gt;190,CONCATENATE("{YELLOW}",INT((BQ124-185)/1.85),"% Bonus for long distance travel{}"),IF(AND(BQ124&lt;180,BQ124&lt;&gt;0),CONCATENATE("{YELLOW}",INT((185-BQ124)/1.85),"% Penalty for long distance travel{}"),"")))</f>
        <v/>
      </c>
      <c r="CC124" t="str">
        <f>_xlfn.CONCAT(BW124,BY124,IF(BY124 &lt;&gt; "", " ", ""),BZ124,IF(OR(BZ124&lt;&gt;"", BY124&lt;&gt;""), "{}",""), CB124,"{SILVER}", CA124)</f>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IF(AND(T125&gt;0,W125&gt;0),(W125/((T125+U125)*10)),"")</f>
        <v>8.8855421686746983E-2</v>
      </c>
      <c r="Y125">
        <v>95</v>
      </c>
      <c r="Z125">
        <v>1</v>
      </c>
      <c r="AA125">
        <v>12.09</v>
      </c>
      <c r="AB125">
        <v>12.09</v>
      </c>
      <c r="AE125" s="11">
        <v>0</v>
      </c>
      <c r="AF125" t="str">
        <f>CONCATENATE(VLOOKUP(AG125, 'Voxel Sizes'!$A$2:$B$18,2,FALSE),"x",INT(AC125*15), "x", INT(AD125*15))</f>
        <v>120x0x0</v>
      </c>
      <c r="AG125">
        <f>ROUND(15*((AB125*10)/256),0)</f>
        <v>7</v>
      </c>
      <c r="AH125" t="s">
        <v>329</v>
      </c>
      <c r="AI125" t="str">
        <f>CONCATENATE(VLOOKUP(AG125,Constants!$A$2:$C$16,IF(AH125&lt;&gt;"", 3, 2), FALSE),IF(AH125&lt;&gt;"",CONCATENATE(",",VLOOKUP(AH125,$B:$AI,34,FALSE)),""))</f>
        <v>2,3,2,2,1,2</v>
      </c>
      <c r="AQ125">
        <v>1</v>
      </c>
      <c r="AS125">
        <v>34</v>
      </c>
      <c r="AT125">
        <f>IF(I125&lt;&gt;"",MAX(8,(I125-G125)-4),"")</f>
        <v>29</v>
      </c>
      <c r="AW125">
        <f>MIN(Y125/150, 1)*30</f>
        <v>19</v>
      </c>
      <c r="AX125">
        <f>MIN(K125/4000, 1)*20</f>
        <v>6.875</v>
      </c>
      <c r="AY125">
        <f>MIN(W125/400,1)*20</f>
        <v>5.8999999999999995</v>
      </c>
      <c r="AZ125" s="4">
        <v>1</v>
      </c>
      <c r="BA125">
        <f>((MAX($J125,1)*MIN($AE125/300,1)))*IF(D125="Wagon",50,10)</f>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BD125*IF($D125="wagon",62.5,781.25)</f>
        <v>59375</v>
      </c>
      <c r="BG125" s="15">
        <f>BE125*IF($D125="wagon",2.73,81.25)</f>
        <v>9668.75</v>
      </c>
      <c r="BP125">
        <v>12</v>
      </c>
      <c r="BT125" t="str">
        <f>VLOOKUP(G125,Eras!$A$2:$C$10, 2, TRUE)</f>
        <v>big4</v>
      </c>
      <c r="BU125" t="s">
        <v>368</v>
      </c>
      <c r="BV125" t="str">
        <f>CONCATENATE(BT125,"_",BU125)</f>
        <v>big4_Express</v>
      </c>
      <c r="BW125" t="str">
        <f>IF(AND(BI125&lt;&gt;Y125,BI125&lt;&gt;""),_xlfn.CONCAT("{BLACK}","Tare speed: ","{GOLD}{VELOCITY}{}"), "")</f>
        <v/>
      </c>
      <c r="BX125" t="str">
        <f>_xlfn.CONCAT(E125, "_",F125)</f>
        <v>steam_RAIL</v>
      </c>
      <c r="BY125" t="str">
        <f>VLOOKUP($BX125, Constants!$M:$N, 2, FALSE)</f>
        <v>{BLACK}Powered by: {GOLD}Steam</v>
      </c>
      <c r="BZ125" t="str">
        <f>IF(J125&gt;1,_xlfn.CONCAT("{BLACK}Cars: {GOLD}", J125),"")</f>
        <v/>
      </c>
      <c r="CA125" t="s">
        <v>394</v>
      </c>
      <c r="CB125" t="str">
        <f>IF(BS125="BRAKE","{YELLOW}Speed bonus for slow wagons{}",IF(BQ125&gt;190,CONCATENATE("{YELLOW}",INT((BQ125-185)/1.85),"% Bonus for long distance travel{}"),IF(AND(BQ125&lt;180,BQ125&lt;&gt;0),CONCATENATE("{YELLOW}",INT((185-BQ125)/1.85),"% Penalty for long distance travel{}"),"")))</f>
        <v/>
      </c>
      <c r="CC125" t="str">
        <f>_xlfn.CONCAT(BW125,BY125,IF(BY125 &lt;&gt; "", " ", ""),BZ125,IF(OR(BZ125&lt;&gt;"", BY125&lt;&gt;""), "{}",""), CB125,"{SILVER}", CA125)</f>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IF(AND(T126&gt;0,W126&gt;0),(W126/((T126+U126)*10)),"")</f>
        <v>0.12100840336134454</v>
      </c>
      <c r="Y126">
        <v>70</v>
      </c>
      <c r="AA126">
        <v>19.22</v>
      </c>
      <c r="AB126">
        <f>19.22-7.46</f>
        <v>11.759999999999998</v>
      </c>
      <c r="AE126" s="11">
        <v>0</v>
      </c>
      <c r="AF126" t="str">
        <f>CONCATENATE(VLOOKUP(AG126, 'Voxel Sizes'!$A$2:$B$18,2,FALSE),"x",INT(AC126*15), "x", INT(AD126*15))</f>
        <v>120x0x0</v>
      </c>
      <c r="AG126">
        <f>ROUND(15*((AB126*10)/256),0)</f>
        <v>7</v>
      </c>
      <c r="AH126" t="s">
        <v>334</v>
      </c>
      <c r="AI126" t="str">
        <f>CONCATENATE(VLOOKUP(AG126,Constants!$A$2:$C$16,IF(AH126&lt;&gt;"", 3, 2), FALSE),IF(AH126&lt;&gt;"",CONCATENATE(",",VLOOKUP(AH126,$B:$AI,34,FALSE)),""))</f>
        <v>2,3,2,2,1,2</v>
      </c>
      <c r="AQ126">
        <v>1</v>
      </c>
      <c r="AS126">
        <v>34</v>
      </c>
      <c r="AT126">
        <f>IF(I126&lt;&gt;"",MAX(8,(I126-G126)-4),"")</f>
        <v>29</v>
      </c>
      <c r="AW126">
        <f>MIN(Y126/150, 1)*30</f>
        <v>14</v>
      </c>
      <c r="AX126">
        <f>MIN(K126/4000, 1)*20</f>
        <v>6.5</v>
      </c>
      <c r="AY126">
        <f>MIN(W126/400,1)*20</f>
        <v>7.1999999999999993</v>
      </c>
      <c r="AZ126" s="4">
        <v>1</v>
      </c>
      <c r="BA126">
        <f>((MAX($J126,1)*MIN($AE126/300,1)))*IF(D126="Wagon",50,10)</f>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BD126*IF($D126="wagon",62.5,781.25)</f>
        <v>52343.75</v>
      </c>
      <c r="BG126" s="15">
        <f>BE126*IF($D126="wagon",2.73,81.25)</f>
        <v>8612.5</v>
      </c>
      <c r="BP126">
        <v>1</v>
      </c>
      <c r="BT126" t="str">
        <f>VLOOKUP(G126,Eras!$A$2:$C$10, 2, TRUE)</f>
        <v>big4</v>
      </c>
      <c r="BU126" t="s">
        <v>369</v>
      </c>
      <c r="BV126" t="str">
        <f>CONCATENATE(BT126,"_",BU126)</f>
        <v>big4_Freight</v>
      </c>
      <c r="BW126" t="str">
        <f>IF(AND(BI126&lt;&gt;Y126,BI126&lt;&gt;""),_xlfn.CONCAT("{BLACK}","Tare speed: ","{GOLD}{VELOCITY}{}"), "")</f>
        <v/>
      </c>
      <c r="BX126" t="str">
        <f>_xlfn.CONCAT(E126, "_",F126)</f>
        <v>steam_RAIL</v>
      </c>
      <c r="BY126" t="str">
        <f>VLOOKUP($BX126, Constants!$M:$N, 2, FALSE)</f>
        <v>{BLACK}Powered by: {GOLD}Steam</v>
      </c>
      <c r="BZ126" t="str">
        <f>IF(J126&gt;1,_xlfn.CONCAT("{BLACK}Cars: {GOLD}", J126),"")</f>
        <v/>
      </c>
      <c r="CA126" t="s">
        <v>492</v>
      </c>
      <c r="CB126" t="str">
        <f>IF(BS126="BRAKE","{YELLOW}Speed bonus for slow wagons{}",IF(BQ126&gt;190,CONCATENATE("{YELLOW}",INT((BQ126-185)/1.85),"% Bonus for long distance travel{}"),IF(AND(BQ126&lt;180,BQ126&lt;&gt;0),CONCATENATE("{YELLOW}",INT((185-BQ126)/1.85),"% Penalty for long distance travel{}"),"")))</f>
        <v/>
      </c>
      <c r="CC126" t="str">
        <f>_xlfn.CONCAT(BW126,BY126,IF(BY126 &lt;&gt; "", " ", ""),BZ126,IF(OR(BZ126&lt;&gt;"", BY126&lt;&gt;""), "{}",""), CB126,"{SILVER}", CA126)</f>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IF(AND(T127&gt;0,W127&gt;0),(W127/((T127+U127)*10)),"")</f>
        <v>9.3119810201660741E-2</v>
      </c>
      <c r="Y127">
        <v>126</v>
      </c>
      <c r="Z127">
        <v>1</v>
      </c>
      <c r="AA127">
        <v>21.65</v>
      </c>
      <c r="AB127">
        <f>AA127-7.5</f>
        <v>14.149999999999999</v>
      </c>
      <c r="AD127">
        <v>3.99</v>
      </c>
      <c r="AE127" s="11">
        <v>0</v>
      </c>
      <c r="AF127" t="str">
        <f>CONCATENATE(VLOOKUP(AG127, 'Voxel Sizes'!$A$2:$B$18,2,FALSE),"x",INT(AC127*15), "x", INT(AD127*15))</f>
        <v>136x0x59</v>
      </c>
      <c r="AG127">
        <f>ROUND(15*((AB127*10)/256),0)</f>
        <v>8</v>
      </c>
      <c r="AH127" t="s">
        <v>476</v>
      </c>
      <c r="AI127" t="str">
        <f>CONCATENATE(VLOOKUP(AG127,Constants!$A$2:$C$16,IF(AH127&lt;&gt;"", 3, 2), FALSE),IF(AH127&lt;&gt;"",CONCATENATE(",",VLOOKUP(AH127,$B:$AI,34,FALSE)),""))</f>
        <v>2,4,2,2,1,2</v>
      </c>
      <c r="AQ127">
        <v>1</v>
      </c>
      <c r="AS127">
        <v>28</v>
      </c>
      <c r="AT127">
        <f>IF(I127&lt;&gt;"",MAX(8,(I127-G127)-4),"")</f>
        <v>27</v>
      </c>
      <c r="AW127">
        <f>MIN(Y127/150, 1)*30</f>
        <v>25.2</v>
      </c>
      <c r="AX127">
        <f>MIN(K127/4000, 1)*20</f>
        <v>12.25</v>
      </c>
      <c r="AY127">
        <f>MIN(W127/400,1)*20</f>
        <v>7.8500000000000005</v>
      </c>
      <c r="AZ127" s="4">
        <v>1</v>
      </c>
      <c r="BA127">
        <f>((MAX($J127,1)*MIN($AE127/300,1)))*IF(D127="Wagon",50,10)</f>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BD127*IF($D127="wagon",62.5,781.25)</f>
        <v>82812.5</v>
      </c>
      <c r="BG127" s="15">
        <f>BE127*IF($D127="wagon",2.73,81.25)</f>
        <v>13081.25</v>
      </c>
      <c r="BP127">
        <v>2</v>
      </c>
      <c r="BT127" t="str">
        <f>VLOOKUP(G127,Eras!$A$2:$C$10, 2, TRUE)</f>
        <v>big4</v>
      </c>
      <c r="BU127" t="s">
        <v>368</v>
      </c>
      <c r="BV127" t="str">
        <f>CONCATENATE(BT127,"_",BU127)</f>
        <v>big4_Express</v>
      </c>
      <c r="BW127" t="str">
        <f>IF(AND(BI127&lt;&gt;Y127,BI127&lt;&gt;""),_xlfn.CONCAT("{BLACK}","Tare speed: ","{GOLD}{VELOCITY}{}"), "")</f>
        <v/>
      </c>
      <c r="BX127" t="str">
        <f>_xlfn.CONCAT(E127, "_",F127)</f>
        <v>steam_RAIL</v>
      </c>
      <c r="BY127" t="str">
        <f>VLOOKUP($BX127, Constants!$M:$N, 2, FALSE)</f>
        <v>{BLACK}Powered by: {GOLD}Steam</v>
      </c>
      <c r="BZ127" t="str">
        <f>IF(J127&gt;1,_xlfn.CONCAT("{BLACK}Cars: {GOLD}", J127),"")</f>
        <v/>
      </c>
      <c r="CA127" t="s">
        <v>493</v>
      </c>
      <c r="CB127" t="str">
        <f>IF(BS127="BRAKE","{YELLOW}Speed bonus for slow wagons{}",IF(BQ127&gt;190,CONCATENATE("{YELLOW}",INT((BQ127-185)/1.85),"% Bonus for long distance travel{}"),IF(AND(BQ127&lt;180,BQ127&lt;&gt;0),CONCATENATE("{YELLOW}",INT((185-BQ127)/1.85),"% Penalty for long distance travel{}"),"")))</f>
        <v/>
      </c>
      <c r="CC127" t="str">
        <f>_xlfn.CONCAT(BW127,BY127,IF(BY127 &lt;&gt; "", " ", ""),BZ127,IF(OR(BZ127&lt;&gt;"", BY127&lt;&gt;""), "{}",""), CB127,"{SILVER}", CA127)</f>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IF(AND(T128&gt;0,W128&gt;0),(W128/((T128+U128)*10)),"")</f>
        <v>0.10344827586206896</v>
      </c>
      <c r="Y128">
        <v>93</v>
      </c>
      <c r="Z128">
        <v>1</v>
      </c>
      <c r="AA128">
        <v>20.239999999999998</v>
      </c>
      <c r="AB128">
        <f>AA128-7.5</f>
        <v>12.739999999999998</v>
      </c>
      <c r="AE128" s="11">
        <v>0</v>
      </c>
      <c r="AF128" t="str">
        <f>CONCATENATE(VLOOKUP(AG128, 'Voxel Sizes'!$A$2:$B$18,2,FALSE),"x",INT(AC128*15), "x", INT(AD128*15))</f>
        <v>120x0x0</v>
      </c>
      <c r="AG128">
        <f>ROUND(15*((AB128*10)/256),0)</f>
        <v>7</v>
      </c>
      <c r="AH128" t="s">
        <v>476</v>
      </c>
      <c r="AI128" t="str">
        <f>CONCATENATE(VLOOKUP(AG128,Constants!$A$2:$C$16,IF(AH128&lt;&gt;"", 3, 2), FALSE),IF(AH128&lt;&gt;"",CONCATENATE(",",VLOOKUP(AH128,$B:$AI,34,FALSE)),""))</f>
        <v>2,3,2,2,1,2</v>
      </c>
      <c r="AQ128">
        <v>1</v>
      </c>
      <c r="AS128">
        <v>32</v>
      </c>
      <c r="AT128">
        <f>IF(I128&lt;&gt;"",MAX(8,(I128-G128)-4),"")</f>
        <v>26</v>
      </c>
      <c r="AW128">
        <f>MIN(Y128/150, 1)*30</f>
        <v>18.600000000000001</v>
      </c>
      <c r="AX128">
        <f>MIN(K128/4000, 1)*20</f>
        <v>9.5</v>
      </c>
      <c r="AY128">
        <f>MIN(W128/400,1)*20</f>
        <v>7.5</v>
      </c>
      <c r="AZ128" s="4">
        <v>1</v>
      </c>
      <c r="BA128">
        <f>((MAX($J128,1)*MIN($AE128/300,1)))*IF(D128="Wagon",50,10)</f>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BD128*IF($D128="wagon",62.5,781.25)</f>
        <v>66406.25</v>
      </c>
      <c r="BG128" s="15">
        <f>BE128*IF($D128="wagon",2.73,81.25)</f>
        <v>10643.75</v>
      </c>
      <c r="BP128">
        <v>3</v>
      </c>
      <c r="BT128" t="str">
        <f>VLOOKUP(G128,Eras!$A$2:$C$10, 2, TRUE)</f>
        <v>big4</v>
      </c>
      <c r="BU128" t="s">
        <v>367</v>
      </c>
      <c r="BV128" t="str">
        <f>CONCATENATE(BT128,"_",BU128)</f>
        <v>big4_Mixed Traffic</v>
      </c>
      <c r="BW128" t="str">
        <f>IF(AND(BI128&lt;&gt;Y128,BI128&lt;&gt;""),_xlfn.CONCAT("{BLACK}","Tare speed: ","{GOLD}{VELOCITY}{}"), "")</f>
        <v/>
      </c>
      <c r="BX128" t="str">
        <f>_xlfn.CONCAT(E128, "_",F128)</f>
        <v>steam_RAIL</v>
      </c>
      <c r="BY128" t="str">
        <f>VLOOKUP($BX128, Constants!$M:$N, 2, FALSE)</f>
        <v>{BLACK}Powered by: {GOLD}Steam</v>
      </c>
      <c r="BZ128" t="str">
        <f>IF(J128&gt;1,_xlfn.CONCAT("{BLACK}Cars: {GOLD}", J128),"")</f>
        <v/>
      </c>
      <c r="CA128" t="s">
        <v>496</v>
      </c>
      <c r="CB128" t="str">
        <f>IF(BS128="BRAKE","{YELLOW}Speed bonus for slow wagons{}",IF(BQ128&gt;190,CONCATENATE("{YELLOW}",INT((BQ128-185)/1.85),"% Bonus for long distance travel{}"),IF(AND(BQ128&lt;180,BQ128&lt;&gt;0),CONCATENATE("{YELLOW}",INT((185-BQ128)/1.85),"% Penalty for long distance travel{}"),"")))</f>
        <v/>
      </c>
      <c r="CC128" t="str">
        <f>_xlfn.CONCAT(BW128,BY128,IF(BY128 &lt;&gt; "", " ", ""),BZ128,IF(OR(BZ128&lt;&gt;"", BY128&lt;&gt;""), "{}",""), CB128,"{SILVER}", CA128)</f>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IF(AND(T129&gt;0,W129&gt;0),(W129/((T129+U129)*10)),"")</f>
        <v>0.1038961038961039</v>
      </c>
      <c r="Y129">
        <v>75</v>
      </c>
      <c r="AA129">
        <v>19.21</v>
      </c>
      <c r="AB129">
        <f>AA129-7.5</f>
        <v>11.71</v>
      </c>
      <c r="AD129">
        <v>3.96</v>
      </c>
      <c r="AE129" s="11">
        <v>0</v>
      </c>
      <c r="AF129" t="str">
        <f>CONCATENATE(VLOOKUP(AG129, 'Voxel Sizes'!$A$2:$B$18,2,FALSE),"x",INT(AC129*15), "x", INT(AD129*15))</f>
        <v>120x0x59</v>
      </c>
      <c r="AG129">
        <f>ROUND(15*((AB129*10)/256),0)</f>
        <v>7</v>
      </c>
      <c r="AH129" t="s">
        <v>461</v>
      </c>
      <c r="AI129" t="str">
        <f>CONCATENATE(VLOOKUP(AG129,Constants!$A$2:$C$16,IF(AH129&lt;&gt;"", 3, 2), FALSE),IF(AH129&lt;&gt;"",CONCATENATE(",",VLOOKUP(AH129,$B:$AI,34,FALSE)),""))</f>
        <v>2,3,2,2,1,2</v>
      </c>
      <c r="AQ129">
        <v>1</v>
      </c>
      <c r="AS129">
        <v>30</v>
      </c>
      <c r="AT129">
        <f>IF(I129&lt;&gt;"",MAX(8,(I129-G129)-4),"")</f>
        <v>25</v>
      </c>
      <c r="AW129">
        <f>MIN(Y129/150, 1)*30</f>
        <v>15</v>
      </c>
      <c r="AX129">
        <f>MIN(K129/4000, 1)*20</f>
        <v>8</v>
      </c>
      <c r="AY129">
        <f>MIN(W129/400,1)*20</f>
        <v>6.4</v>
      </c>
      <c r="AZ129" s="4">
        <v>1</v>
      </c>
      <c r="BA129">
        <f>((MAX($J129,1)*MIN($AE129/300,1)))*IF(D129="Wagon",50,10)</f>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BD129*IF($D129="wagon",62.5,781.25)</f>
        <v>55468.75</v>
      </c>
      <c r="BG129" s="15">
        <f>BE129*IF($D129="wagon",2.73,81.25)</f>
        <v>9100</v>
      </c>
      <c r="BP129">
        <v>4</v>
      </c>
      <c r="BT129" t="str">
        <f>VLOOKUP(G129,Eras!$A$2:$C$10, 2, TRUE)</f>
        <v>big4</v>
      </c>
      <c r="BU129" t="s">
        <v>367</v>
      </c>
      <c r="BV129" t="str">
        <f>CONCATENATE(BT129,"_",BU129)</f>
        <v>big4_Mixed Traffic</v>
      </c>
      <c r="BW129" t="str">
        <f>IF(AND(BI129&lt;&gt;Y129,BI129&lt;&gt;""),_xlfn.CONCAT("{BLACK}","Tare speed: ","{GOLD}{VELOCITY}{}"), "")</f>
        <v/>
      </c>
      <c r="BX129" t="str">
        <f>_xlfn.CONCAT(E129, "_",F129)</f>
        <v>steam_RAIL</v>
      </c>
      <c r="BY129" t="str">
        <f>VLOOKUP($BX129, Constants!$M:$N, 2, FALSE)</f>
        <v>{BLACK}Powered by: {GOLD}Steam</v>
      </c>
      <c r="BZ129" t="str">
        <f>IF(J129&gt;1,_xlfn.CONCAT("{BLACK}Cars: {GOLD}", J129),"")</f>
        <v/>
      </c>
      <c r="CA129" t="s">
        <v>499</v>
      </c>
      <c r="CB129" t="str">
        <f>IF(BS129="BRAKE","{YELLOW}Speed bonus for slow wagons{}",IF(BQ129&gt;190,CONCATENATE("{YELLOW}",INT((BQ129-185)/1.85),"% Bonus for long distance travel{}"),IF(AND(BQ129&lt;180,BQ129&lt;&gt;0),CONCATENATE("{YELLOW}",INT((185-BQ129)/1.85),"% Penalty for long distance travel{}"),"")))</f>
        <v/>
      </c>
      <c r="CC129" t="str">
        <f>_xlfn.CONCAT(BW129,BY129,IF(BY129 &lt;&gt; "", " ", ""),BZ129,IF(OR(BZ129&lt;&gt;"", BY129&lt;&gt;""), "{}",""), CB129,"{SILVER}", CA129)</f>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IF(AND(T130&gt;0,W130&gt;0),(W130/((T130+U130)*10)),"")</f>
        <v>0.10778443113772455</v>
      </c>
      <c r="Y130">
        <v>115</v>
      </c>
      <c r="Z130">
        <v>1</v>
      </c>
      <c r="AA130">
        <v>22.49</v>
      </c>
      <c r="AB130">
        <f>AA130-7.5</f>
        <v>14.989999999999998</v>
      </c>
      <c r="AD130">
        <v>4.0389999999999997</v>
      </c>
      <c r="AE130" s="11">
        <v>0</v>
      </c>
      <c r="AF130" t="str">
        <f>CONCATENATE(VLOOKUP(AG130, 'Voxel Sizes'!$A$2:$B$18,2,FALSE),"x",INT(AC130*15), "x", INT(AD130*15))</f>
        <v>152x0x60</v>
      </c>
      <c r="AG130">
        <f>ROUND(15*((AB130*10)/256),0)</f>
        <v>9</v>
      </c>
      <c r="AH130" t="s">
        <v>501</v>
      </c>
      <c r="AI130" t="str">
        <f>CONCATENATE(VLOOKUP(AG130,Constants!$A$2:$C$16,IF(AH130&lt;&gt;"", 3, 2), FALSE),IF(AH130&lt;&gt;"",CONCATENATE(",",VLOOKUP(AH130,$B:$AI,34,FALSE)),""))</f>
        <v>2,5,2,2,1,2</v>
      </c>
      <c r="AQ130">
        <v>1</v>
      </c>
      <c r="AS130">
        <v>35</v>
      </c>
      <c r="AT130">
        <f>IF(I130&lt;&gt;"",MAX(8,(I130-G130)-4),"")</f>
        <v>23</v>
      </c>
      <c r="AW130">
        <f>MIN(Y130/150, 1)*30</f>
        <v>23</v>
      </c>
      <c r="AX130">
        <f>MIN(K130/4000, 1)*20</f>
        <v>12.5</v>
      </c>
      <c r="AY130">
        <f>MIN(W130/400,1)*20</f>
        <v>9</v>
      </c>
      <c r="AZ130" s="4">
        <v>1</v>
      </c>
      <c r="BA130">
        <f>((MAX($J130,1)*MIN($AE130/300,1)))*IF(D130="Wagon",50,10)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BD130*IF($D130="wagon",62.5,781.25)</f>
        <v>82031.25</v>
      </c>
      <c r="BG130" s="15">
        <f>BE130*IF($D130="wagon",2.73,81.25)</f>
        <v>12918.75</v>
      </c>
      <c r="BP130">
        <v>5</v>
      </c>
      <c r="BT130" t="str">
        <f>VLOOKUP(G130,Eras!$A$2:$C$10, 2, TRUE)</f>
        <v>big4</v>
      </c>
      <c r="BU130" t="s">
        <v>368</v>
      </c>
      <c r="BV130" t="str">
        <f>CONCATENATE(BT130,"_",BU130)</f>
        <v>big4_Express</v>
      </c>
      <c r="BW130" t="str">
        <f>IF(AND(BI130&lt;&gt;Y130,BI130&lt;&gt;""),_xlfn.CONCAT("{BLACK}","Tare speed: ","{GOLD}{VELOCITY}{}"), "")</f>
        <v/>
      </c>
      <c r="BX130" t="str">
        <f>_xlfn.CONCAT(E130, "_",F130)</f>
        <v>steam_RAIL</v>
      </c>
      <c r="BY130" t="str">
        <f>VLOOKUP($BX130, Constants!$M:$N, 2, FALSE)</f>
        <v>{BLACK}Powered by: {GOLD}Steam</v>
      </c>
      <c r="BZ130" t="str">
        <f>IF(J130&gt;1,_xlfn.CONCAT("{BLACK}Cars: {GOLD}", J130),"")</f>
        <v/>
      </c>
      <c r="CA130" t="s">
        <v>500</v>
      </c>
      <c r="CB130" t="str">
        <f>IF(BS130="BRAKE","{YELLOW}Speed bonus for slow wagons{}",IF(BQ130&gt;190,CONCATENATE("{YELLOW}",INT((BQ130-185)/1.85),"% Bonus for long distance travel{}"),IF(AND(BQ130&lt;180,BQ130&lt;&gt;0),CONCATENATE("{YELLOW}",INT((185-BQ130)/1.85),"% Penalty for long distance travel{}"),"")))</f>
        <v/>
      </c>
      <c r="CC130" t="str">
        <f>_xlfn.CONCAT(BW130,BY130,IF(BY130 &lt;&gt; "", " ", ""),BZ130,IF(OR(BZ130&lt;&gt;"", BY130&lt;&gt;""), "{}",""), CB130,"{SILVER}", CA130)</f>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IF(AND(T131&gt;0,W131&gt;0),(W131/((T131+U131)*10)),"")</f>
        <v>0.11260957518543493</v>
      </c>
      <c r="Y131">
        <v>105</v>
      </c>
      <c r="Z131">
        <v>1</v>
      </c>
      <c r="AA131">
        <v>21.23</v>
      </c>
      <c r="AB131">
        <f>AA131-7.5</f>
        <v>13.73</v>
      </c>
      <c r="AE131" s="11">
        <v>0</v>
      </c>
      <c r="AF131" t="str">
        <f>CONCATENATE(VLOOKUP(AG131, 'Voxel Sizes'!$A$2:$B$18,2,FALSE),"x",INT(AC131*15), "x", INT(AD131*15))</f>
        <v>136x0x0</v>
      </c>
      <c r="AG131">
        <f>ROUND(15*((AB131*10)/256),0)</f>
        <v>8</v>
      </c>
      <c r="AH131" t="s">
        <v>510</v>
      </c>
      <c r="AI131" t="str">
        <f>CONCATENATE(VLOOKUP(AG131,Constants!$A$2:$C$16,IF(AH131&lt;&gt;"", 3, 2), FALSE),IF(AH131&lt;&gt;"",CONCATENATE(",",VLOOKUP(AH131,$B:$AI,34,FALSE)),""))</f>
        <v>2,4,2,2,1,2</v>
      </c>
      <c r="AQ131">
        <v>1</v>
      </c>
      <c r="AS131">
        <v>32</v>
      </c>
      <c r="AT131">
        <f>IF(I131&lt;&gt;"",MAX(8,(I131-G131)-4),"")</f>
        <v>22</v>
      </c>
      <c r="AW131">
        <f>MIN(Y131/150, 1)*30</f>
        <v>21</v>
      </c>
      <c r="AX131">
        <f>MIN(K131/4000, 1)*20</f>
        <v>10.5</v>
      </c>
      <c r="AY131">
        <f>MIN(W131/400,1)*20</f>
        <v>8.35</v>
      </c>
      <c r="AZ131" s="4">
        <v>1</v>
      </c>
      <c r="BA131">
        <f>((MAX($J131,1)*MIN($AE131/300,1)))*IF(D131="Wagon",50,10)</f>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BD131*IF($D131="wagon",62.5,781.25)</f>
        <v>73437.5</v>
      </c>
      <c r="BG131" s="15">
        <f>BE131*IF($D131="wagon",2.73,81.25)</f>
        <v>11700</v>
      </c>
      <c r="BP131">
        <v>6</v>
      </c>
      <c r="BT131" t="str">
        <f>VLOOKUP(G131,Eras!$A$2:$C$10, 2, TRUE)</f>
        <v>big4</v>
      </c>
      <c r="BU131" t="s">
        <v>368</v>
      </c>
      <c r="BV131" t="str">
        <f>CONCATENATE(BT131,"_",BU131)</f>
        <v>big4_Express</v>
      </c>
      <c r="BW131" t="str">
        <f>IF(AND(BI131&lt;&gt;Y131,BI131&lt;&gt;""),_xlfn.CONCAT("{BLACK}","Tare speed: ","{GOLD}{VELOCITY}{}"), "")</f>
        <v/>
      </c>
      <c r="BX131" t="str">
        <f>_xlfn.CONCAT(E131, "_",F131)</f>
        <v>steam_RAIL</v>
      </c>
      <c r="BY131" t="str">
        <f>VLOOKUP($BX131, Constants!$M:$N, 2, FALSE)</f>
        <v>{BLACK}Powered by: {GOLD}Steam</v>
      </c>
      <c r="BZ131" t="str">
        <f>IF(J131&gt;1,_xlfn.CONCAT("{BLACK}Cars: {GOLD}", J131),"")</f>
        <v/>
      </c>
      <c r="CA131" t="s">
        <v>512</v>
      </c>
      <c r="CB131" t="str">
        <f>IF(BS131="BRAKE","{YELLOW}Speed bonus for slow wagons{}",IF(BQ131&gt;190,CONCATENATE("{YELLOW}",INT((BQ131-185)/1.85),"% Bonus for long distance travel{}"),IF(AND(BQ131&lt;180,BQ131&lt;&gt;0),CONCATENATE("{YELLOW}",INT((185-BQ131)/1.85),"% Penalty for long distance travel{}"),"")))</f>
        <v/>
      </c>
      <c r="CC131" t="str">
        <f>_xlfn.CONCAT(BW131,BY131,IF(BY131 &lt;&gt; "", " ", ""),BZ131,IF(OR(BZ131&lt;&gt;"", BY131&lt;&gt;""), "{}",""), CB131,"{SILVER}", CA131)</f>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IF(AND(T132&gt;0,W132&gt;0),(W132/((T132+U132)*10)),"")</f>
        <v>0.16527777777777777</v>
      </c>
      <c r="AE132" s="11">
        <v>0</v>
      </c>
      <c r="AF132" t="str">
        <f>CONCATENATE(VLOOKUP(AG132, 'Voxel Sizes'!$A$2:$B$18,2,FALSE),"x",INT(AC132*15), "x", INT(AD132*15))</f>
        <v>0x0x0</v>
      </c>
      <c r="AG132">
        <f>ROUND(15*((AB132*10)/256),0)</f>
        <v>0</v>
      </c>
      <c r="AI132" t="str">
        <f>CONCATENATE(VLOOKUP(AG132,Constants!$A$2:$C$16,IF(AH132&lt;&gt;"", 3, 2), FALSE),IF(AH132&lt;&gt;"",CONCATENATE(",",VLOOKUP(AH132,$B:$AI,34,FALSE)),""))</f>
        <v>na</v>
      </c>
      <c r="AS132">
        <v>30</v>
      </c>
      <c r="AT132" t="str">
        <f>IF(I132&lt;&gt;"",MAX(8,(I132-G132)-4),"")</f>
        <v/>
      </c>
      <c r="AW132">
        <f>MIN(Y132/150, 1)*30</f>
        <v>0</v>
      </c>
      <c r="AX132">
        <f>MIN(K132/4000, 1)*20</f>
        <v>0</v>
      </c>
      <c r="AY132">
        <f>MIN(W132/400,1)*20</f>
        <v>5.9499999999999993</v>
      </c>
      <c r="AZ132" s="4">
        <v>1</v>
      </c>
      <c r="BA132">
        <f>((MAX($J132,1)*MIN($AE132/300,1)))*IF(D132="Wagon",50,10)</f>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BD132*IF($D132="wagon",62.5,781.25)</f>
        <v>16406.25</v>
      </c>
      <c r="BG132" s="15">
        <f>BE132*IF($D132="wagon",2.73,81.25)</f>
        <v>3656.25</v>
      </c>
      <c r="BP132">
        <v>7</v>
      </c>
      <c r="BT132" t="str">
        <f>VLOOKUP(G132,Eras!$A$2:$C$10, 2, TRUE)</f>
        <v>big4</v>
      </c>
      <c r="BV132" t="str">
        <f>CONCATENATE(BT132,"_",BU132)</f>
        <v>big4_</v>
      </c>
      <c r="BW132" t="str">
        <f>IF(AND(BI132&lt;&gt;Y132,BI132&lt;&gt;""),_xlfn.CONCAT("{BLACK}","Tare speed: ","{GOLD}{VELOCITY}{}"), "")</f>
        <v/>
      </c>
      <c r="BX132" t="str">
        <f>_xlfn.CONCAT(E132, "_",F132)</f>
        <v>steam_RAIL</v>
      </c>
      <c r="BY132" t="str">
        <f>VLOOKUP($BX132, Constants!$M:$N, 2, FALSE)</f>
        <v>{BLACK}Powered by: {GOLD}Steam</v>
      </c>
      <c r="BZ132" t="str">
        <f>IF(J132&gt;1,_xlfn.CONCAT("{BLACK}Cars: {GOLD}", J132),"")</f>
        <v/>
      </c>
      <c r="CB132" t="str">
        <f>IF(BS132="BRAKE","{YELLOW}Speed bonus for slow wagons{}",IF(BQ132&gt;190,CONCATENATE("{YELLOW}",INT((BQ132-185)/1.85),"% Bonus for long distance travel{}"),IF(AND(BQ132&lt;180,BQ132&lt;&gt;0),CONCATENATE("{YELLOW}",INT((185-BQ132)/1.85),"% Penalty for long distance travel{}"),"")))</f>
        <v/>
      </c>
      <c r="CC132" t="str">
        <f>_xlfn.CONCAT(BW132,BY132,IF(BY132 &lt;&gt; "", " ", ""),BZ132,IF(OR(BZ132&lt;&gt;"", BY132&lt;&gt;""), "{}",""), CB132,"{SILVER}", CA132)</f>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IF(AND(T133&gt;0,W133&gt;0),(W133/((T133+U133)*10)),"")</f>
        <v>0.17623762376237623</v>
      </c>
      <c r="Y133">
        <v>75</v>
      </c>
      <c r="Z133">
        <v>1</v>
      </c>
      <c r="AA133">
        <v>17</v>
      </c>
      <c r="AB133">
        <v>17</v>
      </c>
      <c r="AE133" s="11">
        <v>0</v>
      </c>
      <c r="AF133" t="str">
        <f>CONCATENATE(VLOOKUP(AG133, 'Voxel Sizes'!$A$2:$B$18,2,FALSE),"x",INT(AC133*15), "x", INT(AD133*15))</f>
        <v>164x0x0</v>
      </c>
      <c r="AG133">
        <f>ROUND(15*((AB133*10)/256),0)</f>
        <v>10</v>
      </c>
      <c r="AI133" t="str">
        <f>CONCATENATE(VLOOKUP(AG133,Constants!$A$2:$C$16,IF(AH133&lt;&gt;"", 3, 2), FALSE),IF(AH133&lt;&gt;"",CONCATENATE(",",VLOOKUP(AH133,$B:$AI,34,FALSE)),""))</f>
        <v>4,2,4</v>
      </c>
      <c r="AS133">
        <v>31</v>
      </c>
      <c r="AT133">
        <f>IF(I133&lt;&gt;"",MAX(8,(I133-G133)-4),"")</f>
        <v>23</v>
      </c>
      <c r="AW133">
        <f>MIN(Y133/150, 1)*30</f>
        <v>15</v>
      </c>
      <c r="AX133">
        <f>MIN(K133/4000, 1)*20</f>
        <v>7.35</v>
      </c>
      <c r="AY133">
        <f>MIN(W133/400,1)*20</f>
        <v>8.9</v>
      </c>
      <c r="AZ133" s="4">
        <v>1</v>
      </c>
      <c r="BA133">
        <f>((MAX($J133,1)*MIN($AE133/300,1)))*IF(D133="Wagon",50,10)</f>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BD133*IF($D133="wagon",62.5,781.25)</f>
        <v>81250</v>
      </c>
      <c r="BG133" s="15">
        <f>BE133*IF($D133="wagon",2.73,81.25)</f>
        <v>6581.25</v>
      </c>
      <c r="BP133">
        <v>8</v>
      </c>
      <c r="BT133" t="str">
        <f>VLOOKUP(G133,Eras!$A$2:$C$10, 2, TRUE)</f>
        <v>big4</v>
      </c>
      <c r="BU133" t="s">
        <v>377</v>
      </c>
      <c r="BV133" t="str">
        <f>CONCATENATE(BT133,"_",BU133)</f>
        <v>big4_MT (Electric)</v>
      </c>
      <c r="BW133" t="str">
        <f>IF(AND(BI133&lt;&gt;Y133,BI133&lt;&gt;""),_xlfn.CONCAT("{BLACK}","Tare speed: ","{GOLD}{VELOCITY}{}"), "")</f>
        <v/>
      </c>
      <c r="BX133" t="str">
        <f>_xlfn.CONCAT(E133, "_",F133)</f>
        <v>electric_THIRD_RAIL</v>
      </c>
      <c r="BY133" t="str">
        <f>VLOOKUP($BX133, Constants!$M:$N, 2, FALSE)</f>
        <v>{BLACK}Powered by: {GOLD}750V DC</v>
      </c>
      <c r="BZ133" t="str">
        <f>IF(J133&gt;1,_xlfn.CONCAT("{BLACK}Cars: {GOLD}", J133),"")</f>
        <v/>
      </c>
      <c r="CA133" t="s">
        <v>513</v>
      </c>
      <c r="CB133" t="str">
        <f>IF(BS133="BRAKE","{YELLOW}Speed bonus for slow wagons{}",IF(BQ133&gt;190,CONCATENATE("{YELLOW}",INT((BQ133-185)/1.85),"% Bonus for long distance travel{}"),IF(AND(BQ133&lt;180,BQ133&lt;&gt;0),CONCATENATE("{YELLOW}",INT((185-BQ133)/1.85),"% Penalty for long distance travel{}"),"")))</f>
        <v/>
      </c>
      <c r="CC133" t="str">
        <f>_xlfn.CONCAT(BW133,BY133,IF(BY133 &lt;&gt; "", " ", ""),BZ133,IF(OR(BZ133&lt;&gt;"", BY133&lt;&gt;""), "{}",""), CB133,"{SILVER}", CA133)</f>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((($Y134/2)/60)*5280)/($R134*3.2*PI())</f>
        <v>218.83804675135607</v>
      </c>
      <c r="R134" s="6">
        <v>1.5</v>
      </c>
      <c r="S134" s="6">
        <f>((($M134*$M134/4)*PI())*($N134/12)*$O134*$P134*$Q134)/(33000*1.1)</f>
        <v>1703.5827020202014</v>
      </c>
      <c r="T134">
        <v>50.3</v>
      </c>
      <c r="U134" s="9">
        <f>90.7-T134</f>
        <v>40.400000000000006</v>
      </c>
      <c r="W134">
        <v>134</v>
      </c>
      <c r="X134" s="4">
        <f>IF(AND(T134&gt;0,W134&gt;0),(W134/((T134+U134)*10)),"")</f>
        <v>0.14773980154355015</v>
      </c>
      <c r="Y134">
        <v>75</v>
      </c>
      <c r="Z134">
        <v>1</v>
      </c>
      <c r="AA134">
        <v>16.73</v>
      </c>
      <c r="AB134">
        <v>10</v>
      </c>
      <c r="AE134" s="11">
        <v>0</v>
      </c>
      <c r="AF134" t="str">
        <f>CONCATENATE(VLOOKUP(AG134, 'Voxel Sizes'!$A$2:$B$18,2,FALSE),"x",INT(AC134*15), "x", INT(AD134*15))</f>
        <v>102x0x0</v>
      </c>
      <c r="AG134">
        <f>ROUND(15*((AB134*10)/256),0)</f>
        <v>6</v>
      </c>
      <c r="AH134" t="s">
        <v>516</v>
      </c>
      <c r="AI134" t="str">
        <f>CONCATENATE(VLOOKUP(AG134,Constants!$A$2:$C$16,IF(AH134&lt;&gt;"", 3, 2), FALSE),IF(AH134&lt;&gt;"",CONCATENATE(",",VLOOKUP(AH134,$B:$AI,34,FALSE)),""))</f>
        <v>2,2,2,1,2,1</v>
      </c>
      <c r="AQ134">
        <v>1</v>
      </c>
      <c r="AS134">
        <v>25</v>
      </c>
      <c r="AT134">
        <f>IF(I134&lt;&gt;"",MAX(8,(I134-G134)-4),"")</f>
        <v>20</v>
      </c>
      <c r="AW134">
        <f>MIN(Y134/150, 1)*30</f>
        <v>15</v>
      </c>
      <c r="AX134">
        <f>MIN(K134/4000, 1)*20</f>
        <v>8</v>
      </c>
      <c r="AY134">
        <f>MIN(W134/400,1)*20</f>
        <v>6.7</v>
      </c>
      <c r="AZ134" s="4">
        <v>1</v>
      </c>
      <c r="BA134">
        <f>((MAX($J134,1)*MIN($AE134/300,1)))*IF(D134="Wagon",50,10)</f>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BD134*IF($D134="wagon",62.5,781.25)</f>
        <v>56250</v>
      </c>
      <c r="BG134" s="15">
        <f>BE134*IF($D134="wagon",2.73,81.25)</f>
        <v>9181.25</v>
      </c>
      <c r="BP134">
        <v>9</v>
      </c>
      <c r="BT134" t="str">
        <f>VLOOKUP(G134,Eras!$A$2:$C$10, 2, TRUE)</f>
        <v>big4</v>
      </c>
      <c r="BU134" t="s">
        <v>366</v>
      </c>
      <c r="BV134" t="str">
        <f>CONCATENATE(BT134,"_",BU134)</f>
        <v>big4_Cheap</v>
      </c>
      <c r="BW134" t="str">
        <f>IF(AND(BI134&lt;&gt;Y134,BI134&lt;&gt;""),_xlfn.CONCAT("{BLACK}","Tare speed: ","{GOLD}{VELOCITY}{}"), "")</f>
        <v/>
      </c>
      <c r="BX134" t="str">
        <f>_xlfn.CONCAT(E134, "_",F134)</f>
        <v>steam_RAIL</v>
      </c>
      <c r="BY134" t="str">
        <f>VLOOKUP($BX134, Constants!$M:$N, 2, FALSE)</f>
        <v>{BLACK}Powered by: {GOLD}Steam</v>
      </c>
      <c r="BZ134" t="str">
        <f>IF(J134&gt;1,_xlfn.CONCAT("{BLACK}Cars: {GOLD}", J134),"")</f>
        <v/>
      </c>
      <c r="CA134" t="s">
        <v>515</v>
      </c>
      <c r="CB134" t="str">
        <f>IF(BS134="BRAKE","{YELLOW}Speed bonus for slow wagons{}",IF(BQ134&gt;190,CONCATENATE("{YELLOW}",INT((BQ134-185)/1.85),"% Bonus for long distance travel{}"),IF(AND(BQ134&lt;180,BQ134&lt;&gt;0),CONCATENATE("{YELLOW}",INT((185-BQ134)/1.85),"% Penalty for long distance travel{}"),"")))</f>
        <v/>
      </c>
      <c r="CC134" t="str">
        <f>_xlfn.CONCAT(BW134,BY134,IF(BY134 &lt;&gt; "", " ", ""),BZ134,IF(OR(BZ134&lt;&gt;"", BY134&lt;&gt;""), "{}",""), CB134,"{SILVER}", CA134)</f>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((($Y135/2)/60)*5280)/($R135*3.2*PI())</f>
        <v>94.268697062122627</v>
      </c>
      <c r="R135" s="6">
        <v>1.3</v>
      </c>
      <c r="S135" s="6">
        <f>((($M135*$M135/4)*PI())*($N135/12)*$O135*$P135*$Q135)/(33000*1.1)</f>
        <v>486.8181818181817</v>
      </c>
      <c r="T135">
        <v>49</v>
      </c>
      <c r="W135">
        <v>106</v>
      </c>
      <c r="X135" s="4">
        <f>IF(AND(T135&gt;0,W135&gt;0),(W135/((T135+U135)*10)),"")</f>
        <v>0.21632653061224491</v>
      </c>
      <c r="Y135">
        <v>28</v>
      </c>
      <c r="Z135">
        <v>1</v>
      </c>
      <c r="AA135">
        <v>9.25</v>
      </c>
      <c r="AB135">
        <v>9.25</v>
      </c>
      <c r="AE135" s="11">
        <v>0</v>
      </c>
      <c r="AF135" t="str">
        <f>CONCATENATE(VLOOKUP(AG135, 'Voxel Sizes'!$A$2:$B$18,2,FALSE),"x",INT(AC135*15), "x", INT(AD135*15))</f>
        <v>82x0x0</v>
      </c>
      <c r="AG135">
        <f>ROUND(15*((AB135*10)/256),0)</f>
        <v>5</v>
      </c>
      <c r="AI135" t="str">
        <f>CONCATENATE(VLOOKUP(AG135,Constants!$A$2:$C$16,IF(AH135&lt;&gt;"", 3, 2), FALSE),IF(AH135&lt;&gt;"",CONCATENATE(",",VLOOKUP(AH135,$B:$AI,34,FALSE)),""))</f>
        <v>2,1,2</v>
      </c>
      <c r="AQ135">
        <v>1</v>
      </c>
      <c r="AS135">
        <v>23</v>
      </c>
      <c r="AT135">
        <f>IF(I135&lt;&gt;"",MAX(8,(I135-G135)-4),"")</f>
        <v>20</v>
      </c>
      <c r="AW135">
        <f>MIN(Y135/150, 1)*30</f>
        <v>5.6000000000000005</v>
      </c>
      <c r="AX135">
        <f>MIN(K135/4000, 1)*20</f>
        <v>2.5</v>
      </c>
      <c r="AY135">
        <f>MIN(W135/400,1)*20</f>
        <v>5.3000000000000007</v>
      </c>
      <c r="AZ135" s="4">
        <v>1</v>
      </c>
      <c r="BA135">
        <f>((MAX($J135,1)*MIN($AE135/300,1)))*IF(D135="Wagon",50,10)</f>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BD135*IF($D135="wagon",62.5,781.25)</f>
        <v>28906.25</v>
      </c>
      <c r="BG135" s="15">
        <f>BE135*IF($D135="wagon",2.73,81.25)</f>
        <v>5281.25</v>
      </c>
      <c r="BP135">
        <v>10</v>
      </c>
      <c r="BT135" t="str">
        <f>VLOOKUP(G135,Eras!$A$2:$C$10, 2, TRUE)</f>
        <v>big4</v>
      </c>
      <c r="BU135" t="s">
        <v>366</v>
      </c>
      <c r="BV135" t="str">
        <f>CONCATENATE(BT135,"_",BU135)</f>
        <v>big4_Cheap</v>
      </c>
      <c r="BW135" t="str">
        <f>IF(AND(BI135&lt;&gt;Y135,BI135&lt;&gt;""),_xlfn.CONCAT("{BLACK}","Tare speed: ","{GOLD}{VELOCITY}{}"), "")</f>
        <v/>
      </c>
      <c r="BX135" t="str">
        <f>_xlfn.CONCAT(E135, "_",F135)</f>
        <v>steam_RAIL</v>
      </c>
      <c r="BY135" t="str">
        <f>VLOOKUP($BX135, Constants!$M:$N, 2, FALSE)</f>
        <v>{BLACK}Powered by: {GOLD}Steam</v>
      </c>
      <c r="BZ135" t="str">
        <f>IF(J135&gt;1,_xlfn.CONCAT("{BLACK}Cars: {GOLD}", J135),"")</f>
        <v/>
      </c>
      <c r="CA135" t="s">
        <v>519</v>
      </c>
      <c r="CB135" t="str">
        <f>IF(BS135="BRAKE","{YELLOW}Speed bonus for slow wagons{}",IF(BQ135&gt;190,CONCATENATE("{YELLOW}",INT((BQ135-185)/1.85),"% Bonus for long distance travel{}"),IF(AND(BQ135&lt;180,BQ135&lt;&gt;0),CONCATENATE("{YELLOW}",INT((185-BQ135)/1.85),"% Penalty for long distance travel{}"),"")))</f>
        <v/>
      </c>
      <c r="CC135" t="str">
        <f>_xlfn.CONCAT(BW135,BY135,IF(BY135 &lt;&gt; "", " ", ""),BZ135,IF(OR(BZ135&lt;&gt;"", BY135&lt;&gt;""), "{}",""), CB135,"{SILVER}", CA135)</f>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((($Y136/2)/60)*5280)/($R136*3.2*PI())</f>
        <v>212.58553112988881</v>
      </c>
      <c r="R136" s="6">
        <v>1.4</v>
      </c>
      <c r="S136" s="6">
        <f>((($M136*$M136/4)*PI())*($N136/12)*$O136*$P136*$Q136)/(33000*1.1)</f>
        <v>1743.4659090909092</v>
      </c>
      <c r="T136">
        <v>71.400000000000006</v>
      </c>
      <c r="U136" s="9">
        <v>56.4</v>
      </c>
      <c r="W136">
        <v>152</v>
      </c>
      <c r="X136" s="4">
        <f>IF(AND(T136&gt;0,W136&gt;0),(W136/((T136+U136)*10)),"")</f>
        <v>0.1189358372456964</v>
      </c>
      <c r="Y136">
        <v>68</v>
      </c>
      <c r="AA136">
        <v>19.350000000000001</v>
      </c>
      <c r="AB136">
        <v>11.7</v>
      </c>
      <c r="AE136" s="11">
        <v>0</v>
      </c>
      <c r="AF136" t="str">
        <f>CONCATENATE(VLOOKUP(AG136, 'Voxel Sizes'!$A$2:$B$18,2,FALSE),"x",INT(AC136*15), "x", INT(AD136*15))</f>
        <v>120x0x0</v>
      </c>
      <c r="AG136">
        <f>ROUND(15*((AB136*10)/256),0)</f>
        <v>7</v>
      </c>
      <c r="AH136" t="s">
        <v>523</v>
      </c>
      <c r="AI136" t="str">
        <f>CONCATENATE(VLOOKUP(AG136,Constants!$A$2:$C$16,IF(AH136&lt;&gt;"", 3, 2), FALSE),IF(AH136&lt;&gt;"",CONCATENATE(",",VLOOKUP(AH136,$B:$AI,34,FALSE)),""))</f>
        <v>2,3,2,1,2,1</v>
      </c>
      <c r="AQ136">
        <v>1</v>
      </c>
      <c r="AS136">
        <v>26</v>
      </c>
      <c r="AT136">
        <f>IF(I136&lt;&gt;"",MAX(8,(I136-G136)-4),"")</f>
        <v>15</v>
      </c>
      <c r="AW136">
        <f>MIN(Y136/150, 1)*30</f>
        <v>13.6</v>
      </c>
      <c r="AX136">
        <f>MIN(K136/4000, 1)*20</f>
        <v>6</v>
      </c>
      <c r="AY136">
        <f>MIN(W136/400,1)*20</f>
        <v>7.6</v>
      </c>
      <c r="AZ136" s="4">
        <v>1</v>
      </c>
      <c r="BA136">
        <f>((MAX($J136,1)*MIN($AE136/300,1)))*IF(D136="Wagon",50,10)</f>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BD136*IF($D136="wagon",62.5,781.25)</f>
        <v>51562.5</v>
      </c>
      <c r="BG136" s="15">
        <f>BE136*IF($D136="wagon",2.73,81.25)</f>
        <v>8531.25</v>
      </c>
      <c r="BP136">
        <v>11</v>
      </c>
      <c r="BT136" t="str">
        <f>VLOOKUP(G136,Eras!$A$2:$C$10, 2, TRUE)</f>
        <v>big4</v>
      </c>
      <c r="BU136" t="s">
        <v>369</v>
      </c>
      <c r="BV136" t="str">
        <f>CONCATENATE(BT136,"_",BU136)</f>
        <v>big4_Freight</v>
      </c>
      <c r="BW136" t="str">
        <f>IF(AND(BI136&lt;&gt;Y136,BI136&lt;&gt;""),_xlfn.CONCAT("{BLACK}","Tare speed: ","{GOLD}{VELOCITY}{}"), "")</f>
        <v/>
      </c>
      <c r="BX136" t="str">
        <f>_xlfn.CONCAT(E136, "_",F136)</f>
        <v>steam_RAIL</v>
      </c>
      <c r="BY136" t="str">
        <f>VLOOKUP($BX136, Constants!$M:$N, 2, FALSE)</f>
        <v>{BLACK}Powered by: {GOLD}Steam</v>
      </c>
      <c r="BZ136" t="str">
        <f>IF(J136&gt;1,_xlfn.CONCAT("{BLACK}Cars: {GOLD}", J136),"")</f>
        <v/>
      </c>
      <c r="CA136" t="s">
        <v>520</v>
      </c>
      <c r="CB136" t="str">
        <f>IF(BS136="BRAKE","{YELLOW}Speed bonus for slow wagons{}",IF(BQ136&gt;190,CONCATENATE("{YELLOW}",INT((BQ136-185)/1.85),"% Bonus for long distance travel{}"),IF(AND(BQ136&lt;180,BQ136&lt;&gt;0),CONCATENATE("{YELLOW}",INT((185-BQ136)/1.85),"% Penalty for long distance travel{}"),"")))</f>
        <v/>
      </c>
      <c r="CC136" t="str">
        <f>_xlfn.CONCAT(BW136,BY136,IF(BY136 &lt;&gt; "", " ", ""),BZ136,IF(OR(BZ136&lt;&gt;"", BY136&lt;&gt;""), "{}",""), CB136,"{SILVER}", CA136)</f>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((($Y137/2)/60)*5280)/($R137*3.2*PI())</f>
        <v>206.68037748739187</v>
      </c>
      <c r="R137" s="6">
        <v>1.8</v>
      </c>
      <c r="S137" s="6">
        <f>((($M137*$M137/4)*PI())*($N137/12)*$O137*$P137*$Q137)/(33000*1.1)</f>
        <v>1721.7832623106062</v>
      </c>
      <c r="T137">
        <v>77</v>
      </c>
      <c r="U137" s="9">
        <v>48</v>
      </c>
      <c r="W137">
        <v>121</v>
      </c>
      <c r="X137" s="4">
        <f>IF(AND(T137&gt;0,W137&gt;0),(W137/((T137+U137)*10)),"")</f>
        <v>9.6799999999999997E-2</v>
      </c>
      <c r="Y137">
        <v>85</v>
      </c>
      <c r="AA137">
        <v>19.2</v>
      </c>
      <c r="AB137">
        <v>11.7</v>
      </c>
      <c r="AD137">
        <v>4.01</v>
      </c>
      <c r="AE137" s="11">
        <v>0</v>
      </c>
      <c r="AF137" t="str">
        <f>CONCATENATE(VLOOKUP(AG137, 'Voxel Sizes'!$A$2:$B$18,2,FALSE),"x",INT(AC137*15), "x", INT(AD137*15))</f>
        <v>120x0x60</v>
      </c>
      <c r="AG137">
        <f>ROUND(15*((AB137*10)/256),0)</f>
        <v>7</v>
      </c>
      <c r="AH137" t="s">
        <v>461</v>
      </c>
      <c r="AI137" t="str">
        <f>CONCATENATE(VLOOKUP(AG137,Constants!$A$2:$C$16,IF(AH137&lt;&gt;"", 3, 2), FALSE),IF(AH137&lt;&gt;"",CONCATENATE(",",VLOOKUP(AH137,$B:$AI,34,FALSE)),""))</f>
        <v>2,3,2,2,1,2</v>
      </c>
      <c r="AP137" t="s">
        <v>472</v>
      </c>
      <c r="AQ137">
        <v>1</v>
      </c>
      <c r="AS137">
        <v>31</v>
      </c>
      <c r="AT137">
        <f>IF(I137&lt;&gt;"",MAX(8,(I137-G137)-4),"")</f>
        <v>17</v>
      </c>
      <c r="AW137">
        <f>MIN(Y137/150, 1)*30</f>
        <v>17</v>
      </c>
      <c r="AX137">
        <f>MIN(K137/4000, 1)*20</f>
        <v>8.5</v>
      </c>
      <c r="AY137">
        <f>MIN(W137/400,1)*20</f>
        <v>6.05</v>
      </c>
      <c r="AZ137" s="4">
        <v>1</v>
      </c>
      <c r="BA137">
        <f>((MAX($J137,1)*MIN($AE137/300,1)))*IF(D137="Wagon",50,10)</f>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BD137*IF($D137="wagon",62.5,781.25)</f>
        <v>59375</v>
      </c>
      <c r="BG137" s="15">
        <f>BE137*IF($D137="wagon",2.73,81.25)</f>
        <v>9587.5</v>
      </c>
      <c r="BP137">
        <v>12</v>
      </c>
      <c r="BT137" t="str">
        <f>VLOOKUP(G137,Eras!$A$2:$C$10, 2, TRUE)</f>
        <v>big4</v>
      </c>
      <c r="BU137" t="s">
        <v>367</v>
      </c>
      <c r="BV137" t="str">
        <f>CONCATENATE(BT137,"_",BU137)</f>
        <v>big4_Mixed Traffic</v>
      </c>
      <c r="BW137" t="str">
        <f>IF(AND(BI137&lt;&gt;Y137,BI137&lt;&gt;""),_xlfn.CONCAT("{BLACK}","Tare speed: ","{GOLD}{VELOCITY}{}"), "")</f>
        <v/>
      </c>
      <c r="BX137" t="str">
        <f>_xlfn.CONCAT(E137, "_",F137)</f>
        <v>steam_RAIL</v>
      </c>
      <c r="BY137" t="str">
        <f>VLOOKUP($BX137, Constants!$M:$N, 2, FALSE)</f>
        <v>{BLACK}Powered by: {GOLD}Steam</v>
      </c>
      <c r="BZ137" t="str">
        <f>IF(J137&gt;1,_xlfn.CONCAT("{BLACK}Cars: {GOLD}", J137),"")</f>
        <v/>
      </c>
      <c r="CA137" t="s">
        <v>525</v>
      </c>
      <c r="CB137" t="str">
        <f>IF(BS137="BRAKE","{YELLOW}Speed bonus for slow wagons{}",IF(BQ137&gt;190,CONCATENATE("{YELLOW}",INT((BQ137-185)/1.85),"% Bonus for long distance travel{}"),IF(AND(BQ137&lt;180,BQ137&lt;&gt;0),CONCATENATE("{YELLOW}",INT((185-BQ137)/1.85),"% Penalty for long distance travel{}"),"")))</f>
        <v/>
      </c>
      <c r="CC137" t="str">
        <f>_xlfn.CONCAT(BW137,BY137,IF(BY137 &lt;&gt; "", " ", ""),BZ137,IF(OR(BZ137&lt;&gt;"", BY137&lt;&gt;""), "{}",""), CB137,"{SILVER}", CA137)</f>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((($Y138/2)/60)*5280)/($R138*3.2*PI())</f>
        <v>230.35583868563802</v>
      </c>
      <c r="R138" s="6">
        <v>1.9</v>
      </c>
      <c r="S138" s="6">
        <f>((($M138*$M138/4)*PI())*($N138/12)*$O138*$P138*$Q138)/(33000*1.1)</f>
        <v>2388.1080542264754</v>
      </c>
      <c r="T138">
        <v>78.099999999999994</v>
      </c>
      <c r="U138" s="9">
        <v>49.8</v>
      </c>
      <c r="W138">
        <v>145</v>
      </c>
      <c r="X138" s="4">
        <f>IF(AND(T138&gt;0,W138&gt;0),(W138/((T138+U138)*10)),"")</f>
        <v>0.11336982017200939</v>
      </c>
      <c r="Y138">
        <v>100</v>
      </c>
      <c r="AA138">
        <v>19.21</v>
      </c>
      <c r="AB138">
        <v>11.7</v>
      </c>
      <c r="AD138">
        <v>4.08</v>
      </c>
      <c r="AE138" s="11">
        <v>0</v>
      </c>
      <c r="AF138" t="str">
        <f>CONCATENATE(VLOOKUP(AG138, 'Voxel Sizes'!$A$2:$B$18,2,FALSE),"x",INT(AC138*15), "x", INT(AD138*15))</f>
        <v>120x0x61</v>
      </c>
      <c r="AG138">
        <f>ROUND(15*((AB138*10)/256),0)</f>
        <v>7</v>
      </c>
      <c r="AH138" t="s">
        <v>461</v>
      </c>
      <c r="AI138" t="str">
        <f>CONCATENATE(VLOOKUP(AG138,Constants!$A$2:$C$16,IF(AH138&lt;&gt;"", 3, 2), FALSE),IF(AH138&lt;&gt;"",CONCATENATE(",",VLOOKUP(AH138,$B:$AI,34,FALSE)),""))</f>
        <v>2,3,2,2,1,2</v>
      </c>
      <c r="AQ138">
        <v>1</v>
      </c>
      <c r="AS138">
        <v>30</v>
      </c>
      <c r="AT138">
        <f>IF(I138&lt;&gt;"",MAX(8,(I138-G138)-4),"")</f>
        <v>15</v>
      </c>
      <c r="AW138">
        <f>MIN(Y138/150, 1)*30</f>
        <v>20</v>
      </c>
      <c r="AX138">
        <f>MIN(K138/4000, 1)*20</f>
        <v>11</v>
      </c>
      <c r="AY138">
        <f>MIN(W138/400,1)*20</f>
        <v>7.25</v>
      </c>
      <c r="AZ138" s="4">
        <v>1</v>
      </c>
      <c r="BA138">
        <f>((MAX($J138,1)*MIN($AE138/300,1)))*IF(D138="Wagon",50,10)</f>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BD138*IF($D138="wagon",62.5,781.25)</f>
        <v>71093.75</v>
      </c>
      <c r="BG138" s="15">
        <f>BE138*IF($D138="wagon",2.73,81.25)</f>
        <v>11293.75</v>
      </c>
      <c r="BP138">
        <v>1</v>
      </c>
      <c r="BT138" t="str">
        <f>VLOOKUP(G138,Eras!$A$2:$C$10, 2, TRUE)</f>
        <v>big4</v>
      </c>
      <c r="BU138" t="s">
        <v>368</v>
      </c>
      <c r="BV138" t="str">
        <f>CONCATENATE(BT138,"_",BU138)</f>
        <v>big4_Express</v>
      </c>
      <c r="BW138" t="str">
        <f>IF(AND(BI138&lt;&gt;Y138,BI138&lt;&gt;""),_xlfn.CONCAT("{BLACK}","Tare speed: ","{GOLD}{VELOCITY}{}"), "")</f>
        <v/>
      </c>
      <c r="BX138" t="str">
        <f>_xlfn.CONCAT(E138, "_",F138)</f>
        <v>steam_RAIL</v>
      </c>
      <c r="BY138" t="str">
        <f>VLOOKUP($BX138, Constants!$M:$N, 2, FALSE)</f>
        <v>{BLACK}Powered by: {GOLD}Steam</v>
      </c>
      <c r="BZ138" t="str">
        <f>IF(J138&gt;1,_xlfn.CONCAT("{BLACK}Cars: {GOLD}", J138),"")</f>
        <v/>
      </c>
      <c r="CA138" t="s">
        <v>529</v>
      </c>
      <c r="CB138" t="str">
        <f>IF(BS138="BRAKE","{YELLOW}Speed bonus for slow wagons{}",IF(BQ138&gt;190,CONCATENATE("{YELLOW}",INT((BQ138-185)/1.85),"% Bonus for long distance travel{}"),IF(AND(BQ138&lt;180,BQ138&lt;&gt;0),CONCATENATE("{YELLOW}",INT((185-BQ138)/1.85),"% Penalty for long distance travel{}"),"")))</f>
        <v/>
      </c>
      <c r="CC138" t="str">
        <f>_xlfn.CONCAT(BW138,BY138,IF(BY138 &lt;&gt; "", " ", ""),BZ138,IF(OR(BZ138&lt;&gt;"", BY138&lt;&gt;""), "{}",""), CB138,"{SILVER}", CA138)</f>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((($Y139/2)/60)*5280)/($R139*3.2*PI())</f>
        <v>234.96295545935078</v>
      </c>
      <c r="R139" s="6">
        <v>1.9</v>
      </c>
      <c r="S139" s="6">
        <f>((($M139*$M139/4)*PI())*($N139/12)*$O139*$P139*$Q139)/(33000*1.1)</f>
        <v>2290.1005532296649</v>
      </c>
      <c r="T139">
        <v>87.4</v>
      </c>
      <c r="U139" s="9">
        <v>48</v>
      </c>
      <c r="W139">
        <v>138</v>
      </c>
      <c r="X139" s="4">
        <f>IF(AND(T139&gt;0,W139&gt;0),(W139/((T139+U139)*10)),"")</f>
        <v>0.10192023633677991</v>
      </c>
      <c r="Y139">
        <v>102</v>
      </c>
      <c r="AA139">
        <v>20.54</v>
      </c>
      <c r="AB139">
        <v>13</v>
      </c>
      <c r="AE139" s="11">
        <v>0</v>
      </c>
      <c r="AF139" t="str">
        <f>CONCATENATE(VLOOKUP(AG139, 'Voxel Sizes'!$A$2:$B$18,2,FALSE),"x",INT(AC139*15), "x", INT(AD139*15))</f>
        <v>136x0x0</v>
      </c>
      <c r="AG139">
        <f>ROUND(15*((AB139*10)/256),0)</f>
        <v>8</v>
      </c>
      <c r="AH139" t="s">
        <v>510</v>
      </c>
      <c r="AI139" t="str">
        <f>CONCATENATE(VLOOKUP(AG139,Constants!$A$2:$C$16,IF(AH139&lt;&gt;"", 3, 2), FALSE),IF(AH139&lt;&gt;"",CONCATENATE(",",VLOOKUP(AH139,$B:$AI,34,FALSE)),""))</f>
        <v>2,4,2,2,1,2</v>
      </c>
      <c r="AQ139">
        <v>1</v>
      </c>
      <c r="AS139">
        <v>30</v>
      </c>
      <c r="AT139">
        <f>IF(I139&lt;&gt;"",MAX(8,(I139-G139)-4),"")</f>
        <v>18</v>
      </c>
      <c r="AW139">
        <f>MIN(Y139/150, 1)*30</f>
        <v>20.400000000000002</v>
      </c>
      <c r="AX139">
        <f>MIN(K139/4000, 1)*20</f>
        <v>9</v>
      </c>
      <c r="AY139">
        <f>MIN(W139/400,1)*20</f>
        <v>6.8999999999999995</v>
      </c>
      <c r="AZ139" s="4">
        <v>1</v>
      </c>
      <c r="BA139">
        <f>((MAX($J139,1)*MIN($AE139/300,1)))*IF(D139="Wagon",50,10)</f>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BD139*IF($D139="wagon",62.5,781.25)</f>
        <v>67187.5</v>
      </c>
      <c r="BG139" s="15">
        <f>BE139*IF($D139="wagon",2.73,81.25)</f>
        <v>10806.25</v>
      </c>
      <c r="BP139">
        <v>2</v>
      </c>
      <c r="BT139" t="str">
        <f>VLOOKUP(G139,Eras!$A$2:$C$10, 2, TRUE)</f>
        <v>big4</v>
      </c>
      <c r="BU139" t="s">
        <v>367</v>
      </c>
      <c r="BV139" t="str">
        <f>CONCATENATE(BT139,"_",BU139)</f>
        <v>big4_Mixed Traffic</v>
      </c>
      <c r="BW139" t="str">
        <f>IF(AND(BI139&lt;&gt;Y139,BI139&lt;&gt;""),_xlfn.CONCAT("{BLACK}","Tare speed: ","{GOLD}{VELOCITY}{}"), "")</f>
        <v/>
      </c>
      <c r="BX139" t="str">
        <f>_xlfn.CONCAT(E139, "_",F139)</f>
        <v>steam_RAIL</v>
      </c>
      <c r="BY139" t="str">
        <f>VLOOKUP($BX139, Constants!$M:$N, 2, FALSE)</f>
        <v>{BLACK}Powered by: {GOLD}Steam</v>
      </c>
      <c r="BZ139" t="str">
        <f>IF(J139&gt;1,_xlfn.CONCAT("{BLACK}Cars: {GOLD}", J139),"")</f>
        <v/>
      </c>
      <c r="CA139" t="s">
        <v>530</v>
      </c>
      <c r="CB139" t="str">
        <f>IF(BS139="BRAKE","{YELLOW}Speed bonus for slow wagons{}",IF(BQ139&gt;190,CONCATENATE("{YELLOW}",INT((BQ139-185)/1.85),"% Bonus for long distance travel{}"),IF(AND(BQ139&lt;180,BQ139&lt;&gt;0),CONCATENATE("{YELLOW}",INT((185-BQ139)/1.85),"% Penalty for long distance travel{}"),"")))</f>
        <v/>
      </c>
      <c r="CC139" t="str">
        <f>_xlfn.CONCAT(BW139,BY139,IF(BY139 &lt;&gt; "", " ", ""),BZ139,IF(OR(BZ139&lt;&gt;"", BY139&lt;&gt;""), "{}",""), CB139,"{SILVER}", CA139)</f>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((($Y140/2)/60)*5280)/($R140*3.2*PI())</f>
        <v>262.60565610162729</v>
      </c>
      <c r="R140" s="6">
        <v>1.5</v>
      </c>
      <c r="S140" s="6">
        <f>((($M140*$M140/4)*PI())*($N140/12)*$O140*$P140*$Q140)/(33000*1.1)</f>
        <v>1790.518465909091</v>
      </c>
      <c r="T140">
        <v>152</v>
      </c>
      <c r="W140">
        <v>117</v>
      </c>
      <c r="X140" s="4">
        <f>IF(AND(T140&gt;0,W140&gt;0),(W140/((T140+U140)*10)),"")</f>
        <v>7.6973684210526319E-2</v>
      </c>
      <c r="Y140">
        <v>90</v>
      </c>
      <c r="Z140">
        <v>1</v>
      </c>
      <c r="AA140">
        <v>20.420000000000002</v>
      </c>
      <c r="AB140">
        <v>20.420000000000002</v>
      </c>
      <c r="AE140" s="11">
        <v>0</v>
      </c>
      <c r="AF140" t="str">
        <f>CONCATENATE(VLOOKUP(AG140, 'Voxel Sizes'!$A$2:$B$18,2,FALSE),"x",INT(AC140*15), "x", INT(AD140*15))</f>
        <v>198x0x0</v>
      </c>
      <c r="AG140">
        <f>ROUND(15*((AB140*10)/256),0)</f>
        <v>12</v>
      </c>
      <c r="AI140" t="str">
        <f>CONCATENATE(VLOOKUP(AG140,Constants!$A$2:$C$16,IF(AH140&lt;&gt;"", 3, 2), FALSE),IF(AH140&lt;&gt;"",CONCATENATE(",",VLOOKUP(AH140,$B:$AI,34,FALSE)),""))</f>
        <v>4,4,4</v>
      </c>
      <c r="AS140">
        <v>19</v>
      </c>
      <c r="AT140">
        <f>IF(I140&lt;&gt;"",MAX(8,(I140-G140)-4),"")</f>
        <v>8</v>
      </c>
      <c r="AW140">
        <f>MIN(Y140/150, 1)*30</f>
        <v>18</v>
      </c>
      <c r="AX140">
        <f>MIN(K140/4000, 1)*20</f>
        <v>9</v>
      </c>
      <c r="AY140">
        <f>MIN(W140/400,1)*20</f>
        <v>5.85</v>
      </c>
      <c r="AZ140" s="4">
        <v>1</v>
      </c>
      <c r="BA140">
        <f>((MAX($J140,1)*MIN($AE140/300,1)))*IF(D140="Wagon",50,10)</f>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BD140*IF($D140="wagon",62.5,781.25)</f>
        <v>61718.75</v>
      </c>
      <c r="BG140" s="15">
        <f>BE140*IF($D140="wagon",2.73,81.25)</f>
        <v>9912.5</v>
      </c>
      <c r="BP140">
        <v>3</v>
      </c>
      <c r="BT140" t="str">
        <f>VLOOKUP(G140,Eras!$A$2:$C$10, 2, TRUE)</f>
        <v>big4</v>
      </c>
      <c r="BU140" t="s">
        <v>367</v>
      </c>
      <c r="BV140" t="str">
        <f>CONCATENATE(BT140,"_",BU140)</f>
        <v>big4_Mixed Traffic</v>
      </c>
      <c r="BW140" t="str">
        <f>IF(AND(BI140&lt;&gt;Y140,BI140&lt;&gt;""),_xlfn.CONCAT("{BLACK}","Tare speed: ","{GOLD}{VELOCITY}{}"), "")</f>
        <v/>
      </c>
      <c r="BX140" t="str">
        <f>_xlfn.CONCAT(E140, "_",F140)</f>
        <v>steam_RAIL</v>
      </c>
      <c r="BY140" t="str">
        <f>VLOOKUP($BX140, Constants!$M:$N, 2, FALSE)</f>
        <v>{BLACK}Powered by: {GOLD}Steam</v>
      </c>
      <c r="BZ140" t="str">
        <f>IF(J140&gt;1,_xlfn.CONCAT("{BLACK}Cars: {GOLD}", J140),"")</f>
        <v/>
      </c>
      <c r="CA140" t="s">
        <v>532</v>
      </c>
      <c r="CB140" t="str">
        <f>IF(BS140="BRAKE","{YELLOW}Speed bonus for slow wagons{}",IF(BQ140&gt;190,CONCATENATE("{YELLOW}",INT((BQ140-185)/1.85),"% Bonus for long distance travel{}"),IF(AND(BQ140&lt;180,BQ140&lt;&gt;0),CONCATENATE("{YELLOW}",INT((185-BQ140)/1.85),"% Penalty for long distance travel{}"),"")))</f>
        <v/>
      </c>
      <c r="CC140" t="str">
        <f>_xlfn.CONCAT(BW140,BY140,IF(BY140 &lt;&gt; "", " ", ""),BZ140,IF(OR(BZ140&lt;&gt;"", BY140&lt;&gt;""), "{}",""), CB140,"{SILVER}", CA140)</f>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((($Y141/2)/60)*5280)/($R141*3.2*PI())</f>
        <v>233.42724986811314</v>
      </c>
      <c r="R141" s="6">
        <v>1.5</v>
      </c>
      <c r="S141" s="6">
        <f>((($M141*$M141/4)*PI())*($N141/12)*$O141*$P141*$Q141)/(33000*1.1)</f>
        <v>1034.3434343434342</v>
      </c>
      <c r="T141">
        <v>47.9</v>
      </c>
      <c r="U141" s="9">
        <v>37.700000000000003</v>
      </c>
      <c r="W141">
        <v>77</v>
      </c>
      <c r="X141" s="4">
        <f>IF(AND(T141&gt;0,W141&gt;0),(W141/((T141+U141)*10)),"")</f>
        <v>8.9953271028037379E-2</v>
      </c>
      <c r="Y141">
        <v>80</v>
      </c>
      <c r="AA141">
        <v>16.2</v>
      </c>
      <c r="AB141">
        <f>AA141-6</f>
        <v>10.199999999999999</v>
      </c>
      <c r="AE141" s="11">
        <v>0</v>
      </c>
      <c r="AF141" t="str">
        <f>CONCATENATE(VLOOKUP(AG141, 'Voxel Sizes'!$A$2:$B$18,2,FALSE),"x",INT(AC141*15), "x", INT(AD141*15))</f>
        <v>102x0x0</v>
      </c>
      <c r="AG141">
        <f>ROUND(15*((AB141*10)/256),0)</f>
        <v>6</v>
      </c>
      <c r="AH141" t="s">
        <v>536</v>
      </c>
      <c r="AI141" t="str">
        <f>CONCATENATE(VLOOKUP(AG141,Constants!$A$2:$C$16,IF(AH141&lt;&gt;"", 3, 2), FALSE),IF(AH141&lt;&gt;"",CONCATENATE(",",VLOOKUP(AH141,$B:$AI,34,FALSE)),""))</f>
        <v>2,2,2,1,2,1</v>
      </c>
      <c r="AQ141">
        <v>1</v>
      </c>
      <c r="AS141">
        <v>30</v>
      </c>
      <c r="AT141">
        <f>IF(I141&lt;&gt;"",MAX(8,(I141-G141)-4),"")</f>
        <v>17</v>
      </c>
      <c r="AW141">
        <f>MIN(Y141/150, 1)*30</f>
        <v>16</v>
      </c>
      <c r="AX141">
        <f>MIN(K141/4000, 1)*20</f>
        <v>5</v>
      </c>
      <c r="AY141">
        <f>MIN(W141/400,1)*20</f>
        <v>3.85</v>
      </c>
      <c r="AZ141" s="4">
        <v>1</v>
      </c>
      <c r="BA141">
        <f>((MAX($J141,1)*MIN($AE141/300,1)))*IF(D141="Wagon",50,10)</f>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BD141*IF($D141="wagon",62.5,781.25)</f>
        <v>47656.25</v>
      </c>
      <c r="BG141" s="15">
        <f>BE141*IF($D141="wagon",2.73,81.25)</f>
        <v>7962.5</v>
      </c>
      <c r="BP141">
        <v>4</v>
      </c>
      <c r="BT141" t="str">
        <f>VLOOKUP(G141,Eras!$A$2:$C$10, 2, TRUE)</f>
        <v>big4</v>
      </c>
      <c r="BU141" t="s">
        <v>366</v>
      </c>
      <c r="BV141" t="str">
        <f>CONCATENATE(BT141,"_",BU141)</f>
        <v>big4_Cheap</v>
      </c>
      <c r="BW141" t="str">
        <f>IF(AND(BI141&lt;&gt;Y141,BI141&lt;&gt;""),_xlfn.CONCAT("{BLACK}","Tare speed: ","{GOLD}{VELOCITY}{}"), "")</f>
        <v/>
      </c>
      <c r="BX141" t="str">
        <f>_xlfn.CONCAT(E141, "_",F141)</f>
        <v>steam_RAIL</v>
      </c>
      <c r="BY141" t="str">
        <f>VLOOKUP($BX141, Constants!$M:$N, 2, FALSE)</f>
        <v>{BLACK}Powered by: {GOLD}Steam</v>
      </c>
      <c r="BZ141" t="str">
        <f>IF(J141&gt;1,_xlfn.CONCAT("{BLACK}Cars: {GOLD}", J141),"")</f>
        <v/>
      </c>
      <c r="CA141" t="s">
        <v>538</v>
      </c>
      <c r="CB141" t="str">
        <f>IF(BS141="BRAKE","{YELLOW}Speed bonus for slow wagons{}",IF(BQ141&gt;190,CONCATENATE("{YELLOW}",INT((BQ141-185)/1.85),"% Bonus for long distance travel{}"),IF(AND(BQ141&lt;180,BQ141&lt;&gt;0),CONCATENATE("{YELLOW}",INT((185-BQ141)/1.85),"% Penalty for long distance travel{}"),"")))</f>
        <v/>
      </c>
      <c r="CC141" t="str">
        <f>_xlfn.CONCAT(BW141,BY141,IF(BY141 &lt;&gt; "", " ", ""),BZ141,IF(OR(BZ141&lt;&gt;"", BY141&lt;&gt;""), "{}",""), CB141,"{SILVER}", CA141)</f>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IF(AND(T142&gt;0,W142&gt;0),(W142/((T142+U142)*10)),"")</f>
        <v>0.14186584425597532</v>
      </c>
      <c r="Y142">
        <v>93</v>
      </c>
      <c r="AA142">
        <v>18.64</v>
      </c>
      <c r="AB142">
        <v>18.64</v>
      </c>
      <c r="AD142">
        <v>3.95</v>
      </c>
      <c r="AE142" s="11">
        <v>0</v>
      </c>
      <c r="AF142" t="str">
        <f>CONCATENATE(VLOOKUP(AG142, 'Voxel Sizes'!$A$2:$B$18,2,FALSE),"x",INT(AC142*15), "x", INT(AD142*15))</f>
        <v>186x0x59</v>
      </c>
      <c r="AG142">
        <f>ROUND(15*((AB142*10)/256),0)</f>
        <v>11</v>
      </c>
      <c r="AI142" t="str">
        <f>CONCATENATE(VLOOKUP(AG142,Constants!$A$2:$C$16,IF(AH142&lt;&gt;"", 3, 2), FALSE),IF(AH142&lt;&gt;"",CONCATENATE(",",VLOOKUP(AH142,$B:$AI,34,FALSE)),""))</f>
        <v>4,3,4</v>
      </c>
      <c r="AS142">
        <v>26</v>
      </c>
      <c r="AT142">
        <f>IF(I142&lt;&gt;"",MAX(8,(I142-G142)-4),"")</f>
        <v>15</v>
      </c>
      <c r="AW142">
        <f>MIN(Y142/150, 1)*30</f>
        <v>18.600000000000001</v>
      </c>
      <c r="AX142">
        <f>MIN(K142/4000, 1)*20</f>
        <v>8</v>
      </c>
      <c r="AY142">
        <f>MIN(W142/400,1)*20</f>
        <v>9.2000000000000011</v>
      </c>
      <c r="AZ142" s="4">
        <v>1</v>
      </c>
      <c r="BA142">
        <f>((MAX($J142,1)*MIN($AE142/300,1)))*IF(D142="Wagon",50,10)</f>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BD142*IF($D142="wagon",62.5,781.25)</f>
        <v>78906.25</v>
      </c>
      <c r="BG142" s="15">
        <f>BE142*IF($D142="wagon",2.73,81.25)</f>
        <v>9018.75</v>
      </c>
      <c r="BP142">
        <v>5</v>
      </c>
      <c r="BT142" t="str">
        <f>VLOOKUP(G142,Eras!$A$2:$C$10, 2, TRUE)</f>
        <v>big4</v>
      </c>
      <c r="BU142" t="s">
        <v>367</v>
      </c>
      <c r="BV142" t="str">
        <f>CONCATENATE(BT142,"_",BU142)</f>
        <v>big4_Mixed Traffic</v>
      </c>
      <c r="BW142" t="str">
        <f>IF(AND(BI142&lt;&gt;Y142,BI142&lt;&gt;""),_xlfn.CONCAT("{BLACK}","Tare speed: ","{GOLD}{VELOCITY}{}"), "")</f>
        <v/>
      </c>
      <c r="BX142" t="str">
        <f>_xlfn.CONCAT(E142, "_",F142)</f>
        <v>diesel_RAIL</v>
      </c>
      <c r="BY142" t="str">
        <f>VLOOKUP($BX142, Constants!$M:$N, 2, FALSE)</f>
        <v>{BLACK}Powered by: {GOLD}Diesel</v>
      </c>
      <c r="BZ142" t="str">
        <f>IF(J142&gt;1,_xlfn.CONCAT("{BLACK}Cars: {GOLD}", J142),"")</f>
        <v/>
      </c>
      <c r="CA142" t="s">
        <v>539</v>
      </c>
      <c r="CB142" t="str">
        <f>IF(BS142="BRAKE","{YELLOW}Speed bonus for slow wagons{}",IF(BQ142&gt;190,CONCATENATE("{YELLOW}",INT((BQ142-185)/1.85),"% Bonus for long distance travel{}"),IF(AND(BQ142&lt;180,BQ142&lt;&gt;0),CONCATENATE("{YELLOW}",INT((185-BQ142)/1.85),"% Penalty for long distance travel{}"),"")))</f>
        <v/>
      </c>
      <c r="CC142" t="str">
        <f>_xlfn.CONCAT(BW142,BY142,IF(BY142 &lt;&gt; "", " ", ""),BZ142,IF(OR(BZ142&lt;&gt;"", BY142&lt;&gt;""), "{}",""), CB142,"{SILVER}", CA142)</f>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IF(AND(T143&gt;0,W143&gt;0),(W143/((T143+U143)*10)),"")</f>
        <v>9.8341232227488154E-2</v>
      </c>
      <c r="Y143">
        <v>100</v>
      </c>
      <c r="AA143">
        <v>22.24</v>
      </c>
      <c r="AB143">
        <f>AA143-7.5</f>
        <v>14.739999999999998</v>
      </c>
      <c r="AD143">
        <v>3.99</v>
      </c>
      <c r="AE143" s="11">
        <v>0</v>
      </c>
      <c r="AF143" t="str">
        <f>CONCATENATE(VLOOKUP(AG143, 'Voxel Sizes'!$A$2:$B$18,2,FALSE),"x",INT(AC143*15), "x", INT(AD143*15))</f>
        <v>152x0x59</v>
      </c>
      <c r="AG143">
        <f>ROUND(15*((AB143*10)/256),0)</f>
        <v>9</v>
      </c>
      <c r="AH143" t="s">
        <v>476</v>
      </c>
      <c r="AI143" t="str">
        <f>CONCATENATE(VLOOKUP(AG143,Constants!$A$2:$C$16,IF(AH143&lt;&gt;"", 3, 2), FALSE),IF(AH143&lt;&gt;"",CONCATENATE(",",VLOOKUP(AH143,$B:$AI,34,FALSE)),""))</f>
        <v>2,5,2,2,1,2</v>
      </c>
      <c r="AQ143">
        <v>1</v>
      </c>
      <c r="AS143">
        <v>32</v>
      </c>
      <c r="AT143">
        <f>IF(I143&lt;&gt;"",MAX(8,(I143-G143)-4),"")</f>
        <v>14</v>
      </c>
      <c r="AW143">
        <f>MIN(Y143/150, 1)*30</f>
        <v>20</v>
      </c>
      <c r="AX143">
        <f>MIN(K143/4000, 1)*20</f>
        <v>13.5</v>
      </c>
      <c r="AY143">
        <f>MIN(W143/400,1)*20</f>
        <v>8.2999999999999989</v>
      </c>
      <c r="AZ143" s="4">
        <v>1</v>
      </c>
      <c r="BA143">
        <f>((MAX($J143,1)*MIN($AE143/300,1)))*IF(D143="Wagon",50,10)</f>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BD143*IF($D143="wagon",62.5,781.25)</f>
        <v>77343.75</v>
      </c>
      <c r="BG143" s="15">
        <f>BE143*IF($D143="wagon",2.73,81.25)</f>
        <v>12187.5</v>
      </c>
      <c r="BP143">
        <v>6</v>
      </c>
      <c r="BT143" t="str">
        <f>VLOOKUP(G143,Eras!$A$2:$C$10, 2, TRUE)</f>
        <v>ebr</v>
      </c>
      <c r="BU143" t="s">
        <v>368</v>
      </c>
      <c r="BV143" t="str">
        <f>CONCATENATE(BT143,"_",BU143)</f>
        <v>ebr_Express</v>
      </c>
      <c r="BW143" t="str">
        <f>IF(AND(BI143&lt;&gt;Y143,BI143&lt;&gt;""),_xlfn.CONCAT("{BLACK}","Tare speed: ","{GOLD}{VELOCITY}{}"), "")</f>
        <v/>
      </c>
      <c r="BX143" t="str">
        <f>_xlfn.CONCAT(E143, "_",F143)</f>
        <v>steam_RAIL</v>
      </c>
      <c r="BY143" t="str">
        <f>VLOOKUP($BX143, Constants!$M:$N, 2, FALSE)</f>
        <v>{BLACK}Powered by: {GOLD}Steam</v>
      </c>
      <c r="BZ143" t="str">
        <f>IF(J143&gt;1,_xlfn.CONCAT("{BLACK}Cars: {GOLD}", J143),"")</f>
        <v/>
      </c>
      <c r="CA143" t="s">
        <v>540</v>
      </c>
      <c r="CB143" t="str">
        <f>IF(BS143="BRAKE","{YELLOW}Speed bonus for slow wagons{}",IF(BQ143&gt;190,CONCATENATE("{YELLOW}",INT((BQ143-185)/1.85),"% Bonus for long distance travel{}"),IF(AND(BQ143&lt;180,BQ143&lt;&gt;0),CONCATENATE("{YELLOW}",INT((185-BQ143)/1.85),"% Penalty for long distance travel{}"),"")))</f>
        <v/>
      </c>
      <c r="CC143" t="str">
        <f>_xlfn.CONCAT(BW143,BY143,IF(BY143 &lt;&gt; "", " ", ""),BZ143,IF(OR(BZ143&lt;&gt;"", BY143&lt;&gt;""), "{}",""), CB143,"{SILVER}", CA143)</f>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IF(AND(T144&gt;0,W144&gt;0),(W144/((T144+U144)*10)),"")</f>
        <v>0.22396416573348266</v>
      </c>
      <c r="Y144">
        <v>65</v>
      </c>
      <c r="AA144">
        <v>15.34</v>
      </c>
      <c r="AB144">
        <v>15.34</v>
      </c>
      <c r="AE144" s="11">
        <v>0</v>
      </c>
      <c r="AF144" t="str">
        <f>CONCATENATE(VLOOKUP(AG144, 'Voxel Sizes'!$A$2:$B$18,2,FALSE),"x",INT(AC144*15), "x", INT(AD144*15))</f>
        <v>152x0x0</v>
      </c>
      <c r="AG144">
        <f>ROUND(15*((AB144*10)/256),0)</f>
        <v>9</v>
      </c>
      <c r="AI144" t="str">
        <f>CONCATENATE(VLOOKUP(AG144,Constants!$A$2:$C$16,IF(AH144&lt;&gt;"", 3, 2), FALSE),IF(AH144&lt;&gt;"",CONCATENATE(",",VLOOKUP(AH144,$B:$AI,34,FALSE)),""))</f>
        <v>2,5,2</v>
      </c>
      <c r="AS144">
        <v>30</v>
      </c>
      <c r="AT144">
        <f>IF(I144&lt;&gt;"",MAX(8,(I144-G144)-4),"")</f>
        <v>27</v>
      </c>
      <c r="AW144">
        <f>MIN(Y144/150, 1)*30</f>
        <v>13</v>
      </c>
      <c r="AX144">
        <f>MIN(K144/4000, 1)*20</f>
        <v>6.5</v>
      </c>
      <c r="AY144">
        <f>MIN(W144/400,1)*20</f>
        <v>10</v>
      </c>
      <c r="AZ144" s="4">
        <v>1</v>
      </c>
      <c r="BA144">
        <f>((MAX($J144,1)*MIN($AE144/300,1)))*IF(D144="Wagon",50,10)</f>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BD144*IF($D144="wagon",62.5,781.25)</f>
        <v>76562.5</v>
      </c>
      <c r="BG144" s="15">
        <f>BE144*IF($D144="wagon",2.73,81.25)</f>
        <v>6337.5</v>
      </c>
      <c r="BP144">
        <v>7</v>
      </c>
      <c r="BT144" t="str">
        <f>VLOOKUP(G144,Eras!$A$2:$C$10, 2, TRUE)</f>
        <v>ebr</v>
      </c>
      <c r="BU144" t="s">
        <v>379</v>
      </c>
      <c r="BV144" t="str">
        <f>CONCATENATE(BT144,"_",BU144)</f>
        <v>ebr_Freight (Electric)</v>
      </c>
      <c r="BW144" t="str">
        <f>IF(AND(BI144&lt;&gt;Y144,BI144&lt;&gt;""),_xlfn.CONCAT("{BLACK}","Tare speed: ","{GOLD}{VELOCITY}{}"), "")</f>
        <v/>
      </c>
      <c r="BX144" t="str">
        <f>_xlfn.CONCAT(E144, "_",F144)</f>
        <v>electric_ELRL</v>
      </c>
      <c r="BY144" t="str">
        <f>VLOOKUP($BX144, Constants!$M:$N, 2, FALSE)</f>
        <v>{BLACK}Powered by: {GOLD}25kV AC</v>
      </c>
      <c r="BZ144" t="str">
        <f>IF(J144&gt;1,_xlfn.CONCAT("{BLACK}Cars: {GOLD}", J144),"")</f>
        <v/>
      </c>
      <c r="CA144" t="s">
        <v>395</v>
      </c>
      <c r="CB144" t="str">
        <f>IF(BS144="BRAKE","{YELLOW}Speed bonus for slow wagons{}",IF(BQ144&gt;190,CONCATENATE("{YELLOW}",INT((BQ144-185)/1.85),"% Bonus for long distance travel{}"),IF(AND(BQ144&lt;180,BQ144&lt;&gt;0),CONCATENATE("{YELLOW}",INT((185-BQ144)/1.85),"% Penalty for long distance travel{}"),"")))</f>
        <v/>
      </c>
      <c r="CC144" t="str">
        <f>_xlfn.CONCAT(BW144,BY144,IF(BY144 &lt;&gt; "", " ", ""),BZ144,IF(OR(BZ144&lt;&gt;"", BY144&lt;&gt;""), "{}",""), CB144,"{SILVER}", CA144)</f>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IF(AND(T145&gt;0,W145&gt;0),(W145/((T145+U145)*10)),"")</f>
        <v>0.11697027804410355</v>
      </c>
      <c r="Y145">
        <v>80</v>
      </c>
      <c r="AA145">
        <v>20.96</v>
      </c>
      <c r="AB145">
        <f>AA145-7.5</f>
        <v>13.46</v>
      </c>
      <c r="AD145">
        <v>3.98</v>
      </c>
      <c r="AE145" s="11">
        <v>0</v>
      </c>
      <c r="AF145" t="str">
        <f>CONCATENATE(VLOOKUP(AG145, 'Voxel Sizes'!$A$2:$B$18,2,FALSE),"x",INT(AC145*15), "x", INT(AD145*15))</f>
        <v>136x0x59</v>
      </c>
      <c r="AG145">
        <f>ROUND(15*((AB145*10)/256),0)</f>
        <v>8</v>
      </c>
      <c r="AH145" t="s">
        <v>481</v>
      </c>
      <c r="AI145" t="str">
        <f>CONCATENATE(VLOOKUP(AG145,Constants!$A$2:$C$16,IF(AH145&lt;&gt;"", 3, 2), FALSE),IF(AH145&lt;&gt;"",CONCATENATE(",",VLOOKUP(AH145,$B:$AI,34,FALSE)),""))</f>
        <v>2,4,2,2,1,2</v>
      </c>
      <c r="AQ145">
        <v>1</v>
      </c>
      <c r="AS145">
        <v>30</v>
      </c>
      <c r="AT145">
        <f>IF(I145&lt;&gt;"",MAX(8,(I145-G145)-4),"")</f>
        <v>11</v>
      </c>
      <c r="AW145">
        <f>MIN(Y145/150, 1)*30</f>
        <v>16</v>
      </c>
      <c r="AX145">
        <f>MIN(K145/4000, 1)*20</f>
        <v>7.5</v>
      </c>
      <c r="AY145">
        <f>MIN(W145/400,1)*20</f>
        <v>6.1</v>
      </c>
      <c r="AZ145" s="4">
        <v>1</v>
      </c>
      <c r="BA145">
        <f>((MAX($J145,1)*MIN($AE145/300,1)))*IF(D145="Wagon",50,10)</f>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BD145*IF($D145="wagon",62.5,781.25)</f>
        <v>56250</v>
      </c>
      <c r="BG145" s="15">
        <f>BE145*IF($D145="wagon",2.73,81.25)</f>
        <v>9100</v>
      </c>
      <c r="BP145">
        <v>8</v>
      </c>
      <c r="BT145" t="str">
        <f>VLOOKUP(G145,Eras!$A$2:$C$10, 2, TRUE)</f>
        <v>ebr</v>
      </c>
      <c r="BU145" t="s">
        <v>367</v>
      </c>
      <c r="BV145" t="str">
        <f>CONCATENATE(BT145,"_",BU145)</f>
        <v>ebr_Mixed Traffic</v>
      </c>
      <c r="BW145" t="str">
        <f>IF(AND(BI145&lt;&gt;Y145,BI145&lt;&gt;""),_xlfn.CONCAT("{BLACK}","Tare speed: ","{GOLD}{VELOCITY}{}"), "")</f>
        <v/>
      </c>
      <c r="BX145" t="str">
        <f>_xlfn.CONCAT(E145, "_",F145)</f>
        <v>steam_RAIL</v>
      </c>
      <c r="BY145" t="str">
        <f>VLOOKUP($BX145, Constants!$M:$N, 2, FALSE)</f>
        <v>{BLACK}Powered by: {GOLD}Steam</v>
      </c>
      <c r="BZ145" t="str">
        <f>IF(J145&gt;1,_xlfn.CONCAT("{BLACK}Cars: {GOLD}", J145),"")</f>
        <v/>
      </c>
      <c r="CA145" t="s">
        <v>548</v>
      </c>
      <c r="CB145" t="str">
        <f>IF(BS145="BRAKE","{YELLOW}Speed bonus for slow wagons{}",IF(BQ145&gt;190,CONCATENATE("{YELLOW}",INT((BQ145-185)/1.85),"% Bonus for long distance travel{}"),IF(AND(BQ145&lt;180,BQ145&lt;&gt;0),CONCATENATE("{YELLOW}",INT((185-BQ145)/1.85),"% Penalty for long distance travel{}"),"")))</f>
        <v/>
      </c>
      <c r="CC145" t="str">
        <f>_xlfn.CONCAT(BW145,BY145,IF(BY145 &lt;&gt; "", " ", ""),BZ145,IF(OR(BZ145&lt;&gt;"", BY145&lt;&gt;""), "{}",""), CB145,"{SILVER}", CA145)</f>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IF(AND(T146&gt;0,W146&gt;0),(W146/((T146+U146)*10)),"")</f>
        <v>9.8281786941580754E-2</v>
      </c>
      <c r="Y146">
        <v>90</v>
      </c>
      <c r="AA146">
        <v>20.96</v>
      </c>
      <c r="AB146">
        <f>AA146-7.5</f>
        <v>13.46</v>
      </c>
      <c r="AD146">
        <v>3.98</v>
      </c>
      <c r="AE146" s="11">
        <v>0</v>
      </c>
      <c r="AF146" t="str">
        <f>CONCATENATE(VLOOKUP(AG146, 'Voxel Sizes'!$A$2:$B$18,2,FALSE),"x",INT(AC146*15), "x", INT(AD146*15))</f>
        <v>136x0x59</v>
      </c>
      <c r="AG146">
        <f>ROUND(15*((AB146*10)/256),0)</f>
        <v>8</v>
      </c>
      <c r="AH146" t="s">
        <v>481</v>
      </c>
      <c r="AI146" t="str">
        <f>CONCATENATE(VLOOKUP(AG146,Constants!$A$2:$C$16,IF(AH146&lt;&gt;"", 3, 2), FALSE),IF(AH146&lt;&gt;"",CONCATENATE(",",VLOOKUP(AH146,$B:$AI,34,FALSE)),""))</f>
        <v>2,4,2,2,1,2</v>
      </c>
      <c r="AQ146">
        <v>1</v>
      </c>
      <c r="AS146">
        <v>30</v>
      </c>
      <c r="AT146">
        <f>IF(I146&lt;&gt;"",MAX(8,(I146-G146)-4),"")</f>
        <v>13</v>
      </c>
      <c r="AW146">
        <f>MIN(Y146/150, 1)*30</f>
        <v>18</v>
      </c>
      <c r="AX146">
        <f>MIN(K146/4000, 1)*20</f>
        <v>10</v>
      </c>
      <c r="AY146">
        <f>MIN(W146/400,1)*20</f>
        <v>7.1499999999999995</v>
      </c>
      <c r="AZ146" s="4">
        <v>1</v>
      </c>
      <c r="BA146">
        <f>((MAX($J146,1)*MIN($AE146/300,1)))*IF(D146="Wagon",50,10)</f>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BD146*IF($D146="wagon",62.5,781.25)</f>
        <v>65625</v>
      </c>
      <c r="BG146" s="15">
        <f>BE146*IF($D146="wagon",2.73,81.25)</f>
        <v>10481.25</v>
      </c>
      <c r="BP146">
        <v>9</v>
      </c>
      <c r="BT146" t="str">
        <f>VLOOKUP(G146,Eras!$A$2:$C$10, 2, TRUE)</f>
        <v>ebr</v>
      </c>
      <c r="BU146" t="s">
        <v>367</v>
      </c>
      <c r="BV146" t="str">
        <f>CONCATENATE(BT146,"_",BU146)</f>
        <v>ebr_Mixed Traffic</v>
      </c>
      <c r="BW146" t="str">
        <f>IF(AND(BI146&lt;&gt;Y146,BI146&lt;&gt;""),_xlfn.CONCAT("{BLACK}","Tare speed: ","{GOLD}{VELOCITY}{}"), "")</f>
        <v/>
      </c>
      <c r="BX146" t="str">
        <f>_xlfn.CONCAT(E146, "_",F146)</f>
        <v>steam_RAIL</v>
      </c>
      <c r="BY146" t="str">
        <f>VLOOKUP($BX146, Constants!$M:$N, 2, FALSE)</f>
        <v>{BLACK}Powered by: {GOLD}Steam</v>
      </c>
      <c r="BZ146" t="str">
        <f>IF(J146&gt;1,_xlfn.CONCAT("{BLACK}Cars: {GOLD}", J146),"")</f>
        <v/>
      </c>
      <c r="CA146" t="s">
        <v>547</v>
      </c>
      <c r="CB146" t="str">
        <f>IF(BS146="BRAKE","{YELLOW}Speed bonus for slow wagons{}",IF(BQ146&gt;190,CONCATENATE("{YELLOW}",INT((BQ146-185)/1.85),"% Bonus for long distance travel{}"),IF(AND(BQ146&lt;180,BQ146&lt;&gt;0),CONCATENATE("{YELLOW}",INT((185-BQ146)/1.85),"% Penalty for long distance travel{}"),"")))</f>
        <v/>
      </c>
      <c r="CC146" t="str">
        <f>_xlfn.CONCAT(BW146,BY146,IF(BY146 &lt;&gt; "", " ", ""),BZ146,IF(OR(BZ146&lt;&gt;"", BY146&lt;&gt;""), "{}",""), CB146,"{SILVER}", CA146)</f>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IF(AND(T147&gt;0,W147&gt;0),(W147/((T147+U147)*10)),"")</f>
        <v>0.32128514056224899</v>
      </c>
      <c r="Y147">
        <v>20</v>
      </c>
      <c r="AA147">
        <v>8.92</v>
      </c>
      <c r="AB147">
        <v>9.5</v>
      </c>
      <c r="AC147">
        <v>2.59</v>
      </c>
      <c r="AD147">
        <v>3.87</v>
      </c>
      <c r="AE147" s="11">
        <v>0</v>
      </c>
      <c r="AF147" t="str">
        <f>CONCATENATE(VLOOKUP(AG147, 'Voxel Sizes'!$A$2:$B$18,2,FALSE),"x",INT(AC147*15), "x", INT(AD147*15))</f>
        <v>102x38x58</v>
      </c>
      <c r="AG147">
        <f>ROUND(15*((AB147*10)/256),0)</f>
        <v>6</v>
      </c>
      <c r="AI147" t="str">
        <f>CONCATENATE(VLOOKUP(AG147,Constants!$A$2:$C$16,IF(AH147&lt;&gt;"", 3, 2), FALSE),IF(AH147&lt;&gt;"",CONCATENATE(",",VLOOKUP(AH147,$B:$AI,34,FALSE)),""))</f>
        <v>2,2,2</v>
      </c>
      <c r="AQ147">
        <v>1</v>
      </c>
      <c r="AS147">
        <v>42</v>
      </c>
      <c r="AT147" t="str">
        <f>IF(I147&lt;&gt;"",MAX(8,(I147-G147)-4),"")</f>
        <v/>
      </c>
      <c r="AW147">
        <f>MIN(Y147/150, 1)*30</f>
        <v>4</v>
      </c>
      <c r="AX147">
        <f>MIN(K147/4000, 1)*20</f>
        <v>1.75</v>
      </c>
      <c r="AY147">
        <f>MIN(W147/400,1)*20</f>
        <v>8</v>
      </c>
      <c r="AZ147" s="4">
        <v>1</v>
      </c>
      <c r="BA147">
        <f>((MAX($J147,1)*MIN($AE147/300,1)))*IF(D147="Wagon",50,10)</f>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BD147*IF($D147="wagon",62.5,781.25)</f>
        <v>34375</v>
      </c>
      <c r="BG147" s="15">
        <f>BE147*IF($D147="wagon",2.73,81.25)</f>
        <v>4550</v>
      </c>
      <c r="BP147">
        <v>10</v>
      </c>
      <c r="BT147" t="str">
        <f>VLOOKUP(G147,Eras!$A$2:$C$10, 2, TRUE)</f>
        <v>ebr</v>
      </c>
      <c r="BU147" t="s">
        <v>366</v>
      </c>
      <c r="BV147" t="str">
        <f>CONCATENATE(BT147,"_",BU147)</f>
        <v>ebr_Cheap</v>
      </c>
      <c r="BW147" t="str">
        <f>IF(AND(BI147&lt;&gt;Y147,BI147&lt;&gt;""),_xlfn.CONCAT("{BLACK}","Tare speed: ","{GOLD}{VELOCITY}{}"), "")</f>
        <v/>
      </c>
      <c r="BX147" t="str">
        <f>_xlfn.CONCAT(E147, "_",F147)</f>
        <v>diesel_RAIL</v>
      </c>
      <c r="BY147" t="str">
        <f>VLOOKUP($BX147, Constants!$M:$N, 2, FALSE)</f>
        <v>{BLACK}Powered by: {GOLD}Diesel</v>
      </c>
      <c r="BZ147" t="str">
        <f>IF(J147&gt;1,_xlfn.CONCAT("{BLACK}Cars: {GOLD}", J147),"")</f>
        <v/>
      </c>
      <c r="CA147" t="s">
        <v>396</v>
      </c>
      <c r="CB147" t="str">
        <f>IF(BS147="BRAKE","{YELLOW}Speed bonus for slow wagons{}",IF(BQ147&gt;190,CONCATENATE("{YELLOW}",INT((BQ147-185)/1.85),"% Bonus for long distance travel{}"),IF(AND(BQ147&lt;180,BQ147&lt;&gt;0),CONCATENATE("{YELLOW}",INT((185-BQ147)/1.85),"% Penalty for long distance travel{}"),"")))</f>
        <v/>
      </c>
      <c r="CC147" t="str">
        <f>_xlfn.CONCAT(BW147,BY147,IF(BY147 &lt;&gt; "", " ", ""),BZ147,IF(OR(BZ147&lt;&gt;"", BY147&lt;&gt;""), "{}",""), CB147,"{SILVER}", CA147)</f>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IF(AND(T148&gt;0,W148&gt;0),(W148/((T148+U148)*10)),"")</f>
        <v>0.19212295869356388</v>
      </c>
      <c r="Y148">
        <v>90</v>
      </c>
      <c r="AA148">
        <v>17.98</v>
      </c>
      <c r="AB148">
        <v>17.98</v>
      </c>
      <c r="AE148" s="11">
        <v>0</v>
      </c>
      <c r="AF148" t="str">
        <f>CONCATENATE(VLOOKUP(AG148, 'Voxel Sizes'!$A$2:$B$18,2,FALSE),"x",INT(AC148*15), "x", INT(AD148*15))</f>
        <v>186x0x0</v>
      </c>
      <c r="AG148">
        <f>ROUND(15*((AB148*10)/256),0)</f>
        <v>11</v>
      </c>
      <c r="AI148" t="str">
        <f>CONCATENATE(VLOOKUP(AG148,Constants!$A$2:$C$16,IF(AH148&lt;&gt;"", 3, 2), FALSE),IF(AH148&lt;&gt;"",CONCATENATE(",",VLOOKUP(AH148,$B:$AI,34,FALSE)),""))</f>
        <v>4,3,4</v>
      </c>
      <c r="AS148">
        <v>25</v>
      </c>
      <c r="AT148">
        <f>IF(I148&lt;&gt;"",MAX(8,(I148-G148)-4),"")</f>
        <v>11</v>
      </c>
      <c r="AW148">
        <f>MIN(Y148/150, 1)*30</f>
        <v>18</v>
      </c>
      <c r="AX148">
        <f>MIN(K148/4000, 1)*20</f>
        <v>12.450000000000001</v>
      </c>
      <c r="AY148">
        <f>MIN(W148/400,1)*20</f>
        <v>10</v>
      </c>
      <c r="AZ148" s="4">
        <v>1</v>
      </c>
      <c r="BA148">
        <f>((MAX($J148,1)*MIN($AE148/300,1)))*IF(D148="Wagon",50,10)</f>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BD148*IF($D148="wagon",62.5,781.25)</f>
        <v>102343.75</v>
      </c>
      <c r="BG148" s="15">
        <f>BE148*IF($D148="wagon",2.73,81.25)</f>
        <v>8206.25</v>
      </c>
      <c r="BP148">
        <v>11</v>
      </c>
      <c r="BT148" t="str">
        <f>VLOOKUP(G148,Eras!$A$2:$C$10, 2, TRUE)</f>
        <v>ebr</v>
      </c>
      <c r="BU148" t="s">
        <v>378</v>
      </c>
      <c r="BV148" t="str">
        <f>CONCATENATE(BT148,"_",BU148)</f>
        <v>ebr_Express (Electric)</v>
      </c>
      <c r="BW148" t="str">
        <f>IF(AND(BI148&lt;&gt;Y148,BI148&lt;&gt;""),_xlfn.CONCAT("{BLACK}","Tare speed: ","{GOLD}{VELOCITY}{}"), "")</f>
        <v/>
      </c>
      <c r="BX148" t="str">
        <f>_xlfn.CONCAT(E148, "_",F148)</f>
        <v>electric_ELRL</v>
      </c>
      <c r="BY148" t="str">
        <f>VLOOKUP($BX148, Constants!$M:$N, 2, FALSE)</f>
        <v>{BLACK}Powered by: {GOLD}25kV AC</v>
      </c>
      <c r="BZ148" t="str">
        <f>IF(J148&gt;1,_xlfn.CONCAT("{BLACK}Cars: {GOLD}", J148),"")</f>
        <v/>
      </c>
      <c r="CA148" t="s">
        <v>549</v>
      </c>
      <c r="CB148" t="str">
        <f>IF(BS148="BRAKE","{YELLOW}Speed bonus for slow wagons{}",IF(BQ148&gt;190,CONCATENATE("{YELLOW}",INT((BQ148-185)/1.85),"% Bonus for long distance travel{}"),IF(AND(BQ148&lt;180,BQ148&lt;&gt;0),CONCATENATE("{YELLOW}",INT((185-BQ148)/1.85),"% Penalty for long distance travel{}"),"")))</f>
        <v/>
      </c>
      <c r="CC148" t="str">
        <f>_xlfn.CONCAT(BW148,BY148,IF(BY148 &lt;&gt; "", " ", ""),BZ148,IF(OR(BZ148&lt;&gt;"", BY148&lt;&gt;""), "{}",""), CB148,"{SILVER}", CA148)</f>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IF(AND(T149&gt;0,W149&gt;0),(W149/((T149+U149)*10)),"")</f>
        <v>0.12482269503546099</v>
      </c>
      <c r="Y149">
        <v>90</v>
      </c>
      <c r="AA149">
        <v>20.170000000000002</v>
      </c>
      <c r="AB149">
        <v>15</v>
      </c>
      <c r="AE149" s="11">
        <v>0</v>
      </c>
      <c r="AF149" t="str">
        <f>CONCATENATE(VLOOKUP(AG149, 'Voxel Sizes'!$A$2:$B$18,2,FALSE),"x",INT(AC149*15), "x", INT(AD149*15))</f>
        <v>152x0x0</v>
      </c>
      <c r="AG149">
        <f>ROUND(15*((AB149*10)/256),0)</f>
        <v>9</v>
      </c>
      <c r="AH149" t="s">
        <v>481</v>
      </c>
      <c r="AI149" t="str">
        <f>CONCATENATE(VLOOKUP(AG149,Constants!$A$2:$C$16,IF(AH149&lt;&gt;"", 3, 2), FALSE),IF(AH149&lt;&gt;"",CONCATENATE(",",VLOOKUP(AH149,$B:$AI,34,FALSE)),""))</f>
        <v>2,5,2,2,1,2</v>
      </c>
      <c r="AQ149">
        <v>1</v>
      </c>
      <c r="AS149">
        <v>33</v>
      </c>
      <c r="AT149">
        <f>IF(I149&lt;&gt;"",MAX(8,(I149-G149)-4),"")</f>
        <v>10</v>
      </c>
      <c r="AW149">
        <f>MIN(Y149/150, 1)*30</f>
        <v>18</v>
      </c>
      <c r="AX149">
        <f>MIN(K149/4000, 1)*20</f>
        <v>12.5</v>
      </c>
      <c r="AY149">
        <f>MIN(W149/400,1)*20</f>
        <v>8.8000000000000007</v>
      </c>
      <c r="AZ149" s="4">
        <v>1</v>
      </c>
      <c r="BA149">
        <f>((MAX($J149,1)*MIN($AE149/300,1)))*IF(D149="Wagon",50,10)</f>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BD149*IF($D149="wagon",62.5,781.25)</f>
        <v>72656.25</v>
      </c>
      <c r="BG149" s="15">
        <f>BE149*IF($D149="wagon",2.73,81.25)</f>
        <v>11537.5</v>
      </c>
      <c r="BP149">
        <v>12</v>
      </c>
      <c r="BT149" t="str">
        <f>VLOOKUP(G149,Eras!$A$2:$C$10, 2, TRUE)</f>
        <v>ebr</v>
      </c>
      <c r="BU149" t="s">
        <v>369</v>
      </c>
      <c r="BV149" t="str">
        <f>CONCATENATE(BT149,"_",BU149)</f>
        <v>ebr_Freight</v>
      </c>
      <c r="BW149" t="str">
        <f>IF(AND(BI149&lt;&gt;Y149,BI149&lt;&gt;""),_xlfn.CONCAT("{BLACK}","Tare speed: ","{GOLD}{VELOCITY}{}"), "")</f>
        <v/>
      </c>
      <c r="BX149" t="str">
        <f>_xlfn.CONCAT(E149, "_",F149)</f>
        <v>steam_RAIL</v>
      </c>
      <c r="BY149" t="str">
        <f>VLOOKUP($BX149, Constants!$M:$N, 2, FALSE)</f>
        <v>{BLACK}Powered by: {GOLD}Steam</v>
      </c>
      <c r="BZ149" t="str">
        <f>IF(J149&gt;1,_xlfn.CONCAT("{BLACK}Cars: {GOLD}", J149),"")</f>
        <v/>
      </c>
      <c r="CA149" t="s">
        <v>552</v>
      </c>
      <c r="CB149" t="str">
        <f>IF(BS149="BRAKE","{YELLOW}Speed bonus for slow wagons{}",IF(BQ149&gt;190,CONCATENATE("{YELLOW}",INT((BQ149-185)/1.85),"% Bonus for long distance travel{}"),IF(AND(BQ149&lt;180,BQ149&lt;&gt;0),CONCATENATE("{YELLOW}",INT((185-BQ149)/1.85),"% Penalty for long distance travel{}"),"")))</f>
        <v/>
      </c>
      <c r="CC149" t="str">
        <f>_xlfn.CONCAT(BW149,BY149,IF(BY149 &lt;&gt; "", " ", ""),BZ149,IF(OR(BZ149&lt;&gt;"", BY149&lt;&gt;""), "{}",""), CB149,"{SILVER}", CA149)</f>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IF(AND(T150&gt;0,W150&gt;0),(W150/((T150+U150)*10)),"")</f>
        <v>0.21574074074074073</v>
      </c>
      <c r="Y150">
        <v>106</v>
      </c>
      <c r="AA150">
        <v>21.18</v>
      </c>
      <c r="AB150">
        <v>21.18</v>
      </c>
      <c r="AD150">
        <v>3.91</v>
      </c>
      <c r="AE150" s="11">
        <v>0</v>
      </c>
      <c r="AF150" t="str">
        <f>CONCATENATE(VLOOKUP(AG150, 'Voxel Sizes'!$A$2:$B$18,2,FALSE),"x",INT(AC150*15), "x", INT(AD150*15))</f>
        <v>198x0x58</v>
      </c>
      <c r="AG150">
        <f>ROUND(15*((AB150*10)/256),0)</f>
        <v>12</v>
      </c>
      <c r="AI150" t="str">
        <f>CONCATENATE(VLOOKUP(AG150,Constants!$A$2:$C$16,IF(AH150&lt;&gt;"", 3, 2), FALSE),IF(AH150&lt;&gt;"",CONCATENATE(",",VLOOKUP(AH150,$B:$AI,34,FALSE)),""))</f>
        <v>4,4,4</v>
      </c>
      <c r="AS150">
        <v>26</v>
      </c>
      <c r="AT150">
        <f>IF(I150&lt;&gt;"",MAX(8,(I150-G150)-4),"")</f>
        <v>23</v>
      </c>
      <c r="AW150">
        <f>MIN(Y150/150, 1)*30</f>
        <v>21.2</v>
      </c>
      <c r="AX150">
        <f>MIN(K150/4000, 1)*20</f>
        <v>16.5</v>
      </c>
      <c r="AY150">
        <f>MIN(W150/400,1)*20</f>
        <v>11.65</v>
      </c>
      <c r="AZ150" s="4">
        <v>1</v>
      </c>
      <c r="BA150">
        <f>((MAX($J150,1)*MIN($AE150/300,1)))*IF(D150="Wagon",50,10)</f>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BD150*IF($D150="wagon",62.5,781.25)</f>
        <v>107031.25</v>
      </c>
      <c r="BG150" s="15">
        <f>BE150*IF($D150="wagon",2.73,81.25)</f>
        <v>11943.75</v>
      </c>
      <c r="BP150">
        <v>1</v>
      </c>
      <c r="BT150" t="str">
        <f>VLOOKUP(G150,Eras!$A$2:$C$10, 2, TRUE)</f>
        <v>dsl</v>
      </c>
      <c r="BU150" t="s">
        <v>368</v>
      </c>
      <c r="BV150" t="str">
        <f>CONCATENATE(BT150,"_",BU150)</f>
        <v>dsl_Express</v>
      </c>
      <c r="BW150" t="str">
        <f>IF(AND(BI150&lt;&gt;Y150,BI150&lt;&gt;""),_xlfn.CONCAT("{BLACK}","Tare speed: ","{GOLD}{VELOCITY}{}"), "")</f>
        <v/>
      </c>
      <c r="BX150" t="str">
        <f>_xlfn.CONCAT(E150, "_",F150)</f>
        <v>diesel_RAIL</v>
      </c>
      <c r="BY150" t="str">
        <f>VLOOKUP($BX150, Constants!$M:$N, 2, FALSE)</f>
        <v>{BLACK}Powered by: {GOLD}Diesel</v>
      </c>
      <c r="BZ150" t="str">
        <f>IF(J150&gt;1,_xlfn.CONCAT("{BLACK}Cars: {GOLD}", J150),"")</f>
        <v/>
      </c>
      <c r="CA150" t="s">
        <v>553</v>
      </c>
      <c r="CB150" t="str">
        <f>IF(BS150="BRAKE","{YELLOW}Speed bonus for slow wagons{}",IF(BQ150&gt;190,CONCATENATE("{YELLOW}",INT((BQ150-185)/1.85),"% Bonus for long distance travel{}"),IF(AND(BQ150&lt;180,BQ150&lt;&gt;0),CONCATENATE("{YELLOW}",INT((185-BQ150)/1.85),"% Penalty for long distance travel{}"),"")))</f>
        <v/>
      </c>
      <c r="CC150" t="str">
        <f>_xlfn.CONCAT(BW150,BY150,IF(BY150 &lt;&gt; "", " ", ""),BZ150,IF(OR(BZ150&lt;&gt;"", BY150&lt;&gt;""), "{}",""), CB150,"{SILVER}", CA150)</f>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W151">
        <v>85</v>
      </c>
      <c r="X151" s="4">
        <f>IF(AND(T151&gt;0,W151&gt;0),(W151/((T151+U151)*10)),"")</f>
        <v>0.14782608695652175</v>
      </c>
      <c r="Y151">
        <v>70</v>
      </c>
      <c r="AA151">
        <v>17.37</v>
      </c>
      <c r="AB151">
        <v>17.37</v>
      </c>
      <c r="AD151">
        <v>3.77</v>
      </c>
      <c r="AE151" s="11">
        <v>51</v>
      </c>
      <c r="AF151" t="str">
        <f>CONCATENATE(VLOOKUP(AG151, 'Voxel Sizes'!$A$2:$B$18,2,FALSE),"x",INT(AC151*15), "x", INT(AD151*15))</f>
        <v>164x0x56</v>
      </c>
      <c r="AG151">
        <f>ROUND(15*((AB151*10)/256),0)</f>
        <v>10</v>
      </c>
      <c r="AI151" t="str">
        <f>CONCATENATE(VLOOKUP(AG151,Constants!$A$2:$C$16,IF(AH151&lt;&gt;"", 3, 2), FALSE),IF(AH151&lt;&gt;"",CONCATENATE(",",VLOOKUP(AH151,$B:$AI,34,FALSE)),""))</f>
        <v>4,2,4</v>
      </c>
      <c r="AM151" t="s">
        <v>555</v>
      </c>
      <c r="AO151" t="s">
        <v>508</v>
      </c>
      <c r="AS151">
        <v>45</v>
      </c>
      <c r="AT151">
        <f>IF(I151&lt;&gt;"",MAX(8,(I151-G151)-4),"")</f>
        <v>43</v>
      </c>
      <c r="AW151">
        <f>MIN(Y151/150, 1)*30</f>
        <v>14</v>
      </c>
      <c r="AX151">
        <f>MIN(K151/4000, 1)*20</f>
        <v>3</v>
      </c>
      <c r="AY151">
        <f>MIN(W151/400,1)*20</f>
        <v>4.25</v>
      </c>
      <c r="AZ151" s="4">
        <v>1</v>
      </c>
      <c r="BA151">
        <f>((MAX($J151,1)*MIN($AE151/300,1)))*IF(D151="Wagon",50,10)</f>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BD151*IF($D151="wagon",62.5,781.25)</f>
        <v>41406.25</v>
      </c>
      <c r="BG151" s="15">
        <f>BE151*IF($D151="wagon",2.73,81.25)</f>
        <v>6662.5</v>
      </c>
      <c r="BP151">
        <v>2</v>
      </c>
      <c r="BS151" t="s">
        <v>323</v>
      </c>
      <c r="BT151" t="str">
        <f>VLOOKUP(G151,Eras!$A$2:$C$10, 2, TRUE)</f>
        <v>dsl</v>
      </c>
      <c r="BU151" t="s">
        <v>371</v>
      </c>
      <c r="BV151" t="str">
        <f>CONCATENATE(BT151,"_",BU151)</f>
        <v>dsl_DMU</v>
      </c>
      <c r="BW151" t="str">
        <f>IF(AND(BI151&lt;&gt;Y151,BI151&lt;&gt;""),_xlfn.CONCAT("{BLACK}","Tare speed: ","{GOLD}{VELOCITY}{}"), "")</f>
        <v/>
      </c>
      <c r="BX151" t="str">
        <f>_xlfn.CONCAT(E151, "_",F151)</f>
        <v>diesel_RAIL</v>
      </c>
      <c r="BY151" t="str">
        <f>VLOOKUP($BX151, Constants!$M:$N, 2, FALSE)</f>
        <v>{BLACK}Powered by: {GOLD}Diesel</v>
      </c>
      <c r="BZ151" t="str">
        <f>IF(J151&gt;1,_xlfn.CONCAT("{BLACK}Cars: {GOLD}", J151),"")</f>
        <v>{BLACK}Cars: {GOLD}2</v>
      </c>
      <c r="CA151" t="s">
        <v>554</v>
      </c>
      <c r="CB151" t="str">
        <f>IF(BS151="BRAKE","{YELLOW}Speed bonus for slow wagons{}",IF(BQ151&gt;190,CONCATENATE("{YELLOW}",INT((BQ151-185)/1.85),"% Bonus for long distance travel{}"),IF(AND(BQ151&lt;180,BQ151&lt;&gt;0),CONCATENATE("{YELLOW}",INT((185-BQ151)/1.85),"% Penalty for long distance travel{}"),"")))</f>
        <v/>
      </c>
      <c r="CC151" t="str">
        <f>_xlfn.CONCAT(BW151,BY151,IF(BY151 &lt;&gt; "", " ", ""),BZ151,IF(OR(BZ151&lt;&gt;"", BY151&lt;&gt;""), "{}",""), CB151,"{SILVER}", CA151)</f>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IF(AND(T152&gt;0,W152&gt;0),(W152/((T152+U152)*10)),"")</f>
        <v>0.14760147601476015</v>
      </c>
      <c r="Y152">
        <v>80</v>
      </c>
      <c r="AA152">
        <v>17.3</v>
      </c>
      <c r="AB152">
        <v>17.3</v>
      </c>
      <c r="AD152">
        <v>3.84</v>
      </c>
      <c r="AE152" s="11">
        <v>0</v>
      </c>
      <c r="AF152" t="str">
        <f>CONCATENATE(VLOOKUP(AG152, 'Voxel Sizes'!$A$2:$B$18,2,FALSE),"x",INT(AC152*15), "x", INT(AD152*15))</f>
        <v>164x0x57</v>
      </c>
      <c r="AG152">
        <f>ROUND(15*((AB152*10)/256),0)</f>
        <v>10</v>
      </c>
      <c r="AI152" t="str">
        <f>CONCATENATE(VLOOKUP(AG152,Constants!$A$2:$C$16,IF(AH152&lt;&gt;"", 3, 2), FALSE),IF(AH152&lt;&gt;"",CONCATENATE(",",VLOOKUP(AH152,$B:$AI,34,FALSE)),""))</f>
        <v>4,2,4</v>
      </c>
      <c r="AS152">
        <v>30</v>
      </c>
      <c r="AT152">
        <f>IF(I152&lt;&gt;"",MAX(8,(I152-G152)-4),"")</f>
        <v>56</v>
      </c>
      <c r="AW152">
        <f>MIN(Y152/150, 1)*30</f>
        <v>16</v>
      </c>
      <c r="AX152">
        <f>MIN(K152/4000, 1)*20</f>
        <v>6.25</v>
      </c>
      <c r="AY152">
        <f>MIN(W152/400,1)*20</f>
        <v>8</v>
      </c>
      <c r="AZ152" s="4">
        <v>1</v>
      </c>
      <c r="BA152">
        <f>((MAX($J152,1)*MIN($AE152/300,1)))*IF(D152="Wagon",50,10)</f>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BD152*IF($D152="wagon",62.5,781.25)</f>
        <v>67968.75</v>
      </c>
      <c r="BG152" s="15">
        <f>BE152*IF($D152="wagon",2.73,81.25)</f>
        <v>7800</v>
      </c>
      <c r="BP152">
        <v>3</v>
      </c>
      <c r="BT152" t="str">
        <f>VLOOKUP(G152,Eras!$A$2:$C$10, 2, TRUE)</f>
        <v>dsl</v>
      </c>
      <c r="BU152" t="s">
        <v>369</v>
      </c>
      <c r="BV152" t="str">
        <f>CONCATENATE(BT152,"_",BU152)</f>
        <v>dsl_Freight</v>
      </c>
      <c r="BW152" t="str">
        <f>IF(AND(BI152&lt;&gt;Y152,BI152&lt;&gt;""),_xlfn.CONCAT("{BLACK}","Tare speed: ","{GOLD}{VELOCITY}{}"), "")</f>
        <v/>
      </c>
      <c r="BX152" t="str">
        <f>_xlfn.CONCAT(E152, "_",F152)</f>
        <v>diesel_RAIL</v>
      </c>
      <c r="BY152" t="str">
        <f>VLOOKUP($BX152, Constants!$M:$N, 2, FALSE)</f>
        <v>{BLACK}Powered by: {GOLD}Diesel</v>
      </c>
      <c r="BZ152" t="str">
        <f>IF(J152&gt;1,_xlfn.CONCAT("{BLACK}Cars: {GOLD}", J152),"")</f>
        <v/>
      </c>
      <c r="CA152" t="s">
        <v>558</v>
      </c>
      <c r="CB152" t="str">
        <f>IF(BS152="BRAKE","{YELLOW}Speed bonus for slow wagons{}",IF(BQ152&gt;190,CONCATENATE("{YELLOW}",INT((BQ152-185)/1.85),"% Bonus for long distance travel{}"),IF(AND(BQ152&lt;180,BQ152&lt;&gt;0),CONCATENATE("{YELLOW}",INT((185-BQ152)/1.85),"% Penalty for long distance travel{}"),"")))</f>
        <v/>
      </c>
      <c r="CC152" t="str">
        <f>_xlfn.CONCAT(BW152,BY152,IF(BY152 &lt;&gt; "", " ", ""),BZ152,IF(OR(BZ152&lt;&gt;"", BY152&lt;&gt;""), "{}",""), CB152,"{SILVER}", CA152)</f>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IF(AND(T153&gt;0,W153&gt;0),(W153/((T153+U153)*10)),"")</f>
        <v>0.25479452054794521</v>
      </c>
      <c r="Y153">
        <v>75</v>
      </c>
      <c r="AA153">
        <v>14.25</v>
      </c>
      <c r="AB153">
        <v>14.25</v>
      </c>
      <c r="AC153">
        <v>2.67</v>
      </c>
      <c r="AD153">
        <v>3.85</v>
      </c>
      <c r="AE153" s="11">
        <v>0</v>
      </c>
      <c r="AF153" t="str">
        <f>CONCATENATE(VLOOKUP(AG153, 'Voxel Sizes'!$A$2:$B$18,2,FALSE),"x",INT(AC153*15), "x", INT(AD153*15))</f>
        <v>136x40x57</v>
      </c>
      <c r="AG153">
        <f>ROUND(15*((AB153*10)/256),0)</f>
        <v>8</v>
      </c>
      <c r="AI153" t="str">
        <f>CONCATENATE(VLOOKUP(AG153,Constants!$A$2:$C$16,IF(AH153&lt;&gt;"", 3, 2), FALSE),IF(AH153&lt;&gt;"",CONCATENATE(",",VLOOKUP(AH153,$B:$AI,34,FALSE)),""))</f>
        <v>2,4,2</v>
      </c>
      <c r="AS153">
        <v>33</v>
      </c>
      <c r="AT153" t="str">
        <f>IF(I153&lt;&gt;"",MAX(8,(I153-G153)-4),"")</f>
        <v/>
      </c>
      <c r="AW153">
        <f>MIN(Y153/150, 1)*30</f>
        <v>15</v>
      </c>
      <c r="AX153">
        <f>MIN(K153/4000, 1)*20</f>
        <v>5</v>
      </c>
      <c r="AY153">
        <f>MIN(W153/400,1)*20</f>
        <v>9.3000000000000007</v>
      </c>
      <c r="AZ153" s="4">
        <v>1</v>
      </c>
      <c r="BA153">
        <f>((MAX($J153,1)*MIN($AE153/300,1)))*IF(D153="Wagon",50,10)</f>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BD153*IF($D153="wagon",62.5,781.25)</f>
        <v>65625</v>
      </c>
      <c r="BG153" s="15">
        <f>BE153*IF($D153="wagon",2.73,81.25)</f>
        <v>7637.5</v>
      </c>
      <c r="BH153">
        <v>2</v>
      </c>
      <c r="BP153">
        <v>4</v>
      </c>
      <c r="BT153" t="str">
        <f>VLOOKUP(G153,Eras!$A$2:$C$10, 2, TRUE)</f>
        <v>dsl</v>
      </c>
      <c r="BU153" t="s">
        <v>367</v>
      </c>
      <c r="BV153" t="str">
        <f>CONCATENATE(BT153,"_",BU153)</f>
        <v>dsl_Mixed Traffic</v>
      </c>
      <c r="BW153" t="str">
        <f>IF(AND(BI153&lt;&gt;Y153,BI153&lt;&gt;""),_xlfn.CONCAT("{BLACK}","Tare speed: ","{GOLD}{VELOCITY}{}"), "")</f>
        <v/>
      </c>
      <c r="BX153" t="str">
        <f>_xlfn.CONCAT(E153, "_",F153)</f>
        <v>diesel_RAIL</v>
      </c>
      <c r="BY153" t="str">
        <f>VLOOKUP($BX153, Constants!$M:$N, 2, FALSE)</f>
        <v>{BLACK}Powered by: {GOLD}Diesel</v>
      </c>
      <c r="BZ153" t="str">
        <f>IF(J153&gt;1,_xlfn.CONCAT("{BLACK}Cars: {GOLD}", J153),"")</f>
        <v/>
      </c>
      <c r="CA153" t="s">
        <v>397</v>
      </c>
      <c r="CB153" t="str">
        <f>IF(BS153="BRAKE","{YELLOW}Speed bonus for slow wagons{}",IF(BQ153&gt;190,CONCATENATE("{YELLOW}",INT((BQ153-185)/1.85),"% Bonus for long distance travel{}"),IF(AND(BQ153&lt;180,BQ153&lt;&gt;0),CONCATENATE("{YELLOW}",INT((185-BQ153)/1.85),"% Penalty for long distance travel{}"),"")))</f>
        <v/>
      </c>
      <c r="CC153" t="str">
        <f>_xlfn.CONCAT(BW153,BY153,IF(BY153 &lt;&gt; "", " ", ""),BZ153,IF(OR(BZ153&lt;&gt;"", BY153&lt;&gt;""), "{}",""), CB153,"{SILVER}", CA153)</f>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IF(AND(T154&gt;0,W154&gt;0),(W154/((T154+U154)*10)),"")</f>
        <v>0.13412698412698412</v>
      </c>
      <c r="Y154">
        <v>90</v>
      </c>
      <c r="AA154">
        <v>20.74</v>
      </c>
      <c r="AB154">
        <v>14</v>
      </c>
      <c r="AE154" s="11">
        <v>0</v>
      </c>
      <c r="AF154" t="str">
        <f>CONCATENATE(VLOOKUP(AG154, 'Voxel Sizes'!$A$2:$B$18,2,FALSE),"x",INT(AC154*15), "x", INT(AD154*15))</f>
        <v>136x0x0</v>
      </c>
      <c r="AG154">
        <f>ROUND(15*((AB154*10)/256),0)</f>
        <v>8</v>
      </c>
      <c r="AH154" t="s">
        <v>681</v>
      </c>
      <c r="AI154" t="str">
        <f>CONCATENATE(VLOOKUP(AG154,Constants!$A$2:$C$16,IF(AH154&lt;&gt;"", 3, 2), FALSE),IF(AH154&lt;&gt;"",CONCATENATE(",",VLOOKUP(AH154,$B:$AI,34,FALSE)),""))</f>
        <v>2,4,2,2,1,2</v>
      </c>
      <c r="AQ154">
        <v>1</v>
      </c>
      <c r="AS154">
        <v>9</v>
      </c>
      <c r="AT154">
        <f>IF(I154&lt;&gt;"",MAX(8,(I154-G154)-4),"")</f>
        <v>8</v>
      </c>
      <c r="AW154">
        <f>MIN(Y154/150, 1)*30</f>
        <v>18</v>
      </c>
      <c r="AX154">
        <f>MIN(K154/4000, 1)*20</f>
        <v>13.75</v>
      </c>
      <c r="AY154">
        <f>MIN(W154/400,1)*20</f>
        <v>8.4499999999999993</v>
      </c>
      <c r="AZ154" s="4">
        <v>1</v>
      </c>
      <c r="BA154">
        <f>((MAX($J154,1)*MIN($AE154/300,1)))*IF(D154="Wagon",50,10)</f>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BD154*IF($D154="wagon",62.5,781.25)</f>
        <v>88281.25</v>
      </c>
      <c r="BG154" s="15">
        <f>BE154*IF($D154="wagon",2.73,81.25)</f>
        <v>9993.75</v>
      </c>
      <c r="BP154">
        <v>5</v>
      </c>
      <c r="BT154" t="str">
        <f>VLOOKUP(G154,Eras!$A$2:$C$10, 2, TRUE)</f>
        <v>dsl</v>
      </c>
      <c r="BU154" t="s">
        <v>368</v>
      </c>
      <c r="BV154" t="str">
        <f>CONCATENATE(BT154,"_",BU154)</f>
        <v>dsl_Express</v>
      </c>
      <c r="BW154" t="str">
        <f>IF(AND(BI154&lt;&gt;Y154,BI154&lt;&gt;""),_xlfn.CONCAT("{BLACK}","Tare speed: ","{GOLD}{VELOCITY}{}"), "")</f>
        <v/>
      </c>
      <c r="BX154" t="str">
        <f>_xlfn.CONCAT(E154, "_",F154)</f>
        <v>diesel_RAIL</v>
      </c>
      <c r="BY154" t="str">
        <f>VLOOKUP($BX154, Constants!$M:$N, 2, FALSE)</f>
        <v>{BLACK}Powered by: {GOLD}Diesel</v>
      </c>
      <c r="BZ154" t="str">
        <f>IF(J154&gt;1,_xlfn.CONCAT("{BLACK}Cars: {GOLD}", J154),"")</f>
        <v/>
      </c>
      <c r="CA154" t="s">
        <v>556</v>
      </c>
      <c r="CB154" t="str">
        <f>IF(BS154="BRAKE","{YELLOW}Speed bonus for slow wagons{}",IF(BQ154&gt;190,CONCATENATE("{YELLOW}",INT((BQ154-185)/1.85),"% Bonus for long distance travel{}"),IF(AND(BQ154&lt;180,BQ154&lt;&gt;0),CONCATENATE("{YELLOW}",INT((185-BQ154)/1.85),"% Penalty for long distance travel{}"),"")))</f>
        <v/>
      </c>
      <c r="CC154" t="str">
        <f>_xlfn.CONCAT(BW154,BY154,IF(BY154 &lt;&gt; "", " ", ""),BZ154,IF(OR(BZ154&lt;&gt;"", BY154&lt;&gt;""), "{}",""), CB154,"{SILVER}", CA154)</f>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IF(AND(T155&gt;0,W155&gt;0),(W155/((T155+U155)*10)),"")</f>
        <v>0.26986128625472888</v>
      </c>
      <c r="Y155">
        <v>90</v>
      </c>
      <c r="AA155">
        <v>18.29</v>
      </c>
      <c r="AB155">
        <v>18.29</v>
      </c>
      <c r="AD155">
        <v>3.67</v>
      </c>
      <c r="AE155" s="11">
        <v>0</v>
      </c>
      <c r="AF155" t="str">
        <f>CONCATENATE(VLOOKUP(AG155, 'Voxel Sizes'!$A$2:$B$18,2,FALSE),"x",INT(AC155*15), "x", INT(AD155*15))</f>
        <v>186x0x55</v>
      </c>
      <c r="AG155">
        <f>ROUND(15*((AB155*10)/256),0)</f>
        <v>11</v>
      </c>
      <c r="AI155" t="str">
        <f>CONCATENATE(VLOOKUP(AG155,Constants!$A$2:$C$16,IF(AH155&lt;&gt;"", 3, 2), FALSE),IF(AH155&lt;&gt;"",CONCATENATE(",",VLOOKUP(AH155,$B:$AI,34,FALSE)),""))</f>
        <v>4,3,4</v>
      </c>
      <c r="AS155">
        <v>32</v>
      </c>
      <c r="AT155">
        <f>IF(I155&lt;&gt;"",MAX(8,(I155-G155)-4),"")</f>
        <v>10</v>
      </c>
      <c r="AW155">
        <f>MIN(Y155/150, 1)*30</f>
        <v>18</v>
      </c>
      <c r="AX155">
        <f>MIN(K155/4000, 1)*20</f>
        <v>10.35</v>
      </c>
      <c r="AY155">
        <f>MIN(W155/400,1)*20</f>
        <v>10.700000000000001</v>
      </c>
      <c r="AZ155" s="4">
        <v>1</v>
      </c>
      <c r="BA155">
        <f>((MAX($J155,1)*MIN($AE155/300,1)))*IF(D155="Wagon",50,10)</f>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BD155*IF($D155="wagon",62.5,781.25)</f>
        <v>85937.5</v>
      </c>
      <c r="BG155" s="15">
        <f>BE155*IF($D155="wagon",2.73,81.25)</f>
        <v>9750</v>
      </c>
      <c r="BP155">
        <v>6</v>
      </c>
      <c r="BT155" t="str">
        <f>VLOOKUP(G155,Eras!$A$2:$C$10, 2, TRUE)</f>
        <v>dsl</v>
      </c>
      <c r="BU155" t="s">
        <v>417</v>
      </c>
      <c r="BV155" t="str">
        <f>CONCATENATE(BT155,"_",BU155)</f>
        <v>dsl_Passenger</v>
      </c>
      <c r="BW155" t="str">
        <f>IF(AND(BI155&lt;&gt;Y155,BI155&lt;&gt;""),_xlfn.CONCAT("{BLACK}","Tare speed: ","{GOLD}{VELOCITY}{}"), "")</f>
        <v/>
      </c>
      <c r="BX155" t="str">
        <f>_xlfn.CONCAT(E155, "_",F155)</f>
        <v>diesel_RAIL</v>
      </c>
      <c r="BY155" t="str">
        <f>VLOOKUP($BX155, Constants!$M:$N, 2, FALSE)</f>
        <v>{BLACK}Powered by: {GOLD}Diesel</v>
      </c>
      <c r="BZ155" t="str">
        <f>IF(J155&gt;1,_xlfn.CONCAT("{BLACK}Cars: {GOLD}", J155),"")</f>
        <v/>
      </c>
      <c r="CA155" t="s">
        <v>559</v>
      </c>
      <c r="CB155" t="str">
        <f>IF(BS155="BRAKE","{YELLOW}Speed bonus for slow wagons{}",IF(BQ155&gt;190,CONCATENATE("{YELLOW}",INT((BQ155-185)/1.85),"% Bonus for long distance travel{}"),IF(AND(BQ155&lt;180,BQ155&lt;&gt;0),CONCATENATE("{YELLOW}",INT((185-BQ155)/1.85),"% Penalty for long distance travel{}"),"")))</f>
        <v/>
      </c>
      <c r="CC155" t="str">
        <f>_xlfn.CONCAT(BW155,BY155,IF(BY155 &lt;&gt; "", " ", ""),BZ155,IF(OR(BZ155&lt;&gt;"", BY155&lt;&gt;""), "{}",""), CB155,"{SILVER}", CA155)</f>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IF(AND(T156&gt;0,W156&gt;0),(W156/((T156+U156)*10)),"")</f>
        <v>0.1711111111111111</v>
      </c>
      <c r="Y156">
        <v>90</v>
      </c>
      <c r="AA156">
        <v>21.18</v>
      </c>
      <c r="AB156">
        <v>21.18</v>
      </c>
      <c r="AD156">
        <v>3.91</v>
      </c>
      <c r="AE156" s="11">
        <v>0</v>
      </c>
      <c r="AF156" t="str">
        <f>CONCATENATE(VLOOKUP(AG156, 'Voxel Sizes'!$A$2:$B$18,2,FALSE),"x",INT(AC156*15), "x", INT(AD156*15))</f>
        <v>198x0x58</v>
      </c>
      <c r="AG156">
        <f>ROUND(15*((AB156*10)/256),0)</f>
        <v>12</v>
      </c>
      <c r="AI156" t="str">
        <f>CONCATENATE(VLOOKUP(AG156,Constants!$A$2:$C$16,IF(AH156&lt;&gt;"", 3, 2), FALSE),IF(AH156&lt;&gt;"",CONCATENATE(",",VLOOKUP(AH156,$B:$AI,34,FALSE)),""))</f>
        <v>4,4,4</v>
      </c>
      <c r="AS156">
        <v>29</v>
      </c>
      <c r="AT156">
        <f>IF(I156&lt;&gt;"",MAX(8,(I156-G156)-4),"")</f>
        <v>23</v>
      </c>
      <c r="AW156">
        <f>MIN(Y156/150, 1)*30</f>
        <v>18</v>
      </c>
      <c r="AX156">
        <f>MIN(K156/4000, 1)*20</f>
        <v>10</v>
      </c>
      <c r="AY156">
        <f>MIN(W156/400,1)*20</f>
        <v>11.55</v>
      </c>
      <c r="AZ156" s="4">
        <v>1</v>
      </c>
      <c r="BA156">
        <f>((MAX($J156,1)*MIN($AE156/300,1)))*IF(D156="Wagon",50,10)</f>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BD156*IF($D156="wagon",62.5,781.25)</f>
        <v>86718.75</v>
      </c>
      <c r="BG156" s="15">
        <f>BE156*IF($D156="wagon",2.73,81.25)</f>
        <v>9831.25</v>
      </c>
      <c r="BP156">
        <v>7</v>
      </c>
      <c r="BT156" t="str">
        <f>VLOOKUP(G156,Eras!$A$2:$C$10, 2, TRUE)</f>
        <v>dsl</v>
      </c>
      <c r="BU156" t="s">
        <v>368</v>
      </c>
      <c r="BV156" t="str">
        <f>CONCATENATE(BT156,"_",BU156)</f>
        <v>dsl_Express</v>
      </c>
      <c r="BW156" t="str">
        <f>IF(AND(BI156&lt;&gt;Y156,BI156&lt;&gt;""),_xlfn.CONCAT("{BLACK}","Tare speed: ","{GOLD}{VELOCITY}{}"), "")</f>
        <v/>
      </c>
      <c r="BX156" t="str">
        <f>_xlfn.CONCAT(E156, "_",F156)</f>
        <v>diesel_RAIL</v>
      </c>
      <c r="BY156" t="str">
        <f>VLOOKUP($BX156, Constants!$M:$N, 2, FALSE)</f>
        <v>{BLACK}Powered by: {GOLD}Diesel</v>
      </c>
      <c r="BZ156" t="str">
        <f>IF(J156&gt;1,_xlfn.CONCAT("{BLACK}Cars: {GOLD}", J156),"")</f>
        <v/>
      </c>
      <c r="CA156" t="s">
        <v>560</v>
      </c>
      <c r="CB156" t="str">
        <f>IF(BS156="BRAKE","{YELLOW}Speed bonus for slow wagons{}",IF(BQ156&gt;190,CONCATENATE("{YELLOW}",INT((BQ156-185)/1.85),"% Bonus for long distance travel{}"),IF(AND(BQ156&lt;180,BQ156&lt;&gt;0),CONCATENATE("{YELLOW}",INT((185-BQ156)/1.85),"% Penalty for long distance travel{}"),"")))</f>
        <v/>
      </c>
      <c r="CC156" t="str">
        <f>_xlfn.CONCAT(BW156,BY156,IF(BY156 &lt;&gt; "", " ", ""),BZ156,IF(OR(BZ156&lt;&gt;"", BY156&lt;&gt;""), "{}",""), CB156,"{SILVER}", CA156)</f>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ROUND(15*((AB157*10)/256),0)</f>
        <v>10</v>
      </c>
      <c r="AI157" t="str">
        <f>CONCATENATE(VLOOKUP(AG157,Constants!$A$2:$C$16,IF(AH157&lt;&gt;"", 3, 2), FALSE),IF(AH157&lt;&gt;"",CONCATENATE(",",VLOOKUP(AH157,$B:$AI,34,FALSE)),""))</f>
        <v>4,2,4</v>
      </c>
      <c r="AS157">
        <v>21</v>
      </c>
      <c r="AT157">
        <f>IF(I157&lt;&gt;"",MAX(8,(I157-G157)-4),"")</f>
        <v>8</v>
      </c>
      <c r="AW157">
        <f>MIN(Y157/150, 1)*30</f>
        <v>15</v>
      </c>
      <c r="AX157">
        <f>MIN(K157/4000, 1)*20</f>
        <v>6</v>
      </c>
      <c r="AY157">
        <f>MIN(W157/400,1)*20</f>
        <v>11.100000000000001</v>
      </c>
      <c r="AZ157" s="4">
        <v>1</v>
      </c>
      <c r="BA157">
        <f>((MAX($J157,1)*MIN($AE157/300,1)))*IF(D157="Wagon",50,10)</f>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BD157*IF($D157="wagon",62.5,781.25)</f>
        <v>71875</v>
      </c>
      <c r="BG157" s="15">
        <f>BE157*IF($D157="wagon",2.73,81.25)</f>
        <v>8206.25</v>
      </c>
      <c r="BP157">
        <v>8</v>
      </c>
      <c r="BT157" t="str">
        <f>VLOOKUP(G157,Eras!$A$2:$C$10, 2, TRUE)</f>
        <v>dsl</v>
      </c>
      <c r="BU157" t="s">
        <v>367</v>
      </c>
      <c r="BV157" t="str">
        <f>CONCATENATE(BT157,"_",BU157)</f>
        <v>dsl_Mixed Traffic</v>
      </c>
      <c r="BW157" t="str">
        <f>IF(AND(BI157&lt;&gt;Y157,BI157&lt;&gt;""),_xlfn.CONCAT("{BLACK}","Tare speed: ","{GOLD}{VELOCITY}{}"), "")</f>
        <v/>
      </c>
      <c r="BX157" t="str">
        <f>_xlfn.CONCAT(E157, "_",F157)</f>
        <v>diesel_RAIL</v>
      </c>
      <c r="BY157" t="str">
        <f>VLOOKUP($BX157, Constants!$M:$N, 2, FALSE)</f>
        <v>{BLACK}Powered by: {GOLD}Diesel</v>
      </c>
      <c r="BZ157" t="str">
        <f>IF(J157&gt;1,_xlfn.CONCAT("{BLACK}Cars: {GOLD}", J157),"")</f>
        <v/>
      </c>
      <c r="CA157" t="s">
        <v>398</v>
      </c>
      <c r="CB157" t="str">
        <f>IF(BS157="BRAKE","{YELLOW}Speed bonus for slow wagons{}",IF(BQ157&gt;190,CONCATENATE("{YELLOW}",INT((BQ157-185)/1.85),"% Bonus for long distance travel{}"),IF(AND(BQ157&lt;180,BQ157&lt;&gt;0),CONCATENATE("{YELLOW}",INT((185-BQ157)/1.85),"% Penalty for long distance travel{}"),"")))</f>
        <v/>
      </c>
      <c r="CC157" t="str">
        <f>_xlfn.CONCAT(BW157,BY157,IF(BY157 &lt;&gt; "", " ", ""),BZ157,IF(OR(BZ157&lt;&gt;"", BY157&lt;&gt;""), "{}",""), CB157,"{SILVER}", CA157)</f>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IF(AND(T158&gt;0,W158&gt;0),(W158/((T158+U158)*10)),"")</f>
        <v>0.24923312883435583</v>
      </c>
      <c r="Y158">
        <v>90</v>
      </c>
      <c r="AA158">
        <v>16.36</v>
      </c>
      <c r="AB158">
        <v>16.36</v>
      </c>
      <c r="AE158" s="11">
        <v>0</v>
      </c>
      <c r="AF158" t="str">
        <f>CONCATENATE(VLOOKUP(AG158, 'Voxel Sizes'!$A$2:$B$18,2,FALSE),"x",INT(AC158*15), "x", INT(AD158*15))</f>
        <v>164x0x0</v>
      </c>
      <c r="AG158">
        <f>ROUND(15*((AB158*10)/256),0)</f>
        <v>10</v>
      </c>
      <c r="AI158" t="str">
        <f>CONCATENATE(VLOOKUP(AG158,Constants!$A$2:$C$16,IF(AH158&lt;&gt;"", 3, 2), FALSE),IF(AH158&lt;&gt;"",CONCATENATE(",",VLOOKUP(AH158,$B:$AI,34,FALSE)),""))</f>
        <v>4,2,4</v>
      </c>
      <c r="AS158">
        <v>32</v>
      </c>
      <c r="AT158">
        <f>IF(I158&lt;&gt;"",MAX(8,(I158-G158)-4),"")</f>
        <v>15</v>
      </c>
      <c r="AW158">
        <f>MIN(Y158/150, 1)*30</f>
        <v>18</v>
      </c>
      <c r="AX158">
        <f>MIN(K158/4000, 1)*20</f>
        <v>11.5</v>
      </c>
      <c r="AY158">
        <f>MIN(W158/400,1)*20</f>
        <v>9.75</v>
      </c>
      <c r="AZ158" s="4">
        <v>1</v>
      </c>
      <c r="BA158">
        <f>((MAX($J158,1)*MIN($AE158/300,1)))*IF(D158="Wagon",50,10)</f>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BD158*IF($D158="wagon",62.5,781.25)</f>
        <v>100000</v>
      </c>
      <c r="BG158" s="15">
        <f>BE158*IF($D158="wagon",2.73,81.25)</f>
        <v>8043.75</v>
      </c>
      <c r="BP158">
        <v>9</v>
      </c>
      <c r="BT158" t="str">
        <f>VLOOKUP(G158,Eras!$A$2:$C$10, 2, TRUE)</f>
        <v>dsl</v>
      </c>
      <c r="BU158" t="s">
        <v>377</v>
      </c>
      <c r="BV158" t="str">
        <f>CONCATENATE(BT158,"_",BU158)</f>
        <v>dsl_MT (Electric)</v>
      </c>
      <c r="BW158" t="str">
        <f>IF(AND(BI158&lt;&gt;Y158,BI158&lt;&gt;""),_xlfn.CONCAT("{BLACK}","Tare speed: ","{GOLD}{VELOCITY}{}"), "")</f>
        <v/>
      </c>
      <c r="BX158" t="str">
        <f>_xlfn.CONCAT(E158, "_",F158)</f>
        <v>electric_THIRD_RAIL</v>
      </c>
      <c r="BY158" t="str">
        <f>VLOOKUP($BX158, Constants!$M:$N, 2, FALSE)</f>
        <v>{BLACK}Powered by: {GOLD}750V DC</v>
      </c>
      <c r="BZ158" t="str">
        <f>IF(J158&gt;1,_xlfn.CONCAT("{BLACK}Cars: {GOLD}", J158),"")</f>
        <v/>
      </c>
      <c r="CA158" t="s">
        <v>399</v>
      </c>
      <c r="CB158" t="str">
        <f>IF(BS158="BRAKE","{YELLOW}Speed bonus for slow wagons{}",IF(BQ158&gt;190,CONCATENATE("{YELLOW}",INT((BQ158-185)/1.85),"% Bonus for long distance travel{}"),IF(AND(BQ158&lt;180,BQ158&lt;&gt;0),CONCATENATE("{YELLOW}",INT((185-BQ158)/1.85),"% Penalty for long distance travel{}"),"")))</f>
        <v/>
      </c>
      <c r="CC158" t="str">
        <f>_xlfn.CONCAT(BW158,BY158,IF(BY158 &lt;&gt; "", " ", ""),BZ158,IF(OR(BZ158&lt;&gt;"", BY158&lt;&gt;""), "{}",""), CB158,"{SILVER}", CA158)</f>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IF(AND(T159&gt;0,W159&gt;0),(W159/((T159+U159)*10)),"")</f>
        <v>0.23761118170266837</v>
      </c>
      <c r="Y159">
        <v>80</v>
      </c>
      <c r="AA159">
        <v>15.47</v>
      </c>
      <c r="AB159">
        <v>15.47</v>
      </c>
      <c r="AD159">
        <v>3.86</v>
      </c>
      <c r="AE159" s="11">
        <v>0</v>
      </c>
      <c r="AF159" t="str">
        <f>CONCATENATE(VLOOKUP(AG159, 'Voxel Sizes'!$A$2:$B$18,2,FALSE),"x",INT(AC159*15), "x", INT(AD159*15))</f>
        <v>152x0x57</v>
      </c>
      <c r="AG159">
        <f>ROUND(15*((AB159*10)/256),0)</f>
        <v>9</v>
      </c>
      <c r="AI159" t="str">
        <f>CONCATENATE(VLOOKUP(AG159,Constants!$A$2:$C$16,IF(AH159&lt;&gt;"", 3, 2), FALSE),IF(AH159&lt;&gt;"",CONCATENATE(",",VLOOKUP(AH159,$B:$AI,34,FALSE)),""))</f>
        <v>2,5,2</v>
      </c>
      <c r="AS159">
        <v>30</v>
      </c>
      <c r="AT159">
        <f>IF(I159&lt;&gt;"",MAX(8,(I159-G159)-4),"")</f>
        <v>32</v>
      </c>
      <c r="AW159">
        <f>MIN(Y159/150, 1)*30</f>
        <v>16</v>
      </c>
      <c r="AX159">
        <f>MIN(K159/4000, 1)*20</f>
        <v>5.8</v>
      </c>
      <c r="AY159">
        <f>MIN(W159/400,1)*20</f>
        <v>9.3500000000000014</v>
      </c>
      <c r="AZ159" s="4">
        <v>1</v>
      </c>
      <c r="BA159">
        <f>((MAX($J159,1)*MIN($AE159/300,1)))*IF(D159="Wagon",50,10)</f>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BD159*IF($D159="wagon",62.5,781.25)</f>
        <v>69531.25</v>
      </c>
      <c r="BG159" s="15">
        <f>BE159*IF($D159="wagon",2.73,81.25)</f>
        <v>8043.75</v>
      </c>
      <c r="BP159">
        <v>10</v>
      </c>
      <c r="BT159" t="str">
        <f>VLOOKUP(G159,Eras!$A$2:$C$10, 2, TRUE)</f>
        <v>dsl</v>
      </c>
      <c r="BU159" t="s">
        <v>367</v>
      </c>
      <c r="BV159" t="str">
        <f>CONCATENATE(BT159,"_",BU159)</f>
        <v>dsl_Mixed Traffic</v>
      </c>
      <c r="BW159" t="str">
        <f>IF(AND(BI159&lt;&gt;Y159,BI159&lt;&gt;""),_xlfn.CONCAT("{BLACK}","Tare speed: ","{GOLD}{VELOCITY}{}"), "")</f>
        <v/>
      </c>
      <c r="BX159" t="str">
        <f>_xlfn.CONCAT(E159, "_",F159)</f>
        <v>diesel_RAIL</v>
      </c>
      <c r="BY159" t="str">
        <f>VLOOKUP($BX159, Constants!$M:$N, 2, FALSE)</f>
        <v>{BLACK}Powered by: {GOLD}Diesel</v>
      </c>
      <c r="BZ159" t="str">
        <f>IF(J159&gt;1,_xlfn.CONCAT("{BLACK}Cars: {GOLD}", J159),"")</f>
        <v/>
      </c>
      <c r="CA159" t="s">
        <v>578</v>
      </c>
      <c r="CB159" t="str">
        <f>IF(BS159="BRAKE","{YELLOW}Speed bonus for slow wagons{}",IF(BQ159&gt;190,CONCATENATE("{YELLOW}",INT((BQ159-185)/1.85),"% Bonus for long distance travel{}"),IF(AND(BQ159&lt;180,BQ159&lt;&gt;0),CONCATENATE("{YELLOW}",INT((185-BQ159)/1.85),"% Penalty for long distance travel{}"),"")))</f>
        <v/>
      </c>
      <c r="CC159" t="str">
        <f>_xlfn.CONCAT(BW159,BY159,IF(BY159 &lt;&gt; "", " ", ""),BZ159,IF(OR(BZ159&lt;&gt;"", BY159&lt;&gt;""), "{}",""), CB159,"{SILVER}", CA159)</f>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IF(AND(T160&gt;0,W160&gt;0),(W160/((T160+U160)*10)),"")</f>
        <v>0.27792553191489361</v>
      </c>
      <c r="Y160">
        <v>75</v>
      </c>
      <c r="AA160">
        <v>16</v>
      </c>
      <c r="AB160">
        <v>16</v>
      </c>
      <c r="AD160">
        <v>3.86</v>
      </c>
      <c r="AE160" s="11">
        <v>0</v>
      </c>
      <c r="AF160" t="str">
        <f>CONCATENATE(VLOOKUP(AG160, 'Voxel Sizes'!$A$2:$B$18,2,FALSE),"x",INT(AC160*15), "x", INT(AD160*15))</f>
        <v>152x0x57</v>
      </c>
      <c r="AG160">
        <f>ROUND(15*((AB160*10)/256),0)</f>
        <v>9</v>
      </c>
      <c r="AI160" t="str">
        <f>CONCATENATE(VLOOKUP(AG160,Constants!$A$2:$C$16,IF(AH160&lt;&gt;"", 3, 2), FALSE),IF(AH160&lt;&gt;"",CONCATENATE(",",VLOOKUP(AH160,$B:$AI,34,FALSE)),""))</f>
        <v>2,5,2</v>
      </c>
      <c r="AS160">
        <v>26</v>
      </c>
      <c r="AT160">
        <f>IF(I160&lt;&gt;"",MAX(8,(I160-G160)-4),"")</f>
        <v>8</v>
      </c>
      <c r="AW160">
        <f>MIN(Y160/150, 1)*30</f>
        <v>15</v>
      </c>
      <c r="AX160">
        <f>MIN(K160/4000, 1)*20</f>
        <v>5.5</v>
      </c>
      <c r="AY160">
        <f>MIN(W160/400,1)*20</f>
        <v>10.45</v>
      </c>
      <c r="AZ160" s="4">
        <v>1</v>
      </c>
      <c r="BA160">
        <f>((MAX($J160,1)*MIN($AE160/300,1)))*IF(D160="Wagon",50,10)</f>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BD160*IF($D160="wagon",62.5,781.25)</f>
        <v>69531.25</v>
      </c>
      <c r="BG160" s="15">
        <f>BE160*IF($D160="wagon",2.73,81.25)</f>
        <v>7962.5</v>
      </c>
      <c r="BP160">
        <v>11</v>
      </c>
      <c r="BT160" t="str">
        <f>VLOOKUP(G160,Eras!$A$2:$C$10, 2, TRUE)</f>
        <v>dsl</v>
      </c>
      <c r="BU160" t="s">
        <v>367</v>
      </c>
      <c r="BV160" t="str">
        <f>CONCATENATE(BT160,"_",BU160)</f>
        <v>dsl_Mixed Traffic</v>
      </c>
      <c r="BW160" t="str">
        <f>IF(AND(BI160&lt;&gt;Y160,BI160&lt;&gt;""),_xlfn.CONCAT("{BLACK}","Tare speed: ","{GOLD}{VELOCITY}{}"), "")</f>
        <v/>
      </c>
      <c r="BX160" t="str">
        <f>_xlfn.CONCAT(E160, "_",F160)</f>
        <v>diesel_RAIL</v>
      </c>
      <c r="BY160" t="str">
        <f>VLOOKUP($BX160, Constants!$M:$N, 2, FALSE)</f>
        <v>{BLACK}Powered by: {GOLD}Diesel</v>
      </c>
      <c r="BZ160" t="str">
        <f>IF(J160&gt;1,_xlfn.CONCAT("{BLACK}Cars: {GOLD}", J160),"")</f>
        <v/>
      </c>
      <c r="CA160" t="s">
        <v>407</v>
      </c>
      <c r="CB160" t="str">
        <f>IF(BS160="BRAKE","{YELLOW}Speed bonus for slow wagons{}",IF(BQ160&gt;190,CONCATENATE("{YELLOW}",INT((BQ160-185)/1.85),"% Bonus for long distance travel{}"),IF(AND(BQ160&lt;180,BQ160&lt;&gt;0),CONCATENATE("{YELLOW}",INT((185-BQ160)/1.85),"% Penalty for long distance travel{}"),"")))</f>
        <v/>
      </c>
      <c r="CC160" t="str">
        <f>_xlfn.CONCAT(BW160,BY160,IF(BY160 &lt;&gt; "", " ", ""),BZ160,IF(OR(BZ160&lt;&gt;"", BY160&lt;&gt;""), "{}",""), CB160,"{SILVER}", CA160)</f>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IF(AND(T161&gt;0,W161&gt;0),(W161/((T161+U161)*10)),"")</f>
        <v>0.27441285537700866</v>
      </c>
      <c r="Y161">
        <v>100</v>
      </c>
      <c r="AA161">
        <v>17.22</v>
      </c>
      <c r="AB161">
        <v>17.22</v>
      </c>
      <c r="AD161">
        <v>3.77</v>
      </c>
      <c r="AE161" s="11">
        <v>0</v>
      </c>
      <c r="AF161" t="str">
        <f>CONCATENATE(VLOOKUP(AG161, 'Voxel Sizes'!$A$2:$B$18,2,FALSE),"x",INT(AC161*15), "x", INT(AD161*15))</f>
        <v>164x0x56</v>
      </c>
      <c r="AG161">
        <f>ROUND(15*((AB161*10)/256),0)</f>
        <v>10</v>
      </c>
      <c r="AI161" t="str">
        <f>CONCATENATE(VLOOKUP(AG161,Constants!$A$2:$C$16,IF(AH161&lt;&gt;"", 3, 2), FALSE),IF(AH161&lt;&gt;"",CONCATENATE(",",VLOOKUP(AH161,$B:$AI,34,FALSE)),""))</f>
        <v>4,2,4</v>
      </c>
      <c r="AS161">
        <v>27</v>
      </c>
      <c r="AT161">
        <f>IF(I161&lt;&gt;"",MAX(8,(I161-G161)-4),"")</f>
        <v>28</v>
      </c>
      <c r="AW161">
        <f>MIN(Y161/150, 1)*30</f>
        <v>20</v>
      </c>
      <c r="AX161">
        <f>MIN(K161/4000, 1)*20</f>
        <v>16.939999999999998</v>
      </c>
      <c r="AY161">
        <f>MIN(W161/400,1)*20</f>
        <v>11.100000000000001</v>
      </c>
      <c r="AZ161" s="4">
        <v>1</v>
      </c>
      <c r="BA161">
        <f>((MAX($J161,1)*MIN($AE161/300,1)))*IF(D161="Wagon",50,10)</f>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BD161*IF($D161="wagon",62.5,781.25)</f>
        <v>121093.75</v>
      </c>
      <c r="BG161" s="15">
        <f>BE161*IF($D161="wagon",2.73,81.25)</f>
        <v>9587.5</v>
      </c>
      <c r="BP161">
        <v>12</v>
      </c>
      <c r="BT161" t="str">
        <f>VLOOKUP(G161,Eras!$A$2:$C$10, 2, TRUE)</f>
        <v>dsl</v>
      </c>
      <c r="BU161" t="s">
        <v>378</v>
      </c>
      <c r="BV161" t="str">
        <f>CONCATENATE(BT161,"_",BU161)</f>
        <v>dsl_Express (Electric)</v>
      </c>
      <c r="BW161" t="str">
        <f>IF(AND(BI161&lt;&gt;Y161,BI161&lt;&gt;""),_xlfn.CONCAT("{BLACK}","Tare speed: ","{GOLD}{VELOCITY}{}"), "")</f>
        <v/>
      </c>
      <c r="BX161" t="str">
        <f>_xlfn.CONCAT(E161, "_",F161)</f>
        <v>electric_ELRL</v>
      </c>
      <c r="BY161" t="str">
        <f>VLOOKUP($BX161, Constants!$M:$N, 2, FALSE)</f>
        <v>{BLACK}Powered by: {GOLD}25kV AC</v>
      </c>
      <c r="BZ161" t="str">
        <f>IF(J161&gt;1,_xlfn.CONCAT("{BLACK}Cars: {GOLD}", J161),"")</f>
        <v/>
      </c>
      <c r="CA161" t="s">
        <v>562</v>
      </c>
      <c r="CB161" t="str">
        <f>IF(BS161="BRAKE","{YELLOW}Speed bonus for slow wagons{}",IF(BQ161&gt;190,CONCATENATE("{YELLOW}",INT((BQ161-185)/1.85),"% Bonus for long distance travel{}"),IF(AND(BQ161&lt;180,BQ161&lt;&gt;0),CONCATENATE("{YELLOW}",INT((185-BQ161)/1.85),"% Penalty for long distance travel{}"),"")))</f>
        <v/>
      </c>
      <c r="CC161" t="str">
        <f>_xlfn.CONCAT(BW161,BY161,IF(BY161 &lt;&gt; "", " ", ""),BZ161,IF(OR(BZ161&lt;&gt;"", BY161&lt;&gt;""), "{}",""), CB161,"{SILVER}", CA161)</f>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IF(AND(T162&gt;0,W162&gt;0),(W162/((T162+U162)*10)),"")</f>
        <v>0.24215686274509804</v>
      </c>
      <c r="Y162">
        <v>90</v>
      </c>
      <c r="AA162">
        <v>18.75</v>
      </c>
      <c r="AB162">
        <v>18.75</v>
      </c>
      <c r="AC162">
        <v>2.71</v>
      </c>
      <c r="AD162">
        <v>3.89</v>
      </c>
      <c r="AE162" s="11">
        <v>0</v>
      </c>
      <c r="AF162" t="str">
        <f>CONCATENATE(VLOOKUP(AG162, 'Voxel Sizes'!$A$2:$B$18,2,FALSE),"x",INT(AC162*15), "x", INT(AD162*15))</f>
        <v>186x40x58</v>
      </c>
      <c r="AG162">
        <f>ROUND(15*((AB162*10)/256),0)</f>
        <v>11</v>
      </c>
      <c r="AI162" t="str">
        <f>CONCATENATE(VLOOKUP(AG162,Constants!$A$2:$C$16,IF(AH162&lt;&gt;"", 3, 2), FALSE),IF(AH162&lt;&gt;"",CONCATENATE(",",VLOOKUP(AH162,$B:$AI,34,FALSE)),""))</f>
        <v>4,3,4</v>
      </c>
      <c r="AS162">
        <v>42</v>
      </c>
      <c r="AT162" t="str">
        <f>IF(I162&lt;&gt;"",MAX(8,(I162-G162)-4),"")</f>
        <v/>
      </c>
      <c r="AW162">
        <f>MIN(Y162/150, 1)*30</f>
        <v>18</v>
      </c>
      <c r="AX162">
        <f>MIN(K162/4000, 1)*20</f>
        <v>8.75</v>
      </c>
      <c r="AY162">
        <f>MIN(W162/400,1)*20</f>
        <v>12.350000000000001</v>
      </c>
      <c r="AZ162" s="4">
        <v>1</v>
      </c>
      <c r="BA162">
        <f>((MAX($J162,1)*MIN($AE162/300,1)))*IF(D162="Wagon",50,10)</f>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BD162*IF($D162="wagon",62.5,781.25)</f>
        <v>85937.5</v>
      </c>
      <c r="BG162" s="15">
        <f>BE162*IF($D162="wagon",2.73,81.25)</f>
        <v>9750</v>
      </c>
      <c r="BP162">
        <v>1</v>
      </c>
      <c r="BT162" t="str">
        <f>VLOOKUP(G162,Eras!$A$2:$C$10, 2, TRUE)</f>
        <v>dsl</v>
      </c>
      <c r="BU162" t="s">
        <v>369</v>
      </c>
      <c r="BV162" t="str">
        <f>CONCATENATE(BT162,"_",BU162)</f>
        <v>dsl_Freight</v>
      </c>
      <c r="BW162" t="str">
        <f>IF(AND(BI162&lt;&gt;Y162,BI162&lt;&gt;""),_xlfn.CONCAT("{BLACK}","Tare speed: ","{GOLD}{VELOCITY}{}"), "")</f>
        <v/>
      </c>
      <c r="BX162" t="str">
        <f>_xlfn.CONCAT(E162, "_",F162)</f>
        <v>diesel_RAIL</v>
      </c>
      <c r="BY162" t="str">
        <f>VLOOKUP($BX162, Constants!$M:$N, 2, FALSE)</f>
        <v>{BLACK}Powered by: {GOLD}Diesel</v>
      </c>
      <c r="BZ162" t="str">
        <f>IF(J162&gt;1,_xlfn.CONCAT("{BLACK}Cars: {GOLD}", J162),"")</f>
        <v/>
      </c>
      <c r="CA162" t="s">
        <v>400</v>
      </c>
      <c r="CB162" t="str">
        <f>IF(BS162="BRAKE","{YELLOW}Speed bonus for slow wagons{}",IF(BQ162&gt;190,CONCATENATE("{YELLOW}",INT((BQ162-185)/1.85),"% Bonus for long distance travel{}"),IF(AND(BQ162&lt;180,BQ162&lt;&gt;0),CONCATENATE("{YELLOW}",INT((185-BQ162)/1.85),"% Penalty for long distance travel{}"),"")))</f>
        <v/>
      </c>
      <c r="CC162" t="str">
        <f>_xlfn.CONCAT(BW162,BY162,IF(BY162 &lt;&gt; "", " ", ""),BZ162,IF(OR(BZ162&lt;&gt;"", BY162&lt;&gt;""), "{}",""), CB162,"{SILVER}", CA162)</f>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IF(AND(T163&gt;0,W163&gt;0),(W163/((T163+U163)*10)),"")</f>
        <v>0.18148148148148149</v>
      </c>
      <c r="Y163">
        <v>90</v>
      </c>
      <c r="AA163">
        <v>20.7</v>
      </c>
      <c r="AB163">
        <v>20.7</v>
      </c>
      <c r="AD163">
        <v>3.91</v>
      </c>
      <c r="AE163" s="11">
        <v>0</v>
      </c>
      <c r="AF163" t="str">
        <f>CONCATENATE(VLOOKUP(AG163, 'Voxel Sizes'!$A$2:$B$18,2,FALSE),"x",INT(AC163*15), "x", INT(AD163*15))</f>
        <v>198x0x58</v>
      </c>
      <c r="AG163">
        <f>ROUND(15*((AB163*10)/256),0)</f>
        <v>12</v>
      </c>
      <c r="AI163" t="str">
        <f>CONCATENATE(VLOOKUP(AG163,Constants!$A$2:$C$16,IF(AH163&lt;&gt;"", 3, 2), FALSE),IF(AH163&lt;&gt;"",CONCATENATE(",",VLOOKUP(AH163,$B:$AI,34,FALSE)),""))</f>
        <v>4,4,4</v>
      </c>
      <c r="AS163">
        <v>30</v>
      </c>
      <c r="AT163">
        <f>IF(I163&lt;&gt;"",MAX(8,(I163-G163)-4),"")</f>
        <v>25</v>
      </c>
      <c r="AW163">
        <f>MIN(Y163/150, 1)*30</f>
        <v>18</v>
      </c>
      <c r="AX163">
        <f>MIN(K163/4000, 1)*20</f>
        <v>12.5</v>
      </c>
      <c r="AY163">
        <f>MIN(W163/400,1)*20</f>
        <v>12.25</v>
      </c>
      <c r="AZ163" s="4">
        <v>1</v>
      </c>
      <c r="BA163">
        <f>((MAX($J163,1)*MIN($AE163/300,1)))*IF(D163="Wagon",50,10)</f>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BD163*IF($D163="wagon",62.5,781.25)</f>
        <v>92968.75</v>
      </c>
      <c r="BG163" s="15">
        <f>BE163*IF($D163="wagon",2.73,81.25)</f>
        <v>10481.25</v>
      </c>
      <c r="BP163">
        <v>2</v>
      </c>
      <c r="BT163" t="str">
        <f>VLOOKUP(G163,Eras!$A$2:$C$10, 2, TRUE)</f>
        <v>dsl</v>
      </c>
      <c r="BU163" t="s">
        <v>368</v>
      </c>
      <c r="BV163" t="str">
        <f>CONCATENATE(BT163,"_",BU163)</f>
        <v>dsl_Express</v>
      </c>
      <c r="BW163" t="str">
        <f>IF(AND(BI163&lt;&gt;Y163,BI163&lt;&gt;""),_xlfn.CONCAT("{BLACK}","Tare speed: ","{GOLD}{VELOCITY}{}"), "")</f>
        <v/>
      </c>
      <c r="BX163" t="str">
        <f>_xlfn.CONCAT(E163, "_",F163)</f>
        <v>diesel_RAIL</v>
      </c>
      <c r="BY163" t="str">
        <f>VLOOKUP($BX163, Constants!$M:$N, 2, FALSE)</f>
        <v>{BLACK}Powered by: {GOLD}Diesel</v>
      </c>
      <c r="BZ163" t="str">
        <f>IF(J163&gt;1,_xlfn.CONCAT("{BLACK}Cars: {GOLD}", J163),"")</f>
        <v/>
      </c>
      <c r="CA163" t="s">
        <v>566</v>
      </c>
      <c r="CB163" t="str">
        <f>IF(BS163="BRAKE","{YELLOW}Speed bonus for slow wagons{}",IF(BQ163&gt;190,CONCATENATE("{YELLOW}",INT((BQ163-185)/1.85),"% Bonus for long distance travel{}"),IF(AND(BQ163&lt;180,BQ163&lt;&gt;0),CONCATENATE("{YELLOW}",INT((185-BQ163)/1.85),"% Penalty for long distance travel{}"),"")))</f>
        <v/>
      </c>
      <c r="CC163" t="str">
        <f>_xlfn.CONCAT(BW163,BY163,IF(BY163 &lt;&gt; "", " ", ""),BZ163,IF(OR(BZ163&lt;&gt;"", BY163&lt;&gt;""), "{}",""), CB163,"{SILVER}", CA163)</f>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IF(AND(T164&gt;0,W164&gt;0),(W164/((T164+U164)*10)),"")</f>
        <v>0.26954177897574122</v>
      </c>
      <c r="Y164">
        <v>85</v>
      </c>
      <c r="AA164">
        <v>15.47</v>
      </c>
      <c r="AB164">
        <v>15.47</v>
      </c>
      <c r="AD164">
        <v>3.86</v>
      </c>
      <c r="AE164" s="11">
        <v>0</v>
      </c>
      <c r="AF164" t="str">
        <f>CONCATENATE(VLOOKUP(AG164, 'Voxel Sizes'!$A$2:$B$18,2,FALSE),"x",INT(AC164*15), "x", INT(AD164*15))</f>
        <v>152x0x57</v>
      </c>
      <c r="AG164">
        <f>ROUND(15*((AB164*10)/256),0)</f>
        <v>9</v>
      </c>
      <c r="AI164" t="str">
        <f>CONCATENATE(VLOOKUP(AG164,Constants!$A$2:$C$16,IF(AH164&lt;&gt;"", 3, 2), FALSE),IF(AH164&lt;&gt;"",CONCATENATE(",",VLOOKUP(AH164,$B:$AI,34,FALSE)),""))</f>
        <v>2,5,2</v>
      </c>
      <c r="AS164">
        <v>30</v>
      </c>
      <c r="AT164" t="str">
        <f>IF(I164&lt;&gt;"",MAX(8,(I164-G164)-4),"")</f>
        <v/>
      </c>
      <c r="AW164">
        <f>MIN(Y164/150, 1)*30</f>
        <v>17</v>
      </c>
      <c r="AX164">
        <f>MIN(K164/4000, 1)*20</f>
        <v>7.75</v>
      </c>
      <c r="AY164">
        <f>MIN(W164/400,1)*20</f>
        <v>10</v>
      </c>
      <c r="AZ164" s="4">
        <v>1</v>
      </c>
      <c r="BA164">
        <f>((MAX($J164,1)*MIN($AE164/300,1)))*IF(D164="Wagon",50,10)</f>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BD164*IF($D164="wagon",62.5,781.25)</f>
        <v>76562.5</v>
      </c>
      <c r="BG164" s="15">
        <f>BE164*IF($D164="wagon",2.73,81.25)</f>
        <v>8775</v>
      </c>
      <c r="BP164">
        <v>3</v>
      </c>
      <c r="BT164" t="str">
        <f>VLOOKUP(G164,Eras!$A$2:$C$10, 2, TRUE)</f>
        <v>dsl</v>
      </c>
      <c r="BU164" t="s">
        <v>367</v>
      </c>
      <c r="BV164" t="str">
        <f>CONCATENATE(BT164,"_",BU164)</f>
        <v>dsl_Mixed Traffic</v>
      </c>
      <c r="BW164" t="str">
        <f>IF(AND(BI164&lt;&gt;Y164,BI164&lt;&gt;""),_xlfn.CONCAT("{BLACK}","Tare speed: ","{GOLD}{VELOCITY}{}"), "")</f>
        <v/>
      </c>
      <c r="BX164" t="str">
        <f>_xlfn.CONCAT(E164, "_",F164)</f>
        <v>diesel_RAIL</v>
      </c>
      <c r="BY164" t="str">
        <f>VLOOKUP($BX164, Constants!$M:$N, 2, FALSE)</f>
        <v>{BLACK}Powered by: {GOLD}Diesel</v>
      </c>
      <c r="BZ164" t="str">
        <f>IF(J164&gt;1,_xlfn.CONCAT("{BLACK}Cars: {GOLD}", J164),"")</f>
        <v/>
      </c>
      <c r="CA164" t="s">
        <v>568</v>
      </c>
      <c r="CB164" t="str">
        <f>IF(BS164="BRAKE","{YELLOW}Speed bonus for slow wagons{}",IF(BQ164&gt;190,CONCATENATE("{YELLOW}",INT((BQ164-185)/1.85),"% Bonus for long distance travel{}"),IF(AND(BQ164&lt;180,BQ164&lt;&gt;0),CONCATENATE("{YELLOW}",INT((185-BQ164)/1.85),"% Penalty for long distance travel{}"),"")))</f>
        <v/>
      </c>
      <c r="CC164" t="str">
        <f>_xlfn.CONCAT(BW164,BY164,IF(BY164 &lt;&gt; "", " ", ""),BZ164,IF(OR(BZ164&lt;&gt;"", BY164&lt;&gt;""), "{}",""), CB164,"{SILVER}", CA164)</f>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IF(AND(T165&gt;0,W165&gt;0),(W165/((T165+U165)*10)),"")</f>
        <v>0.27165354330708663</v>
      </c>
      <c r="Y165">
        <v>90</v>
      </c>
      <c r="AA165">
        <v>15.76</v>
      </c>
      <c r="AB165">
        <v>15.76</v>
      </c>
      <c r="AD165">
        <v>3.91</v>
      </c>
      <c r="AE165" s="11">
        <v>0</v>
      </c>
      <c r="AF165" t="str">
        <f>CONCATENATE(VLOOKUP(AG165, 'Voxel Sizes'!$A$2:$B$18,2,FALSE),"x",INT(AC165*15), "x", INT(AD165*15))</f>
        <v>152x0x58</v>
      </c>
      <c r="AG165">
        <f>ROUND(15*((AB165*10)/256),0)</f>
        <v>9</v>
      </c>
      <c r="AI165" t="str">
        <f>CONCATENATE(VLOOKUP(AG165,Constants!$A$2:$C$16,IF(AH165&lt;&gt;"", 3, 2), FALSE),IF(AH165&lt;&gt;"",CONCATENATE(",",VLOOKUP(AH165,$B:$AI,34,FALSE)),""))</f>
        <v>2,5,2</v>
      </c>
      <c r="AS165">
        <v>30</v>
      </c>
      <c r="AT165">
        <f>IF(I165&lt;&gt;"",MAX(8,(I165-G165)-4),"")</f>
        <v>10</v>
      </c>
      <c r="AW165">
        <f>MIN(Y165/150, 1)*30</f>
        <v>18</v>
      </c>
      <c r="AX165">
        <f>MIN(K165/4000, 1)*20</f>
        <v>8.5</v>
      </c>
      <c r="AY165">
        <f>MIN(W165/400,1)*20</f>
        <v>10.35</v>
      </c>
      <c r="AZ165" s="4">
        <v>1</v>
      </c>
      <c r="BA165">
        <f>((MAX($J165,1)*MIN($AE165/300,1)))*IF(D165="Wagon",50,10)</f>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BD165*IF($D165="wagon",62.5,781.25)</f>
        <v>81250</v>
      </c>
      <c r="BG165" s="15">
        <f>BE165*IF($D165="wagon",2.73,81.25)</f>
        <v>9262.5</v>
      </c>
      <c r="BP165">
        <v>4</v>
      </c>
      <c r="BT165" t="str">
        <f>VLOOKUP(G165,Eras!$A$2:$C$10, 2, TRUE)</f>
        <v>dsl</v>
      </c>
      <c r="BU165" t="s">
        <v>367</v>
      </c>
      <c r="BV165" t="str">
        <f>CONCATENATE(BT165,"_",BU165)</f>
        <v>dsl_Mixed Traffic</v>
      </c>
      <c r="BW165" t="str">
        <f>IF(AND(BI165&lt;&gt;Y165,BI165&lt;&gt;""),_xlfn.CONCAT("{BLACK}","Tare speed: ","{GOLD}{VELOCITY}{}"), "")</f>
        <v/>
      </c>
      <c r="BX165" t="str">
        <f>_xlfn.CONCAT(E165, "_",F165)</f>
        <v>diesel_RAIL</v>
      </c>
      <c r="BY165" t="str">
        <f>VLOOKUP($BX165, Constants!$M:$N, 2, FALSE)</f>
        <v>{BLACK}Powered by: {GOLD}Diesel</v>
      </c>
      <c r="BZ165" t="str">
        <f>IF(J165&gt;1,_xlfn.CONCAT("{BLACK}Cars: {GOLD}", J165),"")</f>
        <v/>
      </c>
      <c r="CA165" t="s">
        <v>574</v>
      </c>
      <c r="CB165" t="str">
        <f>IF(BS165="BRAKE","{YELLOW}Speed bonus for slow wagons{}",IF(BQ165&gt;190,CONCATENATE("{YELLOW}",INT((BQ165-185)/1.85),"% Bonus for long distance travel{}"),IF(AND(BQ165&lt;180,BQ165&lt;&gt;0),CONCATENATE("{YELLOW}",INT((185-BQ165)/1.85),"% Penalty for long distance travel{}"),"")))</f>
        <v/>
      </c>
      <c r="CC165" t="str">
        <f>_xlfn.CONCAT(BW165,BY165,IF(BY165 &lt;&gt; "", " ", ""),BZ165,IF(OR(BZ165&lt;&gt;"", BY165&lt;&gt;""), "{}",""), CB165,"{SILVER}", CA165)</f>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IF(AND(T166&gt;0,W166&gt;0),(W166/((T166+U166)*10)),"")</f>
        <v>0.27</v>
      </c>
      <c r="Y166">
        <v>90</v>
      </c>
      <c r="AA166">
        <v>20.73</v>
      </c>
      <c r="AB166">
        <v>20.73</v>
      </c>
      <c r="AD166">
        <v>3.96</v>
      </c>
      <c r="AE166" s="11">
        <v>0</v>
      </c>
      <c r="AF166" t="str">
        <f>CONCATENATE(VLOOKUP(AG166, 'Voxel Sizes'!$A$2:$B$18,2,FALSE),"x",INT(AC166*15), "x", INT(AD166*15))</f>
        <v>198x0x59</v>
      </c>
      <c r="AG166">
        <f>ROUND(15*((AB166*10)/256),0)</f>
        <v>12</v>
      </c>
      <c r="AI166" t="str">
        <f>CONCATENATE(VLOOKUP(AG166,Constants!$A$2:$C$16,IF(AH166&lt;&gt;"", 3, 2), FALSE),IF(AH166&lt;&gt;"",CONCATENATE(",",VLOOKUP(AH166,$B:$AI,34,FALSE)),""))</f>
        <v>4,4,4</v>
      </c>
      <c r="AS166">
        <v>30</v>
      </c>
      <c r="AT166">
        <f>IF(I166&lt;&gt;"",MAX(8,(I166-G166)-4),"")</f>
        <v>12</v>
      </c>
      <c r="AW166">
        <f>MIN(Y166/150, 1)*30</f>
        <v>18</v>
      </c>
      <c r="AX166">
        <f>MIN(K166/4000, 1)*20</f>
        <v>10</v>
      </c>
      <c r="AY166">
        <f>MIN(W166/400,1)*20</f>
        <v>14.850000000000001</v>
      </c>
      <c r="AZ166" s="4">
        <v>1</v>
      </c>
      <c r="BA166">
        <f>((MAX($J166,1)*MIN($AE166/300,1)))*IF(D166="Wagon",50,10)</f>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BD166*IF($D166="wagon",62.5,781.25)</f>
        <v>93750</v>
      </c>
      <c r="BG166" s="15">
        <f>BE166*IF($D166="wagon",2.73,81.25)</f>
        <v>10562.5</v>
      </c>
      <c r="BP166">
        <v>5</v>
      </c>
      <c r="BT166" t="str">
        <f>VLOOKUP(G166,Eras!$A$2:$C$10, 2, TRUE)</f>
        <v>dsl</v>
      </c>
      <c r="BU166" t="s">
        <v>367</v>
      </c>
      <c r="BV166" t="str">
        <f>CONCATENATE(BT166,"_",BU166)</f>
        <v>dsl_Mixed Traffic</v>
      </c>
      <c r="BW166" t="str">
        <f>IF(AND(BI166&lt;&gt;Y166,BI166&lt;&gt;""),_xlfn.CONCAT("{BLACK}","Tare speed: ","{GOLD}{VELOCITY}{}"), "")</f>
        <v/>
      </c>
      <c r="BX166" t="str">
        <f>_xlfn.CONCAT(E166, "_",F166)</f>
        <v>diesel_RAIL</v>
      </c>
      <c r="BY166" t="str">
        <f>VLOOKUP($BX166, Constants!$M:$N, 2, FALSE)</f>
        <v>{BLACK}Powered by: {GOLD}Diesel</v>
      </c>
      <c r="BZ166" t="str">
        <f>IF(J166&gt;1,_xlfn.CONCAT("{BLACK}Cars: {GOLD}", J166),"")</f>
        <v/>
      </c>
      <c r="CA166" t="s">
        <v>575</v>
      </c>
      <c r="CB166" t="str">
        <f>IF(BS166="BRAKE","{YELLOW}Speed bonus for slow wagons{}",IF(BQ166&gt;190,CONCATENATE("{YELLOW}",INT((BQ166-185)/1.85),"% Bonus for long distance travel{}"),IF(AND(BQ166&lt;180,BQ166&lt;&gt;0),CONCATENATE("{YELLOW}",INT((185-BQ166)/1.85),"% Penalty for long distance travel{}"),"")))</f>
        <v/>
      </c>
      <c r="CC166" t="str">
        <f>_xlfn.CONCAT(BW166,BY166,IF(BY166 &lt;&gt; "", " ", ""),BZ166,IF(OR(BZ166&lt;&gt;"", BY166&lt;&gt;""), "{}",""), CB166,"{SILVER}", CA166)</f>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IF(AND(T167&gt;0,W167&gt;0),(W167/((T167+U167)*10)),"")</f>
        <v>0.22911051212938005</v>
      </c>
      <c r="Y167">
        <v>90</v>
      </c>
      <c r="AA167">
        <v>15.39</v>
      </c>
      <c r="AB167">
        <v>15.39</v>
      </c>
      <c r="AD167">
        <v>3.86</v>
      </c>
      <c r="AE167" s="11">
        <v>0</v>
      </c>
      <c r="AF167" t="str">
        <f>CONCATENATE(VLOOKUP(AG167, 'Voxel Sizes'!$A$2:$B$18,2,FALSE),"x",INT(AC167*15), "x", INT(AD167*15))</f>
        <v>152x0x57</v>
      </c>
      <c r="AG167">
        <f>ROUND(15*((AB167*10)/256),0)</f>
        <v>9</v>
      </c>
      <c r="AI167" t="str">
        <f>CONCATENATE(VLOOKUP(AG167,Constants!$A$2:$C$16,IF(AH167&lt;&gt;"", 3, 2), FALSE),IF(AH167&lt;&gt;"",CONCATENATE(",",VLOOKUP(AH167,$B:$AI,34,FALSE)),""))</f>
        <v>2,5,2</v>
      </c>
      <c r="AS167">
        <v>40</v>
      </c>
      <c r="AT167">
        <f>IF(I167&lt;&gt;"",MAX(8,(I167-G167)-4),"")</f>
        <v>22</v>
      </c>
      <c r="AW167">
        <f>MIN(Y167/150, 1)*30</f>
        <v>18</v>
      </c>
      <c r="AX167">
        <f>MIN(K167/4000, 1)*20</f>
        <v>6.25</v>
      </c>
      <c r="AY167">
        <f>MIN(W167/400,1)*20</f>
        <v>8.5</v>
      </c>
      <c r="AZ167" s="4">
        <v>1</v>
      </c>
      <c r="BA167">
        <f>((MAX($J167,1)*MIN($AE167/300,1)))*IF(D167="Wagon",50,10)</f>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BD167*IF($D167="wagon",62.5,781.25)</f>
        <v>72656.25</v>
      </c>
      <c r="BG167" s="15">
        <f>BE167*IF($D167="wagon",2.73,81.25)</f>
        <v>8368.75</v>
      </c>
      <c r="BP167">
        <v>6</v>
      </c>
      <c r="BT167" t="str">
        <f>VLOOKUP(G167,Eras!$A$2:$C$10, 2, TRUE)</f>
        <v>dsl</v>
      </c>
      <c r="BU167" t="s">
        <v>369</v>
      </c>
      <c r="BV167" t="str">
        <f>CONCATENATE(BT167,"_",BU167)</f>
        <v>dsl_Freight</v>
      </c>
      <c r="BW167" t="str">
        <f>IF(AND(BI167&lt;&gt;Y167,BI167&lt;&gt;""),_xlfn.CONCAT("{BLACK}","Tare speed: ","{GOLD}{VELOCITY}{}"), "")</f>
        <v/>
      </c>
      <c r="BX167" t="str">
        <f>_xlfn.CONCAT(E167, "_",F167)</f>
        <v>diesel_RAIL</v>
      </c>
      <c r="BY167" t="str">
        <f>VLOOKUP($BX167, Constants!$M:$N, 2, FALSE)</f>
        <v>{BLACK}Powered by: {GOLD}Diesel</v>
      </c>
      <c r="BZ167" t="str">
        <f>IF(J167&gt;1,_xlfn.CONCAT("{BLACK}Cars: {GOLD}", J167),"")</f>
        <v/>
      </c>
      <c r="CA167" t="s">
        <v>576</v>
      </c>
      <c r="CB167" t="str">
        <f>IF(BS167="BRAKE","{YELLOW}Speed bonus for slow wagons{}",IF(BQ167&gt;190,CONCATENATE("{YELLOW}",INT((BQ167-185)/1.85),"% Bonus for long distance travel{}"),IF(AND(BQ167&lt;180,BQ167&lt;&gt;0),CONCATENATE("{YELLOW}",INT((185-BQ167)/1.85),"% Penalty for long distance travel{}"),"")))</f>
        <v/>
      </c>
      <c r="CC167" t="str">
        <f>_xlfn.CONCAT(BW167,BY167,IF(BY167 &lt;&gt; "", " ", ""),BZ167,IF(OR(BZ167&lt;&gt;"", BY167&lt;&gt;""), "{}",""), CB167,"{SILVER}", CA167)</f>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IF(AND(T168&gt;0,W168&gt;0),(W168/((T168+U168)*10)),"")</f>
        <v>0.21491228070175439</v>
      </c>
      <c r="Y168">
        <v>95</v>
      </c>
      <c r="AA168">
        <v>19.38</v>
      </c>
      <c r="AB168">
        <v>19.38</v>
      </c>
      <c r="AD168">
        <v>3.9</v>
      </c>
      <c r="AE168" s="11">
        <v>0</v>
      </c>
      <c r="AF168" t="str">
        <f>CONCATENATE(VLOOKUP(AG168, 'Voxel Sizes'!$A$2:$B$18,2,FALSE),"x",INT(AC168*15), "x", INT(AD168*15))</f>
        <v>186x0x58</v>
      </c>
      <c r="AG168">
        <f>ROUND(15*((AB168*10)/256),0)</f>
        <v>11</v>
      </c>
      <c r="AI168" t="str">
        <f>CONCATENATE(VLOOKUP(AG168,Constants!$A$2:$C$16,IF(AH168&lt;&gt;"", 3, 2), FALSE),IF(AH168&lt;&gt;"",CONCATENATE(",",VLOOKUP(AH168,$B:$AI,34,FALSE)),""))</f>
        <v>4,3,4</v>
      </c>
      <c r="AS168">
        <v>33</v>
      </c>
      <c r="AT168" t="str">
        <f>IF(I168&lt;&gt;"",MAX(8,(I168-G168)-4),"")</f>
        <v/>
      </c>
      <c r="AW168">
        <f>MIN(Y168/150, 1)*30</f>
        <v>19</v>
      </c>
      <c r="AX168">
        <f>MIN(K168/4000, 1)*20</f>
        <v>13.75</v>
      </c>
      <c r="AY168">
        <f>MIN(W168/400,1)*20</f>
        <v>12.25</v>
      </c>
      <c r="AZ168" s="4">
        <v>1</v>
      </c>
      <c r="BA168">
        <f>((MAX($J168,1)*MIN($AE168/300,1)))*IF(D168="Wagon",50,10)</f>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BD168*IF($D168="wagon",62.5,781.25)</f>
        <v>97656.25</v>
      </c>
      <c r="BG168" s="15">
        <f>BE168*IF($D168="wagon",2.73,81.25)</f>
        <v>11050</v>
      </c>
      <c r="BP168">
        <v>7</v>
      </c>
      <c r="BT168" t="str">
        <f>VLOOKUP(G168,Eras!$A$2:$C$10, 2, TRUE)</f>
        <v>dsl</v>
      </c>
      <c r="BU168" t="s">
        <v>369</v>
      </c>
      <c r="BV168" t="str">
        <f>CONCATENATE(BT168,"_",BU168)</f>
        <v>dsl_Freight</v>
      </c>
      <c r="BW168" t="str">
        <f>IF(AND(BI168&lt;&gt;Y168,BI168&lt;&gt;""),_xlfn.CONCAT("{BLACK}","Tare speed: ","{GOLD}{VELOCITY}{}"), "")</f>
        <v/>
      </c>
      <c r="BX168" t="str">
        <f>_xlfn.CONCAT(E168, "_",F168)</f>
        <v>diesel_RAIL</v>
      </c>
      <c r="BY168" t="str">
        <f>VLOOKUP($BX168, Constants!$M:$N, 2, FALSE)</f>
        <v>{BLACK}Powered by: {GOLD}Diesel</v>
      </c>
      <c r="BZ168" t="str">
        <f>IF(J168&gt;1,_xlfn.CONCAT("{BLACK}Cars: {GOLD}", J168),"")</f>
        <v/>
      </c>
      <c r="CA168" t="s">
        <v>580</v>
      </c>
      <c r="CB168" t="str">
        <f>IF(BS168="BRAKE","{YELLOW}Speed bonus for slow wagons{}",IF(BQ168&gt;190,CONCATENATE("{YELLOW}",INT((BQ168-185)/1.85),"% Bonus for long distance travel{}"),IF(AND(BQ168&lt;180,BQ168&lt;&gt;0),CONCATENATE("{YELLOW}",INT((185-BQ168)/1.85),"% Penalty for long distance travel{}"),"")))</f>
        <v/>
      </c>
      <c r="CC168" t="str">
        <f>_xlfn.CONCAT(BW168,BY168,IF(BY168 &lt;&gt; "", " ", ""),BZ168,IF(OR(BZ168&lt;&gt;"", BY168&lt;&gt;""), "{}",""), CB168,"{SILVER}", CA168)</f>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IF(AND(T169&gt;0,W169&gt;0),(W169/((T169+U169)*10)),"")</f>
        <v>0.25797101449275361</v>
      </c>
      <c r="Y169">
        <v>60</v>
      </c>
      <c r="AA169">
        <v>15.4</v>
      </c>
      <c r="AB169">
        <v>15.4</v>
      </c>
      <c r="AD169">
        <v>3.86</v>
      </c>
      <c r="AE169" s="11">
        <v>0</v>
      </c>
      <c r="AF169" t="str">
        <f>CONCATENATE(VLOOKUP(AG169, 'Voxel Sizes'!$A$2:$B$18,2,FALSE),"x",INT(AC169*15), "x", INT(AD169*15))</f>
        <v>152x0x57</v>
      </c>
      <c r="AG169">
        <f>ROUND(15*((AB169*10)/256),0)</f>
        <v>9</v>
      </c>
      <c r="AI169" t="str">
        <f>CONCATENATE(VLOOKUP(AG169,Constants!$A$2:$C$16,IF(AH169&lt;&gt;"", 3, 2), FALSE),IF(AH169&lt;&gt;"",CONCATENATE(",",VLOOKUP(AH169,$B:$AI,34,FALSE)),""))</f>
        <v>2,5,2</v>
      </c>
      <c r="AS169">
        <v>14</v>
      </c>
      <c r="AT169">
        <f>IF(I169&lt;&gt;"",MAX(8,(I169-G169)-4),"")</f>
        <v>8</v>
      </c>
      <c r="AW169">
        <f>MIN(Y169/150, 1)*30</f>
        <v>12</v>
      </c>
      <c r="AX169">
        <f>MIN(K169/4000, 1)*20</f>
        <v>4.5</v>
      </c>
      <c r="AY169">
        <f>MIN(W169/400,1)*20</f>
        <v>8.9</v>
      </c>
      <c r="AZ169" s="4">
        <v>1</v>
      </c>
      <c r="BA169">
        <f>((MAX($J169,1)*MIN($AE169/300,1)))*IF(D169="Wagon",50,10)</f>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BD169*IF($D169="wagon",62.5,781.25)</f>
        <v>57812.5</v>
      </c>
      <c r="BG169" s="15">
        <f>BE169*IF($D169="wagon",2.73,81.25)</f>
        <v>6825</v>
      </c>
      <c r="BP169">
        <v>8</v>
      </c>
      <c r="BT169" t="str">
        <f>VLOOKUP(G169,Eras!$A$2:$C$10, 2, TRUE)</f>
        <v>dsl</v>
      </c>
      <c r="BU169" t="s">
        <v>366</v>
      </c>
      <c r="BV169" t="str">
        <f>CONCATENATE(BT169,"_",BU169)</f>
        <v>dsl_Cheap</v>
      </c>
      <c r="BW169" t="str">
        <f>IF(AND(BI169&lt;&gt;Y169,BI169&lt;&gt;""),_xlfn.CONCAT("{BLACK}","Tare speed: ","{GOLD}{VELOCITY}{}"), "")</f>
        <v/>
      </c>
      <c r="BX169" t="str">
        <f>_xlfn.CONCAT(E169, "_",F169)</f>
        <v>diesel_RAIL</v>
      </c>
      <c r="BY169" t="str">
        <f>VLOOKUP($BX169, Constants!$M:$N, 2, FALSE)</f>
        <v>{BLACK}Powered by: {GOLD}Diesel</v>
      </c>
      <c r="BZ169" t="str">
        <f>IF(J169&gt;1,_xlfn.CONCAT("{BLACK}Cars: {GOLD}", J169),"")</f>
        <v/>
      </c>
      <c r="CA169" t="s">
        <v>582</v>
      </c>
      <c r="CB169" t="str">
        <f>IF(BS169="BRAKE","{YELLOW}Speed bonus for slow wagons{}",IF(BQ169&gt;190,CONCATENATE("{YELLOW}",INT((BQ169-185)/1.85),"% Bonus for long distance travel{}"),IF(AND(BQ169&lt;180,BQ169&lt;&gt;0),CONCATENATE("{YELLOW}",INT((185-BQ169)/1.85),"% Penalty for long distance travel{}"),"")))</f>
        <v/>
      </c>
      <c r="CC169" t="str">
        <f>_xlfn.CONCAT(BW169,BY169,IF(BY169 &lt;&gt; "", " ", ""),BZ169,IF(OR(BZ169&lt;&gt;"", BY169&lt;&gt;""), "{}",""), CB169,"{SILVER}", CA169)</f>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IF(AND(T170&gt;0,W170&gt;0),(W170/((T170+U170)*10)),"")</f>
        <v>0.28247422680412371</v>
      </c>
      <c r="Y170">
        <v>40</v>
      </c>
      <c r="AA170">
        <v>10.3</v>
      </c>
      <c r="AB170">
        <v>10.3</v>
      </c>
      <c r="AE170" s="11">
        <v>0</v>
      </c>
      <c r="AF170" t="str">
        <f>CONCATENATE(VLOOKUP(AG170, 'Voxel Sizes'!$A$2:$B$18,2,FALSE),"x",INT(AC170*15), "x", INT(AD170*15))</f>
        <v>102x0x0</v>
      </c>
      <c r="AG170">
        <f>ROUND(15*((AB170*10)/256),0)</f>
        <v>6</v>
      </c>
      <c r="AI170" t="str">
        <f>CONCATENATE(VLOOKUP(AG170,Constants!$A$2:$C$16,IF(AH170&lt;&gt;"", 3, 2), FALSE),IF(AH170&lt;&gt;"",CONCATENATE(",",VLOOKUP(AH170,$B:$AI,34,FALSE)),""))</f>
        <v>2,2,2</v>
      </c>
      <c r="AQ170">
        <v>1</v>
      </c>
      <c r="AS170">
        <v>18</v>
      </c>
      <c r="AT170">
        <f>IF(I170&lt;&gt;"",MAX(8,(I170-G170)-4),"")</f>
        <v>16</v>
      </c>
      <c r="AW170">
        <f>MIN(Y170/150, 1)*30</f>
        <v>8</v>
      </c>
      <c r="AX170">
        <f>MIN(K170/4000, 1)*20</f>
        <v>3.25</v>
      </c>
      <c r="AY170">
        <f>MIN(W170/400,1)*20</f>
        <v>6.8500000000000005</v>
      </c>
      <c r="AZ170" s="4">
        <v>1</v>
      </c>
      <c r="BA170">
        <f>((MAX($J170,1)*MIN($AE170/300,1)))*IF(D170="Wagon",50,10)</f>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BD170*IF($D170="wagon",62.5,781.25)</f>
        <v>42968.75</v>
      </c>
      <c r="BG170" s="15">
        <f>BE170*IF($D170="wagon",2.73,81.25)</f>
        <v>5362.5</v>
      </c>
      <c r="BP170">
        <v>9</v>
      </c>
      <c r="BT170" t="str">
        <f>VLOOKUP(G170,Eras!$A$2:$C$10, 2, TRUE)</f>
        <v>dsl</v>
      </c>
      <c r="BU170" t="s">
        <v>366</v>
      </c>
      <c r="BV170" t="str">
        <f>CONCATENATE(BT170,"_",BU170)</f>
        <v>dsl_Cheap</v>
      </c>
      <c r="BW170" t="str">
        <f>IF(AND(BI170&lt;&gt;Y170,BI170&lt;&gt;""),_xlfn.CONCAT("{BLACK}","Tare speed: ","{GOLD}{VELOCITY}{}"), "")</f>
        <v/>
      </c>
      <c r="BX170" t="str">
        <f>_xlfn.CONCAT(E170, "_",F170)</f>
        <v>diesel_RAIL</v>
      </c>
      <c r="BY170" t="str">
        <f>VLOOKUP($BX170, Constants!$M:$N, 2, FALSE)</f>
        <v>{BLACK}Powered by: {GOLD}Diesel</v>
      </c>
      <c r="BZ170" t="str">
        <f>IF(J170&gt;1,_xlfn.CONCAT("{BLACK}Cars: {GOLD}", J170),"")</f>
        <v/>
      </c>
      <c r="CA170" t="s">
        <v>584</v>
      </c>
      <c r="CB170" t="str">
        <f>IF(BS170="BRAKE","{YELLOW}Speed bonus for slow wagons{}",IF(BQ170&gt;190,CONCATENATE("{YELLOW}",INT((BQ170-185)/1.85),"% Bonus for long distance travel{}"),IF(AND(BQ170&lt;180,BQ170&lt;&gt;0),CONCATENATE("{YELLOW}",INT((185-BQ170)/1.85),"% Penalty for long distance travel{}"),"")))</f>
        <v/>
      </c>
      <c r="CC170" t="str">
        <f>_xlfn.CONCAT(BW170,BY170,IF(BY170 &lt;&gt; "", " ", ""),BZ170,IF(OR(BZ170&lt;&gt;"", BY170&lt;&gt;""), "{}",""), CB170,"{SILVER}", CA170)</f>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IF(AND(T171&gt;0,W171&gt;0),(W171/((T171+U171)*10)),"")</f>
        <v>0.24377457404980341</v>
      </c>
      <c r="Y171">
        <v>80</v>
      </c>
      <c r="AA171">
        <v>16.36</v>
      </c>
      <c r="AB171">
        <v>16.36</v>
      </c>
      <c r="AE171" s="11">
        <v>0</v>
      </c>
      <c r="AF171" t="str">
        <f>CONCATENATE(VLOOKUP(AG171, 'Voxel Sizes'!$A$2:$B$18,2,FALSE),"x",INT(AC171*15), "x", INT(AD171*15))</f>
        <v>164x0x0</v>
      </c>
      <c r="AG171">
        <f>ROUND(15*((AB171*10)/256),0)</f>
        <v>10</v>
      </c>
      <c r="AI171" t="str">
        <f>CONCATENATE(VLOOKUP(AG171,Constants!$A$2:$C$16,IF(AH171&lt;&gt;"", 3, 2), FALSE),IF(AH171&lt;&gt;"",CONCATENATE(",",VLOOKUP(AH171,$B:$AI,34,FALSE)),""))</f>
        <v>4,2,4</v>
      </c>
      <c r="AS171">
        <v>33</v>
      </c>
      <c r="AT171" t="str">
        <f>IF(I171&lt;&gt;"",MAX(8,(I171-G171)-4),"")</f>
        <v/>
      </c>
      <c r="AW171">
        <f>MIN(Y171/150, 1)*30</f>
        <v>16</v>
      </c>
      <c r="AX171">
        <f>MIN(K171/4000, 1)*20</f>
        <v>7.1</v>
      </c>
      <c r="AY171">
        <f>MIN(W171/400,1)*20</f>
        <v>9.3000000000000007</v>
      </c>
      <c r="AZ171" s="4">
        <v>1</v>
      </c>
      <c r="BA171">
        <f>((MAX($J171,1)*MIN($AE171/300,1)))*IF(D171="Wagon",50,10)</f>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BD171*IF($D171="wagon",62.5,781.25)</f>
        <v>91406.25</v>
      </c>
      <c r="BG171" s="15">
        <f>BE171*IF($D171="wagon",2.73,81.25)</f>
        <v>7312.5</v>
      </c>
      <c r="BP171">
        <v>10</v>
      </c>
      <c r="BT171" t="str">
        <f>VLOOKUP(G171,Eras!$A$2:$C$10, 2, TRUE)</f>
        <v>dsl</v>
      </c>
      <c r="BV171" t="str">
        <f>CONCATENATE(BT171,"_",BU171)</f>
        <v>dsl_</v>
      </c>
      <c r="BW171" t="str">
        <f>IF(AND(BI171&lt;&gt;Y171,BI171&lt;&gt;""),_xlfn.CONCAT("{BLACK}","Tare speed: ","{GOLD}{VELOCITY}{}"), "")</f>
        <v/>
      </c>
      <c r="BX171" t="str">
        <f>_xlfn.CONCAT(E171, "_",F171)</f>
        <v>dual_power_RAIL</v>
      </c>
      <c r="BY171" t="str">
        <f>VLOOKUP($BX171, Constants!$M:$N, 2, FALSE)</f>
        <v>{BLACK}Powered by: {GOLD}750V DC / Diesel</v>
      </c>
      <c r="BZ171" t="str">
        <f>IF(J171&gt;1,_xlfn.CONCAT("{BLACK}Cars: {GOLD}", J171),"")</f>
        <v/>
      </c>
      <c r="CA171" t="s">
        <v>587</v>
      </c>
      <c r="CB171" t="str">
        <f>IF(BS171="BRAKE","{YELLOW}Speed bonus for slow wagons{}",IF(BQ171&gt;190,CONCATENATE("{YELLOW}",INT((BQ171-185)/1.85),"% Bonus for long distance travel{}"),IF(AND(BQ171&lt;180,BQ171&lt;&gt;0),CONCATENATE("{YELLOW}",INT((185-BQ171)/1.85),"% Penalty for long distance travel{}"),"")))</f>
        <v/>
      </c>
      <c r="CC171" t="str">
        <f>_xlfn.CONCAT(BW171,BY171,IF(BY171 &lt;&gt; "", " ", ""),BZ171,IF(OR(BZ171&lt;&gt;"", BY171&lt;&gt;""), "{}",""), CB171,"{SILVER}", CA171)</f>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IF(AND(T172&gt;0,W172&gt;0),(W172/((T172+U172)*10)),"")</f>
        <v>0.32560975609756099</v>
      </c>
      <c r="Y172">
        <v>100</v>
      </c>
      <c r="AA172">
        <v>17.829999999999998</v>
      </c>
      <c r="AB172">
        <v>17.829999999999998</v>
      </c>
      <c r="AD172">
        <v>3.77</v>
      </c>
      <c r="AE172" s="11">
        <v>0</v>
      </c>
      <c r="AF172" t="str">
        <f>CONCATENATE(VLOOKUP(AG172, 'Voxel Sizes'!$A$2:$B$18,2,FALSE),"x",INT(AC172*15), "x", INT(AD172*15))</f>
        <v>164x0x56</v>
      </c>
      <c r="AG172">
        <f>ROUND(15*((AB172*10)/256),0)</f>
        <v>10</v>
      </c>
      <c r="AI172" t="str">
        <f>CONCATENATE(VLOOKUP(AG172,Constants!$A$2:$C$16,IF(AH172&lt;&gt;"", 3, 2), FALSE),IF(AH172&lt;&gt;"",CONCATENATE(",",VLOOKUP(AH172,$B:$AI,34,FALSE)),""))</f>
        <v>4,2,4</v>
      </c>
      <c r="AS172">
        <v>37</v>
      </c>
      <c r="AT172" t="str">
        <f>IF(I172&lt;&gt;"",MAX(8,(I172-G172)-4),"")</f>
        <v/>
      </c>
      <c r="AW172">
        <f>MIN(Y172/150, 1)*30</f>
        <v>20</v>
      </c>
      <c r="AX172">
        <f>MIN(K172/4000, 1)*20</f>
        <v>18</v>
      </c>
      <c r="AY172">
        <f>MIN(W172/400,1)*20</f>
        <v>13.35</v>
      </c>
      <c r="AZ172" s="4">
        <v>1</v>
      </c>
      <c r="BA172">
        <f>((MAX($J172,1)*MIN($AE172/300,1)))*IF(D172="Wagon",50,10)</f>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BD172*IF($D172="wagon",62.5,781.25)</f>
        <v>128906.25</v>
      </c>
      <c r="BG172" s="15">
        <f>BE172*IF($D172="wagon",2.73,81.25)</f>
        <v>10237.5</v>
      </c>
      <c r="BP172">
        <v>11</v>
      </c>
      <c r="BT172" t="str">
        <f>VLOOKUP(G172,Eras!$A$2:$C$10, 2, TRUE)</f>
        <v>dsl</v>
      </c>
      <c r="BU172" t="s">
        <v>378</v>
      </c>
      <c r="BV172" t="str">
        <f>CONCATENATE(BT172,"_",BU172)</f>
        <v>dsl_Express (Electric)</v>
      </c>
      <c r="BW172" t="str">
        <f>IF(AND(BI172&lt;&gt;Y172,BI172&lt;&gt;""),_xlfn.CONCAT("{BLACK}","Tare speed: ","{GOLD}{VELOCITY}{}"), "")</f>
        <v/>
      </c>
      <c r="BX172" t="str">
        <f>_xlfn.CONCAT(E172, "_",F172)</f>
        <v>electric_ELRL</v>
      </c>
      <c r="BY172" t="str">
        <f>VLOOKUP($BX172, Constants!$M:$N, 2, FALSE)</f>
        <v>{BLACK}Powered by: {GOLD}25kV AC</v>
      </c>
      <c r="BZ172" t="str">
        <f>IF(J172&gt;1,_xlfn.CONCAT("{BLACK}Cars: {GOLD}", J172),"")</f>
        <v/>
      </c>
      <c r="CA172" t="s">
        <v>563</v>
      </c>
      <c r="CB172" t="str">
        <f>IF(BS172="BRAKE","{YELLOW}Speed bonus for slow wagons{}",IF(BQ172&gt;190,CONCATENATE("{YELLOW}",INT((BQ172-185)/1.85),"% Bonus for long distance travel{}"),IF(AND(BQ172&lt;180,BQ172&lt;&gt;0),CONCATENATE("{YELLOW}",INT((185-BQ172)/1.85),"% Penalty for long distance travel{}"),"")))</f>
        <v/>
      </c>
      <c r="CC172" t="str">
        <f>_xlfn.CONCAT(BW172,BY172,IF(BY172 &lt;&gt; "", " ", ""),BZ172,IF(OR(BZ172&lt;&gt;"", BY172&lt;&gt;""), "{}",""), CB172,"{SILVER}", CA172)</f>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IF(AND(T173&gt;0,W173&gt;0),(W173/((T173+U173)*10)),"")</f>
        <v>0.18461538461538463</v>
      </c>
      <c r="Y173">
        <v>100</v>
      </c>
      <c r="AA173">
        <v>20.88</v>
      </c>
      <c r="AB173">
        <v>20.88</v>
      </c>
      <c r="AD173">
        <v>3.89</v>
      </c>
      <c r="AE173" s="11">
        <v>0</v>
      </c>
      <c r="AF173" t="str">
        <f>CONCATENATE(VLOOKUP(AG173, 'Voxel Sizes'!$A$2:$B$18,2,FALSE),"x",INT(AC173*15), "x", INT(AD173*15))</f>
        <v>198x0x58</v>
      </c>
      <c r="AG173">
        <f>ROUND(15*((AB173*10)/256),0)</f>
        <v>12</v>
      </c>
      <c r="AI173" t="str">
        <f>CONCATENATE(VLOOKUP(AG173,Constants!$A$2:$C$16,IF(AH173&lt;&gt;"", 3, 2), FALSE),IF(AH173&lt;&gt;"",CONCATENATE(",",VLOOKUP(AH173,$B:$AI,34,FALSE)),""))</f>
        <v>4,4,4</v>
      </c>
      <c r="AS173">
        <v>30</v>
      </c>
      <c r="AT173">
        <f>IF(I173&lt;&gt;"",MAX(8,(I173-G173)-4),"")</f>
        <v>23</v>
      </c>
      <c r="AW173">
        <f>MIN(Y173/150, 1)*30</f>
        <v>20</v>
      </c>
      <c r="AX173">
        <f>MIN(K173/4000, 1)*20</f>
        <v>13.5</v>
      </c>
      <c r="AY173">
        <f>MIN(W173/400,1)*20</f>
        <v>10.8</v>
      </c>
      <c r="AZ173" s="4">
        <v>1</v>
      </c>
      <c r="BA173">
        <f>((MAX($J173,1)*MIN($AE173/300,1)))*IF(D173="Wagon",50,10)</f>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BD173*IF($D173="wagon",62.5,781.25)</f>
        <v>96875</v>
      </c>
      <c r="BG173" s="15">
        <f>BE173*IF($D173="wagon",2.73,81.25)</f>
        <v>10887.5</v>
      </c>
      <c r="BP173">
        <v>12</v>
      </c>
      <c r="BT173" t="str">
        <f>VLOOKUP(G173,Eras!$A$2:$C$10, 2, TRUE)</f>
        <v>dsl</v>
      </c>
      <c r="BU173" t="s">
        <v>368</v>
      </c>
      <c r="BV173" t="str">
        <f>CONCATENATE(BT173,"_",BU173)</f>
        <v>dsl_Express</v>
      </c>
      <c r="BW173" t="str">
        <f>IF(AND(BI173&lt;&gt;Y173,BI173&lt;&gt;""),_xlfn.CONCAT("{BLACK}","Tare speed: ","{GOLD}{VELOCITY}{}"), "")</f>
        <v/>
      </c>
      <c r="BX173" t="str">
        <f>_xlfn.CONCAT(E173, "_",F173)</f>
        <v>diesel_RAIL</v>
      </c>
      <c r="BY173" t="str">
        <f>VLOOKUP($BX173, Constants!$M:$N, 2, FALSE)</f>
        <v>{BLACK}Powered by: {GOLD}Diesel</v>
      </c>
      <c r="BZ173" t="str">
        <f>IF(J173&gt;1,_xlfn.CONCAT("{BLACK}Cars: {GOLD}", J173),"")</f>
        <v/>
      </c>
      <c r="CA173" t="s">
        <v>588</v>
      </c>
      <c r="CB173" t="str">
        <f>IF(BS173="BRAKE","{YELLOW}Speed bonus for slow wagons{}",IF(BQ173&gt;190,CONCATENATE("{YELLOW}",INT((BQ173-185)/1.85),"% Bonus for long distance travel{}"),IF(AND(BQ173&lt;180,BQ173&lt;&gt;0),CONCATENATE("{YELLOW}",INT((185-BQ173)/1.85),"% Penalty for long distance travel{}"),"")))</f>
        <v/>
      </c>
      <c r="CC173" t="str">
        <f>_xlfn.CONCAT(BW173,BY173,IF(BY173 &lt;&gt; "", " ", ""),BZ173,IF(OR(BZ173&lt;&gt;"", BY173&lt;&gt;""), "{}",""), CB173,"{SILVER}", CA173)</f>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IF(AND(T174&gt;0,W174&gt;0),(W174/((T174+U174)*10)),"")</f>
        <v>0.31851851851851853</v>
      </c>
      <c r="Y174">
        <v>110</v>
      </c>
      <c r="AA174">
        <v>17.829999999999998</v>
      </c>
      <c r="AB174">
        <v>17.829999999999998</v>
      </c>
      <c r="AD174">
        <v>3.77</v>
      </c>
      <c r="AE174" s="11">
        <v>0</v>
      </c>
      <c r="AF174" t="str">
        <f>CONCATENATE(VLOOKUP(AG174, 'Voxel Sizes'!$A$2:$B$18,2,FALSE),"x",INT(AC174*15), "x", INT(AD174*15))</f>
        <v>164x0x56</v>
      </c>
      <c r="AG174">
        <f>ROUND(15*((AB174*10)/256),0)</f>
        <v>10</v>
      </c>
      <c r="AI174" t="str">
        <f>CONCATENATE(VLOOKUP(AG174,Constants!$A$2:$C$16,IF(AH174&lt;&gt;"", 3, 2), FALSE),IF(AH174&lt;&gt;"",CONCATENATE(",",VLOOKUP(AH174,$B:$AI,34,FALSE)),""))</f>
        <v>4,2,4</v>
      </c>
      <c r="AS174">
        <v>30</v>
      </c>
      <c r="AT174">
        <f>IF(I174&lt;&gt;"",MAX(8,(I174-G174)-4),"")</f>
        <v>29</v>
      </c>
      <c r="AW174">
        <f>MIN(Y174/150, 1)*30</f>
        <v>22</v>
      </c>
      <c r="AX174">
        <f>MIN(K174/4000, 1)*20</f>
        <v>20</v>
      </c>
      <c r="AY174">
        <f>MIN(W174/400,1)*20</f>
        <v>12.9</v>
      </c>
      <c r="AZ174" s="4">
        <v>1</v>
      </c>
      <c r="BA174">
        <f>((MAX($J174,1)*MIN($AE174/300,1)))*IF(D174="Wagon",50,10)</f>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BD174*IF($D174="wagon",62.5,781.25)</f>
        <v>137500</v>
      </c>
      <c r="BG174" s="15">
        <f>BE174*IF($D174="wagon",2.73,81.25)</f>
        <v>10887.5</v>
      </c>
      <c r="BP174">
        <v>1</v>
      </c>
      <c r="BT174" t="str">
        <f>VLOOKUP(G174,Eras!$A$2:$C$10, 2, TRUE)</f>
        <v>lbr</v>
      </c>
      <c r="BU174" t="s">
        <v>378</v>
      </c>
      <c r="BV174" t="str">
        <f>CONCATENATE(BT174,"_",BU174)</f>
        <v>lbr_Express (Electric)</v>
      </c>
      <c r="BW174" t="str">
        <f>IF(AND(BI174&lt;&gt;Y174,BI174&lt;&gt;""),_xlfn.CONCAT("{BLACK}","Tare speed: ","{GOLD}{VELOCITY}{}"), "")</f>
        <v/>
      </c>
      <c r="BX174" t="str">
        <f>_xlfn.CONCAT(E174, "_",F174)</f>
        <v>electric_ELRL</v>
      </c>
      <c r="BY174" t="str">
        <f>VLOOKUP($BX174, Constants!$M:$N, 2, FALSE)</f>
        <v>{BLACK}Powered by: {GOLD}25kV AC</v>
      </c>
      <c r="BZ174" t="str">
        <f>IF(J174&gt;1,_xlfn.CONCAT("{BLACK}Cars: {GOLD}", J174),"")</f>
        <v/>
      </c>
      <c r="CA174" t="s">
        <v>589</v>
      </c>
      <c r="CB174" t="str">
        <f>IF(BS174="BRAKE","{YELLOW}Speed bonus for slow wagons{}",IF(BQ174&gt;190,CONCATENATE("{YELLOW}",INT((BQ174-185)/1.85),"% Bonus for long distance travel{}"),IF(AND(BQ174&lt;180,BQ174&lt;&gt;0),CONCATENATE("{YELLOW}",INT((185-BQ174)/1.85),"% Penalty for long distance travel{}"),"")))</f>
        <v/>
      </c>
      <c r="CC174" t="str">
        <f>_xlfn.CONCAT(BW174,BY174,IF(BY174 &lt;&gt; "", " ", ""),BZ174,IF(OR(BZ174&lt;&gt;"", BY174&lt;&gt;""), "{}",""), CB174,"{SILVER}", CA174)</f>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IF(AND(T175&gt;0,W175&gt;0),(W175/((T175+U175)*10)),"")</f>
        <v>0.22775800711743771</v>
      </c>
      <c r="Y175">
        <v>125</v>
      </c>
      <c r="AA175">
        <v>17.79</v>
      </c>
      <c r="AB175">
        <v>17.79</v>
      </c>
      <c r="AE175" s="11">
        <v>0</v>
      </c>
      <c r="AF175" t="str">
        <f>CONCATENATE(VLOOKUP(AG175, 'Voxel Sizes'!$A$2:$B$18,2,FALSE),"x",INT(AC175*15), "x", INT(AD175*15))</f>
        <v>164x0x0</v>
      </c>
      <c r="AG175">
        <f>ROUND(15*((AB175*10)/256),0)</f>
        <v>10</v>
      </c>
      <c r="AI175" t="str">
        <f>CONCATENATE(VLOOKUP(AG175,Constants!$A$2:$C$16,IF(AH175&lt;&gt;"", 3, 2), FALSE),IF(AH175&lt;&gt;"",CONCATENATE(",",VLOOKUP(AH175,$B:$AI,34,FALSE)),""))</f>
        <v>4,2,4</v>
      </c>
      <c r="AS175">
        <v>35</v>
      </c>
      <c r="AT175">
        <f>IF(I175&lt;&gt;"",MAX(8,(I175-G175)-4),"")</f>
        <v>42</v>
      </c>
      <c r="AW175">
        <f>MIN(Y175/150, 1)*30</f>
        <v>25</v>
      </c>
      <c r="AX175">
        <f>MIN(K175/4000, 1)*20</f>
        <v>8.85</v>
      </c>
      <c r="AY175">
        <f>MIN(W175/400,1)*20</f>
        <v>8</v>
      </c>
      <c r="AZ175" s="4">
        <v>1</v>
      </c>
      <c r="BA175">
        <f>((MAX($J175,1)*MIN($AE175/300,1)))*IF(D175="Wagon",50,10)</f>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BD175*IF($D175="wagon",62.5,781.25)</f>
        <v>91406.25</v>
      </c>
      <c r="BG175" s="15">
        <f>BE175*IF($D175="wagon",2.73,81.25)</f>
        <v>10318.75</v>
      </c>
      <c r="BH175">
        <v>1</v>
      </c>
      <c r="BN175">
        <v>1</v>
      </c>
      <c r="BP175">
        <v>2</v>
      </c>
      <c r="BT175" t="str">
        <f>VLOOKUP(G175,Eras!$A$2:$C$10, 2, TRUE)</f>
        <v>lbr</v>
      </c>
      <c r="BU175" t="s">
        <v>368</v>
      </c>
      <c r="BV175" t="str">
        <f>CONCATENATE(BT175,"_",BU175)</f>
        <v>lbr_Express</v>
      </c>
      <c r="BW175" t="str">
        <f>IF(AND(BI175&lt;&gt;Y175,BI175&lt;&gt;""),_xlfn.CONCAT("{BLACK}","Tare speed: ","{GOLD}{VELOCITY}{}"), "")</f>
        <v/>
      </c>
      <c r="BX175" t="str">
        <f>_xlfn.CONCAT(E175, "_",F175)</f>
        <v>diesel_RAIL</v>
      </c>
      <c r="BY175" t="str">
        <f>VLOOKUP($BX175, Constants!$M:$N, 2, FALSE)</f>
        <v>{BLACK}Powered by: {GOLD}Diesel</v>
      </c>
      <c r="BZ175" t="str">
        <f>IF(J175&gt;1,_xlfn.CONCAT("{BLACK}Cars: {GOLD}", J175),"")</f>
        <v/>
      </c>
      <c r="CA175" t="s">
        <v>406</v>
      </c>
      <c r="CB175" t="str">
        <f>IF(BS175="BRAKE","{YELLOW}Speed bonus for slow wagons{}",IF(BQ175&gt;190,CONCATENATE("{YELLOW}",INT((BQ175-185)/1.85),"% Bonus for long distance travel{}"),IF(AND(BQ175&lt;180,BQ175&lt;&gt;0),CONCATENATE("{YELLOW}",INT((185-BQ175)/1.85),"% Penalty for long distance travel{}"),"")))</f>
        <v/>
      </c>
      <c r="CC175" t="str">
        <f>_xlfn.CONCAT(BW175,BY175,IF(BY175 &lt;&gt; "", " ", ""),BZ175,IF(OR(BZ175&lt;&gt;"", BY175&lt;&gt;""), "{}",""), CB175,"{SILVER}", CA175)</f>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IF(AND(T176&gt;0,W176&gt;0),(W176/((T176+U176)*10)),"")</f>
        <v>0.22</v>
      </c>
      <c r="Y176">
        <v>80</v>
      </c>
      <c r="AA176">
        <v>19.350000000000001</v>
      </c>
      <c r="AB176">
        <v>19.350000000000001</v>
      </c>
      <c r="AD176">
        <v>3.89</v>
      </c>
      <c r="AE176" s="11">
        <v>0</v>
      </c>
      <c r="AF176" t="str">
        <f>CONCATENATE(VLOOKUP(AG176, 'Voxel Sizes'!$A$2:$B$18,2,FALSE),"x",INT(AC176*15), "x", INT(AD176*15))</f>
        <v>186x0x58</v>
      </c>
      <c r="AG176">
        <f>ROUND(15*((AB176*10)/256),0)</f>
        <v>11</v>
      </c>
      <c r="AI176" t="str">
        <f>CONCATENATE(VLOOKUP(AG176,Constants!$A$2:$C$16,IF(AH176&lt;&gt;"", 3, 2), FALSE),IF(AH176&lt;&gt;"",CONCATENATE(",",VLOOKUP(AH176,$B:$AI,34,FALSE)),""))</f>
        <v>4,3,4</v>
      </c>
      <c r="AS176">
        <v>30</v>
      </c>
      <c r="AT176" t="str">
        <f>IF(I176&lt;&gt;"",MAX(8,(I176-G176)-4),"")</f>
        <v/>
      </c>
      <c r="AW176">
        <f>MIN(Y176/150, 1)*30</f>
        <v>16</v>
      </c>
      <c r="AX176">
        <f>MIN(K176/4000, 1)*20</f>
        <v>16.25</v>
      </c>
      <c r="AY176">
        <f>MIN(W176/400,1)*20</f>
        <v>13.75</v>
      </c>
      <c r="AZ176" s="4">
        <v>1</v>
      </c>
      <c r="BA176">
        <f>((MAX($J176,1)*MIN($AE176/300,1)))*IF(D176="Wagon",50,10)</f>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BD176*IF($D176="wagon",62.5,781.25)</f>
        <v>100000</v>
      </c>
      <c r="BG176" s="15">
        <f>BE176*IF($D176="wagon",2.73,81.25)</f>
        <v>11212.5</v>
      </c>
      <c r="BP176">
        <v>3</v>
      </c>
      <c r="BT176" t="str">
        <f>VLOOKUP(G176,Eras!$A$2:$C$10, 2, TRUE)</f>
        <v>lbr</v>
      </c>
      <c r="BU176" t="s">
        <v>369</v>
      </c>
      <c r="BV176" t="str">
        <f>CONCATENATE(BT176,"_",BU176)</f>
        <v>lbr_Freight</v>
      </c>
      <c r="BW176" t="str">
        <f>IF(AND(BI176&lt;&gt;Y176,BI176&lt;&gt;""),_xlfn.CONCAT("{BLACK}","Tare speed: ","{GOLD}{VELOCITY}{}"), "")</f>
        <v/>
      </c>
      <c r="BX176" t="str">
        <f>_xlfn.CONCAT(E176, "_",F176)</f>
        <v>diesel_RAIL</v>
      </c>
      <c r="BY176" t="str">
        <f>VLOOKUP($BX176, Constants!$M:$N, 2, FALSE)</f>
        <v>{BLACK}Powered by: {GOLD}Diesel</v>
      </c>
      <c r="BZ176" t="str">
        <f>IF(J176&gt;1,_xlfn.CONCAT("{BLACK}Cars: {GOLD}", J176),"")</f>
        <v/>
      </c>
      <c r="CA176" t="s">
        <v>591</v>
      </c>
      <c r="CB176" t="str">
        <f>IF(BS176="BRAKE","{YELLOW}Speed bonus for slow wagons{}",IF(BQ176&gt;190,CONCATENATE("{YELLOW}",INT((BQ176-185)/1.85),"% Bonus for long distance travel{}"),IF(AND(BQ176&lt;180,BQ176&lt;&gt;0),CONCATENATE("{YELLOW}",INT((185-BQ176)/1.85),"% Penalty for long distance travel{}"),"")))</f>
        <v/>
      </c>
      <c r="CC176" t="str">
        <f>_xlfn.CONCAT(BW176,BY176,IF(BY176 &lt;&gt; "", " ", ""),BZ176,IF(OR(BZ176&lt;&gt;"", BY176&lt;&gt;""), "{}",""), CB176,"{SILVER}", CA176)</f>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IF(AND(T177&gt;0,W177&gt;0),(W177/((T177+U177)*10)),"")</f>
        <v>0.20538461538461539</v>
      </c>
      <c r="Y177">
        <v>80</v>
      </c>
      <c r="AA177">
        <v>19.13</v>
      </c>
      <c r="AB177">
        <v>19.13</v>
      </c>
      <c r="AD177">
        <v>3.91</v>
      </c>
      <c r="AE177" s="11">
        <v>0</v>
      </c>
      <c r="AF177" t="str">
        <f>CONCATENATE(VLOOKUP(AG177, 'Voxel Sizes'!$A$2:$B$18,2,FALSE),"x",INT(AC177*15), "x", INT(AD177*15))</f>
        <v>186x0x58</v>
      </c>
      <c r="AG177">
        <f>ROUND(15*((AB177*10)/256),0)</f>
        <v>11</v>
      </c>
      <c r="AI177" t="str">
        <f>CONCATENATE(VLOOKUP(AG177,Constants!$A$2:$C$16,IF(AH177&lt;&gt;"", 3, 2), FALSE),IF(AH177&lt;&gt;"",CONCATENATE(",",VLOOKUP(AH177,$B:$AI,34,FALSE)),""))</f>
        <v>4,3,4</v>
      </c>
      <c r="AS177">
        <v>30</v>
      </c>
      <c r="AT177" t="str">
        <f>IF(I177&lt;&gt;"",MAX(8,(I177-G177)-4),"")</f>
        <v/>
      </c>
      <c r="AW177">
        <f>MIN(Y177/150, 1)*30</f>
        <v>16</v>
      </c>
      <c r="AX177">
        <f>MIN(K177/4000, 1)*20</f>
        <v>16.5</v>
      </c>
      <c r="AY177">
        <f>MIN(W177/400,1)*20</f>
        <v>13.35</v>
      </c>
      <c r="AZ177" s="4">
        <v>1</v>
      </c>
      <c r="BA177">
        <f>((MAX($J177,1)*MIN($AE177/300,1)))*IF(D177="Wagon",50,10)</f>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BD177*IF($D177="wagon",62.5,781.25)</f>
        <v>100000</v>
      </c>
      <c r="BG177" s="15">
        <f>BE177*IF($D177="wagon",2.73,81.25)</f>
        <v>11212.5</v>
      </c>
      <c r="BP177">
        <v>4</v>
      </c>
      <c r="BT177" t="str">
        <f>VLOOKUP(G177,Eras!$A$2:$C$10, 2, TRUE)</f>
        <v>lbr</v>
      </c>
      <c r="BU177" t="s">
        <v>369</v>
      </c>
      <c r="BV177" t="str">
        <f>CONCATENATE(BT177,"_",BU177)</f>
        <v>lbr_Freight</v>
      </c>
      <c r="BW177" t="str">
        <f>IF(AND(BI177&lt;&gt;Y177,BI177&lt;&gt;""),_xlfn.CONCAT("{BLACK}","Tare speed: ","{GOLD}{VELOCITY}{}"), "")</f>
        <v/>
      </c>
      <c r="BX177" t="str">
        <f>_xlfn.CONCAT(E177, "_",F177)</f>
        <v>diesel_RAIL</v>
      </c>
      <c r="BY177" t="str">
        <f>VLOOKUP($BX177, Constants!$M:$N, 2, FALSE)</f>
        <v>{BLACK}Powered by: {GOLD}Diesel</v>
      </c>
      <c r="BZ177" t="str">
        <f>IF(J177&gt;1,_xlfn.CONCAT("{BLACK}Cars: {GOLD}", J177),"")</f>
        <v/>
      </c>
      <c r="CA177" t="s">
        <v>602</v>
      </c>
      <c r="CB177" t="str">
        <f>IF(BS177="BRAKE","{YELLOW}Speed bonus for slow wagons{}",IF(BQ177&gt;190,CONCATENATE("{YELLOW}",INT((BQ177-185)/1.85),"% Bonus for long distance travel{}"),IF(AND(BQ177&lt;180,BQ177&lt;&gt;0),CONCATENATE("{YELLOW}",INT((185-BQ177)/1.85),"% Penalty for long distance travel{}"),"")))</f>
        <v/>
      </c>
      <c r="CC177" t="str">
        <f>_xlfn.CONCAT(BW177,BY177,IF(BY177 &lt;&gt; "", " ", ""),BZ177,IF(OR(BZ177&lt;&gt;"", BY177&lt;&gt;""), "{}",""), CB177,"{SILVER}", CA177)</f>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IF(AND(T178&gt;0,W178&gt;0),(W178/((T178+U178)*10)),"")</f>
        <v>0.23015873015873015</v>
      </c>
      <c r="Y178">
        <v>75</v>
      </c>
      <c r="AA178">
        <v>21.4</v>
      </c>
      <c r="AB178">
        <v>21.4</v>
      </c>
      <c r="AD178">
        <v>3.91</v>
      </c>
      <c r="AE178" s="11">
        <v>0</v>
      </c>
      <c r="AF178" t="str">
        <f>CONCATENATE(VLOOKUP(AG178, 'Voxel Sizes'!$A$2:$B$18,2,FALSE),"x",INT(AC178*15), "x", INT(AD178*15))</f>
        <v>214x0x58</v>
      </c>
      <c r="AG178">
        <f>ROUND(15*((AB178*10)/256),0)</f>
        <v>13</v>
      </c>
      <c r="AI178" t="str">
        <f>CONCATENATE(VLOOKUP(AG178,Constants!$A$2:$C$16,IF(AH178&lt;&gt;"", 3, 2), FALSE),IF(AH178&lt;&gt;"",CONCATENATE(",",VLOOKUP(AH178,$B:$AI,34,FALSE)),""))</f>
        <v>4,5,4</v>
      </c>
      <c r="AS178">
        <v>30</v>
      </c>
      <c r="AT178" t="str">
        <f>IF(I178&lt;&gt;"",MAX(8,(I178-G178)-4),"")</f>
        <v/>
      </c>
      <c r="AW178">
        <f>MIN(Y178/150, 1)*30</f>
        <v>15</v>
      </c>
      <c r="AX178">
        <f>MIN(K178/4000, 1)*20</f>
        <v>16.5</v>
      </c>
      <c r="AY178">
        <f>MIN(W178/400,1)*20</f>
        <v>14.5</v>
      </c>
      <c r="AZ178" s="4">
        <v>1</v>
      </c>
      <c r="BA178">
        <f>((MAX($J178,1)*MIN($AE178/300,1)))*IF(D178="Wagon",50,10)</f>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BD178*IF($D178="wagon",62.5,781.25)</f>
        <v>100000</v>
      </c>
      <c r="BG178" s="15">
        <f>BE178*IF($D178="wagon",2.73,81.25)</f>
        <v>11212.5</v>
      </c>
      <c r="BP178">
        <v>5</v>
      </c>
      <c r="BT178" t="str">
        <f>VLOOKUP(G178,Eras!$A$2:$C$10, 2, TRUE)</f>
        <v>lbr</v>
      </c>
      <c r="BU178" t="s">
        <v>369</v>
      </c>
      <c r="BV178" t="str">
        <f>CONCATENATE(BT178,"_",BU178)</f>
        <v>lbr_Freight</v>
      </c>
      <c r="BW178" t="str">
        <f>IF(AND(BI178&lt;&gt;Y178,BI178&lt;&gt;""),_xlfn.CONCAT("{BLACK}","Tare speed: ","{GOLD}{VELOCITY}{}"), "")</f>
        <v/>
      </c>
      <c r="BX178" t="str">
        <f>_xlfn.CONCAT(E178, "_",F178)</f>
        <v>diesel_RAIL</v>
      </c>
      <c r="BY178" t="str">
        <f>VLOOKUP($BX178, Constants!$M:$N, 2, FALSE)</f>
        <v>{BLACK}Powered by: {GOLD}Diesel</v>
      </c>
      <c r="BZ178" t="str">
        <f>IF(J178&gt;1,_xlfn.CONCAT("{BLACK}Cars: {GOLD}", J178),"")</f>
        <v/>
      </c>
      <c r="CA178" t="s">
        <v>604</v>
      </c>
      <c r="CB178" t="str">
        <f>IF(BS178="BRAKE","{YELLOW}Speed bonus for slow wagons{}",IF(BQ178&gt;190,CONCATENATE("{YELLOW}",INT((BQ178-185)/1.85),"% Bonus for long distance travel{}"),IF(AND(BQ178&lt;180,BQ178&lt;&gt;0),CONCATENATE("{YELLOW}",INT((185-BQ178)/1.85),"% Penalty for long distance travel{}"),"")))</f>
        <v/>
      </c>
      <c r="CC178" t="str">
        <f>_xlfn.CONCAT(BW178,BY178,IF(BY178 &lt;&gt; "", " ", ""),BZ178,IF(OR(BZ178&lt;&gt;"", BY178&lt;&gt;""), "{}",""), CB178,"{SILVER}", CA178)</f>
        <v>{BLACK}Powered by: {GOLD}Diesel {}{SILVER}The Class 59 is the first US-built locomotive to operate in mainland Great Britain. It is derived from the SD40, with a British cab layout.</v>
      </c>
    </row>
    <row r="179" spans="1:81" x14ac:dyDescent="0.25">
      <c r="A179" t="s">
        <v>1254</v>
      </c>
      <c r="B179" t="s">
        <v>1257</v>
      </c>
      <c r="C179">
        <v>347</v>
      </c>
      <c r="D179" t="s">
        <v>302</v>
      </c>
      <c r="E179" t="s">
        <v>336</v>
      </c>
      <c r="F179" t="s">
        <v>337</v>
      </c>
      <c r="G179">
        <v>1986</v>
      </c>
      <c r="I179">
        <v>2001</v>
      </c>
      <c r="K179">
        <v>5850</v>
      </c>
      <c r="T179">
        <v>105</v>
      </c>
      <c r="W179">
        <v>209</v>
      </c>
      <c r="X179" s="4">
        <f>IF(AND(T179&gt;0,W179&gt;0),(W179/((T179+U179)*10)),"")</f>
        <v>0.19904761904761906</v>
      </c>
      <c r="Y179">
        <v>125</v>
      </c>
      <c r="AA179">
        <v>19.79</v>
      </c>
      <c r="AB179">
        <v>19.79</v>
      </c>
      <c r="AC179">
        <v>2.73</v>
      </c>
      <c r="AD179">
        <v>3.8</v>
      </c>
      <c r="AF179" t="str">
        <f>CONCATENATE(VLOOKUP(AG179, 'Voxel Sizes'!$A$2:$B$18,2,FALSE),"x",INT(AC179*15), "x", INT(AD179*15))</f>
        <v>198x40x57</v>
      </c>
      <c r="AG179">
        <f>ROUND(15*((AB179*10)/256),0)</f>
        <v>12</v>
      </c>
      <c r="AI179" t="str">
        <f>CONCATENATE(VLOOKUP(AG179,Constants!$A$2:$C$16,IF(AH179&lt;&gt;"", 3, 2), FALSE),IF(AH179&lt;&gt;"",CONCATENATE(",",VLOOKUP(AH179,$B:$AI,34,FALSE)),""))</f>
        <v>4,4,4</v>
      </c>
      <c r="AS179">
        <v>24</v>
      </c>
      <c r="AT179">
        <f>IF(I179&lt;&gt;"",MAX(8,(I179-G179)-4),"")</f>
        <v>11</v>
      </c>
      <c r="AU179">
        <v>15</v>
      </c>
      <c r="AV179">
        <v>-30</v>
      </c>
      <c r="AW179">
        <f>MIN(Y179/150, 1)*30</f>
        <v>25</v>
      </c>
      <c r="AX179">
        <f>MIN(K179/4000, 1)*20</f>
        <v>20</v>
      </c>
      <c r="AY179">
        <f>MIN(W179/400,1)*20</f>
        <v>10.45</v>
      </c>
      <c r="AZ179" s="4">
        <v>1</v>
      </c>
      <c r="BA179">
        <f>((MAX($J179,1)*MIN($AE179/300,1)))*IF(D179="Wagon",50,10)</f>
        <v>0</v>
      </c>
      <c r="BB179">
        <f>VLOOKUP($E179,Constants!$I:$K, 2, FALSE)</f>
        <v>0.85</v>
      </c>
      <c r="BC179">
        <f>VLOOKUP($E179,Constants!$I:$K, 3, FALSE)*IF(AND(D179="multiple_unit",Y179&lt;110),0.75,1)</f>
        <v>2.2999999999999998</v>
      </c>
      <c r="BD179">
        <f>INT(POWER(((Constants!$G$2+$AW179+$AX179+$AY179+$BA179)*$AZ179)*$BC179, 1.05))+$AV179</f>
        <v>147</v>
      </c>
      <c r="BE179">
        <f>INT(POWER((((Constants!$G$1+$AW179+$AX179+$AY179+$BA179)*(1/$AZ179))*$BB179),IF($D179="wagon",1,1.2)))+$AU179</f>
        <v>150</v>
      </c>
      <c r="BF179" s="15">
        <f>BD179*IF($D179="wagon",62.5,781.25)</f>
        <v>114843.75</v>
      </c>
      <c r="BG179" s="15">
        <f>BE179*IF($D179="wagon",2.73,81.25)</f>
        <v>12187.5</v>
      </c>
      <c r="BP179">
        <v>5</v>
      </c>
      <c r="BT179" t="str">
        <f>VLOOKUP(G179,Eras!$A$2:$C$10, 2, TRUE)</f>
        <v>lbr</v>
      </c>
      <c r="BU179" t="s">
        <v>368</v>
      </c>
      <c r="BV179" t="str">
        <f>CONCATENATE(BT179,"_",BU179)</f>
        <v>lbr_Express</v>
      </c>
      <c r="BX179" t="str">
        <f>_xlfn.CONCAT(E179, "_",F179)</f>
        <v>electric_ELRL</v>
      </c>
      <c r="BY179" t="str">
        <f>VLOOKUP($BX179, Constants!$M:$N, 2, FALSE)</f>
        <v>{BLACK}Powered by: {GOLD}25kV AC</v>
      </c>
      <c r="BZ179" t="str">
        <f>IF(J179&gt;1,_xlfn.CONCAT("{BLACK}Cars: {GOLD}", J179),"")</f>
        <v/>
      </c>
      <c r="CA179" t="s">
        <v>1291</v>
      </c>
      <c r="CC179" t="str">
        <f>_xlfn.CONCAT(BW179,BY179,IF(BY179 &lt;&gt; "", " ", ""),BZ179,IF(OR(BZ179&lt;&gt;"", BY179&lt;&gt;""), "{}",""), CB179,"{SILVER}", CA179)</f>
        <v>{BLACK}Powered by: {GOLD}25kV AC {}{SILVER}The Class 89 was a prototype express locomotive; unfortunately the specification changed after the prototype was built, and only a single example was completed. It was withdrawn from service twice after major breakdowns.</v>
      </c>
    </row>
    <row r="180" spans="1:81" x14ac:dyDescent="0.25">
      <c r="A180" t="s">
        <v>75</v>
      </c>
      <c r="B180" t="s">
        <v>206</v>
      </c>
      <c r="C180">
        <v>348</v>
      </c>
      <c r="D180" t="s">
        <v>302</v>
      </c>
      <c r="E180" t="s">
        <v>336</v>
      </c>
      <c r="F180" t="s">
        <v>337</v>
      </c>
      <c r="G180">
        <v>1987</v>
      </c>
      <c r="H180">
        <v>1990</v>
      </c>
      <c r="K180">
        <v>5000</v>
      </c>
      <c r="T180">
        <v>84.5</v>
      </c>
      <c r="W180">
        <v>258</v>
      </c>
      <c r="X180" s="4">
        <f>IF(AND(T180&gt;0,W180&gt;0),(W180/((T180+U180)*10)),"")</f>
        <v>0.30532544378698223</v>
      </c>
      <c r="Y180">
        <v>110</v>
      </c>
      <c r="AA180">
        <v>18.75</v>
      </c>
      <c r="AB180">
        <v>18.75</v>
      </c>
      <c r="AD180">
        <v>3.96</v>
      </c>
      <c r="AE180" s="11">
        <v>0</v>
      </c>
      <c r="AF180" t="str">
        <f>CONCATENATE(VLOOKUP(AG180, 'Voxel Sizes'!$A$2:$B$18,2,FALSE),"x",INT(AC180*15), "x", INT(AD180*15))</f>
        <v>186x0x59</v>
      </c>
      <c r="AG180">
        <f>ROUND(15*((AB180*10)/256),0)</f>
        <v>11</v>
      </c>
      <c r="AI180" t="str">
        <f>CONCATENATE(VLOOKUP(AG180,Constants!$A$2:$C$16,IF(AH180&lt;&gt;"", 3, 2), FALSE),IF(AH180&lt;&gt;"",CONCATENATE(",",VLOOKUP(AH180,$B:$AI,34,FALSE)),""))</f>
        <v>4,3,4</v>
      </c>
      <c r="AS180">
        <v>30</v>
      </c>
      <c r="AT180" t="str">
        <f>IF(I180&lt;&gt;"",MAX(8,(I180-G180)-4),"")</f>
        <v/>
      </c>
      <c r="AW180">
        <f>MIN(Y180/150, 1)*30</f>
        <v>22</v>
      </c>
      <c r="AX180">
        <f>MIN(K180/4000, 1)*20</f>
        <v>20</v>
      </c>
      <c r="AY180">
        <f>MIN(W180/400,1)*20</f>
        <v>12.9</v>
      </c>
      <c r="AZ180" s="4">
        <v>1</v>
      </c>
      <c r="BA180">
        <f>((MAX($J180,1)*MIN($AE180/300,1)))*IF(D180="Wagon",50,10)</f>
        <v>0</v>
      </c>
      <c r="BB180">
        <f>VLOOKUP($E180,Constants!$I:$K, 2, FALSE)</f>
        <v>0.85</v>
      </c>
      <c r="BC180">
        <f>VLOOKUP($E180,Constants!$I:$K, 3, FALSE)*IF(AND(D180="multiple_unit",Y180&lt;110),0.75,1)</f>
        <v>2.2999999999999998</v>
      </c>
      <c r="BD180">
        <f>INT(POWER(((Constants!$G$2+$AW180+$AX180+$AY180+$BA180)*$AZ180)*$BC180, 1.05))+$AV180</f>
        <v>176</v>
      </c>
      <c r="BE180">
        <f>INT(POWER((((Constants!$G$1+$AW180+$AX180+$AY180+$BA180)*(1/$AZ180))*$BB180),IF($D180="wagon",1,1.2)))+$AU180</f>
        <v>134</v>
      </c>
      <c r="BF180" s="15">
        <f>BD180*IF($D180="wagon",62.5,781.25)</f>
        <v>137500</v>
      </c>
      <c r="BG180" s="15">
        <f>BE180*IF($D180="wagon",2.73,81.25)</f>
        <v>10887.5</v>
      </c>
      <c r="BP180">
        <v>6</v>
      </c>
      <c r="BT180" t="str">
        <f>VLOOKUP(G180,Eras!$A$2:$C$10, 2, TRUE)</f>
        <v>lbr</v>
      </c>
      <c r="BU180" t="s">
        <v>368</v>
      </c>
      <c r="BV180" t="str">
        <f>CONCATENATE(BT180,"_",BU180)</f>
        <v>lbr_Express</v>
      </c>
      <c r="BW180" t="str">
        <f>IF(AND(BI180&lt;&gt;Y180,BI180&lt;&gt;""),_xlfn.CONCAT("{BLACK}","Tare speed: ","{GOLD}{VELOCITY}{}"), "")</f>
        <v/>
      </c>
      <c r="BX180" t="str">
        <f>_xlfn.CONCAT(E180, "_",F180)</f>
        <v>electric_ELRL</v>
      </c>
      <c r="BY180" t="str">
        <f>VLOOKUP($BX180, Constants!$M:$N, 2, FALSE)</f>
        <v>{BLACK}Powered by: {GOLD}25kV AC</v>
      </c>
      <c r="BZ180" t="str">
        <f>IF(J180&gt;1,_xlfn.CONCAT("{BLACK}Cars: {GOLD}", J180),"")</f>
        <v/>
      </c>
      <c r="CA180" t="s">
        <v>607</v>
      </c>
      <c r="CB180" t="str">
        <f>IF(BS180="BRAKE","{YELLOW}Speed bonus for slow wagons{}",IF(BQ180&gt;190,CONCATENATE("{YELLOW}",INT((BQ180-185)/1.85),"% Bonus for long distance travel{}"),IF(AND(BQ180&lt;180,BQ180&lt;&gt;0),CONCATENATE("{YELLOW}",INT((185-BQ180)/1.85),"% Penalty for long distance travel{}"),"")))</f>
        <v/>
      </c>
      <c r="CC180" t="str">
        <f>_xlfn.CONCAT(BW180,BY180,IF(BY180 &lt;&gt; "", " ", ""),BZ180,IF(OR(BZ180&lt;&gt;"", BY180&lt;&gt;""), "{}",""), CB180,"{SILVER}", CA180)</f>
        <v>{BLACK}Powered by: {GOLD}25kV AC {}{SILVER}The Class 90 is a powerful electric locomotive. Initially used for Intercity express services, several were also used for freight.</v>
      </c>
    </row>
    <row r="181" spans="1:81" x14ac:dyDescent="0.25">
      <c r="A181" t="s">
        <v>613</v>
      </c>
      <c r="B181" t="s">
        <v>274</v>
      </c>
      <c r="C181">
        <v>350</v>
      </c>
      <c r="D181" t="s">
        <v>302</v>
      </c>
      <c r="E181" t="s">
        <v>336</v>
      </c>
      <c r="F181" t="s">
        <v>337</v>
      </c>
      <c r="G181">
        <v>1988</v>
      </c>
      <c r="H181">
        <v>1991</v>
      </c>
      <c r="K181">
        <v>6480</v>
      </c>
      <c r="T181">
        <v>81.5</v>
      </c>
      <c r="W181">
        <v>190</v>
      </c>
      <c r="X181" s="4">
        <f>IF(AND(T181&gt;0,W181&gt;0),(W181/((T181+U181)*10)),"")</f>
        <v>0.23312883435582821</v>
      </c>
      <c r="Y181">
        <v>140</v>
      </c>
      <c r="AA181">
        <v>19.399999999999999</v>
      </c>
      <c r="AB181">
        <v>19.399999999999999</v>
      </c>
      <c r="AE181" s="11">
        <v>0</v>
      </c>
      <c r="AF181" t="str">
        <f>CONCATENATE(VLOOKUP(AG181, 'Voxel Sizes'!$A$2:$B$18,2,FALSE),"x",INT(AC181*15), "x", INT(AD181*15))</f>
        <v>186x0x0</v>
      </c>
      <c r="AG181">
        <f>ROUND(15*((AB181*10)/256),0)</f>
        <v>11</v>
      </c>
      <c r="AI181" t="str">
        <f>CONCATENATE(VLOOKUP(AG181,Constants!$A$2:$C$16,IF(AH181&lt;&gt;"", 3, 2), FALSE),IF(AH181&lt;&gt;"",CONCATENATE(",",VLOOKUP(AH181,$B:$AI,34,FALSE)),""))</f>
        <v>4,3,4</v>
      </c>
      <c r="AS181">
        <v>27</v>
      </c>
      <c r="AT181" t="str">
        <f>IF(I181&lt;&gt;"",MAX(8,(I181-G181)-4),"")</f>
        <v/>
      </c>
      <c r="AW181">
        <f>MIN(Y181/150, 1)*30</f>
        <v>28</v>
      </c>
      <c r="AX181">
        <f>MIN(K181/4000, 1)*20</f>
        <v>20</v>
      </c>
      <c r="AY181">
        <f>MIN(W181/400,1)*20</f>
        <v>9.5</v>
      </c>
      <c r="AZ181" s="4">
        <v>1</v>
      </c>
      <c r="BA181">
        <f>((MAX($J181,1)*MIN($AE181/300,1)))*IF(D181="Wagon",50,10)</f>
        <v>0</v>
      </c>
      <c r="BB181">
        <f>VLOOKUP($E181,Constants!$I:$K, 2, FALSE)</f>
        <v>0.85</v>
      </c>
      <c r="BC181">
        <f>VLOOKUP($E181,Constants!$I:$K, 3, FALSE)*IF(AND(D181="multiple_unit",Y181&lt;110),0.75,1)</f>
        <v>2.2999999999999998</v>
      </c>
      <c r="BD181">
        <f>INT(POWER(((Constants!$G$2+$AW181+$AX181+$AY181+$BA181)*$AZ181)*$BC181, 1.05))+$AV181</f>
        <v>184</v>
      </c>
      <c r="BE181">
        <f>INT(POWER((((Constants!$G$1+$AW181+$AX181+$AY181+$BA181)*(1/$AZ181))*$BB181),IF($D181="wagon",1,1.2)))+$AU181</f>
        <v>140</v>
      </c>
      <c r="BF181" s="15">
        <f>BD181*IF($D181="wagon",62.5,781.25)</f>
        <v>143750</v>
      </c>
      <c r="BG181" s="15">
        <f>BE181*IF($D181="wagon",2.73,81.25)</f>
        <v>11375</v>
      </c>
      <c r="BP181">
        <v>7</v>
      </c>
      <c r="BT181" t="str">
        <f>VLOOKUP(G181,Eras!$A$2:$C$10, 2, TRUE)</f>
        <v>lbr</v>
      </c>
      <c r="BU181" t="s">
        <v>378</v>
      </c>
      <c r="BV181" t="str">
        <f>CONCATENATE(BT181,"_",BU181)</f>
        <v>lbr_Express (Electric)</v>
      </c>
      <c r="BW181" t="str">
        <f>IF(AND(BI181&lt;&gt;Y181,BI181&lt;&gt;""),_xlfn.CONCAT("{BLACK}","Tare speed: ","{GOLD}{VELOCITY}{}"), "")</f>
        <v/>
      </c>
      <c r="BX181" t="str">
        <f>_xlfn.CONCAT(E181, "_",F181)</f>
        <v>electric_ELRL</v>
      </c>
      <c r="BY181" t="str">
        <f>VLOOKUP($BX181, Constants!$M:$N, 2, FALSE)</f>
        <v>{BLACK}Powered by: {GOLD}25kV AC</v>
      </c>
      <c r="BZ181" t="str">
        <f>IF(J181&gt;1,_xlfn.CONCAT("{BLACK}Cars: {GOLD}", J181),"")</f>
        <v/>
      </c>
      <c r="CA181" t="s">
        <v>612</v>
      </c>
      <c r="CB181" t="str">
        <f>IF(BS181="BRAKE","{YELLOW}Speed bonus for slow wagons{}",IF(BQ181&gt;190,CONCATENATE("{YELLOW}",INT((BQ181-185)/1.85),"% Bonus for long distance travel{}"),IF(AND(BQ181&lt;180,BQ181&lt;&gt;0),CONCATENATE("{YELLOW}",INT((185-BQ181)/1.85),"% Penalty for long distance travel{}"),"")))</f>
        <v/>
      </c>
      <c r="CC181" t="str">
        <f>_xlfn.CONCAT(BW181,BY181,IF(BY181 &lt;&gt; "", " ", ""),BZ181,IF(OR(BZ181&lt;&gt;"", BY181&lt;&gt;""), "{}",""), CB181,"{SILVER}", CA181)</f>
        <v>{BLACK}Powered by: {GOLD}25kV AC {}{SILVER}The Class 91 is a high speed electric locomotive, designed for Intercity 225 services.</v>
      </c>
    </row>
    <row r="182" spans="1:81" x14ac:dyDescent="0.25">
      <c r="A182" t="s">
        <v>614</v>
      </c>
      <c r="B182" t="s">
        <v>616</v>
      </c>
      <c r="C182">
        <v>352</v>
      </c>
      <c r="D182" t="s">
        <v>302</v>
      </c>
      <c r="E182" t="s">
        <v>336</v>
      </c>
      <c r="F182" t="s">
        <v>337</v>
      </c>
      <c r="G182">
        <v>1988</v>
      </c>
      <c r="H182">
        <v>1991</v>
      </c>
      <c r="K182">
        <v>100</v>
      </c>
      <c r="T182">
        <v>40</v>
      </c>
      <c r="W182">
        <v>5</v>
      </c>
      <c r="X182" s="4">
        <f>IF(AND(T182&gt;0,W182&gt;0),(W182/((T182+U182)*10)),"")</f>
        <v>1.2500000000000001E-2</v>
      </c>
      <c r="Y182">
        <v>140</v>
      </c>
      <c r="AA182">
        <v>19.399999999999999</v>
      </c>
      <c r="AB182">
        <v>19.399999999999999</v>
      </c>
      <c r="AE182" s="11">
        <v>0</v>
      </c>
      <c r="AF182" t="str">
        <f>CONCATENATE(VLOOKUP(AG182, 'Voxel Sizes'!$A$2:$B$18,2,FALSE),"x",INT(AC182*15), "x", INT(AD182*15))</f>
        <v>186x0x0</v>
      </c>
      <c r="AG182">
        <f>ROUND(15*((AB182*10)/256),0)</f>
        <v>11</v>
      </c>
      <c r="AI182" t="str">
        <f>CONCATENATE(VLOOKUP(AG182,Constants!$A$2:$C$16,IF(AH182&lt;&gt;"", 3, 2), FALSE),IF(AH182&lt;&gt;"",CONCATENATE(",",VLOOKUP(AH182,$B:$AI,34,FALSE)),""))</f>
        <v>4,3,4</v>
      </c>
      <c r="AS182">
        <v>27</v>
      </c>
      <c r="AT182" t="str">
        <f>IF(I182&lt;&gt;"",MAX(8,(I182-G182)-4),"")</f>
        <v/>
      </c>
      <c r="AU182">
        <v>-35</v>
      </c>
      <c r="AV182">
        <v>-60</v>
      </c>
      <c r="AW182">
        <f>MIN(Y182/150, 1)*30</f>
        <v>28</v>
      </c>
      <c r="AX182">
        <f>MIN(K182/4000, 1)*20</f>
        <v>0.5</v>
      </c>
      <c r="AY182">
        <f>MIN(W182/400,1)*20</f>
        <v>0.25</v>
      </c>
      <c r="AZ182" s="4">
        <v>1</v>
      </c>
      <c r="BA182">
        <f>((MAX($J182,1)*MIN($AE182/300,1)))*IF(D182="Wagon",50,10)</f>
        <v>0</v>
      </c>
      <c r="BB182">
        <f>VLOOKUP($E182,Constants!$I:$K, 2, FALSE)</f>
        <v>0.85</v>
      </c>
      <c r="BC182">
        <f>VLOOKUP($E182,Constants!$I:$K, 3, FALSE)*IF(AND(D182="multiple_unit",Y182&lt;110),0.75,1)</f>
        <v>2.2999999999999998</v>
      </c>
      <c r="BD182">
        <f>INT(POWER(((Constants!$G$2+$AW182+$AX182+$AY182+$BA182)*$AZ182)*$BC182, 1.05))+$AV182</f>
        <v>36</v>
      </c>
      <c r="BE182">
        <f>INT(POWER((((Constants!$G$1+$AW182+$AX182+$AY182+$BA182)*(1/$AZ182))*$BB182),IF($D182="wagon",1,1.2)))+$AU182</f>
        <v>41</v>
      </c>
      <c r="BF182" s="15">
        <f>BD182*IF($D182="wagon",62.5,781.25)</f>
        <v>28125</v>
      </c>
      <c r="BG182" s="15">
        <f>BE182*IF($D182="wagon",2.73,81.25)</f>
        <v>3331.25</v>
      </c>
      <c r="BH182">
        <v>1</v>
      </c>
      <c r="BK182">
        <v>1</v>
      </c>
      <c r="BP182">
        <v>7</v>
      </c>
      <c r="BT182" t="str">
        <f>VLOOKUP(G182,Eras!$A$2:$C$10, 2, TRUE)</f>
        <v>lbr</v>
      </c>
      <c r="BU182" t="s">
        <v>378</v>
      </c>
      <c r="BV182" t="str">
        <f>CONCATENATE(BT182,"_",BU182)</f>
        <v>lbr_Express (Electric)</v>
      </c>
      <c r="BW182" t="str">
        <f>IF(AND(BI182&lt;&gt;Y182,BI182&lt;&gt;""),_xlfn.CONCAT("{BLACK}","Tare speed: ","{GOLD}{VELOCITY}{}"), "")</f>
        <v/>
      </c>
      <c r="BX182" t="str">
        <f>_xlfn.CONCAT(E182, "_",F182)</f>
        <v>electric_ELRL</v>
      </c>
      <c r="BY182" t="str">
        <f>VLOOKUP($BX182, Constants!$M:$N, 2, FALSE)</f>
        <v>{BLACK}Powered by: {GOLD}25kV AC</v>
      </c>
      <c r="BZ182" t="str">
        <f>IF(J182&gt;1,_xlfn.CONCAT("{BLACK}Cars: {GOLD}", J182),"")</f>
        <v/>
      </c>
      <c r="CA182" t="s">
        <v>615</v>
      </c>
      <c r="CB182" t="str">
        <f>IF(BS182="BRAKE","{YELLOW}Speed bonus for slow wagons{}",IF(BQ182&gt;190,CONCATENATE("{YELLOW}",INT((BQ182-185)/1.85),"% Bonus for long distance travel{}"),IF(AND(BQ182&lt;180,BQ182&lt;&gt;0),CONCATENATE("{YELLOW}",INT((185-BQ182)/1.85),"% Penalty for long distance travel{}"),"")))</f>
        <v/>
      </c>
      <c r="CC182" t="str">
        <f>_xlfn.CONCAT(BW182,BY182,IF(BY182 &lt;&gt; "", " ", ""),BZ182,IF(OR(BZ182&lt;&gt;"", BY182&lt;&gt;""), "{}",""), CB182,"{SILVER}", CA182)</f>
        <v>{BLACK}Powered by: {GOLD}25kV AC {}{SILVER}This driving van trailer can be used with other electric locomotives, either as a leading or trailing vehicle. It is recommended for use with the Class 91.</v>
      </c>
    </row>
    <row r="183" spans="1:81" x14ac:dyDescent="0.25">
      <c r="A183" t="s">
        <v>656</v>
      </c>
      <c r="B183" t="s">
        <v>620</v>
      </c>
      <c r="C183">
        <v>354</v>
      </c>
      <c r="D183" t="s">
        <v>302</v>
      </c>
      <c r="E183" t="s">
        <v>312</v>
      </c>
      <c r="F183" t="s">
        <v>314</v>
      </c>
      <c r="G183">
        <v>1989</v>
      </c>
      <c r="K183">
        <v>3100</v>
      </c>
      <c r="T183">
        <v>129</v>
      </c>
      <c r="W183">
        <v>474</v>
      </c>
      <c r="X183" s="4">
        <f>IF(AND(T183&gt;0,W183&gt;0),(W183/((T183+U183)*10)),"")</f>
        <v>0.36744186046511629</v>
      </c>
      <c r="Y183">
        <v>60</v>
      </c>
      <c r="AA183">
        <v>21.34</v>
      </c>
      <c r="AB183">
        <v>21.34</v>
      </c>
      <c r="AC183">
        <v>2.64</v>
      </c>
      <c r="AD183">
        <v>3.95</v>
      </c>
      <c r="AE183" s="11">
        <v>0</v>
      </c>
      <c r="AF183" t="str">
        <f>CONCATENATE(VLOOKUP(AG183, 'Voxel Sizes'!$A$2:$B$18,2,FALSE),"x",INT(AC183*15), "x", INT(AD183*15))</f>
        <v>214x39x59</v>
      </c>
      <c r="AG183">
        <f>ROUND(15*((AB183*10)/256),0)</f>
        <v>13</v>
      </c>
      <c r="AI183" t="str">
        <f>CONCATENATE(VLOOKUP(AG183,Constants!$A$2:$C$16,IF(AH183&lt;&gt;"", 3, 2), FALSE),IF(AH183&lt;&gt;"",CONCATENATE(",",VLOOKUP(AH183,$B:$AI,34,FALSE)),""))</f>
        <v>4,5,4</v>
      </c>
      <c r="AS183">
        <v>30</v>
      </c>
      <c r="AT183" t="str">
        <f>IF(I183&lt;&gt;"",MAX(8,(I183-G183)-4),"")</f>
        <v/>
      </c>
      <c r="AW183">
        <f>MIN(Y183/150, 1)*30</f>
        <v>12</v>
      </c>
      <c r="AX183">
        <f>MIN(K183/4000, 1)*20</f>
        <v>15.5</v>
      </c>
      <c r="AY183">
        <f>MIN(W183/400,1)*20</f>
        <v>20</v>
      </c>
      <c r="AZ183" s="4">
        <v>1</v>
      </c>
      <c r="BA183">
        <f>((MAX($J183,1)*MIN($AE183/300,1)))*IF(D183="Wagon",50,10)</f>
        <v>0</v>
      </c>
      <c r="BB183">
        <f>VLOOKUP($E183,Constants!$I:$K, 2, FALSE)</f>
        <v>1</v>
      </c>
      <c r="BC183">
        <f>VLOOKUP($E183,Constants!$I:$K, 3, FALSE)*IF(AND(D183="multiple_unit",Y183&lt;110),0.75,1)</f>
        <v>2</v>
      </c>
      <c r="BD183">
        <f>INT(POWER(((Constants!$G$2+$AW183+$AX183+$AY183+$BA183)*$AZ183)*$BC183, 1.05))+$AV183</f>
        <v>132</v>
      </c>
      <c r="BE183">
        <f>INT(POWER((((Constants!$G$1+$AW183+$AX183+$AY183+$BA183)*(1/$AZ183))*$BB183),IF($D183="wagon",1,1.2)))+$AU183</f>
        <v>142</v>
      </c>
      <c r="BF183" s="15">
        <f>BD183*IF($D183="wagon",62.5,781.25)</f>
        <v>103125</v>
      </c>
      <c r="BG183" s="15">
        <f>BE183*IF($D183="wagon",2.73,81.25)</f>
        <v>11537.5</v>
      </c>
      <c r="BP183">
        <v>9</v>
      </c>
      <c r="BT183" t="str">
        <f>VLOOKUP(G183,Eras!$A$2:$C$10, 2, TRUE)</f>
        <v>lbr</v>
      </c>
      <c r="BU183" t="s">
        <v>369</v>
      </c>
      <c r="BV183" t="str">
        <f>CONCATENATE(BT183,"_",BU183)</f>
        <v>lbr_Freight</v>
      </c>
      <c r="BW183" t="str">
        <f>IF(AND(BI183&lt;&gt;Y183,BI183&lt;&gt;""),_xlfn.CONCAT("{BLACK}","Tare speed: ","{GOLD}{VELOCITY}{}"), "")</f>
        <v/>
      </c>
      <c r="BX183" t="str">
        <f>_xlfn.CONCAT(E183, "_",F183)</f>
        <v>diesel_RAIL</v>
      </c>
      <c r="BY183" t="str">
        <f>VLOOKUP($BX183, Constants!$M:$N, 2, FALSE)</f>
        <v>{BLACK}Powered by: {GOLD}Diesel</v>
      </c>
      <c r="BZ183" t="str">
        <f>IF(J183&gt;1,_xlfn.CONCAT("{BLACK}Cars: {GOLD}", J183),"")</f>
        <v/>
      </c>
      <c r="CA183" t="s">
        <v>657</v>
      </c>
      <c r="CB183" t="str">
        <f>IF(BS183="BRAKE","{YELLOW}Speed bonus for slow wagons{}",IF(BQ183&gt;190,CONCATENATE("{YELLOW}",INT((BQ183-185)/1.85),"% Bonus for long distance travel{}"),IF(AND(BQ183&lt;180,BQ183&lt;&gt;0),CONCATENATE("{YELLOW}",INT((185-BQ183)/1.85),"% Penalty for long distance travel{}"),"")))</f>
        <v/>
      </c>
      <c r="CC183" t="str">
        <f>_xlfn.CONCAT(BW183,BY183,IF(BY183 &lt;&gt; "", " ", ""),BZ183,IF(OR(BZ183&lt;&gt;"", BY183&lt;&gt;""), "{}",""), CB183,"{SILVER}", CA183)</f>
        <v>{BLACK}Powered by: {GOLD}Diesel {}{SILVER}The Brush Class 60 is a Type 5 diesel, designed for high power and tractive effort to haul heavy freight trains.</v>
      </c>
    </row>
    <row r="184" spans="1:81" x14ac:dyDescent="0.25">
      <c r="A184" t="s">
        <v>641</v>
      </c>
      <c r="B184" t="s">
        <v>207</v>
      </c>
      <c r="C184">
        <v>356</v>
      </c>
      <c r="D184" t="s">
        <v>302</v>
      </c>
      <c r="E184" t="s">
        <v>596</v>
      </c>
      <c r="F184" t="s">
        <v>595</v>
      </c>
      <c r="G184">
        <v>1993</v>
      </c>
      <c r="H184">
        <v>1996</v>
      </c>
      <c r="K184">
        <v>6760</v>
      </c>
      <c r="L184" s="9">
        <v>5360</v>
      </c>
      <c r="T184">
        <v>126</v>
      </c>
      <c r="W184">
        <v>360</v>
      </c>
      <c r="X184" s="4">
        <f>IF(AND(T184&gt;0,W184&gt;0),(W184/((T184+U184)*10)),"")</f>
        <v>0.2857142857142857</v>
      </c>
      <c r="Y184">
        <v>87</v>
      </c>
      <c r="AA184">
        <v>21.36</v>
      </c>
      <c r="AB184">
        <v>21.36</v>
      </c>
      <c r="AE184" s="11">
        <v>0</v>
      </c>
      <c r="AF184" t="str">
        <f>CONCATENATE(VLOOKUP(AG184, 'Voxel Sizes'!$A$2:$B$18,2,FALSE),"x",INT(AC184*15), "x", INT(AD184*15))</f>
        <v>214x0x0</v>
      </c>
      <c r="AG184">
        <f>ROUND(15*((AB184*10)/256),0)</f>
        <v>13</v>
      </c>
      <c r="AI184" t="str">
        <f>CONCATENATE(VLOOKUP(AG184,Constants!$A$2:$C$16,IF(AH184&lt;&gt;"", 3, 2), FALSE),IF(AH184&lt;&gt;"",CONCATENATE(",",VLOOKUP(AH184,$B:$AI,34,FALSE)),""))</f>
        <v>4,5,4</v>
      </c>
      <c r="AN184" t="s">
        <v>207</v>
      </c>
      <c r="AS184">
        <v>24</v>
      </c>
      <c r="AT184" t="str">
        <f>IF(I184&lt;&gt;"",MAX(8,(I184-G184)-4),"")</f>
        <v/>
      </c>
      <c r="AW184">
        <f>MIN(Y184/150, 1)*30</f>
        <v>17.399999999999999</v>
      </c>
      <c r="AX184">
        <f>MIN(K184/4000, 1)*20</f>
        <v>20</v>
      </c>
      <c r="AY184">
        <f>MIN(W184/400,1)*20</f>
        <v>18</v>
      </c>
      <c r="AZ184" s="4">
        <v>1</v>
      </c>
      <c r="BA184">
        <f>((MAX($J184,1)*MIN($AE184/300,1)))*IF(D184="Wagon",50,10)</f>
        <v>0</v>
      </c>
      <c r="BB184">
        <f>VLOOKUP($E184,Constants!$I:$K, 2, FALSE)</f>
        <v>0.85</v>
      </c>
      <c r="BC184">
        <f>VLOOKUP($E184,Constants!$I:$K, 3, FALSE)*IF(AND(D184="multiple_unit",Y184&lt;110),0.75,1)</f>
        <v>2.4</v>
      </c>
      <c r="BD184">
        <f>INT(POWER(((Constants!$G$2+$AW184+$AX184+$AY184+$BA184)*$AZ184)*$BC184, 1.05))+$AV184</f>
        <v>185</v>
      </c>
      <c r="BE184">
        <f>INT(POWER((((Constants!$G$1+$AW184+$AX184+$AY184+$BA184)*(1/$AZ184))*$BB184),IF($D184="wagon",1,1.2)))+$AU184</f>
        <v>135</v>
      </c>
      <c r="BF184" s="15">
        <f>BD184*IF($D184="wagon",62.5,781.25)</f>
        <v>144531.25</v>
      </c>
      <c r="BG184" s="15">
        <f>BE184*IF($D184="wagon",2.73,81.25)</f>
        <v>10968.75</v>
      </c>
      <c r="BP184">
        <v>10</v>
      </c>
      <c r="BT184" t="str">
        <f>VLOOKUP(G184,Eras!$A$2:$C$10, 2, TRUE)</f>
        <v>lbr</v>
      </c>
      <c r="BU184" t="s">
        <v>369</v>
      </c>
      <c r="BV184" t="str">
        <f>CONCATENATE(BT184,"_",BU184)</f>
        <v>lbr_Freight</v>
      </c>
      <c r="BW184" t="str">
        <f>IF(AND(BI184&lt;&gt;Y184,BI184&lt;&gt;""),_xlfn.CONCAT("{BLACK}","Tare speed: ","{GOLD}{VELOCITY}{}"), "")</f>
        <v/>
      </c>
      <c r="BX184" t="str">
        <f>_xlfn.CONCAT(E184, "_",F184)</f>
        <v>dual_electric_DUAL_POWER</v>
      </c>
      <c r="BY184" t="str">
        <f>VLOOKUP($BX184, Constants!$M:$N, 2, FALSE)</f>
        <v>{BLACK}Powered by: {GOLD}25kV AC / 750V DC</v>
      </c>
      <c r="BZ184" t="str">
        <f>IF(J184&gt;1,_xlfn.CONCAT("{BLACK}Cars: {GOLD}", J184),"")</f>
        <v/>
      </c>
      <c r="CA184" t="s">
        <v>625</v>
      </c>
      <c r="CB184" t="str">
        <f>IF(BS184="BRAKE","{YELLOW}Speed bonus for slow wagons{}",IF(BQ184&gt;190,CONCATENATE("{YELLOW}",INT((BQ184-185)/1.85),"% Bonus for long distance travel{}"),IF(AND(BQ184&lt;180,BQ184&lt;&gt;0),CONCATENATE("{YELLOW}",INT((185-BQ184)/1.85),"% Penalty for long distance travel{}"),"")))</f>
        <v/>
      </c>
      <c r="CC184" t="str">
        <f>_xlfn.CONCAT(BW184,BY184,IF(BY184 &lt;&gt; "", " ", ""),BZ184,IF(OR(BZ184&lt;&gt;"", BY184&lt;&gt;""), "{}",""), CB184,"{SILVER}", CA184)</f>
        <v>{BLACK}Powered by: {GOLD}25kV AC / 750V DC {}{SILVER}The Class 92 was designed to operate services through the Channel Tunnel. It can run on both the Southern Region third rail system and overhead wires.</v>
      </c>
    </row>
    <row r="185" spans="1:81" x14ac:dyDescent="0.25">
      <c r="A185" t="s">
        <v>55</v>
      </c>
      <c r="B185" t="s">
        <v>208</v>
      </c>
      <c r="C185">
        <v>358</v>
      </c>
      <c r="D185" t="s">
        <v>302</v>
      </c>
      <c r="E185" t="s">
        <v>312</v>
      </c>
      <c r="F185" t="s">
        <v>314</v>
      </c>
      <c r="G185">
        <v>1998</v>
      </c>
      <c r="H185">
        <v>2015</v>
      </c>
      <c r="K185">
        <v>3300</v>
      </c>
      <c r="T185">
        <v>129.6</v>
      </c>
      <c r="W185">
        <v>260</v>
      </c>
      <c r="X185" s="4">
        <f>IF(AND(T185&gt;0,W185&gt;0),(W185/((T185+U185)*10)),"")</f>
        <v>0.20061728395061729</v>
      </c>
      <c r="Y185">
        <v>75</v>
      </c>
      <c r="AA185">
        <v>21.4</v>
      </c>
      <c r="AB185">
        <v>21.4</v>
      </c>
      <c r="AD185">
        <v>3.9</v>
      </c>
      <c r="AE185" s="11">
        <v>0</v>
      </c>
      <c r="AF185" t="str">
        <f>CONCATENATE(VLOOKUP(AG185, 'Voxel Sizes'!$A$2:$B$18,2,FALSE),"x",INT(AC185*15), "x", INT(AD185*15))</f>
        <v>214x0x58</v>
      </c>
      <c r="AG185">
        <f>ROUND(15*((AB185*10)/256),0)</f>
        <v>13</v>
      </c>
      <c r="AI185" t="str">
        <f>CONCATENATE(VLOOKUP(AG185,Constants!$A$2:$C$16,IF(AH185&lt;&gt;"", 3, 2), FALSE),IF(AH185&lt;&gt;"",CONCATENATE(",",VLOOKUP(AH185,$B:$AI,34,FALSE)),""))</f>
        <v>4,5,4</v>
      </c>
      <c r="AS185">
        <v>30</v>
      </c>
      <c r="AT185" t="str">
        <f>IF(I185&lt;&gt;"",MAX(8,(I185-G185)-4),"")</f>
        <v/>
      </c>
      <c r="AW185">
        <f>MIN(Y185/150, 1)*30</f>
        <v>15</v>
      </c>
      <c r="AX185">
        <f>MIN(K185/4000, 1)*20</f>
        <v>16.5</v>
      </c>
      <c r="AY185">
        <f>MIN(W185/400,1)*20</f>
        <v>13</v>
      </c>
      <c r="AZ185" s="4">
        <v>1</v>
      </c>
      <c r="BA185">
        <f>((MAX($J185,1)*MIN($AE185/300,1)))*IF(D185="Wagon",50,10)</f>
        <v>0</v>
      </c>
      <c r="BB185">
        <f>VLOOKUP($E185,Constants!$I:$K, 2, FALSE)</f>
        <v>1</v>
      </c>
      <c r="BC185">
        <f>VLOOKUP($E185,Constants!$I:$K, 3, FALSE)*IF(AND(D185="multiple_unit",Y185&lt;110),0.75,1)</f>
        <v>2</v>
      </c>
      <c r="BD185">
        <f>INT(POWER(((Constants!$G$2+$AW185+$AX185+$AY185+$BA185)*$AZ185)*$BC185, 1.05))+$AV185</f>
        <v>124</v>
      </c>
      <c r="BE185">
        <f>INT(POWER((((Constants!$G$1+$AW185+$AX185+$AY185+$BA185)*(1/$AZ185))*$BB185),IF($D185="wagon",1,1.2)))+$AU185</f>
        <v>134</v>
      </c>
      <c r="BF185" s="15">
        <f>BD185*IF($D185="wagon",62.5,781.25)</f>
        <v>96875</v>
      </c>
      <c r="BG185" s="15">
        <f>BE185*IF($D185="wagon",2.73,81.25)</f>
        <v>10887.5</v>
      </c>
      <c r="BP185">
        <v>11</v>
      </c>
      <c r="BT185" t="str">
        <f>VLOOKUP(G185,Eras!$A$2:$C$10, 2, TRUE)</f>
        <v>prv</v>
      </c>
      <c r="BU185" t="s">
        <v>369</v>
      </c>
      <c r="BV185" t="str">
        <f>CONCATENATE(BT185,"_",BU185)</f>
        <v>prv_Freight</v>
      </c>
      <c r="BW185" t="str">
        <f>IF(AND(BI185&lt;&gt;Y185,BI185&lt;&gt;""),_xlfn.CONCAT("{BLACK}","Tare speed: ","{GOLD}{VELOCITY}{}"), "")</f>
        <v/>
      </c>
      <c r="BX185" t="str">
        <f>_xlfn.CONCAT(E185, "_",F185)</f>
        <v>diesel_RAIL</v>
      </c>
      <c r="BY185" t="str">
        <f>VLOOKUP($BX185, Constants!$M:$N, 2, FALSE)</f>
        <v>{BLACK}Powered by: {GOLD}Diesel</v>
      </c>
      <c r="BZ185" t="str">
        <f>IF(J185&gt;1,_xlfn.CONCAT("{BLACK}Cars: {GOLD}", J185),"")</f>
        <v/>
      </c>
      <c r="CA185" t="s">
        <v>605</v>
      </c>
      <c r="CB185" t="str">
        <f>IF(BS185="BRAKE","{YELLOW}Speed bonus for slow wagons{}",IF(BQ185&gt;190,CONCATENATE("{YELLOW}",INT((BQ185-185)/1.85),"% Bonus for long distance travel{}"),IF(AND(BQ185&lt;180,BQ185&lt;&gt;0),CONCATENATE("{YELLOW}",INT((185-BQ185)/1.85),"% Penalty for long distance travel{}"),"")))</f>
        <v/>
      </c>
      <c r="CC185" t="str">
        <f>_xlfn.CONCAT(BW185,BY185,IF(BY185 &lt;&gt; "", " ", ""),BZ185,IF(OR(BZ185&lt;&gt;"", BY185&lt;&gt;""), "{}",""), CB185,"{SILVER}", CA185)</f>
        <v>{BLACK}Powered by: {GOLD}Diesel {}{SILVER}After the successful introduction of the Class 59, EWS approached GM's Electro-Motive diesel with a huge order of 250 locomotives which would become Class 66.</v>
      </c>
    </row>
    <row r="186" spans="1:81" x14ac:dyDescent="0.25">
      <c r="A186" t="s">
        <v>148</v>
      </c>
      <c r="B186" t="s">
        <v>273</v>
      </c>
      <c r="C186">
        <v>360</v>
      </c>
      <c r="D186" t="s">
        <v>302</v>
      </c>
      <c r="E186" t="s">
        <v>312</v>
      </c>
      <c r="F186" t="s">
        <v>314</v>
      </c>
      <c r="G186">
        <v>1998</v>
      </c>
      <c r="H186">
        <v>2004</v>
      </c>
      <c r="K186">
        <v>3000</v>
      </c>
      <c r="T186">
        <v>120.6</v>
      </c>
      <c r="W186">
        <v>250</v>
      </c>
      <c r="X186" s="4">
        <f>IF(AND(T186&gt;0,W186&gt;0),(W186/((T186+U186)*10)),"")</f>
        <v>0.20729684908789386</v>
      </c>
      <c r="Y186">
        <v>95</v>
      </c>
      <c r="AA186">
        <v>19.38</v>
      </c>
      <c r="AB186">
        <v>19.38</v>
      </c>
      <c r="AD186">
        <v>3.9</v>
      </c>
      <c r="AE186" s="11">
        <v>0</v>
      </c>
      <c r="AF186" t="str">
        <f>CONCATENATE(VLOOKUP(AG186, 'Voxel Sizes'!$A$2:$B$18,2,FALSE),"x",INT(AC186*15), "x", INT(AD186*15))</f>
        <v>186x0x58</v>
      </c>
      <c r="AG186">
        <f>ROUND(15*((AB186*10)/256),0)</f>
        <v>11</v>
      </c>
      <c r="AI186" t="str">
        <f>CONCATENATE(VLOOKUP(AG186,Constants!$A$2:$C$16,IF(AH186&lt;&gt;"", 3, 2), FALSE),IF(AH186&lt;&gt;"",CONCATENATE(",",VLOOKUP(AH186,$B:$AI,34,FALSE)),""))</f>
        <v>4,3,4</v>
      </c>
      <c r="AS186">
        <v>30</v>
      </c>
      <c r="AT186" t="str">
        <f>IF(I186&lt;&gt;"",MAX(8,(I186-G186)-4),"")</f>
        <v/>
      </c>
      <c r="AW186">
        <f>MIN(Y186/150, 1)*30</f>
        <v>19</v>
      </c>
      <c r="AX186">
        <f>MIN(K186/4000, 1)*20</f>
        <v>15</v>
      </c>
      <c r="AY186">
        <f>MIN(W186/400,1)*20</f>
        <v>12.5</v>
      </c>
      <c r="AZ186" s="4">
        <v>1</v>
      </c>
      <c r="BA186">
        <f>((MAX($J186,1)*MIN($AE186/300,1)))*IF(D186="Wagon",50,10)</f>
        <v>0</v>
      </c>
      <c r="BB186">
        <f>VLOOKUP($E186,Constants!$I:$K, 2, FALSE)</f>
        <v>1</v>
      </c>
      <c r="BC186">
        <f>VLOOKUP($E186,Constants!$I:$K, 3, FALSE)*IF(AND(D186="multiple_unit",Y186&lt;110),0.75,1)</f>
        <v>2</v>
      </c>
      <c r="BD186">
        <f>INT(POWER(((Constants!$G$2+$AW186+$AX186+$AY186+$BA186)*$AZ186)*$BC186, 1.05))+$AV186</f>
        <v>129</v>
      </c>
      <c r="BE186">
        <f>INT(POWER((((Constants!$G$1+$AW186+$AX186+$AY186+$BA186)*(1/$AZ186))*$BB186),IF($D186="wagon",1,1.2)))+$AU186</f>
        <v>140</v>
      </c>
      <c r="BF186" s="15">
        <f>BD186*IF($D186="wagon",62.5,781.25)</f>
        <v>100781.25</v>
      </c>
      <c r="BG186" s="15">
        <f>BE186*IF($D186="wagon",2.73,81.25)</f>
        <v>11375</v>
      </c>
      <c r="BP186">
        <v>12</v>
      </c>
      <c r="BT186" t="str">
        <f>VLOOKUP(G186,Eras!$A$2:$C$10, 2, TRUE)</f>
        <v>prv</v>
      </c>
      <c r="BU186" t="s">
        <v>369</v>
      </c>
      <c r="BV186" t="str">
        <f>CONCATENATE(BT186,"_",BU186)</f>
        <v>prv_Freight</v>
      </c>
      <c r="BW186" t="str">
        <f>IF(AND(BI186&lt;&gt;Y186,BI186&lt;&gt;""),_xlfn.CONCAT("{BLACK}","Tare speed: ","{GOLD}{VELOCITY}{}"), "")</f>
        <v/>
      </c>
      <c r="BX186" t="str">
        <f>_xlfn.CONCAT(E186, "_",F186)</f>
        <v>diesel_RAIL</v>
      </c>
      <c r="BY186" t="str">
        <f>VLOOKUP($BX186, Constants!$M:$N, 2, FALSE)</f>
        <v>{BLACK}Powered by: {GOLD}Diesel</v>
      </c>
      <c r="BZ186" t="str">
        <f>IF(J186&gt;1,_xlfn.CONCAT("{BLACK}Cars: {GOLD}", J186),"")</f>
        <v/>
      </c>
      <c r="CA186" t="s">
        <v>606</v>
      </c>
      <c r="CB186" t="str">
        <f>IF(BS186="BRAKE","{YELLOW}Speed bonus for slow wagons{}",IF(BQ186&gt;190,CONCATENATE("{YELLOW}",INT((BQ186-185)/1.85),"% Bonus for long distance travel{}"),IF(AND(BQ186&lt;180,BQ186&lt;&gt;0),CONCATENATE("{YELLOW}",INT((185-BQ186)/1.85),"% Penalty for long distance travel{}"),"")))</f>
        <v/>
      </c>
      <c r="CC186" t="str">
        <f>_xlfn.CONCAT(BW186,BY186,IF(BY186 &lt;&gt; "", " ", ""),BZ186,IF(OR(BZ186&lt;&gt;"", BY186&lt;&gt;""), "{}",""), CB186,"{SILVER}", CA186)</f>
        <v>{BLACK}Powered by: {GOLD}Diesel {}{SILVER}The Class 57 is a re-engineered locomotive using Class 47 bodyshells and parts, giving rise to its "Bodysnatcher" nickname.</v>
      </c>
    </row>
    <row r="187" spans="1:81" x14ac:dyDescent="0.25">
      <c r="A187" t="s">
        <v>640</v>
      </c>
      <c r="B187" t="s">
        <v>624</v>
      </c>
      <c r="C187">
        <v>362</v>
      </c>
      <c r="D187" t="s">
        <v>302</v>
      </c>
      <c r="E187" t="s">
        <v>312</v>
      </c>
      <c r="F187" t="s">
        <v>314</v>
      </c>
      <c r="G187">
        <v>1999</v>
      </c>
      <c r="H187">
        <v>2000</v>
      </c>
      <c r="K187">
        <v>3200</v>
      </c>
      <c r="T187">
        <v>88</v>
      </c>
      <c r="W187">
        <v>144</v>
      </c>
      <c r="X187" s="4">
        <f>IF(AND(T187&gt;0,W187&gt;0),(W187/((T187+U187)*10)),"")</f>
        <v>0.16363636363636364</v>
      </c>
      <c r="Y187">
        <v>125</v>
      </c>
      <c r="AA187">
        <v>19.71</v>
      </c>
      <c r="AB187">
        <v>19.71</v>
      </c>
      <c r="AD187">
        <v>3.93</v>
      </c>
      <c r="AE187" s="11">
        <v>0</v>
      </c>
      <c r="AF187" t="str">
        <f>CONCATENATE(VLOOKUP(AG187, 'Voxel Sizes'!$A$2:$B$18,2,FALSE),"x",INT(AC187*15), "x", INT(AD187*15))</f>
        <v>198x0x58</v>
      </c>
      <c r="AG187">
        <f>ROUND(15*((AB187*10)/256),0)</f>
        <v>12</v>
      </c>
      <c r="AI187" t="str">
        <f>CONCATENATE(VLOOKUP(AG187,Constants!$A$2:$C$16,IF(AH187&lt;&gt;"", 3, 2), FALSE),IF(AH187&lt;&gt;"",CONCATENATE(",",VLOOKUP(AH187,$B:$AI,34,FALSE)),""))</f>
        <v>4,4,4</v>
      </c>
      <c r="AS187">
        <v>30</v>
      </c>
      <c r="AT187" t="str">
        <f>IF(I187&lt;&gt;"",MAX(8,(I187-G187)-4),"")</f>
        <v/>
      </c>
      <c r="AW187">
        <f>MIN(Y187/150, 1)*30</f>
        <v>25</v>
      </c>
      <c r="AX187">
        <f>MIN(K187/4000, 1)*20</f>
        <v>16</v>
      </c>
      <c r="AY187">
        <f>MIN(W187/400,1)*20</f>
        <v>7.1999999999999993</v>
      </c>
      <c r="AZ187" s="4">
        <v>1</v>
      </c>
      <c r="BA187">
        <f>((MAX($J187,1)*MIN($AE187/300,1)))*IF(D187="Wagon",50,10)</f>
        <v>0</v>
      </c>
      <c r="BB187">
        <f>VLOOKUP($E187,Constants!$I:$K, 2, FALSE)</f>
        <v>1</v>
      </c>
      <c r="BC187">
        <f>VLOOKUP($E187,Constants!$I:$K, 3, FALSE)*IF(AND(D187="multiple_unit",Y187&lt;110),0.75,1)</f>
        <v>2</v>
      </c>
      <c r="BD187">
        <f>INT(POWER(((Constants!$G$2+$AW187+$AX187+$AY187+$BA187)*$AZ187)*$BC187, 1.05))+$AV187</f>
        <v>134</v>
      </c>
      <c r="BE187">
        <f>INT(POWER((((Constants!$G$1+$AW187+$AX187+$AY187+$BA187)*(1/$AZ187))*$BB187),IF($D187="wagon",1,1.2)))+$AU187</f>
        <v>144</v>
      </c>
      <c r="BF187" s="15">
        <f>BD187*IF($D187="wagon",62.5,781.25)</f>
        <v>104687.5</v>
      </c>
      <c r="BG187" s="15">
        <f>BE187*IF($D187="wagon",2.73,81.25)</f>
        <v>11700</v>
      </c>
      <c r="BP187">
        <v>1</v>
      </c>
      <c r="BT187" t="str">
        <f>VLOOKUP(G187,Eras!$A$2:$C$10, 2, TRUE)</f>
        <v>prv</v>
      </c>
      <c r="BU187" t="s">
        <v>369</v>
      </c>
      <c r="BV187" t="str">
        <f>CONCATENATE(BT187,"_",BU187)</f>
        <v>prv_Freight</v>
      </c>
      <c r="BW187" t="str">
        <f>IF(AND(BI187&lt;&gt;Y187,BI187&lt;&gt;""),_xlfn.CONCAT("{BLACK}","Tare speed: ","{GOLD}{VELOCITY}{}"), "")</f>
        <v/>
      </c>
      <c r="BX187" t="str">
        <f>_xlfn.CONCAT(E187, "_",F187)</f>
        <v>diesel_RAIL</v>
      </c>
      <c r="BY187" t="str">
        <f>VLOOKUP($BX187, Constants!$M:$N, 2, FALSE)</f>
        <v>{BLACK}Powered by: {GOLD}Diesel</v>
      </c>
      <c r="BZ187" t="str">
        <f>IF(J187&gt;1,_xlfn.CONCAT("{BLACK}Cars: {GOLD}", J187),"")</f>
        <v/>
      </c>
      <c r="CA187" t="s">
        <v>623</v>
      </c>
      <c r="CB187" t="str">
        <f>IF(BS187="BRAKE","{YELLOW}Speed bonus for slow wagons{}",IF(BQ187&gt;190,CONCATENATE("{YELLOW}",INT((BQ187-185)/1.85),"% Bonus for long distance travel{}"),IF(AND(BQ187&lt;180,BQ187&lt;&gt;0),CONCATENATE("{YELLOW}",INT((185-BQ187)/1.85),"% Penalty for long distance travel{}"),"")))</f>
        <v/>
      </c>
      <c r="CC187" t="str">
        <f>_xlfn.CONCAT(BW187,BY187,IF(BY187 &lt;&gt; "", " ", ""),BZ187,IF(OR(BZ187&lt;&gt;"", BY187&lt;&gt;""), "{}",""), CB187,"{SILVER}", CA187)</f>
        <v>{BLACK}Powered by: {GOLD}Diesel {}{SILVER}The Class 67 is a high speed freight locomotive designed for mail service. It uses EMD engines, generators and traction motors.</v>
      </c>
    </row>
    <row r="188" spans="1:81" x14ac:dyDescent="0.25">
      <c r="A188" t="s">
        <v>60</v>
      </c>
      <c r="B188" t="s">
        <v>209</v>
      </c>
      <c r="C188">
        <v>364</v>
      </c>
      <c r="D188" t="s">
        <v>302</v>
      </c>
      <c r="E188" t="s">
        <v>312</v>
      </c>
      <c r="F188" t="s">
        <v>314</v>
      </c>
      <c r="G188">
        <v>2008</v>
      </c>
      <c r="H188">
        <v>2017</v>
      </c>
      <c r="K188">
        <v>3690</v>
      </c>
      <c r="T188">
        <v>129</v>
      </c>
      <c r="W188">
        <v>330</v>
      </c>
      <c r="X188" s="4">
        <f>IF(AND(T188&gt;0,W188&gt;0),(W188/((T188+U188)*10)),"")</f>
        <v>0.2558139534883721</v>
      </c>
      <c r="Y188">
        <v>75</v>
      </c>
      <c r="AA188">
        <v>21.27</v>
      </c>
      <c r="AB188">
        <v>21.27</v>
      </c>
      <c r="AD188">
        <v>3.91</v>
      </c>
      <c r="AE188" s="11">
        <v>0</v>
      </c>
      <c r="AF188" t="str">
        <f>CONCATENATE(VLOOKUP(AG188, 'Voxel Sizes'!$A$2:$B$18,2,FALSE),"x",INT(AC188*15), "x", INT(AD188*15))</f>
        <v>198x0x58</v>
      </c>
      <c r="AG188">
        <f>ROUND(15*((AB188*10)/256),0)</f>
        <v>12</v>
      </c>
      <c r="AI188" t="str">
        <f>CONCATENATE(VLOOKUP(AG188,Constants!$A$2:$C$16,IF(AH188&lt;&gt;"", 3, 2), FALSE),IF(AH188&lt;&gt;"",CONCATENATE(",",VLOOKUP(AH188,$B:$AI,34,FALSE)),""))</f>
        <v>4,4,4</v>
      </c>
      <c r="AS188">
        <v>30</v>
      </c>
      <c r="AT188" t="str">
        <f>IF(I188&lt;&gt;"",MAX(8,(I188-G188)-4),"")</f>
        <v/>
      </c>
      <c r="AW188">
        <f>MIN(Y188/150, 1)*30</f>
        <v>15</v>
      </c>
      <c r="AX188">
        <f>MIN(K188/4000, 1)*20</f>
        <v>18.45</v>
      </c>
      <c r="AY188">
        <f>MIN(W188/400,1)*20</f>
        <v>16.5</v>
      </c>
      <c r="AZ188" s="4">
        <v>1</v>
      </c>
      <c r="BA188">
        <f>((MAX($J188,1)*MIN($AE188/300,1)))*IF(D188="Wagon",50,10)</f>
        <v>0</v>
      </c>
      <c r="BB188">
        <f>VLOOKUP($E188,Constants!$I:$K, 2, FALSE)</f>
        <v>1</v>
      </c>
      <c r="BC188">
        <f>VLOOKUP($E188,Constants!$I:$K, 3, FALSE)*IF(AND(D188="multiple_unit",Y188&lt;110),0.75,1)</f>
        <v>2</v>
      </c>
      <c r="BD188">
        <f>INT(POWER(((Constants!$G$2+$AW188+$AX188+$AY188+$BA188)*$AZ188)*$BC188, 1.05))+$AV188</f>
        <v>139</v>
      </c>
      <c r="BE188">
        <f>INT(POWER((((Constants!$G$1+$AW188+$AX188+$AY188+$BA188)*(1/$AZ188))*$BB188),IF($D188="wagon",1,1.2)))+$AU188</f>
        <v>149</v>
      </c>
      <c r="BF188" s="15">
        <f>BD188*IF($D188="wagon",62.5,781.25)</f>
        <v>108593.75</v>
      </c>
      <c r="BG188" s="15">
        <f>BE188*IF($D188="wagon",2.73,81.25)</f>
        <v>12106.25</v>
      </c>
      <c r="BP188">
        <v>2</v>
      </c>
      <c r="BT188" t="str">
        <f>VLOOKUP(G188,Eras!$A$2:$C$10, 2, TRUE)</f>
        <v>mod</v>
      </c>
      <c r="BU188" t="s">
        <v>369</v>
      </c>
      <c r="BV188" t="str">
        <f>CONCATENATE(BT188,"_",BU188)</f>
        <v>mod_Freight</v>
      </c>
      <c r="BW188" t="str">
        <f>IF(AND(BI188&lt;&gt;Y188,BI188&lt;&gt;""),_xlfn.CONCAT("{BLACK}","Tare speed: ","{GOLD}{VELOCITY}{}"), "")</f>
        <v/>
      </c>
      <c r="BX188" t="str">
        <f>_xlfn.CONCAT(E188, "_",F188)</f>
        <v>diesel_RAIL</v>
      </c>
      <c r="BY188" t="str">
        <f>VLOOKUP($BX188, Constants!$M:$N, 2, FALSE)</f>
        <v>{BLACK}Powered by: {GOLD}Diesel</v>
      </c>
      <c r="BZ188" t="str">
        <f>IF(J188&gt;1,_xlfn.CONCAT("{BLACK}Cars: {GOLD}", J188),"")</f>
        <v/>
      </c>
      <c r="CA188" t="s">
        <v>637</v>
      </c>
      <c r="CB188" t="str">
        <f>IF(BS188="BRAKE","{YELLOW}Speed bonus for slow wagons{}",IF(BQ188&gt;190,CONCATENATE("{YELLOW}",INT((BQ188-185)/1.85),"% Bonus for long distance travel{}"),IF(AND(BQ188&lt;180,BQ188&lt;&gt;0),CONCATENATE("{YELLOW}",INT((185-BQ188)/1.85),"% Penalty for long distance travel{}"),"")))</f>
        <v/>
      </c>
      <c r="CC188" t="str">
        <f>_xlfn.CONCAT(BW188,BY188,IF(BY188 &lt;&gt; "", " ", ""),BZ188,IF(OR(BZ188&lt;&gt;"", BY188&lt;&gt;""), "{}",""), CB188,"{SILVER}", CA188)</f>
        <v>{BLACK}Powered by: {GOLD}Diesel {}{SILVER}The General Electric Class 70 is designed with crash safety in mind, hence the bonnet-like structure at each end.</v>
      </c>
    </row>
    <row r="189" spans="1:81" x14ac:dyDescent="0.25">
      <c r="A189" t="s">
        <v>639</v>
      </c>
      <c r="B189" t="s">
        <v>638</v>
      </c>
      <c r="C189">
        <v>366</v>
      </c>
      <c r="D189" t="s">
        <v>302</v>
      </c>
      <c r="E189" t="s">
        <v>312</v>
      </c>
      <c r="F189" t="s">
        <v>314</v>
      </c>
      <c r="G189">
        <v>2013</v>
      </c>
      <c r="H189">
        <v>2016</v>
      </c>
      <c r="K189">
        <v>3800</v>
      </c>
      <c r="T189">
        <v>85</v>
      </c>
      <c r="W189">
        <v>317</v>
      </c>
      <c r="X189" s="4">
        <f>IF(AND(T189&gt;0,W189&gt;0),(W189/((T189+U189)*10)),"")</f>
        <v>0.37294117647058822</v>
      </c>
      <c r="Y189">
        <v>100</v>
      </c>
      <c r="AA189">
        <v>20.5</v>
      </c>
      <c r="AB189">
        <v>20.5</v>
      </c>
      <c r="AE189" s="11">
        <v>0</v>
      </c>
      <c r="AF189" t="str">
        <f>CONCATENATE(VLOOKUP(AG189, 'Voxel Sizes'!$A$2:$B$18,2,FALSE),"x",INT(AC189*15), "x", INT(AD189*15))</f>
        <v>198x0x0</v>
      </c>
      <c r="AG189">
        <f>ROUND(15*((AB189*10)/256),0)</f>
        <v>12</v>
      </c>
      <c r="AI189" t="str">
        <f>CONCATENATE(VLOOKUP(AG189,Constants!$A$2:$C$16,IF(AH189&lt;&gt;"", 3, 2), FALSE),IF(AH189&lt;&gt;"",CONCATENATE(",",VLOOKUP(AH189,$B:$AI,34,FALSE)),""))</f>
        <v>4,4,4</v>
      </c>
      <c r="AS189">
        <v>30</v>
      </c>
      <c r="AT189" t="str">
        <f>IF(I189&lt;&gt;"",MAX(8,(I189-G189)-4),"")</f>
        <v/>
      </c>
      <c r="AW189">
        <f>MIN(Y189/150, 1)*30</f>
        <v>20</v>
      </c>
      <c r="AX189">
        <f>MIN(K189/4000, 1)*20</f>
        <v>19</v>
      </c>
      <c r="AY189">
        <f>MIN(W189/400,1)*20</f>
        <v>15.85</v>
      </c>
      <c r="AZ189" s="4">
        <v>1</v>
      </c>
      <c r="BA189">
        <f>((MAX($J189,1)*MIN($AE189/300,1)))*IF(D189="Wagon",50,10)</f>
        <v>0</v>
      </c>
      <c r="BB189">
        <f>VLOOKUP($E189,Constants!$I:$K, 2, FALSE)</f>
        <v>1</v>
      </c>
      <c r="BC189">
        <f>VLOOKUP($E189,Constants!$I:$K, 3, FALSE)*IF(AND(D189="multiple_unit",Y189&lt;110),0.75,1)</f>
        <v>2</v>
      </c>
      <c r="BD189">
        <f>INT(POWER(((Constants!$G$2+$AW189+$AX189+$AY189+$BA189)*$AZ189)*$BC189, 1.05))+$AV189</f>
        <v>152</v>
      </c>
      <c r="BE189">
        <f>INT(POWER((((Constants!$G$1+$AW189+$AX189+$AY189+$BA189)*(1/$AZ189))*$BB189),IF($D189="wagon",1,1.2)))+$AU189</f>
        <v>163</v>
      </c>
      <c r="BF189" s="15">
        <f>BD189*IF($D189="wagon",62.5,781.25)</f>
        <v>118750</v>
      </c>
      <c r="BG189" s="15">
        <f>BE189*IF($D189="wagon",2.73,81.25)</f>
        <v>13243.75</v>
      </c>
      <c r="BP189">
        <v>3</v>
      </c>
      <c r="BT189" t="str">
        <f>VLOOKUP(G189,Eras!$A$2:$C$10, 2, TRUE)</f>
        <v>mod</v>
      </c>
      <c r="BU189" t="s">
        <v>367</v>
      </c>
      <c r="BV189" t="str">
        <f>CONCATENATE(BT189,"_",BU189)</f>
        <v>mod_Mixed Traffic</v>
      </c>
      <c r="BW189" t="str">
        <f>IF(AND(BI189&lt;&gt;Y189,BI189&lt;&gt;""),_xlfn.CONCAT("{BLACK}","Tare speed: ","{GOLD}{VELOCITY}{}"), "")</f>
        <v/>
      </c>
      <c r="BX189" t="str">
        <f>_xlfn.CONCAT(E189, "_",F189)</f>
        <v>diesel_RAIL</v>
      </c>
      <c r="BY189" t="str">
        <f>VLOOKUP($BX189, Constants!$M:$N, 2, FALSE)</f>
        <v>{BLACK}Powered by: {GOLD}Diesel</v>
      </c>
      <c r="BZ189" t="str">
        <f>IF(J189&gt;1,_xlfn.CONCAT("{BLACK}Cars: {GOLD}", J189),"")</f>
        <v/>
      </c>
      <c r="CA189" t="s">
        <v>642</v>
      </c>
      <c r="CB189" t="str">
        <f>IF(BS189="BRAKE","{YELLOW}Speed bonus for slow wagons{}",IF(BQ189&gt;190,CONCATENATE("{YELLOW}",INT((BQ189-185)/1.85),"% Bonus for long distance travel{}"),IF(AND(BQ189&lt;180,BQ189&lt;&gt;0),CONCATENATE("{YELLOW}",INT((185-BQ189)/1.85),"% Penalty for long distance travel{}"),"")))</f>
        <v/>
      </c>
      <c r="CC189" t="str">
        <f>_xlfn.CONCAT(BW189,BY189,IF(BY189 &lt;&gt; "", " ", ""),BZ189,IF(OR(BZ189&lt;&gt;"", BY189&lt;&gt;""), "{}",""), CB189,"{SILVER}", CA189)</f>
        <v>{BLACK}Powered by: {GOLD}Diesel {}{SILVER}The Class 68 is a modern mixed traffic disel locomotive with a powerful 16-cylinder Caterpillar engine.</v>
      </c>
    </row>
    <row r="190" spans="1:81" x14ac:dyDescent="0.25">
      <c r="A190" t="s">
        <v>64</v>
      </c>
      <c r="B190" t="s">
        <v>210</v>
      </c>
      <c r="C190">
        <v>368</v>
      </c>
      <c r="D190" t="s">
        <v>168</v>
      </c>
      <c r="E190" t="s">
        <v>585</v>
      </c>
      <c r="F190" t="s">
        <v>314</v>
      </c>
      <c r="G190">
        <v>2015</v>
      </c>
      <c r="H190">
        <v>2016</v>
      </c>
      <c r="K190">
        <v>5400</v>
      </c>
      <c r="L190" s="9">
        <v>940</v>
      </c>
      <c r="T190">
        <v>86</v>
      </c>
      <c r="W190">
        <v>317</v>
      </c>
      <c r="X190" s="4">
        <f>IF(AND(T190&gt;0,W190&gt;0),(W190/((T190+U190)*10)),"")</f>
        <v>0.36860465116279068</v>
      </c>
      <c r="Y190">
        <v>100</v>
      </c>
      <c r="AA190">
        <v>20.5</v>
      </c>
      <c r="AB190">
        <v>20.5</v>
      </c>
      <c r="AE190" s="11">
        <v>0</v>
      </c>
      <c r="AF190" t="str">
        <f>CONCATENATE(VLOOKUP(AG190, 'Voxel Sizes'!$A$2:$B$18,2,FALSE),"x",INT(AC190*15), "x", INT(AD190*15))</f>
        <v>198x0x0</v>
      </c>
      <c r="AG190">
        <f>ROUND(15*((AB190*10)/256),0)</f>
        <v>12</v>
      </c>
      <c r="AI190" t="str">
        <f>CONCATENATE(VLOOKUP(AG190,Constants!$A$2:$C$16,IF(AH190&lt;&gt;"", 3, 2), FALSE),IF(AH190&lt;&gt;"",CONCATENATE(",",VLOOKUP(AH190,$B:$AI,34,FALSE)),""))</f>
        <v>4,4,4</v>
      </c>
      <c r="AS190">
        <v>30</v>
      </c>
      <c r="AT190" t="str">
        <f>IF(I190&lt;&gt;"",MAX(8,(I190-G190)-4),"")</f>
        <v/>
      </c>
      <c r="AW190">
        <f>MIN(Y190/150, 1)*30</f>
        <v>20</v>
      </c>
      <c r="AX190">
        <f>MIN(K190/4000, 1)*20</f>
        <v>20</v>
      </c>
      <c r="AY190">
        <f>MIN(W190/400,1)*20</f>
        <v>15.85</v>
      </c>
      <c r="AZ190" s="4">
        <v>1</v>
      </c>
      <c r="BA190">
        <f>((MAX($J190,1)*MIN($AE190/300,1)))*IF(D190="Wagon",50,10)</f>
        <v>0</v>
      </c>
      <c r="BB190">
        <f>VLOOKUP($E190,Constants!$I:$K, 2, FALSE)</f>
        <v>0.9</v>
      </c>
      <c r="BC190">
        <f>VLOOKUP($E190,Constants!$I:$K, 3, FALSE)*IF(AND(D190="multiple_unit",Y190&lt;110),0.75,1)</f>
        <v>2.5</v>
      </c>
      <c r="BD190">
        <f>INT(POWER(((Constants!$G$2+$AW190+$AX190+$AY190+$BA190)*$AZ190)*$BC190, 1.05))+$AV190</f>
        <v>195</v>
      </c>
      <c r="BE190">
        <f>INT(POWER((((Constants!$G$1+$AW190+$AX190+$AY190+$BA190)*(1/$AZ190))*$BB190),IF($D190="wagon",1,1.2)))+$AU190</f>
        <v>146</v>
      </c>
      <c r="BF190" s="15">
        <f>BD190*IF($D190="wagon",62.5,781.25)</f>
        <v>152343.75</v>
      </c>
      <c r="BG190" s="15">
        <f>BE190*IF($D190="wagon",2.73,81.25)</f>
        <v>11862.5</v>
      </c>
      <c r="BP190">
        <v>4</v>
      </c>
      <c r="BT190" t="str">
        <f>VLOOKUP(G190,Eras!$A$2:$C$10, 2, TRUE)</f>
        <v>mod</v>
      </c>
      <c r="BU190" t="s">
        <v>379</v>
      </c>
      <c r="BV190" t="str">
        <f>CONCATENATE(BT190,"_",BU190)</f>
        <v>mod_Freight (Electric)</v>
      </c>
      <c r="BW190" t="str">
        <f>IF(AND(BI190&lt;&gt;Y190,BI190&lt;&gt;""),_xlfn.CONCAT("{BLACK}","Tare speed: ","{GOLD}{VELOCITY}{}"), "")</f>
        <v/>
      </c>
      <c r="BX190" t="str">
        <f>_xlfn.CONCAT(E190, "_",F190)</f>
        <v>dual_power_RAIL</v>
      </c>
      <c r="BY190" t="str">
        <f>VLOOKUP($BX190, Constants!$M:$N, 2, FALSE)</f>
        <v>{BLACK}Powered by: {GOLD}750V DC / Diesel</v>
      </c>
      <c r="BZ190" t="str">
        <f>IF(J190&gt;1,_xlfn.CONCAT("{BLACK}Cars: {GOLD}", J190),"")</f>
        <v/>
      </c>
      <c r="CB190" t="str">
        <f>IF(BS190="BRAKE","{YELLOW}Speed bonus for slow wagons{}",IF(BQ190&gt;190,CONCATENATE("{YELLOW}",INT((BQ190-185)/1.85),"% Bonus for long distance travel{}"),IF(AND(BQ190&lt;180,BQ190&lt;&gt;0),CONCATENATE("{YELLOW}",INT((185-BQ190)/1.85),"% Penalty for long distance travel{}"),"")))</f>
        <v/>
      </c>
      <c r="CC190" t="str">
        <f>_xlfn.CONCAT(BW190,BY190,IF(BY190 &lt;&gt; "", " ", ""),BZ190,IF(OR(BZ190&lt;&gt;"", BY190&lt;&gt;""), "{}",""), CB190,"{SILVER}", CA190)</f>
        <v>{BLACK}Powered by: {GOLD}750V DC / Diesel {}{SILVER}</v>
      </c>
    </row>
    <row r="191" spans="1:81" x14ac:dyDescent="0.25">
      <c r="A191" t="s">
        <v>150</v>
      </c>
      <c r="B191" t="s">
        <v>182</v>
      </c>
      <c r="C191">
        <v>420</v>
      </c>
      <c r="D191" t="s">
        <v>444</v>
      </c>
      <c r="E191" t="s">
        <v>1289</v>
      </c>
      <c r="F191" t="s">
        <v>314</v>
      </c>
      <c r="G191">
        <v>1903</v>
      </c>
      <c r="I191">
        <v>1940</v>
      </c>
      <c r="J191">
        <v>1</v>
      </c>
      <c r="K191">
        <v>85</v>
      </c>
      <c r="T191">
        <v>35</v>
      </c>
      <c r="V191">
        <v>8</v>
      </c>
      <c r="W191">
        <v>45</v>
      </c>
      <c r="X191" s="4">
        <f>IF(AND(T191&gt;0,W191&gt;0),(W191/((T191+U191)*10)),"")</f>
        <v>0.12857142857142856</v>
      </c>
      <c r="Y191">
        <v>40</v>
      </c>
      <c r="AA191">
        <v>16.7</v>
      </c>
      <c r="AB191">
        <v>16.7</v>
      </c>
      <c r="AC191">
        <v>2.59</v>
      </c>
      <c r="AD191">
        <v>3.98</v>
      </c>
      <c r="AE191" s="11">
        <v>48</v>
      </c>
      <c r="AF191" t="str">
        <f>CONCATENATE(VLOOKUP(AG191, 'Voxel Sizes'!$A$2:$B$18,2,FALSE),"x",INT(AC191*15), "x", INT(AD191*15))</f>
        <v>164x38x59</v>
      </c>
      <c r="AG191">
        <f>ROUND(15*((AB191*10)/256),0)</f>
        <v>10</v>
      </c>
      <c r="AI191" t="str">
        <f>CONCATENATE(VLOOKUP(AG191,Constants!$A$2:$C$16,IF(AH191&lt;&gt;"", 3, 2), FALSE),IF(AH191&lt;&gt;"",CONCATENATE(",",VLOOKUP(AH191,$B:$AI,34,FALSE)),""))</f>
        <v>4,2,4</v>
      </c>
      <c r="AM191" t="s">
        <v>182</v>
      </c>
      <c r="AO191">
        <v>1</v>
      </c>
      <c r="AS191">
        <v>17</v>
      </c>
      <c r="AT191">
        <f>IF(I191&lt;&gt;"",MAX(8,(I191-G191)-4),"")</f>
        <v>33</v>
      </c>
      <c r="AU191">
        <v>-15</v>
      </c>
      <c r="AV191">
        <v>-10</v>
      </c>
      <c r="AW191">
        <f>MIN(Y191/150, 1)*30</f>
        <v>8</v>
      </c>
      <c r="AX191">
        <f>MIN(K191/4000, 1)*20</f>
        <v>0.42500000000000004</v>
      </c>
      <c r="AY191">
        <f>MIN(W191/400,1)*20</f>
        <v>2.25</v>
      </c>
      <c r="AZ191" s="4">
        <v>1</v>
      </c>
      <c r="BA191">
        <f>((MAX($J191,1)*MIN($AE191/300,1)))*IF(D191="Wagon",50,10)</f>
        <v>1.6</v>
      </c>
      <c r="BB191">
        <f>VLOOKUP($E191,Constants!$I:$K, 2, FALSE)</f>
        <v>1.05</v>
      </c>
      <c r="BC191">
        <f>VLOOKUP($E191,Constants!$I:$K, 3, FALSE)*IF(AND(D191="multiple_unit",Y191&lt;110),0.75,1)</f>
        <v>1.4249999999999998</v>
      </c>
      <c r="BD191">
        <f>INT(POWER(((Constants!$G$2+$AW191+$AX191+$AY191+$BA191)*$AZ191)*$BC191, 1.05))+$AV191</f>
        <v>18</v>
      </c>
      <c r="BE191">
        <f>INT(POWER((((Constants!$G$1+$AW191+$AX191+$AY191+$BA191)*(1/$AZ191))*$BB191),IF($D191="wagon",1,1.2)))+$AU191</f>
        <v>41</v>
      </c>
      <c r="BF191" s="15">
        <f>BD191*IF($D191="wagon",62.5,781.25)</f>
        <v>14062.5</v>
      </c>
      <c r="BG191" s="15">
        <f>BE191*IF($D191="wagon",2.73,81.25)</f>
        <v>3331.25</v>
      </c>
      <c r="BM191" t="s">
        <v>235</v>
      </c>
      <c r="BP191">
        <v>5</v>
      </c>
      <c r="BQ191">
        <v>185</v>
      </c>
      <c r="BS191" t="s">
        <v>323</v>
      </c>
      <c r="BT191" t="str">
        <f>VLOOKUP(G191,Eras!$A$2:$C$10, 2, TRUE)</f>
        <v>edw</v>
      </c>
      <c r="BU191" t="s">
        <v>370</v>
      </c>
      <c r="BV191" t="str">
        <f>CONCATENATE(BT191,"_",BU191)</f>
        <v>edw_DMU (Cheap)</v>
      </c>
      <c r="BW191" t="str">
        <f>IF(AND(BI191&lt;&gt;Y191,BI191&lt;&gt;""),_xlfn.CONCAT("{BLACK}","Tare speed: ","{GOLD}{VELOCITY}{}"), "")</f>
        <v/>
      </c>
      <c r="BX191" t="str">
        <f>_xlfn.CONCAT(E191, "_",F191)</f>
        <v>petrol_RAIL</v>
      </c>
      <c r="BY191" t="str">
        <f>VLOOKUP($BX191, Constants!$M:$N, 2, FALSE)</f>
        <v>{BLACK}Powered by: {GOLD}Petrol</v>
      </c>
      <c r="BZ191" t="str">
        <f>IF(J191&gt;1,_xlfn.CONCAT("{BLACK}Cars: {GOLD}", J191),"")</f>
        <v/>
      </c>
      <c r="CA191" t="s">
        <v>389</v>
      </c>
      <c r="CB191" t="str">
        <f>IF(BS191="BRAKE","{YELLOW}Speed bonus for slow wagons{}",IF(BQ191&gt;190,CONCATENATE("{YELLOW}",INT((BQ191-185)/1.85),"% Bonus for long distance travel{}"),IF(AND(BQ191&lt;180,BQ191&lt;&gt;0),CONCATENATE("{YELLOW}",INT((185-BQ191)/1.85),"% Penalty for long distance travel{}"),"")))</f>
        <v/>
      </c>
      <c r="CC191" t="str">
        <f>_xlfn.CONCAT(BW191,BY191,IF(BY191 &lt;&gt; "", " ", ""),BZ191,IF(OR(BZ191&lt;&gt;"", BY191&lt;&gt;""), "{}",""), CB191,"{SILVER}", CA191)</f>
        <v>{BLACK}Powered by: {GOLD}Petrol {}{SILVER}The NER Autocar is a petrol-electric railcar with a petrol engine driving two electric motors. It was the first use of an internal combustion engine in a railway vehicle.</v>
      </c>
    </row>
    <row r="192" spans="1:81" x14ac:dyDescent="0.25">
      <c r="A192" t="s">
        <v>432</v>
      </c>
      <c r="B192" t="s">
        <v>434</v>
      </c>
      <c r="C192">
        <v>422</v>
      </c>
      <c r="D192" t="s">
        <v>444</v>
      </c>
      <c r="E192" t="s">
        <v>336</v>
      </c>
      <c r="F192" t="s">
        <v>343</v>
      </c>
      <c r="G192">
        <v>1914</v>
      </c>
      <c r="I192">
        <v>1960</v>
      </c>
      <c r="J192">
        <v>3</v>
      </c>
      <c r="K192">
        <v>1000</v>
      </c>
      <c r="T192">
        <v>117</v>
      </c>
      <c r="V192">
        <f>8*3</f>
        <v>24</v>
      </c>
      <c r="W192">
        <v>112</v>
      </c>
      <c r="X192" s="4">
        <f>IF(AND(T192&gt;0,W192&gt;0),(W192/((T192+U192)*10)),"")</f>
        <v>9.5726495726495733E-2</v>
      </c>
      <c r="Y192">
        <v>60</v>
      </c>
      <c r="AB192">
        <v>17.7</v>
      </c>
      <c r="AE192" s="11">
        <v>45</v>
      </c>
      <c r="AF192" t="str">
        <f>CONCATENATE(VLOOKUP(AG192, 'Voxel Sizes'!$A$2:$B$18,2,FALSE),"x",INT(AC192*15), "x", INT(AD192*15))</f>
        <v>164x0x0</v>
      </c>
      <c r="AG192">
        <f>ROUND(15*((AB192*10)/256),0)</f>
        <v>10</v>
      </c>
      <c r="AI192" t="str">
        <f>CONCATENATE(VLOOKUP(AG192,Constants!$A$2:$C$16,IF(AH192&lt;&gt;"", 3, 2), FALSE),IF(AH192&lt;&gt;"",CONCATENATE(",",VLOOKUP(AH192,$B:$AI,34,FALSE)),""))</f>
        <v>4,2,4</v>
      </c>
      <c r="AM192" t="s">
        <v>445</v>
      </c>
      <c r="AO192" t="s">
        <v>443</v>
      </c>
      <c r="AS192">
        <v>25</v>
      </c>
      <c r="AT192">
        <f>IF(I192&lt;&gt;"",MAX(8,(I192-G192)-4),"")</f>
        <v>42</v>
      </c>
      <c r="AU192">
        <v>-10</v>
      </c>
      <c r="AV192">
        <v>-15</v>
      </c>
      <c r="AW192">
        <f>MIN(Y192/150, 1)*30</f>
        <v>12</v>
      </c>
      <c r="AX192">
        <f>MIN(K192/4000, 1)*20</f>
        <v>5</v>
      </c>
      <c r="AY192">
        <f>MIN(W192/400,1)*20</f>
        <v>5.6000000000000005</v>
      </c>
      <c r="AZ192" s="4">
        <v>1</v>
      </c>
      <c r="BA192">
        <f>((MAX($J192,1)*MIN($AE192/300,1)))*IF(D192="Wagon",50,10)</f>
        <v>4.5</v>
      </c>
      <c r="BB192">
        <f>VLOOKUP($E192,Constants!$I:$K, 2, FALSE)</f>
        <v>0.85</v>
      </c>
      <c r="BC192">
        <f>VLOOKUP($E192,Constants!$I:$K, 3, FALSE)*IF(AND(D192="multiple_unit",Y192&lt;110),0.75,1)</f>
        <v>1.7249999999999999</v>
      </c>
      <c r="BD192">
        <f>INT(POWER(((Constants!$G$2+$AW192+$AX192+$AY192+$BA192)*$AZ192)*$BC192, 1.05))+$AV192</f>
        <v>52</v>
      </c>
      <c r="BE192">
        <f>INT(POWER((((Constants!$G$1+$AW192+$AX192+$AY192+$BA192)*(1/$AZ192))*$BB192),IF($D192="wagon",1,1.2)))+$AU192</f>
        <v>63</v>
      </c>
      <c r="BF192" s="15">
        <f>BD192*IF($D192="wagon",62.5,781.25)</f>
        <v>40625</v>
      </c>
      <c r="BG192" s="15">
        <f>BE192*IF($D192="wagon",2.73,81.25)</f>
        <v>5118.75</v>
      </c>
      <c r="BP192">
        <v>6</v>
      </c>
      <c r="BQ192">
        <v>185</v>
      </c>
      <c r="BS192" t="s">
        <v>323</v>
      </c>
      <c r="BT192" t="str">
        <f>VLOOKUP(G192,Eras!$A$2:$C$10, 2, TRUE)</f>
        <v>edw</v>
      </c>
      <c r="BU192" t="s">
        <v>373</v>
      </c>
      <c r="BV192" t="str">
        <f>CONCATENATE(BT192,"_",BU192)</f>
        <v>edw_EMU</v>
      </c>
      <c r="BW192" t="str">
        <f>IF(AND(BI192&lt;&gt;Y192,BI192&lt;&gt;""),_xlfn.CONCAT("{BLACK}","Tare speed: ","{GOLD}{VELOCITY}{}"), "")</f>
        <v/>
      </c>
      <c r="BX192" t="str">
        <f>_xlfn.CONCAT(E192, "_",F192)</f>
        <v>electric_THIRD_RAIL</v>
      </c>
      <c r="BY192" t="str">
        <f>VLOOKUP($BX192, Constants!$M:$N, 2, FALSE)</f>
        <v>{BLACK}Powered by: {GOLD}750V DC</v>
      </c>
      <c r="BZ192" t="str">
        <f>IF(J192&gt;1,_xlfn.CONCAT("{BLACK}Cars: {GOLD}", J192),"")</f>
        <v>{BLACK}Cars: {GOLD}3</v>
      </c>
      <c r="CA192" t="s">
        <v>433</v>
      </c>
      <c r="CB192" t="str">
        <f>IF(BS192="BRAKE","{YELLOW}Speed bonus for slow wagons{}",IF(BQ192&gt;190,CONCATENATE("{YELLOW}",INT((BQ192-185)/1.85),"% Bonus for long distance travel{}"),IF(AND(BQ192&lt;180,BQ192&lt;&gt;0),CONCATENATE("{YELLOW}",INT((185-BQ192)/1.85),"% Penalty for long distance travel{}"),"")))</f>
        <v/>
      </c>
      <c r="CC192" t="str">
        <f>_xlfn.CONCAT(BW192,BY192,IF(BY192 &lt;&gt; "", " ", ""),BZ192,IF(OR(BZ192&lt;&gt;"", BY192&lt;&gt;""), "{}",""), CB192,"{SILVER}", CA192)</f>
        <v>{BLACK}Powered by: {GOLD}750V DC {BLACK}Cars: {GOLD}3{}{SILVER}The LNWR built electric multiple units for its inner suburban London routes, sharing track with the Bakerloo and District lines.</v>
      </c>
    </row>
    <row r="193" spans="1:81" x14ac:dyDescent="0.25">
      <c r="A193" t="s">
        <v>78</v>
      </c>
      <c r="B193" t="s">
        <v>269</v>
      </c>
      <c r="C193">
        <v>424</v>
      </c>
      <c r="D193" t="s">
        <v>444</v>
      </c>
      <c r="E193" t="s">
        <v>336</v>
      </c>
      <c r="F193" t="s">
        <v>343</v>
      </c>
      <c r="G193">
        <v>1932</v>
      </c>
      <c r="I193">
        <v>1972</v>
      </c>
      <c r="J193">
        <v>5</v>
      </c>
      <c r="K193">
        <v>1800</v>
      </c>
      <c r="T193">
        <v>253</v>
      </c>
      <c r="V193">
        <f>8*5</f>
        <v>40</v>
      </c>
      <c r="W193">
        <v>145</v>
      </c>
      <c r="X193" s="4">
        <f>IF(AND(T193&gt;0,W193&gt;0),(W193/((T193+U193)*10)),"")</f>
        <v>5.731225296442688E-2</v>
      </c>
      <c r="Y193">
        <v>75</v>
      </c>
      <c r="AA193">
        <v>20.11</v>
      </c>
      <c r="AB193">
        <v>20.11</v>
      </c>
      <c r="AE193" s="11">
        <v>33</v>
      </c>
      <c r="AF193" t="str">
        <f>CONCATENATE(VLOOKUP(AG193, 'Voxel Sizes'!$A$2:$B$18,2,FALSE),"x",INT(AC193*15), "x", INT(AD193*15))</f>
        <v>198x0x0</v>
      </c>
      <c r="AG193">
        <f>ROUND(15*((AB193*10)/256),0)</f>
        <v>12</v>
      </c>
      <c r="AI193" t="str">
        <f>CONCATENATE(VLOOKUP(AG193,Constants!$A$2:$C$16,IF(AH193&lt;&gt;"", 3, 2), FALSE),IF(AH193&lt;&gt;"",CONCATENATE(",",VLOOKUP(AH193,$B:$AI,34,FALSE)),""))</f>
        <v>4,4,4</v>
      </c>
      <c r="AM193" t="s">
        <v>486</v>
      </c>
      <c r="AO193" t="s">
        <v>489</v>
      </c>
      <c r="AS193">
        <v>28</v>
      </c>
      <c r="AT193">
        <f>IF(I193&lt;&gt;"",MAX(8,(I193-G193)-4),"")</f>
        <v>36</v>
      </c>
      <c r="AU193">
        <v>-10</v>
      </c>
      <c r="AV193">
        <v>-10</v>
      </c>
      <c r="AW193">
        <f>MIN(Y193/150, 1)*30</f>
        <v>15</v>
      </c>
      <c r="AX193">
        <f>MIN(K193/4000, 1)*20</f>
        <v>9</v>
      </c>
      <c r="AY193">
        <f>MIN(W193/400,1)*20</f>
        <v>7.25</v>
      </c>
      <c r="AZ193" s="4">
        <v>1</v>
      </c>
      <c r="BA193">
        <f>((MAX($J193,1)*MIN($AE193/300,1)))*IF(D193="Wagon",50,10)</f>
        <v>5.5</v>
      </c>
      <c r="BB193">
        <f>VLOOKUP($E193,Constants!$I:$K, 2, FALSE)</f>
        <v>0.85</v>
      </c>
      <c r="BC193">
        <f>VLOOKUP($E193,Constants!$I:$K, 3, FALSE)*IF(AND(D193="multiple_unit",Y193&lt;110),0.75,1)</f>
        <v>1.7249999999999999</v>
      </c>
      <c r="BD193">
        <f>INT(POWER(((Constants!$G$2+$AW193+$AX193+$AY193+$BA193)*$AZ193)*$BC193, 1.05))+$AV193</f>
        <v>79</v>
      </c>
      <c r="BE193">
        <f>INT(POWER((((Constants!$G$1+$AW193+$AX193+$AY193+$BA193)*(1/$AZ193))*$BB193),IF($D193="wagon",1,1.2)))+$AU193</f>
        <v>83</v>
      </c>
      <c r="BF193" s="15">
        <f>BD193*IF($D193="wagon",62.5,781.25)</f>
        <v>61718.75</v>
      </c>
      <c r="BG193" s="15">
        <f>BE193*IF($D193="wagon",2.73,81.25)</f>
        <v>6743.75</v>
      </c>
      <c r="BP193">
        <v>7</v>
      </c>
      <c r="BQ193">
        <v>260</v>
      </c>
      <c r="BS193" t="s">
        <v>323</v>
      </c>
      <c r="BT193" t="str">
        <f>VLOOKUP(G193,Eras!$A$2:$C$10, 2, TRUE)</f>
        <v>big4</v>
      </c>
      <c r="BU193" t="s">
        <v>374</v>
      </c>
      <c r="BV193" t="str">
        <f>CONCATENATE(BT193,"_",BU193)</f>
        <v>big4_EMU (Express)</v>
      </c>
      <c r="BW193" t="str">
        <f>IF(AND(BI193&lt;&gt;Y193,BI193&lt;&gt;""),_xlfn.CONCAT("{BLACK}","Tare speed: ","{GOLD}{VELOCITY}{}"), "")</f>
        <v/>
      </c>
      <c r="BX193" t="str">
        <f>_xlfn.CONCAT(E193, "_",F193)</f>
        <v>electric_THIRD_RAIL</v>
      </c>
      <c r="BY193" t="str">
        <f>VLOOKUP($BX193, Constants!$M:$N, 2, FALSE)</f>
        <v>{BLACK}Powered by: {GOLD}750V DC</v>
      </c>
      <c r="BZ193" t="str">
        <f>IF(J193&gt;1,_xlfn.CONCAT("{BLACK}Cars: {GOLD}", J193),"")</f>
        <v>{BLACK}Cars: {GOLD}5</v>
      </c>
      <c r="CA193" t="s">
        <v>485</v>
      </c>
      <c r="CB193" t="str">
        <f>IF(BS193="BRAKE","{YELLOW}Speed bonus for slow wagons{}",IF(BQ193&gt;190,CONCATENATE("{YELLOW}",INT((BQ193-185)/1.85),"% Bonus for long distance travel{}"),IF(AND(BQ193&lt;180,BQ193&lt;&gt;0),CONCATENATE("{YELLOW}",INT((185-BQ193)/1.85),"% Penalty for long distance travel{}"),"")))</f>
        <v>{YELLOW}40% Bonus for long distance travel{}</v>
      </c>
      <c r="CC193" t="str">
        <f>_xlfn.CONCAT(BW193,BY193,IF(BY193 &lt;&gt; "", " ", ""),BZ193,IF(OR(BZ193&lt;&gt;"", BY193&lt;&gt;""), "{}",""), CB193,"{SILVER}", CA193)</f>
        <v>{BLACK}Powered by: {GOLD}750V DC {BLACK}Cars: {GOLD}5{}{YELLOW}40% Bonus for long distance travel{}{SILVER}The Southern Railway's "Brighton Belle" used Pullman coaches and remained in use well into the BR era.</v>
      </c>
    </row>
    <row r="194" spans="1:81" x14ac:dyDescent="0.25">
      <c r="A194" t="s">
        <v>79</v>
      </c>
      <c r="B194" t="s">
        <v>270</v>
      </c>
      <c r="C194">
        <v>426</v>
      </c>
      <c r="D194" t="s">
        <v>444</v>
      </c>
      <c r="E194" t="s">
        <v>336</v>
      </c>
      <c r="F194" t="s">
        <v>343</v>
      </c>
      <c r="G194">
        <v>1937</v>
      </c>
      <c r="H194">
        <v>1938</v>
      </c>
      <c r="I194">
        <v>1972</v>
      </c>
      <c r="J194">
        <v>4</v>
      </c>
      <c r="K194">
        <v>900</v>
      </c>
      <c r="T194">
        <v>160.80000000000001</v>
      </c>
      <c r="V194">
        <f>8*4</f>
        <v>32</v>
      </c>
      <c r="W194">
        <v>120</v>
      </c>
      <c r="X194" s="4">
        <f>IF(AND(T194&gt;0,W194&gt;0),(W194/((T194+U194)*10)),"")</f>
        <v>7.4626865671641784E-2</v>
      </c>
      <c r="Y194">
        <v>75</v>
      </c>
      <c r="AA194">
        <v>20</v>
      </c>
      <c r="AB194">
        <v>20</v>
      </c>
      <c r="AE194" s="11">
        <v>57</v>
      </c>
      <c r="AF194" t="str">
        <f>CONCATENATE(VLOOKUP(AG194, 'Voxel Sizes'!$A$2:$B$18,2,FALSE),"x",INT(AC194*15), "x", INT(AD194*15))</f>
        <v>198x0x0</v>
      </c>
      <c r="AG194">
        <f>ROUND(15*((AB194*10)/256),0)</f>
        <v>12</v>
      </c>
      <c r="AI194" t="str">
        <f>CONCATENATE(VLOOKUP(AG194,Constants!$A$2:$C$16,IF(AH194&lt;&gt;"", 3, 2), FALSE),IF(AH194&lt;&gt;"",CONCATENATE(",",VLOOKUP(AH194,$B:$AI,34,FALSE)),""))</f>
        <v>4,4,4</v>
      </c>
      <c r="AM194" t="s">
        <v>505</v>
      </c>
      <c r="AO194" t="s">
        <v>506</v>
      </c>
      <c r="AS194">
        <v>36</v>
      </c>
      <c r="AT194">
        <f>IF(I194&lt;&gt;"",MAX(8,(I194-G194)-4),"")</f>
        <v>31</v>
      </c>
      <c r="AU194">
        <v>-10</v>
      </c>
      <c r="AV194">
        <v>-15</v>
      </c>
      <c r="AW194">
        <f>MIN(Y194/150, 1)*30</f>
        <v>15</v>
      </c>
      <c r="AX194">
        <f>MIN(K194/4000, 1)*20</f>
        <v>4.5</v>
      </c>
      <c r="AY194">
        <f>MIN(W194/400,1)*20</f>
        <v>6</v>
      </c>
      <c r="AZ194" s="4">
        <v>1</v>
      </c>
      <c r="BA194">
        <f>((MAX($J194,1)*MIN($AE194/300,1)))*IF(D194="Wagon",50,10)</f>
        <v>7.6</v>
      </c>
      <c r="BB194">
        <f>VLOOKUP($E194,Constants!$I:$K, 2, FALSE)</f>
        <v>0.85</v>
      </c>
      <c r="BC194">
        <f>VLOOKUP($E194,Constants!$I:$K, 3, FALSE)*IF(AND(D194="multiple_unit",Y194&lt;110),0.75,1)</f>
        <v>1.7249999999999999</v>
      </c>
      <c r="BD194">
        <f>INT(POWER(((Constants!$G$2+$AW194+$AX194+$AY194+$BA194)*$AZ194)*$BC194, 1.05))+$AV194</f>
        <v>66</v>
      </c>
      <c r="BE194">
        <f>INT(POWER((((Constants!$G$1+$AW194+$AX194+$AY194+$BA194)*(1/$AZ194))*$BB194),IF($D194="wagon",1,1.2)))+$AU194</f>
        <v>75</v>
      </c>
      <c r="BF194" s="15">
        <f>BD194*IF($D194="wagon",62.5,781.25)</f>
        <v>51562.5</v>
      </c>
      <c r="BG194" s="15">
        <f>BE194*IF($D194="wagon",2.73,81.25)</f>
        <v>6093.75</v>
      </c>
      <c r="BP194">
        <v>8</v>
      </c>
      <c r="BQ194">
        <v>185</v>
      </c>
      <c r="BS194" t="s">
        <v>323</v>
      </c>
      <c r="BT194" t="str">
        <f>VLOOKUP(G194,Eras!$A$2:$C$10, 2, TRUE)</f>
        <v>big4</v>
      </c>
      <c r="BU194" t="s">
        <v>373</v>
      </c>
      <c r="BV194" t="str">
        <f>CONCATENATE(BT194,"_",BU194)</f>
        <v>big4_EMU</v>
      </c>
      <c r="BW194" t="str">
        <f>IF(AND(BI194&lt;&gt;Y194,BI194&lt;&gt;""),_xlfn.CONCAT("{BLACK}","Tare speed: ","{GOLD}{VELOCITY}{}"), "")</f>
        <v/>
      </c>
      <c r="BX194" t="str">
        <f>_xlfn.CONCAT(E194, "_",F194)</f>
        <v>electric_THIRD_RAIL</v>
      </c>
      <c r="BY194" t="str">
        <f>VLOOKUP($BX194, Constants!$M:$N, 2, FALSE)</f>
        <v>{BLACK}Powered by: {GOLD}750V DC</v>
      </c>
      <c r="BZ194" t="str">
        <f>IF(J194&gt;1,_xlfn.CONCAT("{BLACK}Cars: {GOLD}", J194),"")</f>
        <v>{BLACK}Cars: {GOLD}4</v>
      </c>
      <c r="CA194" t="s">
        <v>503</v>
      </c>
      <c r="CB194" t="str">
        <f>IF(BS194="BRAKE","{YELLOW}Speed bonus for slow wagons{}",IF(BQ194&gt;190,CONCATENATE("{YELLOW}",INT((BQ194-185)/1.85),"% Bonus for long distance travel{}"),IF(AND(BQ194&lt;180,BQ194&lt;&gt;0),CONCATENATE("{YELLOW}",INT((185-BQ194)/1.85),"% Penalty for long distance travel{}"),"")))</f>
        <v/>
      </c>
      <c r="CC194" t="str">
        <f>_xlfn.CONCAT(BW194,BY194,IF(BY194 &lt;&gt; "", " ", ""),BZ194,IF(OR(BZ194&lt;&gt;"", BY194&lt;&gt;""), "{}",""), CB194,"{SILVER}", CA194)</f>
        <v>{BLACK}Powered by: {GOLD}750V DC {BLACK}Cars: {GOLD}4{}{SILVER}The Southern Railway was an early pioneer of electrification, with 4-COR units used between London Waterloo and Portsmouth.</v>
      </c>
    </row>
    <row r="195" spans="1:81" x14ac:dyDescent="0.25">
      <c r="A195" t="s">
        <v>80</v>
      </c>
      <c r="B195" t="s">
        <v>271</v>
      </c>
      <c r="C195">
        <v>428</v>
      </c>
      <c r="D195" t="s">
        <v>444</v>
      </c>
      <c r="E195" t="s">
        <v>336</v>
      </c>
      <c r="F195" t="s">
        <v>343</v>
      </c>
      <c r="G195">
        <v>1938</v>
      </c>
      <c r="H195">
        <v>1939</v>
      </c>
      <c r="I195">
        <v>1971</v>
      </c>
      <c r="J195">
        <v>2</v>
      </c>
      <c r="K195">
        <v>550</v>
      </c>
      <c r="T195">
        <v>77</v>
      </c>
      <c r="V195">
        <f>8*2</f>
        <v>16</v>
      </c>
      <c r="W195">
        <v>120</v>
      </c>
      <c r="X195" s="4">
        <f>IF(AND(T195&gt;0,W195&gt;0),(W195/((T195+U195)*10)),"")</f>
        <v>0.15584415584415584</v>
      </c>
      <c r="Y195">
        <v>75</v>
      </c>
      <c r="AA195">
        <v>20</v>
      </c>
      <c r="AB195">
        <v>20</v>
      </c>
      <c r="AE195" s="11">
        <f>(24+102)/2</f>
        <v>63</v>
      </c>
      <c r="AF195" t="str">
        <f>CONCATENATE(VLOOKUP(AG195, 'Voxel Sizes'!$A$2:$B$18,2,FALSE),"x",INT(AC195*15), "x", INT(AD195*15))</f>
        <v>198x0x0</v>
      </c>
      <c r="AG195">
        <f>ROUND(15*((AB195*10)/256),0)</f>
        <v>12</v>
      </c>
      <c r="AI195" t="str">
        <f>CONCATENATE(VLOOKUP(AG195,Constants!$A$2:$C$16,IF(AH195&lt;&gt;"", 3, 2), FALSE),IF(AH195&lt;&gt;"",CONCATENATE(",",VLOOKUP(AH195,$B:$AI,34,FALSE)),""))</f>
        <v>4,4,4</v>
      </c>
      <c r="AM195" t="s">
        <v>507</v>
      </c>
      <c r="AO195" t="s">
        <v>508</v>
      </c>
      <c r="AS195">
        <v>36</v>
      </c>
      <c r="AT195">
        <f>IF(I195&lt;&gt;"",MAX(8,(I195-G195)-4),"")</f>
        <v>29</v>
      </c>
      <c r="AU195">
        <v>-10</v>
      </c>
      <c r="AV195">
        <v>-15</v>
      </c>
      <c r="AW195">
        <f>MIN(Y195/150, 1)*30</f>
        <v>15</v>
      </c>
      <c r="AX195">
        <f>MIN(K195/4000, 1)*20</f>
        <v>2.75</v>
      </c>
      <c r="AY195">
        <f>MIN(W195/400,1)*20</f>
        <v>6</v>
      </c>
      <c r="AZ195" s="4">
        <v>1</v>
      </c>
      <c r="BA195">
        <f>((MAX($J195,1)*MIN($AE195/300,1)))*IF(D195="Wagon",50,10)</f>
        <v>4.2</v>
      </c>
      <c r="BB195">
        <f>VLOOKUP($E195,Constants!$I:$K, 2, FALSE)</f>
        <v>0.85</v>
      </c>
      <c r="BC195">
        <f>VLOOKUP($E195,Constants!$I:$K, 3, FALSE)*IF(AND(D195="multiple_unit",Y195&lt;110),0.75,1)</f>
        <v>1.7249999999999999</v>
      </c>
      <c r="BD195">
        <f>INT(POWER(((Constants!$G$2+$AW195+$AX195+$AY195+$BA195)*$AZ195)*$BC195, 1.05))+$AV195</f>
        <v>54</v>
      </c>
      <c r="BE195">
        <f>INT(POWER((((Constants!$G$1+$AW195+$AX195+$AY195+$BA195)*(1/$AZ195))*$BB195),IF($D195="wagon",1,1.2)))+$AU195</f>
        <v>64</v>
      </c>
      <c r="BF195" s="15">
        <f>BD195*IF($D195="wagon",62.5,781.25)</f>
        <v>42187.5</v>
      </c>
      <c r="BG195" s="15">
        <f>BE195*IF($D195="wagon",2.73,81.25)</f>
        <v>5200</v>
      </c>
      <c r="BP195">
        <v>9</v>
      </c>
      <c r="BQ195">
        <v>185</v>
      </c>
      <c r="BS195" t="s">
        <v>323</v>
      </c>
      <c r="BT195" t="str">
        <f>VLOOKUP(G195,Eras!$A$2:$C$10, 2, TRUE)</f>
        <v>big4</v>
      </c>
      <c r="BU195" t="s">
        <v>373</v>
      </c>
      <c r="BV195" t="str">
        <f>CONCATENATE(BT195,"_",BU195)</f>
        <v>big4_EMU</v>
      </c>
      <c r="BW195" t="str">
        <f>IF(AND(BI195&lt;&gt;Y195,BI195&lt;&gt;""),_xlfn.CONCAT("{BLACK}","Tare speed: ","{GOLD}{VELOCITY}{}"), "")</f>
        <v/>
      </c>
      <c r="BX195" t="str">
        <f>_xlfn.CONCAT(E195, "_",F195)</f>
        <v>electric_THIRD_RAIL</v>
      </c>
      <c r="BY195" t="str">
        <f>VLOOKUP($BX195, Constants!$M:$N, 2, FALSE)</f>
        <v>{BLACK}Powered by: {GOLD}750V DC</v>
      </c>
      <c r="BZ195" t="str">
        <f>IF(J195&gt;1,_xlfn.CONCAT("{BLACK}Cars: {GOLD}", J195),"")</f>
        <v>{BLACK}Cars: {GOLD}2</v>
      </c>
      <c r="CA195" t="s">
        <v>504</v>
      </c>
      <c r="CB195" t="str">
        <f>IF(BS195="BRAKE","{YELLOW}Speed bonus for slow wagons{}",IF(BQ195&gt;190,CONCATENATE("{YELLOW}",INT((BQ195-185)/1.85),"% Bonus for long distance travel{}"),IF(AND(BQ195&lt;180,BQ195&lt;&gt;0),CONCATENATE("{YELLOW}",INT((185-BQ195)/1.85),"% Penalty for long distance travel{}"),"")))</f>
        <v/>
      </c>
      <c r="CC195" t="str">
        <f>_xlfn.CONCAT(BW195,BY195,IF(BY195 &lt;&gt; "", " ", ""),BZ195,IF(OR(BZ195&lt;&gt;"", BY195&lt;&gt;""), "{}",""), CB195,"{SILVER}", CA195)</f>
        <v>{BLACK}Powered by: {GOLD}750V DC {BLACK}Cars: {GOLD}2{}{SILVER}The 2-HAL (named for 2 units, Half Lavatory) is designed for suburban commuter services.</v>
      </c>
    </row>
    <row r="196" spans="1:81" x14ac:dyDescent="0.25">
      <c r="A196" t="s">
        <v>96</v>
      </c>
      <c r="B196" t="s">
        <v>218</v>
      </c>
      <c r="C196">
        <v>430</v>
      </c>
      <c r="D196" t="s">
        <v>444</v>
      </c>
      <c r="E196" t="s">
        <v>336</v>
      </c>
      <c r="F196" t="s">
        <v>337</v>
      </c>
      <c r="G196">
        <v>1954</v>
      </c>
      <c r="I196">
        <v>1984</v>
      </c>
      <c r="J196">
        <v>3</v>
      </c>
      <c r="K196">
        <v>740</v>
      </c>
      <c r="T196">
        <f>51.4+26.8+27.9</f>
        <v>106.1</v>
      </c>
      <c r="V196">
        <f>8*3</f>
        <v>24</v>
      </c>
      <c r="W196">
        <v>110</v>
      </c>
      <c r="X196" s="4">
        <f>IF(AND(T196&gt;0,W196&gt;0),(W196/((T196+U196)*10)),"")</f>
        <v>0.10367577756833177</v>
      </c>
      <c r="Y196">
        <v>75</v>
      </c>
      <c r="AA196">
        <v>18.100000000000001</v>
      </c>
      <c r="AB196">
        <v>18.100000000000001</v>
      </c>
      <c r="AC196">
        <v>2.82</v>
      </c>
      <c r="AD196">
        <v>3.87</v>
      </c>
      <c r="AE196" s="11">
        <v>57</v>
      </c>
      <c r="AF196" t="str">
        <f>CONCATENATE(VLOOKUP(AG196, 'Voxel Sizes'!$A$2:$B$18,2,FALSE),"x",INT(AC196*15), "x", INT(AD196*15))</f>
        <v>186x42x58</v>
      </c>
      <c r="AG196">
        <f>ROUND(15*((AB196*10)/256),0)</f>
        <v>11</v>
      </c>
      <c r="AI196" t="str">
        <f>CONCATENATE(VLOOKUP(AG196,Constants!$A$2:$C$16,IF(AH196&lt;&gt;"", 3, 2), FALSE),IF(AH196&lt;&gt;"",CONCATENATE(",",VLOOKUP(AH196,$B:$AI,34,FALSE)),""))</f>
        <v>4,3,4</v>
      </c>
      <c r="AM196" t="s">
        <v>658</v>
      </c>
      <c r="AO196" t="s">
        <v>332</v>
      </c>
      <c r="AS196">
        <v>35</v>
      </c>
      <c r="AT196">
        <f>IF(I196&lt;&gt;"",MAX(8,(I196-G196)-4),"")</f>
        <v>26</v>
      </c>
      <c r="AU196">
        <v>-10</v>
      </c>
      <c r="AV196">
        <v>-15</v>
      </c>
      <c r="AW196">
        <f>MIN(Y196/150, 1)*30</f>
        <v>15</v>
      </c>
      <c r="AX196">
        <f>MIN(K196/4000, 1)*20</f>
        <v>3.7</v>
      </c>
      <c r="AY196">
        <f>MIN(W196/400,1)*20</f>
        <v>5.5</v>
      </c>
      <c r="AZ196" s="4">
        <v>1</v>
      </c>
      <c r="BA196">
        <f>((MAX($J196,1)*MIN($AE196/300,1)))*IF(D196="Wagon",50,10)</f>
        <v>5.7000000000000011</v>
      </c>
      <c r="BB196">
        <f>VLOOKUP($E196,Constants!$I:$K, 2, FALSE)</f>
        <v>0.85</v>
      </c>
      <c r="BC196">
        <f>VLOOKUP($E196,Constants!$I:$K, 3, FALSE)*IF(AND(D196="multiple_unit",Y196&lt;110),0.75,1)</f>
        <v>1.7249999999999999</v>
      </c>
      <c r="BD196">
        <f>INT(POWER(((Constants!$G$2+$AW196+$AX196+$AY196+$BA196)*$AZ196)*$BC196, 1.05))+$AV196</f>
        <v>58</v>
      </c>
      <c r="BE196">
        <f>INT(POWER((((Constants!$G$1+$AW196+$AX196+$AY196+$BA196)*(1/$AZ196))*$BB196),IF($D196="wagon",1,1.2)))+$AU196</f>
        <v>69</v>
      </c>
      <c r="BF196" s="15">
        <f>BD196*IF($D196="wagon",62.5,781.25)</f>
        <v>45312.5</v>
      </c>
      <c r="BG196" s="15">
        <f>BE196*IF($D196="wagon",2.73,81.25)</f>
        <v>5606.25</v>
      </c>
      <c r="BP196">
        <v>10</v>
      </c>
      <c r="BQ196">
        <v>185</v>
      </c>
      <c r="BS196" t="s">
        <v>323</v>
      </c>
      <c r="BT196" t="str">
        <f>VLOOKUP(G196,Eras!$A$2:$C$10, 2, TRUE)</f>
        <v>ebr</v>
      </c>
      <c r="BU196" t="s">
        <v>373</v>
      </c>
      <c r="BV196" t="str">
        <f>CONCATENATE(BT196,"_",BU196)</f>
        <v>ebr_EMU</v>
      </c>
      <c r="BW196" t="str">
        <f>IF(AND(BI196&lt;&gt;Y196,BI196&lt;&gt;""),_xlfn.CONCAT("{BLACK}","Tare speed: ","{GOLD}{VELOCITY}{}"), "")</f>
        <v/>
      </c>
      <c r="BX196" t="str">
        <f>_xlfn.CONCAT(E196, "_",F196)</f>
        <v>electric_ELRL</v>
      </c>
      <c r="BY196" t="str">
        <f>VLOOKUP($BX196, Constants!$M:$N, 2, FALSE)</f>
        <v>{BLACK}Powered by: {GOLD}25kV AC</v>
      </c>
      <c r="BZ196" t="str">
        <f>IF(J196&gt;1,_xlfn.CONCAT("{BLACK}Cars: {GOLD}", J196),"")</f>
        <v>{BLACK}Cars: {GOLD}3</v>
      </c>
      <c r="CA196" t="s">
        <v>659</v>
      </c>
      <c r="CB196" t="str">
        <f>IF(BS196="BRAKE","{YELLOW}Speed bonus for slow wagons{}",IF(BQ196&gt;190,CONCATENATE("{YELLOW}",INT((BQ196-185)/1.85),"% Bonus for long distance travel{}"),IF(AND(BQ196&lt;180,BQ196&lt;&gt;0),CONCATENATE("{YELLOW}",INT((185-BQ196)/1.85),"% Penalty for long distance travel{}"),"")))</f>
        <v/>
      </c>
      <c r="CC196" t="str">
        <f>_xlfn.CONCAT(BW196,BY196,IF(BY196 &lt;&gt; "", " ", ""),BZ196,IF(OR(BZ196&lt;&gt;"", BY196&lt;&gt;""), "{}",""), CB196,"{SILVER}", CA196)</f>
        <v>{BLACK}Powered by: {GOLD}25kV AC {BLACK}Cars: {GOLD}3{}{SILVER}The Class 506 was built by Metro Cammell and BRCW for the Woodhead Line.</v>
      </c>
    </row>
    <row r="197" spans="1:81" x14ac:dyDescent="0.25">
      <c r="A197" t="s">
        <v>83</v>
      </c>
      <c r="B197" t="s">
        <v>212</v>
      </c>
      <c r="C197">
        <v>432</v>
      </c>
      <c r="D197" t="s">
        <v>168</v>
      </c>
      <c r="E197" t="s">
        <v>312</v>
      </c>
      <c r="F197" t="s">
        <v>314</v>
      </c>
      <c r="G197">
        <v>1956</v>
      </c>
      <c r="H197">
        <v>1959</v>
      </c>
      <c r="I197">
        <v>1988</v>
      </c>
      <c r="K197">
        <v>300</v>
      </c>
      <c r="T197">
        <f>30.5*2</f>
        <v>61</v>
      </c>
      <c r="X197" s="4" t="str">
        <f>IF(AND(T197&gt;0,W197&gt;0),(W197/((T197+U197)*10)),"")</f>
        <v/>
      </c>
      <c r="Y197">
        <v>70</v>
      </c>
      <c r="AA197">
        <v>17.53</v>
      </c>
      <c r="AB197">
        <v>17.53</v>
      </c>
      <c r="AD197">
        <v>3.84</v>
      </c>
      <c r="AE197" s="11">
        <v>0</v>
      </c>
      <c r="AF197" t="str">
        <f>CONCATENATE(VLOOKUP(AG197, 'Voxel Sizes'!$A$2:$B$18,2,FALSE),"x",INT(AC197*15), "x", INT(AD197*15))</f>
        <v>164x0x57</v>
      </c>
      <c r="AG197">
        <f>ROUND(15*((AB197*10)/256),0)</f>
        <v>10</v>
      </c>
      <c r="AI197" t="str">
        <f>CONCATENATE(VLOOKUP(AG197,Constants!$A$2:$C$16,IF(AH197&lt;&gt;"", 3, 2), FALSE),IF(AH197&lt;&gt;"",CONCATENATE(",",VLOOKUP(AH197,$B:$AI,34,FALSE)),""))</f>
        <v>4,2,4</v>
      </c>
      <c r="AS197">
        <v>45</v>
      </c>
      <c r="AT197">
        <f>IF(I197&lt;&gt;"",MAX(8,(I197-G197)-4),"")</f>
        <v>28</v>
      </c>
      <c r="AU197">
        <v>-10</v>
      </c>
      <c r="AV197">
        <v>-15</v>
      </c>
      <c r="AW197">
        <f>MIN(Y197/150, 1)*30</f>
        <v>14</v>
      </c>
      <c r="AX197">
        <f>MIN(K197/4000, 1)*20</f>
        <v>1.5</v>
      </c>
      <c r="AY197">
        <f>MIN(W197/400,1)*20</f>
        <v>0</v>
      </c>
      <c r="AZ197" s="4">
        <v>1</v>
      </c>
      <c r="BA197">
        <f>((MAX($J197,1)*MIN($AE197/300,1)))*IF(D197="Wagon",50,10)</f>
        <v>0</v>
      </c>
      <c r="BB197">
        <f>VLOOKUP($E197,Constants!$I:$K, 2, FALSE)</f>
        <v>1</v>
      </c>
      <c r="BC197">
        <f>VLOOKUP($E197,Constants!$I:$K, 3, FALSE)*IF(AND(D197="multiple_unit",Y197&lt;110),0.75,1)</f>
        <v>2</v>
      </c>
      <c r="BD197">
        <f>INT(POWER(((Constants!$G$2+$AW197+$AX197+$AY197+$BA197)*$AZ197)*$BC197, 1.05))+$AV197</f>
        <v>34</v>
      </c>
      <c r="BE197">
        <f>INT(POWER((((Constants!$G$1+$AW197+$AX197+$AY197+$BA197)*(1/$AZ197))*$BB197),IF($D197="wagon",1,1.2)))+$AU197</f>
        <v>50</v>
      </c>
      <c r="BF197" s="15">
        <f>BD197*IF($D197="wagon",62.5,781.25)</f>
        <v>26562.5</v>
      </c>
      <c r="BG197" s="15">
        <f>BE197*IF($D197="wagon",2.73,81.25)</f>
        <v>4062.5</v>
      </c>
      <c r="BP197">
        <v>11</v>
      </c>
      <c r="BQ197">
        <v>185</v>
      </c>
      <c r="BT197" t="str">
        <f>VLOOKUP(G197,Eras!$A$2:$C$10, 2, TRUE)</f>
        <v>dsl</v>
      </c>
      <c r="BV197" t="str">
        <f>CONCATENATE(BT197,"_",BU197)</f>
        <v>dsl_</v>
      </c>
      <c r="BW197" t="str">
        <f>IF(AND(BI197&lt;&gt;Y197,BI197&lt;&gt;""),_xlfn.CONCAT("{BLACK}","Tare speed: ","{GOLD}{VELOCITY}{}"), "")</f>
        <v/>
      </c>
      <c r="BX197" t="str">
        <f>_xlfn.CONCAT(E197, "_",F197)</f>
        <v>diesel_RAIL</v>
      </c>
      <c r="BY197" t="str">
        <f>VLOOKUP($BX197, Constants!$M:$N, 2, FALSE)</f>
        <v>{BLACK}Powered by: {GOLD}Diesel</v>
      </c>
      <c r="BZ197" t="str">
        <f>IF(J197&gt;1,_xlfn.CONCAT("{BLACK}Cars: {GOLD}", J197),"")</f>
        <v/>
      </c>
      <c r="CB197" t="str">
        <f>IF(BS197="BRAKE","{YELLOW}Speed bonus for slow wagons{}",IF(BQ197&gt;190,CONCATENATE("{YELLOW}",INT((BQ197-185)/1.85),"% Bonus for long distance travel{}"),IF(AND(BQ197&lt;180,BQ197&lt;&gt;0),CONCATENATE("{YELLOW}",INT((185-BQ197)/1.85),"% Penalty for long distance travel{}"),"")))</f>
        <v/>
      </c>
      <c r="CC197" t="str">
        <f>_xlfn.CONCAT(BW197,BY197,IF(BY197 &lt;&gt; "", " ", ""),BZ197,IF(OR(BZ197&lt;&gt;"", BY197&lt;&gt;""), "{}",""), CB197,"{SILVER}", CA197)</f>
        <v>{BLACK}Powered by: {GOLD}Diesel {}{SILVER}</v>
      </c>
    </row>
    <row r="198" spans="1:81" x14ac:dyDescent="0.25">
      <c r="A198" t="s">
        <v>660</v>
      </c>
      <c r="B198" t="s">
        <v>662</v>
      </c>
      <c r="C198">
        <v>434</v>
      </c>
      <c r="D198" t="s">
        <v>444</v>
      </c>
      <c r="E198" t="s">
        <v>336</v>
      </c>
      <c r="F198" t="s">
        <v>343</v>
      </c>
      <c r="G198">
        <v>1956</v>
      </c>
      <c r="I198">
        <v>1995</v>
      </c>
      <c r="J198">
        <v>2</v>
      </c>
      <c r="K198">
        <v>500</v>
      </c>
      <c r="T198">
        <f>40+32</f>
        <v>72</v>
      </c>
      <c r="V198">
        <f>8*2</f>
        <v>16</v>
      </c>
      <c r="W198">
        <v>95</v>
      </c>
      <c r="X198" s="4">
        <f>IF(AND(T198&gt;0,W198&gt;0),(W198/((T198+U198)*10)),"")</f>
        <v>0.13194444444444445</v>
      </c>
      <c r="Y198">
        <v>90</v>
      </c>
      <c r="AA198">
        <v>19.05</v>
      </c>
      <c r="AB198">
        <v>19.05</v>
      </c>
      <c r="AC198">
        <v>2.82</v>
      </c>
      <c r="AD198">
        <v>3.89</v>
      </c>
      <c r="AE198" s="11">
        <v>54</v>
      </c>
      <c r="AF198" t="str">
        <f>CONCATENATE(VLOOKUP(AG198, 'Voxel Sizes'!$A$2:$B$18,2,FALSE),"x",INT(AC198*15), "x", INT(AD198*15))</f>
        <v>186x42x58</v>
      </c>
      <c r="AG198">
        <f>ROUND(15*((AB198*10)/256),0)</f>
        <v>11</v>
      </c>
      <c r="AI198" t="str">
        <f>CONCATENATE(VLOOKUP(AG198,Constants!$A$2:$C$16,IF(AH198&lt;&gt;"", 3, 2), FALSE),IF(AH198&lt;&gt;"",CONCATENATE(",",VLOOKUP(AH198,$B:$AI,34,FALSE)),""))</f>
        <v>4,3,4</v>
      </c>
      <c r="AM198" t="s">
        <v>663</v>
      </c>
      <c r="AO198" t="s">
        <v>508</v>
      </c>
      <c r="AS198">
        <v>33</v>
      </c>
      <c r="AT198">
        <f>IF(I198&lt;&gt;"",MAX(8,(I198-G198)-4),"")</f>
        <v>35</v>
      </c>
      <c r="AU198">
        <v>-10</v>
      </c>
      <c r="AV198">
        <v>-15</v>
      </c>
      <c r="AW198">
        <f>MIN(Y198/150, 1)*30</f>
        <v>18</v>
      </c>
      <c r="AX198">
        <f>MIN(K198/4000, 1)*20</f>
        <v>2.5</v>
      </c>
      <c r="AY198">
        <f>MIN(W198/400,1)*20</f>
        <v>4.75</v>
      </c>
      <c r="AZ198" s="4">
        <v>1</v>
      </c>
      <c r="BA198">
        <f>((MAX($J198,1)*MIN($AE198/300,1)))*IF(D198="Wagon",50,10)</f>
        <v>3.5999999999999996</v>
      </c>
      <c r="BB198">
        <f>VLOOKUP($E198,Constants!$I:$K, 2, FALSE)</f>
        <v>0.85</v>
      </c>
      <c r="BC198">
        <f>VLOOKUP($E198,Constants!$I:$K, 3, FALSE)*IF(AND(D198="multiple_unit",Y198&lt;110),0.75,1)</f>
        <v>1.7249999999999999</v>
      </c>
      <c r="BD198">
        <f>INT(POWER(((Constants!$G$2+$AW198+$AX198+$AY198+$BA198)*$AZ198)*$BC198, 1.05))+$AV198</f>
        <v>56</v>
      </c>
      <c r="BE198">
        <f>INT(POWER((((Constants!$G$1+$AW198+$AX198+$AY198+$BA198)*(1/$AZ198))*$BB198),IF($D198="wagon",1,1.2)))+$AU198</f>
        <v>66</v>
      </c>
      <c r="BF198" s="15">
        <f>BD198*IF($D198="wagon",62.5,781.25)</f>
        <v>43750</v>
      </c>
      <c r="BG198" s="15">
        <f>BE198*IF($D198="wagon",2.73,81.25)</f>
        <v>5362.5</v>
      </c>
      <c r="BM198" t="s">
        <v>292</v>
      </c>
      <c r="BP198">
        <v>12</v>
      </c>
      <c r="BQ198">
        <v>185</v>
      </c>
      <c r="BS198" t="s">
        <v>323</v>
      </c>
      <c r="BT198" t="str">
        <f>VLOOKUP(G198,Eras!$A$2:$C$10, 2, TRUE)</f>
        <v>dsl</v>
      </c>
      <c r="BU198" t="s">
        <v>374</v>
      </c>
      <c r="BV198" t="str">
        <f>CONCATENATE(BT198,"_",BU198)</f>
        <v>dsl_EMU (Express)</v>
      </c>
      <c r="BW198" t="str">
        <f>IF(AND(BI198&lt;&gt;Y198,BI198&lt;&gt;""),_xlfn.CONCAT("{BLACK}","Tare speed: ","{GOLD}{VELOCITY}{}"), "")</f>
        <v/>
      </c>
      <c r="BX198" t="str">
        <f>_xlfn.CONCAT(E198, "_",F198)</f>
        <v>electric_THIRD_RAIL</v>
      </c>
      <c r="BY198" t="str">
        <f>VLOOKUP($BX198, Constants!$M:$N, 2, FALSE)</f>
        <v>{BLACK}Powered by: {GOLD}750V DC</v>
      </c>
      <c r="BZ198" t="str">
        <f>IF(J198&gt;1,_xlfn.CONCAT("{BLACK}Cars: {GOLD}", J198),"")</f>
        <v>{BLACK}Cars: {GOLD}2</v>
      </c>
      <c r="CA198" t="s">
        <v>664</v>
      </c>
      <c r="CB198" t="str">
        <f>IF(BS198="BRAKE","{YELLOW}Speed bonus for slow wagons{}",IF(BQ198&gt;190,CONCATENATE("{YELLOW}",INT((BQ198-185)/1.85),"% Bonus for long distance travel{}"),IF(AND(BQ198&lt;180,BQ198&lt;&gt;0),CONCATENATE("{YELLOW}",INT((185-BQ198)/1.85),"% Penalty for long distance travel{}"),"")))</f>
        <v/>
      </c>
      <c r="CC198" t="str">
        <f>_xlfn.CONCAT(BW198,BY198,IF(BY198 &lt;&gt; "", " ", ""),BZ198,IF(OR(BZ198&lt;&gt;"", BY198&lt;&gt;""), "{}",""), CB198,"{SILVER}", CA198)</f>
        <v>{BLACK}Powered by: {GOLD}750V DC {BLACK}Cars: {GOLD}2{}{SILVER}The Class 414 2 HAP (Half Lavatory, electro-Pneumatic brake) is a Southern Region electric multiple unit, geared for express duties.</v>
      </c>
    </row>
    <row r="199" spans="1:81" x14ac:dyDescent="0.25">
      <c r="A199" t="s">
        <v>564</v>
      </c>
      <c r="B199" t="s">
        <v>565</v>
      </c>
      <c r="C199">
        <v>436</v>
      </c>
      <c r="D199" t="s">
        <v>168</v>
      </c>
      <c r="E199" t="s">
        <v>312</v>
      </c>
      <c r="F199" t="s">
        <v>314</v>
      </c>
      <c r="G199">
        <v>1959</v>
      </c>
      <c r="H199">
        <v>1961</v>
      </c>
      <c r="I199">
        <v>1990</v>
      </c>
      <c r="K199">
        <v>600</v>
      </c>
      <c r="T199">
        <f>36.6+30.5+36.6</f>
        <v>103.69999999999999</v>
      </c>
      <c r="X199" s="4" t="str">
        <f>IF(AND(T199&gt;0,W199&gt;0),(W199/((T199+U199)*10)),"")</f>
        <v/>
      </c>
      <c r="Y199">
        <v>70</v>
      </c>
      <c r="AA199">
        <v>19.510000000000002</v>
      </c>
      <c r="AB199">
        <v>19.510000000000002</v>
      </c>
      <c r="AD199">
        <v>3.87</v>
      </c>
      <c r="AE199" s="11">
        <v>0</v>
      </c>
      <c r="AF199" t="str">
        <f>CONCATENATE(VLOOKUP(AG199, 'Voxel Sizes'!$A$2:$B$18,2,FALSE),"x",INT(AC199*15), "x", INT(AD199*15))</f>
        <v>186x0x58</v>
      </c>
      <c r="AG199">
        <f>ROUND(15*((AB199*10)/256),0)</f>
        <v>11</v>
      </c>
      <c r="AI199" t="str">
        <f>CONCATENATE(VLOOKUP(AG199,Constants!$A$2:$C$16,IF(AH199&lt;&gt;"", 3, 2), FALSE),IF(AH199&lt;&gt;"",CONCATENATE(",",VLOOKUP(AH199,$B:$AI,34,FALSE)),""))</f>
        <v>4,3,4</v>
      </c>
      <c r="AS199">
        <v>39</v>
      </c>
      <c r="AT199">
        <f>IF(I199&lt;&gt;"",MAX(8,(I199-G199)-4),"")</f>
        <v>27</v>
      </c>
      <c r="AU199">
        <v>-10</v>
      </c>
      <c r="AV199">
        <v>-15</v>
      </c>
      <c r="AW199">
        <f>MIN(Y199/150, 1)*30</f>
        <v>14</v>
      </c>
      <c r="AX199">
        <f>MIN(K199/4000, 1)*20</f>
        <v>3</v>
      </c>
      <c r="AY199">
        <f>MIN(W199/400,1)*20</f>
        <v>0</v>
      </c>
      <c r="AZ199" s="4">
        <v>1</v>
      </c>
      <c r="BA199">
        <f>((MAX($J199,1)*MIN($AE199/300,1)))*IF(D199="Wagon",50,10)</f>
        <v>0</v>
      </c>
      <c r="BB199">
        <f>VLOOKUP($E199,Constants!$I:$K, 2, FALSE)</f>
        <v>1</v>
      </c>
      <c r="BC199">
        <f>VLOOKUP($E199,Constants!$I:$K, 3, FALSE)*IF(AND(D199="multiple_unit",Y199&lt;110),0.75,1)</f>
        <v>2</v>
      </c>
      <c r="BD199">
        <f>INT(POWER(((Constants!$G$2+$AW199+$AX199+$AY199+$BA199)*$AZ199)*$BC199, 1.05))+$AV199</f>
        <v>38</v>
      </c>
      <c r="BE199">
        <f>INT(POWER((((Constants!$G$1+$AW199+$AX199+$AY199+$BA199)*(1/$AZ199))*$BB199),IF($D199="wagon",1,1.2)))+$AU199</f>
        <v>54</v>
      </c>
      <c r="BF199" s="15">
        <f>BD199*IF($D199="wagon",62.5,781.25)</f>
        <v>29687.5</v>
      </c>
      <c r="BG199" s="15">
        <f>BE199*IF($D199="wagon",2.73,81.25)</f>
        <v>4387.5</v>
      </c>
      <c r="BP199">
        <v>1</v>
      </c>
      <c r="BQ199">
        <v>185</v>
      </c>
      <c r="BT199" t="str">
        <f>VLOOKUP(G199,Eras!$A$2:$C$10, 2, TRUE)</f>
        <v>dsl</v>
      </c>
      <c r="BU199" t="s">
        <v>371</v>
      </c>
      <c r="BV199" t="str">
        <f>CONCATENATE(BT199,"_",BU199)</f>
        <v>dsl_DMU</v>
      </c>
      <c r="BW199" t="str">
        <f>IF(AND(BI199&lt;&gt;Y199,BI199&lt;&gt;""),_xlfn.CONCAT("{BLACK}","Tare speed: ","{GOLD}{VELOCITY}{}"), "")</f>
        <v/>
      </c>
      <c r="BX199" t="str">
        <f>_xlfn.CONCAT(E199, "_",F199)</f>
        <v>diesel_RAIL</v>
      </c>
      <c r="BY199" t="str">
        <f>VLOOKUP($BX199, Constants!$M:$N, 2, FALSE)</f>
        <v>{BLACK}Powered by: {GOLD}Diesel</v>
      </c>
      <c r="BZ199" t="str">
        <f>IF(J199&gt;1,_xlfn.CONCAT("{BLACK}Cars: {GOLD}", J199),"")</f>
        <v/>
      </c>
      <c r="CB199" t="str">
        <f>IF(BS199="BRAKE","{YELLOW}Speed bonus for slow wagons{}",IF(BQ199&gt;190,CONCATENATE("{YELLOW}",INT((BQ199-185)/1.85),"% Bonus for long distance travel{}"),IF(AND(BQ199&lt;180,BQ199&lt;&gt;0),CONCATENATE("{YELLOW}",INT((185-BQ199)/1.85),"% Penalty for long distance travel{}"),"")))</f>
        <v/>
      </c>
      <c r="CC199" t="str">
        <f>_xlfn.CONCAT(BW199,BY199,IF(BY199 &lt;&gt; "", " ", ""),BZ199,IF(OR(BZ199&lt;&gt;"", BY199&lt;&gt;""), "{}",""), CB199,"{SILVER}", CA199)</f>
        <v>{BLACK}Powered by: {GOLD}Diesel {}{SILVER}</v>
      </c>
    </row>
    <row r="200" spans="1:81" x14ac:dyDescent="0.25">
      <c r="A200" t="s">
        <v>146</v>
      </c>
      <c r="B200" t="s">
        <v>275</v>
      </c>
      <c r="C200">
        <v>438</v>
      </c>
      <c r="D200" t="s">
        <v>444</v>
      </c>
      <c r="E200" t="s">
        <v>312</v>
      </c>
      <c r="F200" t="s">
        <v>314</v>
      </c>
      <c r="G200">
        <v>1960</v>
      </c>
      <c r="I200">
        <v>1973</v>
      </c>
      <c r="J200">
        <v>6</v>
      </c>
      <c r="K200">
        <v>1000</v>
      </c>
      <c r="T200">
        <v>304</v>
      </c>
      <c r="V200">
        <f>7*6</f>
        <v>42</v>
      </c>
      <c r="W200">
        <v>155</v>
      </c>
      <c r="X200" s="4">
        <f>IF(AND(T200&gt;0,W200&gt;0),(W200/((T200+U200)*10)),"")</f>
        <v>5.0986842105263157E-2</v>
      </c>
      <c r="Y200">
        <v>90</v>
      </c>
      <c r="AA200">
        <v>20.260000000000002</v>
      </c>
      <c r="AB200">
        <v>20</v>
      </c>
      <c r="AC200">
        <v>2.9</v>
      </c>
      <c r="AD200">
        <v>3.77</v>
      </c>
      <c r="AE200" s="11">
        <v>36</v>
      </c>
      <c r="AF200" t="str">
        <f>CONCATENATE(VLOOKUP(AG200, 'Voxel Sizes'!$A$2:$B$18,2,FALSE),"x",INT(AC200*15), "x", INT(AD200*15))</f>
        <v>198x43x56</v>
      </c>
      <c r="AG200">
        <f>ROUND(15*((AB200*10)/256),0)</f>
        <v>12</v>
      </c>
      <c r="AI200" t="str">
        <f>CONCATENATE(VLOOKUP(AG200,Constants!$A$2:$C$16,IF(AH200&lt;&gt;"", 3, 2), FALSE),IF(AH200&lt;&gt;"",CONCATENATE(",",VLOOKUP(AH200,$B:$AI,34,FALSE)),""))</f>
        <v>4,4,4</v>
      </c>
      <c r="AM200" t="s">
        <v>570</v>
      </c>
      <c r="AO200" t="s">
        <v>571</v>
      </c>
      <c r="AS200">
        <v>22</v>
      </c>
      <c r="AT200">
        <f>IF(I200&lt;&gt;"",MAX(8,(I200-G200)-4),"")</f>
        <v>9</v>
      </c>
      <c r="AU200">
        <v>-10</v>
      </c>
      <c r="AV200">
        <v>-15</v>
      </c>
      <c r="AW200">
        <f>MIN(Y200/150, 1)*30</f>
        <v>18</v>
      </c>
      <c r="AX200">
        <f>MIN(K200/4000, 1)*20</f>
        <v>5</v>
      </c>
      <c r="AY200">
        <f>MIN(W200/400,1)*20</f>
        <v>7.75</v>
      </c>
      <c r="AZ200" s="4">
        <v>1</v>
      </c>
      <c r="BA200">
        <f>((MAX($J200,1)*MIN($AE200/300,1)))*IF(D200="Wagon",50,10)</f>
        <v>7.1999999999999993</v>
      </c>
      <c r="BB200">
        <f>VLOOKUP($E200,Constants!$I:$K, 2, FALSE)</f>
        <v>1</v>
      </c>
      <c r="BC200">
        <f>VLOOKUP($E200,Constants!$I:$K, 3, FALSE)*IF(AND(D200="multiple_unit",Y200&lt;110),0.75,1)</f>
        <v>1.5</v>
      </c>
      <c r="BD200">
        <f>INT(POWER(((Constants!$G$2+$AW200+$AX200+$AY200+$BA200)*$AZ200)*$BC200, 1.05))+$AV200</f>
        <v>64</v>
      </c>
      <c r="BE200">
        <f>INT(POWER((((Constants!$G$1+$AW200+$AX200+$AY200+$BA200)*(1/$AZ200))*$BB200),IF($D200="wagon",1,1.2)))+$AU200</f>
        <v>107</v>
      </c>
      <c r="BF200" s="15">
        <f>BD200*IF($D200="wagon",62.5,781.25)</f>
        <v>50000</v>
      </c>
      <c r="BG200" s="15">
        <f>BE200*IF($D200="wagon",2.73,81.25)</f>
        <v>8693.75</v>
      </c>
      <c r="BO200" t="s">
        <v>1204</v>
      </c>
      <c r="BP200">
        <v>2</v>
      </c>
      <c r="BQ200">
        <v>222</v>
      </c>
      <c r="BS200" t="s">
        <v>323</v>
      </c>
      <c r="BT200" t="str">
        <f>VLOOKUP(G200,Eras!$A$2:$C$10, 2, TRUE)</f>
        <v>dsl</v>
      </c>
      <c r="BU200" t="s">
        <v>372</v>
      </c>
      <c r="BV200" t="str">
        <f>CONCATENATE(BT200,"_",BU200)</f>
        <v>dsl_DMU (Express)</v>
      </c>
      <c r="BW200" t="str">
        <f>IF(AND(BI200&lt;&gt;Y200,BI200&lt;&gt;""),_xlfn.CONCAT("{BLACK}","Tare speed: ","{GOLD}{VELOCITY}{}"), "")</f>
        <v/>
      </c>
      <c r="BX200" t="str">
        <f>_xlfn.CONCAT(E200, "_",F200)</f>
        <v>diesel_RAIL</v>
      </c>
      <c r="BY200" t="str">
        <f>VLOOKUP($BX200, Constants!$M:$N, 2, FALSE)</f>
        <v>{BLACK}Powered by: {GOLD}Diesel</v>
      </c>
      <c r="BZ200" t="str">
        <f>IF(J200&gt;1,_xlfn.CONCAT("{BLACK}Cars: {GOLD}", J200),"")</f>
        <v>{BLACK}Cars: {GOLD}6</v>
      </c>
      <c r="CA200" t="s">
        <v>572</v>
      </c>
      <c r="CB200" t="str">
        <f>IF(BS200="BRAKE","{YELLOW}Speed bonus for slow wagons{}",IF(BQ200&gt;190,CONCATENATE("{YELLOW}",INT((BQ200-185)/1.85),"% Bonus for long distance travel{}"),IF(AND(BQ200&lt;180,BQ200&lt;&gt;0),CONCATENATE("{YELLOW}",INT((185-BQ200)/1.85),"% Penalty for long distance travel{}"),"")))</f>
        <v>{YELLOW}20% Bonus for long distance travel{}</v>
      </c>
      <c r="CC200" t="str">
        <f>_xlfn.CONCAT(BW200,BY200,IF(BY200 &lt;&gt; "", " ", ""),BZ200,IF(OR(BZ200&lt;&gt;"", BY200&lt;&gt;""), "{}",""), CB200,"{SILVER}", CA200)</f>
        <v>{BLACK}Powered by: {GOLD}Diesel {BLACK}Cars: {GOLD}6{}{YELLOW}20% Bonus for long distance travel{}{SILVER}The Blue Pullman is an express diesel multiple unit, designed to tempt motorists from their cars with a luxurious inter-city service.</v>
      </c>
    </row>
    <row r="201" spans="1:81" x14ac:dyDescent="0.25">
      <c r="A201" t="s">
        <v>146</v>
      </c>
      <c r="B201" t="s">
        <v>1190</v>
      </c>
      <c r="C201">
        <v>439</v>
      </c>
      <c r="D201" t="s">
        <v>444</v>
      </c>
      <c r="E201" t="s">
        <v>312</v>
      </c>
      <c r="F201" t="s">
        <v>314</v>
      </c>
      <c r="G201">
        <v>1960</v>
      </c>
      <c r="I201">
        <v>1973</v>
      </c>
      <c r="J201">
        <v>5</v>
      </c>
      <c r="K201">
        <v>1000</v>
      </c>
      <c r="T201">
        <f>304/6*5</f>
        <v>253.33333333333331</v>
      </c>
      <c r="V201">
        <f>7*5</f>
        <v>35</v>
      </c>
      <c r="W201">
        <v>155</v>
      </c>
      <c r="X201" s="4">
        <f>IF(AND(T201&gt;0,W201&gt;0),(W201/((T201+U201)*10)),"")</f>
        <v>6.1184210526315799E-2</v>
      </c>
      <c r="Y201">
        <v>90</v>
      </c>
      <c r="AA201">
        <v>20.260000000000002</v>
      </c>
      <c r="AB201">
        <v>20</v>
      </c>
      <c r="AC201">
        <v>2.9</v>
      </c>
      <c r="AD201">
        <v>3.77</v>
      </c>
      <c r="AE201" s="11">
        <v>36</v>
      </c>
      <c r="AF201" t="str">
        <f>CONCATENATE(VLOOKUP(AG201, 'Voxel Sizes'!$A$2:$B$18,2,FALSE),"x",INT(AC201*15), "x", INT(AD201*15))</f>
        <v>198x43x56</v>
      </c>
      <c r="AG201">
        <f>ROUND(15*((AB201*10)/256),0)</f>
        <v>12</v>
      </c>
      <c r="AI201" t="str">
        <f>CONCATENATE(VLOOKUP(AG201,Constants!$A$2:$C$16,IF(AH201&lt;&gt;"", 3, 2), FALSE),IF(AH201&lt;&gt;"",CONCATENATE(",",VLOOKUP(AH201,$B:$AI,34,FALSE)),""))</f>
        <v>4,4,4</v>
      </c>
      <c r="AM201" t="s">
        <v>1191</v>
      </c>
      <c r="AO201" t="s">
        <v>711</v>
      </c>
      <c r="AP201" t="s">
        <v>275</v>
      </c>
      <c r="AS201">
        <v>22</v>
      </c>
      <c r="AT201">
        <f>IF(I201&lt;&gt;"",MAX(8,(I201-G201)-4),"")</f>
        <v>9</v>
      </c>
      <c r="AU201">
        <v>-10</v>
      </c>
      <c r="AV201">
        <v>-15</v>
      </c>
      <c r="AW201">
        <f>MIN(Y201/150, 1)*30</f>
        <v>18</v>
      </c>
      <c r="AX201">
        <f>MIN(K201/4000, 1)*20</f>
        <v>5</v>
      </c>
      <c r="AY201">
        <f>MIN(W201/400,1)*20</f>
        <v>7.75</v>
      </c>
      <c r="AZ201" s="4">
        <v>1</v>
      </c>
      <c r="BA201">
        <f>((MAX($J201,1)*MIN($AE201/300,1)))*IF(D201="Wagon",50,10)</f>
        <v>6</v>
      </c>
      <c r="BB201">
        <f>VLOOKUP($E201,Constants!$I:$K, 2, FALSE)</f>
        <v>1</v>
      </c>
      <c r="BC201">
        <f>VLOOKUP($E201,Constants!$I:$K, 3, FALSE)*IF(AND(D201="multiple_unit",Y201&lt;110),0.75,1)</f>
        <v>1.5</v>
      </c>
      <c r="BD201">
        <f>INT(POWER(((Constants!$G$2+$AW201+$AX201+$AY201+$BA201)*$AZ201)*$BC201, 1.05))+$AV201</f>
        <v>62</v>
      </c>
      <c r="BE201">
        <f>INT(POWER((((Constants!$G$1+$AW201+$AX201+$AY201+$BA201)*(1/$AZ201))*$BB201),IF($D201="wagon",1,1.2)))+$AU201</f>
        <v>103</v>
      </c>
      <c r="BF201" s="15">
        <f>BD201*IF($D201="wagon",62.5,781.25)</f>
        <v>48437.5</v>
      </c>
      <c r="BG201" s="15">
        <f>BE201*IF($D201="wagon",2.73,81.25)</f>
        <v>8368.75</v>
      </c>
      <c r="BO201" t="s">
        <v>1206</v>
      </c>
      <c r="BP201">
        <v>2</v>
      </c>
      <c r="BQ201">
        <v>222</v>
      </c>
      <c r="BS201" t="s">
        <v>323</v>
      </c>
      <c r="BT201" t="str">
        <f>VLOOKUP(G201,Eras!$A$2:$C$10, 2, TRUE)</f>
        <v>dsl</v>
      </c>
      <c r="BU201" t="s">
        <v>372</v>
      </c>
      <c r="BV201" t="str">
        <f>CONCATENATE(BT201,"_",BU201)</f>
        <v>dsl_DMU (Express)</v>
      </c>
      <c r="BW201" t="str">
        <f>IF(AND(BI201&lt;&gt;Y201,BI201&lt;&gt;""),_xlfn.CONCAT("{BLACK}","Tare speed: ","{GOLD}{VELOCITY}{}"), "")</f>
        <v/>
      </c>
      <c r="BX201" t="str">
        <f>_xlfn.CONCAT(E201, "_",F201)</f>
        <v>diesel_RAIL</v>
      </c>
      <c r="BY201" t="str">
        <f>VLOOKUP($BX201, Constants!$M:$N, 2, FALSE)</f>
        <v>{BLACK}Powered by: {GOLD}Diesel</v>
      </c>
      <c r="BZ201" t="str">
        <f>IF(J201&gt;1,_xlfn.CONCAT("{BLACK}Cars: {GOLD}", J201),"")</f>
        <v>{BLACK}Cars: {GOLD}5</v>
      </c>
      <c r="CA201" t="s">
        <v>572</v>
      </c>
      <c r="CB201" t="str">
        <f>IF(BS201="BRAKE","{YELLOW}Speed bonus for slow wagons{}",IF(BQ201&gt;190,CONCATENATE("{YELLOW}",INT((BQ201-185)/1.85),"% Bonus for long distance travel{}"),IF(AND(BQ201&lt;180,BQ201&lt;&gt;0),CONCATENATE("{YELLOW}",INT((185-BQ201)/1.85),"% Penalty for long distance travel{}"),"")))</f>
        <v>{YELLOW}20% Bonus for long distance travel{}</v>
      </c>
      <c r="CC201" t="str">
        <f>_xlfn.CONCAT(BW201,BY201,IF(BY201 &lt;&gt; "", " ", ""),BZ201,IF(OR(BZ201&lt;&gt;"", BY201&lt;&gt;""), "{}",""), CB201,"{SILVER}", CA201)</f>
        <v>{BLACK}Powered by: {GOLD}Diesel {BLACK}Cars: {GOLD}5{}{YELLOW}20% Bonus for long distance travel{}{SILVER}The Blue Pullman is an express diesel multiple unit, designed to tempt motorists from their cars with a luxurious inter-city service.</v>
      </c>
    </row>
    <row r="202" spans="1:81" x14ac:dyDescent="0.25">
      <c r="A202" t="s">
        <v>82</v>
      </c>
      <c r="B202" t="s">
        <v>255</v>
      </c>
      <c r="C202">
        <v>440</v>
      </c>
      <c r="D202" t="s">
        <v>444</v>
      </c>
      <c r="E202" t="s">
        <v>312</v>
      </c>
      <c r="F202" t="s">
        <v>314</v>
      </c>
      <c r="G202">
        <v>1960</v>
      </c>
      <c r="I202">
        <v>2017</v>
      </c>
      <c r="J202">
        <v>1</v>
      </c>
      <c r="K202">
        <v>300</v>
      </c>
      <c r="T202">
        <v>38</v>
      </c>
      <c r="V202">
        <v>8</v>
      </c>
      <c r="W202">
        <v>65</v>
      </c>
      <c r="X202" s="4">
        <f>IF(AND(T202&gt;0,W202&gt;0),(W202/((T202+U202)*10)),"")</f>
        <v>0.17105263157894737</v>
      </c>
      <c r="Y202">
        <v>70</v>
      </c>
      <c r="Z202">
        <v>1</v>
      </c>
      <c r="AA202">
        <v>19.66</v>
      </c>
      <c r="AB202">
        <v>19.66</v>
      </c>
      <c r="AD202">
        <v>3.77</v>
      </c>
      <c r="AE202" s="11">
        <v>66</v>
      </c>
      <c r="AF202" t="str">
        <f>CONCATENATE(VLOOKUP(AG202, 'Voxel Sizes'!$A$2:$B$18,2,FALSE),"x",INT(AC202*15), "x", INT(AD202*15))</f>
        <v>198x0x56</v>
      </c>
      <c r="AG202">
        <f>ROUND(15*((AB202*10)/256),0)</f>
        <v>12</v>
      </c>
      <c r="AI202" t="str">
        <f>CONCATENATE(VLOOKUP(AG202,Constants!$A$2:$C$16,IF(AH202&lt;&gt;"", 3, 2), FALSE),IF(AH202&lt;&gt;"",CONCATENATE(",",VLOOKUP(AH202,$B:$AI,34,FALSE)),""))</f>
        <v>4,4,4</v>
      </c>
      <c r="AM202" t="s">
        <v>255</v>
      </c>
      <c r="AO202">
        <v>1</v>
      </c>
      <c r="AS202">
        <v>50</v>
      </c>
      <c r="AT202">
        <f>IF(I202&lt;&gt;"",MAX(8,(I202-G202)-4),"")</f>
        <v>53</v>
      </c>
      <c r="AU202">
        <v>-10</v>
      </c>
      <c r="AV202">
        <v>-15</v>
      </c>
      <c r="AW202">
        <f>MIN(Y202/150, 1)*30</f>
        <v>14</v>
      </c>
      <c r="AX202">
        <f>MIN(K202/4000, 1)*20</f>
        <v>1.5</v>
      </c>
      <c r="AY202">
        <f>MIN(W202/400,1)*20</f>
        <v>3.25</v>
      </c>
      <c r="AZ202" s="4">
        <v>1</v>
      </c>
      <c r="BA202">
        <f>((MAX($J202,1)*MIN($AE202/300,1)))*IF(D202="Wagon",50,10)</f>
        <v>2.2000000000000002</v>
      </c>
      <c r="BB202">
        <f>VLOOKUP($E202,Constants!$I:$K, 2, FALSE)</f>
        <v>1</v>
      </c>
      <c r="BC202">
        <f>VLOOKUP($E202,Constants!$I:$K, 3, FALSE)*IF(AND(D202="multiple_unit",Y202&lt;110),0.75,1)</f>
        <v>1.5</v>
      </c>
      <c r="BD202">
        <f>INT(POWER(((Constants!$G$2+$AW202+$AX202+$AY202+$BA202)*$AZ202)*$BC202, 1.05))+$AV202</f>
        <v>31</v>
      </c>
      <c r="BE202">
        <f>INT(POWER((((Constants!$G$1+$AW202+$AX202+$AY202+$BA202)*(1/$AZ202))*$BB202),IF($D202="wagon",1,1.2)))+$AU202</f>
        <v>63</v>
      </c>
      <c r="BF202" s="15">
        <f>BD202*IF($D202="wagon",62.5,781.25)</f>
        <v>24218.75</v>
      </c>
      <c r="BG202" s="15">
        <f>BE202*IF($D202="wagon",2.73,81.25)</f>
        <v>5118.75</v>
      </c>
      <c r="BP202">
        <v>4</v>
      </c>
      <c r="BQ202">
        <v>185</v>
      </c>
      <c r="BS202" t="s">
        <v>323</v>
      </c>
      <c r="BT202" t="str">
        <f>VLOOKUP(G202,Eras!$A$2:$C$10, 2, TRUE)</f>
        <v>dsl</v>
      </c>
      <c r="BU202" t="s">
        <v>371</v>
      </c>
      <c r="BV202" t="str">
        <f>CONCATENATE(BT202,"_",BU202)</f>
        <v>dsl_DMU</v>
      </c>
      <c r="BW202" t="str">
        <f>IF(AND(BI202&lt;&gt;Y202,BI202&lt;&gt;""),_xlfn.CONCAT("{BLACK}","Tare speed: ","{GOLD}{VELOCITY}{}"), "")</f>
        <v/>
      </c>
      <c r="BX202" t="str">
        <f>_xlfn.CONCAT(E202, "_",F202)</f>
        <v>diesel_RAIL</v>
      </c>
      <c r="BY202" t="str">
        <f>VLOOKUP($BX202, Constants!$M:$N, 2, FALSE)</f>
        <v>{BLACK}Powered by: {GOLD}Diesel</v>
      </c>
      <c r="BZ202" t="str">
        <f>IF(J202&gt;1,_xlfn.CONCAT("{BLACK}Cars: {GOLD}", J202),"")</f>
        <v/>
      </c>
      <c r="CA202" t="s">
        <v>573</v>
      </c>
      <c r="CB202" t="str">
        <f>IF(BS202="BRAKE","{YELLOW}Speed bonus for slow wagons{}",IF(BQ202&gt;190,CONCATENATE("{YELLOW}",INT((BQ202-185)/1.85),"% Bonus for long distance travel{}"),IF(AND(BQ202&lt;180,BQ202&lt;&gt;0),CONCATENATE("{YELLOW}",INT((185-BQ202)/1.85),"% Penalty for long distance travel{}"),"")))</f>
        <v/>
      </c>
      <c r="CC202" t="str">
        <f>_xlfn.CONCAT(BW202,BY202,IF(BY202 &lt;&gt; "", " ", ""),BZ202,IF(OR(BZ202&lt;&gt;"", BY202&lt;&gt;""), "{}",""), CB202,"{SILVER}", CA202)</f>
        <v>{BLACK}Powered by: {GOLD}Diesel {}{SILVER}The "Bubble Car" units saw a long life on branch lines and rural railways. Two six-cylinder AEC or Leyland engines of 150hp each drive the wheels through a mechanical transmission.</v>
      </c>
    </row>
    <row r="203" spans="1:81" x14ac:dyDescent="0.25">
      <c r="A203" t="s">
        <v>661</v>
      </c>
      <c r="B203" t="s">
        <v>292</v>
      </c>
      <c r="C203">
        <v>442</v>
      </c>
      <c r="D203" t="s">
        <v>444</v>
      </c>
      <c r="E203" t="s">
        <v>336</v>
      </c>
      <c r="F203" t="s">
        <v>343</v>
      </c>
      <c r="G203">
        <v>1964</v>
      </c>
      <c r="H203">
        <v>1972</v>
      </c>
      <c r="I203">
        <v>2005</v>
      </c>
      <c r="J203">
        <v>4</v>
      </c>
      <c r="K203">
        <v>1000</v>
      </c>
      <c r="T203">
        <v>152</v>
      </c>
      <c r="V203">
        <f>8*4</f>
        <v>32</v>
      </c>
      <c r="W203">
        <v>125</v>
      </c>
      <c r="X203" s="4">
        <f>IF(AND(T203&gt;0,W203&gt;0),(W203/((T203+U203)*10)),"")</f>
        <v>8.2236842105263164E-2</v>
      </c>
      <c r="Y203">
        <v>90</v>
      </c>
      <c r="AA203">
        <f>80.98/4</f>
        <v>20.245000000000001</v>
      </c>
      <c r="AB203">
        <v>20.239999999999998</v>
      </c>
      <c r="AC203">
        <v>2.82</v>
      </c>
      <c r="AD203">
        <v>3.89</v>
      </c>
      <c r="AE203" s="11">
        <v>54</v>
      </c>
      <c r="AF203" t="str">
        <f>CONCATENATE(VLOOKUP(AG203, 'Voxel Sizes'!$A$2:$B$18,2,FALSE),"x",INT(AC203*15), "x", INT(AD203*15))</f>
        <v>198x42x58</v>
      </c>
      <c r="AG203">
        <f>ROUND(15*((AB203*10)/256),0)</f>
        <v>12</v>
      </c>
      <c r="AI203" t="str">
        <f>CONCATENATE(VLOOKUP(AG203,Constants!$A$2:$C$16,IF(AH203&lt;&gt;"", 3, 2), FALSE),IF(AH203&lt;&gt;"",CONCATENATE(",",VLOOKUP(AH203,$B:$AI,34,FALSE)),""))</f>
        <v>4,4,4</v>
      </c>
      <c r="AM203" t="s">
        <v>671</v>
      </c>
      <c r="AO203" t="s">
        <v>669</v>
      </c>
      <c r="AS203">
        <v>40</v>
      </c>
      <c r="AT203">
        <f>IF(I203&lt;&gt;"",MAX(8,(I203-G203)-4),"")</f>
        <v>37</v>
      </c>
      <c r="AU203">
        <v>-10</v>
      </c>
      <c r="AV203">
        <v>-20</v>
      </c>
      <c r="AW203">
        <f>MIN(Y203/150, 1)*30</f>
        <v>18</v>
      </c>
      <c r="AX203">
        <f>MIN(K203/4000, 1)*20</f>
        <v>5</v>
      </c>
      <c r="AY203">
        <f>MIN(W203/400,1)*20</f>
        <v>6.25</v>
      </c>
      <c r="AZ203" s="4">
        <v>1</v>
      </c>
      <c r="BA203">
        <f>((MAX($J203,1)*MIN($AE203/300,1)))*IF(D203="Wagon",50,10)</f>
        <v>7.1999999999999993</v>
      </c>
      <c r="BB203">
        <f>VLOOKUP($E203,Constants!$I:$K, 2, FALSE)</f>
        <v>0.85</v>
      </c>
      <c r="BC203">
        <f>VLOOKUP($E203,Constants!$I:$K, 3, FALSE)*IF(AND(D203="multiple_unit",Y203&lt;110),0.75,1)</f>
        <v>1.7249999999999999</v>
      </c>
      <c r="BD203">
        <f>INT(POWER(((Constants!$G$2+$AW203+$AX203+$AY203+$BA203)*$AZ203)*$BC203, 1.05))+$AV203</f>
        <v>68</v>
      </c>
      <c r="BE203">
        <f>INT(POWER((((Constants!$G$1+$AW203+$AX203+$AY203+$BA203)*(1/$AZ203))*$BB203),IF($D203="wagon",1,1.2)))+$AU203</f>
        <v>83</v>
      </c>
      <c r="BF203" s="15">
        <f>BD203*IF($D203="wagon",62.5,781.25)</f>
        <v>53125</v>
      </c>
      <c r="BG203" s="15">
        <f>BE203*IF($D203="wagon",2.73,81.25)</f>
        <v>6743.75</v>
      </c>
      <c r="BM203" t="s">
        <v>662</v>
      </c>
      <c r="BP203">
        <v>5</v>
      </c>
      <c r="BQ203">
        <v>185</v>
      </c>
      <c r="BS203" t="s">
        <v>323</v>
      </c>
      <c r="BT203" t="str">
        <f>VLOOKUP(G203,Eras!$A$2:$C$10, 2, TRUE)</f>
        <v>dsl</v>
      </c>
      <c r="BU203" t="s">
        <v>374</v>
      </c>
      <c r="BV203" t="str">
        <f>CONCATENATE(BT203,"_",BU203)</f>
        <v>dsl_EMU (Express)</v>
      </c>
      <c r="BW203" t="str">
        <f>IF(AND(BI203&lt;&gt;Y203,BI203&lt;&gt;""),_xlfn.CONCAT("{BLACK}","Tare speed: ","{GOLD}{VELOCITY}{}"), "")</f>
        <v/>
      </c>
      <c r="BX203" t="str">
        <f>_xlfn.CONCAT(E203, "_",F203)</f>
        <v>electric_THIRD_RAIL</v>
      </c>
      <c r="BY203" t="str">
        <f>VLOOKUP($BX203, Constants!$M:$N, 2, FALSE)</f>
        <v>{BLACK}Powered by: {GOLD}750V DC</v>
      </c>
      <c r="BZ203" t="str">
        <f>IF(J203&gt;1,_xlfn.CONCAT("{BLACK}Cars: {GOLD}", J203),"")</f>
        <v>{BLACK}Cars: {GOLD}4</v>
      </c>
      <c r="CA203" t="s">
        <v>668</v>
      </c>
      <c r="CB203" t="str">
        <f>IF(BS203="BRAKE","{YELLOW}Speed bonus for slow wagons{}",IF(BQ203&gt;190,CONCATENATE("{YELLOW}",INT((BQ203-185)/1.85),"% Bonus for long distance travel{}"),IF(AND(BQ203&lt;180,BQ203&lt;&gt;0),CONCATENATE("{YELLOW}",INT((185-BQ203)/1.85),"% Penalty for long distance travel{}"),"")))</f>
        <v/>
      </c>
      <c r="CC203" t="str">
        <f>_xlfn.CONCAT(BW203,BY203,IF(BY203 &lt;&gt; "", " ", ""),BZ203,IF(OR(BZ203&lt;&gt;"", BY203&lt;&gt;""), "{}",""), CB203,"{SILVER}", CA203)</f>
        <v>{BLACK}Powered by: {GOLD}750V DC {BLACK}Cars: {GOLD}4{}{SILVER}The Class 421 4 CIG (Corridor, brIGhton) was a third rail EMU with express gearing, used in the Southern Region. It was based on the Mk1 carriage design.</v>
      </c>
    </row>
    <row r="204" spans="1:81" x14ac:dyDescent="0.25">
      <c r="A204" t="s">
        <v>97</v>
      </c>
      <c r="B204" t="s">
        <v>665</v>
      </c>
      <c r="C204">
        <v>444</v>
      </c>
      <c r="D204" t="s">
        <v>444</v>
      </c>
      <c r="E204" t="s">
        <v>336</v>
      </c>
      <c r="F204" t="s">
        <v>337</v>
      </c>
      <c r="G204">
        <v>1965</v>
      </c>
      <c r="I204">
        <v>2002</v>
      </c>
      <c r="J204">
        <v>4</v>
      </c>
      <c r="K204">
        <v>1080</v>
      </c>
      <c r="T204">
        <v>158</v>
      </c>
      <c r="V204">
        <f>8*4</f>
        <v>32</v>
      </c>
      <c r="W204">
        <v>130</v>
      </c>
      <c r="X204" s="4">
        <f>IF(AND(T204&gt;0,W204&gt;0),(W204/((T204+U204)*10)),"")</f>
        <v>8.2278481012658222E-2</v>
      </c>
      <c r="Y204">
        <v>75</v>
      </c>
      <c r="AA204">
        <v>19.850000000000001</v>
      </c>
      <c r="AB204">
        <v>19.850000000000001</v>
      </c>
      <c r="AC204">
        <v>2.82</v>
      </c>
      <c r="AD204">
        <v>3.97</v>
      </c>
      <c r="AE204" s="11">
        <v>57</v>
      </c>
      <c r="AF204" t="str">
        <f>CONCATENATE(VLOOKUP(AG204, 'Voxel Sizes'!$A$2:$B$18,2,FALSE),"x",INT(AC204*15), "x", INT(AD204*15))</f>
        <v>198x42x59</v>
      </c>
      <c r="AG204">
        <f>ROUND(15*((AB204*10)/256),0)</f>
        <v>12</v>
      </c>
      <c r="AI204" t="str">
        <f>CONCATENATE(VLOOKUP(AG204,Constants!$A$2:$C$16,IF(AH204&lt;&gt;"", 3, 2), FALSE),IF(AH204&lt;&gt;"",CONCATENATE(",",VLOOKUP(AH204,$B:$AI,34,FALSE)),""))</f>
        <v>4,4,4</v>
      </c>
      <c r="AM204" t="s">
        <v>666</v>
      </c>
      <c r="AO204" t="s">
        <v>599</v>
      </c>
      <c r="AS204">
        <v>32</v>
      </c>
      <c r="AT204">
        <f>IF(I204&lt;&gt;"",MAX(8,(I204-G204)-4),"")</f>
        <v>33</v>
      </c>
      <c r="AU204">
        <v>-10</v>
      </c>
      <c r="AV204">
        <v>-20</v>
      </c>
      <c r="AW204">
        <f>MIN(Y204/150, 1)*30</f>
        <v>15</v>
      </c>
      <c r="AX204">
        <f>MIN(K204/4000, 1)*20</f>
        <v>5.4</v>
      </c>
      <c r="AY204">
        <f>MIN(W204/400,1)*20</f>
        <v>6.5</v>
      </c>
      <c r="AZ204" s="4">
        <v>1</v>
      </c>
      <c r="BA204">
        <f>((MAX($J204,1)*MIN($AE204/300,1)))*IF(D204="Wagon",50,10)</f>
        <v>7.6</v>
      </c>
      <c r="BB204">
        <f>VLOOKUP($E204,Constants!$I:$K, 2, FALSE)</f>
        <v>0.85</v>
      </c>
      <c r="BC204">
        <f>VLOOKUP($E204,Constants!$I:$K, 3, FALSE)*IF(AND(D204="multiple_unit",Y204&lt;110),0.75,1)</f>
        <v>1.7249999999999999</v>
      </c>
      <c r="BD204">
        <f>INT(POWER(((Constants!$G$2+$AW204+$AX204+$AY204+$BA204)*$AZ204)*$BC204, 1.05))+$AV204</f>
        <v>64</v>
      </c>
      <c r="BE204">
        <f>INT(POWER((((Constants!$G$1+$AW204+$AX204+$AY204+$BA204)*(1/$AZ204))*$BB204),IF($D204="wagon",1,1.2)))+$AU204</f>
        <v>78</v>
      </c>
      <c r="BF204" s="15">
        <f>BD204*IF($D204="wagon",62.5,781.25)</f>
        <v>50000</v>
      </c>
      <c r="BG204" s="15">
        <f>BE204*IF($D204="wagon",2.73,81.25)</f>
        <v>6337.5</v>
      </c>
      <c r="BP204">
        <v>6</v>
      </c>
      <c r="BQ204">
        <v>185</v>
      </c>
      <c r="BS204" t="s">
        <v>323</v>
      </c>
      <c r="BT204" t="str">
        <f>VLOOKUP(G204,Eras!$A$2:$C$10, 2, TRUE)</f>
        <v>dsl</v>
      </c>
      <c r="BU204" t="s">
        <v>372</v>
      </c>
      <c r="BV204" t="str">
        <f>CONCATENATE(BT204,"_",BU204)</f>
        <v>dsl_DMU (Express)</v>
      </c>
      <c r="BW204" t="str">
        <f>IF(AND(BI204&lt;&gt;Y204,BI204&lt;&gt;""),_xlfn.CONCAT("{BLACK}","Tare speed: ","{GOLD}{VELOCITY}{}"), "")</f>
        <v/>
      </c>
      <c r="BX204" t="str">
        <f>_xlfn.CONCAT(E204, "_",F204)</f>
        <v>electric_ELRL</v>
      </c>
      <c r="BY204" t="str">
        <f>VLOOKUP($BX204, Constants!$M:$N, 2, FALSE)</f>
        <v>{BLACK}Powered by: {GOLD}25kV AC</v>
      </c>
      <c r="BZ204" t="str">
        <f>IF(J204&gt;1,_xlfn.CONCAT("{BLACK}Cars: {GOLD}", J204),"")</f>
        <v>{BLACK}Cars: {GOLD}4</v>
      </c>
      <c r="CA204" t="s">
        <v>667</v>
      </c>
      <c r="CB204" t="str">
        <f>IF(BS204="BRAKE","{YELLOW}Speed bonus for slow wagons{}",IF(BQ204&gt;190,CONCATENATE("{YELLOW}",INT((BQ204-185)/1.85),"% Bonus for long distance travel{}"),IF(AND(BQ204&lt;180,BQ204&lt;&gt;0),CONCATENATE("{YELLOW}",INT((185-BQ204)/1.85),"% Penalty for long distance travel{}"),"")))</f>
        <v/>
      </c>
      <c r="CC204" t="str">
        <f>_xlfn.CONCAT(BW204,BY204,IF(BY204 &lt;&gt; "", " ", ""),BZ204,IF(OR(BZ204&lt;&gt;"", BY204&lt;&gt;""), "{}",""), CB204,"{SILVER}", CA204)</f>
        <v>{BLACK}Powered by: {GOLD}25kV AC {BLACK}Cars: {GOLD}4{}{SILVER}The AM10 was the first EMU to be based on the Mk2 carriage bodyshell. They were introduced as part of the West Coast Main Line electrification.</v>
      </c>
    </row>
    <row r="205" spans="1:81" x14ac:dyDescent="0.25">
      <c r="A205" t="s">
        <v>89</v>
      </c>
      <c r="B205" t="s">
        <v>215</v>
      </c>
      <c r="C205">
        <v>446</v>
      </c>
      <c r="D205" t="s">
        <v>444</v>
      </c>
      <c r="E205" t="s">
        <v>596</v>
      </c>
      <c r="F205" t="s">
        <v>595</v>
      </c>
      <c r="G205">
        <v>1976</v>
      </c>
      <c r="H205">
        <v>1977</v>
      </c>
      <c r="J205">
        <v>3</v>
      </c>
      <c r="K205">
        <v>880</v>
      </c>
      <c r="T205">
        <v>104.5</v>
      </c>
      <c r="V205">
        <f>8*3</f>
        <v>24</v>
      </c>
      <c r="W205">
        <v>140</v>
      </c>
      <c r="X205" s="4">
        <f>IF(AND(T205&gt;0,W205&gt;0),(W205/((T205+U205)*10)),"")</f>
        <v>0.13397129186602871</v>
      </c>
      <c r="Y205">
        <v>75</v>
      </c>
      <c r="AA205">
        <v>20.329999999999998</v>
      </c>
      <c r="AB205">
        <v>20.329999999999998</v>
      </c>
      <c r="AD205">
        <v>3.58</v>
      </c>
      <c r="AE205" s="11">
        <v>75</v>
      </c>
      <c r="AF205" t="str">
        <f>CONCATENATE(VLOOKUP(AG205, 'Voxel Sizes'!$A$2:$B$18,2,FALSE),"x",INT(AC205*15), "x", INT(AD205*15))</f>
        <v>198x0x53</v>
      </c>
      <c r="AG205">
        <f>ROUND(15*((AB205*10)/256),0)</f>
        <v>12</v>
      </c>
      <c r="AI205" t="str">
        <f>CONCATENATE(VLOOKUP(AG205,Constants!$A$2:$C$16,IF(AH205&lt;&gt;"", 3, 2), FALSE),IF(AH205&lt;&gt;"",CONCATENATE(",",VLOOKUP(AH205,$B:$AI,34,FALSE)),""))</f>
        <v>4,4,4</v>
      </c>
      <c r="AM205" t="s">
        <v>593</v>
      </c>
      <c r="AN205" t="s">
        <v>598</v>
      </c>
      <c r="AO205" t="s">
        <v>332</v>
      </c>
      <c r="AS205">
        <v>35</v>
      </c>
      <c r="AT205" t="str">
        <f>IF(I205&lt;&gt;"",MAX(8,(I205-G205)-4),"")</f>
        <v/>
      </c>
      <c r="AU205">
        <v>-10</v>
      </c>
      <c r="AV205">
        <v>-20</v>
      </c>
      <c r="AW205">
        <f>MIN(Y205/150, 1)*30</f>
        <v>15</v>
      </c>
      <c r="AX205">
        <f>MIN(K205/4000, 1)*20</f>
        <v>4.4000000000000004</v>
      </c>
      <c r="AY205">
        <f>MIN(W205/400,1)*20</f>
        <v>7</v>
      </c>
      <c r="AZ205" s="4">
        <v>1</v>
      </c>
      <c r="BA205">
        <f>((MAX($J205,1)*MIN($AE205/300,1)))*IF(D205="Wagon",50,10)</f>
        <v>7.5</v>
      </c>
      <c r="BB205">
        <f>VLOOKUP($E205,Constants!$I:$K, 2, FALSE)</f>
        <v>0.85</v>
      </c>
      <c r="BC205">
        <f>VLOOKUP($E205,Constants!$I:$K, 3, FALSE)*IF(AND(D205="multiple_unit",Y205&lt;110),0.75,1)</f>
        <v>1.7999999999999998</v>
      </c>
      <c r="BD205">
        <f>INT(POWER(((Constants!$G$2+$AW205+$AX205+$AY205+$BA205)*$AZ205)*$BC205, 1.05))+$AV205</f>
        <v>66</v>
      </c>
      <c r="BE205">
        <f>INT(POWER((((Constants!$G$1+$AW205+$AX205+$AY205+$BA205)*(1/$AZ205))*$BB205),IF($D205="wagon",1,1.2)))+$AU205</f>
        <v>77</v>
      </c>
      <c r="BF205" s="15">
        <f>BD205*IF($D205="wagon",62.5,781.25)</f>
        <v>51562.5</v>
      </c>
      <c r="BG205" s="15">
        <f>BE205*IF($D205="wagon",2.73,81.25)</f>
        <v>6256.25</v>
      </c>
      <c r="BP205">
        <v>7</v>
      </c>
      <c r="BQ205">
        <v>185</v>
      </c>
      <c r="BS205" t="s">
        <v>323</v>
      </c>
      <c r="BT205" t="str">
        <f>VLOOKUP(G205,Eras!$A$2:$C$10, 2, TRUE)</f>
        <v>lbr</v>
      </c>
      <c r="BU205" t="s">
        <v>373</v>
      </c>
      <c r="BV205" t="str">
        <f>CONCATENATE(BT205,"_",BU205)</f>
        <v>lbr_EMU</v>
      </c>
      <c r="BW205" t="str">
        <f>IF(AND(BI205&lt;&gt;Y205,BI205&lt;&gt;""),_xlfn.CONCAT("{BLACK}","Tare speed: ","{GOLD}{VELOCITY}{}"), "")</f>
        <v/>
      </c>
      <c r="BX205" t="str">
        <f>_xlfn.CONCAT(E205, "_",F205)</f>
        <v>dual_electric_DUAL_POWER</v>
      </c>
      <c r="BY205" t="str">
        <f>VLOOKUP($BX205, Constants!$M:$N, 2, FALSE)</f>
        <v>{BLACK}Powered by: {GOLD}25kV AC / 750V DC</v>
      </c>
      <c r="BZ205" t="str">
        <f>IF(J205&gt;1,_xlfn.CONCAT("{BLACK}Cars: {GOLD}", J205),"")</f>
        <v>{BLACK}Cars: {GOLD}3</v>
      </c>
      <c r="CA205" t="s">
        <v>594</v>
      </c>
      <c r="CB205" t="str">
        <f>IF(BS205="BRAKE","{YELLOW}Speed bonus for slow wagons{}",IF(BQ205&gt;190,CONCATENATE("{YELLOW}",INT((BQ205-185)/1.85),"% Bonus for long distance travel{}"),IF(AND(BQ205&lt;180,BQ205&lt;&gt;0),CONCATENATE("{YELLOW}",INT((185-BQ205)/1.85),"% Penalty for long distance travel{}"),"")))</f>
        <v/>
      </c>
      <c r="CC205" t="str">
        <f>_xlfn.CONCAT(BW205,BY205,IF(BY205 &lt;&gt; "", " ", ""),BZ205,IF(OR(BZ205&lt;&gt;"", BY205&lt;&gt;""), "{}",""), CB205,"{SILVER}", CA205)</f>
        <v>{BLACK}Powered by: {GOLD}25kV AC / 750V DC {BLACK}Cars: {GOLD}3{}{SILVER}The Class 313 is a dual voltage EMU capable of running both on overhead electrified lines and third rail systems.</v>
      </c>
    </row>
    <row r="206" spans="1:81" x14ac:dyDescent="0.25">
      <c r="A206" t="s">
        <v>716</v>
      </c>
      <c r="B206" t="s">
        <v>717</v>
      </c>
      <c r="C206">
        <v>448</v>
      </c>
      <c r="D206" t="s">
        <v>444</v>
      </c>
      <c r="E206" t="s">
        <v>336</v>
      </c>
      <c r="F206" t="s">
        <v>337</v>
      </c>
      <c r="G206">
        <v>1979</v>
      </c>
      <c r="H206">
        <v>1986</v>
      </c>
      <c r="I206">
        <v>1988</v>
      </c>
      <c r="J206">
        <v>14</v>
      </c>
      <c r="K206">
        <v>8000</v>
      </c>
      <c r="T206">
        <v>434</v>
      </c>
      <c r="V206">
        <v>35</v>
      </c>
      <c r="W206">
        <v>210</v>
      </c>
      <c r="X206" s="4">
        <f>IF(AND(T206&gt;0,W206&gt;0),(W206/((T206+U206)*10)),"")</f>
        <v>4.8387096774193547E-2</v>
      </c>
      <c r="Y206">
        <v>155</v>
      </c>
      <c r="AA206">
        <v>20.9</v>
      </c>
      <c r="AB206">
        <v>20.9</v>
      </c>
      <c r="AC206">
        <v>2.7</v>
      </c>
      <c r="AD206">
        <v>3.5</v>
      </c>
      <c r="AE206" s="11">
        <v>39</v>
      </c>
      <c r="AF206" t="str">
        <f>CONCATENATE(VLOOKUP(AG206, 'Voxel Sizes'!$A$2:$B$18,2,FALSE),"x",INT(AC206*15), "x", INT(AD206*15))</f>
        <v>198x40x52</v>
      </c>
      <c r="AG206">
        <f>ROUND(15*((AB206*10)/256),0)</f>
        <v>12</v>
      </c>
      <c r="AI206" t="str">
        <f>CONCATENATE(VLOOKUP(AG206,Constants!$A$2:$C$16,IF(AH206&lt;&gt;"", 3, 2), FALSE),IF(AH206&lt;&gt;"",CONCATENATE(",",VLOOKUP(AH206,$B:$AI,34,FALSE)),""))</f>
        <v>4,4,4</v>
      </c>
      <c r="AM206" t="s">
        <v>719</v>
      </c>
      <c r="AO206" t="s">
        <v>726</v>
      </c>
      <c r="AS206">
        <v>12</v>
      </c>
      <c r="AT206">
        <f>IF(I206&lt;&gt;"",MAX(8,(I206-G206)-4),"")</f>
        <v>8</v>
      </c>
      <c r="AW206">
        <f>MIN(Y206/150, 1)*30</f>
        <v>30</v>
      </c>
      <c r="AX206">
        <f>MIN(K206/4000, 1)*20</f>
        <v>20</v>
      </c>
      <c r="AY206">
        <f>MIN(W206/400,1)*20</f>
        <v>10.5</v>
      </c>
      <c r="AZ206" s="4">
        <v>1</v>
      </c>
      <c r="BA206">
        <f>((MAX($J206,1)*MIN($AE206/300,1)))*IF(D206="Wagon",50,10)</f>
        <v>18.2</v>
      </c>
      <c r="BB206">
        <f>VLOOKUP($E206,Constants!$I:$K, 2, FALSE)</f>
        <v>0.85</v>
      </c>
      <c r="BC206">
        <f>VLOOKUP($E206,Constants!$I:$K, 3, FALSE)*IF(AND(D206="multiple_unit",Y206&lt;110),0.75,1)</f>
        <v>2.2999999999999998</v>
      </c>
      <c r="BD206">
        <f>INT(POWER(((Constants!$G$2+$AW206+$AX206+$AY206+$BA206)*$AZ206)*$BC206, 1.05))+$AV206</f>
        <v>250</v>
      </c>
      <c r="BE206">
        <f>INT(POWER((((Constants!$G$1+$AW206+$AX206+$AY206+$BA206)*(1/$AZ206))*$BB206),IF($D206="wagon",1,1.2)))+$AU206</f>
        <v>191</v>
      </c>
      <c r="BF206" s="15">
        <f>BD206*IF($D206="wagon",62.5,781.25)</f>
        <v>195312.5</v>
      </c>
      <c r="BG206" s="15">
        <f>BE206*IF($D206="wagon",2.73,81.25)</f>
        <v>15518.75</v>
      </c>
      <c r="BL206">
        <v>1</v>
      </c>
      <c r="BO206" t="s">
        <v>1208</v>
      </c>
      <c r="BP206">
        <v>8</v>
      </c>
      <c r="BQ206">
        <v>222</v>
      </c>
      <c r="BS206" t="s">
        <v>323</v>
      </c>
      <c r="BT206" t="str">
        <f>VLOOKUP(G206,Eras!$A$2:$C$10, 2, TRUE)</f>
        <v>lbr</v>
      </c>
      <c r="BU206" t="s">
        <v>374</v>
      </c>
      <c r="BV206" t="str">
        <f>CONCATENATE(BT206,"_",BU206)</f>
        <v>lbr_EMU (Express)</v>
      </c>
      <c r="BW206" t="str">
        <f>IF(AND(BI206&lt;&gt;Y206,BI206&lt;&gt;""),_xlfn.CONCAT("{BLACK}","Tare speed: ","{GOLD}{VELOCITY}{}"), "")</f>
        <v/>
      </c>
      <c r="BX206" t="str">
        <f>_xlfn.CONCAT(E206, "_",F206)</f>
        <v>electric_ELRL</v>
      </c>
      <c r="BY206" t="str">
        <f>VLOOKUP($BX206, Constants!$M:$N, 2, FALSE)</f>
        <v>{BLACK}Powered by: {GOLD}25kV AC</v>
      </c>
      <c r="BZ206" t="str">
        <f>IF(J206&gt;1,_xlfn.CONCAT("{BLACK}Cars: {GOLD}", J206),"")</f>
        <v>{BLACK}Cars: {GOLD}14</v>
      </c>
      <c r="CA206" t="s">
        <v>718</v>
      </c>
      <c r="CB206" t="str">
        <f>IF(BS206="BRAKE","{YELLOW}Speed bonus for slow wagons{}",IF(BQ206&gt;190,CONCATENATE("{YELLOW}",INT((BQ206-185)/1.85),"% Bonus for long distance travel{}"),IF(AND(BQ206&lt;180,BQ206&lt;&gt;0),CONCATENATE("{YELLOW}",INT((185-BQ206)/1.85),"% Penalty for long distance travel{}"),"")))</f>
        <v>{YELLOW}20% Bonus for long distance travel{}</v>
      </c>
      <c r="CC206" t="str">
        <f>_xlfn.CONCAT(BW206,BY206,IF(BY206 &lt;&gt; "", " ", ""),BZ206,IF(OR(BZ206&lt;&gt;"", BY206&lt;&gt;""), "{}",""), CB206,"{SILVER}", CA206)</f>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1185</v>
      </c>
      <c r="C207">
        <v>449</v>
      </c>
      <c r="D207" t="s">
        <v>444</v>
      </c>
      <c r="E207" t="s">
        <v>336</v>
      </c>
      <c r="F207" t="s">
        <v>337</v>
      </c>
      <c r="G207">
        <v>1979</v>
      </c>
      <c r="H207">
        <v>1986</v>
      </c>
      <c r="I207">
        <v>1988</v>
      </c>
      <c r="J207">
        <v>8</v>
      </c>
      <c r="K207">
        <v>8000</v>
      </c>
      <c r="T207">
        <f>(434/14)*8</f>
        <v>248</v>
      </c>
      <c r="V207">
        <v>30</v>
      </c>
      <c r="W207">
        <v>210</v>
      </c>
      <c r="X207" s="4">
        <f>IF(AND(T207&gt;0,W207&gt;0),(W207/((T207+U207)*10)),"")</f>
        <v>8.4677419354838704E-2</v>
      </c>
      <c r="Y207">
        <v>155</v>
      </c>
      <c r="AA207">
        <v>20.9</v>
      </c>
      <c r="AB207">
        <v>20.9</v>
      </c>
      <c r="AC207">
        <v>2.7</v>
      </c>
      <c r="AD207">
        <v>3.5</v>
      </c>
      <c r="AE207" s="11">
        <v>39</v>
      </c>
      <c r="AF207" t="str">
        <f>CONCATENATE(VLOOKUP(AG207, 'Voxel Sizes'!$A$2:$B$18,2,FALSE),"x",INT(AC207*15), "x", INT(AD207*15))</f>
        <v>198x40x52</v>
      </c>
      <c r="AG207">
        <f>ROUND(15*((AB207*10)/256),0)</f>
        <v>12</v>
      </c>
      <c r="AI207" t="str">
        <f>CONCATENATE(VLOOKUP(AG207,Constants!$A$2:$C$16,IF(AH207&lt;&gt;"", 3, 2), FALSE),IF(AH207&lt;&gt;"",CONCATENATE(",",VLOOKUP(AH207,$B:$AI,34,FALSE)),""))</f>
        <v>4,4,4</v>
      </c>
      <c r="AM207" t="s">
        <v>1199</v>
      </c>
      <c r="AO207" t="s">
        <v>747</v>
      </c>
      <c r="AP207" t="s">
        <v>717</v>
      </c>
      <c r="AS207">
        <v>12</v>
      </c>
      <c r="AT207">
        <f>IF(I207&lt;&gt;"",MAX(8,(I207-G207)-4),"")</f>
        <v>8</v>
      </c>
      <c r="AW207">
        <f>MIN(Y207/150, 1)*30</f>
        <v>30</v>
      </c>
      <c r="AX207">
        <f>MIN(K207/4000, 1)*20</f>
        <v>20</v>
      </c>
      <c r="AY207">
        <f>MIN(W207/400,1)*20</f>
        <v>10.5</v>
      </c>
      <c r="AZ207" s="4">
        <v>1</v>
      </c>
      <c r="BA207">
        <f>((MAX($J207,1)*MIN($AE207/300,1)))*IF(D207="Wagon",50,10)</f>
        <v>10.4</v>
      </c>
      <c r="BB207">
        <f>VLOOKUP($E207,Constants!$I:$K, 2, FALSE)</f>
        <v>0.85</v>
      </c>
      <c r="BC207">
        <f>VLOOKUP($E207,Constants!$I:$K, 3, FALSE)*IF(AND(D207="multiple_unit",Y207&lt;110),0.75,1)</f>
        <v>2.2999999999999998</v>
      </c>
      <c r="BD207">
        <f>INT(POWER(((Constants!$G$2+$AW207+$AX207+$AY207+$BA207)*$AZ207)*$BC207, 1.05))+$AV207</f>
        <v>225</v>
      </c>
      <c r="BE207">
        <f>INT(POWER((((Constants!$G$1+$AW207+$AX207+$AY207+$BA207)*(1/$AZ207))*$BB207),IF($D207="wagon",1,1.2)))+$AU207</f>
        <v>172</v>
      </c>
      <c r="BF207" s="15">
        <f>BD207*IF($D207="wagon",62.5,781.25)</f>
        <v>175781.25</v>
      </c>
      <c r="BG207" s="15">
        <f>BE207*IF($D207="wagon",2.73,81.25)</f>
        <v>13975</v>
      </c>
      <c r="BL207">
        <v>1</v>
      </c>
      <c r="BO207" t="s">
        <v>1207</v>
      </c>
      <c r="BP207">
        <v>8</v>
      </c>
      <c r="BQ207">
        <v>222</v>
      </c>
      <c r="BS207" t="s">
        <v>323</v>
      </c>
      <c r="BT207" t="str">
        <f>VLOOKUP(G207,Eras!$A$2:$C$10, 2, TRUE)</f>
        <v>lbr</v>
      </c>
      <c r="BU207" t="s">
        <v>374</v>
      </c>
      <c r="BV207" t="str">
        <f>CONCATENATE(BT207,"_",BU207)</f>
        <v>lbr_EMU (Express)</v>
      </c>
      <c r="BW207" t="str">
        <f>IF(AND(BI207&lt;&gt;Y207,BI207&lt;&gt;""),_xlfn.CONCAT("{BLACK}","Tare speed: ","{GOLD}{VELOCITY}{}"), "")</f>
        <v/>
      </c>
      <c r="BX207" t="str">
        <f>_xlfn.CONCAT(E207, "_",F207)</f>
        <v>electric_ELRL</v>
      </c>
      <c r="BY207" t="str">
        <f>VLOOKUP($BX207, Constants!$M:$N, 2, FALSE)</f>
        <v>{BLACK}Powered by: {GOLD}25kV AC</v>
      </c>
      <c r="BZ207" t="str">
        <f>IF(J207&gt;1,_xlfn.CONCAT("{BLACK}Cars: {GOLD}", J207),"")</f>
        <v>{BLACK}Cars: {GOLD}8</v>
      </c>
      <c r="CA207" t="s">
        <v>718</v>
      </c>
      <c r="CB207" t="str">
        <f>IF(BS207="BRAKE","{YELLOW}Speed bonus for slow wagons{}",IF(BQ207&gt;190,CONCATENATE("{YELLOW}",INT((BQ207-185)/1.85),"% Bonus for long distance travel{}"),IF(AND(BQ207&lt;180,BQ207&lt;&gt;0),CONCATENATE("{YELLOW}",INT((185-BQ207)/1.85),"% Penalty for long distance travel{}"),"")))</f>
        <v>{YELLOW}20% Bonus for long distance travel{}</v>
      </c>
      <c r="CC207" t="str">
        <f>_xlfn.CONCAT(BW207,BY207,IF(BY207 &lt;&gt; "", " ", ""),BZ207,IF(OR(BZ207&lt;&gt;"", BY207&lt;&gt;""), "{}",""), CB207,"{SILVER}", CA207)</f>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716</v>
      </c>
      <c r="B208" t="s">
        <v>1200</v>
      </c>
      <c r="C208">
        <v>450</v>
      </c>
      <c r="D208" t="s">
        <v>444</v>
      </c>
      <c r="E208" t="s">
        <v>336</v>
      </c>
      <c r="F208" t="s">
        <v>337</v>
      </c>
      <c r="G208">
        <v>1979</v>
      </c>
      <c r="H208">
        <v>1986</v>
      </c>
      <c r="I208">
        <v>1988</v>
      </c>
      <c r="J208">
        <v>5</v>
      </c>
      <c r="K208">
        <v>8000</v>
      </c>
      <c r="T208">
        <f>(434/14)*5</f>
        <v>155</v>
      </c>
      <c r="V208">
        <v>18</v>
      </c>
      <c r="W208">
        <v>210</v>
      </c>
      <c r="X208" s="4">
        <f>IF(AND(T208&gt;0,W208&gt;0),(W208/((T208+U208)*10)),"")</f>
        <v>0.13548387096774195</v>
      </c>
      <c r="Y208">
        <v>155</v>
      </c>
      <c r="AA208">
        <v>20.9</v>
      </c>
      <c r="AB208">
        <v>20.9</v>
      </c>
      <c r="AC208">
        <v>2.7</v>
      </c>
      <c r="AD208">
        <v>3.5</v>
      </c>
      <c r="AE208" s="11">
        <v>39</v>
      </c>
      <c r="AF208" t="str">
        <f>CONCATENATE(VLOOKUP(AG208, 'Voxel Sizes'!$A$2:$B$18,2,FALSE),"x",INT(AC208*15), "x", INT(AD208*15))</f>
        <v>198x40x52</v>
      </c>
      <c r="AG208">
        <f>ROUND(15*((AB208*10)/256),0)</f>
        <v>12</v>
      </c>
      <c r="AI208" t="str">
        <f>CONCATENATE(VLOOKUP(AG208,Constants!$A$2:$C$16,IF(AH208&lt;&gt;"", 3, 2), FALSE),IF(AH208&lt;&gt;"",CONCATENATE(",",VLOOKUP(AH208,$B:$AI,34,FALSE)),""))</f>
        <v>4,4,4</v>
      </c>
      <c r="AM208" t="s">
        <v>1205</v>
      </c>
      <c r="AO208" t="s">
        <v>711</v>
      </c>
      <c r="AP208" t="s">
        <v>717</v>
      </c>
      <c r="AS208">
        <v>12</v>
      </c>
      <c r="AT208">
        <f>IF(I208&lt;&gt;"",MAX(8,(I208-G208)-4),"")</f>
        <v>8</v>
      </c>
      <c r="AW208">
        <f>MIN(Y208/150, 1)*30</f>
        <v>30</v>
      </c>
      <c r="AX208">
        <f>MIN(K208/4000, 1)*20</f>
        <v>20</v>
      </c>
      <c r="AY208">
        <f>MIN(W208/400,1)*20</f>
        <v>10.5</v>
      </c>
      <c r="AZ208" s="4">
        <v>1</v>
      </c>
      <c r="BA208">
        <f>((MAX($J208,1)*MIN($AE208/300,1)))*IF(D208="Wagon",50,10)</f>
        <v>6.5</v>
      </c>
      <c r="BB208">
        <f>VLOOKUP($E208,Constants!$I:$K, 2, FALSE)</f>
        <v>0.85</v>
      </c>
      <c r="BC208">
        <f>VLOOKUP($E208,Constants!$I:$K, 3, FALSE)*IF(AND(D208="multiple_unit",Y208&lt;110),0.75,1)</f>
        <v>2.2999999999999998</v>
      </c>
      <c r="BD208">
        <f>INT(POWER(((Constants!$G$2+$AW208+$AX208+$AY208+$BA208)*$AZ208)*$BC208, 1.05))+$AV208</f>
        <v>213</v>
      </c>
      <c r="BE208">
        <f>INT(POWER((((Constants!$G$1+$AW208+$AX208+$AY208+$BA208)*(1/$AZ208))*$BB208),IF($D208="wagon",1,1.2)))+$AU208</f>
        <v>162</v>
      </c>
      <c r="BF208" s="15">
        <f>BD208*IF($D208="wagon",62.5,781.25)</f>
        <v>166406.25</v>
      </c>
      <c r="BG208" s="15">
        <f>BE208*IF($D208="wagon",2.73,81.25)</f>
        <v>13162.5</v>
      </c>
      <c r="BL208">
        <v>1</v>
      </c>
      <c r="BO208" t="s">
        <v>1206</v>
      </c>
      <c r="BP208">
        <v>8</v>
      </c>
      <c r="BQ208">
        <v>222</v>
      </c>
      <c r="BS208" t="s">
        <v>323</v>
      </c>
      <c r="BT208" t="str">
        <f>VLOOKUP(G208,Eras!$A$2:$C$10, 2, TRUE)</f>
        <v>lbr</v>
      </c>
      <c r="BU208" t="s">
        <v>374</v>
      </c>
      <c r="BV208" t="str">
        <f>CONCATENATE(BT208,"_",BU208)</f>
        <v>lbr_EMU (Express)</v>
      </c>
      <c r="BW208" t="str">
        <f>IF(AND(BI208&lt;&gt;Y208,BI208&lt;&gt;""),_xlfn.CONCAT("{BLACK}","Tare speed: ","{GOLD}{VELOCITY}{}"), "")</f>
        <v/>
      </c>
      <c r="BX208" t="str">
        <f>_xlfn.CONCAT(E208, "_",F208)</f>
        <v>electric_ELRL</v>
      </c>
      <c r="BY208" t="str">
        <f>VLOOKUP($BX208, Constants!$M:$N, 2, FALSE)</f>
        <v>{BLACK}Powered by: {GOLD}25kV AC</v>
      </c>
      <c r="BZ208" t="str">
        <f>IF(J208&gt;1,_xlfn.CONCAT("{BLACK}Cars: {GOLD}", J208),"")</f>
        <v>{BLACK}Cars: {GOLD}5</v>
      </c>
      <c r="CA208" t="s">
        <v>718</v>
      </c>
      <c r="CB208" t="str">
        <f>IF(BS208="BRAKE","{YELLOW}Speed bonus for slow wagons{}",IF(BQ208&gt;190,CONCATENATE("{YELLOW}",INT((BQ208-185)/1.85),"% Bonus for long distance travel{}"),IF(AND(BQ208&lt;180,BQ208&lt;&gt;0),CONCATENATE("{YELLOW}",INT((185-BQ208)/1.85),"% Penalty for long distance travel{}"),"")))</f>
        <v>{YELLOW}20% Bonus for long distance travel{}</v>
      </c>
      <c r="CC208" t="str">
        <f>_xlfn.CONCAT(BW208,BY208,IF(BY208 &lt;&gt; "", " ", ""),BZ208,IF(OR(BZ208&lt;&gt;"", BY208&lt;&gt;""), "{}",""), CB208,"{SILVER}", CA208)</f>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9" spans="1:81" x14ac:dyDescent="0.25">
      <c r="A209" t="s">
        <v>88</v>
      </c>
      <c r="B209" t="s">
        <v>214</v>
      </c>
      <c r="C209">
        <v>452</v>
      </c>
      <c r="D209" t="s">
        <v>444</v>
      </c>
      <c r="E209" t="s">
        <v>336</v>
      </c>
      <c r="F209" t="s">
        <v>337</v>
      </c>
      <c r="G209">
        <v>1980</v>
      </c>
      <c r="H209">
        <v>1981</v>
      </c>
      <c r="J209">
        <v>4</v>
      </c>
      <c r="K209">
        <v>880</v>
      </c>
      <c r="T209">
        <v>127.5</v>
      </c>
      <c r="V209">
        <f>8*J209</f>
        <v>32</v>
      </c>
      <c r="W209">
        <v>140</v>
      </c>
      <c r="X209" s="4">
        <f>IF(AND(T209&gt;0,W209&gt;0),(W209/((T209+U209)*10)),"")</f>
        <v>0.10980392156862745</v>
      </c>
      <c r="Y209">
        <v>75</v>
      </c>
      <c r="AA209">
        <v>19.8</v>
      </c>
      <c r="AB209">
        <v>19.8</v>
      </c>
      <c r="AD209">
        <v>3.58</v>
      </c>
      <c r="AE209" s="11">
        <v>78</v>
      </c>
      <c r="AF209" t="str">
        <f>CONCATENATE(VLOOKUP(AG209, 'Voxel Sizes'!$A$2:$B$18,2,FALSE),"x",INT(AC209*15), "x", INT(AD209*15))</f>
        <v>198x0x53</v>
      </c>
      <c r="AG209">
        <f>ROUND(15*((AB209*10)/256),0)</f>
        <v>12</v>
      </c>
      <c r="AI209" t="str">
        <f>CONCATENATE(VLOOKUP(AG209,Constants!$A$2:$C$16,IF(AH209&lt;&gt;"", 3, 2), FALSE),IF(AH209&lt;&gt;"",CONCATENATE(",",VLOOKUP(AH209,$B:$AI,34,FALSE)),""))</f>
        <v>4,4,4</v>
      </c>
      <c r="AM209" t="s">
        <v>601</v>
      </c>
      <c r="AO209" t="s">
        <v>599</v>
      </c>
      <c r="AS209">
        <v>35</v>
      </c>
      <c r="AT209" t="str">
        <f>IF(I209&lt;&gt;"",MAX(8,(I209-G209)-4),"")</f>
        <v/>
      </c>
      <c r="AU209">
        <v>-10</v>
      </c>
      <c r="AV209">
        <v>-20</v>
      </c>
      <c r="AW209">
        <f>MIN(Y209/150, 1)*30</f>
        <v>15</v>
      </c>
      <c r="AX209">
        <f>MIN(K209/4000, 1)*20</f>
        <v>4.4000000000000004</v>
      </c>
      <c r="AY209">
        <f>MIN(W209/400,1)*20</f>
        <v>7</v>
      </c>
      <c r="AZ209" s="4">
        <v>1</v>
      </c>
      <c r="BA209">
        <f>((MAX($J209,1)*MIN($AE209/300,1)))*IF(D209="Wagon",50,10)</f>
        <v>10.4</v>
      </c>
      <c r="BB209">
        <f>VLOOKUP($E209,Constants!$I:$K, 2, FALSE)</f>
        <v>0.85</v>
      </c>
      <c r="BC209">
        <f>VLOOKUP($E209,Constants!$I:$K, 3, FALSE)*IF(AND(D209="multiple_unit",Y209&lt;110),0.75,1)</f>
        <v>1.7249999999999999</v>
      </c>
      <c r="BD209">
        <f>INT(POWER(((Constants!$G$2+$AW209+$AX209+$AY209+$BA209)*$AZ209)*$BC209, 1.05))+$AV209</f>
        <v>69</v>
      </c>
      <c r="BE209">
        <f>INT(POWER((((Constants!$G$1+$AW209+$AX209+$AY209+$BA209)*(1/$AZ209))*$BB209),IF($D209="wagon",1,1.2)))+$AU209</f>
        <v>83</v>
      </c>
      <c r="BF209" s="15">
        <f>BD209*IF($D209="wagon",62.5,781.25)</f>
        <v>53906.25</v>
      </c>
      <c r="BG209" s="15">
        <f>BE209*IF($D209="wagon",2.73,81.25)</f>
        <v>6743.75</v>
      </c>
      <c r="BP209">
        <v>11</v>
      </c>
      <c r="BQ209">
        <v>185</v>
      </c>
      <c r="BS209" t="s">
        <v>323</v>
      </c>
      <c r="BT209" t="str">
        <f>VLOOKUP(G209,Eras!$A$2:$C$10, 2, TRUE)</f>
        <v>lbr</v>
      </c>
      <c r="BU209" t="s">
        <v>373</v>
      </c>
      <c r="BV209" t="str">
        <f>CONCATENATE(BT209,"_",BU209)</f>
        <v>lbr_EMU</v>
      </c>
      <c r="BW209" t="str">
        <f>IF(AND(BI209&lt;&gt;Y209,BI209&lt;&gt;""),_xlfn.CONCAT("{BLACK}","Tare speed: ","{GOLD}{VELOCITY}{}"), "")</f>
        <v/>
      </c>
      <c r="BX209" t="str">
        <f>_xlfn.CONCAT(E209, "_",F209)</f>
        <v>electric_ELRL</v>
      </c>
      <c r="BY209" t="str">
        <f>VLOOKUP($BX209, Constants!$M:$N, 2, FALSE)</f>
        <v>{BLACK}Powered by: {GOLD}25kV AC</v>
      </c>
      <c r="BZ209" t="str">
        <f>IF(J209&gt;1,_xlfn.CONCAT("{BLACK}Cars: {GOLD}", J209),"")</f>
        <v>{BLACK}Cars: {GOLD}4</v>
      </c>
      <c r="CA209" t="s">
        <v>600</v>
      </c>
      <c r="CB209" t="str">
        <f>IF(BS209="BRAKE","{YELLOW}Speed bonus for slow wagons{}",IF(BQ209&gt;190,CONCATENATE("{YELLOW}",INT((BQ209-185)/1.85),"% Bonus for long distance travel{}"),IF(AND(BQ209&lt;180,BQ209&lt;&gt;0),CONCATENATE("{YELLOW}",INT((185-BQ209)/1.85),"% Penalty for long distance travel{}"),"")))</f>
        <v/>
      </c>
      <c r="CC209" t="str">
        <f>_xlfn.CONCAT(BW209,BY209,IF(BY209 &lt;&gt; "", " ", ""),BZ209,IF(OR(BZ209&lt;&gt;"", BY209&lt;&gt;""), "{}",""), CB209,"{SILVER}", CA209)</f>
        <v>{BLACK}Powered by: {GOLD}25kV AC {BLACK}Cars: {GOLD}4{}{SILVER}The Class 315 is the last class of the 1972 standard EMU design, running on 25kV overhead AC power and used for inner suburban services.</v>
      </c>
    </row>
    <row r="210" spans="1:81" x14ac:dyDescent="0.25">
      <c r="A210" t="s">
        <v>94</v>
      </c>
      <c r="B210" t="s">
        <v>216</v>
      </c>
      <c r="C210">
        <v>454</v>
      </c>
      <c r="D210" t="s">
        <v>444</v>
      </c>
      <c r="E210" t="s">
        <v>336</v>
      </c>
      <c r="F210" t="s">
        <v>343</v>
      </c>
      <c r="G210">
        <v>1982</v>
      </c>
      <c r="J210">
        <v>4</v>
      </c>
      <c r="K210">
        <v>992</v>
      </c>
      <c r="T210">
        <v>136</v>
      </c>
      <c r="V210">
        <f>8*J210</f>
        <v>32</v>
      </c>
      <c r="W210">
        <v>150</v>
      </c>
      <c r="X210" s="4">
        <f>IF(AND(T210&gt;0,W210&gt;0),(W210/((T210+U210)*10)),"")</f>
        <v>0.11029411764705882</v>
      </c>
      <c r="Y210">
        <v>75</v>
      </c>
      <c r="AA210">
        <v>19.8</v>
      </c>
      <c r="AB210">
        <v>19.8</v>
      </c>
      <c r="AE210" s="11">
        <v>78</v>
      </c>
      <c r="AF210" t="str">
        <f>CONCATENATE(VLOOKUP(AG210, 'Voxel Sizes'!$A$2:$B$18,2,FALSE),"x",INT(AC210*15), "x", INT(AD210*15))</f>
        <v>198x0x0</v>
      </c>
      <c r="AG210">
        <f>ROUND(15*((AB210*10)/256),0)</f>
        <v>12</v>
      </c>
      <c r="AI210" t="str">
        <f>CONCATENATE(VLOOKUP(AG210,Constants!$A$2:$C$16,IF(AH210&lt;&gt;"", 3, 2), FALSE),IF(AH210&lt;&gt;"",CONCATENATE(",",VLOOKUP(AH210,$B:$AI,34,FALSE)),""))</f>
        <v>4,4,4</v>
      </c>
      <c r="AM210" t="s">
        <v>652</v>
      </c>
      <c r="AO210" t="s">
        <v>506</v>
      </c>
      <c r="AS210">
        <v>35</v>
      </c>
      <c r="AT210" t="str">
        <f>IF(I210&lt;&gt;"",MAX(8,(I210-G210)-4),"")</f>
        <v/>
      </c>
      <c r="AU210">
        <v>-10</v>
      </c>
      <c r="AV210">
        <v>-20</v>
      </c>
      <c r="AW210">
        <f>MIN(Y210/150, 1)*30</f>
        <v>15</v>
      </c>
      <c r="AX210">
        <f>MIN(K210/4000, 1)*20</f>
        <v>4.96</v>
      </c>
      <c r="AY210">
        <f>MIN(W210/400,1)*20</f>
        <v>7.5</v>
      </c>
      <c r="AZ210" s="4">
        <v>1</v>
      </c>
      <c r="BA210">
        <f>((MAX($J210,1)*MIN($AE210/300,1)))*IF(D210="Wagon",50,10)</f>
        <v>10.4</v>
      </c>
      <c r="BB210">
        <f>VLOOKUP($E210,Constants!$I:$K, 2, FALSE)</f>
        <v>0.85</v>
      </c>
      <c r="BC210">
        <f>VLOOKUP($E210,Constants!$I:$K, 3, FALSE)*IF(AND(D210="multiple_unit",Y210&lt;110),0.75,1)</f>
        <v>1.7249999999999999</v>
      </c>
      <c r="BD210">
        <f>INT(POWER(((Constants!$G$2+$AW210+$AX210+$AY210+$BA210)*$AZ210)*$BC210, 1.05))+$AV210</f>
        <v>71</v>
      </c>
      <c r="BE210">
        <f>INT(POWER((((Constants!$G$1+$AW210+$AX210+$AY210+$BA210)*(1/$AZ210))*$BB210),IF($D210="wagon",1,1.2)))+$AU210</f>
        <v>86</v>
      </c>
      <c r="BF210" s="15">
        <f>BD210*IF($D210="wagon",62.5,781.25)</f>
        <v>55468.75</v>
      </c>
      <c r="BG210" s="15">
        <f>BE210*IF($D210="wagon",2.73,81.25)</f>
        <v>6987.5</v>
      </c>
      <c r="BM210" t="s">
        <v>217</v>
      </c>
      <c r="BP210">
        <v>12</v>
      </c>
      <c r="BQ210">
        <v>185</v>
      </c>
      <c r="BS210" t="s">
        <v>323</v>
      </c>
      <c r="BT210" t="str">
        <f>VLOOKUP(G210,Eras!$A$2:$C$10, 2, TRUE)</f>
        <v>lbr</v>
      </c>
      <c r="BU210" t="s">
        <v>373</v>
      </c>
      <c r="BV210" t="str">
        <f>CONCATENATE(BT210,"_",BU210)</f>
        <v>lbr_EMU</v>
      </c>
      <c r="BW210" t="str">
        <f>IF(AND(BI210&lt;&gt;Y210,BI210&lt;&gt;""),_xlfn.CONCAT("{BLACK}","Tare speed: ","{GOLD}{VELOCITY}{}"), "")</f>
        <v/>
      </c>
      <c r="BX210" t="str">
        <f>_xlfn.CONCAT(E210, "_",F210)</f>
        <v>electric_THIRD_RAIL</v>
      </c>
      <c r="BY210" t="str">
        <f>VLOOKUP($BX210, Constants!$M:$N, 2, FALSE)</f>
        <v>{BLACK}Powered by: {GOLD}750V DC</v>
      </c>
      <c r="BZ210" t="str">
        <f>IF(J210&gt;1,_xlfn.CONCAT("{BLACK}Cars: {GOLD}", J210),"")</f>
        <v>{BLACK}Cars: {GOLD}4</v>
      </c>
      <c r="CA210" t="s">
        <v>653</v>
      </c>
      <c r="CB210" t="str">
        <f>IF(BS210="BRAKE","{YELLOW}Speed bonus for slow wagons{}",IF(BQ210&gt;190,CONCATENATE("{YELLOW}",INT((BQ210-185)/1.85),"% Bonus for long distance travel{}"),IF(AND(BQ210&lt;180,BQ210&lt;&gt;0),CONCATENATE("{YELLOW}",INT((185-BQ210)/1.85),"% Penalty for long distance travel{}"),"")))</f>
        <v/>
      </c>
      <c r="CC210" t="str">
        <f>_xlfn.CONCAT(BW210,BY210,IF(BY210 &lt;&gt; "", " ", ""),BZ210,IF(OR(BZ210&lt;&gt;"", BY210&lt;&gt;""), "{}",""), CB210,"{SILVER}", CA210)</f>
        <v>{BLACK}Powered by: {GOLD}750V DC {BLACK}Cars: {GOLD}4{}{SILVER}The Class 455 is a DC third rail version of British Rail's second generation EMU design. Some units re-used existing carriages from the Class 508, recognisable by the different side profile.</v>
      </c>
    </row>
    <row r="211" spans="1:81" x14ac:dyDescent="0.25">
      <c r="A211" t="s">
        <v>98</v>
      </c>
      <c r="B211" t="s">
        <v>674</v>
      </c>
      <c r="C211">
        <v>456</v>
      </c>
      <c r="D211" t="s">
        <v>444</v>
      </c>
      <c r="E211" t="s">
        <v>312</v>
      </c>
      <c r="F211" t="s">
        <v>314</v>
      </c>
      <c r="G211">
        <v>1984</v>
      </c>
      <c r="H211">
        <v>1987</v>
      </c>
      <c r="J211">
        <v>2</v>
      </c>
      <c r="K211">
        <f>286*2</f>
        <v>572</v>
      </c>
      <c r="T211">
        <f>35.8*2</f>
        <v>71.599999999999994</v>
      </c>
      <c r="V211">
        <f>8*J211</f>
        <v>16</v>
      </c>
      <c r="W211">
        <v>110</v>
      </c>
      <c r="X211" s="4">
        <f>IF(AND(T211&gt;0,W211&gt;0),(W211/((T211+U211)*10)),"")</f>
        <v>0.15363128491620112</v>
      </c>
      <c r="Y211">
        <v>75</v>
      </c>
      <c r="AA211">
        <v>20</v>
      </c>
      <c r="AB211">
        <v>20</v>
      </c>
      <c r="AC211">
        <v>2.81</v>
      </c>
      <c r="AD211">
        <v>3.7</v>
      </c>
      <c r="AE211" s="11">
        <v>63</v>
      </c>
      <c r="AF211" t="str">
        <f>CONCATENATE(VLOOKUP(AG211, 'Voxel Sizes'!$A$2:$B$18,2,FALSE),"x",INT(AC211*15), "x", INT(AD211*15))</f>
        <v>198x42x55</v>
      </c>
      <c r="AG211">
        <f>ROUND(15*((AB211*10)/256),0)</f>
        <v>12</v>
      </c>
      <c r="AI211" t="str">
        <f>CONCATENATE(VLOOKUP(AG211,Constants!$A$2:$C$16,IF(AH211&lt;&gt;"", 3, 2), FALSE),IF(AH211&lt;&gt;"",CONCATENATE(",",VLOOKUP(AH211,$B:$AI,34,FALSE)),""))</f>
        <v>4,4,4</v>
      </c>
      <c r="AM211" t="s">
        <v>673</v>
      </c>
      <c r="AO211" t="s">
        <v>508</v>
      </c>
      <c r="AS211">
        <v>28</v>
      </c>
      <c r="AT211" t="str">
        <f>IF(I211&lt;&gt;"",MAX(8,(I211-G211)-4),"")</f>
        <v/>
      </c>
      <c r="AU211">
        <v>-10</v>
      </c>
      <c r="AV211">
        <v>-15</v>
      </c>
      <c r="AW211">
        <f>MIN(Y211/150, 1)*30</f>
        <v>15</v>
      </c>
      <c r="AX211">
        <f>MIN(K211/4000, 1)*20</f>
        <v>2.86</v>
      </c>
      <c r="AY211">
        <f>MIN(W211/400,1)*20</f>
        <v>5.5</v>
      </c>
      <c r="AZ211" s="4">
        <v>1</v>
      </c>
      <c r="BA211">
        <f>((MAX($J211,1)*MIN($AE211/300,1)))*IF(D211="Wagon",50,10)</f>
        <v>4.2</v>
      </c>
      <c r="BB211">
        <f>VLOOKUP($E211,Constants!$I:$K, 2, FALSE)</f>
        <v>1</v>
      </c>
      <c r="BC211">
        <f>VLOOKUP($E211,Constants!$I:$K, 3, FALSE)*IF(AND(D211="multiple_unit",Y211&lt;110),0.75,1)</f>
        <v>1.5</v>
      </c>
      <c r="BD211">
        <f>INT(POWER(((Constants!$G$2+$AW211+$AX211+$AY211+$BA211)*$AZ211)*$BC211, 1.05))+$AV211</f>
        <v>44</v>
      </c>
      <c r="BE211">
        <f>INT(POWER((((Constants!$G$1+$AW211+$AX211+$AY211+$BA211)*(1/$AZ211))*$BB211),IF($D211="wagon",1,1.2)))+$AU211</f>
        <v>80</v>
      </c>
      <c r="BF211" s="15">
        <f>BD211*IF($D211="wagon",62.5,781.25)</f>
        <v>34375</v>
      </c>
      <c r="BG211" s="15">
        <f>BE211*IF($D211="wagon",2.73,81.25)</f>
        <v>6500</v>
      </c>
      <c r="BM211" t="s">
        <v>1169</v>
      </c>
      <c r="BP211">
        <v>1</v>
      </c>
      <c r="BQ211">
        <v>185</v>
      </c>
      <c r="BS211" t="s">
        <v>323</v>
      </c>
      <c r="BT211" t="str">
        <f>VLOOKUP(G211,Eras!$A$2:$C$10, 2, TRUE)</f>
        <v>lbr</v>
      </c>
      <c r="BU211" t="s">
        <v>371</v>
      </c>
      <c r="BV211" t="str">
        <f>CONCATENATE(BT211,"_",BU211)</f>
        <v>lbr_DMU</v>
      </c>
      <c r="BW211" t="str">
        <f>IF(AND(BI211&lt;&gt;Y211,BI211&lt;&gt;""),_xlfn.CONCAT("{BLACK}","Tare speed: ","{GOLD}{VELOCITY}{}"), "")</f>
        <v/>
      </c>
      <c r="BX211" t="str">
        <f>_xlfn.CONCAT(E211, "_",F211)</f>
        <v>diesel_RAIL</v>
      </c>
      <c r="BY211" t="str">
        <f>VLOOKUP($BX211, Constants!$M:$N, 2, FALSE)</f>
        <v>{BLACK}Powered by: {GOLD}Diesel</v>
      </c>
      <c r="BZ211" t="str">
        <f>IF(J211&gt;1,_xlfn.CONCAT("{BLACK}Cars: {GOLD}", J211),"")</f>
        <v>{BLACK}Cars: {GOLD}2</v>
      </c>
      <c r="CA211" t="s">
        <v>672</v>
      </c>
      <c r="CB211" t="str">
        <f>IF(BS211="BRAKE","{YELLOW}Speed bonus for slow wagons{}",IF(BQ211&gt;190,CONCATENATE("{YELLOW}",INT((BQ211-185)/1.85),"% Bonus for long distance travel{}"),IF(AND(BQ211&lt;180,BQ211&lt;&gt;0),CONCATENATE("{YELLOW}",INT((185-BQ211)/1.85),"% Penalty for long distance travel{}"),"")))</f>
        <v/>
      </c>
      <c r="CC211" t="str">
        <f>_xlfn.CONCAT(BW211,BY211,IF(BY211 &lt;&gt; "", " ", ""),BZ211,IF(OR(BZ211&lt;&gt;"", BY211&lt;&gt;""), "{}",""), CB211,"{SILVER}", CA211)</f>
        <v>{BLACK}Powered by: {GOLD}Diesel {BLACK}Cars: {GOLD}2{}{SILVER}The Sprinter replaced first-generation DMUs. Like other second-generation units it was based on the Mark 3 bodyshell. The name refers to its faster acceleration compared to the units it replaced.</v>
      </c>
    </row>
    <row r="212" spans="1:81" x14ac:dyDescent="0.25">
      <c r="A212" t="s">
        <v>689</v>
      </c>
      <c r="B212" t="s">
        <v>264</v>
      </c>
      <c r="C212">
        <v>458</v>
      </c>
      <c r="D212" t="s">
        <v>444</v>
      </c>
      <c r="E212" t="s">
        <v>312</v>
      </c>
      <c r="F212" t="s">
        <v>314</v>
      </c>
      <c r="G212">
        <v>1984</v>
      </c>
      <c r="H212">
        <v>1988</v>
      </c>
      <c r="I212">
        <v>2005</v>
      </c>
      <c r="J212">
        <v>2</v>
      </c>
      <c r="K212">
        <v>205</v>
      </c>
      <c r="T212">
        <f>26+26.5</f>
        <v>52.5</v>
      </c>
      <c r="V212">
        <f>8*J212</f>
        <v>16</v>
      </c>
      <c r="W212">
        <v>70</v>
      </c>
      <c r="X212" s="4">
        <f>IF(AND(T212&gt;0,W212&gt;0),(W212/((T212+U212)*10)),"")</f>
        <v>0.13333333333333333</v>
      </c>
      <c r="Y212">
        <v>75</v>
      </c>
      <c r="AA212">
        <v>15.45</v>
      </c>
      <c r="AB212">
        <v>15.45</v>
      </c>
      <c r="AC212">
        <v>2.5</v>
      </c>
      <c r="AD212">
        <v>3.9</v>
      </c>
      <c r="AE212" s="11">
        <v>46</v>
      </c>
      <c r="AF212" t="str">
        <f>CONCATENATE(VLOOKUP(AG212, 'Voxel Sizes'!$A$2:$B$18,2,FALSE),"x",INT(AC212*15), "x", INT(AD212*15))</f>
        <v>152x37x58</v>
      </c>
      <c r="AG212">
        <f>ROUND(15*((AB212*10)/256),0)</f>
        <v>9</v>
      </c>
      <c r="AI212" t="str">
        <f>CONCATENATE(VLOOKUP(AG212,Constants!$A$2:$C$16,IF(AH212&lt;&gt;"", 3, 2), FALSE),IF(AH212&lt;&gt;"",CONCATENATE(",",VLOOKUP(AH212,$B:$AI,34,FALSE)),""))</f>
        <v>2,5,2</v>
      </c>
      <c r="AM212" t="s">
        <v>684</v>
      </c>
      <c r="AO212" t="s">
        <v>508</v>
      </c>
      <c r="AS212">
        <v>18</v>
      </c>
      <c r="AT212">
        <f>IF(I212&lt;&gt;"",MAX(8,(I212-G212)-4),"")</f>
        <v>17</v>
      </c>
      <c r="AU212">
        <v>-35</v>
      </c>
      <c r="AV212">
        <v>-20</v>
      </c>
      <c r="AW212">
        <f>MIN(Y212/150, 1)*30</f>
        <v>15</v>
      </c>
      <c r="AX212">
        <f>MIN(K212/4000, 1)*20</f>
        <v>1.0249999999999999</v>
      </c>
      <c r="AY212">
        <f>MIN(W212/400,1)*20</f>
        <v>3.5</v>
      </c>
      <c r="AZ212" s="4">
        <v>1</v>
      </c>
      <c r="BA212">
        <f>((MAX($J212,1)*MIN($AE212/300,1)))*IF(D212="Wagon",50,10)</f>
        <v>3.0666666666666664</v>
      </c>
      <c r="BB212">
        <f>VLOOKUP($E212,Constants!$I:$K, 2, FALSE)</f>
        <v>1</v>
      </c>
      <c r="BC212">
        <f>VLOOKUP($E212,Constants!$I:$K, 3, FALSE)*IF(AND(D212="multiple_unit",Y212&lt;110),0.75,1)</f>
        <v>1.5</v>
      </c>
      <c r="BD212">
        <f>INT(POWER(((Constants!$G$2+$AW212+$AX212+$AY212+$BA212)*$AZ212)*$BC212, 1.05))+$AV212</f>
        <v>29</v>
      </c>
      <c r="BE212">
        <f>INT(POWER((((Constants!$G$1+$AW212+$AX212+$AY212+$BA212)*(1/$AZ212))*$BB212),IF($D212="wagon",1,1.2)))+$AU212</f>
        <v>42</v>
      </c>
      <c r="BF212" s="15">
        <f>BD212*IF($D212="wagon",62.5,781.25)</f>
        <v>22656.25</v>
      </c>
      <c r="BG212" s="15">
        <f>BE212*IF($D212="wagon",2.73,81.25)</f>
        <v>3412.5</v>
      </c>
      <c r="BM212" t="s">
        <v>1170</v>
      </c>
      <c r="BP212">
        <v>2</v>
      </c>
      <c r="BQ212">
        <v>148</v>
      </c>
      <c r="BS212" t="s">
        <v>323</v>
      </c>
      <c r="BT212" t="str">
        <f>VLOOKUP(G212,Eras!$A$2:$C$10, 2, TRUE)</f>
        <v>lbr</v>
      </c>
      <c r="BU212" t="s">
        <v>370</v>
      </c>
      <c r="BV212" t="str">
        <f>CONCATENATE(BT212,"_",BU212)</f>
        <v>lbr_DMU (Cheap)</v>
      </c>
      <c r="BW212" t="str">
        <f>IF(AND(BI212&lt;&gt;Y212,BI212&lt;&gt;""),_xlfn.CONCAT("{BLACK}","Tare speed: ","{GOLD}{VELOCITY}{}"), "")</f>
        <v/>
      </c>
      <c r="BX212" t="str">
        <f>_xlfn.CONCAT(E212, "_",F212)</f>
        <v>diesel_RAIL</v>
      </c>
      <c r="BY212" t="str">
        <f>VLOOKUP($BX212, Constants!$M:$N, 2, FALSE)</f>
        <v>{BLACK}Powered by: {GOLD}Diesel</v>
      </c>
      <c r="BZ212" t="str">
        <f>IF(J212&gt;1,_xlfn.CONCAT("{BLACK}Cars: {GOLD}", J212),"")</f>
        <v>{BLACK}Cars: {GOLD}2</v>
      </c>
      <c r="CA212" t="s">
        <v>690</v>
      </c>
      <c r="CB212" t="str">
        <f>IF(BS212="BRAKE","{YELLOW}Speed bonus for slow wagons{}",IF(BQ212&gt;190,CONCATENATE("{YELLOW}",INT((BQ212-185)/1.85),"% Bonus for long distance travel{}"),IF(AND(BQ212&lt;180,BQ212&lt;&gt;0),CONCATENATE("{YELLOW}",INT((185-BQ212)/1.85),"% Penalty for long distance travel{}"),"")))</f>
        <v>{YELLOW}20% Penalty for long distance travel{}</v>
      </c>
      <c r="CC212" t="str">
        <f>_xlfn.CONCAT(BW212,BY212,IF(BY212 &lt;&gt; "", " ", ""),BZ212,IF(OR(BZ212&lt;&gt;"", BY212&lt;&gt;""), "{}",""), CB212,"{SILVER}", CA212)</f>
        <v>{BLACK}Powered by: {GOLD}Diesel {BLACK}Cars: {GOLD}2{}{YELLOW}20% Penalty for long distance travel{}{SILVER}The Class 141 is a multiple unit built from Leyland National bus parts. While cheap and light, it is criticised for its poor ride quality.</v>
      </c>
    </row>
    <row r="213" spans="1:81" x14ac:dyDescent="0.25">
      <c r="A213" t="s">
        <v>87</v>
      </c>
      <c r="B213" t="s">
        <v>213</v>
      </c>
      <c r="C213">
        <v>460</v>
      </c>
      <c r="D213" t="s">
        <v>444</v>
      </c>
      <c r="E213" t="s">
        <v>596</v>
      </c>
      <c r="F213" t="s">
        <v>595</v>
      </c>
      <c r="G213">
        <v>1987</v>
      </c>
      <c r="H213">
        <v>1990</v>
      </c>
      <c r="J213">
        <v>4</v>
      </c>
      <c r="K213">
        <f>4*332</f>
        <v>1328</v>
      </c>
      <c r="T213">
        <v>140.30000000000001</v>
      </c>
      <c r="V213">
        <f>8*J213</f>
        <v>32</v>
      </c>
      <c r="W213">
        <v>160</v>
      </c>
      <c r="X213" s="4">
        <f>IF(AND(T213&gt;0,W213&gt;0),(W213/((T213+U213)*10)),"")</f>
        <v>0.11404133998574484</v>
      </c>
      <c r="Y213">
        <v>100</v>
      </c>
      <c r="AA213">
        <v>19.829999999999998</v>
      </c>
      <c r="AB213">
        <v>19.829999999999998</v>
      </c>
      <c r="AD213">
        <v>3.58</v>
      </c>
      <c r="AE213" s="11">
        <v>78</v>
      </c>
      <c r="AF213" t="str">
        <f>CONCATENATE(VLOOKUP(AG213, 'Voxel Sizes'!$A$2:$B$18,2,FALSE),"x",INT(AC213*15), "x", INT(AD213*15))</f>
        <v>198x0x53</v>
      </c>
      <c r="AG213">
        <f>ROUND(15*((AB213*10)/256),0)</f>
        <v>12</v>
      </c>
      <c r="AI213" t="str">
        <f>CONCATENATE(VLOOKUP(AG213,Constants!$A$2:$C$16,IF(AH213&lt;&gt;"", 3, 2), FALSE),IF(AH213&lt;&gt;"",CONCATENATE(",",VLOOKUP(AH213,$B:$AI,34,FALSE)),""))</f>
        <v>4,4,4</v>
      </c>
      <c r="AM213" t="s">
        <v>609</v>
      </c>
      <c r="AN213" t="s">
        <v>610</v>
      </c>
      <c r="AO213" t="s">
        <v>599</v>
      </c>
      <c r="AS213">
        <v>32</v>
      </c>
      <c r="AT213" t="str">
        <f>IF(I213&lt;&gt;"",MAX(8,(I213-G213)-4),"")</f>
        <v/>
      </c>
      <c r="AU213">
        <v>-10</v>
      </c>
      <c r="AV213">
        <v>-20</v>
      </c>
      <c r="AW213">
        <f>MIN(Y213/150, 1)*30</f>
        <v>20</v>
      </c>
      <c r="AX213">
        <f>MIN(K213/4000, 1)*20</f>
        <v>6.6400000000000006</v>
      </c>
      <c r="AY213">
        <f>MIN(W213/400,1)*20</f>
        <v>8</v>
      </c>
      <c r="AZ213" s="4">
        <v>1</v>
      </c>
      <c r="BA213">
        <f>((MAX($J213,1)*MIN($AE213/300,1)))*IF(D213="Wagon",50,10)</f>
        <v>10.4</v>
      </c>
      <c r="BB213">
        <f>VLOOKUP($E213,Constants!$I:$K, 2, FALSE)</f>
        <v>0.85</v>
      </c>
      <c r="BC213">
        <f>VLOOKUP($E213,Constants!$I:$K, 3, FALSE)*IF(AND(D213="multiple_unit",Y213&lt;110),0.75,1)</f>
        <v>1.7999999999999998</v>
      </c>
      <c r="BD213">
        <f>INT(POWER(((Constants!$G$2+$AW213+$AX213+$AY213+$BA213)*$AZ213)*$BC213, 1.05))+$AV213</f>
        <v>92</v>
      </c>
      <c r="BE213">
        <f>INT(POWER((((Constants!$G$1+$AW213+$AX213+$AY213+$BA213)*(1/$AZ213))*$BB213),IF($D213="wagon",1,1.2)))+$AU213</f>
        <v>102</v>
      </c>
      <c r="BF213" s="15">
        <f>BD213*IF($D213="wagon",62.5,781.25)</f>
        <v>71875</v>
      </c>
      <c r="BG213" s="15">
        <f>BE213*IF($D213="wagon",2.73,81.25)</f>
        <v>8287.5</v>
      </c>
      <c r="BP213">
        <v>3</v>
      </c>
      <c r="BQ213">
        <v>185</v>
      </c>
      <c r="BS213" t="s">
        <v>323</v>
      </c>
      <c r="BT213" t="str">
        <f>VLOOKUP(G213,Eras!$A$2:$C$10, 2, TRUE)</f>
        <v>lbr</v>
      </c>
      <c r="BU213" t="s">
        <v>373</v>
      </c>
      <c r="BV213" t="str">
        <f>CONCATENATE(BT213,"_",BU213)</f>
        <v>lbr_EMU</v>
      </c>
      <c r="BW213" t="str">
        <f>IF(AND(BI213&lt;&gt;Y213,BI213&lt;&gt;""),_xlfn.CONCAT("{BLACK}","Tare speed: ","{GOLD}{VELOCITY}{}"), "")</f>
        <v/>
      </c>
      <c r="BX213" t="str">
        <f>_xlfn.CONCAT(E213, "_",F213)</f>
        <v>dual_electric_DUAL_POWER</v>
      </c>
      <c r="BY213" t="str">
        <f>VLOOKUP($BX213, Constants!$M:$N, 2, FALSE)</f>
        <v>{BLACK}Powered by: {GOLD}25kV AC / 750V DC</v>
      </c>
      <c r="BZ213" t="str">
        <f>IF(J213&gt;1,_xlfn.CONCAT("{BLACK}Cars: {GOLD}", J213),"")</f>
        <v>{BLACK}Cars: {GOLD}4</v>
      </c>
      <c r="CA213" t="s">
        <v>608</v>
      </c>
      <c r="CB213" t="str">
        <f>IF(BS213="BRAKE","{YELLOW}Speed bonus for slow wagons{}",IF(BQ213&gt;190,CONCATENATE("{YELLOW}",INT((BQ213-185)/1.85),"% Bonus for long distance travel{}"),IF(AND(BQ213&lt;180,BQ213&lt;&gt;0),CONCATENATE("{YELLOW}",INT((185-BQ213)/1.85),"% Penalty for long distance travel{}"),"")))</f>
        <v/>
      </c>
      <c r="CC213" t="str">
        <f>_xlfn.CONCAT(BW213,BY213,IF(BY213 &lt;&gt; "", " ", ""),BZ213,IF(OR(BZ213&lt;&gt;"", BY213&lt;&gt;""), "{}",""), CB213,"{SILVER}", CA213)</f>
        <v>{BLACK}Powered by: {GOLD}25kV AC / 750V DC {BLACK}Cars: {GOLD}4{}{SILVER}The Class 319 is a dual-voltage EMU built for the then-new Thameslink service between Brighton and Bedford.</v>
      </c>
    </row>
    <row r="214" spans="1:81" x14ac:dyDescent="0.25">
      <c r="A214" t="s">
        <v>675</v>
      </c>
      <c r="B214" t="s">
        <v>261</v>
      </c>
      <c r="C214">
        <v>462</v>
      </c>
      <c r="D214" t="s">
        <v>444</v>
      </c>
      <c r="E214" t="s">
        <v>312</v>
      </c>
      <c r="F214" t="s">
        <v>314</v>
      </c>
      <c r="G214">
        <v>1988</v>
      </c>
      <c r="J214">
        <v>2</v>
      </c>
      <c r="K214">
        <f>285*2</f>
        <v>570</v>
      </c>
      <c r="T214">
        <f>35.5+36.1</f>
        <v>71.599999999999994</v>
      </c>
      <c r="V214">
        <f>8*J214</f>
        <v>16</v>
      </c>
      <c r="W214">
        <v>110</v>
      </c>
      <c r="X214" s="4">
        <f>IF(AND(T214&gt;0,W214&gt;0),(W214/((T214+U214)*10)),"")</f>
        <v>0.15363128491620112</v>
      </c>
      <c r="Y214">
        <v>75</v>
      </c>
      <c r="AA214">
        <v>23</v>
      </c>
      <c r="AB214">
        <v>23</v>
      </c>
      <c r="AC214">
        <v>2.8</v>
      </c>
      <c r="AD214">
        <v>3.7</v>
      </c>
      <c r="AE214" s="11">
        <v>69</v>
      </c>
      <c r="AF214" t="str">
        <f>CONCATENATE(VLOOKUP(AG214, 'Voxel Sizes'!$A$2:$B$18,2,FALSE),"x",INT(AC214*15), "x", INT(AD214*15))</f>
        <v>214x42x55</v>
      </c>
      <c r="AG214">
        <f>ROUND(15*((AB214*10)/256),0)</f>
        <v>13</v>
      </c>
      <c r="AI214" t="str">
        <f>CONCATENATE(VLOOKUP(AG214,Constants!$A$2:$C$16,IF(AH214&lt;&gt;"", 3, 2), FALSE),IF(AH214&lt;&gt;"",CONCATENATE(",",VLOOKUP(AH214,$B:$AI,34,FALSE)),""))</f>
        <v>4,5,4</v>
      </c>
      <c r="AM214" t="s">
        <v>677</v>
      </c>
      <c r="AO214" t="s">
        <v>508</v>
      </c>
      <c r="AS214">
        <v>33</v>
      </c>
      <c r="AT214" t="str">
        <f>IF(I214&lt;&gt;"",MAX(8,(I214-G214)-4),"")</f>
        <v/>
      </c>
      <c r="AU214">
        <v>-10</v>
      </c>
      <c r="AV214">
        <v>-15</v>
      </c>
      <c r="AW214">
        <f>MIN(Y214/150, 1)*30</f>
        <v>15</v>
      </c>
      <c r="AX214">
        <f>MIN(K214/4000, 1)*20</f>
        <v>2.8499999999999996</v>
      </c>
      <c r="AY214">
        <f>MIN(W214/400,1)*20</f>
        <v>5.5</v>
      </c>
      <c r="AZ214" s="4">
        <v>1</v>
      </c>
      <c r="BA214">
        <f>((MAX($J214,1)*MIN($AE214/300,1)))*IF(D214="Wagon",50,10)</f>
        <v>4.6000000000000005</v>
      </c>
      <c r="BB214">
        <f>VLOOKUP($E214,Constants!$I:$K, 2, FALSE)</f>
        <v>1</v>
      </c>
      <c r="BC214">
        <f>VLOOKUP($E214,Constants!$I:$K, 3, FALSE)*IF(AND(D214="multiple_unit",Y214&lt;110),0.75,1)</f>
        <v>1.5</v>
      </c>
      <c r="BD214">
        <f>INT(POWER(((Constants!$G$2+$AW214+$AX214+$AY214+$BA214)*$AZ214)*$BC214, 1.05))+$AV214</f>
        <v>45</v>
      </c>
      <c r="BE214">
        <f>INT(POWER((((Constants!$G$1+$AW214+$AX214+$AY214+$BA214)*(1/$AZ214))*$BB214),IF($D214="wagon",1,1.2)))+$AU214</f>
        <v>81</v>
      </c>
      <c r="BF214" s="15">
        <f>BD214*IF($D214="wagon",62.5,781.25)</f>
        <v>35156.25</v>
      </c>
      <c r="BG214" s="15">
        <f>BE214*IF($D214="wagon",2.73,81.25)</f>
        <v>6581.25</v>
      </c>
      <c r="BM214" t="s">
        <v>1171</v>
      </c>
      <c r="BP214">
        <v>4</v>
      </c>
      <c r="BQ214">
        <v>185</v>
      </c>
      <c r="BS214" t="s">
        <v>323</v>
      </c>
      <c r="BT214" t="str">
        <f>VLOOKUP(G214,Eras!$A$2:$C$10, 2, TRUE)</f>
        <v>lbr</v>
      </c>
      <c r="BU214" t="s">
        <v>371</v>
      </c>
      <c r="BV214" t="str">
        <f>CONCATENATE(BT214,"_",BU214)</f>
        <v>lbr_DMU</v>
      </c>
      <c r="BW214" t="str">
        <f>IF(AND(BI214&lt;&gt;Y214,BI214&lt;&gt;""),_xlfn.CONCAT("{BLACK}","Tare speed: ","{GOLD}{VELOCITY}{}"), "")</f>
        <v/>
      </c>
      <c r="BX214" t="str">
        <f>_xlfn.CONCAT(E214, "_",F214)</f>
        <v>diesel_RAIL</v>
      </c>
      <c r="BY214" t="str">
        <f>VLOOKUP($BX214, Constants!$M:$N, 2, FALSE)</f>
        <v>{BLACK}Powered by: {GOLD}Diesel</v>
      </c>
      <c r="BZ214" t="str">
        <f>IF(J214&gt;1,_xlfn.CONCAT("{BLACK}Cars: {GOLD}", J214),"")</f>
        <v>{BLACK}Cars: {GOLD}2</v>
      </c>
      <c r="CA214" t="s">
        <v>676</v>
      </c>
      <c r="CB214" t="str">
        <f>IF(BS214="BRAKE","{YELLOW}Speed bonus for slow wagons{}",IF(BQ214&gt;190,CONCATENATE("{YELLOW}",INT((BQ214-185)/1.85),"% Bonus for long distance travel{}"),IF(AND(BQ214&lt;180,BQ214&lt;&gt;0),CONCATENATE("{YELLOW}",INT((185-BQ214)/1.85),"% Penalty for long distance travel{}"),"")))</f>
        <v/>
      </c>
      <c r="CC214" t="str">
        <f>_xlfn.CONCAT(BW214,BY214,IF(BY214 &lt;&gt; "", " ", ""),BZ214,IF(OR(BZ214&lt;&gt;"", BY214&lt;&gt;""), "{}",""), CB214,"{SILVER}", CA214)</f>
        <v>{BLACK}Powered by: {GOLD}Diesel {BLACK}Cars: {GOLD}2{}{SILVER}The Class 156 is a member of the Sprinter family designed for longer journeys, with single doors at each end rather than the metro-style doors of the Class 150s.</v>
      </c>
    </row>
    <row r="215" spans="1:81" x14ac:dyDescent="0.25">
      <c r="A215" t="s">
        <v>105</v>
      </c>
      <c r="B215" t="s">
        <v>268</v>
      </c>
      <c r="C215">
        <v>464</v>
      </c>
      <c r="D215" t="s">
        <v>444</v>
      </c>
      <c r="E215" t="s">
        <v>336</v>
      </c>
      <c r="F215" t="s">
        <v>343</v>
      </c>
      <c r="G215">
        <v>1988</v>
      </c>
      <c r="J215">
        <v>5</v>
      </c>
      <c r="K215">
        <v>1610</v>
      </c>
      <c r="T215">
        <v>202.8</v>
      </c>
      <c r="V215">
        <f>8*J215</f>
        <v>40</v>
      </c>
      <c r="W215">
        <v>190</v>
      </c>
      <c r="X215" s="4">
        <f>IF(AND(T215&gt;0,W215&gt;0),(W215/((T215+U215)*10)),"")</f>
        <v>9.3688362919132157E-2</v>
      </c>
      <c r="Y215">
        <v>108</v>
      </c>
      <c r="AA215">
        <v>23</v>
      </c>
      <c r="AB215">
        <v>23</v>
      </c>
      <c r="AC215">
        <v>2.74</v>
      </c>
      <c r="AD215">
        <v>3.81</v>
      </c>
      <c r="AE215" s="11">
        <v>66</v>
      </c>
      <c r="AF215" t="str">
        <f>CONCATENATE(VLOOKUP(AG215, 'Voxel Sizes'!$A$2:$B$18,2,FALSE),"x",INT(AC215*15), "x", INT(AD215*15))</f>
        <v>214x41x57</v>
      </c>
      <c r="AG215">
        <f>ROUND(15*((AB215*10)/256),0)</f>
        <v>13</v>
      </c>
      <c r="AI215" t="str">
        <f>CONCATENATE(VLOOKUP(AG215,Constants!$A$2:$C$16,IF(AH215&lt;&gt;"", 3, 2), FALSE),IF(AH215&lt;&gt;"",CONCATENATE(",",VLOOKUP(AH215,$B:$AI,34,FALSE)),""))</f>
        <v>4,5,4</v>
      </c>
      <c r="AM215" t="s">
        <v>713</v>
      </c>
      <c r="AO215" t="s">
        <v>651</v>
      </c>
      <c r="AS215">
        <v>35</v>
      </c>
      <c r="AT215" t="str">
        <f>IF(I215&lt;&gt;"",MAX(8,(I215-G215)-4),"")</f>
        <v/>
      </c>
      <c r="AU215">
        <v>-10</v>
      </c>
      <c r="AV215">
        <v>-25</v>
      </c>
      <c r="AW215">
        <f>MIN(Y215/150, 1)*30</f>
        <v>21.599999999999998</v>
      </c>
      <c r="AX215">
        <f>MIN(K215/4000, 1)*20</f>
        <v>8.0500000000000007</v>
      </c>
      <c r="AY215">
        <f>MIN(W215/400,1)*20</f>
        <v>9.5</v>
      </c>
      <c r="AZ215" s="4">
        <v>1</v>
      </c>
      <c r="BA215">
        <f>((MAX($J215,1)*MIN($AE215/300,1)))*IF(D215="Wagon",50,10)</f>
        <v>11</v>
      </c>
      <c r="BB215">
        <f>VLOOKUP($E215,Constants!$I:$K, 2, FALSE)</f>
        <v>0.85</v>
      </c>
      <c r="BC215">
        <f>VLOOKUP($E215,Constants!$I:$K, 3, FALSE)*IF(AND(D215="multiple_unit",Y215&lt;110),0.75,1)</f>
        <v>1.7249999999999999</v>
      </c>
      <c r="BD215">
        <f>INT(POWER(((Constants!$G$2+$AW215+$AX215+$AY215+$BA215)*$AZ215)*$BC215, 1.05))+$AV215</f>
        <v>94</v>
      </c>
      <c r="BE215">
        <f>INT(POWER((((Constants!$G$1+$AW215+$AX215+$AY215+$BA215)*(1/$AZ215))*$BB215),IF($D215="wagon",1,1.2)))+$AU215</f>
        <v>113</v>
      </c>
      <c r="BF215" s="15">
        <f>BD215*IF($D215="wagon",62.5,781.25)</f>
        <v>73437.5</v>
      </c>
      <c r="BG215" s="15">
        <f>BE215*IF($D215="wagon",2.73,81.25)</f>
        <v>9181.25</v>
      </c>
      <c r="BM215" t="s">
        <v>1173</v>
      </c>
      <c r="BO215" t="s">
        <v>1204</v>
      </c>
      <c r="BP215">
        <v>5</v>
      </c>
      <c r="BQ215">
        <v>205</v>
      </c>
      <c r="BS215" t="s">
        <v>323</v>
      </c>
      <c r="BT215" t="str">
        <f>VLOOKUP(G215,Eras!$A$2:$C$10, 2, TRUE)</f>
        <v>lbr</v>
      </c>
      <c r="BU215" t="s">
        <v>374</v>
      </c>
      <c r="BV215" t="str">
        <f>CONCATENATE(BT215,"_",BU215)</f>
        <v>lbr_EMU (Express)</v>
      </c>
      <c r="BW215" t="str">
        <f>IF(AND(BI215&lt;&gt;Y215,BI215&lt;&gt;""),_xlfn.CONCAT("{BLACK}","Tare speed: ","{GOLD}{VELOCITY}{}"), "")</f>
        <v/>
      </c>
      <c r="BX215" t="str">
        <f>_xlfn.CONCAT(E215, "_",F215)</f>
        <v>electric_THIRD_RAIL</v>
      </c>
      <c r="BY215" t="str">
        <f>VLOOKUP($BX215, Constants!$M:$N, 2, FALSE)</f>
        <v>{BLACK}Powered by: {GOLD}750V DC</v>
      </c>
      <c r="BZ215" t="str">
        <f>IF(J215&gt;1,_xlfn.CONCAT("{BLACK}Cars: {GOLD}", J215),"")</f>
        <v>{BLACK}Cars: {GOLD}5</v>
      </c>
      <c r="CA215" t="s">
        <v>714</v>
      </c>
      <c r="CB215" t="str">
        <f>IF(BS215="BRAKE","{YELLOW}Speed bonus for slow wagons{}",IF(BQ215&gt;190,CONCATENATE("{YELLOW}",INT((BQ215-185)/1.85),"% Bonus for long distance travel{}"),IF(AND(BQ215&lt;180,BQ215&lt;&gt;0),CONCATENATE("{YELLOW}",INT((185-BQ215)/1.85),"% Penalty for long distance travel{}"),"")))</f>
        <v>{YELLOW}10% Bonus for long distance travel{}</v>
      </c>
      <c r="CC215" t="str">
        <f>_xlfn.CONCAT(BW215,BY215,IF(BY215 &lt;&gt; "", " ", ""),BZ215,IF(OR(BZ215&lt;&gt;"", BY215&lt;&gt;""), "{}",""), CB215,"{SILVER}", CA215)</f>
        <v>{BLACK}Powered by: {GOLD}750V DC {BLACK}Cars: {GOLD}5{}{YELLOW}10% Bonus for long distance travel{}{SILVER}The Class 442 holds the speed record for a third rail EMU at 108mph. Unlike most of its generation of Mk3-based multiple units, it uses the full-length carriage bodyshell.</v>
      </c>
    </row>
    <row r="216" spans="1:81" x14ac:dyDescent="0.25">
      <c r="A216" t="s">
        <v>105</v>
      </c>
      <c r="B216" t="s">
        <v>1192</v>
      </c>
      <c r="C216">
        <v>465</v>
      </c>
      <c r="D216" t="s">
        <v>444</v>
      </c>
      <c r="E216" t="s">
        <v>336</v>
      </c>
      <c r="F216" t="s">
        <v>343</v>
      </c>
      <c r="G216">
        <v>1988</v>
      </c>
      <c r="J216">
        <v>4</v>
      </c>
      <c r="K216">
        <v>1610</v>
      </c>
      <c r="T216">
        <f>202.8/5*4</f>
        <v>162.24</v>
      </c>
      <c r="V216">
        <f>8*J216</f>
        <v>32</v>
      </c>
      <c r="W216">
        <v>190</v>
      </c>
      <c r="X216" s="4">
        <f>IF(AND(T216&gt;0,W216&gt;0),(W216/((T216+U216)*10)),"")</f>
        <v>0.11711045364891517</v>
      </c>
      <c r="Y216">
        <v>108</v>
      </c>
      <c r="AA216">
        <v>23</v>
      </c>
      <c r="AB216">
        <v>23</v>
      </c>
      <c r="AC216">
        <v>2.74</v>
      </c>
      <c r="AD216">
        <v>3.81</v>
      </c>
      <c r="AE216" s="11">
        <v>66</v>
      </c>
      <c r="AF216" t="str">
        <f>CONCATENATE(VLOOKUP(AG216, 'Voxel Sizes'!$A$2:$B$18,2,FALSE),"x",INT(AC216*15), "x", INT(AD216*15))</f>
        <v>214x41x57</v>
      </c>
      <c r="AG216">
        <f>ROUND(15*((AB216*10)/256),0)</f>
        <v>13</v>
      </c>
      <c r="AI216" t="str">
        <f>CONCATENATE(VLOOKUP(AG216,Constants!$A$2:$C$16,IF(AH216&lt;&gt;"", 3, 2), FALSE),IF(AH216&lt;&gt;"",CONCATENATE(",",VLOOKUP(AH216,$B:$AI,34,FALSE)),""))</f>
        <v>4,5,4</v>
      </c>
      <c r="AM216" t="s">
        <v>1193</v>
      </c>
      <c r="AO216" t="s">
        <v>1184</v>
      </c>
      <c r="AP216" t="s">
        <v>268</v>
      </c>
      <c r="AS216">
        <v>35</v>
      </c>
      <c r="AT216" t="str">
        <f>IF(I216&lt;&gt;"",MAX(8,(I216-G216)-4),"")</f>
        <v/>
      </c>
      <c r="AU216">
        <v>-10</v>
      </c>
      <c r="AV216">
        <v>-25</v>
      </c>
      <c r="AW216">
        <f>MIN(Y216/150, 1)*30</f>
        <v>21.599999999999998</v>
      </c>
      <c r="AX216">
        <f>MIN(K216/4000, 1)*20</f>
        <v>8.0500000000000007</v>
      </c>
      <c r="AY216">
        <f>MIN(W216/400,1)*20</f>
        <v>9.5</v>
      </c>
      <c r="AZ216" s="4">
        <v>1</v>
      </c>
      <c r="BA216">
        <f>((MAX($J216,1)*MIN($AE216/300,1)))*IF(D216="Wagon",50,10)</f>
        <v>8.8000000000000007</v>
      </c>
      <c r="BB216">
        <f>VLOOKUP($E216,Constants!$I:$K, 2, FALSE)</f>
        <v>0.85</v>
      </c>
      <c r="BC216">
        <f>VLOOKUP($E216,Constants!$I:$K, 3, FALSE)*IF(AND(D216="multiple_unit",Y216&lt;110),0.75,1)</f>
        <v>1.7249999999999999</v>
      </c>
      <c r="BD216">
        <f>INT(POWER(((Constants!$G$2+$AW216+$AX216+$AY216+$BA216)*$AZ216)*$BC216, 1.05))+$AV216</f>
        <v>89</v>
      </c>
      <c r="BE216">
        <f>INT(POWER((((Constants!$G$1+$AW216+$AX216+$AY216+$BA216)*(1/$AZ216))*$BB216),IF($D216="wagon",1,1.2)))+$AU216</f>
        <v>108</v>
      </c>
      <c r="BF216" s="15">
        <f>BD216*IF($D216="wagon",62.5,781.25)</f>
        <v>69531.25</v>
      </c>
      <c r="BG216" s="15">
        <f>BE216*IF($D216="wagon",2.73,81.25)</f>
        <v>8775</v>
      </c>
      <c r="BM216" t="s">
        <v>1173</v>
      </c>
      <c r="BO216" t="s">
        <v>1206</v>
      </c>
      <c r="BP216">
        <v>5</v>
      </c>
      <c r="BQ216">
        <v>205</v>
      </c>
      <c r="BS216" t="s">
        <v>323</v>
      </c>
      <c r="BT216" t="str">
        <f>VLOOKUP(G216,Eras!$A$2:$C$10, 2, TRUE)</f>
        <v>lbr</v>
      </c>
      <c r="BU216" t="s">
        <v>374</v>
      </c>
      <c r="BV216" t="str">
        <f>CONCATENATE(BT216,"_",BU216)</f>
        <v>lbr_EMU (Express)</v>
      </c>
      <c r="BW216" t="str">
        <f>IF(AND(BI216&lt;&gt;Y216,BI216&lt;&gt;""),_xlfn.CONCAT("{BLACK}","Tare speed: ","{GOLD}{VELOCITY}{}"), "")</f>
        <v/>
      </c>
      <c r="BX216" t="str">
        <f>_xlfn.CONCAT(E216, "_",F216)</f>
        <v>electric_THIRD_RAIL</v>
      </c>
      <c r="BY216" t="str">
        <f>VLOOKUP($BX216, Constants!$M:$N, 2, FALSE)</f>
        <v>{BLACK}Powered by: {GOLD}750V DC</v>
      </c>
      <c r="BZ216" t="str">
        <f>IF(J216&gt;1,_xlfn.CONCAT("{BLACK}Cars: {GOLD}", J216),"")</f>
        <v>{BLACK}Cars: {GOLD}4</v>
      </c>
      <c r="CA216" t="s">
        <v>714</v>
      </c>
      <c r="CB216" t="str">
        <f>IF(BS216="BRAKE","{YELLOW}Speed bonus for slow wagons{}",IF(BQ216&gt;190,CONCATENATE("{YELLOW}",INT((BQ216-185)/1.85),"% Bonus for long distance travel{}"),IF(AND(BQ216&lt;180,BQ216&lt;&gt;0),CONCATENATE("{YELLOW}",INT((185-BQ216)/1.85),"% Penalty for long distance travel{}"),"")))</f>
        <v>{YELLOW}10% Bonus for long distance travel{}</v>
      </c>
      <c r="CC216" t="str">
        <f>_xlfn.CONCAT(BW216,BY216,IF(BY216 &lt;&gt; "", " ", ""),BZ216,IF(OR(BZ216&lt;&gt;"", BY216&lt;&gt;""), "{}",""), CB216,"{SILVER}", CA216)</f>
        <v>{BLACK}Powered by: {GOLD}750V DC {BLACK}Cars: {GOLD}4{}{YELLOW}10% Bonus for long distance travel{}{SILVER}The Class 442 holds the speed record for a third rail EMU at 108mph. Unlike most of its generation of Mk3-based multiple units, it uses the full-length carriage bodyshell.</v>
      </c>
    </row>
    <row r="217" spans="1:81" x14ac:dyDescent="0.25">
      <c r="A217" t="s">
        <v>99</v>
      </c>
      <c r="B217" t="s">
        <v>262</v>
      </c>
      <c r="C217">
        <v>466</v>
      </c>
      <c r="D217" t="s">
        <v>444</v>
      </c>
      <c r="E217" t="s">
        <v>312</v>
      </c>
      <c r="F217" t="s">
        <v>314</v>
      </c>
      <c r="G217">
        <v>1989</v>
      </c>
      <c r="H217">
        <v>1992</v>
      </c>
      <c r="J217">
        <v>3</v>
      </c>
      <c r="K217">
        <f>350*3</f>
        <v>1050</v>
      </c>
      <c r="T217">
        <f>37.8*3</f>
        <v>113.39999999999999</v>
      </c>
      <c r="V217">
        <f>8*J217</f>
        <v>24</v>
      </c>
      <c r="W217">
        <v>120</v>
      </c>
      <c r="X217" s="4">
        <f>IF(AND(T217&gt;0,W217&gt;0),(W217/((T217+U217)*10)),"")</f>
        <v>0.10582010582010581</v>
      </c>
      <c r="Y217">
        <v>90</v>
      </c>
      <c r="AA217">
        <v>23.2</v>
      </c>
      <c r="AB217">
        <v>23</v>
      </c>
      <c r="AC217">
        <v>2.7</v>
      </c>
      <c r="AE217" s="11">
        <v>69</v>
      </c>
      <c r="AF217" t="str">
        <f>CONCATENATE(VLOOKUP(AG217, 'Voxel Sizes'!$A$2:$B$18,2,FALSE),"x",INT(AC217*15), "x", INT(AD217*15))</f>
        <v>214x40x0</v>
      </c>
      <c r="AG217">
        <f>ROUND(15*((AB217*10)/256),0)</f>
        <v>13</v>
      </c>
      <c r="AI217" t="str">
        <f>CONCATENATE(VLOOKUP(AG217,Constants!$A$2:$C$16,IF(AH217&lt;&gt;"", 3, 2), FALSE),IF(AH217&lt;&gt;"",CONCATENATE(",",VLOOKUP(AH217,$B:$AI,34,FALSE)),""))</f>
        <v>4,5,4</v>
      </c>
      <c r="AM217" t="s">
        <v>678</v>
      </c>
      <c r="AO217" t="s">
        <v>332</v>
      </c>
      <c r="AS217">
        <v>33</v>
      </c>
      <c r="AT217" t="str">
        <f>IF(I217&lt;&gt;"",MAX(8,(I217-G217)-4),"")</f>
        <v/>
      </c>
      <c r="AU217">
        <v>-10</v>
      </c>
      <c r="AV217">
        <v>-15</v>
      </c>
      <c r="AW217">
        <f>MIN(Y217/150, 1)*30</f>
        <v>18</v>
      </c>
      <c r="AX217">
        <f>MIN(K217/4000, 1)*20</f>
        <v>5.25</v>
      </c>
      <c r="AY217">
        <f>MIN(W217/400,1)*20</f>
        <v>6</v>
      </c>
      <c r="AZ217" s="4">
        <v>1</v>
      </c>
      <c r="BA217">
        <f>((MAX($J217,1)*MIN($AE217/300,1)))*IF(D217="Wagon",50,10)</f>
        <v>6.9</v>
      </c>
      <c r="BB217">
        <f>VLOOKUP($E217,Constants!$I:$K, 2, FALSE)</f>
        <v>1</v>
      </c>
      <c r="BC217">
        <f>VLOOKUP($E217,Constants!$I:$K, 3, FALSE)*IF(AND(D217="multiple_unit",Y217&lt;110),0.75,1)</f>
        <v>1.5</v>
      </c>
      <c r="BD217">
        <f>INT(POWER(((Constants!$G$2+$AW217+$AX217+$AY217+$BA217)*$AZ217)*$BC217, 1.05))+$AV217</f>
        <v>60</v>
      </c>
      <c r="BE217">
        <f>INT(POWER((((Constants!$G$1+$AW217+$AX217+$AY217+$BA217)*(1/$AZ217))*$BB217),IF($D217="wagon",1,1.2)))+$AU217</f>
        <v>102</v>
      </c>
      <c r="BF217" s="15">
        <f>BD217*IF($D217="wagon",62.5,781.25)</f>
        <v>46875</v>
      </c>
      <c r="BG217" s="15">
        <f>BE217*IF($D217="wagon",2.73,81.25)</f>
        <v>8287.5</v>
      </c>
      <c r="BM217" t="s">
        <v>1172</v>
      </c>
      <c r="BP217">
        <v>7</v>
      </c>
      <c r="BQ217">
        <v>205</v>
      </c>
      <c r="BS217" t="s">
        <v>323</v>
      </c>
      <c r="BT217" t="str">
        <f>VLOOKUP(G217,Eras!$A$2:$C$10, 2, TRUE)</f>
        <v>lbr</v>
      </c>
      <c r="BU217" t="s">
        <v>372</v>
      </c>
      <c r="BV217" t="str">
        <f>CONCATENATE(BT217,"_",BU217)</f>
        <v>lbr_DMU (Express)</v>
      </c>
      <c r="BW217" t="str">
        <f>IF(AND(BI217&lt;&gt;Y217,BI217&lt;&gt;""),_xlfn.CONCAT("{BLACK}","Tare speed: ","{GOLD}{VELOCITY}{}"), "")</f>
        <v/>
      </c>
      <c r="BX217" t="str">
        <f>_xlfn.CONCAT(E217, "_",F217)</f>
        <v>diesel_RAIL</v>
      </c>
      <c r="BY217" t="str">
        <f>VLOOKUP($BX217, Constants!$M:$N, 2, FALSE)</f>
        <v>{BLACK}Powered by: {GOLD}Diesel</v>
      </c>
      <c r="BZ217" t="str">
        <f>IF(J217&gt;1,_xlfn.CONCAT("{BLACK}Cars: {GOLD}", J217),"")</f>
        <v>{BLACK}Cars: {GOLD}3</v>
      </c>
      <c r="CA217" t="s">
        <v>679</v>
      </c>
      <c r="CB217" t="str">
        <f>IF(BS217="BRAKE","{YELLOW}Speed bonus for slow wagons{}",IF(BQ217&gt;190,CONCATENATE("{YELLOW}",INT((BQ217-185)/1.85),"% Bonus for long distance travel{}"),IF(AND(BQ217&lt;180,BQ217&lt;&gt;0),CONCATENATE("{YELLOW}",INT((185-BQ217)/1.85),"% Penalty for long distance travel{}"),"")))</f>
        <v>{YELLOW}10% Bonus for long distance travel{}</v>
      </c>
      <c r="CC217" t="str">
        <f>_xlfn.CONCAT(BW217,BY217,IF(BY217 &lt;&gt; "", " ", ""),BZ217,IF(OR(BZ217&lt;&gt;"", BY217&lt;&gt;""), "{}",""), CB217,"{SILVER}", CA217)</f>
        <v>{BLACK}Powered by: {GOLD}Diesel {BLACK}Cars: {GOLD}3{}{YELLOW}10% Bonus for long distance travel{}{SILVER}The Class 158 has many improvements over earlier generation Sprinters, including air conditioning and a more comfortable ride.</v>
      </c>
    </row>
    <row r="218" spans="1:81" x14ac:dyDescent="0.25">
      <c r="A218" t="s">
        <v>95</v>
      </c>
      <c r="B218" t="s">
        <v>217</v>
      </c>
      <c r="C218">
        <v>468</v>
      </c>
      <c r="D218" t="s">
        <v>444</v>
      </c>
      <c r="E218" t="s">
        <v>336</v>
      </c>
      <c r="F218" t="s">
        <v>343</v>
      </c>
      <c r="G218">
        <v>1990</v>
      </c>
      <c r="J218">
        <v>2</v>
      </c>
      <c r="K218">
        <v>500</v>
      </c>
      <c r="T218">
        <v>72.5</v>
      </c>
      <c r="V218">
        <f>8*J218</f>
        <v>16</v>
      </c>
      <c r="W218">
        <v>120</v>
      </c>
      <c r="X218" s="4">
        <f>IF(AND(T218&gt;0,W218&gt;0),(W218/((T218+U218)*10)),"")</f>
        <v>0.16551724137931034</v>
      </c>
      <c r="Y218">
        <v>75</v>
      </c>
      <c r="AA218">
        <v>19.8</v>
      </c>
      <c r="AB218">
        <v>19.8</v>
      </c>
      <c r="AE218" s="11">
        <v>75</v>
      </c>
      <c r="AF218" t="str">
        <f>CONCATENATE(VLOOKUP(AG218, 'Voxel Sizes'!$A$2:$B$18,2,FALSE),"x",INT(AC218*15), "x", INT(AD218*15))</f>
        <v>198x0x0</v>
      </c>
      <c r="AG218">
        <f>ROUND(15*((AB218*10)/256),0)</f>
        <v>12</v>
      </c>
      <c r="AI218" t="str">
        <f>CONCATENATE(VLOOKUP(AG218,Constants!$A$2:$C$16,IF(AH218&lt;&gt;"", 3, 2), FALSE),IF(AH218&lt;&gt;"",CONCATENATE(",",VLOOKUP(AH218,$B:$AI,34,FALSE)),""))</f>
        <v>4,4,4</v>
      </c>
      <c r="AM218" t="s">
        <v>654</v>
      </c>
      <c r="AO218" t="s">
        <v>508</v>
      </c>
      <c r="AS218">
        <v>31</v>
      </c>
      <c r="AT218" t="str">
        <f>IF(I218&lt;&gt;"",MAX(8,(I218-G218)-4),"")</f>
        <v/>
      </c>
      <c r="AU218">
        <v>-10</v>
      </c>
      <c r="AV218">
        <v>-20</v>
      </c>
      <c r="AW218">
        <f>MIN(Y218/150, 1)*30</f>
        <v>15</v>
      </c>
      <c r="AX218">
        <f>MIN(K218/4000, 1)*20</f>
        <v>2.5</v>
      </c>
      <c r="AY218">
        <f>MIN(W218/400,1)*20</f>
        <v>6</v>
      </c>
      <c r="AZ218" s="4">
        <v>1</v>
      </c>
      <c r="BA218">
        <f>((MAX($J218,1)*MIN($AE218/300,1)))*IF(D218="Wagon",50,10)</f>
        <v>5</v>
      </c>
      <c r="BB218">
        <f>VLOOKUP($E218,Constants!$I:$K, 2, FALSE)</f>
        <v>0.85</v>
      </c>
      <c r="BC218">
        <f>VLOOKUP($E218,Constants!$I:$K, 3, FALSE)*IF(AND(D218="multiple_unit",Y218&lt;110),0.75,1)</f>
        <v>1.7249999999999999</v>
      </c>
      <c r="BD218">
        <f>INT(POWER(((Constants!$G$2+$AW218+$AX218+$AY218+$BA218)*$AZ218)*$BC218, 1.05))+$AV218</f>
        <v>50</v>
      </c>
      <c r="BE218">
        <f>INT(POWER((((Constants!$G$1+$AW218+$AX218+$AY218+$BA218)*(1/$AZ218))*$BB218),IF($D218="wagon",1,1.2)))+$AU218</f>
        <v>66</v>
      </c>
      <c r="BF218" s="15">
        <f>BD218*IF($D218="wagon",62.5,781.25)</f>
        <v>39062.5</v>
      </c>
      <c r="BG218" s="15">
        <f>BE218*IF($D218="wagon",2.73,81.25)</f>
        <v>5362.5</v>
      </c>
      <c r="BM218" t="s">
        <v>216</v>
      </c>
      <c r="BP218">
        <v>8</v>
      </c>
      <c r="BQ218">
        <v>185</v>
      </c>
      <c r="BS218" t="s">
        <v>323</v>
      </c>
      <c r="BT218" t="str">
        <f>VLOOKUP(G218,Eras!$A$2:$C$10, 2, TRUE)</f>
        <v>lbr</v>
      </c>
      <c r="BU218" t="s">
        <v>373</v>
      </c>
      <c r="BV218" t="str">
        <f>CONCATENATE(BT218,"_",BU218)</f>
        <v>lbr_EMU</v>
      </c>
      <c r="BW218" t="str">
        <f>IF(AND(BI218&lt;&gt;Y218,BI218&lt;&gt;""),_xlfn.CONCAT("{BLACK}","Tare speed: ","{GOLD}{VELOCITY}{}"), "")</f>
        <v/>
      </c>
      <c r="BX218" t="str">
        <f>_xlfn.CONCAT(E218, "_",F218)</f>
        <v>electric_THIRD_RAIL</v>
      </c>
      <c r="BY218" t="str">
        <f>VLOOKUP($BX218, Constants!$M:$N, 2, FALSE)</f>
        <v>{BLACK}Powered by: {GOLD}750V DC</v>
      </c>
      <c r="BZ218" t="str">
        <f>IF(J218&gt;1,_xlfn.CONCAT("{BLACK}Cars: {GOLD}", J218),"")</f>
        <v>{BLACK}Cars: {GOLD}2</v>
      </c>
      <c r="CA218" t="s">
        <v>655</v>
      </c>
      <c r="CB218" t="str">
        <f>IF(BS218="BRAKE","{YELLOW}Speed bonus for slow wagons{}",IF(BQ218&gt;190,CONCATENATE("{YELLOW}",INT((BQ218-185)/1.85),"% Bonus for long distance travel{}"),IF(AND(BQ218&lt;180,BQ218&lt;&gt;0),CONCATENATE("{YELLOW}",INT((185-BQ218)/1.85),"% Penalty for long distance travel{}"),"")))</f>
        <v/>
      </c>
      <c r="CC218" t="str">
        <f>_xlfn.CONCAT(BW218,BY218,IF(BY218 &lt;&gt; "", " ", ""),BZ218,IF(OR(BZ218&lt;&gt;"", BY218&lt;&gt;""), "{}",""), CB218,"{SILVER}", CA218)</f>
        <v>{BLACK}Powered by: {GOLD}750V DC {BLACK}Cars: {GOLD}2{}{SILVER}The Class 456 is a two-car EMU used for inner suburban services - either as a single unit for services with low demand or coupled to other Class 456 or 455 units for higher capacity routes.</v>
      </c>
    </row>
    <row r="219" spans="1:81" x14ac:dyDescent="0.25">
      <c r="A219" t="s">
        <v>100</v>
      </c>
      <c r="B219" t="s">
        <v>263</v>
      </c>
      <c r="C219">
        <v>470</v>
      </c>
      <c r="D219" t="s">
        <v>444</v>
      </c>
      <c r="E219" t="s">
        <v>312</v>
      </c>
      <c r="F219" t="s">
        <v>314</v>
      </c>
      <c r="G219">
        <v>1991</v>
      </c>
      <c r="H219">
        <v>1992</v>
      </c>
      <c r="J219">
        <v>2</v>
      </c>
      <c r="K219">
        <f>350*2</f>
        <v>700</v>
      </c>
      <c r="T219">
        <v>74</v>
      </c>
      <c r="V219">
        <f>8*J219</f>
        <v>16</v>
      </c>
      <c r="W219">
        <v>105</v>
      </c>
      <c r="X219" s="4">
        <f>IF(AND(T219&gt;0,W219&gt;0),(W219/((T219+U219)*10)),"")</f>
        <v>0.14189189189189189</v>
      </c>
      <c r="Y219">
        <v>75</v>
      </c>
      <c r="AA219">
        <v>22.91</v>
      </c>
      <c r="AB219">
        <v>22.9</v>
      </c>
      <c r="AC219">
        <v>2.8</v>
      </c>
      <c r="AD219">
        <v>3.8</v>
      </c>
      <c r="AE219" s="11">
        <v>93</v>
      </c>
      <c r="AF219" t="str">
        <f>CONCATENATE(VLOOKUP(AG219, 'Voxel Sizes'!$A$2:$B$18,2,FALSE),"x",INT(AC219*15), "x", INT(AD219*15))</f>
        <v>214x42x57</v>
      </c>
      <c r="AG219">
        <f>ROUND(15*((AB219*10)/256),0)</f>
        <v>13</v>
      </c>
      <c r="AI219" t="str">
        <f>CONCATENATE(VLOOKUP(AG219,Constants!$A$2:$C$16,IF(AH219&lt;&gt;"", 3, 2), FALSE),IF(AH219&lt;&gt;"",CONCATENATE(",",VLOOKUP(AH219,$B:$AI,34,FALSE)),""))</f>
        <v>4,5,4</v>
      </c>
      <c r="AM219" t="s">
        <v>682</v>
      </c>
      <c r="AO219" t="s">
        <v>508</v>
      </c>
      <c r="AS219">
        <v>32</v>
      </c>
      <c r="AT219" t="str">
        <f>IF(I219&lt;&gt;"",MAX(8,(I219-G219)-4),"")</f>
        <v/>
      </c>
      <c r="AU219">
        <v>-10</v>
      </c>
      <c r="AV219">
        <v>-15</v>
      </c>
      <c r="AW219">
        <f>MIN(Y219/150, 1)*30</f>
        <v>15</v>
      </c>
      <c r="AX219">
        <f>MIN(K219/4000, 1)*20</f>
        <v>3.5</v>
      </c>
      <c r="AY219">
        <f>MIN(W219/400,1)*20</f>
        <v>5.25</v>
      </c>
      <c r="AZ219" s="4">
        <v>1</v>
      </c>
      <c r="BA219">
        <f>((MAX($J219,1)*MIN($AE219/300,1)))*IF(D219="Wagon",50,10)</f>
        <v>6.2</v>
      </c>
      <c r="BB219">
        <f>VLOOKUP($E219,Constants!$I:$K, 2, FALSE)</f>
        <v>1</v>
      </c>
      <c r="BC219">
        <f>VLOOKUP($E219,Constants!$I:$K, 3, FALSE)*IF(AND(D219="multiple_unit",Y219&lt;110),0.75,1)</f>
        <v>1.5</v>
      </c>
      <c r="BD219">
        <f>INT(POWER(((Constants!$G$2+$AW219+$AX219+$AY219+$BA219)*$AZ219)*$BC219, 1.05))+$AV219</f>
        <v>48</v>
      </c>
      <c r="BE219">
        <f>INT(POWER((((Constants!$G$1+$AW219+$AX219+$AY219+$BA219)*(1/$AZ219))*$BB219),IF($D219="wagon",1,1.2)))+$AU219</f>
        <v>86</v>
      </c>
      <c r="BF219" s="15">
        <f>BD219*IF($D219="wagon",62.5,781.25)</f>
        <v>37500</v>
      </c>
      <c r="BG219" s="15">
        <f>BE219*IF($D219="wagon",2.73,81.25)</f>
        <v>6987.5</v>
      </c>
      <c r="BP219">
        <v>9</v>
      </c>
      <c r="BQ219">
        <v>185</v>
      </c>
      <c r="BS219" t="s">
        <v>323</v>
      </c>
      <c r="BT219" t="str">
        <f>VLOOKUP(G219,Eras!$A$2:$C$10, 2, TRUE)</f>
        <v>lbr</v>
      </c>
      <c r="BU219" t="s">
        <v>371</v>
      </c>
      <c r="BV219" t="str">
        <f>CONCATENATE(BT219,"_",BU219)</f>
        <v>lbr_DMU</v>
      </c>
      <c r="BW219" t="str">
        <f>IF(AND(BI219&lt;&gt;Y219,BI219&lt;&gt;""),_xlfn.CONCAT("{BLACK}","Tare speed: ","{GOLD}{VELOCITY}{}"), "")</f>
        <v/>
      </c>
      <c r="BX219" t="str">
        <f>_xlfn.CONCAT(E219, "_",F219)</f>
        <v>diesel_RAIL</v>
      </c>
      <c r="BY219" t="str">
        <f>VLOOKUP($BX219, Constants!$M:$N, 2, FALSE)</f>
        <v>{BLACK}Powered by: {GOLD}Diesel</v>
      </c>
      <c r="BZ219" t="str">
        <f>IF(J219&gt;1,_xlfn.CONCAT("{BLACK}Cars: {GOLD}", J219),"")</f>
        <v>{BLACK}Cars: {GOLD}2</v>
      </c>
      <c r="CA219" t="s">
        <v>683</v>
      </c>
      <c r="CB219" t="str">
        <f>IF(BS219="BRAKE","{YELLOW}Speed bonus for slow wagons{}",IF(BQ219&gt;190,CONCATENATE("{YELLOW}",INT((BQ219-185)/1.85),"% Bonus for long distance travel{}"),IF(AND(BQ219&lt;180,BQ219&lt;&gt;0),CONCATENATE("{YELLOW}",INT((185-BQ219)/1.85),"% Penalty for long distance travel{}"),"")))</f>
        <v/>
      </c>
      <c r="CC219" t="str">
        <f>_xlfn.CONCAT(BW219,BY219,IF(BY219 &lt;&gt; "", " ", ""),BZ219,IF(OR(BZ219&lt;&gt;"", BY219&lt;&gt;""), "{}",""), CB219,"{SILVER}", CA219)</f>
        <v>{BLACK}Powered by: {GOLD}Diesel {BLACK}Cars: {GOLD}2{}{SILVER}The Class 165 is a high capacity DMU with 2+3 seating.</v>
      </c>
    </row>
    <row r="220" spans="1:81" x14ac:dyDescent="0.25">
      <c r="A220" t="s">
        <v>85</v>
      </c>
      <c r="B220" t="s">
        <v>281</v>
      </c>
      <c r="C220">
        <v>472</v>
      </c>
      <c r="D220" t="s">
        <v>444</v>
      </c>
      <c r="E220" t="s">
        <v>336</v>
      </c>
      <c r="F220" t="s">
        <v>343</v>
      </c>
      <c r="G220">
        <v>1992</v>
      </c>
      <c r="H220">
        <v>1994</v>
      </c>
      <c r="J220">
        <v>4</v>
      </c>
      <c r="K220">
        <v>1608</v>
      </c>
      <c r="T220">
        <v>136</v>
      </c>
      <c r="V220">
        <f>8*J220</f>
        <v>32</v>
      </c>
      <c r="W220">
        <v>165</v>
      </c>
      <c r="X220" s="4">
        <f>IF(AND(T220&gt;0,W220&gt;0),(W220/((T220+U220)*10)),"")</f>
        <v>0.12132352941176471</v>
      </c>
      <c r="Y220">
        <v>75</v>
      </c>
      <c r="AA220">
        <v>20.89</v>
      </c>
      <c r="AB220">
        <v>20.89</v>
      </c>
      <c r="AD220">
        <v>3.77</v>
      </c>
      <c r="AE220" s="11">
        <v>81</v>
      </c>
      <c r="AF220" t="str">
        <f>CONCATENATE(VLOOKUP(AG220, 'Voxel Sizes'!$A$2:$B$18,2,FALSE),"x",INT(AC220*15), "x", INT(AD220*15))</f>
        <v>198x0x56</v>
      </c>
      <c r="AG220">
        <f>ROUND(15*((AB220*10)/256),0)</f>
        <v>12</v>
      </c>
      <c r="AI220" t="str">
        <f>CONCATENATE(VLOOKUP(AG220,Constants!$A$2:$C$16,IF(AH220&lt;&gt;"", 3, 2), FALSE),IF(AH220&lt;&gt;"",CONCATENATE(",",VLOOKUP(AH220,$B:$AI,34,FALSE)),""))</f>
        <v>4,4,4</v>
      </c>
      <c r="AM220" t="s">
        <v>618</v>
      </c>
      <c r="AO220" t="s">
        <v>506</v>
      </c>
      <c r="AS220">
        <v>32</v>
      </c>
      <c r="AT220" t="str">
        <f>IF(I220&lt;&gt;"",MAX(8,(I220-G220)-4),"")</f>
        <v/>
      </c>
      <c r="AU220">
        <v>-10</v>
      </c>
      <c r="AV220">
        <v>-20</v>
      </c>
      <c r="AW220">
        <f>MIN(Y220/150, 1)*30</f>
        <v>15</v>
      </c>
      <c r="AX220">
        <f>MIN(K220/4000, 1)*20</f>
        <v>8.0400000000000009</v>
      </c>
      <c r="AY220">
        <f>MIN(W220/400,1)*20</f>
        <v>8.25</v>
      </c>
      <c r="AZ220" s="4">
        <v>1</v>
      </c>
      <c r="BA220">
        <f>((MAX($J220,1)*MIN($AE220/300,1)))*IF(D220="Wagon",50,10)</f>
        <v>10.8</v>
      </c>
      <c r="BB220">
        <f>VLOOKUP($E220,Constants!$I:$K, 2, FALSE)</f>
        <v>0.85</v>
      </c>
      <c r="BC220">
        <f>VLOOKUP($E220,Constants!$I:$K, 3, FALSE)*IF(AND(D220="multiple_unit",Y220&lt;110),0.75,1)</f>
        <v>1.7249999999999999</v>
      </c>
      <c r="BD220">
        <f>INT(POWER(((Constants!$G$2+$AW220+$AX220+$AY220+$BA220)*$AZ220)*$BC220, 1.05))+$AV220</f>
        <v>81</v>
      </c>
      <c r="BE220">
        <f>INT(POWER((((Constants!$G$1+$AW220+$AX220+$AY220+$BA220)*(1/$AZ220))*$BB220),IF($D220="wagon",1,1.2)))+$AU220</f>
        <v>95</v>
      </c>
      <c r="BF220" s="15">
        <f>BD220*IF($D220="wagon",62.5,781.25)</f>
        <v>63281.25</v>
      </c>
      <c r="BG220" s="15">
        <f>BE220*IF($D220="wagon",2.73,81.25)</f>
        <v>7718.75</v>
      </c>
      <c r="BP220">
        <v>10</v>
      </c>
      <c r="BQ220">
        <v>185</v>
      </c>
      <c r="BS220" t="s">
        <v>323</v>
      </c>
      <c r="BT220" t="str">
        <f>VLOOKUP(G220,Eras!$A$2:$C$10, 2, TRUE)</f>
        <v>lbr</v>
      </c>
      <c r="BU220" t="s">
        <v>373</v>
      </c>
      <c r="BV220" t="str">
        <f>CONCATENATE(BT220,"_",BU220)</f>
        <v>lbr_EMU</v>
      </c>
      <c r="BW220" t="str">
        <f>IF(AND(BI220&lt;&gt;Y220,BI220&lt;&gt;""),_xlfn.CONCAT("{BLACK}","Tare speed: ","{GOLD}{VELOCITY}{}"), "")</f>
        <v/>
      </c>
      <c r="BX220" t="str">
        <f>_xlfn.CONCAT(E220, "_",F220)</f>
        <v>electric_THIRD_RAIL</v>
      </c>
      <c r="BY220" t="str">
        <f>VLOOKUP($BX220, Constants!$M:$N, 2, FALSE)</f>
        <v>{BLACK}Powered by: {GOLD}750V DC</v>
      </c>
      <c r="BZ220" t="str">
        <f>IF(J220&gt;1,_xlfn.CONCAT("{BLACK}Cars: {GOLD}", J220),"")</f>
        <v>{BLACK}Cars: {GOLD}4</v>
      </c>
      <c r="CA220" t="s">
        <v>619</v>
      </c>
      <c r="CB220" t="str">
        <f>IF(BS220="BRAKE","{YELLOW}Speed bonus for slow wagons{}",IF(BQ220&gt;190,CONCATENATE("{YELLOW}",INT((BQ220-185)/1.85),"% Bonus for long distance travel{}"),IF(AND(BQ220&lt;180,BQ220&lt;&gt;0),CONCATENATE("{YELLOW}",INT((185-BQ220)/1.85),"% Penalty for long distance travel{}"),"")))</f>
        <v/>
      </c>
      <c r="CC220" t="str">
        <f>_xlfn.CONCAT(BW220,BY220,IF(BY220 &lt;&gt; "", " ", ""),BZ220,IF(OR(BZ220&lt;&gt;"", BY220&lt;&gt;""), "{}",""), CB220,"{SILVER}", CA220)</f>
        <v>{BLACK}Powered by: {GOLD}750V DC {BLACK}Cars: {GOLD}4{}{SILVER}The BREL Networker was built by three different companies (ABB, Metro-Cammell and BREL) with minor detail differences between each manufacturer's output.</v>
      </c>
    </row>
    <row r="221" spans="1:81" x14ac:dyDescent="0.25">
      <c r="A221" t="s">
        <v>691</v>
      </c>
      <c r="B221" t="s">
        <v>692</v>
      </c>
      <c r="C221">
        <v>474</v>
      </c>
      <c r="D221" t="s">
        <v>444</v>
      </c>
      <c r="E221" t="s">
        <v>596</v>
      </c>
      <c r="F221" t="s">
        <v>595</v>
      </c>
      <c r="G221">
        <v>1992</v>
      </c>
      <c r="H221">
        <v>1996</v>
      </c>
      <c r="J221">
        <v>20</v>
      </c>
      <c r="K221">
        <v>16400</v>
      </c>
      <c r="L221" s="9">
        <v>4600</v>
      </c>
      <c r="T221">
        <v>752</v>
      </c>
      <c r="V221">
        <v>60</v>
      </c>
      <c r="W221">
        <v>220</v>
      </c>
      <c r="X221" s="4">
        <f>IF(AND(T221&gt;0,W221&gt;0),(W221/((T221+U221)*10)),"")</f>
        <v>2.9255319148936171E-2</v>
      </c>
      <c r="Y221">
        <v>186</v>
      </c>
      <c r="AA221">
        <v>22.15</v>
      </c>
      <c r="AB221">
        <v>22.15</v>
      </c>
      <c r="AC221">
        <v>2.81</v>
      </c>
      <c r="AE221" s="11">
        <v>39</v>
      </c>
      <c r="AF221" t="str">
        <f>CONCATENATE(VLOOKUP(AG221, 'Voxel Sizes'!$A$2:$B$18,2,FALSE),"x",INT(AC221*15), "x", INT(AD221*15))</f>
        <v>214x42x0</v>
      </c>
      <c r="AG221">
        <f>ROUND(15*((AB221*10)/256),0)</f>
        <v>13</v>
      </c>
      <c r="AI221" t="str">
        <f>CONCATENATE(VLOOKUP(AG221,Constants!$A$2:$C$16,IF(AH221&lt;&gt;"", 3, 2), FALSE),IF(AH221&lt;&gt;"",CONCATENATE(",",VLOOKUP(AH221,$B:$AI,34,FALSE)),""))</f>
        <v>4,5,4</v>
      </c>
      <c r="AK221" s="13" t="s">
        <v>1296</v>
      </c>
      <c r="AL221" s="13" t="s">
        <v>1301</v>
      </c>
      <c r="AM221" t="s">
        <v>742</v>
      </c>
      <c r="AN221" t="s">
        <v>692</v>
      </c>
      <c r="AO221" t="s">
        <v>743</v>
      </c>
      <c r="AS221">
        <v>25</v>
      </c>
      <c r="AT221" t="str">
        <f>IF(I221&lt;&gt;"",MAX(8,(I221-G221)-4),"")</f>
        <v/>
      </c>
      <c r="AV221">
        <v>-35</v>
      </c>
      <c r="AW221">
        <f>MIN(Y221/150, 1)*30</f>
        <v>30</v>
      </c>
      <c r="AX221">
        <f>MIN(K221/4000, 1)*20</f>
        <v>20</v>
      </c>
      <c r="AY221">
        <f>MIN(W221/400,1)*20</f>
        <v>11</v>
      </c>
      <c r="AZ221" s="4">
        <v>1</v>
      </c>
      <c r="BA221">
        <f>((MAX($J221,1)*MIN($AE221/300,1)))*IF(D221="Wagon",50,10)</f>
        <v>26</v>
      </c>
      <c r="BB221">
        <f>VLOOKUP($E221,Constants!$I:$K, 2, FALSE)</f>
        <v>0.85</v>
      </c>
      <c r="BC221">
        <f>VLOOKUP($E221,Constants!$I:$K, 3, FALSE)*IF(AND(D221="multiple_unit",Y221&lt;110),0.75,1)</f>
        <v>2.4</v>
      </c>
      <c r="BD221">
        <f>INT(POWER(((Constants!$G$2+$AW221+$AX221+$AY221+$BA221)*$AZ221)*$BC221, 1.05))+$AV221</f>
        <v>254</v>
      </c>
      <c r="BE221">
        <f>INT(POWER((((Constants!$G$1+$AW221+$AX221+$AY221+$BA221)*(1/$AZ221))*$BB221),IF($D221="wagon",1,1.2)))+$AU221</f>
        <v>211</v>
      </c>
      <c r="BF221" s="15">
        <f>BD221*IF($D221="wagon",62.5,781.25)</f>
        <v>198437.5</v>
      </c>
      <c r="BG221" s="15">
        <f>BE221*IF($D221="wagon",2.73,81.25)</f>
        <v>17143.75</v>
      </c>
      <c r="BO221" t="s">
        <v>1208</v>
      </c>
      <c r="BP221">
        <v>11</v>
      </c>
      <c r="BQ221">
        <v>232</v>
      </c>
      <c r="BS221" t="s">
        <v>323</v>
      </c>
      <c r="BT221" t="str">
        <f>VLOOKUP(G221,Eras!$A$2:$C$10, 2, TRUE)</f>
        <v>lbr</v>
      </c>
      <c r="BU221" t="s">
        <v>374</v>
      </c>
      <c r="BV221" t="str">
        <f>CONCATENATE(BT221,"_",BU221)</f>
        <v>lbr_EMU (Express)</v>
      </c>
      <c r="BW221" t="str">
        <f>IF(AND(BI221&lt;&gt;Y221,BI221&lt;&gt;""),_xlfn.CONCAT("{BLACK}","Tare speed: ","{GOLD}{VELOCITY}{}"), "")</f>
        <v/>
      </c>
      <c r="BX221" t="str">
        <f>_xlfn.CONCAT(E221, "_",F221)</f>
        <v>dual_electric_DUAL_POWER</v>
      </c>
      <c r="BY221" t="str">
        <f>VLOOKUP($BX221, Constants!$M:$N, 2, FALSE)</f>
        <v>{BLACK}Powered by: {GOLD}25kV AC / 750V DC</v>
      </c>
      <c r="BZ221" t="str">
        <f>IF(J221&gt;1,_xlfn.CONCAT("{BLACK}Cars: {GOLD}", J221),"")</f>
        <v>{BLACK}Cars: {GOLD}20</v>
      </c>
      <c r="CA221" t="s">
        <v>744</v>
      </c>
      <c r="CB221" t="str">
        <f>IF(BS221="BRAKE","{YELLOW}Speed bonus for slow wagons{}",IF(BQ221&gt;190,CONCATENATE("{YELLOW}",INT((BQ221-185)/1.85),"% Bonus for long distance travel{}"),IF(AND(BQ221&lt;180,BQ221&lt;&gt;0),CONCATENATE("{YELLOW}",INT((185-BQ221)/1.85),"% Penalty for long distance travel{}"),"")))</f>
        <v>{YELLOW}25% Bonus for long distance travel{}</v>
      </c>
      <c r="CC221" t="str">
        <f>_xlfn.CONCAT(BW221,BY221,IF(BY221 &lt;&gt; "", " ", ""),BZ221,IF(OR(BZ221&lt;&gt;"", BY221&lt;&gt;""), "{}",""), CB221,"{SILVER}", CA221)</f>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1182</v>
      </c>
      <c r="C222">
        <v>475</v>
      </c>
      <c r="D222" t="s">
        <v>444</v>
      </c>
      <c r="E222" t="s">
        <v>596</v>
      </c>
      <c r="F222" t="s">
        <v>595</v>
      </c>
      <c r="G222">
        <v>1992</v>
      </c>
      <c r="H222">
        <v>1996</v>
      </c>
      <c r="J222">
        <v>8</v>
      </c>
      <c r="K222">
        <v>16400</v>
      </c>
      <c r="L222" s="9">
        <v>4600</v>
      </c>
      <c r="T222">
        <f>(752/20)*8</f>
        <v>300.8</v>
      </c>
      <c r="V222">
        <v>40</v>
      </c>
      <c r="W222">
        <v>220</v>
      </c>
      <c r="X222" s="4">
        <f>IF(AND(T222&gt;0,W222&gt;0),(W222/((T222+U222)*10)),"")</f>
        <v>7.3138297872340427E-2</v>
      </c>
      <c r="Y222">
        <v>186</v>
      </c>
      <c r="AA222">
        <v>22.15</v>
      </c>
      <c r="AB222">
        <v>22.15</v>
      </c>
      <c r="AC222">
        <v>2.81</v>
      </c>
      <c r="AE222" s="11">
        <v>39</v>
      </c>
      <c r="AF222" t="str">
        <f>CONCATENATE(VLOOKUP(AG222, 'Voxel Sizes'!$A$2:$B$18,2,FALSE),"x",INT(AC222*15), "x", INT(AD222*15))</f>
        <v>214x42x0</v>
      </c>
      <c r="AG222">
        <f>ROUND(15*((AB222*10)/256),0)</f>
        <v>13</v>
      </c>
      <c r="AI222" t="str">
        <f>CONCATENATE(VLOOKUP(AG222,Constants!$A$2:$C$16,IF(AH222&lt;&gt;"", 3, 2), FALSE),IF(AH222&lt;&gt;"",CONCATENATE(",",VLOOKUP(AH222,$B:$AI,34,FALSE)),""))</f>
        <v>4,5,4</v>
      </c>
      <c r="AK222" s="13" t="s">
        <v>1297</v>
      </c>
      <c r="AL222" s="13" t="s">
        <v>1302</v>
      </c>
      <c r="AM222" t="s">
        <v>746</v>
      </c>
      <c r="AN222" t="s">
        <v>692</v>
      </c>
      <c r="AO222" t="s">
        <v>747</v>
      </c>
      <c r="AP222" t="s">
        <v>692</v>
      </c>
      <c r="AS222">
        <v>25</v>
      </c>
      <c r="AT222" t="str">
        <f>IF(I222&lt;&gt;"",MAX(8,(I222-G222)-4),"")</f>
        <v/>
      </c>
      <c r="AW222">
        <f>MIN(Y222/150, 1)*30</f>
        <v>30</v>
      </c>
      <c r="AX222">
        <f>MIN(K222/4000, 1)*20</f>
        <v>20</v>
      </c>
      <c r="AY222">
        <f>MIN(W222/400,1)*20</f>
        <v>11</v>
      </c>
      <c r="AZ222" s="4">
        <v>1</v>
      </c>
      <c r="BA222">
        <f>((MAX($J222,1)*MIN($AE222/300,1)))*IF(D222="Wagon",50,10)</f>
        <v>10.4</v>
      </c>
      <c r="BB222">
        <f>VLOOKUP($E222,Constants!$I:$K, 2, FALSE)</f>
        <v>0.85</v>
      </c>
      <c r="BC222">
        <f>VLOOKUP($E222,Constants!$I:$K, 3, FALSE)*IF(AND(D222="multiple_unit",Y222&lt;110),0.75,1)</f>
        <v>2.4</v>
      </c>
      <c r="BD222">
        <f>INT(POWER(((Constants!$G$2+$AW222+$AX222+$AY222+$BA222)*$AZ222)*$BC222, 1.05))+$AV222</f>
        <v>237</v>
      </c>
      <c r="BE222">
        <f>INT(POWER((((Constants!$G$1+$AW222+$AX222+$AY222+$BA222)*(1/$AZ222))*$BB222),IF($D222="wagon",1,1.2)))+$AU222</f>
        <v>173</v>
      </c>
      <c r="BF222" s="15">
        <f>BD222*IF($D222="wagon",62.5,781.25)</f>
        <v>185156.25</v>
      </c>
      <c r="BG222" s="15">
        <f>BE222*IF($D222="wagon",2.73,81.25)</f>
        <v>14056.25</v>
      </c>
      <c r="BO222" t="s">
        <v>1207</v>
      </c>
      <c r="BP222">
        <v>11</v>
      </c>
      <c r="BQ222">
        <v>232</v>
      </c>
      <c r="BS222" t="s">
        <v>323</v>
      </c>
      <c r="BT222" t="str">
        <f>VLOOKUP(G222,Eras!$A$2:$C$10, 2, TRUE)</f>
        <v>lbr</v>
      </c>
      <c r="BU222" t="s">
        <v>374</v>
      </c>
      <c r="BV222" t="str">
        <f>CONCATENATE(BT222,"_",BU222)</f>
        <v>lbr_EMU (Express)</v>
      </c>
      <c r="BW222" t="str">
        <f>IF(AND(BI222&lt;&gt;Y222,BI222&lt;&gt;""),_xlfn.CONCAT("{BLACK}","Tare speed: ","{GOLD}{VELOCITY}{}"), "")</f>
        <v/>
      </c>
      <c r="BX222" t="str">
        <f>_xlfn.CONCAT(E222, "_",F222)</f>
        <v>dual_electric_DUAL_POWER</v>
      </c>
      <c r="BY222" t="str">
        <f>VLOOKUP($BX222, Constants!$M:$N, 2, FALSE)</f>
        <v>{BLACK}Powered by: {GOLD}25kV AC / 750V DC</v>
      </c>
      <c r="BZ222" t="str">
        <f>IF(J222&gt;1,_xlfn.CONCAT("{BLACK}Cars: {GOLD}", J222),"")</f>
        <v>{BLACK}Cars: {GOLD}8</v>
      </c>
      <c r="CA222" t="s">
        <v>744</v>
      </c>
      <c r="CB222" t="str">
        <f>IF(BS222="BRAKE","{YELLOW}Speed bonus for slow wagons{}",IF(BQ222&gt;190,CONCATENATE("{YELLOW}",INT((BQ222-185)/1.85),"% Bonus for long distance travel{}"),IF(AND(BQ222&lt;180,BQ222&lt;&gt;0),CONCATENATE("{YELLOW}",INT((185-BQ222)/1.85),"% Penalty for long distance travel{}"),"")))</f>
        <v>{YELLOW}25% Bonus for long distance travel{}</v>
      </c>
      <c r="CC222" t="str">
        <f>_xlfn.CONCAT(BW222,BY222,IF(BY222 &lt;&gt; "", " ", ""),BZ222,IF(OR(BZ222&lt;&gt;"", BY222&lt;&gt;""), "{}",""), CB222,"{SILVER}", CA222)</f>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691</v>
      </c>
      <c r="B223" t="s">
        <v>1183</v>
      </c>
      <c r="C223">
        <v>476</v>
      </c>
      <c r="D223" t="s">
        <v>444</v>
      </c>
      <c r="E223" t="s">
        <v>596</v>
      </c>
      <c r="F223" t="s">
        <v>595</v>
      </c>
      <c r="G223">
        <v>1992</v>
      </c>
      <c r="H223">
        <v>1996</v>
      </c>
      <c r="J223">
        <v>5</v>
      </c>
      <c r="K223">
        <v>16400</v>
      </c>
      <c r="L223" s="9">
        <v>4600</v>
      </c>
      <c r="T223">
        <f>(752/20)*5</f>
        <v>188</v>
      </c>
      <c r="V223">
        <v>30</v>
      </c>
      <c r="W223">
        <v>220</v>
      </c>
      <c r="X223" s="4">
        <f>IF(AND(T223&gt;0,W223&gt;0),(W223/((T223+U223)*10)),"")</f>
        <v>0.11702127659574468</v>
      </c>
      <c r="Y223">
        <v>186</v>
      </c>
      <c r="AA223">
        <v>22.15</v>
      </c>
      <c r="AB223">
        <v>22.15</v>
      </c>
      <c r="AC223">
        <v>2.81</v>
      </c>
      <c r="AE223" s="11">
        <v>39</v>
      </c>
      <c r="AF223" t="str">
        <f>CONCATENATE(VLOOKUP(AG223, 'Voxel Sizes'!$A$2:$B$18,2,FALSE),"x",INT(AC223*15), "x", INT(AD223*15))</f>
        <v>214x42x0</v>
      </c>
      <c r="AG223">
        <f>ROUND(15*((AB223*10)/256),0)</f>
        <v>13</v>
      </c>
      <c r="AI223" t="str">
        <f>CONCATENATE(VLOOKUP(AG223,Constants!$A$2:$C$16,IF(AH223&lt;&gt;"", 3, 2), FALSE),IF(AH223&lt;&gt;"",CONCATENATE(",",VLOOKUP(AH223,$B:$AI,34,FALSE)),""))</f>
        <v>4,5,4</v>
      </c>
      <c r="AK223" s="13" t="s">
        <v>1299</v>
      </c>
      <c r="AL223" s="13" t="s">
        <v>1303</v>
      </c>
      <c r="AM223" t="s">
        <v>1189</v>
      </c>
      <c r="AN223" t="s">
        <v>692</v>
      </c>
      <c r="AO223" t="s">
        <v>711</v>
      </c>
      <c r="AP223" t="s">
        <v>692</v>
      </c>
      <c r="AS223">
        <v>25</v>
      </c>
      <c r="AT223" t="str">
        <f>IF(I223&lt;&gt;"",MAX(8,(I223-G223)-4),"")</f>
        <v/>
      </c>
      <c r="AW223">
        <f>MIN(Y223/150, 1)*30</f>
        <v>30</v>
      </c>
      <c r="AX223">
        <f>MIN(K223/4000, 1)*20</f>
        <v>20</v>
      </c>
      <c r="AY223">
        <f>MIN(W223/400,1)*20</f>
        <v>11</v>
      </c>
      <c r="AZ223" s="4">
        <v>1</v>
      </c>
      <c r="BA223">
        <f>((MAX($J223,1)*MIN($AE223/300,1)))*IF(D223="Wagon",50,10)</f>
        <v>6.5</v>
      </c>
      <c r="BB223">
        <f>VLOOKUP($E223,Constants!$I:$K, 2, FALSE)</f>
        <v>0.85</v>
      </c>
      <c r="BC223">
        <f>VLOOKUP($E223,Constants!$I:$K, 3, FALSE)*IF(AND(D223="multiple_unit",Y223&lt;110),0.75,1)</f>
        <v>2.4</v>
      </c>
      <c r="BD223">
        <f>INT(POWER(((Constants!$G$2+$AW223+$AX223+$AY223+$BA223)*$AZ223)*$BC223, 1.05))+$AV223</f>
        <v>225</v>
      </c>
      <c r="BE223">
        <f>INT(POWER((((Constants!$G$1+$AW223+$AX223+$AY223+$BA223)*(1/$AZ223))*$BB223),IF($D223="wagon",1,1.2)))+$AU223</f>
        <v>164</v>
      </c>
      <c r="BF223" s="15">
        <f>BD223*IF($D223="wagon",62.5,781.25)</f>
        <v>175781.25</v>
      </c>
      <c r="BG223" s="15">
        <f>BE223*IF($D223="wagon",2.73,81.25)</f>
        <v>13325</v>
      </c>
      <c r="BO223" t="s">
        <v>1206</v>
      </c>
      <c r="BP223">
        <v>11</v>
      </c>
      <c r="BQ223">
        <v>232</v>
      </c>
      <c r="BS223" t="s">
        <v>323</v>
      </c>
      <c r="BT223" t="str">
        <f>VLOOKUP(G223,Eras!$A$2:$C$10, 2, TRUE)</f>
        <v>lbr</v>
      </c>
      <c r="BU223" t="s">
        <v>374</v>
      </c>
      <c r="BV223" t="str">
        <f>CONCATENATE(BT223,"_",BU223)</f>
        <v>lbr_EMU (Express)</v>
      </c>
      <c r="BW223" t="str">
        <f>IF(AND(BI223&lt;&gt;Y223,BI223&lt;&gt;""),_xlfn.CONCAT("{BLACK}","Tare speed: ","{GOLD}{VELOCITY}{}"), "")</f>
        <v/>
      </c>
      <c r="BX223" t="str">
        <f>_xlfn.CONCAT(E223, "_",F223)</f>
        <v>dual_electric_DUAL_POWER</v>
      </c>
      <c r="BY223" t="str">
        <f>VLOOKUP($BX223, Constants!$M:$N, 2, FALSE)</f>
        <v>{BLACK}Powered by: {GOLD}25kV AC / 750V DC</v>
      </c>
      <c r="BZ223" t="str">
        <f>IF(J223&gt;1,_xlfn.CONCAT("{BLACK}Cars: {GOLD}", J223),"")</f>
        <v>{BLACK}Cars: {GOLD}5</v>
      </c>
      <c r="CA223" t="s">
        <v>744</v>
      </c>
      <c r="CB223" t="str">
        <f>IF(BS223="BRAKE","{YELLOW}Speed bonus for slow wagons{}",IF(BQ223&gt;190,CONCATENATE("{YELLOW}",INT((BQ223-185)/1.85),"% Bonus for long distance travel{}"),IF(AND(BQ223&lt;180,BQ223&lt;&gt;0),CONCATENATE("{YELLOW}",INT((185-BQ223)/1.85),"% Penalty for long distance travel{}"),"")))</f>
        <v>{YELLOW}25% Bonus for long distance travel{}</v>
      </c>
      <c r="CC223" t="str">
        <f>_xlfn.CONCAT(BW223,BY223,IF(BY223 &lt;&gt; "", " ", ""),BZ223,IF(OR(BZ223&lt;&gt;"", BY223&lt;&gt;""), "{}",""), CB223,"{SILVER}", CA223)</f>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4" spans="1:81" x14ac:dyDescent="0.25">
      <c r="A224" t="s">
        <v>102</v>
      </c>
      <c r="B224" t="s">
        <v>219</v>
      </c>
      <c r="C224">
        <v>480</v>
      </c>
      <c r="D224" t="s">
        <v>444</v>
      </c>
      <c r="E224" t="s">
        <v>596</v>
      </c>
      <c r="F224" t="s">
        <v>595</v>
      </c>
      <c r="G224">
        <v>1995</v>
      </c>
      <c r="J224">
        <v>4</v>
      </c>
      <c r="K224">
        <v>1328</v>
      </c>
      <c r="T224">
        <v>138.5</v>
      </c>
      <c r="V224">
        <f>8*J224</f>
        <v>32</v>
      </c>
      <c r="W224">
        <v>160</v>
      </c>
      <c r="X224" s="4">
        <f>IF(AND(T224&gt;0,W224&gt;0),(W224/((T224+U224)*10)),"")</f>
        <v>0.11552346570397112</v>
      </c>
      <c r="Y224">
        <v>100</v>
      </c>
      <c r="AA224">
        <v>19.829999999999998</v>
      </c>
      <c r="AB224">
        <v>19.8</v>
      </c>
      <c r="AC224">
        <v>2.8</v>
      </c>
      <c r="AD224">
        <v>3.8</v>
      </c>
      <c r="AE224" s="11">
        <v>78</v>
      </c>
      <c r="AF224" t="str">
        <f>CONCATENATE(VLOOKUP(AG224, 'Voxel Sizes'!$A$2:$B$18,2,FALSE),"x",INT(AC224*15), "x", INT(AD224*15))</f>
        <v>198x42x57</v>
      </c>
      <c r="AG224">
        <f>ROUND(15*((AB224*10)/256),0)</f>
        <v>12</v>
      </c>
      <c r="AI224" t="str">
        <f>CONCATENATE(VLOOKUP(AG224,Constants!$A$2:$C$16,IF(AH224&lt;&gt;"", 3, 2), FALSE),IF(AH224&lt;&gt;"",CONCATENATE(",",VLOOKUP(AH224,$B:$AI,34,FALSE)),""))</f>
        <v>4,4,4</v>
      </c>
      <c r="AM224" t="s">
        <v>698</v>
      </c>
      <c r="AN224" t="s">
        <v>701</v>
      </c>
      <c r="AO224" t="s">
        <v>599</v>
      </c>
      <c r="AS224">
        <v>30</v>
      </c>
      <c r="AT224" t="str">
        <f>IF(I224&lt;&gt;"",MAX(8,(I224-G224)-4),"")</f>
        <v/>
      </c>
      <c r="AU224">
        <v>-15</v>
      </c>
      <c r="AV224">
        <v>-40</v>
      </c>
      <c r="AW224">
        <f>MIN(Y224/150, 1)*30</f>
        <v>20</v>
      </c>
      <c r="AX224">
        <f>MIN(K224/4000, 1)*20</f>
        <v>6.6400000000000006</v>
      </c>
      <c r="AY224">
        <f>MIN(W224/400,1)*20</f>
        <v>8</v>
      </c>
      <c r="AZ224" s="4">
        <v>1</v>
      </c>
      <c r="BA224">
        <f>((MAX($J224,1)*MIN($AE224/300,1)))*IF(D224="Wagon",50,10)</f>
        <v>10.4</v>
      </c>
      <c r="BB224">
        <f>VLOOKUP($E224,Constants!$I:$K, 2, FALSE)</f>
        <v>0.85</v>
      </c>
      <c r="BC224">
        <f>VLOOKUP($E224,Constants!$I:$K, 3, FALSE)*IF(AND(D224="multiple_unit",Y224&lt;110),0.75,1)</f>
        <v>1.7999999999999998</v>
      </c>
      <c r="BD224">
        <f>INT(POWER(((Constants!$G$2+$AW224+$AX224+$AY224+$BA224)*$AZ224)*$BC224, 1.05))+$AV224</f>
        <v>72</v>
      </c>
      <c r="BE224">
        <f>INT(POWER((((Constants!$G$1+$AW224+$AX224+$AY224+$BA224)*(1/$AZ224))*$BB224),IF($D224="wagon",1,1.2)))+$AU224</f>
        <v>97</v>
      </c>
      <c r="BF224" s="15">
        <f>BD224*IF($D224="wagon",62.5,781.25)</f>
        <v>56250</v>
      </c>
      <c r="BG224" s="15">
        <f>BE224*IF($D224="wagon",2.73,81.25)</f>
        <v>7881.25</v>
      </c>
      <c r="BP224">
        <v>2</v>
      </c>
      <c r="BQ224">
        <v>185</v>
      </c>
      <c r="BS224" t="s">
        <v>699</v>
      </c>
      <c r="BT224" t="str">
        <f>VLOOKUP(G224,Eras!$A$2:$C$10, 2, TRUE)</f>
        <v>prv</v>
      </c>
      <c r="BU224" t="s">
        <v>372</v>
      </c>
      <c r="BV224" t="str">
        <f>CONCATENATE(BT224,"_",BU224)</f>
        <v>prv_DMU (Express)</v>
      </c>
      <c r="BW224" t="str">
        <f>IF(AND(BI224&lt;&gt;Y224,BI224&lt;&gt;""),_xlfn.CONCAT("{BLACK}","Tare speed: ","{GOLD}{VELOCITY}{}"), "")</f>
        <v/>
      </c>
      <c r="BX224" t="str">
        <f>_xlfn.CONCAT(E224, "_",F224)</f>
        <v>dual_electric_DUAL_POWER</v>
      </c>
      <c r="BY224" t="str">
        <f>VLOOKUP($BX224, Constants!$M:$N, 2, FALSE)</f>
        <v>{BLACK}Powered by: {GOLD}25kV AC / 750V DC</v>
      </c>
      <c r="BZ224" t="str">
        <f>IF(J224&gt;1,_xlfn.CONCAT("{BLACK}Cars: {GOLD}", J224),"")</f>
        <v>{BLACK}Cars: {GOLD}4</v>
      </c>
      <c r="CA224" t="s">
        <v>700</v>
      </c>
      <c r="CB224" t="str">
        <f>IF(BS224="BRAKE","{YELLOW}Speed bonus for slow wagons{}",IF(BQ224&gt;190,CONCATENATE("{YELLOW}",INT((BQ224-185)/1.85),"% Bonus for long distance travel{}"),IF(AND(BQ224&lt;180,BQ224&lt;&gt;0),CONCATENATE("{YELLOW}",INT((185-BQ224)/1.85),"% Penalty for long distance travel{}"),"")))</f>
        <v/>
      </c>
      <c r="CC224" t="str">
        <f>_xlfn.CONCAT(BW224,BY224,IF(BY224 &lt;&gt; "", " ", ""),BZ224,IF(OR(BZ224&lt;&gt;"", BY224&lt;&gt;""), "{}",""), CB224,"{SILVER}", CA224)</f>
        <v>{BLACK}Powered by: {GOLD}25kV AC / 750V DC {BLACK}Cars: {GOLD}4{}{SILVER}The Class 325 is a multiple unit designed for carrying mail and parcels more economically than a locomotive-hauled train. It is based on Class 319 hardware.</v>
      </c>
    </row>
    <row r="225" spans="1:81" x14ac:dyDescent="0.25">
      <c r="A225" t="s">
        <v>90</v>
      </c>
      <c r="B225" t="s">
        <v>636</v>
      </c>
      <c r="C225">
        <v>482</v>
      </c>
      <c r="D225" t="s">
        <v>444</v>
      </c>
      <c r="E225" t="s">
        <v>312</v>
      </c>
      <c r="F225" t="s">
        <v>314</v>
      </c>
      <c r="G225">
        <v>1998</v>
      </c>
      <c r="H225">
        <v>2005</v>
      </c>
      <c r="J225">
        <v>3</v>
      </c>
      <c r="K225">
        <v>1266</v>
      </c>
      <c r="T225">
        <v>135</v>
      </c>
      <c r="V225">
        <f>8*J225</f>
        <v>24</v>
      </c>
      <c r="W225">
        <v>180</v>
      </c>
      <c r="X225" s="4">
        <f>IF(AND(T225&gt;0,W225&gt;0),(W225/((T225+U225)*10)),"")</f>
        <v>0.13333333333333333</v>
      </c>
      <c r="Y225">
        <v>100</v>
      </c>
      <c r="AA225">
        <v>23.62</v>
      </c>
      <c r="AB225">
        <v>21</v>
      </c>
      <c r="AC225">
        <v>2.69</v>
      </c>
      <c r="AD225">
        <v>3.77</v>
      </c>
      <c r="AE225" s="11">
        <v>63</v>
      </c>
      <c r="AF225" t="str">
        <f>CONCATENATE(VLOOKUP(AG225, 'Voxel Sizes'!$A$2:$B$18,2,FALSE),"x",INT(AC225*15), "x", INT(AD225*15))</f>
        <v>198x40x56</v>
      </c>
      <c r="AG225">
        <f>ROUND(15*((AB225*10)/256),0)</f>
        <v>12</v>
      </c>
      <c r="AI225" t="str">
        <f>CONCATENATE(VLOOKUP(AG225,Constants!$A$2:$C$16,IF(AH225&lt;&gt;"", 3, 2), FALSE),IF(AH225&lt;&gt;"",CONCATENATE(",",VLOOKUP(AH225,$B:$AI,34,FALSE)),""))</f>
        <v>4,4,4</v>
      </c>
      <c r="AM225" t="s">
        <v>635</v>
      </c>
      <c r="AO225" t="s">
        <v>332</v>
      </c>
      <c r="AS225">
        <v>29</v>
      </c>
      <c r="AT225" t="str">
        <f>IF(I225&lt;&gt;"",MAX(8,(I225-G225)-4),"")</f>
        <v/>
      </c>
      <c r="AU225">
        <v>-15</v>
      </c>
      <c r="AV225">
        <v>-25</v>
      </c>
      <c r="AW225">
        <f>MIN(Y225/150, 1)*30</f>
        <v>20</v>
      </c>
      <c r="AX225">
        <f>MIN(K225/4000, 1)*20</f>
        <v>6.33</v>
      </c>
      <c r="AY225">
        <f>MIN(W225/400,1)*20</f>
        <v>9</v>
      </c>
      <c r="AZ225" s="4">
        <v>1</v>
      </c>
      <c r="BA225">
        <f>((MAX($J225,1)*MIN($AE225/300,1)))*IF(D225="Wagon",50,10)</f>
        <v>6.3</v>
      </c>
      <c r="BB225">
        <f>VLOOKUP($E225,Constants!$I:$K, 2, FALSE)</f>
        <v>1</v>
      </c>
      <c r="BC225">
        <f>VLOOKUP($E225,Constants!$I:$K, 3, FALSE)*IF(AND(D225="multiple_unit",Y225&lt;110),0.75,1)</f>
        <v>1.5</v>
      </c>
      <c r="BD225">
        <f>INT(POWER(((Constants!$G$2+$AW225+$AX225+$AY225+$BA225)*$AZ225)*$BC225, 1.05))+$AV225</f>
        <v>61</v>
      </c>
      <c r="BE225">
        <f>INT(POWER((((Constants!$G$1+$AW225+$AX225+$AY225+$BA225)*(1/$AZ225))*$BB225),IF($D225="wagon",1,1.2)))+$AU225</f>
        <v>111</v>
      </c>
      <c r="BF225" s="15">
        <f>BD225*IF($D225="wagon",62.5,781.25)</f>
        <v>47656.25</v>
      </c>
      <c r="BG225" s="15">
        <f>BE225*IF($D225="wagon",2.73,81.25)</f>
        <v>9018.75</v>
      </c>
      <c r="BM225" t="s">
        <v>1174</v>
      </c>
      <c r="BP225">
        <v>3</v>
      </c>
      <c r="BQ225">
        <v>185</v>
      </c>
      <c r="BS225" t="s">
        <v>323</v>
      </c>
      <c r="BT225" t="str">
        <f>VLOOKUP(G225,Eras!$A$2:$C$10, 2, TRUE)</f>
        <v>prv</v>
      </c>
      <c r="BU225" t="s">
        <v>371</v>
      </c>
      <c r="BV225" t="str">
        <f>CONCATENATE(BT225,"_",BU225)</f>
        <v>prv_DMU</v>
      </c>
      <c r="BW225" t="str">
        <f>IF(AND(BI225&lt;&gt;Y225,BI225&lt;&gt;""),_xlfn.CONCAT("{BLACK}","Tare speed: ","{GOLD}{VELOCITY}{}"), "")</f>
        <v/>
      </c>
      <c r="BX225" t="str">
        <f>_xlfn.CONCAT(E225, "_",F225)</f>
        <v>diesel_RAIL</v>
      </c>
      <c r="BY225" t="str">
        <f>VLOOKUP($BX225, Constants!$M:$N, 2, FALSE)</f>
        <v>{BLACK}Powered by: {GOLD}Diesel</v>
      </c>
      <c r="BZ225" t="str">
        <f>IF(J225&gt;1,_xlfn.CONCAT("{BLACK}Cars: {GOLD}", J225),"")</f>
        <v>{BLACK}Cars: {GOLD}3</v>
      </c>
      <c r="CA225" t="s">
        <v>634</v>
      </c>
      <c r="CB225" t="str">
        <f>IF(BS225="BRAKE","{YELLOW}Speed bonus for slow wagons{}",IF(BQ225&gt;190,CONCATENATE("{YELLOW}",INT((BQ225-185)/1.85),"% Bonus for long distance travel{}"),IF(AND(BQ225&lt;180,BQ225&lt;&gt;0),CONCATENATE("{YELLOW}",INT((185-BQ225)/1.85),"% Penalty for long distance travel{}"),"")))</f>
        <v/>
      </c>
      <c r="CC225" t="str">
        <f>_xlfn.CONCAT(BW225,BY225,IF(BY225 &lt;&gt; "", " ", ""),BZ225,IF(OR(BZ225&lt;&gt;"", BY225&lt;&gt;""), "{}",""), CB225,"{SILVER}", CA225)</f>
        <v>{BLACK}Powered by: {GOLD}Diesel {BLACK}Cars: {GOLD}3{}{SILVER}The Turbostar is a further development of the BR "Networker" units. It is used for regional and long distance services.</v>
      </c>
    </row>
    <row r="226" spans="1:81" x14ac:dyDescent="0.25">
      <c r="A226" t="s">
        <v>1333</v>
      </c>
      <c r="B226" t="s">
        <v>1334</v>
      </c>
      <c r="C226">
        <v>483</v>
      </c>
      <c r="D226" t="s">
        <v>444</v>
      </c>
      <c r="E226" t="s">
        <v>312</v>
      </c>
      <c r="F226" t="s">
        <v>314</v>
      </c>
      <c r="G226">
        <v>2000</v>
      </c>
      <c r="J226">
        <v>2</v>
      </c>
      <c r="K226">
        <f>450*2</f>
        <v>900</v>
      </c>
      <c r="T226">
        <v>98</v>
      </c>
      <c r="V226">
        <f>8*J226</f>
        <v>16</v>
      </c>
      <c r="W226">
        <v>120</v>
      </c>
      <c r="X226" s="4">
        <f>IF(AND(T226&gt;0,W226&gt;0),(W226/((T226+U226)*10)),"")</f>
        <v>0.12244897959183673</v>
      </c>
      <c r="Y226">
        <v>100</v>
      </c>
      <c r="AA226">
        <v>23.71</v>
      </c>
      <c r="AB226">
        <v>23.71</v>
      </c>
      <c r="AE226" s="11">
        <v>69</v>
      </c>
      <c r="AF226" t="str">
        <f>CONCATENATE(VLOOKUP(AG226, 'Voxel Sizes'!$A$2:$B$18,2,FALSE),"x",INT(AC226*15), "x", INT(AD226*15))</f>
        <v>238x0x0</v>
      </c>
      <c r="AG226">
        <f>ROUND(15*((AB226*10)/256),0)</f>
        <v>14</v>
      </c>
      <c r="AI226" t="str">
        <f>CONCATENATE(VLOOKUP(AG226,Constants!$A$2:$C$16,IF(AH226&lt;&gt;"", 3, 2), FALSE),IF(AH226&lt;&gt;"",CONCATENATE(",",VLOOKUP(AH226,$B:$AI,34,FALSE)),""))</f>
        <v>4,6,4</v>
      </c>
      <c r="AM226" t="s">
        <v>1336</v>
      </c>
      <c r="AO226" t="s">
        <v>508</v>
      </c>
      <c r="AS226">
        <v>22</v>
      </c>
      <c r="AT226" t="str">
        <f>IF(I226&lt;&gt;"",MAX(8,(I226-G226)-4),"")</f>
        <v/>
      </c>
      <c r="AU226">
        <v>-6</v>
      </c>
      <c r="AV226">
        <v>-25</v>
      </c>
      <c r="AW226">
        <f>MIN(Y226/150, 1)*30</f>
        <v>20</v>
      </c>
      <c r="AX226">
        <f>MIN(K226/4000, 1)*20</f>
        <v>4.5</v>
      </c>
      <c r="AY226">
        <f>MIN(W226/400,1)*20</f>
        <v>6</v>
      </c>
      <c r="AZ226" s="4">
        <v>1</v>
      </c>
      <c r="BA226">
        <f>((MAX($J226,1)*MIN($AE226/300,1)))*IF(D226="Wagon",50,10)</f>
        <v>4.6000000000000005</v>
      </c>
      <c r="BB226">
        <f>VLOOKUP($E226,Constants!$I:$K, 2, FALSE)</f>
        <v>1</v>
      </c>
      <c r="BC226">
        <f>VLOOKUP($E226,Constants!$I:$K, 3, FALSE)*IF(AND(D226="multiple_unit",Y226&lt;110),0.75,1)</f>
        <v>1.5</v>
      </c>
      <c r="BD226">
        <f>INT(POWER(((Constants!$G$2+$AW226+$AX226+$AY226+$BA226)*$AZ226)*$BC226, 1.05))+$AV226</f>
        <v>48</v>
      </c>
      <c r="BE226">
        <f>INT(POWER((((Constants!$G$1+$AW226+$AX226+$AY226+$BA226)*(1/$AZ226))*$BB226),IF($D226="wagon",1,1.2)))+$AU226</f>
        <v>103</v>
      </c>
      <c r="BF226" s="15">
        <f>BD226*IF($D226="wagon",62.5,781.25)</f>
        <v>37500</v>
      </c>
      <c r="BG226" s="15">
        <f>BE226*IF($D226="wagon",2.73,81.25)</f>
        <v>8368.75</v>
      </c>
      <c r="BP226">
        <v>4</v>
      </c>
      <c r="BS226" t="s">
        <v>323</v>
      </c>
      <c r="BT226" t="str">
        <f>VLOOKUP(G226,Eras!$A$2:$C$10, 2, TRUE)</f>
        <v>prv</v>
      </c>
      <c r="BU226" t="s">
        <v>371</v>
      </c>
      <c r="BV226" t="str">
        <f>CONCATENATE(BT226,"_",BU226)</f>
        <v>prv_DMU</v>
      </c>
      <c r="BX226" t="str">
        <f>_xlfn.CONCAT(E226, "_",F226)</f>
        <v>diesel_RAIL</v>
      </c>
      <c r="CA226" t="s">
        <v>1335</v>
      </c>
      <c r="CC226" t="str">
        <f>_xlfn.CONCAT(BW226,BY226,IF(BY226 &lt;&gt; "", " ", ""),BZ226,IF(OR(BZ226&lt;&gt;"", BY226&lt;&gt;""), "{}",""), CB226,"{SILVER}", CA226)</f>
        <v>{SILVER}Originally operated by First North Western, the Class 175s were cascaded to services in Wales. They suffered early reliability problems, but work on braking systems and bogies has made a significant improvement.</v>
      </c>
    </row>
    <row r="227" spans="1:81" x14ac:dyDescent="0.25">
      <c r="A227" t="s">
        <v>621</v>
      </c>
      <c r="B227" t="s">
        <v>626</v>
      </c>
      <c r="C227">
        <v>484</v>
      </c>
      <c r="D227" t="s">
        <v>444</v>
      </c>
      <c r="E227" t="s">
        <v>336</v>
      </c>
      <c r="F227" t="s">
        <v>343</v>
      </c>
      <c r="G227">
        <v>2000</v>
      </c>
      <c r="H227">
        <v>2001</v>
      </c>
      <c r="I227">
        <v>2012</v>
      </c>
      <c r="J227">
        <v>8</v>
      </c>
      <c r="K227">
        <v>3620</v>
      </c>
      <c r="T227">
        <v>319</v>
      </c>
      <c r="V227">
        <v>48</v>
      </c>
      <c r="W227">
        <v>240</v>
      </c>
      <c r="X227" s="4">
        <f>IF(AND(T227&gt;0,W227&gt;0),(W227/((T227+U227)*10)),"")</f>
        <v>7.5235109717868343E-2</v>
      </c>
      <c r="Y227">
        <v>100</v>
      </c>
      <c r="AB227">
        <v>21</v>
      </c>
      <c r="AE227" s="11">
        <f>23*3</f>
        <v>69</v>
      </c>
      <c r="AF227" t="str">
        <f>CONCATENATE(VLOOKUP(AG227, 'Voxel Sizes'!$A$2:$B$18,2,FALSE),"x",INT(AC227*15), "x", INT(AD227*15))</f>
        <v>198x0x0</v>
      </c>
      <c r="AG227">
        <f>ROUND(15*((AB227*10)/256),0)</f>
        <v>12</v>
      </c>
      <c r="AI227" t="str">
        <f>CONCATENATE(VLOOKUP(AG227,Constants!$A$2:$C$16,IF(AH227&lt;&gt;"", 3, 2), FALSE),IF(AH227&lt;&gt;"",CONCATENATE(",",VLOOKUP(AH227,$B:$AI,34,FALSE)),""))</f>
        <v>4,4,4</v>
      </c>
      <c r="AM227" t="s">
        <v>629</v>
      </c>
      <c r="AO227" t="s">
        <v>628</v>
      </c>
      <c r="AS227">
        <v>27</v>
      </c>
      <c r="AT227">
        <f>IF(I227&lt;&gt;"",MAX(8,(I227-G227)-4),"")</f>
        <v>8</v>
      </c>
      <c r="AU227">
        <v>-15</v>
      </c>
      <c r="AV227">
        <v>-30</v>
      </c>
      <c r="AW227">
        <f>MIN(Y227/150, 1)*30</f>
        <v>20</v>
      </c>
      <c r="AX227">
        <f>MIN(K227/4000, 1)*20</f>
        <v>18.100000000000001</v>
      </c>
      <c r="AY227">
        <f>MIN(W227/400,1)*20</f>
        <v>12</v>
      </c>
      <c r="AZ227" s="4">
        <v>1</v>
      </c>
      <c r="BA227">
        <f>((MAX($J227,1)*MIN($AE227/300,1)))*IF(D227="Wagon",50,10)</f>
        <v>18.400000000000002</v>
      </c>
      <c r="BB227">
        <f>VLOOKUP($E227,Constants!$I:$K, 2, FALSE)</f>
        <v>0.85</v>
      </c>
      <c r="BC227">
        <f>VLOOKUP($E227,Constants!$I:$K, 3, FALSE)*IF(AND(D227="multiple_unit",Y227&lt;110),0.75,1)</f>
        <v>1.7249999999999999</v>
      </c>
      <c r="BD227">
        <f>INT(POWER(((Constants!$G$2+$AW227+$AX227+$AY227+$BA227)*$AZ227)*$BC227, 1.05))+$AV227</f>
        <v>131</v>
      </c>
      <c r="BE227">
        <f>INT(POWER((((Constants!$G$1+$AW227+$AX227+$AY227+$BA227)*(1/$AZ227))*$BB227),IF($D227="wagon",1,1.2)))+$AU227</f>
        <v>151</v>
      </c>
      <c r="BF227" s="15">
        <f>BD227*IF($D227="wagon",62.5,781.25)</f>
        <v>102343.75</v>
      </c>
      <c r="BG227" s="15">
        <f>BE227*IF($D227="wagon",2.73,81.25)</f>
        <v>12268.75</v>
      </c>
      <c r="BO227" t="s">
        <v>1204</v>
      </c>
      <c r="BP227">
        <v>4</v>
      </c>
      <c r="BQ227">
        <v>205</v>
      </c>
      <c r="BS227" t="s">
        <v>323</v>
      </c>
      <c r="BT227" t="str">
        <f>VLOOKUP(G227,Eras!$A$2:$C$10, 2, TRUE)</f>
        <v>prv</v>
      </c>
      <c r="BU227" t="s">
        <v>374</v>
      </c>
      <c r="BV227" t="str">
        <f>CONCATENATE(BT227,"_",BU227)</f>
        <v>prv_EMU (Express)</v>
      </c>
      <c r="BW227" t="str">
        <f>IF(AND(BI227&lt;&gt;Y227,BI227&lt;&gt;""),_xlfn.CONCAT("{BLACK}","Tare speed: ","{GOLD}{VELOCITY}{}"), "")</f>
        <v/>
      </c>
      <c r="BX227" t="str">
        <f>_xlfn.CONCAT(E227, "_",F227)</f>
        <v>electric_THIRD_RAIL</v>
      </c>
      <c r="BY227" t="str">
        <f>VLOOKUP($BX227, Constants!$M:$N, 2, FALSE)</f>
        <v>{BLACK}Powered by: {GOLD}750V DC</v>
      </c>
      <c r="BZ227" t="str">
        <f>IF(J227&gt;1,_xlfn.CONCAT("{BLACK}Cars: {GOLD}", J227),"")</f>
        <v>{BLACK}Cars: {GOLD}8</v>
      </c>
      <c r="CA227" t="s">
        <v>627</v>
      </c>
      <c r="CB227" t="str">
        <f>IF(BS227="BRAKE","{YELLOW}Speed bonus for slow wagons{}",IF(BQ227&gt;190,CONCATENATE("{YELLOW}",INT((BQ227-185)/1.85),"% Bonus for long distance travel{}"),IF(AND(BQ227&lt;180,BQ227&lt;&gt;0),CONCATENATE("{YELLOW}",INT((185-BQ227)/1.85),"% Penalty for long distance travel{}"),"")))</f>
        <v>{YELLOW}10% Bonus for long distance travel{}</v>
      </c>
      <c r="CC227" t="str">
        <f>_xlfn.CONCAT(BW227,BY227,IF(BY227 &lt;&gt; "", " ", ""),BZ227,IF(OR(BZ227&lt;&gt;"", BY227&lt;&gt;""), "{}",""), CB227,"{SILVER}", CA227)</f>
        <v>{BLACK}Powered by: {GOLD}750V DC {BLACK}Cars: {GOLD}8{}{YELLOW}10% Bonus for long distance travel{}{SILVER}The Class 460 was built to replace locomotive-hauled services on the Gatwick Express. It had a short service life, with most units converted to Class 458/5 for suburban use.</v>
      </c>
    </row>
    <row r="228" spans="1:81" x14ac:dyDescent="0.25">
      <c r="A228" t="s">
        <v>621</v>
      </c>
      <c r="B228" t="s">
        <v>1197</v>
      </c>
      <c r="C228">
        <v>485</v>
      </c>
      <c r="D228" t="s">
        <v>444</v>
      </c>
      <c r="E228" t="s">
        <v>336</v>
      </c>
      <c r="F228" t="s">
        <v>343</v>
      </c>
      <c r="G228">
        <v>2000</v>
      </c>
      <c r="H228">
        <v>2001</v>
      </c>
      <c r="I228">
        <v>2012</v>
      </c>
      <c r="J228">
        <v>5</v>
      </c>
      <c r="K228">
        <v>3620</v>
      </c>
      <c r="T228">
        <f>319/8*5</f>
        <v>199.375</v>
      </c>
      <c r="V228">
        <f>8*J228</f>
        <v>40</v>
      </c>
      <c r="W228">
        <v>240</v>
      </c>
      <c r="X228" s="4">
        <f>IF(AND(T228&gt;0,W228&gt;0),(W228/((T228+U228)*10)),"")</f>
        <v>0.12037617554858934</v>
      </c>
      <c r="Y228">
        <v>100</v>
      </c>
      <c r="AB228">
        <v>21</v>
      </c>
      <c r="AE228" s="11">
        <f>23*3</f>
        <v>69</v>
      </c>
      <c r="AF228" t="str">
        <f>CONCATENATE(VLOOKUP(AG228, 'Voxel Sizes'!$A$2:$B$18,2,FALSE),"x",INT(AC228*15), "x", INT(AD228*15))</f>
        <v>198x0x0</v>
      </c>
      <c r="AG228">
        <f>ROUND(15*((AB228*10)/256),0)</f>
        <v>12</v>
      </c>
      <c r="AI228" t="str">
        <f>CONCATENATE(VLOOKUP(AG228,Constants!$A$2:$C$16,IF(AH228&lt;&gt;"", 3, 2), FALSE),IF(AH228&lt;&gt;"",CONCATENATE(",",VLOOKUP(AH228,$B:$AI,34,FALSE)),""))</f>
        <v>4,4,4</v>
      </c>
      <c r="AM228" t="s">
        <v>1198</v>
      </c>
      <c r="AO228" t="s">
        <v>711</v>
      </c>
      <c r="AP228" t="s">
        <v>626</v>
      </c>
      <c r="AS228">
        <v>27</v>
      </c>
      <c r="AT228">
        <f>IF(I228&lt;&gt;"",MAX(8,(I228-G228)-4),"")</f>
        <v>8</v>
      </c>
      <c r="AU228">
        <v>-15</v>
      </c>
      <c r="AV228">
        <v>-30</v>
      </c>
      <c r="AW228">
        <f>MIN(Y228/150, 1)*30</f>
        <v>20</v>
      </c>
      <c r="AX228">
        <f>MIN(K228/4000, 1)*20</f>
        <v>18.100000000000001</v>
      </c>
      <c r="AY228">
        <f>MIN(W228/400,1)*20</f>
        <v>12</v>
      </c>
      <c r="AZ228" s="4">
        <v>1</v>
      </c>
      <c r="BA228">
        <f>((MAX($J228,1)*MIN($AE228/300,1)))*IF(D228="Wagon",50,10)</f>
        <v>11.500000000000002</v>
      </c>
      <c r="BB228">
        <f>VLOOKUP($E228,Constants!$I:$K, 2, FALSE)</f>
        <v>0.85</v>
      </c>
      <c r="BC228">
        <f>VLOOKUP($E228,Constants!$I:$K, 3, FALSE)*IF(AND(D228="multiple_unit",Y228&lt;110),0.75,1)</f>
        <v>1.7249999999999999</v>
      </c>
      <c r="BD228">
        <f>INT(POWER(((Constants!$G$2+$AW228+$AX228+$AY228+$BA228)*$AZ228)*$BC228, 1.05))+$AV228</f>
        <v>115</v>
      </c>
      <c r="BE228">
        <f>INT(POWER((((Constants!$G$1+$AW228+$AX228+$AY228+$BA228)*(1/$AZ228))*$BB228),IF($D228="wagon",1,1.2)))+$AU228</f>
        <v>135</v>
      </c>
      <c r="BF228" s="15">
        <f>BD228*IF($D228="wagon",62.5,781.25)</f>
        <v>89843.75</v>
      </c>
      <c r="BG228" s="15">
        <f>BE228*IF($D228="wagon",2.73,81.25)</f>
        <v>10968.75</v>
      </c>
      <c r="BO228" t="s">
        <v>1206</v>
      </c>
      <c r="BP228">
        <v>4</v>
      </c>
      <c r="BQ228">
        <v>205</v>
      </c>
      <c r="BS228" t="s">
        <v>323</v>
      </c>
      <c r="BT228" t="str">
        <f>VLOOKUP(G228,Eras!$A$2:$C$10, 2, TRUE)</f>
        <v>prv</v>
      </c>
      <c r="BU228" t="s">
        <v>374</v>
      </c>
      <c r="BV228" t="str">
        <f>CONCATENATE(BT228,"_",BU228)</f>
        <v>prv_EMU (Express)</v>
      </c>
      <c r="BW228" t="str">
        <f>IF(AND(BI228&lt;&gt;Y228,BI228&lt;&gt;""),_xlfn.CONCAT("{BLACK}","Tare speed: ","{GOLD}{VELOCITY}{}"), "")</f>
        <v/>
      </c>
      <c r="BX228" t="str">
        <f>_xlfn.CONCAT(E228, "_",F228)</f>
        <v>electric_THIRD_RAIL</v>
      </c>
      <c r="BY228" t="str">
        <f>VLOOKUP($BX228, Constants!$M:$N, 2, FALSE)</f>
        <v>{BLACK}Powered by: {GOLD}750V DC</v>
      </c>
      <c r="BZ228" t="str">
        <f>IF(J228&gt;1,_xlfn.CONCAT("{BLACK}Cars: {GOLD}", J228),"")</f>
        <v>{BLACK}Cars: {GOLD}5</v>
      </c>
      <c r="CA228" t="s">
        <v>627</v>
      </c>
      <c r="CB228" t="str">
        <f>IF(BS228="BRAKE","{YELLOW}Speed bonus for slow wagons{}",IF(BQ228&gt;190,CONCATENATE("{YELLOW}",INT((BQ228-185)/1.85),"% Bonus for long distance travel{}"),IF(AND(BQ228&lt;180,BQ228&lt;&gt;0),CONCATENATE("{YELLOW}",INT((185-BQ228)/1.85),"% Penalty for long distance travel{}"),"")))</f>
        <v>{YELLOW}10% Bonus for long distance travel{}</v>
      </c>
      <c r="CC228" t="str">
        <f>_xlfn.CONCAT(BW228,BY228,IF(BY228 &lt;&gt; "", " ", ""),BZ228,IF(OR(BZ228&lt;&gt;"", BY228&lt;&gt;""), "{}",""), CB228,"{SILVER}", CA228)</f>
        <v>{BLACK}Powered by: {GOLD}750V DC {BLACK}Cars: {GOLD}5{}{YELLOW}10% Bonus for long distance travel{}{SILVER}The Class 460 was built to replace locomotive-hauled services on the Gatwick Express. It had a short service life, with most units converted to Class 458/5 for suburban use.</v>
      </c>
    </row>
    <row r="229" spans="1:81" x14ac:dyDescent="0.25">
      <c r="A229" t="s">
        <v>1319</v>
      </c>
      <c r="B229" t="s">
        <v>1320</v>
      </c>
      <c r="C229">
        <v>486</v>
      </c>
      <c r="D229" t="s">
        <v>444</v>
      </c>
      <c r="E229" t="s">
        <v>312</v>
      </c>
      <c r="F229" t="s">
        <v>314</v>
      </c>
      <c r="G229">
        <v>2001</v>
      </c>
      <c r="J229">
        <v>5</v>
      </c>
      <c r="K229">
        <f>750*3</f>
        <v>2250</v>
      </c>
      <c r="T229">
        <v>252.5</v>
      </c>
      <c r="V229">
        <f>7*J229</f>
        <v>35</v>
      </c>
      <c r="W229">
        <v>190</v>
      </c>
      <c r="X229" s="4">
        <f>IF(AND(T229&gt;0,W229&gt;0),(W229/((T229+U229)*10)),"")</f>
        <v>7.5247524752475245E-2</v>
      </c>
      <c r="Y229">
        <v>125</v>
      </c>
      <c r="AA229">
        <v>23.71</v>
      </c>
      <c r="AB229">
        <v>23.71</v>
      </c>
      <c r="AE229" s="11">
        <v>57</v>
      </c>
      <c r="AF229" t="str">
        <f>CONCATENATE(VLOOKUP(AG229, 'Voxel Sizes'!$A$2:$B$18,2,FALSE),"x",INT(AC229*15), "x", INT(AD229*15))</f>
        <v>238x0x0</v>
      </c>
      <c r="AG229">
        <f>ROUND(15*((AB229*10)/256),0)</f>
        <v>14</v>
      </c>
      <c r="AI229" t="str">
        <f>CONCATENATE(VLOOKUP(AG229,Constants!$A$2:$C$16,IF(AH229&lt;&gt;"", 3, 2), FALSE),IF(AH229&lt;&gt;"",CONCATENATE(",",VLOOKUP(AH229,$B:$AI,34,FALSE)),""))</f>
        <v>4,6,4</v>
      </c>
      <c r="AM229" t="s">
        <v>1321</v>
      </c>
      <c r="AO229" t="s">
        <v>651</v>
      </c>
      <c r="AS229">
        <v>22</v>
      </c>
      <c r="AT229" t="str">
        <f>IF(I229&lt;&gt;"",MAX(8,(I229-G229)-4),"")</f>
        <v/>
      </c>
      <c r="AU229">
        <v>-8</v>
      </c>
      <c r="AV229">
        <v>-30</v>
      </c>
      <c r="AW229">
        <f>MIN(Y229/150, 1)*30</f>
        <v>25</v>
      </c>
      <c r="AX229">
        <f>MIN(K229/4000, 1)*20</f>
        <v>11.25</v>
      </c>
      <c r="AY229">
        <f>MIN(W229/400,1)*20</f>
        <v>9.5</v>
      </c>
      <c r="AZ229" s="4">
        <v>1</v>
      </c>
      <c r="BA229">
        <f>((MAX($J229,1)*MIN($AE229/300,1)))*IF(D229="Wagon",50,10)</f>
        <v>9.5</v>
      </c>
      <c r="BB229">
        <f>VLOOKUP($E229,Constants!$I:$K, 2, FALSE)</f>
        <v>1</v>
      </c>
      <c r="BC229">
        <f>VLOOKUP($E229,Constants!$I:$K, 3, FALSE)*IF(AND(D229="multiple_unit",Y229&lt;110),0.75,1)</f>
        <v>2</v>
      </c>
      <c r="BD229">
        <f>INT(POWER(((Constants!$G$2+$AW229+$AX229+$AY229+$BA229)*$AZ229)*$BC229, 1.05))+$AV229</f>
        <v>123</v>
      </c>
      <c r="BE229">
        <f>INT(POWER((((Constants!$G$1+$AW229+$AX229+$AY229+$BA229)*(1/$AZ229))*$BB229),IF($D229="wagon",1,1.2)))+$AU229</f>
        <v>156</v>
      </c>
      <c r="BF229" s="15">
        <f>BD229*IF($D229="wagon",62.5,781.25)</f>
        <v>96093.75</v>
      </c>
      <c r="BG229" s="15">
        <f>BE229*IF($D229="wagon",2.73,81.25)</f>
        <v>12675</v>
      </c>
      <c r="BP229">
        <v>7</v>
      </c>
      <c r="BS229" t="s">
        <v>323</v>
      </c>
      <c r="BT229" t="str">
        <f>VLOOKUP(G229,Eras!$A$2:$C$10, 2, TRUE)</f>
        <v>prv</v>
      </c>
      <c r="BU229" t="s">
        <v>372</v>
      </c>
      <c r="BV229" t="str">
        <f>CONCATENATE(BT229,"_",BU229)</f>
        <v>prv_DMU (Express)</v>
      </c>
      <c r="BX229" t="str">
        <f>_xlfn.CONCAT(E229, "_",F229)</f>
        <v>diesel_RAIL</v>
      </c>
      <c r="CA229" t="s">
        <v>1322</v>
      </c>
      <c r="CC229" t="str">
        <f>_xlfn.CONCAT(BW229,BY229,IF(BY229 &lt;&gt; "", " ", ""),BZ229,IF(OR(BZ229&lt;&gt;"", BY229&lt;&gt;""), "{}",""), CB229,"{SILVER}", CA229)</f>
        <v>{SILVER}Unusually for a high speed unit, the Class 180 uses a diesel-hydraulic transmission. Unfortunately the units suffered reliability problems both before and after launch.</v>
      </c>
    </row>
    <row r="230" spans="1:81" x14ac:dyDescent="0.25">
      <c r="A230" t="s">
        <v>622</v>
      </c>
      <c r="B230" t="s">
        <v>703</v>
      </c>
      <c r="C230">
        <v>488</v>
      </c>
      <c r="D230" t="s">
        <v>444</v>
      </c>
      <c r="E230" t="s">
        <v>336</v>
      </c>
      <c r="F230" t="s">
        <v>337</v>
      </c>
      <c r="G230">
        <v>2002</v>
      </c>
      <c r="J230">
        <v>8</v>
      </c>
      <c r="K230">
        <v>6840</v>
      </c>
      <c r="T230">
        <v>466</v>
      </c>
      <c r="V230">
        <v>60</v>
      </c>
      <c r="W230">
        <v>325</v>
      </c>
      <c r="X230" s="4">
        <f>IF(AND(T230&gt;0,W230&gt;0),(W230/((T230+U230)*10)),"")</f>
        <v>6.974248927038626E-2</v>
      </c>
      <c r="Y230">
        <v>140</v>
      </c>
      <c r="AA230">
        <v>23.9</v>
      </c>
      <c r="AB230">
        <v>23.9</v>
      </c>
      <c r="AC230">
        <v>2.73</v>
      </c>
      <c r="AD230">
        <v>3.56</v>
      </c>
      <c r="AE230" s="11">
        <v>60</v>
      </c>
      <c r="AF230" t="str">
        <f>CONCATENATE(VLOOKUP(AG230, 'Voxel Sizes'!$A$2:$B$18,2,FALSE),"x",INT(AC230*15), "x", INT(AD230*15))</f>
        <v>238x40x53</v>
      </c>
      <c r="AG230">
        <f>ROUND(15*((AB230*10)/256),0)</f>
        <v>14</v>
      </c>
      <c r="AI230" t="str">
        <f>CONCATENATE(VLOOKUP(AG230,Constants!$A$2:$C$16,IF(AH230&lt;&gt;"", 3, 2), FALSE),IF(AH230&lt;&gt;"",CONCATENATE(",",VLOOKUP(AH230,$B:$AI,34,FALSE)),""))</f>
        <v>4,6,4</v>
      </c>
      <c r="AM230" t="s">
        <v>702</v>
      </c>
      <c r="AO230" t="s">
        <v>705</v>
      </c>
      <c r="AS230">
        <v>29</v>
      </c>
      <c r="AT230" t="str">
        <f>IF(I230&lt;&gt;"",MAX(8,(I230-G230)-4),"")</f>
        <v/>
      </c>
      <c r="AU230">
        <v>-15</v>
      </c>
      <c r="AV230">
        <v>-35</v>
      </c>
      <c r="AW230">
        <f>MIN(Y230/150, 1)*30</f>
        <v>28</v>
      </c>
      <c r="AX230">
        <f>MIN(K230/4000, 1)*20</f>
        <v>20</v>
      </c>
      <c r="AY230">
        <f>MIN(W230/400,1)*20</f>
        <v>16.25</v>
      </c>
      <c r="AZ230" s="4">
        <v>1</v>
      </c>
      <c r="BA230">
        <f>((MAX($J230,1)*MIN($AE230/300,1)))*IF(D230="Wagon",50,10)</f>
        <v>16</v>
      </c>
      <c r="BB230">
        <f>VLOOKUP($E230,Constants!$I:$K, 2, FALSE)</f>
        <v>0.85</v>
      </c>
      <c r="BC230">
        <f>VLOOKUP($E230,Constants!$I:$K, 3, FALSE)*IF(AND(D230="multiple_unit",Y230&lt;110),0.75,1)</f>
        <v>2.2999999999999998</v>
      </c>
      <c r="BD230">
        <f>INT(POWER(((Constants!$G$2+$AW230+$AX230+$AY230+$BA230)*$AZ230)*$BC230, 1.05))+$AV230</f>
        <v>220</v>
      </c>
      <c r="BE230">
        <f>INT(POWER((((Constants!$G$1+$AW230+$AX230+$AY230+$BA230)*(1/$AZ230))*$BB230),IF($D230="wagon",1,1.2)))+$AU230</f>
        <v>179</v>
      </c>
      <c r="BF230" s="15">
        <f>BD230*IF($D230="wagon",62.5,781.25)</f>
        <v>171875</v>
      </c>
      <c r="BG230" s="15">
        <f>BE230*IF($D230="wagon",2.73,81.25)</f>
        <v>14543.75</v>
      </c>
      <c r="BL230">
        <v>1</v>
      </c>
      <c r="BO230" t="s">
        <v>1208</v>
      </c>
      <c r="BP230">
        <v>6</v>
      </c>
      <c r="BQ230">
        <v>205</v>
      </c>
      <c r="BS230" t="s">
        <v>323</v>
      </c>
      <c r="BT230" t="str">
        <f>VLOOKUP(G230,Eras!$A$2:$C$10, 2, TRUE)</f>
        <v>prv</v>
      </c>
      <c r="BU230" t="s">
        <v>374</v>
      </c>
      <c r="BV230" t="str">
        <f>CONCATENATE(BT230,"_",BU230)</f>
        <v>prv_EMU (Express)</v>
      </c>
      <c r="BW230" t="str">
        <f>IF(AND(BI230&lt;&gt;Y230,BI230&lt;&gt;""),_xlfn.CONCAT("{BLACK}","Tare speed: ","{GOLD}{VELOCITY}{}"), "")</f>
        <v/>
      </c>
      <c r="BX230" t="str">
        <f>_xlfn.CONCAT(E230, "_",F230)</f>
        <v>electric_ELRL</v>
      </c>
      <c r="BY230" t="str">
        <f>VLOOKUP($BX230, Constants!$M:$N, 2, FALSE)</f>
        <v>{BLACK}Powered by: {GOLD}25kV AC</v>
      </c>
      <c r="BZ230" t="str">
        <f>IF(J230&gt;1,_xlfn.CONCAT("{BLACK}Cars: {GOLD}", J230),"")</f>
        <v>{BLACK}Cars: {GOLD}8</v>
      </c>
      <c r="CA230" t="s">
        <v>704</v>
      </c>
      <c r="CB230" t="str">
        <f>IF(BS230="BRAKE","{YELLOW}Speed bonus for slow wagons{}",IF(BQ230&gt;190,CONCATENATE("{YELLOW}",INT((BQ230-185)/1.85),"% Bonus for long distance travel{}"),IF(AND(BQ230&lt;180,BQ230&lt;&gt;0),CONCATENATE("{YELLOW}",INT((185-BQ230)/1.85),"% Penalty for long distance travel{}"),"")))</f>
        <v>{YELLOW}10% Bonus for long distance travel{}</v>
      </c>
      <c r="CC230" t="str">
        <f>_xlfn.CONCAT(BW230,BY230,IF(BY230 &lt;&gt; "", " ", ""),BZ230,IF(OR(BZ230&lt;&gt;"", BY230&lt;&gt;""), "{}",""), CB230,"{SILVER}", CA230)</f>
        <v>{BLACK}Powered by: {GOLD}25kV AC {BLACK}Cars: {GOLD}8{}{YELLOW}10% Bonus for long distance travel{}{SILVER}The Pendolino is a tilting multiple unit with a design speed of 140mph.  The tilt system is supplied by Fiat Ferroviaria.</v>
      </c>
    </row>
    <row r="231" spans="1:81" x14ac:dyDescent="0.25">
      <c r="A231" t="s">
        <v>622</v>
      </c>
      <c r="B231" t="s">
        <v>1186</v>
      </c>
      <c r="C231">
        <v>489</v>
      </c>
      <c r="D231" t="s">
        <v>444</v>
      </c>
      <c r="E231" t="s">
        <v>336</v>
      </c>
      <c r="F231" t="s">
        <v>337</v>
      </c>
      <c r="G231">
        <v>2002</v>
      </c>
      <c r="J231">
        <v>6</v>
      </c>
      <c r="K231">
        <v>6840</v>
      </c>
      <c r="T231">
        <f>(466/8)*6</f>
        <v>349.5</v>
      </c>
      <c r="V231">
        <f>8*J231</f>
        <v>48</v>
      </c>
      <c r="W231">
        <v>325</v>
      </c>
      <c r="X231" s="4">
        <f>IF(AND(T231&gt;0,W231&gt;0),(W231/((T231+U231)*10)),"")</f>
        <v>9.2989985693848351E-2</v>
      </c>
      <c r="Y231">
        <v>140</v>
      </c>
      <c r="AA231">
        <v>23.9</v>
      </c>
      <c r="AB231">
        <v>23.9</v>
      </c>
      <c r="AC231">
        <v>2.73</v>
      </c>
      <c r="AD231">
        <v>3.56</v>
      </c>
      <c r="AE231" s="11">
        <v>60</v>
      </c>
      <c r="AF231" t="str">
        <f>CONCATENATE(VLOOKUP(AG231, 'Voxel Sizes'!$A$2:$B$18,2,FALSE),"x",INT(AC231*15), "x", INT(AD231*15))</f>
        <v>238x40x53</v>
      </c>
      <c r="AG231">
        <f>ROUND(15*((AB231*10)/256),0)</f>
        <v>14</v>
      </c>
      <c r="AI231" t="str">
        <f>CONCATENATE(VLOOKUP(AG231,Constants!$A$2:$C$16,IF(AH231&lt;&gt;"", 3, 2), FALSE),IF(AH231&lt;&gt;"",CONCATENATE(",",VLOOKUP(AH231,$B:$AI,34,FALSE)),""))</f>
        <v>4,6,4</v>
      </c>
      <c r="AM231" t="s">
        <v>1187</v>
      </c>
      <c r="AO231" t="s">
        <v>1188</v>
      </c>
      <c r="AP231" t="s">
        <v>703</v>
      </c>
      <c r="AS231">
        <v>29</v>
      </c>
      <c r="AT231" t="str">
        <f>IF(I231&lt;&gt;"",MAX(8,(I231-G231)-4),"")</f>
        <v/>
      </c>
      <c r="AU231">
        <v>-15</v>
      </c>
      <c r="AV231">
        <v>-35</v>
      </c>
      <c r="AW231">
        <f>MIN(Y231/150, 1)*30</f>
        <v>28</v>
      </c>
      <c r="AX231">
        <f>MIN(K231/4000, 1)*20</f>
        <v>20</v>
      </c>
      <c r="AY231">
        <f>MIN(W231/400,1)*20</f>
        <v>16.25</v>
      </c>
      <c r="AZ231" s="4">
        <v>1</v>
      </c>
      <c r="BA231">
        <f>((MAX($J231,1)*MIN($AE231/300,1)))*IF(D231="Wagon",50,10)</f>
        <v>12.000000000000002</v>
      </c>
      <c r="BB231">
        <f>VLOOKUP($E231,Constants!$I:$K, 2, FALSE)</f>
        <v>0.85</v>
      </c>
      <c r="BC231">
        <f>VLOOKUP($E231,Constants!$I:$K, 3, FALSE)*IF(AND(D231="multiple_unit",Y231&lt;110),0.75,1)</f>
        <v>2.2999999999999998</v>
      </c>
      <c r="BD231">
        <f>INT(POWER(((Constants!$G$2+$AW231+$AX231+$AY231+$BA231)*$AZ231)*$BC231, 1.05))+$AV231</f>
        <v>207</v>
      </c>
      <c r="BE231">
        <f>INT(POWER((((Constants!$G$1+$AW231+$AX231+$AY231+$BA231)*(1/$AZ231))*$BB231),IF($D231="wagon",1,1.2)))+$AU231</f>
        <v>170</v>
      </c>
      <c r="BF231" s="15">
        <f>BD231*IF($D231="wagon",62.5,781.25)</f>
        <v>161718.75</v>
      </c>
      <c r="BG231" s="15">
        <f>BE231*IF($D231="wagon",2.73,81.25)</f>
        <v>13812.5</v>
      </c>
      <c r="BL231">
        <v>1</v>
      </c>
      <c r="BO231" t="s">
        <v>1207</v>
      </c>
      <c r="BP231">
        <v>6</v>
      </c>
      <c r="BQ231">
        <v>205</v>
      </c>
      <c r="BS231" t="s">
        <v>323</v>
      </c>
      <c r="BT231" t="str">
        <f>VLOOKUP(G231,Eras!$A$2:$C$10, 2, TRUE)</f>
        <v>prv</v>
      </c>
      <c r="BU231" t="s">
        <v>374</v>
      </c>
      <c r="BV231" t="str">
        <f>CONCATENATE(BT231,"_",BU231)</f>
        <v>prv_EMU (Express)</v>
      </c>
      <c r="BW231" t="str">
        <f>IF(AND(BI231&lt;&gt;Y231,BI231&lt;&gt;""),_xlfn.CONCAT("{BLACK}","Tare speed: ","{GOLD}{VELOCITY}{}"), "")</f>
        <v/>
      </c>
      <c r="BX231" t="str">
        <f>_xlfn.CONCAT(E231, "_",F231)</f>
        <v>electric_ELRL</v>
      </c>
      <c r="BY231" t="str">
        <f>VLOOKUP($BX231, Constants!$M:$N, 2, FALSE)</f>
        <v>{BLACK}Powered by: {GOLD}25kV AC</v>
      </c>
      <c r="BZ231" t="str">
        <f>IF(J231&gt;1,_xlfn.CONCAT("{BLACK}Cars: {GOLD}", J231),"")</f>
        <v>{BLACK}Cars: {GOLD}6</v>
      </c>
      <c r="CA231" t="s">
        <v>704</v>
      </c>
      <c r="CB231" t="str">
        <f>IF(BS231="BRAKE","{YELLOW}Speed bonus for slow wagons{}",IF(BQ231&gt;190,CONCATENATE("{YELLOW}",INT((BQ231-185)/1.85),"% Bonus for long distance travel{}"),IF(AND(BQ231&lt;180,BQ231&lt;&gt;0),CONCATENATE("{YELLOW}",INT((185-BQ231)/1.85),"% Penalty for long distance travel{}"),"")))</f>
        <v>{YELLOW}10% Bonus for long distance travel{}</v>
      </c>
      <c r="CC231" t="str">
        <f>_xlfn.CONCAT(BW231,BY231,IF(BY231 &lt;&gt; "", " ", ""),BZ231,IF(OR(BZ231&lt;&gt;"", BY231&lt;&gt;""), "{}",""), CB231,"{SILVER}", CA231)</f>
        <v>{BLACK}Powered by: {GOLD}25kV AC {BLACK}Cars: {GOLD}6{}{YELLOW}10% Bonus for long distance travel{}{SILVER}The Pendolino is a tilting multiple unit with a design speed of 140mph.  The tilt system is supplied by Fiat Ferroviaria.</v>
      </c>
    </row>
    <row r="232" spans="1:81" x14ac:dyDescent="0.25">
      <c r="A232" t="s">
        <v>622</v>
      </c>
      <c r="B232" t="s">
        <v>1201</v>
      </c>
      <c r="C232">
        <v>490</v>
      </c>
      <c r="D232" t="s">
        <v>444</v>
      </c>
      <c r="E232" t="s">
        <v>336</v>
      </c>
      <c r="F232" t="s">
        <v>337</v>
      </c>
      <c r="G232">
        <v>2002</v>
      </c>
      <c r="J232">
        <v>4</v>
      </c>
      <c r="K232">
        <v>6840</v>
      </c>
      <c r="T232">
        <f>(466/8)*4</f>
        <v>233</v>
      </c>
      <c r="V232">
        <f>8*J232</f>
        <v>32</v>
      </c>
      <c r="W232">
        <v>325</v>
      </c>
      <c r="X232" s="4">
        <f>IF(AND(T232&gt;0,W232&gt;0),(W232/((T232+U232)*10)),"")</f>
        <v>0.13948497854077252</v>
      </c>
      <c r="Y232">
        <v>140</v>
      </c>
      <c r="AA232">
        <v>23.9</v>
      </c>
      <c r="AB232">
        <v>23.9</v>
      </c>
      <c r="AC232">
        <v>2.73</v>
      </c>
      <c r="AD232">
        <v>3.56</v>
      </c>
      <c r="AE232" s="11">
        <v>60</v>
      </c>
      <c r="AF232" t="str">
        <f>CONCATENATE(VLOOKUP(AG232, 'Voxel Sizes'!$A$2:$B$18,2,FALSE),"x",INT(AC232*15), "x", INT(AD232*15))</f>
        <v>238x40x53</v>
      </c>
      <c r="AG232">
        <f>ROUND(15*((AB232*10)/256),0)</f>
        <v>14</v>
      </c>
      <c r="AI232" t="str">
        <f>CONCATENATE(VLOOKUP(AG232,Constants!$A$2:$C$16,IF(AH232&lt;&gt;"", 3, 2), FALSE),IF(AH232&lt;&gt;"",CONCATENATE(",",VLOOKUP(AH232,$B:$AI,34,FALSE)),""))</f>
        <v>4,6,4</v>
      </c>
      <c r="AM232" t="s">
        <v>1202</v>
      </c>
      <c r="AO232" t="s">
        <v>1184</v>
      </c>
      <c r="AP232" t="s">
        <v>703</v>
      </c>
      <c r="AS232">
        <v>29</v>
      </c>
      <c r="AT232" t="str">
        <f>IF(I232&lt;&gt;"",MAX(8,(I232-G232)-4),"")</f>
        <v/>
      </c>
      <c r="AU232">
        <v>-15</v>
      </c>
      <c r="AV232">
        <v>-35</v>
      </c>
      <c r="AW232">
        <f>MIN(Y232/150, 1)*30</f>
        <v>28</v>
      </c>
      <c r="AX232">
        <f>MIN(K232/4000, 1)*20</f>
        <v>20</v>
      </c>
      <c r="AY232">
        <f>MIN(W232/400,1)*20</f>
        <v>16.25</v>
      </c>
      <c r="AZ232" s="4">
        <v>1</v>
      </c>
      <c r="BA232">
        <f>((MAX($J232,1)*MIN($AE232/300,1)))*IF(D232="Wagon",50,10)</f>
        <v>8</v>
      </c>
      <c r="BB232">
        <f>VLOOKUP($E232,Constants!$I:$K, 2, FALSE)</f>
        <v>0.85</v>
      </c>
      <c r="BC232">
        <f>VLOOKUP($E232,Constants!$I:$K, 3, FALSE)*IF(AND(D232="multiple_unit",Y232&lt;110),0.75,1)</f>
        <v>2.2999999999999998</v>
      </c>
      <c r="BD232">
        <f>INT(POWER(((Constants!$G$2+$AW232+$AX232+$AY232+$BA232)*$AZ232)*$BC232, 1.05))+$AV232</f>
        <v>195</v>
      </c>
      <c r="BE232">
        <f>INT(POWER((((Constants!$G$1+$AW232+$AX232+$AY232+$BA232)*(1/$AZ232))*$BB232),IF($D232="wagon",1,1.2)))+$AU232</f>
        <v>160</v>
      </c>
      <c r="BF232" s="15">
        <f>BD232*IF($D232="wagon",62.5,781.25)</f>
        <v>152343.75</v>
      </c>
      <c r="BG232" s="15">
        <f>BE232*IF($D232="wagon",2.73,81.25)</f>
        <v>13000</v>
      </c>
      <c r="BL232">
        <v>1</v>
      </c>
      <c r="BO232" t="s">
        <v>1206</v>
      </c>
      <c r="BP232">
        <v>6</v>
      </c>
      <c r="BQ232">
        <v>205</v>
      </c>
      <c r="BS232" t="s">
        <v>323</v>
      </c>
      <c r="BT232" t="str">
        <f>VLOOKUP(G232,Eras!$A$2:$C$10, 2, TRUE)</f>
        <v>prv</v>
      </c>
      <c r="BU232" t="s">
        <v>374</v>
      </c>
      <c r="BV232" t="str">
        <f>CONCATENATE(BT232,"_",BU232)</f>
        <v>prv_EMU (Express)</v>
      </c>
      <c r="BW232" t="str">
        <f>IF(AND(BI232&lt;&gt;Y232,BI232&lt;&gt;""),_xlfn.CONCAT("{BLACK}","Tare speed: ","{GOLD}{VELOCITY}{}"), "")</f>
        <v/>
      </c>
      <c r="BX232" t="str">
        <f>_xlfn.CONCAT(E232, "_",F232)</f>
        <v>electric_ELRL</v>
      </c>
      <c r="BY232" t="str">
        <f>VLOOKUP($BX232, Constants!$M:$N, 2, FALSE)</f>
        <v>{BLACK}Powered by: {GOLD}25kV AC</v>
      </c>
      <c r="BZ232" t="str">
        <f>IF(J232&gt;1,_xlfn.CONCAT("{BLACK}Cars: {GOLD}", J232),"")</f>
        <v>{BLACK}Cars: {GOLD}4</v>
      </c>
      <c r="CA232" t="s">
        <v>704</v>
      </c>
      <c r="CB232" t="str">
        <f>IF(BS232="BRAKE","{YELLOW}Speed bonus for slow wagons{}",IF(BQ232&gt;190,CONCATENATE("{YELLOW}",INT((BQ232-185)/1.85),"% Bonus for long distance travel{}"),IF(AND(BQ232&lt;180,BQ232&lt;&gt;0),CONCATENATE("{YELLOW}",INT((185-BQ232)/1.85),"% Penalty for long distance travel{}"),"")))</f>
        <v>{YELLOW}10% Bonus for long distance travel{}</v>
      </c>
      <c r="CC232" t="str">
        <f>_xlfn.CONCAT(BW232,BY232,IF(BY232 &lt;&gt; "", " ", ""),BZ232,IF(OR(BZ232&lt;&gt;"", BY232&lt;&gt;""), "{}",""), CB232,"{SILVER}", CA232)</f>
        <v>{BLACK}Powered by: {GOLD}25kV AC {BLACK}Cars: {GOLD}4{}{YELLOW}10% Bonus for long distance travel{}{SILVER}The Pendolino is a tilting multiple unit with a design speed of 140mph.  The tilt system is supplied by Fiat Ferroviaria.</v>
      </c>
    </row>
    <row r="233" spans="1:81" x14ac:dyDescent="0.25">
      <c r="A233" t="s">
        <v>103</v>
      </c>
      <c r="B233" t="s">
        <v>260</v>
      </c>
      <c r="C233">
        <v>492</v>
      </c>
      <c r="D233" t="s">
        <v>444</v>
      </c>
      <c r="E233" t="s">
        <v>312</v>
      </c>
      <c r="F233" t="s">
        <v>314</v>
      </c>
      <c r="G233">
        <v>2002</v>
      </c>
      <c r="J233">
        <v>4</v>
      </c>
      <c r="K233">
        <v>3000</v>
      </c>
      <c r="T233">
        <v>185.6</v>
      </c>
      <c r="V233">
        <f>8*J233</f>
        <v>32</v>
      </c>
      <c r="W233">
        <v>185</v>
      </c>
      <c r="X233" s="4">
        <f>IF(AND(T233&gt;0,W233&gt;0),(W233/((T233+U233)*10)),"")</f>
        <v>9.9676724137931036E-2</v>
      </c>
      <c r="Y233">
        <v>125</v>
      </c>
      <c r="AA233">
        <v>23.8</v>
      </c>
      <c r="AB233">
        <v>23.8</v>
      </c>
      <c r="AC233">
        <v>2.73</v>
      </c>
      <c r="AE233" s="11">
        <v>51</v>
      </c>
      <c r="AF233" t="str">
        <f>CONCATENATE(VLOOKUP(AG233, 'Voxel Sizes'!$A$2:$B$18,2,FALSE),"x",INT(AC233*15), "x", INT(AD233*15))</f>
        <v>238x40x0</v>
      </c>
      <c r="AG233">
        <f>ROUND(15*((AB233*10)/256),0)</f>
        <v>14</v>
      </c>
      <c r="AI233" t="str">
        <f>CONCATENATE(VLOOKUP(AG233,Constants!$A$2:$C$16,IF(AH233&lt;&gt;"", 3, 2), FALSE),IF(AH233&lt;&gt;"",CONCATENATE(",",VLOOKUP(AH233,$B:$AI,34,FALSE)),""))</f>
        <v>4,6,4</v>
      </c>
      <c r="AM233" t="s">
        <v>709</v>
      </c>
      <c r="AO233" t="s">
        <v>506</v>
      </c>
      <c r="AS233">
        <v>29</v>
      </c>
      <c r="AT233" t="str">
        <f>IF(I233&lt;&gt;"",MAX(8,(I233-G233)-4),"")</f>
        <v/>
      </c>
      <c r="AU233">
        <v>-15</v>
      </c>
      <c r="AV233">
        <v>-35</v>
      </c>
      <c r="AW233">
        <f>MIN(Y233/150, 1)*30</f>
        <v>25</v>
      </c>
      <c r="AX233">
        <f>MIN(K233/4000, 1)*20</f>
        <v>15</v>
      </c>
      <c r="AY233">
        <f>MIN(W233/400,1)*20</f>
        <v>9.25</v>
      </c>
      <c r="AZ233" s="4">
        <v>1</v>
      </c>
      <c r="BA233">
        <f>((MAX($J233,1)*MIN($AE233/300,1)))*IF(D233="Wagon",50,10)</f>
        <v>6.8000000000000007</v>
      </c>
      <c r="BB233">
        <f>VLOOKUP($E233,Constants!$I:$K, 2, FALSE)</f>
        <v>1</v>
      </c>
      <c r="BC233">
        <f>VLOOKUP($E233,Constants!$I:$K, 3, FALSE)*IF(AND(D233="multiple_unit",Y233&lt;110),0.75,1)</f>
        <v>2</v>
      </c>
      <c r="BD233">
        <f>INT(POWER(((Constants!$G$2+$AW233+$AX233+$AY233+$BA233)*$AZ233)*$BC233, 1.05))+$AV233</f>
        <v>120</v>
      </c>
      <c r="BE233">
        <f>INT(POWER((((Constants!$G$1+$AW233+$AX233+$AY233+$BA233)*(1/$AZ233))*$BB233),IF($D233="wagon",1,1.2)))+$AU233</f>
        <v>151</v>
      </c>
      <c r="BF233" s="15">
        <f>BD233*IF($D233="wagon",62.5,781.25)</f>
        <v>93750</v>
      </c>
      <c r="BG233" s="15">
        <f>BE233*IF($D233="wagon",2.73,81.25)</f>
        <v>12268.75</v>
      </c>
      <c r="BP233">
        <v>9</v>
      </c>
      <c r="BQ233">
        <v>205</v>
      </c>
      <c r="BS233" t="s">
        <v>323</v>
      </c>
      <c r="BT233" t="str">
        <f>VLOOKUP(G233,Eras!$A$2:$C$10, 2, TRUE)</f>
        <v>prv</v>
      </c>
      <c r="BU233" t="s">
        <v>372</v>
      </c>
      <c r="BV233" t="str">
        <f>CONCATENATE(BT233,"_",BU233)</f>
        <v>prv_DMU (Express)</v>
      </c>
      <c r="BW233" t="str">
        <f>IF(AND(BI233&lt;&gt;Y233,BI233&lt;&gt;""),_xlfn.CONCAT("{BLACK}","Tare speed: ","{GOLD}{VELOCITY}{}"), "")</f>
        <v/>
      </c>
      <c r="BX233" t="str">
        <f>_xlfn.CONCAT(E233, "_",F233)</f>
        <v>diesel_RAIL</v>
      </c>
      <c r="BY233" t="str">
        <f>VLOOKUP($BX233, Constants!$M:$N, 2, FALSE)</f>
        <v>{BLACK}Powered by: {GOLD}Diesel</v>
      </c>
      <c r="BZ233" t="str">
        <f>IF(J233&gt;1,_xlfn.CONCAT("{BLACK}Cars: {GOLD}", J233),"")</f>
        <v>{BLACK}Cars: {GOLD}4</v>
      </c>
      <c r="CA233" t="s">
        <v>707</v>
      </c>
      <c r="CB233" t="str">
        <f>IF(BS233="BRAKE","{YELLOW}Speed bonus for slow wagons{}",IF(BQ233&gt;190,CONCATENATE("{YELLOW}",INT((BQ233-185)/1.85),"% Bonus for long distance travel{}"),IF(AND(BQ233&lt;180,BQ233&lt;&gt;0),CONCATENATE("{YELLOW}",INT((185-BQ233)/1.85),"% Penalty for long distance travel{}"),"")))</f>
        <v>{YELLOW}10% Bonus for long distance travel{}</v>
      </c>
      <c r="CC233" t="str">
        <f>_xlfn.CONCAT(BW233,BY233,IF(BY233 &lt;&gt; "", " ", ""),BZ233,IF(OR(BZ233&lt;&gt;"", BY233&lt;&gt;""), "{}",""), CB233,"{SILVER}", CA233)</f>
        <v>{BLACK}Powered by: {GOLD}Diesel {BLACK}Cars: {GOLD}4{}{YELLOW}10% Bonus for long distance travel{}{SILVER}The Voyager is a high speed diesel multiple unit, built to replace both the HST and locomotive-hauled passenger services on the Cross Country route.</v>
      </c>
    </row>
    <row r="234" spans="1:81" x14ac:dyDescent="0.25">
      <c r="A234" t="s">
        <v>104</v>
      </c>
      <c r="B234" t="s">
        <v>259</v>
      </c>
      <c r="C234">
        <v>494</v>
      </c>
      <c r="D234" t="s">
        <v>444</v>
      </c>
      <c r="E234" t="s">
        <v>312</v>
      </c>
      <c r="F234" t="s">
        <v>314</v>
      </c>
      <c r="G234">
        <v>2002</v>
      </c>
      <c r="J234">
        <v>5</v>
      </c>
      <c r="K234">
        <f>750*5</f>
        <v>3750</v>
      </c>
      <c r="T234">
        <v>282</v>
      </c>
      <c r="V234">
        <f>8*J234</f>
        <v>40</v>
      </c>
      <c r="W234">
        <v>270</v>
      </c>
      <c r="X234" s="4">
        <f>IF(AND(T234&gt;0,W234&gt;0),(W234/((T234+U234)*10)),"")</f>
        <v>9.5744680851063829E-2</v>
      </c>
      <c r="Y234">
        <v>125</v>
      </c>
      <c r="AA234">
        <v>23.8</v>
      </c>
      <c r="AB234">
        <v>23.8</v>
      </c>
      <c r="AC234">
        <v>2.73</v>
      </c>
      <c r="AE234" s="11">
        <v>51</v>
      </c>
      <c r="AF234" t="str">
        <f>CONCATENATE(VLOOKUP(AG234, 'Voxel Sizes'!$A$2:$B$18,2,FALSE),"x",INT(AC234*15), "x", INT(AD234*15))</f>
        <v>238x40x0</v>
      </c>
      <c r="AG234">
        <f>ROUND(15*((AB234*10)/256),0)</f>
        <v>14</v>
      </c>
      <c r="AI234" t="str">
        <f>CONCATENATE(VLOOKUP(AG234,Constants!$A$2:$C$16,IF(AH234&lt;&gt;"", 3, 2), FALSE),IF(AH234&lt;&gt;"",CONCATENATE(",",VLOOKUP(AH234,$B:$AI,34,FALSE)),""))</f>
        <v>4,6,4</v>
      </c>
      <c r="AM234" t="s">
        <v>710</v>
      </c>
      <c r="AO234" t="s">
        <v>711</v>
      </c>
      <c r="AP234" t="s">
        <v>260</v>
      </c>
      <c r="AS234">
        <v>29</v>
      </c>
      <c r="AT234" t="str">
        <f>IF(I234&lt;&gt;"",MAX(8,(I234-G234)-4),"")</f>
        <v/>
      </c>
      <c r="AU234">
        <v>-15</v>
      </c>
      <c r="AV234">
        <v>-35</v>
      </c>
      <c r="AW234">
        <f>MIN(Y234/150, 1)*30</f>
        <v>25</v>
      </c>
      <c r="AX234">
        <f>MIN(K234/4000, 1)*20</f>
        <v>18.75</v>
      </c>
      <c r="AY234">
        <f>MIN(W234/400,1)*20</f>
        <v>13.5</v>
      </c>
      <c r="AZ234" s="4">
        <v>1</v>
      </c>
      <c r="BA234">
        <f>((MAX($J234,1)*MIN($AE234/300,1)))*IF(D234="Wagon",50,10)</f>
        <v>8.5</v>
      </c>
      <c r="BB234">
        <f>VLOOKUP($E234,Constants!$I:$K, 2, FALSE)</f>
        <v>1</v>
      </c>
      <c r="BC234">
        <f>VLOOKUP($E234,Constants!$I:$K, 3, FALSE)*IF(AND(D234="multiple_unit",Y234&lt;110),0.75,1)</f>
        <v>2</v>
      </c>
      <c r="BD234">
        <f>INT(POWER(((Constants!$G$2+$AW234+$AX234+$AY234+$BA234)*$AZ234)*$BC234, 1.05))+$AV234</f>
        <v>146</v>
      </c>
      <c r="BE234">
        <f>INT(POWER((((Constants!$G$1+$AW234+$AX234+$AY234+$BA234)*(1/$AZ234))*$BB234),IF($D234="wagon",1,1.2)))+$AU234</f>
        <v>179</v>
      </c>
      <c r="BF234" s="15">
        <f>BD234*IF($D234="wagon",62.5,781.25)</f>
        <v>114062.5</v>
      </c>
      <c r="BG234" s="15">
        <f>BE234*IF($D234="wagon",2.73,81.25)</f>
        <v>14543.75</v>
      </c>
      <c r="BL234">
        <v>1</v>
      </c>
      <c r="BO234" t="s">
        <v>1204</v>
      </c>
      <c r="BP234">
        <v>10</v>
      </c>
      <c r="BQ234">
        <v>205</v>
      </c>
      <c r="BS234" t="s">
        <v>323</v>
      </c>
      <c r="BT234" t="str">
        <f>VLOOKUP(G234,Eras!$A$2:$C$10, 2, TRUE)</f>
        <v>prv</v>
      </c>
      <c r="BU234" t="s">
        <v>372</v>
      </c>
      <c r="BV234" t="str">
        <f>CONCATENATE(BT234,"_",BU234)</f>
        <v>prv_DMU (Express)</v>
      </c>
      <c r="BW234" t="str">
        <f>IF(AND(BI234&lt;&gt;Y234,BI234&lt;&gt;""),_xlfn.CONCAT("{BLACK}","Tare speed: ","{GOLD}{VELOCITY}{}"), "")</f>
        <v/>
      </c>
      <c r="BX234" t="str">
        <f>_xlfn.CONCAT(E234, "_",F234)</f>
        <v>diesel_RAIL</v>
      </c>
      <c r="BY234" t="str">
        <f>VLOOKUP($BX234, Constants!$M:$N, 2, FALSE)</f>
        <v>{BLACK}Powered by: {GOLD}Diesel</v>
      </c>
      <c r="BZ234" t="str">
        <f>IF(J234&gt;1,_xlfn.CONCAT("{BLACK}Cars: {GOLD}", J234),"")</f>
        <v>{BLACK}Cars: {GOLD}5</v>
      </c>
      <c r="CA234" t="s">
        <v>708</v>
      </c>
      <c r="CB234" t="str">
        <f>IF(BS234="BRAKE","{YELLOW}Speed bonus for slow wagons{}",IF(BQ234&gt;190,CONCATENATE("{YELLOW}",INT((BQ234-185)/1.85),"% Bonus for long distance travel{}"),IF(AND(BQ234&lt;180,BQ234&lt;&gt;0),CONCATENATE("{YELLOW}",INT((185-BQ234)/1.85),"% Penalty for long distance travel{}"),"")))</f>
        <v>{YELLOW}10% Bonus for long distance travel{}</v>
      </c>
      <c r="CC234" t="str">
        <f>_xlfn.CONCAT(BW234,BY234,IF(BY234 &lt;&gt; "", " ", ""),BZ234,IF(OR(BZ234&lt;&gt;"", BY234&lt;&gt;""), "{}",""), CB234,"{SILVER}", CA234)</f>
        <v>{BLACK}Powered by: {GOLD}Diesel {BLACK}Cars: {GOLD}5{}{YELLOW}10% Bonus for long distance travel{}{SILVER}The Class 221 is outwardly very similar to the Class 220, but internally it has different bogies and features a tilt mechanism for faster cornering.</v>
      </c>
    </row>
    <row r="235" spans="1:81" x14ac:dyDescent="0.25">
      <c r="A235" t="s">
        <v>104</v>
      </c>
      <c r="B235" t="s">
        <v>1194</v>
      </c>
      <c r="C235">
        <v>495</v>
      </c>
      <c r="D235" t="s">
        <v>444</v>
      </c>
      <c r="E235" t="s">
        <v>312</v>
      </c>
      <c r="F235" t="s">
        <v>314</v>
      </c>
      <c r="G235">
        <v>2002</v>
      </c>
      <c r="J235">
        <v>4</v>
      </c>
      <c r="K235">
        <f>750*5</f>
        <v>3750</v>
      </c>
      <c r="T235">
        <f>282/5*4</f>
        <v>225.6</v>
      </c>
      <c r="V235">
        <f>8*J235</f>
        <v>32</v>
      </c>
      <c r="W235">
        <v>270</v>
      </c>
      <c r="X235" s="4">
        <f>IF(AND(T235&gt;0,W235&gt;0),(W235/((T235+U235)*10)),"")</f>
        <v>0.11968085106382979</v>
      </c>
      <c r="Y235">
        <v>125</v>
      </c>
      <c r="AA235">
        <v>23.8</v>
      </c>
      <c r="AB235">
        <v>23.8</v>
      </c>
      <c r="AC235">
        <v>2.73</v>
      </c>
      <c r="AE235" s="11">
        <v>51</v>
      </c>
      <c r="AF235" t="str">
        <f>CONCATENATE(VLOOKUP(AG235, 'Voxel Sizes'!$A$2:$B$18,2,FALSE),"x",INT(AC235*15), "x", INT(AD235*15))</f>
        <v>238x40x0</v>
      </c>
      <c r="AG235">
        <f>ROUND(15*((AB235*10)/256),0)</f>
        <v>14</v>
      </c>
      <c r="AI235" t="str">
        <f>CONCATENATE(VLOOKUP(AG235,Constants!$A$2:$C$16,IF(AH235&lt;&gt;"", 3, 2), FALSE),IF(AH235&lt;&gt;"",CONCATENATE(",",VLOOKUP(AH235,$B:$AI,34,FALSE)),""))</f>
        <v>4,6,4</v>
      </c>
      <c r="AM235" t="s">
        <v>709</v>
      </c>
      <c r="AO235" t="s">
        <v>1184</v>
      </c>
      <c r="AP235" t="s">
        <v>260</v>
      </c>
      <c r="AS235">
        <v>29</v>
      </c>
      <c r="AT235" t="str">
        <f>IF(I235&lt;&gt;"",MAX(8,(I235-G235)-4),"")</f>
        <v/>
      </c>
      <c r="AU235">
        <v>-15</v>
      </c>
      <c r="AV235">
        <v>-35</v>
      </c>
      <c r="AW235">
        <f>MIN(Y235/150, 1)*30</f>
        <v>25</v>
      </c>
      <c r="AX235">
        <f>MIN(K235/4000, 1)*20</f>
        <v>18.75</v>
      </c>
      <c r="AY235">
        <f>MIN(W235/400,1)*20</f>
        <v>13.5</v>
      </c>
      <c r="AZ235" s="4">
        <v>1</v>
      </c>
      <c r="BA235">
        <f>((MAX($J235,1)*MIN($AE235/300,1)))*IF(D235="Wagon",50,10)</f>
        <v>6.8000000000000007</v>
      </c>
      <c r="BB235">
        <f>VLOOKUP($E235,Constants!$I:$K, 2, FALSE)</f>
        <v>1</v>
      </c>
      <c r="BC235">
        <f>VLOOKUP($E235,Constants!$I:$K, 3, FALSE)*IF(AND(D235="multiple_unit",Y235&lt;110),0.75,1)</f>
        <v>2</v>
      </c>
      <c r="BD235">
        <f>INT(POWER(((Constants!$G$2+$AW235+$AX235+$AY235+$BA235)*$AZ235)*$BC235, 1.05))+$AV235</f>
        <v>141</v>
      </c>
      <c r="BE235">
        <f>INT(POWER((((Constants!$G$1+$AW235+$AX235+$AY235+$BA235)*(1/$AZ235))*$BB235),IF($D235="wagon",1,1.2)))+$AU235</f>
        <v>174</v>
      </c>
      <c r="BF235" s="15">
        <f>BD235*IF($D235="wagon",62.5,781.25)</f>
        <v>110156.25</v>
      </c>
      <c r="BG235" s="15">
        <f>BE235*IF($D235="wagon",2.73,81.25)</f>
        <v>14137.5</v>
      </c>
      <c r="BL235">
        <v>1</v>
      </c>
      <c r="BO235" t="s">
        <v>1206</v>
      </c>
      <c r="BP235">
        <v>10</v>
      </c>
      <c r="BQ235">
        <v>205</v>
      </c>
      <c r="BS235" t="s">
        <v>323</v>
      </c>
      <c r="BT235" t="str">
        <f>VLOOKUP(G235,Eras!$A$2:$C$10, 2, TRUE)</f>
        <v>prv</v>
      </c>
      <c r="BU235" t="s">
        <v>372</v>
      </c>
      <c r="BV235" t="str">
        <f>CONCATENATE(BT235,"_",BU235)</f>
        <v>prv_DMU (Express)</v>
      </c>
      <c r="BW235" t="str">
        <f>IF(AND(BI235&lt;&gt;Y235,BI235&lt;&gt;""),_xlfn.CONCAT("{BLACK}","Tare speed: ","{GOLD}{VELOCITY}{}"), "")</f>
        <v/>
      </c>
      <c r="BX235" t="str">
        <f>_xlfn.CONCAT(E235, "_",F235)</f>
        <v>diesel_RAIL</v>
      </c>
      <c r="BY235" t="str">
        <f>VLOOKUP($BX235, Constants!$M:$N, 2, FALSE)</f>
        <v>{BLACK}Powered by: {GOLD}Diesel</v>
      </c>
      <c r="BZ235" t="str">
        <f>IF(J235&gt;1,_xlfn.CONCAT("{BLACK}Cars: {GOLD}", J235),"")</f>
        <v>{BLACK}Cars: {GOLD}4</v>
      </c>
      <c r="CA235" t="s">
        <v>708</v>
      </c>
      <c r="CB235" t="str">
        <f>IF(BS235="BRAKE","{YELLOW}Speed bonus for slow wagons{}",IF(BQ235&gt;190,CONCATENATE("{YELLOW}",INT((BQ235-185)/1.85),"% Bonus for long distance travel{}"),IF(AND(BQ235&lt;180,BQ235&lt;&gt;0),CONCATENATE("{YELLOW}",INT((185-BQ235)/1.85),"% Penalty for long distance travel{}"),"")))</f>
        <v>{YELLOW}10% Bonus for long distance travel{}</v>
      </c>
      <c r="CC235" t="str">
        <f>_xlfn.CONCAT(BW235,BY235,IF(BY235 &lt;&gt; "", " ", ""),BZ235,IF(OR(BZ235&lt;&gt;"", BY235&lt;&gt;""), "{}",""), CB235,"{SILVER}", CA235)</f>
        <v>{BLACK}Powered by: {GOLD}Diesel {BLACK}Cars: {GOLD}4{}{YELLOW}10% Bonus for long distance travel{}{SILVER}The Class 221 is outwardly very similar to the Class 220, but internally it has different bogies and features a tilt mechanism for faster cornering.</v>
      </c>
    </row>
    <row r="236" spans="1:81" x14ac:dyDescent="0.25">
      <c r="A236" t="s">
        <v>1294</v>
      </c>
      <c r="B236" t="s">
        <v>1292</v>
      </c>
      <c r="C236">
        <v>496</v>
      </c>
      <c r="D236" t="s">
        <v>444</v>
      </c>
      <c r="E236" t="s">
        <v>336</v>
      </c>
      <c r="F236" t="s">
        <v>337</v>
      </c>
      <c r="G236">
        <v>2002</v>
      </c>
      <c r="H236">
        <v>2006</v>
      </c>
      <c r="J236">
        <v>4</v>
      </c>
      <c r="K236">
        <v>2080</v>
      </c>
      <c r="T236">
        <v>170</v>
      </c>
      <c r="V236">
        <f>8*J236</f>
        <v>32</v>
      </c>
      <c r="W236">
        <v>180</v>
      </c>
      <c r="X236" s="4">
        <f>IF(AND(T236&gt;0,W236&gt;0),(W236/((T236+U236)*10)),"")</f>
        <v>0.10588235294117647</v>
      </c>
      <c r="Y236">
        <v>100</v>
      </c>
      <c r="AA236">
        <v>20.399999999999999</v>
      </c>
      <c r="AB236">
        <v>20.399999999999999</v>
      </c>
      <c r="AC236">
        <v>2.8</v>
      </c>
      <c r="AE236" s="11">
        <v>69</v>
      </c>
      <c r="AF236" t="str">
        <f>CONCATENATE(VLOOKUP(AG236, 'Voxel Sizes'!$A$2:$B$18,2,FALSE),"x",INT(AC236*15), "x", INT(AD236*15))</f>
        <v>198x42x0</v>
      </c>
      <c r="AG236">
        <f>ROUND(15*((AB236*10)/256),0)</f>
        <v>12</v>
      </c>
      <c r="AI236" t="str">
        <f>CONCATENATE(VLOOKUP(AG236,Constants!$A$2:$C$16,IF(AH236&lt;&gt;"", 3, 2), FALSE),IF(AH236&lt;&gt;"",CONCATENATE(",",VLOOKUP(AH236,$B:$AI,34,FALSE)),""))</f>
        <v>4,4,4</v>
      </c>
      <c r="AM236" t="s">
        <v>1293</v>
      </c>
      <c r="AO236" t="s">
        <v>599</v>
      </c>
      <c r="AS236">
        <v>28</v>
      </c>
      <c r="AT236" t="str">
        <f>IF(I236&lt;&gt;"",MAX(8,(I236-G236)-4),"")</f>
        <v/>
      </c>
      <c r="AU236">
        <v>-15</v>
      </c>
      <c r="AV236">
        <v>-30</v>
      </c>
      <c r="AW236">
        <f>MIN(Y236/150, 1)*30</f>
        <v>20</v>
      </c>
      <c r="AX236">
        <f>MIN(K236/4000, 1)*20</f>
        <v>10.4</v>
      </c>
      <c r="AY236">
        <f>MIN(W236/400,1)*20</f>
        <v>9</v>
      </c>
      <c r="AZ236" s="4">
        <v>1</v>
      </c>
      <c r="BA236">
        <f>((MAX($J236,1)*MIN($AE236/300,1)))*IF(D236="Wagon",50,10)</f>
        <v>9.2000000000000011</v>
      </c>
      <c r="BB236">
        <f>VLOOKUP($E236,Constants!$I:$K, 2, FALSE)</f>
        <v>0.85</v>
      </c>
      <c r="BC236">
        <f>VLOOKUP($E236,Constants!$I:$K, 3, FALSE)*IF(AND(D236="multiple_unit",Y236&lt;110),0.75,1)</f>
        <v>1.7249999999999999</v>
      </c>
      <c r="BD236">
        <f>INT(POWER(((Constants!$G$2+$AW236+$AX236+$AY236+$BA236)*$AZ236)*$BC236, 1.05))+$AV236</f>
        <v>85</v>
      </c>
      <c r="BE236">
        <f>INT(POWER((((Constants!$G$1+$AW236+$AX236+$AY236+$BA236)*(1/$AZ236))*$BB236),IF($D236="wagon",1,1.2)))+$AU236</f>
        <v>105</v>
      </c>
      <c r="BF236" s="15">
        <f>BD236*IF($D236="wagon",62.5,781.25)</f>
        <v>66406.25</v>
      </c>
      <c r="BG236" s="15">
        <f>BE236*IF($D236="wagon",2.73,81.25)</f>
        <v>8531.25</v>
      </c>
      <c r="BP236">
        <v>3</v>
      </c>
      <c r="BQ236">
        <v>185</v>
      </c>
      <c r="BS236" t="s">
        <v>323</v>
      </c>
      <c r="BT236" t="str">
        <f>VLOOKUP(G236,Eras!$A$2:$C$10, 2, TRUE)</f>
        <v>prv</v>
      </c>
      <c r="BU236" t="s">
        <v>373</v>
      </c>
      <c r="BV236" t="str">
        <f>CONCATENATE(BT236,"_",BU236)</f>
        <v>prv_EMU</v>
      </c>
      <c r="BW236" t="str">
        <f>IF(AND(BI236&lt;&gt;Y236,BI236&lt;&gt;""),_xlfn.CONCAT("{BLACK}","Tare speed: ","{GOLD}{VELOCITY}{}"), "")</f>
        <v/>
      </c>
      <c r="BX236" t="str">
        <f>_xlfn.CONCAT(E236, "_",F236)</f>
        <v>electric_ELRL</v>
      </c>
      <c r="BY236" t="str">
        <f>VLOOKUP($BX236, Constants!$M:$N, 2, FALSE)</f>
        <v>{BLACK}Powered by: {GOLD}25kV AC</v>
      </c>
      <c r="BZ236" t="str">
        <f>IF(J236&gt;1,_xlfn.CONCAT("{BLACK}Cars: {GOLD}", J236),"")</f>
        <v>{BLACK}Cars: {GOLD}4</v>
      </c>
      <c r="CA236" t="s">
        <v>1295</v>
      </c>
      <c r="CB236" t="str">
        <f>IF(BS236="BRAKE","{YELLOW}Speed bonus for slow wagons{}",IF(BQ236&gt;190,CONCATENATE("{YELLOW}",INT((BQ236-185)/1.85),"% Bonus for long distance travel{}"),IF(AND(BQ236&lt;180,BQ236&lt;&gt;0),CONCATENATE("{YELLOW}",INT((185-BQ236)/1.85),"% Penalty for long distance travel{}"),"")))</f>
        <v/>
      </c>
      <c r="CC236" t="str">
        <f>_xlfn.CONCAT(BW236,BY236,IF(BY236 &lt;&gt; "", " ", ""),BZ236,IF(OR(BZ236&lt;&gt;"", BY236&lt;&gt;""), "{}",""), CB236,"{SILVER}", CA236)</f>
        <v>{BLACK}Powered by: {GOLD}25kV AC {BLACK}Cars: {GOLD}4{}{SILVER}The Class 360 is an AC version of the Desiro family of units, ordered to replace slam-door stock on the Great Eastern Main Line.</v>
      </c>
    </row>
    <row r="237" spans="1:81" x14ac:dyDescent="0.25">
      <c r="A237" t="s">
        <v>84</v>
      </c>
      <c r="B237" t="s">
        <v>631</v>
      </c>
      <c r="C237">
        <v>498</v>
      </c>
      <c r="D237" t="s">
        <v>444</v>
      </c>
      <c r="E237" t="s">
        <v>596</v>
      </c>
      <c r="F237" t="s">
        <v>595</v>
      </c>
      <c r="G237">
        <v>2003</v>
      </c>
      <c r="J237">
        <v>4</v>
      </c>
      <c r="K237">
        <v>1600</v>
      </c>
      <c r="T237">
        <v>173.6</v>
      </c>
      <c r="V237">
        <f>8*J237</f>
        <v>32</v>
      </c>
      <c r="W237">
        <v>175</v>
      </c>
      <c r="X237" s="4">
        <f>IF(AND(T237&gt;0,W237&gt;0),(W237/((T237+U237)*10)),"")</f>
        <v>0.10080645161290322</v>
      </c>
      <c r="Y237">
        <v>100</v>
      </c>
      <c r="AA237">
        <v>20.399999999999999</v>
      </c>
      <c r="AB237">
        <v>20.399999999999999</v>
      </c>
      <c r="AD237">
        <v>3.78</v>
      </c>
      <c r="AE237" s="11">
        <v>60</v>
      </c>
      <c r="AF237" t="str">
        <f>CONCATENATE(VLOOKUP(AG237, 'Voxel Sizes'!$A$2:$B$18,2,FALSE),"x",INT(AC237*15), "x", INT(AD237*15))</f>
        <v>198x0x56</v>
      </c>
      <c r="AG237">
        <f>ROUND(15*((AB237*10)/256),0)</f>
        <v>12</v>
      </c>
      <c r="AI237" t="str">
        <f>CONCATENATE(VLOOKUP(AG237,Constants!$A$2:$C$16,IF(AH237&lt;&gt;"", 3, 2), FALSE),IF(AH237&lt;&gt;"",CONCATENATE(",",VLOOKUP(AH237,$B:$AI,34,FALSE)),""))</f>
        <v>4,4,4</v>
      </c>
      <c r="AM237" t="s">
        <v>632</v>
      </c>
      <c r="AN237" t="s">
        <v>633</v>
      </c>
      <c r="AO237" t="s">
        <v>599</v>
      </c>
      <c r="AS237">
        <v>29</v>
      </c>
      <c r="AT237" t="str">
        <f>IF(I237&lt;&gt;"",MAX(8,(I237-G237)-4),"")</f>
        <v/>
      </c>
      <c r="AU237">
        <v>-15</v>
      </c>
      <c r="AV237">
        <v>-30</v>
      </c>
      <c r="AW237">
        <f>MIN(Y237/150, 1)*30</f>
        <v>20</v>
      </c>
      <c r="AX237">
        <f>MIN(K237/4000, 1)*20</f>
        <v>8</v>
      </c>
      <c r="AY237">
        <f>MIN(W237/400,1)*20</f>
        <v>8.75</v>
      </c>
      <c r="AZ237" s="4">
        <v>1</v>
      </c>
      <c r="BA237">
        <f>((MAX($J237,1)*MIN($AE237/300,1)))*IF(D237="Wagon",50,10)</f>
        <v>8</v>
      </c>
      <c r="BB237">
        <f>VLOOKUP($E237,Constants!$I:$K, 2, FALSE)</f>
        <v>0.85</v>
      </c>
      <c r="BC237">
        <f>VLOOKUP($E237,Constants!$I:$K, 3, FALSE)*IF(AND(D237="multiple_unit",Y237&lt;110),0.75,1)</f>
        <v>1.7999999999999998</v>
      </c>
      <c r="BD237">
        <f>INT(POWER(((Constants!$G$2+$AW237+$AX237+$AY237+$BA237)*$AZ237)*$BC237, 1.05))+$AV237</f>
        <v>82</v>
      </c>
      <c r="BE237">
        <f>INT(POWER((((Constants!$G$1+$AW237+$AX237+$AY237+$BA237)*(1/$AZ237))*$BB237),IF($D237="wagon",1,1.2)))+$AU237</f>
        <v>96</v>
      </c>
      <c r="BF237" s="15">
        <f>BD237*IF($D237="wagon",62.5,781.25)</f>
        <v>64062.5</v>
      </c>
      <c r="BG237" s="15">
        <f>BE237*IF($D237="wagon",2.73,81.25)</f>
        <v>7800</v>
      </c>
      <c r="BP237">
        <v>12</v>
      </c>
      <c r="BQ237">
        <v>185</v>
      </c>
      <c r="BS237" t="s">
        <v>323</v>
      </c>
      <c r="BT237" t="str">
        <f>VLOOKUP(G237,Eras!$A$2:$C$10, 2, TRUE)</f>
        <v>prv</v>
      </c>
      <c r="BU237" t="s">
        <v>373</v>
      </c>
      <c r="BV237" t="str">
        <f>CONCATENATE(BT237,"_",BU237)</f>
        <v>prv_EMU</v>
      </c>
      <c r="BW237" t="str">
        <f>IF(AND(BI237&lt;&gt;Y237,BI237&lt;&gt;""),_xlfn.CONCAT("{BLACK}","Tare speed: ","{GOLD}{VELOCITY}{}"), "")</f>
        <v/>
      </c>
      <c r="BX237" t="str">
        <f>_xlfn.CONCAT(E237, "_",F237)</f>
        <v>dual_electric_DUAL_POWER</v>
      </c>
      <c r="BY237" t="str">
        <f>VLOOKUP($BX237, Constants!$M:$N, 2, FALSE)</f>
        <v>{BLACK}Powered by: {GOLD}25kV AC / 750V DC</v>
      </c>
      <c r="BZ237" t="str">
        <f>IF(J237&gt;1,_xlfn.CONCAT("{BLACK}Cars: {GOLD}", J237),"")</f>
        <v>{BLACK}Cars: {GOLD}4</v>
      </c>
      <c r="CA237" t="s">
        <v>630</v>
      </c>
      <c r="CB237" t="str">
        <f>IF(BS237="BRAKE","{YELLOW}Speed bonus for slow wagons{}",IF(BQ237&gt;190,CONCATENATE("{YELLOW}",INT((BQ237-185)/1.85),"% Bonus for long distance travel{}"),IF(AND(BQ237&lt;180,BQ237&lt;&gt;0),CONCATENATE("{YELLOW}",INT((185-BQ237)/1.85),"% Penalty for long distance travel{}"),"")))</f>
        <v/>
      </c>
      <c r="CC237" t="str">
        <f>_xlfn.CONCAT(BW237,BY237,IF(BY237 &lt;&gt; "", " ", ""),BZ237,IF(OR(BZ237&lt;&gt;"", BY237&lt;&gt;""), "{}",""), CB237,"{SILVER}", CA237)</f>
        <v>{BLACK}Powered by: {GOLD}25kV AC / 750V DC {BLACK}Cars: {GOLD}4{}{SILVER}The Class 377 is a dual-voltage EMU, and is a common sight around London and South East England.</v>
      </c>
    </row>
    <row r="238" spans="1:81" x14ac:dyDescent="0.25">
      <c r="A238" t="s">
        <v>92</v>
      </c>
      <c r="B238" t="s">
        <v>257</v>
      </c>
      <c r="C238">
        <v>500</v>
      </c>
      <c r="D238" t="s">
        <v>444</v>
      </c>
      <c r="E238" t="s">
        <v>336</v>
      </c>
      <c r="F238" t="s">
        <v>343</v>
      </c>
      <c r="G238">
        <v>2003</v>
      </c>
      <c r="H238">
        <v>2006</v>
      </c>
      <c r="J238">
        <v>4</v>
      </c>
      <c r="K238">
        <v>2010</v>
      </c>
      <c r="T238">
        <v>170</v>
      </c>
      <c r="V238">
        <f>8*J238</f>
        <v>32</v>
      </c>
      <c r="W238">
        <v>180</v>
      </c>
      <c r="X238" s="4">
        <f>IF(AND(T238&gt;0,W238&gt;0),(W238/((T238+U238)*10)),"")</f>
        <v>0.10588235294117647</v>
      </c>
      <c r="Y238">
        <v>100</v>
      </c>
      <c r="AA238">
        <v>20.399999999999999</v>
      </c>
      <c r="AB238">
        <v>20.399999999999999</v>
      </c>
      <c r="AC238">
        <v>2.8</v>
      </c>
      <c r="AE238" s="11">
        <v>66</v>
      </c>
      <c r="AF238" t="str">
        <f>CONCATENATE(VLOOKUP(AG238, 'Voxel Sizes'!$A$2:$B$18,2,FALSE),"x",INT(AC238*15), "x", INT(AD238*15))</f>
        <v>198x42x0</v>
      </c>
      <c r="AG238">
        <f>ROUND(15*((AB238*10)/256),0)</f>
        <v>12</v>
      </c>
      <c r="AI238" t="str">
        <f>CONCATENATE(VLOOKUP(AG238,Constants!$A$2:$C$16,IF(AH238&lt;&gt;"", 3, 2), FALSE),IF(AH238&lt;&gt;"",CONCATENATE(",",VLOOKUP(AH238,$B:$AI,34,FALSE)),""))</f>
        <v>4,4,4</v>
      </c>
      <c r="AM238" t="s">
        <v>649</v>
      </c>
      <c r="AO238" t="s">
        <v>599</v>
      </c>
      <c r="AS238">
        <v>28</v>
      </c>
      <c r="AT238" t="str">
        <f>IF(I238&lt;&gt;"",MAX(8,(I238-G238)-4),"")</f>
        <v/>
      </c>
      <c r="AU238">
        <v>-16</v>
      </c>
      <c r="AV238">
        <v>-28</v>
      </c>
      <c r="AW238">
        <f>MIN(Y238/150, 1)*30</f>
        <v>20</v>
      </c>
      <c r="AX238">
        <f>MIN(K238/4000, 1)*20</f>
        <v>10.049999999999999</v>
      </c>
      <c r="AY238">
        <f>MIN(W238/400,1)*20</f>
        <v>9</v>
      </c>
      <c r="AZ238" s="4">
        <v>1</v>
      </c>
      <c r="BA238">
        <f>((MAX($J238,1)*MIN($AE238/300,1)))*IF(D238="Wagon",50,10)</f>
        <v>8.8000000000000007</v>
      </c>
      <c r="BB238">
        <f>VLOOKUP($E238,Constants!$I:$K, 2, FALSE)</f>
        <v>0.85</v>
      </c>
      <c r="BC238">
        <f>VLOOKUP($E238,Constants!$I:$K, 3, FALSE)*IF(AND(D238="multiple_unit",Y238&lt;110),0.75,1)</f>
        <v>1.7249999999999999</v>
      </c>
      <c r="BD238">
        <f>INT(POWER(((Constants!$G$2+$AW238+$AX238+$AY238+$BA238)*$AZ238)*$BC238, 1.05))+$AV238</f>
        <v>86</v>
      </c>
      <c r="BE238">
        <f>INT(POWER((((Constants!$G$1+$AW238+$AX238+$AY238+$BA238)*(1/$AZ238))*$BB238),IF($D238="wagon",1,1.2)))+$AU238</f>
        <v>102</v>
      </c>
      <c r="BF238" s="15">
        <f>BD238*IF($D238="wagon",62.5,781.25)</f>
        <v>67187.5</v>
      </c>
      <c r="BG238" s="15">
        <f>BE238*IF($D238="wagon",2.73,81.25)</f>
        <v>8287.5</v>
      </c>
      <c r="BM238" t="s">
        <v>258</v>
      </c>
      <c r="BP238">
        <v>1</v>
      </c>
      <c r="BQ238">
        <v>185</v>
      </c>
      <c r="BS238" t="s">
        <v>323</v>
      </c>
      <c r="BT238" t="str">
        <f>VLOOKUP(G238,Eras!$A$2:$C$10, 2, TRUE)</f>
        <v>prv</v>
      </c>
      <c r="BU238" t="s">
        <v>373</v>
      </c>
      <c r="BV238" t="str">
        <f>CONCATENATE(BT238,"_",BU238)</f>
        <v>prv_EMU</v>
      </c>
      <c r="BW238" t="str">
        <f>IF(AND(BI238&lt;&gt;Y238,BI238&lt;&gt;""),_xlfn.CONCAT("{BLACK}","Tare speed: ","{GOLD}{VELOCITY}{}"), "")</f>
        <v/>
      </c>
      <c r="BX238" t="str">
        <f>_xlfn.CONCAT(E238, "_",F238)</f>
        <v>electric_THIRD_RAIL</v>
      </c>
      <c r="BY238" t="str">
        <f>VLOOKUP($BX238, Constants!$M:$N, 2, FALSE)</f>
        <v>{BLACK}Powered by: {GOLD}750V DC</v>
      </c>
      <c r="BZ238" t="str">
        <f>IF(J238&gt;1,_xlfn.CONCAT("{BLACK}Cars: {GOLD}", J238),"")</f>
        <v>{BLACK}Cars: {GOLD}4</v>
      </c>
      <c r="CA238" t="s">
        <v>647</v>
      </c>
      <c r="CB238" t="str">
        <f>IF(BS238="BRAKE","{YELLOW}Speed bonus for slow wagons{}",IF(BQ238&gt;190,CONCATENATE("{YELLOW}",INT((BQ238-185)/1.85),"% Bonus for long distance travel{}"),IF(AND(BQ238&lt;180,BQ238&lt;&gt;0),CONCATENATE("{YELLOW}",INT((185-BQ238)/1.85),"% Penalty for long distance travel{}"),"")))</f>
        <v/>
      </c>
      <c r="CC238" t="str">
        <f>_xlfn.CONCAT(BW238,BY238,IF(BY238 &lt;&gt; "", " ", ""),BZ238,IF(OR(BZ238&lt;&gt;"", BY238&lt;&gt;""), "{}",""), CB238,"{SILVER}", CA238)</f>
        <v>{BLACK}Powered by: {GOLD}750V DC {BLACK}Cars: {GOLD}4{}{SILVER}The Class 450 was designed for South West Trains to replace all slam-door stock. The large order meant the Class 450 became the most numerous type of Desiro unit in the UK.</v>
      </c>
    </row>
    <row r="239" spans="1:81" x14ac:dyDescent="0.25">
      <c r="A239" t="s">
        <v>93</v>
      </c>
      <c r="B239" t="s">
        <v>258</v>
      </c>
      <c r="C239">
        <v>502</v>
      </c>
      <c r="D239" t="s">
        <v>444</v>
      </c>
      <c r="E239" t="s">
        <v>336</v>
      </c>
      <c r="F239" t="s">
        <v>343</v>
      </c>
      <c r="G239">
        <v>2004</v>
      </c>
      <c r="J239">
        <v>5</v>
      </c>
      <c r="K239">
        <v>2680</v>
      </c>
      <c r="T239">
        <v>227</v>
      </c>
      <c r="V239">
        <f>8*J239</f>
        <v>40</v>
      </c>
      <c r="W239">
        <v>210</v>
      </c>
      <c r="X239" s="4">
        <f>IF(AND(T239&gt;0,W239&gt;0),(W239/((T239+U239)*10)),"")</f>
        <v>9.2511013215859028E-2</v>
      </c>
      <c r="Y239">
        <v>100</v>
      </c>
      <c r="AA239">
        <v>23</v>
      </c>
      <c r="AB239">
        <v>23</v>
      </c>
      <c r="AC239">
        <v>2.8</v>
      </c>
      <c r="AE239" s="11">
        <v>66</v>
      </c>
      <c r="AF239" t="str">
        <f>CONCATENATE(VLOOKUP(AG239, 'Voxel Sizes'!$A$2:$B$18,2,FALSE),"x",INT(AC239*15), "x", INT(AD239*15))</f>
        <v>214x42x0</v>
      </c>
      <c r="AG239">
        <f>ROUND(15*((AB239*10)/256),0)</f>
        <v>13</v>
      </c>
      <c r="AI239" t="str">
        <f>CONCATENATE(VLOOKUP(AG239,Constants!$A$2:$C$16,IF(AH239&lt;&gt;"", 3, 2), FALSE),IF(AH239&lt;&gt;"",CONCATENATE(",",VLOOKUP(AH239,$B:$AI,34,FALSE)),""))</f>
        <v>4,5,4</v>
      </c>
      <c r="AM239" t="s">
        <v>650</v>
      </c>
      <c r="AO239" t="s">
        <v>651</v>
      </c>
      <c r="AS239">
        <v>28</v>
      </c>
      <c r="AT239" t="str">
        <f>IF(I239&lt;&gt;"",MAX(8,(I239-G239)-4),"")</f>
        <v/>
      </c>
      <c r="AU239">
        <v>-15</v>
      </c>
      <c r="AV239">
        <v>-35</v>
      </c>
      <c r="AW239">
        <f>MIN(Y239/150, 1)*30</f>
        <v>20</v>
      </c>
      <c r="AX239">
        <f>MIN(K239/4000, 1)*20</f>
        <v>13.4</v>
      </c>
      <c r="AY239">
        <f>MIN(W239/400,1)*20</f>
        <v>10.5</v>
      </c>
      <c r="AZ239" s="4">
        <v>1</v>
      </c>
      <c r="BA239">
        <f>((MAX($J239,1)*MIN($AE239/300,1)))*IF(D239="Wagon",50,10)</f>
        <v>11</v>
      </c>
      <c r="BB239">
        <f>VLOOKUP($E239,Constants!$I:$K, 2, FALSE)</f>
        <v>0.85</v>
      </c>
      <c r="BC239">
        <f>VLOOKUP($E239,Constants!$I:$K, 3, FALSE)*IF(AND(D239="multiple_unit",Y239&lt;110),0.75,1)</f>
        <v>1.7249999999999999</v>
      </c>
      <c r="BD239">
        <f>INT(POWER(((Constants!$G$2+$AW239+$AX239+$AY239+$BA239)*$AZ239)*$BC239, 1.05))+$AV239</f>
        <v>95</v>
      </c>
      <c r="BE239">
        <f>INT(POWER((((Constants!$G$1+$AW239+$AX239+$AY239+$BA239)*(1/$AZ239))*$BB239),IF($D239="wagon",1,1.2)))+$AU239</f>
        <v>119</v>
      </c>
      <c r="BF239" s="15">
        <f>BD239*IF($D239="wagon",62.5,781.25)</f>
        <v>74218.75</v>
      </c>
      <c r="BG239" s="15">
        <f>BE239*IF($D239="wagon",2.73,81.25)</f>
        <v>9668.75</v>
      </c>
      <c r="BM239" t="s">
        <v>257</v>
      </c>
      <c r="BO239" t="s">
        <v>1204</v>
      </c>
      <c r="BP239">
        <v>3</v>
      </c>
      <c r="BQ239">
        <v>205</v>
      </c>
      <c r="BS239" t="s">
        <v>323</v>
      </c>
      <c r="BT239" t="str">
        <f>VLOOKUP(G239,Eras!$A$2:$C$10, 2, TRUE)</f>
        <v>prv</v>
      </c>
      <c r="BU239" t="s">
        <v>374</v>
      </c>
      <c r="BV239" t="str">
        <f>CONCATENATE(BT239,"_",BU239)</f>
        <v>prv_EMU (Express)</v>
      </c>
      <c r="BW239" t="str">
        <f>IF(AND(BI239&lt;&gt;Y239,BI239&lt;&gt;""),_xlfn.CONCAT("{BLACK}","Tare speed: ","{GOLD}{VELOCITY}{}"), "")</f>
        <v/>
      </c>
      <c r="BX239" t="str">
        <f>_xlfn.CONCAT(E239, "_",F239)</f>
        <v>electric_THIRD_RAIL</v>
      </c>
      <c r="BY239" t="str">
        <f>VLOOKUP($BX239, Constants!$M:$N, 2, FALSE)</f>
        <v>{BLACK}Powered by: {GOLD}750V DC</v>
      </c>
      <c r="BZ239" t="str">
        <f>IF(J239&gt;1,_xlfn.CONCAT("{BLACK}Cars: {GOLD}", J239),"")</f>
        <v>{BLACK}Cars: {GOLD}5</v>
      </c>
      <c r="CA239" t="s">
        <v>648</v>
      </c>
      <c r="CB239" t="str">
        <f>IF(BS239="BRAKE","{YELLOW}Speed bonus for slow wagons{}",IF(BQ239&gt;190,CONCATENATE("{YELLOW}",INT((BQ239-185)/1.85),"% Bonus for long distance travel{}"),IF(AND(BQ239&lt;180,BQ239&lt;&gt;0),CONCATENATE("{YELLOW}",INT((185-BQ239)/1.85),"% Penalty for long distance travel{}"),"")))</f>
        <v>{YELLOW}10% Bonus for long distance travel{}</v>
      </c>
      <c r="CC239" t="str">
        <f>_xlfn.CONCAT(BW239,BY239,IF(BY239 &lt;&gt; "", " ", ""),BZ239,IF(OR(BZ239&lt;&gt;"", BY239&lt;&gt;""), "{}",""), CB239,"{SILVER}", CA239)</f>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0" spans="1:81" x14ac:dyDescent="0.25">
      <c r="A240" t="s">
        <v>93</v>
      </c>
      <c r="B240" t="s">
        <v>1195</v>
      </c>
      <c r="C240">
        <v>503</v>
      </c>
      <c r="D240" t="s">
        <v>444</v>
      </c>
      <c r="E240" t="s">
        <v>336</v>
      </c>
      <c r="F240" t="s">
        <v>343</v>
      </c>
      <c r="G240">
        <v>2004</v>
      </c>
      <c r="J240">
        <v>4</v>
      </c>
      <c r="K240">
        <v>2680</v>
      </c>
      <c r="T240">
        <f>227/5*4</f>
        <v>181.6</v>
      </c>
      <c r="V240">
        <f>8*J240</f>
        <v>32</v>
      </c>
      <c r="W240">
        <v>210</v>
      </c>
      <c r="X240" s="4">
        <f>IF(AND(T240&gt;0,W240&gt;0),(W240/((T240+U240)*10)),"")</f>
        <v>0.11563876651982379</v>
      </c>
      <c r="Y240">
        <v>100</v>
      </c>
      <c r="AA240">
        <v>23</v>
      </c>
      <c r="AB240">
        <v>23</v>
      </c>
      <c r="AC240">
        <v>2.8</v>
      </c>
      <c r="AE240" s="11">
        <v>66</v>
      </c>
      <c r="AF240" t="str">
        <f>CONCATENATE(VLOOKUP(AG240, 'Voxel Sizes'!$A$2:$B$18,2,FALSE),"x",INT(AC240*15), "x", INT(AD240*15))</f>
        <v>214x42x0</v>
      </c>
      <c r="AG240">
        <f>ROUND(15*((AB240*10)/256),0)</f>
        <v>13</v>
      </c>
      <c r="AI240" t="str">
        <f>CONCATENATE(VLOOKUP(AG240,Constants!$A$2:$C$16,IF(AH240&lt;&gt;"", 3, 2), FALSE),IF(AH240&lt;&gt;"",CONCATENATE(",",VLOOKUP(AH240,$B:$AI,34,FALSE)),""))</f>
        <v>4,5,4</v>
      </c>
      <c r="AM240" t="s">
        <v>1196</v>
      </c>
      <c r="AO240" t="s">
        <v>1184</v>
      </c>
      <c r="AP240" t="s">
        <v>258</v>
      </c>
      <c r="AS240">
        <v>28</v>
      </c>
      <c r="AT240" t="str">
        <f>IF(I240&lt;&gt;"",MAX(8,(I240-G240)-4),"")</f>
        <v/>
      </c>
      <c r="AU240">
        <v>-15</v>
      </c>
      <c r="AV240">
        <v>-35</v>
      </c>
      <c r="AW240">
        <f>MIN(Y240/150, 1)*30</f>
        <v>20</v>
      </c>
      <c r="AX240">
        <f>MIN(K240/4000, 1)*20</f>
        <v>13.4</v>
      </c>
      <c r="AY240">
        <f>MIN(W240/400,1)*20</f>
        <v>10.5</v>
      </c>
      <c r="AZ240" s="4">
        <v>1</v>
      </c>
      <c r="BA240">
        <f>((MAX($J240,1)*MIN($AE240/300,1)))*IF(D240="Wagon",50,10)</f>
        <v>8.8000000000000007</v>
      </c>
      <c r="BB240">
        <f>VLOOKUP($E240,Constants!$I:$K, 2, FALSE)</f>
        <v>0.85</v>
      </c>
      <c r="BC240">
        <f>VLOOKUP($E240,Constants!$I:$K, 3, FALSE)*IF(AND(D240="multiple_unit",Y240&lt;110),0.75,1)</f>
        <v>1.7249999999999999</v>
      </c>
      <c r="BD240">
        <f>INT(POWER(((Constants!$G$2+$AW240+$AX240+$AY240+$BA240)*$AZ240)*$BC240, 1.05))+$AV240</f>
        <v>90</v>
      </c>
      <c r="BE240">
        <f>INT(POWER((((Constants!$G$1+$AW240+$AX240+$AY240+$BA240)*(1/$AZ240))*$BB240),IF($D240="wagon",1,1.2)))+$AU240</f>
        <v>114</v>
      </c>
      <c r="BF240" s="15">
        <f>BD240*IF($D240="wagon",62.5,781.25)</f>
        <v>70312.5</v>
      </c>
      <c r="BG240" s="15">
        <f>BE240*IF($D240="wagon",2.73,81.25)</f>
        <v>9262.5</v>
      </c>
      <c r="BM240" t="s">
        <v>257</v>
      </c>
      <c r="BO240" t="s">
        <v>1206</v>
      </c>
      <c r="BP240">
        <v>4</v>
      </c>
      <c r="BQ240">
        <v>205</v>
      </c>
      <c r="BS240" t="s">
        <v>323</v>
      </c>
      <c r="BT240" t="str">
        <f>VLOOKUP(G240,Eras!$A$2:$C$10, 2, TRUE)</f>
        <v>prv</v>
      </c>
      <c r="BU240" t="s">
        <v>374</v>
      </c>
      <c r="BV240" t="str">
        <f>CONCATENATE(BT240,"_",BU240)</f>
        <v>prv_EMU (Express)</v>
      </c>
      <c r="BW240" t="str">
        <f>IF(AND(BI240&lt;&gt;Y240,BI240&lt;&gt;""),_xlfn.CONCAT("{BLACK}","Tare speed: ","{GOLD}{VELOCITY}{}"), "")</f>
        <v/>
      </c>
      <c r="BX240" t="str">
        <f>_xlfn.CONCAT(E240, "_",F240)</f>
        <v>electric_THIRD_RAIL</v>
      </c>
      <c r="BY240" t="str">
        <f>VLOOKUP($BX240, Constants!$M:$N, 2, FALSE)</f>
        <v>{BLACK}Powered by: {GOLD}750V DC</v>
      </c>
      <c r="BZ240" t="str">
        <f>IF(J240&gt;1,_xlfn.CONCAT("{BLACK}Cars: {GOLD}", J240),"")</f>
        <v>{BLACK}Cars: {GOLD}4</v>
      </c>
      <c r="CA240" t="s">
        <v>648</v>
      </c>
      <c r="CB240" t="str">
        <f>IF(BS240="BRAKE","{YELLOW}Speed bonus for slow wagons{}",IF(BQ240&gt;190,CONCATENATE("{YELLOW}",INT((BQ240-185)/1.85),"% Bonus for long distance travel{}"),IF(AND(BQ240&lt;180,BQ240&lt;&gt;0),CONCATENATE("{YELLOW}",INT((185-BQ240)/1.85),"% Penalty for long distance travel{}"),"")))</f>
        <v>{YELLOW}10% Bonus for long distance travel{}</v>
      </c>
      <c r="CC240" t="str">
        <f>_xlfn.CONCAT(BW240,BY240,IF(BY240 &lt;&gt; "", " ", ""),BZ240,IF(OR(BZ240&lt;&gt;"", BY240&lt;&gt;""), "{}",""), CB240,"{SILVER}", CA240)</f>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1" spans="1:81" x14ac:dyDescent="0.25">
      <c r="A241" t="s">
        <v>86</v>
      </c>
      <c r="B241" t="s">
        <v>282</v>
      </c>
      <c r="C241">
        <v>506</v>
      </c>
      <c r="D241" t="s">
        <v>444</v>
      </c>
      <c r="E241" t="s">
        <v>336</v>
      </c>
      <c r="F241" t="s">
        <v>337</v>
      </c>
      <c r="G241">
        <v>2007</v>
      </c>
      <c r="H241">
        <v>2009</v>
      </c>
      <c r="J241">
        <v>6</v>
      </c>
      <c r="K241">
        <f>16*280</f>
        <v>4480</v>
      </c>
      <c r="T241">
        <v>265</v>
      </c>
      <c r="V241">
        <f>7*J241</f>
        <v>42</v>
      </c>
      <c r="W241">
        <v>210</v>
      </c>
      <c r="X241" s="4">
        <f>IF(AND(T241&gt;0,W241&gt;0),(W241/((T241+U241)*10)),"")</f>
        <v>7.9245283018867921E-2</v>
      </c>
      <c r="Y241">
        <v>157</v>
      </c>
      <c r="AA241">
        <v>20.88</v>
      </c>
      <c r="AB241">
        <v>20.88</v>
      </c>
      <c r="AD241">
        <v>3.82</v>
      </c>
      <c r="AE241" s="11">
        <v>57</v>
      </c>
      <c r="AF241" t="str">
        <f>CONCATENATE(VLOOKUP(AG241, 'Voxel Sizes'!$A$2:$B$18,2,FALSE),"x",INT(AC241*15), "x", INT(AD241*15))</f>
        <v>198x0x57</v>
      </c>
      <c r="AG241">
        <f>ROUND(15*((AB241*10)/256),0)</f>
        <v>12</v>
      </c>
      <c r="AI241" t="str">
        <f>CONCATENATE(VLOOKUP(AG241,Constants!$A$2:$C$16,IF(AH241&lt;&gt;"", 3, 2), FALSE),IF(AH241&lt;&gt;"",CONCATENATE(",",VLOOKUP(AH241,$B:$AI,34,FALSE)),""))</f>
        <v>4,4,4</v>
      </c>
      <c r="AM241" t="s">
        <v>1342</v>
      </c>
      <c r="AO241" t="s">
        <v>571</v>
      </c>
      <c r="AS241">
        <v>30</v>
      </c>
      <c r="AT241" t="str">
        <f>IF(I241&lt;&gt;"",MAX(8,(I241-G241)-4),"")</f>
        <v/>
      </c>
      <c r="AU241">
        <v>-15</v>
      </c>
      <c r="AV241">
        <v>-30</v>
      </c>
      <c r="AW241">
        <f>MIN(Y241/150, 1)*30</f>
        <v>30</v>
      </c>
      <c r="AX241">
        <f>MIN(K241/4000, 1)*20</f>
        <v>20</v>
      </c>
      <c r="AY241">
        <f>MIN(W241/400,1)*20</f>
        <v>10.5</v>
      </c>
      <c r="AZ241" s="4">
        <v>1</v>
      </c>
      <c r="BA241">
        <f>((MAX($J241,1)*MIN($AE241/300,1)))*IF(D241="Wagon",50,10)</f>
        <v>11.400000000000002</v>
      </c>
      <c r="BB241">
        <f>VLOOKUP($E241,Constants!$I:$K, 2, FALSE)</f>
        <v>0.85</v>
      </c>
      <c r="BC241">
        <f>VLOOKUP($E241,Constants!$I:$K, 3, FALSE)*IF(AND(D241="multiple_unit",Y241&lt;110),0.75,1)</f>
        <v>2.2999999999999998</v>
      </c>
      <c r="BD241">
        <f>INT(POWER(((Constants!$G$2+$AW241+$AX241+$AY241+$BA241)*$AZ241)*$BC241, 1.05))+$AV241</f>
        <v>199</v>
      </c>
      <c r="BE241">
        <f>INT(POWER((((Constants!$G$1+$AW241+$AX241+$AY241+$BA241)*(1/$AZ241))*$BB241),IF($D241="wagon",1,1.2)))+$AU241</f>
        <v>159</v>
      </c>
      <c r="BF241" s="15">
        <f>BD241*IF($D241="wagon",62.5,781.25)</f>
        <v>155468.75</v>
      </c>
      <c r="BG241" s="15">
        <f>BE241*IF($D241="wagon",2.73,81.25)</f>
        <v>12918.75</v>
      </c>
      <c r="BP241">
        <v>5</v>
      </c>
      <c r="BQ241">
        <v>205</v>
      </c>
      <c r="BS241" t="s">
        <v>323</v>
      </c>
      <c r="BT241" t="str">
        <f>VLOOKUP(G241,Eras!$A$2:$C$10, 2, TRUE)</f>
        <v>mod</v>
      </c>
      <c r="BU241" t="s">
        <v>374</v>
      </c>
      <c r="BV241" t="str">
        <f>CONCATENATE(BT241,"_",BU241)</f>
        <v>mod_EMU (Express)</v>
      </c>
      <c r="BW241" t="str">
        <f>IF(AND(BI241&lt;&gt;Y241,BI241&lt;&gt;""),_xlfn.CONCAT("{BLACK}","Tare speed: ","{GOLD}{VELOCITY}{}"), "")</f>
        <v/>
      </c>
      <c r="BX241" t="str">
        <f>_xlfn.CONCAT(E241, "_",F241)</f>
        <v>electric_ELRL</v>
      </c>
      <c r="BY241" t="str">
        <f>VLOOKUP($BX241, Constants!$M:$N, 2, FALSE)</f>
        <v>{BLACK}Powered by: {GOLD}25kV AC</v>
      </c>
      <c r="BZ241" t="str">
        <f>IF(J241&gt;1,_xlfn.CONCAT("{BLACK}Cars: {GOLD}", J241),"")</f>
        <v>{BLACK}Cars: {GOLD}6</v>
      </c>
      <c r="CA241" t="s">
        <v>1345</v>
      </c>
      <c r="CB241" t="str">
        <f>IF(BS241="BRAKE","{YELLOW}Speed bonus for slow wagons{}",IF(BQ241&gt;190,CONCATENATE("{YELLOW}",INT((BQ241-185)/1.85),"% Bonus for long distance travel{}"),IF(AND(BQ241&lt;180,BQ241&lt;&gt;0),CONCATENATE("{YELLOW}",INT((185-BQ241)/1.85),"% Penalty for long distance travel{}"),"")))</f>
        <v>{YELLOW}10% Bonus for long distance travel{}</v>
      </c>
      <c r="CC241" t="str">
        <f>_xlfn.CONCAT(BW241,BY241,IF(BY241 &lt;&gt; "", " ", ""),BZ241,IF(OR(BZ241&lt;&gt;"", BY241&lt;&gt;""), "{}",""), CB241,"{SILVER}", CA241)</f>
        <v>{BLACK}Powered by: {GOLD}25kV AC {BLACK}Cars: {GOLD}6{}{YELLOW}10% Bonus for long distance travel{}{SILVER}The Class 395 is a dedicated high speed unit built for the HS1 high speed route. It is part of Hitachi's AT300 series.</v>
      </c>
    </row>
    <row r="242" spans="1:81" x14ac:dyDescent="0.25">
      <c r="A242" t="s">
        <v>91</v>
      </c>
      <c r="B242" t="s">
        <v>256</v>
      </c>
      <c r="C242">
        <v>508</v>
      </c>
      <c r="D242" t="s">
        <v>444</v>
      </c>
      <c r="E242" t="s">
        <v>596</v>
      </c>
      <c r="F242" t="s">
        <v>595</v>
      </c>
      <c r="G242">
        <v>2009</v>
      </c>
      <c r="J242">
        <v>5</v>
      </c>
      <c r="K242">
        <f>800*2</f>
        <v>1600</v>
      </c>
      <c r="T242">
        <v>212.8</v>
      </c>
      <c r="V242">
        <f>10*J242</f>
        <v>50</v>
      </c>
      <c r="W242">
        <v>180</v>
      </c>
      <c r="X242" s="4">
        <f>IF(AND(T242&gt;0,W242&gt;0),(W242/((T242+U242)*10)),"")</f>
        <v>8.4586466165413529E-2</v>
      </c>
      <c r="Y242">
        <v>75</v>
      </c>
      <c r="AA242">
        <v>20.399999999999999</v>
      </c>
      <c r="AB242">
        <v>20.399999999999999</v>
      </c>
      <c r="AC242">
        <v>2.8</v>
      </c>
      <c r="AD242">
        <v>3.78</v>
      </c>
      <c r="AE242" s="11">
        <v>90</v>
      </c>
      <c r="AF242" t="str">
        <f>CONCATENATE(VLOOKUP(AG242, 'Voxel Sizes'!$A$2:$B$18,2,FALSE),"x",INT(AC242*15), "x", INT(AD242*15))</f>
        <v>198x42x56</v>
      </c>
      <c r="AG242">
        <f>ROUND(15*((AB242*10)/256),0)</f>
        <v>12</v>
      </c>
      <c r="AI242" t="str">
        <f>CONCATENATE(VLOOKUP(AG242,Constants!$A$2:$C$16,IF(AH242&lt;&gt;"", 3, 2), FALSE),IF(AH242&lt;&gt;"",CONCATENATE(",",VLOOKUP(AH242,$B:$AI,34,FALSE)),""))</f>
        <v>4,4,4</v>
      </c>
      <c r="AM242" t="s">
        <v>644</v>
      </c>
      <c r="AN242" t="s">
        <v>645</v>
      </c>
      <c r="AO242" t="s">
        <v>646</v>
      </c>
      <c r="AS242">
        <v>30</v>
      </c>
      <c r="AT242" t="str">
        <f>IF(I242&lt;&gt;"",MAX(8,(I242-G242)-4),"")</f>
        <v/>
      </c>
      <c r="AU242">
        <v>-15</v>
      </c>
      <c r="AV242">
        <v>-35</v>
      </c>
      <c r="AW242">
        <f>MIN(Y242/150, 1)*30</f>
        <v>15</v>
      </c>
      <c r="AX242">
        <f>MIN(K242/4000, 1)*20</f>
        <v>8</v>
      </c>
      <c r="AY242">
        <f>MIN(W242/400,1)*20</f>
        <v>9</v>
      </c>
      <c r="AZ242" s="4">
        <v>1</v>
      </c>
      <c r="BA242">
        <f>((MAX($J242,1)*MIN($AE242/300,1)))*IF(D242="Wagon",50,10)</f>
        <v>15</v>
      </c>
      <c r="BB242">
        <f>VLOOKUP($E242,Constants!$I:$K, 2, FALSE)</f>
        <v>0.85</v>
      </c>
      <c r="BC242">
        <f>VLOOKUP($E242,Constants!$I:$K, 3, FALSE)*IF(AND(D242="multiple_unit",Y242&lt;110),0.75,1)</f>
        <v>1.7999999999999998</v>
      </c>
      <c r="BD242">
        <f>INT(POWER(((Constants!$G$2+$AW242+$AX242+$AY242+$BA242)*$AZ242)*$BC242, 1.05))+$AV242</f>
        <v>82</v>
      </c>
      <c r="BE242">
        <f>INT(POWER((((Constants!$G$1+$AW242+$AX242+$AY242+$BA242)*(1/$AZ242))*$BB242),IF($D242="wagon",1,1.2)))+$AU242</f>
        <v>101</v>
      </c>
      <c r="BF242" s="15">
        <f>BD242*IF($D242="wagon",62.5,781.25)</f>
        <v>64062.5</v>
      </c>
      <c r="BG242" s="15">
        <f>BE242*IF($D242="wagon",2.73,81.25)</f>
        <v>8206.25</v>
      </c>
      <c r="BP242">
        <v>6</v>
      </c>
      <c r="BQ242">
        <v>165</v>
      </c>
      <c r="BS242" t="s">
        <v>323</v>
      </c>
      <c r="BT242" t="str">
        <f>VLOOKUP(G242,Eras!$A$2:$C$10, 2, TRUE)</f>
        <v>mod</v>
      </c>
      <c r="BU242" t="s">
        <v>373</v>
      </c>
      <c r="BV242" t="str">
        <f>CONCATENATE(BT242,"_",BU242)</f>
        <v>mod_EMU</v>
      </c>
      <c r="BW242" t="str">
        <f>IF(AND(BI242&lt;&gt;Y242,BI242&lt;&gt;""),_xlfn.CONCAT("{BLACK}","Tare speed: ","{GOLD}{VELOCITY}{}"), "")</f>
        <v/>
      </c>
      <c r="BX242" t="str">
        <f>_xlfn.CONCAT(E242, "_",F242)</f>
        <v>dual_electric_DUAL_POWER</v>
      </c>
      <c r="BY242" t="str">
        <f>VLOOKUP($BX242, Constants!$M:$N, 2, FALSE)</f>
        <v>{BLACK}Powered by: {GOLD}25kV AC / 750V DC</v>
      </c>
      <c r="BZ242" t="str">
        <f>IF(J242&gt;1,_xlfn.CONCAT("{BLACK}Cars: {GOLD}", J242),"")</f>
        <v>{BLACK}Cars: {GOLD}5</v>
      </c>
      <c r="CA242" t="s">
        <v>643</v>
      </c>
      <c r="CB242" t="str">
        <f>IF(BS242="BRAKE","{YELLOW}Speed bonus for slow wagons{}",IF(BQ242&gt;190,CONCATENATE("{YELLOW}",INT((BQ242-185)/1.85),"% Bonus for long distance travel{}"),IF(AND(BQ242&lt;180,BQ242&lt;&gt;0),CONCATENATE("{YELLOW}",INT((185-BQ242)/1.85),"% Penalty for long distance travel{}"),"")))</f>
        <v>{YELLOW}10% Penalty for long distance travel{}</v>
      </c>
      <c r="CC242" t="str">
        <f>_xlfn.CONCAT(BW242,BY242,IF(BY242 &lt;&gt; "", " ", ""),BZ242,IF(OR(BZ242&lt;&gt;"", BY242&lt;&gt;""), "{}",""), CB242,"{SILVER}", CA242)</f>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3" spans="1:81" x14ac:dyDescent="0.25">
      <c r="A243" t="s">
        <v>1337</v>
      </c>
      <c r="B243" t="s">
        <v>1338</v>
      </c>
      <c r="C243">
        <v>509</v>
      </c>
      <c r="D243" t="s">
        <v>444</v>
      </c>
      <c r="E243" t="s">
        <v>585</v>
      </c>
      <c r="F243" t="s">
        <v>337</v>
      </c>
      <c r="G243">
        <v>2017</v>
      </c>
      <c r="J243">
        <v>5</v>
      </c>
      <c r="K243">
        <v>3200</v>
      </c>
      <c r="L243" s="9">
        <v>2250</v>
      </c>
      <c r="T243">
        <v>243</v>
      </c>
      <c r="V243">
        <f>8*J243</f>
        <v>40</v>
      </c>
      <c r="W243">
        <v>195</v>
      </c>
      <c r="X243" s="4">
        <f>IF(AND(T243&gt;0,W243&gt;0),(W243/((T243+U243)*10)),"")</f>
        <v>8.0246913580246909E-2</v>
      </c>
      <c r="Y243">
        <v>140</v>
      </c>
      <c r="AA243">
        <v>26</v>
      </c>
      <c r="AB243">
        <v>24</v>
      </c>
      <c r="AE243" s="11">
        <v>66</v>
      </c>
      <c r="AF243" t="str">
        <f>CONCATENATE(VLOOKUP(AG243, 'Voxel Sizes'!$A$2:$B$18,2,FALSE),"x",INT(AC243*15), "x", INT(AD243*15))</f>
        <v>238x0x0</v>
      </c>
      <c r="AG243">
        <f>ROUND(15*((AB243*10)/256),0)</f>
        <v>14</v>
      </c>
      <c r="AI243" t="str">
        <f>CONCATENATE(VLOOKUP(AG243,Constants!$A$2:$C$16,IF(AH243&lt;&gt;"", 3, 2), FALSE),IF(AH243&lt;&gt;"",CONCATENATE(",",VLOOKUP(AH243,$B:$AI,34,FALSE)),""))</f>
        <v>4,6,4</v>
      </c>
      <c r="AJ243">
        <v>12</v>
      </c>
      <c r="AM243" t="s">
        <v>1339</v>
      </c>
      <c r="AN243" t="s">
        <v>1340</v>
      </c>
      <c r="AO243" t="s">
        <v>651</v>
      </c>
      <c r="AS243">
        <v>30</v>
      </c>
      <c r="AT243" t="str">
        <f>IF(I243&lt;&gt;"",MAX(8,(I243-G243)-4),"")</f>
        <v/>
      </c>
      <c r="AU243">
        <v>-15</v>
      </c>
      <c r="AV243">
        <v>-30</v>
      </c>
      <c r="AW243">
        <f>MIN(Y243/150, 1)*30</f>
        <v>28</v>
      </c>
      <c r="AX243">
        <f>MIN(K243/4000, 1)*20</f>
        <v>16</v>
      </c>
      <c r="AY243">
        <f>MIN(W243/400,1)*20</f>
        <v>9.75</v>
      </c>
      <c r="AZ243" s="4">
        <v>1</v>
      </c>
      <c r="BA243">
        <f>((MAX($J243,1)*MIN($AE243/300,1)))*IF(D243="Wagon",50,10)</f>
        <v>11</v>
      </c>
      <c r="BB243">
        <f>VLOOKUP($E243,Constants!$I:$K, 2, FALSE)</f>
        <v>0.9</v>
      </c>
      <c r="BC243">
        <f>VLOOKUP($E243,Constants!$I:$K, 3, FALSE)*IF(AND(D243="multiple_unit",Y243&lt;110),0.75,1)</f>
        <v>2.5</v>
      </c>
      <c r="BD243">
        <f>INT(POWER(((Constants!$G$2+$AW243+$AX243+$AY243+$BA243)*$AZ243)*$BC243, 1.05))+$AV243</f>
        <v>195</v>
      </c>
      <c r="BE243">
        <f>INT(POWER((((Constants!$G$1+$AW243+$AX243+$AY243+$BA243)*(1/$AZ243))*$BB243),IF($D243="wagon",1,1.2)))+$AU243</f>
        <v>153</v>
      </c>
      <c r="BF243" s="15">
        <f>BD243*IF($D243="wagon",62.5,781.25)</f>
        <v>152343.75</v>
      </c>
      <c r="BG243" s="15">
        <f>BE243*IF($D243="wagon",2.73,81.25)</f>
        <v>12431.25</v>
      </c>
      <c r="BP243">
        <v>10</v>
      </c>
      <c r="BQ243">
        <v>222</v>
      </c>
      <c r="BS243" t="s">
        <v>323</v>
      </c>
      <c r="BT243" t="str">
        <f>VLOOKUP(G243,Eras!$A$2:$C$10, 2, TRUE)</f>
        <v>mod</v>
      </c>
      <c r="BU243" t="s">
        <v>374</v>
      </c>
      <c r="BV243" t="str">
        <f>CONCATENATE(BT243,"_",BU243)</f>
        <v>mod_EMU (Express)</v>
      </c>
      <c r="BW243" t="str">
        <f>IF(AND(BI243&lt;&gt;Y243,BI243&lt;&gt;""),_xlfn.CONCAT("{BLACK}","Tare speed: ","{GOLD}{VELOCITY}{}"), "")</f>
        <v/>
      </c>
      <c r="BX243" t="str">
        <f>_xlfn.CONCAT(E243, "_",F243)</f>
        <v>dual_power_ELRL</v>
      </c>
      <c r="BY243" t="str">
        <f>VLOOKUP($BX243, Constants!$M:$N, 2, FALSE)</f>
        <v>{BLACK}Powered by: {GOLD}25kV AC / Diesel</v>
      </c>
      <c r="BZ243" t="str">
        <f>IF(J243&gt;1,_xlfn.CONCAT("{BLACK}Cars: {GOLD}", J243),"")</f>
        <v>{BLACK}Cars: {GOLD}5</v>
      </c>
      <c r="CA243" t="s">
        <v>1341</v>
      </c>
      <c r="CB243" t="str">
        <f>IF(BS243="BRAKE","{YELLOW}Speed bonus for slow wagons{}",IF(BQ243&gt;190,CONCATENATE("{YELLOW}",INT((BQ243-185)/1.85),"% Bonus for long distance travel{}"),IF(AND(BQ243&lt;180,BQ243&lt;&gt;0),CONCATENATE("{YELLOW}",INT((185-BQ243)/1.85),"% Penalty for long distance travel{}"),"")))</f>
        <v>{YELLOW}20% Bonus for long distance travel{}</v>
      </c>
      <c r="CC243" t="str">
        <f>_xlfn.CONCAT(BW243,BY243,IF(BY243 &lt;&gt; "", " ", ""),BZ243,IF(OR(BZ243&lt;&gt;"", BY243&lt;&gt;""), "{}",""), CB243,"{SILVER}", CA243)</f>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44" spans="1:81" x14ac:dyDescent="0.25">
      <c r="A244" t="s">
        <v>101</v>
      </c>
      <c r="B244" t="s">
        <v>695</v>
      </c>
      <c r="C244">
        <v>510</v>
      </c>
      <c r="D244" t="s">
        <v>444</v>
      </c>
      <c r="E244" t="s">
        <v>312</v>
      </c>
      <c r="F244" t="s">
        <v>314</v>
      </c>
      <c r="G244">
        <v>2019</v>
      </c>
      <c r="J244">
        <v>2</v>
      </c>
      <c r="K244">
        <f>523*2</f>
        <v>1046</v>
      </c>
      <c r="T244">
        <v>80</v>
      </c>
      <c r="V244">
        <f>8*J244</f>
        <v>16</v>
      </c>
      <c r="W244">
        <v>145</v>
      </c>
      <c r="X244" s="4">
        <f>IF(AND(T244&gt;0,W244&gt;0),(W244/((T244+U244)*10)),"")</f>
        <v>0.18124999999999999</v>
      </c>
      <c r="Y244">
        <v>100</v>
      </c>
      <c r="AA244">
        <v>24</v>
      </c>
      <c r="AB244">
        <v>24</v>
      </c>
      <c r="AC244">
        <v>2.7</v>
      </c>
      <c r="AD244">
        <v>3.85</v>
      </c>
      <c r="AE244" s="11">
        <v>63</v>
      </c>
      <c r="AF244" t="str">
        <f>CONCATENATE(VLOOKUP(AG244, 'Voxel Sizes'!$A$2:$B$18,2,FALSE),"x",INT(AC244*15), "x", INT(AD244*15))</f>
        <v>238x40x57</v>
      </c>
      <c r="AG244">
        <f>ROUND(15*((AB244*10)/256),0)</f>
        <v>14</v>
      </c>
      <c r="AI244" t="str">
        <f>CONCATENATE(VLOOKUP(AG244,Constants!$A$2:$C$16,IF(AH244&lt;&gt;"", 3, 2), FALSE),IF(AH244&lt;&gt;"",CONCATENATE(",",VLOOKUP(AH244,$B:$AI,34,FALSE)),""))</f>
        <v>4,6,4</v>
      </c>
      <c r="AM244" t="s">
        <v>696</v>
      </c>
      <c r="AO244" t="s">
        <v>508</v>
      </c>
      <c r="AS244">
        <v>30</v>
      </c>
      <c r="AT244" t="str">
        <f>IF(I244&lt;&gt;"",MAX(8,(I244-G244)-4),"")</f>
        <v/>
      </c>
      <c r="AU244">
        <v>-15</v>
      </c>
      <c r="AV244">
        <v>-25</v>
      </c>
      <c r="AW244">
        <f>MIN(Y244/150, 1)*30</f>
        <v>20</v>
      </c>
      <c r="AX244">
        <f>MIN(K244/4000, 1)*20</f>
        <v>5.23</v>
      </c>
      <c r="AY244">
        <f>MIN(W244/400,1)*20</f>
        <v>7.25</v>
      </c>
      <c r="AZ244" s="4">
        <v>1</v>
      </c>
      <c r="BA244">
        <f>((MAX($J244,1)*MIN($AE244/300,1)))*IF(D244="Wagon",50,10)</f>
        <v>4.2</v>
      </c>
      <c r="BB244">
        <f>VLOOKUP($E244,Constants!$I:$K, 2, FALSE)</f>
        <v>1</v>
      </c>
      <c r="BC244">
        <f>VLOOKUP($E244,Constants!$I:$K, 3, FALSE)*IF(AND(D244="multiple_unit",Y244&lt;110),0.75,1)</f>
        <v>1.5</v>
      </c>
      <c r="BD244">
        <f>INT(POWER(((Constants!$G$2+$AW244+$AX244+$AY244+$BA244)*$AZ244)*$BC244, 1.05))+$AV244</f>
        <v>51</v>
      </c>
      <c r="BE244">
        <f>INT(POWER((((Constants!$G$1+$AW244+$AX244+$AY244+$BA244)*(1/$AZ244))*$BB244),IF($D244="wagon",1,1.2)))+$AU244</f>
        <v>98</v>
      </c>
      <c r="BF244" s="15">
        <f>BD244*IF($D244="wagon",62.5,781.25)</f>
        <v>39843.75</v>
      </c>
      <c r="BG244" s="15">
        <f>BE244*IF($D244="wagon",2.73,81.25)</f>
        <v>7962.5</v>
      </c>
      <c r="BP244">
        <v>2</v>
      </c>
      <c r="BQ244">
        <v>185</v>
      </c>
      <c r="BS244" t="s">
        <v>323</v>
      </c>
      <c r="BT244" t="str">
        <f>VLOOKUP(G244,Eras!$A$2:$C$10, 2, TRUE)</f>
        <v>mod</v>
      </c>
      <c r="BU244" t="s">
        <v>371</v>
      </c>
      <c r="BV244" t="str">
        <f>CONCATENATE(BT244,"_",BU244)</f>
        <v>mod_DMU</v>
      </c>
      <c r="BW244" t="str">
        <f>IF(AND(BI244&lt;&gt;Y244,BI244&lt;&gt;""),_xlfn.CONCAT("{BLACK}","Tare speed: ","{GOLD}{VELOCITY}{}"), "")</f>
        <v/>
      </c>
      <c r="BX244" t="str">
        <f>_xlfn.CONCAT(E244, "_",F244)</f>
        <v>diesel_RAIL</v>
      </c>
      <c r="BY244" t="str">
        <f>VLOOKUP($BX244, Constants!$M:$N, 2, FALSE)</f>
        <v>{BLACK}Powered by: {GOLD}Diesel</v>
      </c>
      <c r="BZ244" t="str">
        <f>IF(J244&gt;1,_xlfn.CONCAT("{BLACK}Cars: {GOLD}", J244),"")</f>
        <v>{BLACK}Cars: {GOLD}2</v>
      </c>
      <c r="CA244" t="s">
        <v>697</v>
      </c>
      <c r="CB244" t="str">
        <f>IF(BS244="BRAKE","{YELLOW}Speed bonus for slow wagons{}",IF(BQ244&gt;190,CONCATENATE("{YELLOW}",INT((BQ244-185)/1.85),"% Bonus for long distance travel{}"),IF(AND(BQ244&lt;180,BQ244&lt;&gt;0),CONCATENATE("{YELLOW}",INT((185-BQ244)/1.85),"% Penalty for long distance travel{}"),"")))</f>
        <v/>
      </c>
      <c r="CC244" t="str">
        <f>_xlfn.CONCAT(BW244,BY244,IF(BY244 &lt;&gt; "", " ", ""),BZ244,IF(OR(BZ244&lt;&gt;"", BY244&lt;&gt;""), "{}",""), CB244,"{SILVER}", CA244)</f>
        <v>{BLACK}Powered by: {GOLD}Diesel {BLACK}Cars: {GOLD}2{}{SILVER}The Class 195 is designed to replace Sprinter and Pacer units with a multiple unit of far higher quality and passenger comfort.</v>
      </c>
    </row>
    <row r="245" spans="1:81" x14ac:dyDescent="0.25">
      <c r="A245" t="s">
        <v>1304</v>
      </c>
      <c r="B245" t="s">
        <v>1308</v>
      </c>
      <c r="C245">
        <v>511</v>
      </c>
      <c r="D245" t="s">
        <v>444</v>
      </c>
      <c r="E245" t="s">
        <v>585</v>
      </c>
      <c r="F245" t="s">
        <v>337</v>
      </c>
      <c r="G245">
        <v>2019</v>
      </c>
      <c r="J245">
        <v>5</v>
      </c>
      <c r="K245">
        <v>3500</v>
      </c>
      <c r="L245" s="9">
        <v>2570</v>
      </c>
      <c r="T245">
        <v>163</v>
      </c>
      <c r="V245">
        <f>8*J245</f>
        <v>40</v>
      </c>
      <c r="W245">
        <v>185</v>
      </c>
      <c r="X245" s="4">
        <f>IF(AND(T245&gt;0,W245&gt;0),(W245/((T245+U245)*10)),"")</f>
        <v>0.11349693251533742</v>
      </c>
      <c r="Y245">
        <v>100</v>
      </c>
      <c r="AA245">
        <v>20.100000000000001</v>
      </c>
      <c r="AB245">
        <v>20.100000000000001</v>
      </c>
      <c r="AC245">
        <v>2.72</v>
      </c>
      <c r="AD245">
        <v>3.95</v>
      </c>
      <c r="AE245" s="11">
        <v>45</v>
      </c>
      <c r="AF245" t="str">
        <f>CONCATENATE(VLOOKUP(AG245, 'Voxel Sizes'!$A$2:$B$18,2,FALSE),"x",INT(AC245*15), "x", INT(AD245*15))</f>
        <v>198x40x59</v>
      </c>
      <c r="AG245">
        <f>ROUND(15*((AB245*10)/256),0)</f>
        <v>12</v>
      </c>
      <c r="AI245" t="str">
        <f>CONCATENATE(VLOOKUP(AG245,Constants!$A$2:$C$16,IF(AH245&lt;&gt;"", 3, 2), FALSE),IF(AH245&lt;&gt;"",CONCATENATE(",",VLOOKUP(AH245,$B:$AI,34,FALSE)),""))</f>
        <v>4,4,4</v>
      </c>
      <c r="AJ245">
        <v>6</v>
      </c>
      <c r="AK245" s="13" t="s">
        <v>1314</v>
      </c>
      <c r="AL245" s="13" t="s">
        <v>1317</v>
      </c>
      <c r="AM245" t="s">
        <v>1316</v>
      </c>
      <c r="AN245" t="s">
        <v>1312</v>
      </c>
      <c r="AO245" t="s">
        <v>1315</v>
      </c>
      <c r="AS245">
        <v>30</v>
      </c>
      <c r="AT245" t="str">
        <f>IF(I245&lt;&gt;"",MAX(8,(I245-G245)-4),"")</f>
        <v/>
      </c>
      <c r="AU245">
        <v>-15</v>
      </c>
      <c r="AV245">
        <v>-30</v>
      </c>
      <c r="AW245">
        <f>MIN(Y245/150, 1)*30</f>
        <v>20</v>
      </c>
      <c r="AX245">
        <f>MIN(K245/4000, 1)*20</f>
        <v>17.5</v>
      </c>
      <c r="AY245">
        <f>MIN(W245/400,1)*20</f>
        <v>9.25</v>
      </c>
      <c r="AZ245" s="4">
        <v>1</v>
      </c>
      <c r="BA245">
        <f>((MAX($J245,1)*MIN($AE245/300,1)))*IF(D245="Wagon",50,10)</f>
        <v>7.5</v>
      </c>
      <c r="BB245">
        <f>VLOOKUP($E245,Constants!$I:$K, 2, FALSE)</f>
        <v>0.9</v>
      </c>
      <c r="BC245">
        <f>VLOOKUP($E245,Constants!$I:$K, 3, FALSE)*IF(AND(D245="multiple_unit",Y245&lt;110),0.75,1)</f>
        <v>1.875</v>
      </c>
      <c r="BD245">
        <f>INT(POWER(((Constants!$G$2+$AW245+$AX245+$AY245+$BA245)*$AZ245)*$BC245, 1.05))+$AV245</f>
        <v>110</v>
      </c>
      <c r="BE245">
        <f>INT(POWER((((Constants!$G$1+$AW245+$AX245+$AY245+$BA245)*(1/$AZ245))*$BB245),IF($D245="wagon",1,1.2)))+$AU245</f>
        <v>127</v>
      </c>
      <c r="BF245" s="15">
        <f>BD245*IF($D245="wagon",62.5,781.25)</f>
        <v>85937.5</v>
      </c>
      <c r="BG245" s="15">
        <f>BE245*IF($D245="wagon",2.73,81.25)</f>
        <v>10318.75</v>
      </c>
      <c r="BP245">
        <v>9</v>
      </c>
      <c r="BS245" t="s">
        <v>323</v>
      </c>
      <c r="BT245" t="str">
        <f>VLOOKUP(G245,Eras!$A$2:$C$10, 2, TRUE)</f>
        <v>mod</v>
      </c>
      <c r="BU245" t="s">
        <v>373</v>
      </c>
      <c r="BV245" t="str">
        <f>CONCATENATE(BT245,"_",BU245)</f>
        <v>mod_EMU</v>
      </c>
      <c r="BW245" t="str">
        <f>IF(AND(BI245&lt;&gt;Y245,BI245&lt;&gt;""),_xlfn.CONCAT("{BLACK}","Tare speed: ","{GOLD}{VELOCITY}{}"), "")</f>
        <v/>
      </c>
      <c r="BX245" t="str">
        <f>_xlfn.CONCAT(E245, "_",F245)</f>
        <v>dual_power_ELRL</v>
      </c>
      <c r="BY245" t="str">
        <f>VLOOKUP($BX245, Constants!$M:$N, 2, FALSE)</f>
        <v>{BLACK}Powered by: {GOLD}25kV AC / Diesel</v>
      </c>
      <c r="BZ245" t="str">
        <f>IF(J245&gt;1,_xlfn.CONCAT("{BLACK}Cars: {GOLD}", J245),"")</f>
        <v>{BLACK}Cars: {GOLD}5</v>
      </c>
      <c r="CA245" t="s">
        <v>1307</v>
      </c>
      <c r="CB245" t="str">
        <f>IF(BS245="BRAKE","{YELLOW}Speed bonus for slow wagons{}",IF(BQ245&gt;190,CONCATENATE("{YELLOW}",INT((BQ245-185)/1.85),"% Bonus for long distance travel{}"),IF(AND(BQ245&lt;180,BQ245&lt;&gt;0),CONCATENATE("{YELLOW}",INT((185-BQ245)/1.85),"% Penalty for long distance travel{}"),"")))</f>
        <v/>
      </c>
      <c r="CC245" t="str">
        <f>_xlfn.CONCAT(BW245,BY245,IF(BY245 &lt;&gt; "", " ", ""),BZ245,IF(OR(BZ245&lt;&gt;"", BY245&lt;&gt;""), "{}",""), CB245,"{SILVER}", CA245)</f>
        <v>{BLACK}Powered by: {GOLD}25kV AC / Diesel {BLACK}Cars: {GOLD}5{}{SILVER}The Class 755 was designed to modernise services on the East Anglia franchise. The design features a distinctive "power pack" containing the diesel engines used for bi-mode operation.</v>
      </c>
    </row>
    <row r="246" spans="1:81" x14ac:dyDescent="0.25">
      <c r="A246" t="s">
        <v>1323</v>
      </c>
      <c r="B246" t="s">
        <v>1324</v>
      </c>
      <c r="C246">
        <v>512</v>
      </c>
      <c r="D246" t="s">
        <v>444</v>
      </c>
      <c r="E246" t="s">
        <v>336</v>
      </c>
      <c r="F246" t="s">
        <v>337</v>
      </c>
      <c r="G246">
        <v>2018</v>
      </c>
      <c r="J246">
        <v>3</v>
      </c>
      <c r="K246">
        <f>335*6</f>
        <v>2010</v>
      </c>
      <c r="T246">
        <v>130</v>
      </c>
      <c r="V246">
        <f>8*J246</f>
        <v>24</v>
      </c>
      <c r="W246">
        <v>150</v>
      </c>
      <c r="X246" s="4">
        <f>IF(AND(T246&gt;0,W246&gt;0),(W246/((T246+U246)*10)),"")</f>
        <v>0.11538461538461539</v>
      </c>
      <c r="Y246">
        <v>100</v>
      </c>
      <c r="AA246">
        <v>23</v>
      </c>
      <c r="AB246">
        <v>23</v>
      </c>
      <c r="AE246" s="11">
        <v>69</v>
      </c>
      <c r="AF246" t="str">
        <f>CONCATENATE(VLOOKUP(AG246, 'Voxel Sizes'!$A$2:$B$18,2,FALSE),"x",INT(AC246*15), "x", INT(AD246*15))</f>
        <v>214x0x0</v>
      </c>
      <c r="AG246">
        <f>ROUND(15*((AB246*10)/256),0)</f>
        <v>13</v>
      </c>
      <c r="AI246" t="str">
        <f>CONCATENATE(VLOOKUP(AG246,Constants!$A$2:$C$16,IF(AH246&lt;&gt;"", 3, 2), FALSE),IF(AH246&lt;&gt;"",CONCATENATE(",",VLOOKUP(AH246,$B:$AI,34,FALSE)),""))</f>
        <v>4,5,4</v>
      </c>
      <c r="AM246" t="s">
        <v>1343</v>
      </c>
      <c r="AO246" t="s">
        <v>332</v>
      </c>
      <c r="AS246">
        <v>32</v>
      </c>
      <c r="AT246" t="str">
        <f>IF(I246&lt;&gt;"",MAX(8,(I246-G246)-4),"")</f>
        <v/>
      </c>
      <c r="AU246">
        <v>-15</v>
      </c>
      <c r="AV246">
        <v>-32</v>
      </c>
      <c r="AW246">
        <f>MIN(Y246/150, 1)*30</f>
        <v>20</v>
      </c>
      <c r="AX246">
        <f>MIN(K246/4000, 1)*20</f>
        <v>10.049999999999999</v>
      </c>
      <c r="AY246">
        <f>MIN(W246/400,1)*20</f>
        <v>7.5</v>
      </c>
      <c r="AZ246" s="4">
        <v>1</v>
      </c>
      <c r="BA246">
        <f>((MAX($J246,1)*MIN($AE246/300,1)))*IF(D246="Wagon",50,10)</f>
        <v>6.9</v>
      </c>
      <c r="BB246">
        <f>VLOOKUP($E246,Constants!$I:$K, 2, FALSE)</f>
        <v>0.85</v>
      </c>
      <c r="BC246">
        <f>VLOOKUP($E246,Constants!$I:$K, 3, FALSE)*IF(AND(D246="multiple_unit",Y246&lt;110),0.75,1)</f>
        <v>1.7249999999999999</v>
      </c>
      <c r="BD246">
        <f>INT(POWER(((Constants!$G$2+$AW246+$AX246+$AY246+$BA246)*$AZ246)*$BC246, 1.05))+$AV246</f>
        <v>74</v>
      </c>
      <c r="BE246">
        <f>INT(POWER((((Constants!$G$1+$AW246+$AX246+$AY246+$BA246)*(1/$AZ246))*$BB246),IF($D246="wagon",1,1.2)))+$AU246</f>
        <v>95</v>
      </c>
      <c r="BF246" s="15">
        <f>BD246*IF($D246="wagon",62.5,781.25)</f>
        <v>57812.5</v>
      </c>
      <c r="BG246" s="15">
        <f>BE246*IF($D246="wagon",2.73,81.25)</f>
        <v>7718.75</v>
      </c>
      <c r="BP246">
        <v>11</v>
      </c>
      <c r="BQ246">
        <v>185</v>
      </c>
      <c r="BS246" t="s">
        <v>323</v>
      </c>
      <c r="BT246" t="str">
        <f>VLOOKUP(G246,Eras!$A$2:$C$10, 2, TRUE)</f>
        <v>mod</v>
      </c>
      <c r="BU246" t="s">
        <v>373</v>
      </c>
      <c r="BV246" t="str">
        <f>CONCATENATE(BT246,"_",BU246)</f>
        <v>mod_EMU</v>
      </c>
      <c r="BW246" t="str">
        <f>IF(AND(BI246&lt;&gt;Y246,BI246&lt;&gt;""),_xlfn.CONCAT("{BLACK}","Tare speed: ","{GOLD}{VELOCITY}{}"), "")</f>
        <v/>
      </c>
      <c r="BX246" t="str">
        <f>_xlfn.CONCAT(E246, "_",F246)</f>
        <v>electric_ELRL</v>
      </c>
      <c r="BY246" t="str">
        <f>VLOOKUP($BX246, Constants!$M:$N, 2, FALSE)</f>
        <v>{BLACK}Powered by: {GOLD}25kV AC</v>
      </c>
      <c r="BZ246" t="str">
        <f>IF(J246&gt;1,_xlfn.CONCAT("{BLACK}Cars: {GOLD}", J246),"")</f>
        <v>{BLACK}Cars: {GOLD}3</v>
      </c>
      <c r="CA246" t="s">
        <v>1344</v>
      </c>
      <c r="CB246" t="str">
        <f>IF(BS246="BRAKE","{YELLOW}Speed bonus for slow wagons{}",IF(BQ246&gt;190,CONCATENATE("{YELLOW}",INT((BQ246-185)/1.85),"% Bonus for long distance travel{}"),IF(AND(BQ246&lt;180,BQ246&lt;&gt;0),CONCATENATE("{YELLOW}",INT((185-BQ246)/1.85),"% Penalty for long distance travel{}"),"")))</f>
        <v/>
      </c>
      <c r="CC246" t="str">
        <f>_xlfn.CONCAT(BW246,BY246,IF(BY246 &lt;&gt; "", " ", ""),BZ246,IF(OR(BZ246&lt;&gt;"", BY246&lt;&gt;""), "{}",""), CB246,"{SILVER}", CA246)</f>
        <v>{BLACK}Powered by: {GOLD}25kV AC {BLACK}Cars: {GOLD}3{}{SILVER}The Class 385 was built for use on newly electrified lines in Scotland. Unlike most AT200 variants, it has cab end doors to allow for trolley services throughout the train.</v>
      </c>
    </row>
    <row r="247" spans="1:81" x14ac:dyDescent="0.25">
      <c r="A247" t="s">
        <v>134</v>
      </c>
      <c r="B247" t="s">
        <v>237</v>
      </c>
      <c r="C247">
        <v>602</v>
      </c>
      <c r="D247" t="s">
        <v>321</v>
      </c>
      <c r="E247" t="s">
        <v>1164</v>
      </c>
      <c r="F247" t="s">
        <v>314</v>
      </c>
      <c r="G247">
        <v>1894</v>
      </c>
      <c r="I247">
        <v>1970</v>
      </c>
      <c r="T247">
        <v>20</v>
      </c>
      <c r="X247" s="4" t="str">
        <f>IF(AND(T247&gt;0,W247&gt;0),(W247/((T247+U247)*10)),"")</f>
        <v/>
      </c>
      <c r="Y247">
        <v>70</v>
      </c>
      <c r="AA247">
        <v>7.3</v>
      </c>
      <c r="AB247">
        <v>11</v>
      </c>
      <c r="AE247" s="11">
        <v>0</v>
      </c>
      <c r="AF247" t="str">
        <f>CONCATENATE(VLOOKUP(AG247, 'Voxel Sizes'!$A$2:$B$18,2,FALSE),"x",INT(AC247*15), "x", INT(AD247*15))</f>
        <v>102x0x0</v>
      </c>
      <c r="AG247">
        <f>ROUND(15*((AB247*10)/256),0)</f>
        <v>6</v>
      </c>
      <c r="AI247" t="str">
        <f>CONCATENATE(VLOOKUP(AG247,Constants!$A$2:$C$16,IF(AH247&lt;&gt;"", 3, 2), FALSE),IF(AH247&lt;&gt;"",CONCATENATE(",",VLOOKUP(AH247,$B:$AI,34,FALSE)),""))</f>
        <v>2,2,2</v>
      </c>
      <c r="AS247">
        <v>30</v>
      </c>
      <c r="AT247">
        <f>IF(I247&lt;&gt;"",MAX(8,(I247-G247)-4),"")</f>
        <v>72</v>
      </c>
      <c r="AW247">
        <f>MIN(Y247/150, 1)*30</f>
        <v>14</v>
      </c>
      <c r="AX247">
        <f>MIN(K247/4000, 1)*20</f>
        <v>0</v>
      </c>
      <c r="AY247">
        <f>MIN(W247/400,1)*20</f>
        <v>0</v>
      </c>
      <c r="AZ247" s="4">
        <v>1</v>
      </c>
      <c r="BA247">
        <f>((MAX($J247,1)*MIN($AE247/300,1)))*IF(D247="Wagon",50,10)</f>
        <v>0</v>
      </c>
      <c r="BB247">
        <f>VLOOKUP($E247,Constants!$I:$K, 2, FALSE)</f>
        <v>1</v>
      </c>
      <c r="BC247">
        <f>VLOOKUP($E247,Constants!$I:$K, 3, FALSE)*IF(AND(D247="multiple_unit",Y247&lt;110),0.75,1)</f>
        <v>0.4</v>
      </c>
      <c r="BD247">
        <f>INT(POWER(((Constants!$G$2+$AW247+$AX247+$AY247+$BA247)*$AZ247)*$BC247, 1.05))+$AV247</f>
        <v>8</v>
      </c>
      <c r="BE247">
        <f>INT(POWER((((Constants!$G$1+$AW247+$AX247+$AY247+$BA247)*(1/$AZ247))*$BB247),IF($D247="wagon",1,1.2)))+$AU247</f>
        <v>29</v>
      </c>
      <c r="BF247" s="15">
        <f>BD247*IF($D247="wagon",62.5,781.25)</f>
        <v>500</v>
      </c>
      <c r="BG247" s="15">
        <f>BE247*IF($D247="wagon",2.73,81.25)</f>
        <v>79.17</v>
      </c>
      <c r="BP247">
        <v>7</v>
      </c>
      <c r="BR247" t="s">
        <v>1102</v>
      </c>
      <c r="BS247" t="s">
        <v>750</v>
      </c>
      <c r="BT247" t="str">
        <f>VLOOKUP(G247,Eras!$A$2:$C$10, 2, TRUE)</f>
        <v>vct</v>
      </c>
      <c r="BU247" t="s">
        <v>748</v>
      </c>
      <c r="BV247" t="str">
        <f>CONCATENATE(BT247,"_",BU247)</f>
        <v>vct_Extra</v>
      </c>
      <c r="BW247" t="str">
        <f>IF(AND(BI247&lt;&gt;Y247,BI247&lt;&gt;""),_xlfn.CONCAT("{BLACK}","Tare speed: ","{GOLD}{VELOCITY}{}"), "")</f>
        <v/>
      </c>
      <c r="BX247" t="str">
        <f>_xlfn.CONCAT(E247, "_",F247)</f>
        <v>brake_RAIL</v>
      </c>
      <c r="BY247" t="str">
        <f>VLOOKUP($BX247, Constants!$M:$N, 2, FALSE)</f>
        <v/>
      </c>
      <c r="BZ247" t="str">
        <f>IF(J247&gt;1,_xlfn.CONCAT("{BLACK}Cars: {GOLD}", J247),"")</f>
        <v/>
      </c>
      <c r="CA247" t="s">
        <v>749</v>
      </c>
      <c r="CB247" t="str">
        <f>IF(BS247="BRAKE","{YELLOW}Speed bonus for slow wagons{}",IF(BQ247&gt;190,CONCATENATE("{YELLOW}",INT((BQ247-185)/1.85),"% Bonus for long distance travel{}"),IF(AND(BQ247&lt;180,BQ247&lt;&gt;0),CONCATENATE("{YELLOW}",INT((185-BQ247)/1.85),"% Penalty for long distance travel{}"),"")))</f>
        <v>{YELLOW}Speed bonus for slow wagons{}</v>
      </c>
      <c r="CC247" t="str">
        <f>_xlfn.CONCAT(BW247,BY247,IF(BY247 &lt;&gt; "", " ", ""),BZ247,IF(OR(BZ247&lt;&gt;"", BY247&lt;&gt;""), "{}",""), CB247,"{SILVER}", CA247)</f>
        <v>{YELLOW}Speed bonus for slow wagons{}{SILVER}The Great Western Railway standardised brake van designs from 1894. The distinctive design includes an open "veranda" at the back of the vehicle.</v>
      </c>
    </row>
    <row r="248" spans="1:81" x14ac:dyDescent="0.25">
      <c r="A248" t="s">
        <v>135</v>
      </c>
      <c r="B248" t="s">
        <v>238</v>
      </c>
      <c r="C248">
        <v>604</v>
      </c>
      <c r="D248" t="s">
        <v>321</v>
      </c>
      <c r="E248" t="s">
        <v>1164</v>
      </c>
      <c r="F248" t="s">
        <v>314</v>
      </c>
      <c r="G248">
        <v>1941</v>
      </c>
      <c r="I248">
        <v>1970</v>
      </c>
      <c r="T248">
        <v>20</v>
      </c>
      <c r="X248" s="4" t="str">
        <f>IF(AND(T248&gt;0,W248&gt;0),(W248/((T248+U248)*10)),"")</f>
        <v/>
      </c>
      <c r="Y248">
        <v>70</v>
      </c>
      <c r="AA248">
        <v>7.3</v>
      </c>
      <c r="AB248">
        <v>11</v>
      </c>
      <c r="AE248" s="11">
        <v>0</v>
      </c>
      <c r="AF248" t="str">
        <f>CONCATENATE(VLOOKUP(AG248, 'Voxel Sizes'!$A$2:$B$18,2,FALSE),"x",INT(AC248*15), "x", INT(AD248*15))</f>
        <v>102x0x0</v>
      </c>
      <c r="AG248">
        <f>ROUND(15*((AB248*10)/256),0)</f>
        <v>6</v>
      </c>
      <c r="AI248" t="str">
        <f>CONCATENATE(VLOOKUP(AG248,Constants!$A$2:$C$16,IF(AH248&lt;&gt;"", 3, 2), FALSE),IF(AH248&lt;&gt;"",CONCATENATE(",",VLOOKUP(AH248,$B:$AI,34,FALSE)),""))</f>
        <v>2,2,2</v>
      </c>
      <c r="AS248">
        <v>30</v>
      </c>
      <c r="AT248">
        <f>IF(I248&lt;&gt;"",MAX(8,(I248-G248)-4),"")</f>
        <v>25</v>
      </c>
      <c r="AW248">
        <f>MIN(Y248/150, 1)*30</f>
        <v>14</v>
      </c>
      <c r="AX248">
        <f>MIN(K248/4000, 1)*20</f>
        <v>0</v>
      </c>
      <c r="AY248">
        <f>MIN(W248/400,1)*20</f>
        <v>0</v>
      </c>
      <c r="AZ248" s="4">
        <v>1</v>
      </c>
      <c r="BA248">
        <f>((MAX($J248,1)*MIN($AE248/300,1)))*IF(D248="Wagon",50,10)</f>
        <v>0</v>
      </c>
      <c r="BB248">
        <f>VLOOKUP($E248,Constants!$I:$K, 2, FALSE)</f>
        <v>1</v>
      </c>
      <c r="BC248">
        <f>VLOOKUP($E248,Constants!$I:$K, 3, FALSE)*IF(AND(D248="multiple_unit",Y248&lt;110),0.75,1)</f>
        <v>0.4</v>
      </c>
      <c r="BD248">
        <f>INT(POWER(((Constants!$G$2+$AW248+$AX248+$AY248+$BA248)*$AZ248)*$BC248, 1.05))+$AV248</f>
        <v>8</v>
      </c>
      <c r="BE248">
        <f>INT(POWER((((Constants!$G$1+$AW248+$AX248+$AY248+$BA248)*(1/$AZ248))*$BB248),IF($D248="wagon",1,1.2)))+$AU248</f>
        <v>29</v>
      </c>
      <c r="BF248" s="15">
        <f>BD248*IF($D248="wagon",62.5,781.25)</f>
        <v>500</v>
      </c>
      <c r="BG248" s="15">
        <f>BE248*IF($D248="wagon",2.73,81.25)</f>
        <v>79.17</v>
      </c>
      <c r="BP248">
        <v>8</v>
      </c>
      <c r="BR248" t="s">
        <v>1102</v>
      </c>
      <c r="BS248" t="s">
        <v>750</v>
      </c>
      <c r="BT248" t="str">
        <f>VLOOKUP(G248,Eras!$A$2:$C$10, 2, TRUE)</f>
        <v>big4</v>
      </c>
      <c r="BU248" t="s">
        <v>748</v>
      </c>
      <c r="BV248" t="str">
        <f>CONCATENATE(BT248,"_",BU248)</f>
        <v>big4_Extra</v>
      </c>
      <c r="BW248" t="str">
        <f>IF(AND(BI248&lt;&gt;Y248,BI248&lt;&gt;""),_xlfn.CONCAT("{BLACK}","Tare speed: ","{GOLD}{VELOCITY}{}"), "")</f>
        <v/>
      </c>
      <c r="BX248" t="str">
        <f>_xlfn.CONCAT(E248, "_",F248)</f>
        <v>brake_RAIL</v>
      </c>
      <c r="BY248" t="str">
        <f>VLOOKUP($BX248, Constants!$M:$N, 2, FALSE)</f>
        <v/>
      </c>
      <c r="BZ248" t="str">
        <f>IF(J248&gt;1,_xlfn.CONCAT("{BLACK}Cars: {GOLD}", J248),"")</f>
        <v/>
      </c>
      <c r="CA248" t="s">
        <v>763</v>
      </c>
      <c r="CB248" t="str">
        <f>IF(BS248="BRAKE","{YELLOW}Speed bonus for slow wagons{}",IF(BQ248&gt;190,CONCATENATE("{YELLOW}",INT((BQ248-185)/1.85),"% Bonus for long distance travel{}"),IF(AND(BQ248&lt;180,BQ248&lt;&gt;0),CONCATENATE("{YELLOW}",INT((185-BQ248)/1.85),"% Penalty for long distance travel{}"),"")))</f>
        <v>{YELLOW}Speed bonus for slow wagons{}</v>
      </c>
      <c r="CC248" t="str">
        <f>_xlfn.CONCAT(BW248,BY248,IF(BY248 &lt;&gt; "", " ", ""),BZ248,IF(OR(BZ248&lt;&gt;"", BY248&lt;&gt;""), "{}",""), CB248,"{SILVER}", CA248)</f>
        <v>{YELLOW}Speed bonus for slow wagons{}{SILVER}BR inherited a large number of brake vans from the Big Four, but quickly set about introducing their own standard model based on 1940s LNER practice.</v>
      </c>
    </row>
    <row r="249" spans="1:81" x14ac:dyDescent="0.25">
      <c r="A249" t="s">
        <v>136</v>
      </c>
      <c r="B249" t="s">
        <v>239</v>
      </c>
      <c r="D249" t="s">
        <v>168</v>
      </c>
      <c r="E249" t="s">
        <v>1164</v>
      </c>
      <c r="F249" t="s">
        <v>314</v>
      </c>
      <c r="X249" s="4" t="str">
        <f>IF(AND(T249&gt;0,W249&gt;0),(W249/((T249+U249)*10)),"")</f>
        <v/>
      </c>
      <c r="AF249" t="str">
        <f>CONCATENATE(VLOOKUP(AG249, 'Voxel Sizes'!$A$2:$B$18,2,FALSE),"x",INT(AC249*15), "x", INT(AD249*15))</f>
        <v>0x0x0</v>
      </c>
      <c r="AG249">
        <f>ROUND(15*((AB249*10)/256),0)</f>
        <v>0</v>
      </c>
      <c r="AI249" t="str">
        <f>CONCATENATE(VLOOKUP(AG249,Constants!$A$2:$C$16,IF(AH249&lt;&gt;"", 3, 2), FALSE),IF(AH249&lt;&gt;"",CONCATENATE(",",VLOOKUP(AH249,$B:$AI,34,FALSE)),""))</f>
        <v>na</v>
      </c>
      <c r="AS249">
        <v>30</v>
      </c>
      <c r="AT249" t="str">
        <f>IF(I249&lt;&gt;"",MAX(8,(I249-G249)-4),"")</f>
        <v/>
      </c>
      <c r="AW249">
        <f>MIN(Y249/150, 1)*30</f>
        <v>0</v>
      </c>
      <c r="AX249">
        <f>MIN(K249/4000, 1)*20</f>
        <v>0</v>
      </c>
      <c r="AY249">
        <f>MIN(W249/400,1)*20</f>
        <v>0</v>
      </c>
      <c r="AZ249" s="4">
        <v>1</v>
      </c>
      <c r="BA249">
        <f>((MAX($J249,1)*MIN($AE249/300,1)))*IF(D249="Wagon",50,10)</f>
        <v>0</v>
      </c>
      <c r="BB249">
        <f>VLOOKUP($E249,Constants!$I:$K, 2, FALSE)</f>
        <v>1</v>
      </c>
      <c r="BC249">
        <f>VLOOKUP($E249,Constants!$I:$K, 3, FALSE)*IF(AND(D249="multiple_unit",Y249&lt;110),0.75,1)</f>
        <v>0.4</v>
      </c>
      <c r="BD249">
        <f>INT(POWER(((Constants!$G$2+$AW249+$AX249+$AY249+$BA249)*$AZ249)*$BC249, 1.05))+$AV249</f>
        <v>2</v>
      </c>
      <c r="BE249">
        <f>INT(POWER((((Constants!$G$1+$AW249+$AX249+$AY249+$BA249)*(1/$AZ249))*$BB249),IF($D249="wagon",1,1.2)))+$AU249</f>
        <v>25</v>
      </c>
      <c r="BF249" s="15">
        <f>BD249*IF($D249="wagon",62.5,781.25)</f>
        <v>1562.5</v>
      </c>
      <c r="BG249" s="15">
        <f>BE249*IF($D249="wagon",2.73,81.25)</f>
        <v>2031.25</v>
      </c>
      <c r="BP249">
        <v>9</v>
      </c>
      <c r="BT249" t="e">
        <f>VLOOKUP(G249,Eras!$A$2:$C$10, 2, TRUE)</f>
        <v>#N/A</v>
      </c>
      <c r="BV249" t="e">
        <f>CONCATENATE(BT249,"_",BU249)</f>
        <v>#N/A</v>
      </c>
      <c r="BW249" t="str">
        <f>IF(AND(BI249&lt;&gt;Y249,BI249&lt;&gt;""),_xlfn.CONCAT("{BLACK}","Tare speed: ","{GOLD}{VELOCITY}{}"), "")</f>
        <v/>
      </c>
      <c r="BX249" t="str">
        <f>_xlfn.CONCAT(E249, "_",F249)</f>
        <v>brake_RAIL</v>
      </c>
      <c r="BY249" t="str">
        <f>VLOOKUP($BX249, Constants!$M:$N, 2, FALSE)</f>
        <v/>
      </c>
      <c r="BZ249" t="str">
        <f>IF(J249&gt;1,_xlfn.CONCAT("{BLACK}Cars: {GOLD}", J249),"")</f>
        <v/>
      </c>
      <c r="CB249" t="str">
        <f>IF(BS249="BRAKE","{YELLOW}Speed bonus for slow wagons{}",IF(BQ249&gt;190,CONCATENATE("{YELLOW}",INT((BQ249-185)/1.85),"% Bonus for long distance travel{}"),IF(AND(BQ249&lt;180,BQ249&lt;&gt;0),CONCATENATE("{YELLOW}",INT((185-BQ249)/1.85),"% Penalty for long distance travel{}"),"")))</f>
        <v/>
      </c>
      <c r="CC249" t="str">
        <f>_xlfn.CONCAT(BW249,BY249,IF(BY249 &lt;&gt; "", " ", ""),BZ249,IF(OR(BZ249&lt;&gt;"", BY249&lt;&gt;""), "{}",""), CB249,"{SILVER}", CA249)</f>
        <v>{SILVER}</v>
      </c>
    </row>
    <row r="250" spans="1:81" x14ac:dyDescent="0.25">
      <c r="A250" t="s">
        <v>125</v>
      </c>
      <c r="B250" t="s">
        <v>293</v>
      </c>
      <c r="D250" t="s">
        <v>168</v>
      </c>
      <c r="E250" t="s">
        <v>1162</v>
      </c>
      <c r="F250" t="s">
        <v>314</v>
      </c>
      <c r="X250" s="4" t="str">
        <f>IF(AND(T250&gt;0,W250&gt;0),(W250/((T250+U250)*10)),"")</f>
        <v/>
      </c>
      <c r="AF250" t="str">
        <f>CONCATENATE(VLOOKUP(AG250, 'Voxel Sizes'!$A$2:$B$18,2,FALSE),"x",INT(AC250*15), "x", INT(AD250*15))</f>
        <v>0x0x0</v>
      </c>
      <c r="AG250">
        <f>ROUND(15*((AB250*10)/256),0)</f>
        <v>0</v>
      </c>
      <c r="AI250" t="str">
        <f>CONCATENATE(VLOOKUP(AG250,Constants!$A$2:$C$16,IF(AH250&lt;&gt;"", 3, 2), FALSE),IF(AH250&lt;&gt;"",CONCATENATE(",",VLOOKUP(AH250,$B:$AI,34,FALSE)),""))</f>
        <v>na</v>
      </c>
      <c r="AS250">
        <v>30</v>
      </c>
      <c r="AT250" t="str">
        <f>IF(I250&lt;&gt;"",MAX(8,(I250-G250)-4),"")</f>
        <v/>
      </c>
      <c r="AW250">
        <f>MIN(Y250/150, 1)*30</f>
        <v>0</v>
      </c>
      <c r="AX250">
        <f>MIN(K250/4000, 1)*20</f>
        <v>0</v>
      </c>
      <c r="AY250">
        <f>MIN(W250/400,1)*20</f>
        <v>0</v>
      </c>
      <c r="AZ250" s="4">
        <v>1</v>
      </c>
      <c r="BA250">
        <f>((MAX($J250,1)*MIN($AE250/300,1)))*IF(D250="Wagon",50,10)</f>
        <v>0</v>
      </c>
      <c r="BB250">
        <f>VLOOKUP($E250,Constants!$I:$K, 2, FALSE)</f>
        <v>1.2</v>
      </c>
      <c r="BC250">
        <f>VLOOKUP($E250,Constants!$I:$K, 3, FALSE)*IF(AND(D250="multiple_unit",Y250&lt;110),0.75,1)</f>
        <v>0.6</v>
      </c>
      <c r="BD250">
        <f>INT(POWER(((Constants!$G$2+$AW250+$AX250+$AY250+$BA250)*$AZ250)*$BC250, 1.05))+$AV250</f>
        <v>3</v>
      </c>
      <c r="BE250">
        <f>INT(POWER((((Constants!$G$1+$AW250+$AX250+$AY250+$BA250)*(1/$AZ250))*$BB250),IF($D250="wagon",1,1.2)))+$AU250</f>
        <v>32</v>
      </c>
      <c r="BF250" s="15">
        <f>BD250*IF($D250="wagon",62.5,781.25)</f>
        <v>2343.75</v>
      </c>
      <c r="BG250" s="15">
        <f>BE250*IF($D250="wagon",2.73,81.25)</f>
        <v>2600</v>
      </c>
      <c r="BP250">
        <v>10</v>
      </c>
      <c r="BT250" t="e">
        <f>VLOOKUP(G250,Eras!$A$2:$C$10, 2, TRUE)</f>
        <v>#N/A</v>
      </c>
      <c r="BV250" t="e">
        <f>CONCATENATE(BT250,"_",BU250)</f>
        <v>#N/A</v>
      </c>
      <c r="BW250" t="str">
        <f>IF(AND(BI250&lt;&gt;Y250,BI250&lt;&gt;""),_xlfn.CONCAT("{BLACK}","Tare speed: ","{GOLD}{VELOCITY}{}"), "")</f>
        <v/>
      </c>
      <c r="BX250" t="str">
        <f>_xlfn.CONCAT(E250, "_",F250)</f>
        <v>carriage_RAIL</v>
      </c>
      <c r="BY250" t="str">
        <f>VLOOKUP($BX250, Constants!$M:$N, 2, FALSE)</f>
        <v/>
      </c>
      <c r="BZ250" t="str">
        <f>IF(J250&gt;1,_xlfn.CONCAT("{BLACK}Cars: {GOLD}", J250),"")</f>
        <v/>
      </c>
      <c r="CB250" t="str">
        <f>IF(BS250="BRAKE","{YELLOW}Speed bonus for slow wagons{}",IF(BQ250&gt;190,CONCATENATE("{YELLOW}",INT((BQ250-185)/1.85),"% Bonus for long distance travel{}"),IF(AND(BQ250&lt;180,BQ250&lt;&gt;0),CONCATENATE("{YELLOW}",INT((185-BQ250)/1.85),"% Penalty for long distance travel{}"),"")))</f>
        <v/>
      </c>
      <c r="CC250" t="str">
        <f>_xlfn.CONCAT(BW250,BY250,IF(BY250 &lt;&gt; "", " ", ""),BZ250,IF(OR(BZ250&lt;&gt;"", BY250&lt;&gt;""), "{}",""), CB250,"{SILVER}", CA250)</f>
        <v>{SILVER}</v>
      </c>
    </row>
    <row r="251" spans="1:81" x14ac:dyDescent="0.25">
      <c r="A251" t="s">
        <v>126</v>
      </c>
      <c r="B251" t="s">
        <v>294</v>
      </c>
      <c r="D251" t="s">
        <v>168</v>
      </c>
      <c r="E251" t="s">
        <v>1162</v>
      </c>
      <c r="F251" t="s">
        <v>314</v>
      </c>
      <c r="X251" s="4" t="str">
        <f>IF(AND(T251&gt;0,W251&gt;0),(W251/((T251+U251)*10)),"")</f>
        <v/>
      </c>
      <c r="AF251" t="str">
        <f>CONCATENATE(VLOOKUP(AG251, 'Voxel Sizes'!$A$2:$B$18,2,FALSE),"x",INT(AC251*15), "x", INT(AD251*15))</f>
        <v>0x0x0</v>
      </c>
      <c r="AG251">
        <f>ROUND(15*((AB251*10)/256),0)</f>
        <v>0</v>
      </c>
      <c r="AI251" t="str">
        <f>CONCATENATE(VLOOKUP(AG251,Constants!$A$2:$C$16,IF(AH251&lt;&gt;"", 3, 2), FALSE),IF(AH251&lt;&gt;"",CONCATENATE(",",VLOOKUP(AH251,$B:$AI,34,FALSE)),""))</f>
        <v>na</v>
      </c>
      <c r="AS251">
        <v>30</v>
      </c>
      <c r="AT251" t="str">
        <f>IF(I251&lt;&gt;"",MAX(8,(I251-G251)-4),"")</f>
        <v/>
      </c>
      <c r="AW251">
        <f>MIN(Y251/150, 1)*30</f>
        <v>0</v>
      </c>
      <c r="AX251">
        <f>MIN(K251/4000, 1)*20</f>
        <v>0</v>
      </c>
      <c r="AY251">
        <f>MIN(W251/400,1)*20</f>
        <v>0</v>
      </c>
      <c r="AZ251" s="4">
        <v>1</v>
      </c>
      <c r="BA251">
        <f>((MAX($J251,1)*MIN($AE251/300,1)))*IF(D251="Wagon",50,10)</f>
        <v>0</v>
      </c>
      <c r="BB251">
        <f>VLOOKUP($E251,Constants!$I:$K, 2, FALSE)</f>
        <v>1.2</v>
      </c>
      <c r="BC251">
        <f>VLOOKUP($E251,Constants!$I:$K, 3, FALSE)*IF(AND(D251="multiple_unit",Y251&lt;110),0.75,1)</f>
        <v>0.6</v>
      </c>
      <c r="BD251">
        <f>INT(POWER(((Constants!$G$2+$AW251+$AX251+$AY251+$BA251)*$AZ251)*$BC251, 1.05))+$AV251</f>
        <v>3</v>
      </c>
      <c r="BE251">
        <f>INT(POWER((((Constants!$G$1+$AW251+$AX251+$AY251+$BA251)*(1/$AZ251))*$BB251),IF($D251="wagon",1,1.2)))+$AU251</f>
        <v>32</v>
      </c>
      <c r="BF251" s="15">
        <f>BD251*IF($D251="wagon",62.5,781.25)</f>
        <v>2343.75</v>
      </c>
      <c r="BG251" s="15">
        <f>BE251*IF($D251="wagon",2.73,81.25)</f>
        <v>2600</v>
      </c>
      <c r="BP251">
        <v>11</v>
      </c>
      <c r="BT251" t="e">
        <f>VLOOKUP(G251,Eras!$A$2:$C$10, 2, TRUE)</f>
        <v>#N/A</v>
      </c>
      <c r="BV251" t="e">
        <f>CONCATENATE(BT251,"_",BU251)</f>
        <v>#N/A</v>
      </c>
      <c r="BW251" t="str">
        <f>IF(AND(BI251&lt;&gt;Y251,BI251&lt;&gt;""),_xlfn.CONCAT("{BLACK}","Tare speed: ","{GOLD}{VELOCITY}{}"), "")</f>
        <v/>
      </c>
      <c r="BX251" t="str">
        <f>_xlfn.CONCAT(E251, "_",F251)</f>
        <v>carriage_RAIL</v>
      </c>
      <c r="BY251" t="str">
        <f>VLOOKUP($BX251, Constants!$M:$N, 2, FALSE)</f>
        <v/>
      </c>
      <c r="BZ251" t="str">
        <f>IF(J251&gt;1,_xlfn.CONCAT("{BLACK}Cars: {GOLD}", J251),"")</f>
        <v/>
      </c>
      <c r="CB251" t="str">
        <f>IF(BS251="BRAKE","{YELLOW}Speed bonus for slow wagons{}",IF(BQ251&gt;190,CONCATENATE("{YELLOW}",INT((BQ251-185)/1.85),"% Bonus for long distance travel{}"),IF(AND(BQ251&lt;180,BQ251&lt;&gt;0),CONCATENATE("{YELLOW}",INT((185-BQ251)/1.85),"% Penalty for long distance travel{}"),"")))</f>
        <v/>
      </c>
      <c r="CC251" t="str">
        <f>_xlfn.CONCAT(BW251,BY251,IF(BY251 &lt;&gt; "", " ", ""),BZ251,IF(OR(BZ251&lt;&gt;"", BY251&lt;&gt;""), "{}",""), CB251,"{SILVER}", CA251)</f>
        <v>{SILVER}</v>
      </c>
    </row>
    <row r="252" spans="1:81" x14ac:dyDescent="0.25">
      <c r="A252" t="s">
        <v>129</v>
      </c>
      <c r="B252" t="s">
        <v>236</v>
      </c>
      <c r="D252" t="s">
        <v>168</v>
      </c>
      <c r="E252" t="s">
        <v>1162</v>
      </c>
      <c r="F252" t="s">
        <v>314</v>
      </c>
      <c r="X252" s="4" t="str">
        <f>IF(AND(T252&gt;0,W252&gt;0),(W252/((T252+U252)*10)),"")</f>
        <v/>
      </c>
      <c r="AF252" t="str">
        <f>CONCATENATE(VLOOKUP(AG252, 'Voxel Sizes'!$A$2:$B$18,2,FALSE),"x",INT(AC252*15), "x", INT(AD252*15))</f>
        <v>0x0x0</v>
      </c>
      <c r="AG252">
        <f>ROUND(15*((AB252*10)/256),0)</f>
        <v>0</v>
      </c>
      <c r="AI252" t="str">
        <f>CONCATENATE(VLOOKUP(AG252,Constants!$A$2:$C$16,IF(AH252&lt;&gt;"", 3, 2), FALSE),IF(AH252&lt;&gt;"",CONCATENATE(",",VLOOKUP(AH252,$B:$AI,34,FALSE)),""))</f>
        <v>na</v>
      </c>
      <c r="AS252">
        <v>30</v>
      </c>
      <c r="AT252" t="str">
        <f>IF(I252&lt;&gt;"",MAX(8,(I252-G252)-4),"")</f>
        <v/>
      </c>
      <c r="AW252">
        <f>MIN(Y252/150, 1)*30</f>
        <v>0</v>
      </c>
      <c r="AX252">
        <f>MIN(K252/4000, 1)*20</f>
        <v>0</v>
      </c>
      <c r="AY252">
        <f>MIN(W252/400,1)*20</f>
        <v>0</v>
      </c>
      <c r="AZ252" s="4">
        <v>1</v>
      </c>
      <c r="BA252">
        <f>((MAX($J252,1)*MIN($AE252/300,1)))*IF(D252="Wagon",50,10)</f>
        <v>0</v>
      </c>
      <c r="BB252">
        <f>VLOOKUP($E252,Constants!$I:$K, 2, FALSE)</f>
        <v>1.2</v>
      </c>
      <c r="BC252">
        <f>VLOOKUP($E252,Constants!$I:$K, 3, FALSE)*IF(AND(D252="multiple_unit",Y252&lt;110),0.75,1)</f>
        <v>0.6</v>
      </c>
      <c r="BD252">
        <f>INT(POWER(((Constants!$G$2+$AW252+$AX252+$AY252+$BA252)*$AZ252)*$BC252, 1.05))+$AV252</f>
        <v>3</v>
      </c>
      <c r="BE252">
        <f>INT(POWER((((Constants!$G$1+$AW252+$AX252+$AY252+$BA252)*(1/$AZ252))*$BB252),IF($D252="wagon",1,1.2)))+$AU252</f>
        <v>32</v>
      </c>
      <c r="BF252" s="15">
        <f>BD252*IF($D252="wagon",62.5,781.25)</f>
        <v>2343.75</v>
      </c>
      <c r="BG252" s="15">
        <f>BE252*IF($D252="wagon",2.73,81.25)</f>
        <v>2600</v>
      </c>
      <c r="BP252">
        <v>12</v>
      </c>
      <c r="BT252" t="e">
        <f>VLOOKUP(G252,Eras!$A$2:$C$10, 2, TRUE)</f>
        <v>#N/A</v>
      </c>
      <c r="BV252" t="e">
        <f>CONCATENATE(BT252,"_",BU252)</f>
        <v>#N/A</v>
      </c>
      <c r="BW252" t="str">
        <f>IF(AND(BI252&lt;&gt;Y252,BI252&lt;&gt;""),_xlfn.CONCAT("{BLACK}","Tare speed: ","{GOLD}{VELOCITY}{}"), "")</f>
        <v/>
      </c>
      <c r="BX252" t="str">
        <f>_xlfn.CONCAT(E252, "_",F252)</f>
        <v>carriage_RAIL</v>
      </c>
      <c r="BY252" t="str">
        <f>VLOOKUP($BX252, Constants!$M:$N, 2, FALSE)</f>
        <v/>
      </c>
      <c r="BZ252" t="str">
        <f>IF(J252&gt;1,_xlfn.CONCAT("{BLACK}Cars: {GOLD}", J252),"")</f>
        <v/>
      </c>
      <c r="CB252" t="str">
        <f>IF(BS252="BRAKE","{YELLOW}Speed bonus for slow wagons{}",IF(BQ252&gt;190,CONCATENATE("{YELLOW}",INT((BQ252-185)/1.85),"% Bonus for long distance travel{}"),IF(AND(BQ252&lt;180,BQ252&lt;&gt;0),CONCATENATE("{YELLOW}",INT((185-BQ252)/1.85),"% Penalty for long distance travel{}"),"")))</f>
        <v/>
      </c>
      <c r="CC252" t="str">
        <f>_xlfn.CONCAT(BW252,BY252,IF(BY252 &lt;&gt; "", " ", ""),BZ252,IF(OR(BZ252&lt;&gt;"", BY252&lt;&gt;""), "{}",""), CB252,"{SILVER}", CA252)</f>
        <v>{SILVER}</v>
      </c>
    </row>
    <row r="253" spans="1:81" x14ac:dyDescent="0.25">
      <c r="A253" t="s">
        <v>106</v>
      </c>
      <c r="B253" t="s">
        <v>267</v>
      </c>
      <c r="D253" t="s">
        <v>168</v>
      </c>
      <c r="E253" t="s">
        <v>1165</v>
      </c>
      <c r="F253" t="s">
        <v>314</v>
      </c>
      <c r="X253" s="4" t="str">
        <f>IF(AND(T253&gt;0,W253&gt;0),(W253/((T253+U253)*10)),"")</f>
        <v/>
      </c>
      <c r="AF253" t="str">
        <f>CONCATENATE(VLOOKUP(AG253, 'Voxel Sizes'!$A$2:$B$18,2,FALSE),"x",INT(AC253*15), "x", INT(AD253*15))</f>
        <v>0x0x0</v>
      </c>
      <c r="AG253">
        <f>ROUND(15*((AB253*10)/256),0)</f>
        <v>0</v>
      </c>
      <c r="AI253" t="str">
        <f>CONCATENATE(VLOOKUP(AG253,Constants!$A$2:$C$16,IF(AH253&lt;&gt;"", 3, 2), FALSE),IF(AH253&lt;&gt;"",CONCATENATE(",",VLOOKUP(AH253,$B:$AI,34,FALSE)),""))</f>
        <v>na</v>
      </c>
      <c r="AS253">
        <v>30</v>
      </c>
      <c r="AT253" t="str">
        <f>IF(I253&lt;&gt;"",MAX(8,(I253-G253)-4),"")</f>
        <v/>
      </c>
      <c r="AW253">
        <f>MIN(Y253/150, 1)*30</f>
        <v>0</v>
      </c>
      <c r="AX253">
        <f>MIN(K253/4000, 1)*20</f>
        <v>0</v>
      </c>
      <c r="AY253">
        <f>MIN(W253/400,1)*20</f>
        <v>0</v>
      </c>
      <c r="AZ253" s="4">
        <v>1</v>
      </c>
      <c r="BA253">
        <f>((MAX($J253,1)*MIN($AE253/300,1)))*IF(D253="Wagon",50,10)</f>
        <v>0</v>
      </c>
      <c r="BB253">
        <f>VLOOKUP($E253,Constants!$I:$K, 2, FALSE)</f>
        <v>1</v>
      </c>
      <c r="BC253">
        <f>VLOOKUP($E253,Constants!$I:$K, 3, FALSE)*IF(AND(D253="multiple_unit",Y253&lt;110),0.75,1)</f>
        <v>1</v>
      </c>
      <c r="BD253">
        <f>INT(POWER(((Constants!$G$2+$AW253+$AX253+$AY253+$BA253)*$AZ253)*$BC253, 1.05))+$AV253</f>
        <v>5</v>
      </c>
      <c r="BE253">
        <f>INT(POWER((((Constants!$G$1+$AW253+$AX253+$AY253+$BA253)*(1/$AZ253))*$BB253),IF($D253="wagon",1,1.2)))+$AU253</f>
        <v>25</v>
      </c>
      <c r="BF253" s="15">
        <f>BD253*IF($D253="wagon",62.5,781.25)</f>
        <v>3906.25</v>
      </c>
      <c r="BG253" s="15">
        <f>BE253*IF($D253="wagon",2.73,81.25)</f>
        <v>2031.25</v>
      </c>
      <c r="BP253">
        <v>1</v>
      </c>
      <c r="BT253" t="e">
        <f>VLOOKUP(G253,Eras!$A$2:$C$10, 2, TRUE)</f>
        <v>#N/A</v>
      </c>
      <c r="BV253" t="e">
        <f>CONCATENATE(BT253,"_",BU253)</f>
        <v>#N/A</v>
      </c>
      <c r="BW253" t="str">
        <f>IF(AND(BI253&lt;&gt;Y253,BI253&lt;&gt;""),_xlfn.CONCAT("{BLACK}","Tare speed: ","{GOLD}{VELOCITY}{}"), "")</f>
        <v/>
      </c>
      <c r="BX253" t="str">
        <f>_xlfn.CONCAT(E253, "_",F253)</f>
        <v>tube_RAIL</v>
      </c>
      <c r="BY253" t="str">
        <f>VLOOKUP($BX253, Constants!$M:$N, 2, FALSE)</f>
        <v/>
      </c>
      <c r="BZ253" t="str">
        <f>IF(J253&gt;1,_xlfn.CONCAT("{BLACK}Cars: {GOLD}", J253),"")</f>
        <v/>
      </c>
      <c r="CB253" t="str">
        <f>IF(BS253="BRAKE","{YELLOW}Speed bonus for slow wagons{}",IF(BQ253&gt;190,CONCATENATE("{YELLOW}",INT((BQ253-185)/1.85),"% Bonus for long distance travel{}"),IF(AND(BQ253&lt;180,BQ253&lt;&gt;0),CONCATENATE("{YELLOW}",INT((185-BQ253)/1.85),"% Penalty for long distance travel{}"),"")))</f>
        <v/>
      </c>
      <c r="CC253" t="str">
        <f>_xlfn.CONCAT(BW253,BY253,IF(BY253 &lt;&gt; "", " ", ""),BZ253,IF(OR(BZ253&lt;&gt;"", BY253&lt;&gt;""), "{}",""), CB253,"{SILVER}", CA253)</f>
        <v>{SILVER}</v>
      </c>
    </row>
    <row r="254" spans="1:81" x14ac:dyDescent="0.25">
      <c r="A254" t="s">
        <v>108</v>
      </c>
      <c r="B254" t="s">
        <v>221</v>
      </c>
      <c r="D254" t="s">
        <v>168</v>
      </c>
      <c r="E254" t="s">
        <v>1165</v>
      </c>
      <c r="F254" t="s">
        <v>314</v>
      </c>
      <c r="X254" s="4" t="str">
        <f>IF(AND(T254&gt;0,W254&gt;0),(W254/((T254+U254)*10)),"")</f>
        <v/>
      </c>
      <c r="AF254" t="str">
        <f>CONCATENATE(VLOOKUP(AG254, 'Voxel Sizes'!$A$2:$B$18,2,FALSE),"x",INT(AC254*15), "x", INT(AD254*15))</f>
        <v>0x0x0</v>
      </c>
      <c r="AG254">
        <f>ROUND(15*((AB254*10)/256),0)</f>
        <v>0</v>
      </c>
      <c r="AI254" t="str">
        <f>CONCATENATE(VLOOKUP(AG254,Constants!$A$2:$C$16,IF(AH254&lt;&gt;"", 3, 2), FALSE),IF(AH254&lt;&gt;"",CONCATENATE(",",VLOOKUP(AH254,$B:$AI,34,FALSE)),""))</f>
        <v>na</v>
      </c>
      <c r="AS254">
        <v>30</v>
      </c>
      <c r="AT254" t="str">
        <f>IF(I254&lt;&gt;"",MAX(8,(I254-G254)-4),"")</f>
        <v/>
      </c>
      <c r="AW254">
        <f>MIN(Y254/150, 1)*30</f>
        <v>0</v>
      </c>
      <c r="AX254">
        <f>MIN(K254/4000, 1)*20</f>
        <v>0</v>
      </c>
      <c r="AY254">
        <f>MIN(W254/400,1)*20</f>
        <v>0</v>
      </c>
      <c r="AZ254" s="4">
        <v>1</v>
      </c>
      <c r="BA254">
        <f>((MAX($J254,1)*MIN($AE254/300,1)))*IF(D254="Wagon",50,10)</f>
        <v>0</v>
      </c>
      <c r="BB254">
        <f>VLOOKUP($E254,Constants!$I:$K, 2, FALSE)</f>
        <v>1</v>
      </c>
      <c r="BC254">
        <f>VLOOKUP($E254,Constants!$I:$K, 3, FALSE)*IF(AND(D254="multiple_unit",Y254&lt;110),0.75,1)</f>
        <v>1</v>
      </c>
      <c r="BD254">
        <f>INT(POWER(((Constants!$G$2+$AW254+$AX254+$AY254+$BA254)*$AZ254)*$BC254, 1.05))+$AV254</f>
        <v>5</v>
      </c>
      <c r="BE254">
        <f>INT(POWER((((Constants!$G$1+$AW254+$AX254+$AY254+$BA254)*(1/$AZ254))*$BB254),IF($D254="wagon",1,1.2)))+$AU254</f>
        <v>25</v>
      </c>
      <c r="BF254" s="15">
        <f>BD254*IF($D254="wagon",62.5,781.25)</f>
        <v>3906.25</v>
      </c>
      <c r="BG254" s="15">
        <f>BE254*IF($D254="wagon",2.73,81.25)</f>
        <v>2031.25</v>
      </c>
      <c r="BP254">
        <v>2</v>
      </c>
      <c r="BT254" t="e">
        <f>VLOOKUP(G254,Eras!$A$2:$C$10, 2, TRUE)</f>
        <v>#N/A</v>
      </c>
      <c r="BV254" t="e">
        <f>CONCATENATE(BT254,"_",BU254)</f>
        <v>#N/A</v>
      </c>
      <c r="BW254" t="str">
        <f>IF(AND(BI254&lt;&gt;Y254,BI254&lt;&gt;""),_xlfn.CONCAT("{BLACK}","Tare speed: ","{GOLD}{VELOCITY}{}"), "")</f>
        <v/>
      </c>
      <c r="BX254" t="str">
        <f>_xlfn.CONCAT(E254, "_",F254)</f>
        <v>tube_RAIL</v>
      </c>
      <c r="BY254" t="str">
        <f>VLOOKUP($BX254, Constants!$M:$N, 2, FALSE)</f>
        <v/>
      </c>
      <c r="BZ254" t="str">
        <f>IF(J254&gt;1,_xlfn.CONCAT("{BLACK}Cars: {GOLD}", J254),"")</f>
        <v/>
      </c>
      <c r="CB254" t="str">
        <f>IF(BS254="BRAKE","{YELLOW}Speed bonus for slow wagons{}",IF(BQ254&gt;190,CONCATENATE("{YELLOW}",INT((BQ254-185)/1.85),"% Bonus for long distance travel{}"),IF(AND(BQ254&lt;180,BQ254&lt;&gt;0),CONCATENATE("{YELLOW}",INT((185-BQ254)/1.85),"% Penalty for long distance travel{}"),"")))</f>
        <v/>
      </c>
      <c r="CC254" t="str">
        <f>_xlfn.CONCAT(BW254,BY254,IF(BY254 &lt;&gt; "", " ", ""),BZ254,IF(OR(BZ254&lt;&gt;"", BY254&lt;&gt;""), "{}",""), CB254,"{SILVER}", CA254)</f>
        <v>{SILVER}</v>
      </c>
    </row>
    <row r="255" spans="1:81" x14ac:dyDescent="0.25">
      <c r="A255" t="s">
        <v>109</v>
      </c>
      <c r="B255" t="s">
        <v>222</v>
      </c>
      <c r="D255" t="s">
        <v>168</v>
      </c>
      <c r="E255" t="s">
        <v>1165</v>
      </c>
      <c r="F255" t="s">
        <v>314</v>
      </c>
      <c r="X255" s="4" t="str">
        <f>IF(AND(T255&gt;0,W255&gt;0),(W255/((T255+U255)*10)),"")</f>
        <v/>
      </c>
      <c r="AF255" t="str">
        <f>CONCATENATE(VLOOKUP(AG255, 'Voxel Sizes'!$A$2:$B$18,2,FALSE),"x",INT(AC255*15), "x", INT(AD255*15))</f>
        <v>0x0x0</v>
      </c>
      <c r="AG255">
        <f>ROUND(15*((AB255*10)/256),0)</f>
        <v>0</v>
      </c>
      <c r="AI255" t="str">
        <f>CONCATENATE(VLOOKUP(AG255,Constants!$A$2:$C$16,IF(AH255&lt;&gt;"", 3, 2), FALSE),IF(AH255&lt;&gt;"",CONCATENATE(",",VLOOKUP(AH255,$B:$AI,34,FALSE)),""))</f>
        <v>na</v>
      </c>
      <c r="AS255">
        <v>30</v>
      </c>
      <c r="AT255" t="str">
        <f>IF(I255&lt;&gt;"",MAX(8,(I255-G255)-4),"")</f>
        <v/>
      </c>
      <c r="AW255">
        <f>MIN(Y255/150, 1)*30</f>
        <v>0</v>
      </c>
      <c r="AX255">
        <f>MIN(K255/4000, 1)*20</f>
        <v>0</v>
      </c>
      <c r="AY255">
        <f>MIN(W255/400,1)*20</f>
        <v>0</v>
      </c>
      <c r="AZ255" s="4">
        <v>1</v>
      </c>
      <c r="BA255">
        <f>((MAX($J255,1)*MIN($AE255/300,1)))*IF(D255="Wagon",50,10)</f>
        <v>0</v>
      </c>
      <c r="BB255">
        <f>VLOOKUP($E255,Constants!$I:$K, 2, FALSE)</f>
        <v>1</v>
      </c>
      <c r="BC255">
        <f>VLOOKUP($E255,Constants!$I:$K, 3, FALSE)*IF(AND(D255="multiple_unit",Y255&lt;110),0.75,1)</f>
        <v>1</v>
      </c>
      <c r="BD255">
        <f>INT(POWER(((Constants!$G$2+$AW255+$AX255+$AY255+$BA255)*$AZ255)*$BC255, 1.05))+$AV255</f>
        <v>5</v>
      </c>
      <c r="BE255">
        <f>INT(POWER((((Constants!$G$1+$AW255+$AX255+$AY255+$BA255)*(1/$AZ255))*$BB255),IF($D255="wagon",1,1.2)))+$AU255</f>
        <v>25</v>
      </c>
      <c r="BF255" s="15">
        <f>BD255*IF($D255="wagon",62.5,781.25)</f>
        <v>3906.25</v>
      </c>
      <c r="BG255" s="15">
        <f>BE255*IF($D255="wagon",2.73,81.25)</f>
        <v>2031.25</v>
      </c>
      <c r="BP255">
        <v>3</v>
      </c>
      <c r="BT255" t="e">
        <f>VLOOKUP(G255,Eras!$A$2:$C$10, 2, TRUE)</f>
        <v>#N/A</v>
      </c>
      <c r="BV255" t="e">
        <f>CONCATENATE(BT255,"_",BU255)</f>
        <v>#N/A</v>
      </c>
      <c r="BW255" t="str">
        <f>IF(AND(BI255&lt;&gt;Y255,BI255&lt;&gt;""),_xlfn.CONCAT("{BLACK}","Tare speed: ","{GOLD}{VELOCITY}{}"), "")</f>
        <v/>
      </c>
      <c r="BX255" t="str">
        <f>_xlfn.CONCAT(E255, "_",F255)</f>
        <v>tube_RAIL</v>
      </c>
      <c r="BY255" t="str">
        <f>VLOOKUP($BX255, Constants!$M:$N, 2, FALSE)</f>
        <v/>
      </c>
      <c r="BZ255" t="str">
        <f>IF(J255&gt;1,_xlfn.CONCAT("{BLACK}Cars: {GOLD}", J255),"")</f>
        <v/>
      </c>
      <c r="CB255" t="str">
        <f>IF(BS255="BRAKE","{YELLOW}Speed bonus for slow wagons{}",IF(BQ255&gt;190,CONCATENATE("{YELLOW}",INT((BQ255-185)/1.85),"% Bonus for long distance travel{}"),IF(AND(BQ255&lt;180,BQ255&lt;&gt;0),CONCATENATE("{YELLOW}",INT((185-BQ255)/1.85),"% Penalty for long distance travel{}"),"")))</f>
        <v/>
      </c>
      <c r="CC255" t="str">
        <f>_xlfn.CONCAT(BW255,BY255,IF(BY255 &lt;&gt; "", " ", ""),BZ255,IF(OR(BZ255&lt;&gt;"", BY255&lt;&gt;""), "{}",""), CB255,"{SILVER}", CA255)</f>
        <v>{SILVER}</v>
      </c>
    </row>
    <row r="256" spans="1:81" x14ac:dyDescent="0.25">
      <c r="A256" t="s">
        <v>110</v>
      </c>
      <c r="B256" t="s">
        <v>265</v>
      </c>
      <c r="D256" t="s">
        <v>168</v>
      </c>
      <c r="E256" t="s">
        <v>1165</v>
      </c>
      <c r="F256" t="s">
        <v>314</v>
      </c>
      <c r="X256" s="4" t="str">
        <f>IF(AND(T256&gt;0,W256&gt;0),(W256/((T256+U256)*10)),"")</f>
        <v/>
      </c>
      <c r="AF256" t="str">
        <f>CONCATENATE(VLOOKUP(AG256, 'Voxel Sizes'!$A$2:$B$18,2,FALSE),"x",INT(AC256*15), "x", INT(AD256*15))</f>
        <v>0x0x0</v>
      </c>
      <c r="AG256">
        <f>ROUND(15*((AB256*10)/256),0)</f>
        <v>0</v>
      </c>
      <c r="AI256" t="str">
        <f>CONCATENATE(VLOOKUP(AG256,Constants!$A$2:$C$16,IF(AH256&lt;&gt;"", 3, 2), FALSE),IF(AH256&lt;&gt;"",CONCATENATE(",",VLOOKUP(AH256,$B:$AI,34,FALSE)),""))</f>
        <v>na</v>
      </c>
      <c r="AS256">
        <v>30</v>
      </c>
      <c r="AT256" t="str">
        <f>IF(I256&lt;&gt;"",MAX(8,(I256-G256)-4),"")</f>
        <v/>
      </c>
      <c r="AW256">
        <f>MIN(Y256/150, 1)*30</f>
        <v>0</v>
      </c>
      <c r="AX256">
        <f>MIN(K256/4000, 1)*20</f>
        <v>0</v>
      </c>
      <c r="AY256">
        <f>MIN(W256/400,1)*20</f>
        <v>0</v>
      </c>
      <c r="AZ256" s="4">
        <v>1</v>
      </c>
      <c r="BA256">
        <f>((MAX($J256,1)*MIN($AE256/300,1)))*IF(D256="Wagon",50,10)</f>
        <v>0</v>
      </c>
      <c r="BB256">
        <f>VLOOKUP($E256,Constants!$I:$K, 2, FALSE)</f>
        <v>1</v>
      </c>
      <c r="BC256">
        <f>VLOOKUP($E256,Constants!$I:$K, 3, FALSE)*IF(AND(D256="multiple_unit",Y256&lt;110),0.75,1)</f>
        <v>1</v>
      </c>
      <c r="BD256">
        <f>INT(POWER(((Constants!$G$2+$AW256+$AX256+$AY256+$BA256)*$AZ256)*$BC256, 1.05))+$AV256</f>
        <v>5</v>
      </c>
      <c r="BE256">
        <f>INT(POWER((((Constants!$G$1+$AW256+$AX256+$AY256+$BA256)*(1/$AZ256))*$BB256),IF($D256="wagon",1,1.2)))+$AU256</f>
        <v>25</v>
      </c>
      <c r="BF256" s="15">
        <f>BD256*IF($D256="wagon",62.5,781.25)</f>
        <v>3906.25</v>
      </c>
      <c r="BG256" s="15">
        <f>BE256*IF($D256="wagon",2.73,81.25)</f>
        <v>2031.25</v>
      </c>
      <c r="BP256">
        <v>4</v>
      </c>
      <c r="BT256" t="e">
        <f>VLOOKUP(G256,Eras!$A$2:$C$10, 2, TRUE)</f>
        <v>#N/A</v>
      </c>
      <c r="BV256" t="e">
        <f>CONCATENATE(BT256,"_",BU256)</f>
        <v>#N/A</v>
      </c>
      <c r="BW256" t="str">
        <f>IF(AND(BI256&lt;&gt;Y256,BI256&lt;&gt;""),_xlfn.CONCAT("{BLACK}","Tare speed: ","{GOLD}{VELOCITY}{}"), "")</f>
        <v/>
      </c>
      <c r="BX256" t="str">
        <f>_xlfn.CONCAT(E256, "_",F256)</f>
        <v>tube_RAIL</v>
      </c>
      <c r="BY256" t="str">
        <f>VLOOKUP($BX256, Constants!$M:$N, 2, FALSE)</f>
        <v/>
      </c>
      <c r="BZ256" t="str">
        <f>IF(J256&gt;1,_xlfn.CONCAT("{BLACK}Cars: {GOLD}", J256),"")</f>
        <v/>
      </c>
      <c r="CB256" t="str">
        <f>IF(BS256="BRAKE","{YELLOW}Speed bonus for slow wagons{}",IF(BQ256&gt;190,CONCATENATE("{YELLOW}",INT((BQ256-185)/1.85),"% Bonus for long distance travel{}"),IF(AND(BQ256&lt;180,BQ256&lt;&gt;0),CONCATENATE("{YELLOW}",INT((185-BQ256)/1.85),"% Penalty for long distance travel{}"),"")))</f>
        <v/>
      </c>
      <c r="CC256" t="str">
        <f>_xlfn.CONCAT(BW256,BY256,IF(BY256 &lt;&gt; "", " ", ""),BZ256,IF(OR(BZ256&lt;&gt;"", BY256&lt;&gt;""), "{}",""), CB256,"{SILVER}", CA256)</f>
        <v>{SILVER}</v>
      </c>
    </row>
    <row r="257" spans="1:81" x14ac:dyDescent="0.25">
      <c r="A257" t="s">
        <v>111</v>
      </c>
      <c r="B257" t="s">
        <v>291</v>
      </c>
      <c r="D257" t="s">
        <v>168</v>
      </c>
      <c r="E257" t="s">
        <v>1165</v>
      </c>
      <c r="F257" t="s">
        <v>314</v>
      </c>
      <c r="X257" s="4" t="str">
        <f>IF(AND(T257&gt;0,W257&gt;0),(W257/((T257+U257)*10)),"")</f>
        <v/>
      </c>
      <c r="AF257" t="str">
        <f>CONCATENATE(VLOOKUP(AG257, 'Voxel Sizes'!$A$2:$B$18,2,FALSE),"x",INT(AC257*15), "x", INT(AD257*15))</f>
        <v>0x0x0</v>
      </c>
      <c r="AG257">
        <f>ROUND(15*((AB257*10)/256),0)</f>
        <v>0</v>
      </c>
      <c r="AI257" t="str">
        <f>CONCATENATE(VLOOKUP(AG257,Constants!$A$2:$C$16,IF(AH257&lt;&gt;"", 3, 2), FALSE),IF(AH257&lt;&gt;"",CONCATENATE(",",VLOOKUP(AH257,$B:$AI,34,FALSE)),""))</f>
        <v>na</v>
      </c>
      <c r="AS257">
        <v>30</v>
      </c>
      <c r="AT257" t="str">
        <f>IF(I257&lt;&gt;"",MAX(8,(I257-G257)-4),"")</f>
        <v/>
      </c>
      <c r="AW257">
        <f>MIN(Y257/150, 1)*30</f>
        <v>0</v>
      </c>
      <c r="AX257">
        <f>MIN(K257/4000, 1)*20</f>
        <v>0</v>
      </c>
      <c r="AY257">
        <f>MIN(W257/400,1)*20</f>
        <v>0</v>
      </c>
      <c r="AZ257" s="4">
        <v>1</v>
      </c>
      <c r="BA257">
        <f>((MAX($J257,1)*MIN($AE257/300,1)))*IF(D257="Wagon",50,10)</f>
        <v>0</v>
      </c>
      <c r="BB257">
        <f>VLOOKUP($E257,Constants!$I:$K, 2, FALSE)</f>
        <v>1</v>
      </c>
      <c r="BC257">
        <f>VLOOKUP($E257,Constants!$I:$K, 3, FALSE)*IF(AND(D257="multiple_unit",Y257&lt;110),0.75,1)</f>
        <v>1</v>
      </c>
      <c r="BD257">
        <f>INT(POWER(((Constants!$G$2+$AW257+$AX257+$AY257+$BA257)*$AZ257)*$BC257, 1.05))+$AV257</f>
        <v>5</v>
      </c>
      <c r="BE257">
        <f>INT(POWER((((Constants!$G$1+$AW257+$AX257+$AY257+$BA257)*(1/$AZ257))*$BB257),IF($D257="wagon",1,1.2)))+$AU257</f>
        <v>25</v>
      </c>
      <c r="BF257" s="15">
        <f>BD257*IF($D257="wagon",62.5,781.25)</f>
        <v>3906.25</v>
      </c>
      <c r="BG257" s="15">
        <f>BE257*IF($D257="wagon",2.73,81.25)</f>
        <v>2031.25</v>
      </c>
      <c r="BP257">
        <v>5</v>
      </c>
      <c r="BT257" t="e">
        <f>VLOOKUP(G257,Eras!$A$2:$C$10, 2, TRUE)</f>
        <v>#N/A</v>
      </c>
      <c r="BU257" t="s">
        <v>385</v>
      </c>
      <c r="BV257" t="e">
        <f>CONCATENATE(BT257,"_",BU257)</f>
        <v>#N/A</v>
      </c>
      <c r="BW257" t="str">
        <f>IF(AND(BI257&lt;&gt;Y257,BI257&lt;&gt;""),_xlfn.CONCAT("{BLACK}","Tare speed: ","{GOLD}{VELOCITY}{}"), "")</f>
        <v/>
      </c>
      <c r="BX257" t="str">
        <f>_xlfn.CONCAT(E257, "_",F257)</f>
        <v>tube_RAIL</v>
      </c>
      <c r="BY257" t="str">
        <f>VLOOKUP($BX257, Constants!$M:$N, 2, FALSE)</f>
        <v/>
      </c>
      <c r="BZ257" t="str">
        <f>IF(J257&gt;1,_xlfn.CONCAT("{BLACK}Cars: {GOLD}", J257),"")</f>
        <v/>
      </c>
      <c r="CB257" t="str">
        <f>IF(BS257="BRAKE","{YELLOW}Speed bonus for slow wagons{}",IF(BQ257&gt;190,CONCATENATE("{YELLOW}",INT((BQ257-185)/1.85),"% Bonus for long distance travel{}"),IF(AND(BQ257&lt;180,BQ257&lt;&gt;0),CONCATENATE("{YELLOW}",INT((185-BQ257)/1.85),"% Penalty for long distance travel{}"),"")))</f>
        <v/>
      </c>
      <c r="CC257" t="str">
        <f>_xlfn.CONCAT(BW257,BY257,IF(BY257 &lt;&gt; "", " ", ""),BZ257,IF(OR(BZ257&lt;&gt;"", BY257&lt;&gt;""), "{}",""), CB257,"{SILVER}", CA257)</f>
        <v>{SILVER}</v>
      </c>
    </row>
    <row r="258" spans="1:81" x14ac:dyDescent="0.25">
      <c r="A258" t="s">
        <v>112</v>
      </c>
      <c r="B258" t="s">
        <v>223</v>
      </c>
      <c r="D258" t="s">
        <v>168</v>
      </c>
      <c r="E258" t="s">
        <v>1165</v>
      </c>
      <c r="F258" t="s">
        <v>314</v>
      </c>
      <c r="X258" s="4" t="str">
        <f>IF(AND(T258&gt;0,W258&gt;0),(W258/((T258+U258)*10)),"")</f>
        <v/>
      </c>
      <c r="AF258" t="str">
        <f>CONCATENATE(VLOOKUP(AG258, 'Voxel Sizes'!$A$2:$B$18,2,FALSE),"x",INT(AC258*15), "x", INT(AD258*15))</f>
        <v>0x0x0</v>
      </c>
      <c r="AG258">
        <f>ROUND(15*((AB258*10)/256),0)</f>
        <v>0</v>
      </c>
      <c r="AI258" t="str">
        <f>CONCATENATE(VLOOKUP(AG258,Constants!$A$2:$C$16,IF(AH258&lt;&gt;"", 3, 2), FALSE),IF(AH258&lt;&gt;"",CONCATENATE(",",VLOOKUP(AH258,$B:$AI,34,FALSE)),""))</f>
        <v>na</v>
      </c>
      <c r="AS258">
        <v>30</v>
      </c>
      <c r="AT258" t="str">
        <f>IF(I258&lt;&gt;"",MAX(8,(I258-G258)-4),"")</f>
        <v/>
      </c>
      <c r="AW258">
        <f>MIN(Y258/150, 1)*30</f>
        <v>0</v>
      </c>
      <c r="AX258">
        <f>MIN(K258/4000, 1)*20</f>
        <v>0</v>
      </c>
      <c r="AY258">
        <f>MIN(W258/400,1)*20</f>
        <v>0</v>
      </c>
      <c r="AZ258" s="4">
        <v>1</v>
      </c>
      <c r="BA258">
        <f>((MAX($J258,1)*MIN($AE258/300,1)))*IF(D258="Wagon",50,10)</f>
        <v>0</v>
      </c>
      <c r="BB258">
        <f>VLOOKUP($E258,Constants!$I:$K, 2, FALSE)</f>
        <v>1</v>
      </c>
      <c r="BC258">
        <f>VLOOKUP($E258,Constants!$I:$K, 3, FALSE)*IF(AND(D258="multiple_unit",Y258&lt;110),0.75,1)</f>
        <v>1</v>
      </c>
      <c r="BD258">
        <f>INT(POWER(((Constants!$G$2+$AW258+$AX258+$AY258+$BA258)*$AZ258)*$BC258, 1.05))+$AV258</f>
        <v>5</v>
      </c>
      <c r="BE258">
        <f>INT(POWER((((Constants!$G$1+$AW258+$AX258+$AY258+$BA258)*(1/$AZ258))*$BB258),IF($D258="wagon",1,1.2)))+$AU258</f>
        <v>25</v>
      </c>
      <c r="BF258" s="15">
        <f>BD258*IF($D258="wagon",62.5,781.25)</f>
        <v>3906.25</v>
      </c>
      <c r="BG258" s="15">
        <f>BE258*IF($D258="wagon",2.73,81.25)</f>
        <v>2031.25</v>
      </c>
      <c r="BP258">
        <v>6</v>
      </c>
      <c r="BT258" t="e">
        <f>VLOOKUP(G258,Eras!$A$2:$C$10, 2, TRUE)</f>
        <v>#N/A</v>
      </c>
      <c r="BU258" t="s">
        <v>385</v>
      </c>
      <c r="BV258" t="e">
        <f>CONCATENATE(BT258,"_",BU258)</f>
        <v>#N/A</v>
      </c>
      <c r="BW258" t="str">
        <f>IF(AND(BI258&lt;&gt;Y258,BI258&lt;&gt;""),_xlfn.CONCAT("{BLACK}","Tare speed: ","{GOLD}{VELOCITY}{}"), "")</f>
        <v/>
      </c>
      <c r="BX258" t="str">
        <f>_xlfn.CONCAT(E258, "_",F258)</f>
        <v>tube_RAIL</v>
      </c>
      <c r="BY258" t="str">
        <f>VLOOKUP($BX258, Constants!$M:$N, 2, FALSE)</f>
        <v/>
      </c>
      <c r="BZ258" t="str">
        <f>IF(J258&gt;1,_xlfn.CONCAT("{BLACK}Cars: {GOLD}", J258),"")</f>
        <v/>
      </c>
      <c r="CB258" t="str">
        <f>IF(BS258="BRAKE","{YELLOW}Speed bonus for slow wagons{}",IF(BQ258&gt;190,CONCATENATE("{YELLOW}",INT((BQ258-185)/1.85),"% Bonus for long distance travel{}"),IF(AND(BQ258&lt;180,BQ258&lt;&gt;0),CONCATENATE("{YELLOW}",INT((185-BQ258)/1.85),"% Penalty for long distance travel{}"),"")))</f>
        <v/>
      </c>
      <c r="CC258" t="str">
        <f>_xlfn.CONCAT(BW258,BY258,IF(BY258 &lt;&gt; "", " ", ""),BZ258,IF(OR(BZ258&lt;&gt;"", BY258&lt;&gt;""), "{}",""), CB258,"{SILVER}", CA258)</f>
        <v>{SILVER}</v>
      </c>
    </row>
    <row r="259" spans="1:81" x14ac:dyDescent="0.25">
      <c r="A259" t="s">
        <v>142</v>
      </c>
      <c r="B259" t="s">
        <v>243</v>
      </c>
      <c r="D259" t="s">
        <v>168</v>
      </c>
      <c r="E259" t="s">
        <v>321</v>
      </c>
      <c r="F259" t="s">
        <v>314</v>
      </c>
      <c r="X259" s="4" t="str">
        <f>IF(AND(T259&gt;0,W259&gt;0),(W259/((T259+U259)*10)),"")</f>
        <v/>
      </c>
      <c r="AE259" s="11">
        <v>0</v>
      </c>
      <c r="AF259" t="str">
        <f>CONCATENATE(VLOOKUP(AG259, 'Voxel Sizes'!$A$2:$B$18,2,FALSE),"x",INT(AC259*15), "x", INT(AD259*15))</f>
        <v>0x0x0</v>
      </c>
      <c r="AG259">
        <f>ROUND(15*((AB259*10)/256),0)</f>
        <v>0</v>
      </c>
      <c r="AI259" t="str">
        <f>CONCATENATE(VLOOKUP(AG259,Constants!$A$2:$C$16,IF(AH259&lt;&gt;"", 3, 2), FALSE),IF(AH259&lt;&gt;"",CONCATENATE(",",VLOOKUP(AH259,$B:$AI,34,FALSE)),""))</f>
        <v>na</v>
      </c>
      <c r="AS259">
        <v>30</v>
      </c>
      <c r="AT259" t="str">
        <f>IF(I259&lt;&gt;"",MAX(8,(I259-G259)-4),"")</f>
        <v/>
      </c>
      <c r="AW259">
        <f>MIN(Y259/150, 1)*30</f>
        <v>0</v>
      </c>
      <c r="AX259">
        <f>MIN(K259/4000, 1)*20</f>
        <v>0</v>
      </c>
      <c r="AY259">
        <f>MIN(W259/400,1)*20</f>
        <v>0</v>
      </c>
      <c r="AZ259" s="4">
        <v>1</v>
      </c>
      <c r="BA259">
        <f>((MAX($J259,1)*MIN($AE259/300,1)))*IF(D259="Wagon",50,10)</f>
        <v>0</v>
      </c>
      <c r="BB259">
        <f>VLOOKUP($E259,Constants!$I:$K, 2, FALSE)</f>
        <v>1</v>
      </c>
      <c r="BC259">
        <f>VLOOKUP($E259,Constants!$I:$K, 3, FALSE)*IF(AND(D259="multiple_unit",Y259&lt;110),0.75,1)</f>
        <v>0.45</v>
      </c>
      <c r="BD259">
        <f>INT(POWER(((Constants!$G$2+$AW259+$AX259+$AY259+$BA259)*$AZ259)*$BC259, 1.05))+$AV259</f>
        <v>2</v>
      </c>
      <c r="BE259">
        <f>INT(POWER((((Constants!$G$1+$AW259+$AX259+$AY259+$BA259)*(1/$AZ259))*$BB259),IF($D259="wagon",1,1.2)))+$AU259</f>
        <v>25</v>
      </c>
      <c r="BF259" s="15">
        <f>BD259*IF($D259="wagon",62.5,781.25)</f>
        <v>1562.5</v>
      </c>
      <c r="BG259" s="15">
        <f>BE259*IF($D259="wagon",2.73,81.25)</f>
        <v>2031.25</v>
      </c>
      <c r="BP259">
        <v>7</v>
      </c>
      <c r="BT259" t="e">
        <f>VLOOKUP(G259,Eras!$A$2:$C$10, 2, TRUE)</f>
        <v>#N/A</v>
      </c>
      <c r="BV259" t="e">
        <f>CONCATENATE(BT259,"_",BU259)</f>
        <v>#N/A</v>
      </c>
      <c r="BW259" t="str">
        <f>IF(AND(BI259&lt;&gt;Y259,BI259&lt;&gt;""),_xlfn.CONCAT("{BLACK}","Tare speed: ","{GOLD}{VELOCITY}{}"), "")</f>
        <v/>
      </c>
      <c r="BX259" t="str">
        <f>_xlfn.CONCAT(E259, "_",F259)</f>
        <v>wagon_RAIL</v>
      </c>
      <c r="BY259" t="str">
        <f>VLOOKUP($BX259, Constants!$M:$N, 2, FALSE)</f>
        <v/>
      </c>
      <c r="BZ259" t="str">
        <f>IF(J259&gt;1,_xlfn.CONCAT("{BLACK}Cars: {GOLD}", J259),"")</f>
        <v/>
      </c>
      <c r="CB259" t="str">
        <f>IF(BS259="BRAKE","{YELLOW}Speed bonus for slow wagons{}",IF(BQ259&gt;190,CONCATENATE("{YELLOW}",INT((BQ259-185)/1.85),"% Bonus for long distance travel{}"),IF(AND(BQ259&lt;180,BQ259&lt;&gt;0),CONCATENATE("{YELLOW}",INT((185-BQ259)/1.85),"% Penalty for long distance travel{}"),"")))</f>
        <v/>
      </c>
      <c r="CC259" t="str">
        <f>_xlfn.CONCAT(BW259,BY259,IF(BY259 &lt;&gt; "", " ", ""),BZ259,IF(OR(BZ259&lt;&gt;"", BY259&lt;&gt;""), "{}",""), CB259,"{SILVER}", CA259)</f>
        <v>{SILVER}</v>
      </c>
    </row>
    <row r="260" spans="1:81" x14ac:dyDescent="0.25">
      <c r="A260" t="s">
        <v>694</v>
      </c>
      <c r="B260" t="s">
        <v>693</v>
      </c>
      <c r="D260" t="s">
        <v>168</v>
      </c>
      <c r="E260" t="s">
        <v>336</v>
      </c>
      <c r="F260" t="s">
        <v>337</v>
      </c>
      <c r="X260" s="4" t="str">
        <f>IF(AND(T260&gt;0,W260&gt;0),(W260/((T260+U260)*10)),"")</f>
        <v/>
      </c>
      <c r="AF260" t="str">
        <f>CONCATENATE(VLOOKUP(AG260, 'Voxel Sizes'!$A$2:$B$18,2,FALSE),"x",INT(AC260*15), "x", INT(AD260*15))</f>
        <v>0x0x0</v>
      </c>
      <c r="AG260">
        <f>ROUND(15*((AB260*10)/256),0)</f>
        <v>0</v>
      </c>
      <c r="AI260" t="str">
        <f>CONCATENATE(VLOOKUP(AG260,Constants!$A$2:$C$16,IF(AH260&lt;&gt;"", 3, 2), FALSE),IF(AH260&lt;&gt;"",CONCATENATE(",",VLOOKUP(AH260,$B:$AI,34,FALSE)),""))</f>
        <v>na</v>
      </c>
      <c r="AS260">
        <v>30</v>
      </c>
      <c r="AT260" t="str">
        <f>IF(I260&lt;&gt;"",MAX(8,(I260-G260)-4),"")</f>
        <v/>
      </c>
      <c r="AW260">
        <f>MIN(Y260/150, 1)*30</f>
        <v>0</v>
      </c>
      <c r="AX260">
        <f>MIN(K260/4000, 1)*20</f>
        <v>0</v>
      </c>
      <c r="AY260">
        <f>MIN(W260/400,1)*20</f>
        <v>0</v>
      </c>
      <c r="AZ260" s="4">
        <v>1</v>
      </c>
      <c r="BA260">
        <f>((MAX($J260,1)*MIN($AE260/300,1)))*IF(D260="Wagon",50,10)</f>
        <v>0</v>
      </c>
      <c r="BB260">
        <f>VLOOKUP($E260,Constants!$I:$K, 2, FALSE)</f>
        <v>0.85</v>
      </c>
      <c r="BC260">
        <f>VLOOKUP($E260,Constants!$I:$K, 3, FALSE)*IF(AND(D260="multiple_unit",Y260&lt;110),0.75,1)</f>
        <v>2.2999999999999998</v>
      </c>
      <c r="BD260">
        <f>INT(POWER(((Constants!$G$2+$AW260+$AX260+$AY260+$BA260)*$AZ260)*$BC260, 1.05))+$AV260</f>
        <v>12</v>
      </c>
      <c r="BE260">
        <f>INT(POWER((((Constants!$G$1+$AW260+$AX260+$AY260+$BA260)*(1/$AZ260))*$BB260),IF($D260="wagon",1,1.2)))+$AU260</f>
        <v>21</v>
      </c>
      <c r="BF260" s="15">
        <f>BD260*IF($D260="wagon",62.5,781.25)</f>
        <v>9375</v>
      </c>
      <c r="BG260" s="15">
        <f>BE260*IF($D260="wagon",2.73,81.25)</f>
        <v>1706.25</v>
      </c>
      <c r="BP260">
        <v>8</v>
      </c>
      <c r="BT260" t="e">
        <f>VLOOKUP(G260,Eras!$A$2:$C$10, 2, TRUE)</f>
        <v>#N/A</v>
      </c>
      <c r="BV260" t="e">
        <f>CONCATENATE(BT260,"_",BU260)</f>
        <v>#N/A</v>
      </c>
      <c r="BW260" t="str">
        <f>IF(AND(BI260&lt;&gt;Y260,BI260&lt;&gt;""),_xlfn.CONCAT("{BLACK}","Tare speed: ","{GOLD}{VELOCITY}{}"), "")</f>
        <v/>
      </c>
      <c r="BX260" t="str">
        <f>_xlfn.CONCAT(E260, "_",F260)</f>
        <v>electric_ELRL</v>
      </c>
      <c r="BY260" t="str">
        <f>VLOOKUP($BX260, Constants!$M:$N, 2, FALSE)</f>
        <v>{BLACK}Powered by: {GOLD}25kV AC</v>
      </c>
      <c r="BZ260" t="str">
        <f>IF(J260&gt;1,_xlfn.CONCAT("{BLACK}Cars: {GOLD}", J260),"")</f>
        <v/>
      </c>
      <c r="CB260" t="str">
        <f>IF(BS260="BRAKE","{YELLOW}Speed bonus for slow wagons{}",IF(BQ260&gt;190,CONCATENATE("{YELLOW}",INT((BQ260-185)/1.85),"% Bonus for long distance travel{}"),IF(AND(BQ260&lt;180,BQ260&lt;&gt;0),CONCATENATE("{YELLOW}",INT((185-BQ260)/1.85),"% Penalty for long distance travel{}"),"")))</f>
        <v/>
      </c>
      <c r="CC260" t="str">
        <f>_xlfn.CONCAT(BW260,BY260,IF(BY260 &lt;&gt; "", " ", ""),BZ260,IF(OR(BZ260&lt;&gt;"", BY260&lt;&gt;""), "{}",""), CB260,"{SILVER}", CA260)</f>
        <v>{BLACK}Powered by: {GOLD}25kV AC {}{SILVER}</v>
      </c>
    </row>
    <row r="261" spans="1:81" x14ac:dyDescent="0.25">
      <c r="A261" t="s">
        <v>1325</v>
      </c>
      <c r="B261" t="s">
        <v>1326</v>
      </c>
      <c r="C261">
        <v>514</v>
      </c>
      <c r="D261" t="s">
        <v>444</v>
      </c>
      <c r="E261" t="s">
        <v>336</v>
      </c>
      <c r="F261" t="s">
        <v>337</v>
      </c>
      <c r="G261">
        <v>2017</v>
      </c>
      <c r="J261">
        <v>9</v>
      </c>
      <c r="K261">
        <v>1900</v>
      </c>
      <c r="T261">
        <v>264</v>
      </c>
      <c r="V261">
        <f>10*J261</f>
        <v>90</v>
      </c>
      <c r="W261">
        <v>220</v>
      </c>
      <c r="X261" s="4">
        <f>IF(AND(T261&gt;0,W261&gt;0),(W261/((T261+U261)*10)),"")</f>
        <v>8.3333333333333329E-2</v>
      </c>
      <c r="Y261">
        <v>90</v>
      </c>
      <c r="AA261">
        <v>22.7</v>
      </c>
      <c r="AB261">
        <v>22.7</v>
      </c>
      <c r="AE261" s="11">
        <v>78</v>
      </c>
      <c r="AF261" t="str">
        <f>CONCATENATE(VLOOKUP(AG261, 'Voxel Sizes'!$A$2:$B$18,2,FALSE),"x",INT(AC261*15), "x", INT(AD261*15))</f>
        <v>214x0x0</v>
      </c>
      <c r="AG261">
        <f>ROUND(15*((AB261*10)/256),0)</f>
        <v>13</v>
      </c>
      <c r="AI261" t="str">
        <f>CONCATENATE(VLOOKUP(AG261,Constants!$A$2:$C$16,IF(AH261&lt;&gt;"", 3, 2), FALSE),IF(AH261&lt;&gt;"",CONCATENATE(",",VLOOKUP(AH261,$B:$AI,34,FALSE)),""))</f>
        <v>4,5,4</v>
      </c>
      <c r="AM261" t="s">
        <v>1346</v>
      </c>
      <c r="AO261" t="s">
        <v>1347</v>
      </c>
      <c r="AS261">
        <v>30</v>
      </c>
      <c r="AT261" t="str">
        <f>IF(I261&lt;&gt;"",MAX(8,(I261-G261)-4),"")</f>
        <v/>
      </c>
      <c r="AU261">
        <v>-19</v>
      </c>
      <c r="AV261">
        <v>-22</v>
      </c>
      <c r="AW261">
        <f>MIN(Y261/150, 1)*30</f>
        <v>18</v>
      </c>
      <c r="AX261">
        <f>MIN(K261/4000, 1)*20</f>
        <v>9.5</v>
      </c>
      <c r="AY261">
        <f>MIN(W261/400,1)*20</f>
        <v>11</v>
      </c>
      <c r="AZ261" s="4">
        <v>1</v>
      </c>
      <c r="BA261">
        <f>((MAX($J261,1)*MIN($AE261/300,1)))*IF(D261="Wagon",50,10)</f>
        <v>23.4</v>
      </c>
      <c r="BB261">
        <f>VLOOKUP($E261,Constants!$I:$K, 2, FALSE)</f>
        <v>0.85</v>
      </c>
      <c r="BC261">
        <f>VLOOKUP($E261,Constants!$I:$K, 3, FALSE)*IF(AND(D261="multiple_unit",Y261&lt;110),0.75,1)</f>
        <v>1.7249999999999999</v>
      </c>
      <c r="BD261">
        <f>INT(POWER(((Constants!$G$2+$AW261+$AX261+$AY261+$BA261)*$AZ261)*$BC261, 1.05))+$AV261</f>
        <v>124</v>
      </c>
      <c r="BE261">
        <f>INT(POWER((((Constants!$G$1+$AW261+$AX261+$AY261+$BA261)*(1/$AZ261))*$BB261),IF($D261="wagon",1,1.2)))+$AU261</f>
        <v>131</v>
      </c>
      <c r="BF261" s="15">
        <f>BD261*IF($D261="wagon",62.5,781.25)</f>
        <v>96875</v>
      </c>
      <c r="BG261" s="15">
        <f>BE261*IF($D261="wagon",2.73,81.25)</f>
        <v>10643.75</v>
      </c>
      <c r="BP261">
        <v>1</v>
      </c>
      <c r="BQ261">
        <v>165</v>
      </c>
      <c r="BS261" t="s">
        <v>323</v>
      </c>
      <c r="BT261" t="str">
        <f>VLOOKUP(G261,Eras!$A$2:$C$10, 2, TRUE)</f>
        <v>mod</v>
      </c>
      <c r="BU261" t="s">
        <v>373</v>
      </c>
      <c r="BV261" t="str">
        <f>CONCATENATE(BT261,"_",BU261)</f>
        <v>mod_EMU</v>
      </c>
      <c r="BW261" t="str">
        <f>IF(AND(BI261&lt;&gt;Y261,BI261&lt;&gt;""),_xlfn.CONCAT("{BLACK}","Tare speed: ","{GOLD}{VELOCITY}{}"), "")</f>
        <v/>
      </c>
      <c r="BX261" t="str">
        <f>_xlfn.CONCAT(E261, "_",F261)</f>
        <v>electric_ELRL</v>
      </c>
      <c r="BY261" t="str">
        <f>VLOOKUP($BX261, Constants!$M:$N, 2, FALSE)</f>
        <v>{BLACK}Powered by: {GOLD}25kV AC</v>
      </c>
      <c r="BZ261" t="str">
        <f>IF(J261&gt;1,_xlfn.CONCAT("{BLACK}Cars: {GOLD}", J261),"")</f>
        <v>{BLACK}Cars: {GOLD}9</v>
      </c>
      <c r="CA261" t="s">
        <v>1348</v>
      </c>
      <c r="CB261" t="str">
        <f>IF(BS261="BRAKE","{YELLOW}Speed bonus for slow wagons{}",IF(BQ261&gt;190,CONCATENATE("{YELLOW}",INT((BQ261-185)/1.85),"% Bonus for long distance travel{}"),IF(AND(BQ261&lt;180,BQ261&lt;&gt;0),CONCATENATE("{YELLOW}",INT((185-BQ261)/1.85),"% Penalty for long distance travel{}"),"")))</f>
        <v>{YELLOW}10% Penalty for long distance travel{}</v>
      </c>
      <c r="CC261" t="str">
        <f>_xlfn.CONCAT(BW261,BY261,IF(BY261 &lt;&gt; "", " ", ""),BZ261,IF(OR(BZ261&lt;&gt;"", BY261&lt;&gt;""), "{}",""), CB261,"{SILVER}", CA261)</f>
        <v>{BLACK}Powered by: {GOLD}25kV AC {BLACK}Cars: {GOLD}9{}{YELLOW}10% Penalty for long distance travel{}{SILVER}Designed for London's Crossrail route, the Class 345 entered service on TfL Rail between Liverpool Street and Shenfield.</v>
      </c>
    </row>
    <row r="262" spans="1:81" x14ac:dyDescent="0.25">
      <c r="A262" t="s">
        <v>1327</v>
      </c>
      <c r="B262" t="s">
        <v>1328</v>
      </c>
      <c r="C262">
        <v>516</v>
      </c>
      <c r="D262" t="s">
        <v>444</v>
      </c>
      <c r="E262" t="s">
        <v>596</v>
      </c>
      <c r="F262" t="s">
        <v>595</v>
      </c>
      <c r="G262">
        <v>2019</v>
      </c>
      <c r="J262">
        <v>4</v>
      </c>
      <c r="K262">
        <v>1800</v>
      </c>
      <c r="L262" s="9">
        <v>1600</v>
      </c>
      <c r="T262">
        <v>151</v>
      </c>
      <c r="V262">
        <f>9*J262</f>
        <v>36</v>
      </c>
      <c r="W262">
        <v>160</v>
      </c>
      <c r="X262" s="4">
        <f>IF(AND(T262&gt;0,W262&gt;0),(W262/((T262+U262)*10)),"")</f>
        <v>0.10596026490066225</v>
      </c>
      <c r="Y262">
        <v>75</v>
      </c>
      <c r="AA262">
        <v>21.44</v>
      </c>
      <c r="AB262">
        <v>21.4</v>
      </c>
      <c r="AE262" s="11">
        <v>78</v>
      </c>
      <c r="AF262" t="str">
        <f>CONCATENATE(VLOOKUP(AG262, 'Voxel Sizes'!$A$2:$B$18,2,FALSE),"x",INT(AC262*15), "x", INT(AD262*15))</f>
        <v>214x0x0</v>
      </c>
      <c r="AG262">
        <f>ROUND(15*((AB262*10)/256),0)</f>
        <v>13</v>
      </c>
      <c r="AI262" t="str">
        <f>CONCATENATE(VLOOKUP(AG262,Constants!$A$2:$C$16,IF(AH262&lt;&gt;"", 3, 2), FALSE),IF(AH262&lt;&gt;"",CONCATENATE(",",VLOOKUP(AH262,$B:$AI,34,FALSE)),""))</f>
        <v>4,5,4</v>
      </c>
      <c r="AM262" t="s">
        <v>1349</v>
      </c>
      <c r="AN262" t="s">
        <v>1350</v>
      </c>
      <c r="AO262" t="s">
        <v>599</v>
      </c>
      <c r="AS262">
        <v>30</v>
      </c>
      <c r="AT262" t="str">
        <f>IF(I262&lt;&gt;"",MAX(8,(I262-G262)-4),"")</f>
        <v/>
      </c>
      <c r="AU262">
        <v>-19</v>
      </c>
      <c r="AV262">
        <v>-25</v>
      </c>
      <c r="AW262">
        <f>MIN(Y262/150, 1)*30</f>
        <v>15</v>
      </c>
      <c r="AX262">
        <f>MIN(K262/4000, 1)*20</f>
        <v>9</v>
      </c>
      <c r="AY262">
        <f>MIN(W262/400,1)*20</f>
        <v>8</v>
      </c>
      <c r="AZ262" s="4">
        <v>1</v>
      </c>
      <c r="BA262">
        <f>((MAX($J262,1)*MIN($AE262/300,1)))*IF(D262="Wagon",50,10)</f>
        <v>10.4</v>
      </c>
      <c r="BB262">
        <f>VLOOKUP($E262,Constants!$I:$K, 2, FALSE)</f>
        <v>0.85</v>
      </c>
      <c r="BC262">
        <f>VLOOKUP($E262,Constants!$I:$K, 3, FALSE)*IF(AND(D262="multiple_unit",Y262&lt;110),0.75,1)</f>
        <v>1.7999999999999998</v>
      </c>
      <c r="BD262">
        <f>INT(POWER(((Constants!$G$2+$AW262+$AX262+$AY262+$BA262)*$AZ262)*$BC262, 1.05))+$AV262</f>
        <v>81</v>
      </c>
      <c r="BE262">
        <f>INT(POWER((((Constants!$G$1+$AW262+$AX262+$AY262+$BA262)*(1/$AZ262))*$BB262),IF($D262="wagon",1,1.2)))+$AU262</f>
        <v>87</v>
      </c>
      <c r="BF262" s="15">
        <f>BD262*IF($D262="wagon",62.5,781.25)</f>
        <v>63281.25</v>
      </c>
      <c r="BG262" s="15">
        <f>BE262*IF($D262="wagon",2.73,81.25)</f>
        <v>7068.75</v>
      </c>
      <c r="BP262">
        <v>2</v>
      </c>
      <c r="BQ262">
        <v>165</v>
      </c>
      <c r="BS262" t="s">
        <v>323</v>
      </c>
      <c r="BT262" t="str">
        <f>VLOOKUP(G262,Eras!$A$2:$C$10, 2, TRUE)</f>
        <v>mod</v>
      </c>
      <c r="BU262" t="s">
        <v>373</v>
      </c>
      <c r="BV262" t="str">
        <f>CONCATENATE(BT262,"_",BU262)</f>
        <v>mod_EMU</v>
      </c>
      <c r="BW262" t="str">
        <f>IF(AND(BI262&lt;&gt;Y262,BI262&lt;&gt;""),_xlfn.CONCAT("{BLACK}","Tare speed: ","{GOLD}{VELOCITY}{}"), "")</f>
        <v/>
      </c>
      <c r="BX262" t="str">
        <f>_xlfn.CONCAT(E262, "_",F262)</f>
        <v>dual_electric_DUAL_POWER</v>
      </c>
      <c r="BY262" t="str">
        <f>VLOOKUP($BX262, Constants!$M:$N, 2, FALSE)</f>
        <v>{BLACK}Powered by: {GOLD}25kV AC / 750V DC</v>
      </c>
      <c r="BZ262" t="str">
        <f>IF(J262&gt;1,_xlfn.CONCAT("{BLACK}Cars: {GOLD}", J262),"")</f>
        <v>{BLACK}Cars: {GOLD}4</v>
      </c>
      <c r="CA262" t="s">
        <v>1351</v>
      </c>
      <c r="CB262" t="str">
        <f>IF(BS262="BRAKE","{YELLOW}Speed bonus for slow wagons{}",IF(BQ262&gt;190,CONCATENATE("{YELLOW}",INT((BQ262-185)/1.85),"% Bonus for long distance travel{}"),IF(AND(BQ262&lt;180,BQ262&lt;&gt;0),CONCATENATE("{YELLOW}",INT((185-BQ262)/1.85),"% Penalty for long distance travel{}"),"")))</f>
        <v>{YELLOW}10% Penalty for long distance travel{}</v>
      </c>
      <c r="CC262" t="str">
        <f>_xlfn.CONCAT(BW262,BY262,IF(BY262 &lt;&gt; "", " ", ""),BZ262,IF(OR(BZ262&lt;&gt;"", BY262&lt;&gt;""), "{}",""), CB262,"{SILVER}", CA262)</f>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63" spans="1:81" x14ac:dyDescent="0.25">
      <c r="A263" t="s">
        <v>1329</v>
      </c>
      <c r="B263" t="s">
        <v>1330</v>
      </c>
      <c r="C263">
        <v>513</v>
      </c>
      <c r="D263" t="s">
        <v>168</v>
      </c>
      <c r="E263" t="s">
        <v>336</v>
      </c>
      <c r="F263" t="s">
        <v>337</v>
      </c>
      <c r="G263">
        <v>2016</v>
      </c>
      <c r="J263">
        <v>8</v>
      </c>
      <c r="X263" s="4" t="str">
        <f>IF(AND(T263&gt;0,W263&gt;0),(W263/((T263+U263)*10)),"")</f>
        <v/>
      </c>
      <c r="Y263">
        <v>100</v>
      </c>
      <c r="AF263" t="str">
        <f>CONCATENATE(VLOOKUP(AG263, 'Voxel Sizes'!$A$2:$B$18,2,FALSE),"x",INT(AC263*15), "x", INT(AD263*15))</f>
        <v>0x0x0</v>
      </c>
      <c r="AG263">
        <f>ROUND(15*((AB263*10)/256),0)</f>
        <v>0</v>
      </c>
      <c r="AI263" t="str">
        <f>CONCATENATE(VLOOKUP(AG263,Constants!$A$2:$C$16,IF(AH263&lt;&gt;"", 3, 2), FALSE),IF(AH263&lt;&gt;"",CONCATENATE(",",VLOOKUP(AH263,$B:$AI,34,FALSE)),""))</f>
        <v>na</v>
      </c>
      <c r="AS263">
        <v>30</v>
      </c>
      <c r="AT263" t="str">
        <f>IF(I263&lt;&gt;"",MAX(8,(I263-G263)-4),"")</f>
        <v/>
      </c>
      <c r="AU263">
        <v>-15</v>
      </c>
      <c r="AV263">
        <v>-30</v>
      </c>
      <c r="AW263">
        <f>MIN(Y263/150, 1)*30</f>
        <v>20</v>
      </c>
      <c r="AX263">
        <f>MIN(K263/4000, 1)*20</f>
        <v>0</v>
      </c>
      <c r="AY263">
        <f>MIN(W263/400,1)*20</f>
        <v>0</v>
      </c>
      <c r="AZ263" s="4">
        <v>1</v>
      </c>
      <c r="BA263">
        <f>((MAX($J263,1)*MIN($AE263/300,1)))*IF(D263="Wagon",50,10)</f>
        <v>0</v>
      </c>
      <c r="BB263">
        <f>VLOOKUP($E263,Constants!$I:$K, 2, FALSE)</f>
        <v>0.85</v>
      </c>
      <c r="BC263">
        <f>VLOOKUP($E263,Constants!$I:$K, 3, FALSE)*IF(AND(D263="multiple_unit",Y263&lt;110),0.75,1)</f>
        <v>2.2999999999999998</v>
      </c>
      <c r="BD263">
        <f>INT(POWER(((Constants!$G$2+$AW263+$AX263+$AY263+$BA263)*$AZ263)*$BC263, 1.05))+$AV263</f>
        <v>40</v>
      </c>
      <c r="BE263">
        <f>INT(POWER((((Constants!$G$1+$AW263+$AX263+$AY263+$BA263)*(1/$AZ263))*$BB263),IF($D263="wagon",1,1.2)))+$AU263</f>
        <v>43</v>
      </c>
      <c r="BF263" s="15">
        <f>BD263*IF($D263="wagon",62.5,781.25)</f>
        <v>31250</v>
      </c>
      <c r="BG263" s="15">
        <f>BE263*IF($D263="wagon",2.73,81.25)</f>
        <v>3493.75</v>
      </c>
      <c r="BP263">
        <v>3</v>
      </c>
      <c r="BT263" t="str">
        <f>VLOOKUP(G263,Eras!$A$2:$C$10, 2, TRUE)</f>
        <v>mod</v>
      </c>
      <c r="BV263" t="str">
        <f>CONCATENATE(BT263,"_",BU263)</f>
        <v>mod_</v>
      </c>
      <c r="BW263" t="str">
        <f>IF(AND(BI263&lt;&gt;Y263,BI263&lt;&gt;""),_xlfn.CONCAT("{BLACK}","Tare speed: ","{GOLD}{VELOCITY}{}"), "")</f>
        <v/>
      </c>
      <c r="BX263" t="str">
        <f>_xlfn.CONCAT(E263, "_",F263)</f>
        <v>electric_ELRL</v>
      </c>
      <c r="BY263" t="str">
        <f>VLOOKUP($BX263, Constants!$M:$N, 2, FALSE)</f>
        <v>{BLACK}Powered by: {GOLD}25kV AC</v>
      </c>
      <c r="BZ263" t="str">
        <f>IF(J263&gt;1,_xlfn.CONCAT("{BLACK}Cars: {GOLD}", J263),"")</f>
        <v>{BLACK}Cars: {GOLD}8</v>
      </c>
      <c r="CB263" t="str">
        <f>IF(BS263="BRAKE","{YELLOW}Speed bonus for slow wagons{}",IF(BQ263&gt;190,CONCATENATE("{YELLOW}",INT((BQ263-185)/1.85),"% Bonus for long distance travel{}"),IF(AND(BQ263&lt;180,BQ263&lt;&gt;0),CONCATENATE("{YELLOW}",INT((185-BQ263)/1.85),"% Penalty for long distance travel{}"),"")))</f>
        <v/>
      </c>
      <c r="CC263" t="str">
        <f>_xlfn.CONCAT(BW263,BY263,IF(BY263 &lt;&gt; "", " ", ""),BZ263,IF(OR(BZ263&lt;&gt;"", BY263&lt;&gt;""), "{}",""), CB263,"{SILVER}", CA263)</f>
        <v>{BLACK}Powered by: {GOLD}25kV AC {BLACK}Cars: {GOLD}8{}{SILVER}</v>
      </c>
    </row>
    <row r="264" spans="1:81" x14ac:dyDescent="0.25">
      <c r="A264" t="s">
        <v>1331</v>
      </c>
      <c r="B264" t="s">
        <v>1332</v>
      </c>
      <c r="C264">
        <v>515</v>
      </c>
      <c r="D264" t="s">
        <v>168</v>
      </c>
      <c r="E264" t="s">
        <v>336</v>
      </c>
      <c r="F264" t="s">
        <v>337</v>
      </c>
      <c r="G264">
        <v>2017</v>
      </c>
      <c r="J264">
        <v>5</v>
      </c>
      <c r="X264" s="4" t="str">
        <f>IF(AND(T264&gt;0,W264&gt;0),(W264/((T264+U264)*10)),"")</f>
        <v/>
      </c>
      <c r="Y264">
        <v>100</v>
      </c>
      <c r="AF264" t="str">
        <f>CONCATENATE(VLOOKUP(AG264, 'Voxel Sizes'!$A$2:$B$18,2,FALSE),"x",INT(AC264*15), "x", INT(AD264*15))</f>
        <v>0x0x0</v>
      </c>
      <c r="AG264">
        <f>ROUND(15*((AB264*10)/256),0)</f>
        <v>0</v>
      </c>
      <c r="AI264" t="str">
        <f>CONCATENATE(VLOOKUP(AG264,Constants!$A$2:$C$16,IF(AH264&lt;&gt;"", 3, 2), FALSE),IF(AH264&lt;&gt;"",CONCATENATE(",",VLOOKUP(AH264,$B:$AI,34,FALSE)),""))</f>
        <v>na</v>
      </c>
      <c r="AS264">
        <v>30</v>
      </c>
      <c r="AT264" t="str">
        <f>IF(I264&lt;&gt;"",MAX(8,(I264-G264)-4),"")</f>
        <v/>
      </c>
      <c r="AU264">
        <v>-15</v>
      </c>
      <c r="AV264">
        <v>-30</v>
      </c>
      <c r="AW264">
        <f>MIN(Y264/150, 1)*30</f>
        <v>20</v>
      </c>
      <c r="AX264">
        <f>MIN(K264/4000, 1)*20</f>
        <v>0</v>
      </c>
      <c r="AY264">
        <f>MIN(W264/400,1)*20</f>
        <v>0</v>
      </c>
      <c r="AZ264" s="4">
        <v>1</v>
      </c>
      <c r="BA264">
        <f>((MAX($J264,1)*MIN($AE264/300,1)))*IF(D264="Wagon",50,10)</f>
        <v>0</v>
      </c>
      <c r="BB264">
        <f>VLOOKUP($E264,Constants!$I:$K, 2, FALSE)</f>
        <v>0.85</v>
      </c>
      <c r="BC264">
        <f>VLOOKUP($E264,Constants!$I:$K, 3, FALSE)*IF(AND(D264="multiple_unit",Y264&lt;110),0.75,1)</f>
        <v>2.2999999999999998</v>
      </c>
      <c r="BD264">
        <f>INT(POWER(((Constants!$G$2+$AW264+$AX264+$AY264+$BA264)*$AZ264)*$BC264, 1.05))+$AV264</f>
        <v>40</v>
      </c>
      <c r="BE264">
        <f>INT(POWER((((Constants!$G$1+$AW264+$AX264+$AY264+$BA264)*(1/$AZ264))*$BB264),IF($D264="wagon",1,1.2)))+$AU264</f>
        <v>43</v>
      </c>
      <c r="BF264" s="15">
        <f>BD264*IF($D264="wagon",62.5,781.25)</f>
        <v>31250</v>
      </c>
      <c r="BG264" s="15">
        <f>BE264*IF($D264="wagon",2.73,81.25)</f>
        <v>3493.75</v>
      </c>
      <c r="BP264">
        <v>4</v>
      </c>
      <c r="BT264" t="str">
        <f>VLOOKUP(G264,Eras!$A$2:$C$10, 2, TRUE)</f>
        <v>mod</v>
      </c>
      <c r="BV264" t="str">
        <f>CONCATENATE(BT264,"_",BU264)</f>
        <v>mod_</v>
      </c>
      <c r="BW264" t="str">
        <f>IF(AND(BI264&lt;&gt;Y264,BI264&lt;&gt;""),_xlfn.CONCAT("{BLACK}","Tare speed: ","{GOLD}{VELOCITY}{}"), "")</f>
        <v/>
      </c>
      <c r="BX264" t="str">
        <f>_xlfn.CONCAT(E264, "_",F264)</f>
        <v>electric_ELRL</v>
      </c>
      <c r="BY264" t="str">
        <f>VLOOKUP($BX264, Constants!$M:$N, 2, FALSE)</f>
        <v>{BLACK}Powered by: {GOLD}25kV AC</v>
      </c>
      <c r="BZ264" t="str">
        <f>IF(J264&gt;1,_xlfn.CONCAT("{BLACK}Cars: {GOLD}", J264),"")</f>
        <v>{BLACK}Cars: {GOLD}5</v>
      </c>
      <c r="CB264" t="str">
        <f>IF(BS264="BRAKE","{YELLOW}Speed bonus for slow wagons{}",IF(BQ264&gt;190,CONCATENATE("{YELLOW}",INT((BQ264-185)/1.85),"% Bonus for long distance travel{}"),IF(AND(BQ264&lt;180,BQ264&lt;&gt;0),CONCATENATE("{YELLOW}",INT((185-BQ264)/1.85),"% Penalty for long distance travel{}"),"")))</f>
        <v/>
      </c>
      <c r="CC264" t="str">
        <f>_xlfn.CONCAT(BW264,BY264,IF(BY264 &lt;&gt; "", " ", ""),BZ264,IF(OR(BZ264&lt;&gt;"", BY264&lt;&gt;""), "{}",""), CB264,"{SILVER}", CA264)</f>
        <v>{BLACK}Powered by: {GOLD}25kV AC {BLACK}Cars: {GOLD}5{}{SILVER}</v>
      </c>
    </row>
    <row r="265" spans="1:81" x14ac:dyDescent="0.25">
      <c r="A265" t="s">
        <v>712</v>
      </c>
      <c r="B265" t="s">
        <v>715</v>
      </c>
      <c r="D265" t="s">
        <v>168</v>
      </c>
      <c r="E265" t="s">
        <v>336</v>
      </c>
      <c r="F265" t="s">
        <v>343</v>
      </c>
      <c r="AF265" t="str">
        <f>CONCATENATE(VLOOKUP(AG265, 'Voxel Sizes'!$A$2:$B$18,2,FALSE),"x",INT(AC265*15), "x", INT(AD265*15))</f>
        <v>0x0x0</v>
      </c>
      <c r="AG265">
        <f>ROUND(15*((AB265*10)/256),0)</f>
        <v>0</v>
      </c>
      <c r="AI265" t="str">
        <f>CONCATENATE(VLOOKUP(AG265,Constants!$A$2:$C$16,IF(AH265&lt;&gt;"", 3, 2), FALSE),IF(AH265&lt;&gt;"",CONCATENATE(",",VLOOKUP(AH265,$B:$AI,34,FALSE)),""))</f>
        <v>na</v>
      </c>
      <c r="AS265">
        <v>30</v>
      </c>
      <c r="AT265" t="str">
        <f>IF(I265&lt;&gt;"",MAX(8,(I265-G265)-4),"")</f>
        <v/>
      </c>
      <c r="AW265">
        <f>MIN(Y265/150, 1)*30</f>
        <v>0</v>
      </c>
      <c r="AX265">
        <f>MIN(K265/4000, 1)*20</f>
        <v>0</v>
      </c>
      <c r="AY265">
        <f>MIN(W265/400,1)*20</f>
        <v>0</v>
      </c>
      <c r="AZ265" s="4">
        <v>1</v>
      </c>
      <c r="BA265">
        <f>((MAX($J265,1)*MIN($AE265/300,1)))*IF(D265="Wagon",50,10)</f>
        <v>0</v>
      </c>
      <c r="BB265">
        <f>VLOOKUP($E265,Constants!$I:$K, 2, FALSE)</f>
        <v>0.85</v>
      </c>
      <c r="BC265">
        <f>VLOOKUP($E265,Constants!$I:$K, 3, FALSE)*IF(AND(D265="multiple_unit",Y265&lt;110),0.75,1)</f>
        <v>2.2999999999999998</v>
      </c>
      <c r="BD265">
        <f>INT(POWER(((Constants!$G$2+$AW265+$AX265+$AY265+$BA265)*$AZ265)*$BC265, 1.05))+$AV265</f>
        <v>12</v>
      </c>
      <c r="BE265">
        <f>INT(POWER((((Constants!$G$1+$AW265+$AX265+$AY265+$BA265)*(1/$AZ265))*$BB265),IF($D265="wagon",1,1.2)))+$AU265</f>
        <v>21</v>
      </c>
      <c r="BF265" s="15">
        <f>BD265*IF($D265="wagon",62.5,781.25)</f>
        <v>9375</v>
      </c>
      <c r="BG265" s="15">
        <f>BE265*IF($D265="wagon",2.73,81.25)</f>
        <v>1706.25</v>
      </c>
      <c r="BP265">
        <v>1</v>
      </c>
      <c r="BT265" t="e">
        <f>VLOOKUP(G265,Eras!$A$2:$C$10, 2, TRUE)</f>
        <v>#N/A</v>
      </c>
      <c r="BV265" t="e">
        <f>CONCATENATE(BT265,"_",BU265)</f>
        <v>#N/A</v>
      </c>
      <c r="BW265" t="str">
        <f>IF(AND(BI265&lt;&gt;Y265,BI265&lt;&gt;""),_xlfn.CONCAT("{BLACK}","Tare speed: ","{GOLD}{VELOCITY}{}"), "")</f>
        <v/>
      </c>
      <c r="BX265" t="str">
        <f>_xlfn.CONCAT(E265, "_",F265)</f>
        <v>electric_THIRD_RAIL</v>
      </c>
      <c r="BY265" t="str">
        <f>VLOOKUP($BX265, Constants!$M:$N, 2, FALSE)</f>
        <v>{BLACK}Powered by: {GOLD}750V DC</v>
      </c>
      <c r="BZ265" t="str">
        <f>IF(J265&gt;1,_xlfn.CONCAT("{BLACK}Cars: {GOLD}", J265),"")</f>
        <v/>
      </c>
      <c r="CB265" t="str">
        <f>IF(BS265="BRAKE","{YELLOW}Speed bonus for slow wagons{}",IF(BQ265&gt;190,CONCATENATE("{YELLOW}",INT((BQ265-185)/1.85),"% Bonus for long distance travel{}"),IF(AND(BQ265&lt;180,BQ265&lt;&gt;0),CONCATENATE("{YELLOW}",INT((185-BQ265)/1.85),"% Penalty for long distance travel{}"),"")))</f>
        <v/>
      </c>
      <c r="CC265" t="str">
        <f>_xlfn.CONCAT(BW265,BY265,IF(BY265 &lt;&gt; "", " ", ""),BZ265,IF(OR(BZ265&lt;&gt;"", BY265&lt;&gt;""), "{}",""), CB265,"{SILVER}", CA265)</f>
        <v>{BLACK}Powered by: {GOLD}750V DC {}{SILVER}</v>
      </c>
    </row>
    <row r="266" spans="1:81" x14ac:dyDescent="0.25">
      <c r="A266" t="s">
        <v>727</v>
      </c>
      <c r="B266" t="s">
        <v>728</v>
      </c>
      <c r="D266" t="s">
        <v>168</v>
      </c>
      <c r="E266" t="s">
        <v>336</v>
      </c>
      <c r="F266" t="s">
        <v>343</v>
      </c>
      <c r="G266">
        <v>1893</v>
      </c>
      <c r="H266">
        <v>1896</v>
      </c>
      <c r="I266">
        <v>1956</v>
      </c>
      <c r="J266">
        <v>2</v>
      </c>
      <c r="K266">
        <v>120</v>
      </c>
      <c r="T266">
        <v>10</v>
      </c>
      <c r="V266">
        <v>7</v>
      </c>
      <c r="W266">
        <v>30</v>
      </c>
      <c r="X266" s="4">
        <f>IF(AND(T266&gt;0,W266&gt;0),(W266/((T266+U266)*10)),"")</f>
        <v>0.3</v>
      </c>
      <c r="Y266">
        <v>35</v>
      </c>
      <c r="AA266">
        <v>14</v>
      </c>
      <c r="AB266">
        <v>14</v>
      </c>
      <c r="AC266">
        <v>2.59</v>
      </c>
      <c r="AE266" s="11">
        <f>41+16</f>
        <v>57</v>
      </c>
      <c r="AF266" t="str">
        <f>CONCATENATE(VLOOKUP(AG266, 'Voxel Sizes'!$A$2:$B$18,2,FALSE),"x",INT(AC266*15), "x", INT(AD266*15))</f>
        <v>136x38x0</v>
      </c>
      <c r="AG266">
        <f>ROUND(15*((AB266*10)/256),0)</f>
        <v>8</v>
      </c>
      <c r="AI266" t="str">
        <f>CONCATENATE(VLOOKUP(AG266,Constants!$A$2:$C$16,IF(AH266&lt;&gt;"", 3, 2), FALSE),IF(AH266&lt;&gt;"",CONCATENATE(",",VLOOKUP(AH266,$B:$AI,34,FALSE)),""))</f>
        <v>2,4,2</v>
      </c>
      <c r="AM266" t="s">
        <v>729</v>
      </c>
      <c r="AO266" t="s">
        <v>508</v>
      </c>
      <c r="AS266">
        <v>25</v>
      </c>
      <c r="AT266">
        <f>IF(I266&lt;&gt;"",MAX(8,(I266-G266)-4),"")</f>
        <v>59</v>
      </c>
      <c r="AW266">
        <f>MIN(Y266/150, 1)*30</f>
        <v>7</v>
      </c>
      <c r="AX266">
        <f>MIN(K266/4000, 1)*20</f>
        <v>0.6</v>
      </c>
      <c r="AY266">
        <f>MIN(W266/400,1)*20</f>
        <v>1.5</v>
      </c>
      <c r="AZ266" s="4">
        <v>1</v>
      </c>
      <c r="BA266">
        <f>((MAX($J266,1)*MIN($AE266/300,1)))*IF(D266="Wagon",50,10)</f>
        <v>3.8</v>
      </c>
      <c r="BB266">
        <f>VLOOKUP($E266,Constants!$I:$K, 2, FALSE)</f>
        <v>0.85</v>
      </c>
      <c r="BC266">
        <f>VLOOKUP($E266,Constants!$I:$K, 3, FALSE)*IF(AND(D266="multiple_unit",Y266&lt;110),0.75,1)</f>
        <v>2.2999999999999998</v>
      </c>
      <c r="BD266">
        <f>INT(POWER(((Constants!$G$2+$AW266+$AX266+$AY266+$BA266)*$AZ266)*$BC266, 1.05))+$AV266</f>
        <v>49</v>
      </c>
      <c r="BE266">
        <f>INT(POWER((((Constants!$G$1+$AW266+$AX266+$AY266+$BA266)*(1/$AZ266))*$BB266),IF($D266="wagon",1,1.2)))+$AU266</f>
        <v>44</v>
      </c>
      <c r="BF266" s="15">
        <f>BD266*IF($D266="wagon",62.5,781.25)</f>
        <v>38281.25</v>
      </c>
      <c r="BG266" s="15">
        <f>BE266*IF($D266="wagon",2.73,81.25)</f>
        <v>3575</v>
      </c>
      <c r="BP266">
        <v>2</v>
      </c>
      <c r="BS266" t="s">
        <v>323</v>
      </c>
      <c r="BT266" t="str">
        <f>VLOOKUP(G266,Eras!$A$2:$C$10, 2, TRUE)</f>
        <v>vct</v>
      </c>
      <c r="BU266" t="s">
        <v>373</v>
      </c>
      <c r="BV266" t="str">
        <f>CONCATENATE(BT266,"_",BU266)</f>
        <v>vct_EMU</v>
      </c>
      <c r="BW266" t="str">
        <f>IF(AND(BI266&lt;&gt;Y266,BI266&lt;&gt;""),_xlfn.CONCAT("{BLACK}","Tare speed: ","{GOLD}{VELOCITY}{}"), "")</f>
        <v/>
      </c>
      <c r="BX266" t="str">
        <f>_xlfn.CONCAT(E266, "_",F266)</f>
        <v>electric_THIRD_RAIL</v>
      </c>
      <c r="BY266" t="str">
        <f>VLOOKUP($BX266, Constants!$M:$N, 2, FALSE)</f>
        <v>{BLACK}Powered by: {GOLD}750V DC</v>
      </c>
      <c r="BZ266" t="str">
        <f>IF(J266&gt;1,_xlfn.CONCAT("{BLACK}Cars: {GOLD}", J266),"")</f>
        <v>{BLACK}Cars: {GOLD}2</v>
      </c>
      <c r="CA266" t="s">
        <v>730</v>
      </c>
      <c r="CB266" t="str">
        <f>IF(BS266="BRAKE","{YELLOW}Speed bonus for slow wagons{}",IF(BQ266&gt;190,CONCATENATE("{YELLOW}",INT((BQ266-185)/1.85),"% Bonus for long distance travel{}"),IF(AND(BQ266&lt;180,BQ266&lt;&gt;0),CONCATENATE("{YELLOW}",INT((185-BQ266)/1.85),"% Penalty for long distance travel{}"),"")))</f>
        <v/>
      </c>
      <c r="CC266" t="str">
        <f>_xlfn.CONCAT(BW266,BY266,IF(BY266 &lt;&gt; "", " ", ""),BZ266,IF(OR(BZ266&lt;&gt;"", BY266&lt;&gt;""), "{}",""), CB266,"{SILVER}", CA266)</f>
        <v>{BLACK}Powered by: {GOLD}750V DC {BLACK}Cars: {GOLD}2{}{SILVER}These lightweight multiple units were built for the Liverpool Overhead Railway, a since closed elevated railway operating around the Liverpool docks.</v>
      </c>
    </row>
    <row r="267" spans="1:81" x14ac:dyDescent="0.25">
      <c r="A267" t="s">
        <v>107</v>
      </c>
      <c r="B267" t="s">
        <v>220</v>
      </c>
      <c r="D267" t="s">
        <v>168</v>
      </c>
      <c r="E267" t="s">
        <v>1165</v>
      </c>
      <c r="F267" t="s">
        <v>314</v>
      </c>
      <c r="G267">
        <v>1900</v>
      </c>
      <c r="X267" s="4" t="str">
        <f>IF(AND(T267&gt;0,W267&gt;0),(W267/((T267+U267)*10)),"")</f>
        <v/>
      </c>
      <c r="AF267" t="str">
        <f>CONCATENATE(VLOOKUP(AG267, 'Voxel Sizes'!$A$2:$B$18,2,FALSE),"x",INT(AC267*15), "x", INT(AD267*15))</f>
        <v>0x0x0</v>
      </c>
      <c r="AG267">
        <f>ROUND(15*((AB267*10)/256),0)</f>
        <v>0</v>
      </c>
      <c r="AI267" t="str">
        <f>CONCATENATE(VLOOKUP(AG267,Constants!$A$2:$C$16,IF(AH267&lt;&gt;"", 3, 2), FALSE),IF(AH267&lt;&gt;"",CONCATENATE(",",VLOOKUP(AH267,$B:$AI,34,FALSE)),""))</f>
        <v>na</v>
      </c>
      <c r="AS267">
        <v>30</v>
      </c>
      <c r="AT267" t="str">
        <f>IF(I267&lt;&gt;"",MAX(8,(I267-G267)-4),"")</f>
        <v/>
      </c>
      <c r="AW267">
        <f>MIN(Y267/150, 1)*30</f>
        <v>0</v>
      </c>
      <c r="AX267">
        <f>MIN(K267/4000, 1)*20</f>
        <v>0</v>
      </c>
      <c r="AY267">
        <f>MIN(W267/400,1)*20</f>
        <v>0</v>
      </c>
      <c r="AZ267" s="4">
        <v>1</v>
      </c>
      <c r="BA267">
        <f>((MAX($J267,1)*MIN($AE267/300,1)))*IF(D267="Wagon",50,10)</f>
        <v>0</v>
      </c>
      <c r="BB267">
        <f>VLOOKUP($E267,Constants!$I:$K, 2, FALSE)</f>
        <v>1</v>
      </c>
      <c r="BC267">
        <f>VLOOKUP($E267,Constants!$I:$K, 3, FALSE)*IF(AND(D267="multiple_unit",Y267&lt;110),0.75,1)</f>
        <v>1</v>
      </c>
      <c r="BD267">
        <f>INT(POWER(((Constants!$G$2+$AW267+$AX267+$AY267+$BA267)*$AZ267)*$BC267, 1.05))+$AV267</f>
        <v>5</v>
      </c>
      <c r="BE267">
        <f>INT(POWER((((Constants!$G$1+$AW267+$AX267+$AY267+$BA267)*(1/$AZ267))*$BB267),IF($D267="wagon",1,1.2)))+$AU267</f>
        <v>25</v>
      </c>
      <c r="BF267" s="15">
        <f>BD267*IF($D267="wagon",62.5,781.25)</f>
        <v>3906.25</v>
      </c>
      <c r="BG267" s="15">
        <f>BE267*IF($D267="wagon",2.73,81.25)</f>
        <v>2031.25</v>
      </c>
      <c r="BP267">
        <v>3</v>
      </c>
      <c r="BT267" t="str">
        <f>VLOOKUP(G267,Eras!$A$2:$C$10, 2, TRUE)</f>
        <v>edw</v>
      </c>
      <c r="BU267" t="s">
        <v>385</v>
      </c>
      <c r="BV267" t="str">
        <f>CONCATENATE(BT267,"_",BU267)</f>
        <v>edw_LU</v>
      </c>
      <c r="BW267" t="str">
        <f>IF(AND(BI267&lt;&gt;Y267,BI267&lt;&gt;""),_xlfn.CONCAT("{BLACK}","Tare speed: ","{GOLD}{VELOCITY}{}"), "")</f>
        <v/>
      </c>
      <c r="BX267" t="str">
        <f>_xlfn.CONCAT(E267, "_",F267)</f>
        <v>tube_RAIL</v>
      </c>
      <c r="BY267" t="str">
        <f>VLOOKUP($BX267, Constants!$M:$N, 2, FALSE)</f>
        <v/>
      </c>
      <c r="BZ267" t="str">
        <f>IF(J267&gt;1,_xlfn.CONCAT("{BLACK}Cars: {GOLD}", J267),"")</f>
        <v/>
      </c>
      <c r="CB267" t="str">
        <f>IF(BS267="BRAKE","{YELLOW}Speed bonus for slow wagons{}",IF(BQ267&gt;190,CONCATENATE("{YELLOW}",INT((BQ267-185)/1.85),"% Bonus for long distance travel{}"),IF(AND(BQ267&lt;180,BQ267&lt;&gt;0),CONCATENATE("{YELLOW}",INT((185-BQ267)/1.85),"% Penalty for long distance travel{}"),"")))</f>
        <v/>
      </c>
      <c r="CC267" t="str">
        <f>_xlfn.CONCAT(BW267,BY267,IF(BY267 &lt;&gt; "", " ", ""),BZ267,IF(OR(BZ267&lt;&gt;"", BY267&lt;&gt;""), "{}",""), CB267,"{SILVER}", CA267)</f>
        <v>{SILVER}</v>
      </c>
    </row>
    <row r="268" spans="1:81" x14ac:dyDescent="0.25">
      <c r="A268" t="s">
        <v>113</v>
      </c>
      <c r="B268" t="s">
        <v>224</v>
      </c>
      <c r="D268" t="s">
        <v>168</v>
      </c>
      <c r="E268" t="s">
        <v>1165</v>
      </c>
      <c r="F268" t="s">
        <v>314</v>
      </c>
      <c r="G268">
        <v>1938</v>
      </c>
      <c r="X268" s="4" t="str">
        <f>IF(AND(T268&gt;0,W268&gt;0),(W268/((T268+U268)*10)),"")</f>
        <v/>
      </c>
      <c r="AF268" t="str">
        <f>CONCATENATE(VLOOKUP(AG268, 'Voxel Sizes'!$A$2:$B$18,2,FALSE),"x",INT(AC268*15), "x", INT(AD268*15))</f>
        <v>0x0x0</v>
      </c>
      <c r="AG268">
        <f>ROUND(15*((AB268*10)/256),0)</f>
        <v>0</v>
      </c>
      <c r="AI268" t="str">
        <f>CONCATENATE(VLOOKUP(AG268,Constants!$A$2:$C$16,IF(AH268&lt;&gt;"", 3, 2), FALSE),IF(AH268&lt;&gt;"",CONCATENATE(",",VLOOKUP(AH268,$B:$AI,34,FALSE)),""))</f>
        <v>na</v>
      </c>
      <c r="AS268">
        <v>30</v>
      </c>
      <c r="AT268" t="str">
        <f>IF(I268&lt;&gt;"",MAX(8,(I268-G268)-4),"")</f>
        <v/>
      </c>
      <c r="AW268">
        <f>MIN(Y268/150, 1)*30</f>
        <v>0</v>
      </c>
      <c r="AX268">
        <f>MIN(K268/4000, 1)*20</f>
        <v>0</v>
      </c>
      <c r="AY268">
        <f>MIN(W268/400,1)*20</f>
        <v>0</v>
      </c>
      <c r="AZ268" s="4">
        <v>1</v>
      </c>
      <c r="BA268">
        <f>((MAX($J268,1)*MIN($AE268/300,1)))*IF(D268="Wagon",50,10)</f>
        <v>0</v>
      </c>
      <c r="BB268">
        <f>VLOOKUP($E268,Constants!$I:$K, 2, FALSE)</f>
        <v>1</v>
      </c>
      <c r="BC268">
        <f>VLOOKUP($E268,Constants!$I:$K, 3, FALSE)*IF(AND(D268="multiple_unit",Y268&lt;110),0.75,1)</f>
        <v>1</v>
      </c>
      <c r="BD268">
        <f>INT(POWER(((Constants!$G$2+$AW268+$AX268+$AY268+$BA268)*$AZ268)*$BC268, 1.05))+$AV268</f>
        <v>5</v>
      </c>
      <c r="BE268">
        <f>INT(POWER((((Constants!$G$1+$AW268+$AX268+$AY268+$BA268)*(1/$AZ268))*$BB268),IF($D268="wagon",1,1.2)))+$AU268</f>
        <v>25</v>
      </c>
      <c r="BF268" s="15">
        <f>BD268*IF($D268="wagon",62.5,781.25)</f>
        <v>3906.25</v>
      </c>
      <c r="BG268" s="15">
        <f>BE268*IF($D268="wagon",2.73,81.25)</f>
        <v>2031.25</v>
      </c>
      <c r="BP268">
        <v>4</v>
      </c>
      <c r="BT268" t="str">
        <f>VLOOKUP(G268,Eras!$A$2:$C$10, 2, TRUE)</f>
        <v>big4</v>
      </c>
      <c r="BU268" t="s">
        <v>385</v>
      </c>
      <c r="BV268" t="str">
        <f>CONCATENATE(BT268,"_",BU268)</f>
        <v>big4_LU</v>
      </c>
      <c r="BW268" t="str">
        <f>IF(AND(BI268&lt;&gt;Y268,BI268&lt;&gt;""),_xlfn.CONCAT("{BLACK}","Tare speed: ","{GOLD}{VELOCITY}{}"), "")</f>
        <v/>
      </c>
      <c r="BX268" t="str">
        <f>_xlfn.CONCAT(E268, "_",F268)</f>
        <v>tube_RAIL</v>
      </c>
      <c r="BY268" t="str">
        <f>VLOOKUP($BX268, Constants!$M:$N, 2, FALSE)</f>
        <v/>
      </c>
      <c r="BZ268" t="str">
        <f>IF(J268&gt;1,_xlfn.CONCAT("{BLACK}Cars: {GOLD}", J268),"")</f>
        <v/>
      </c>
      <c r="CB268" t="str">
        <f>IF(BS268="BRAKE","{YELLOW}Speed bonus for slow wagons{}",IF(BQ268&gt;190,CONCATENATE("{YELLOW}",INT((BQ268-185)/1.85),"% Bonus for long distance travel{}"),IF(AND(BQ268&lt;180,BQ268&lt;&gt;0),CONCATENATE("{YELLOW}",INT((185-BQ268)/1.85),"% Penalty for long distance travel{}"),"")))</f>
        <v/>
      </c>
      <c r="CC268" t="str">
        <f>_xlfn.CONCAT(BW268,BY268,IF(BY268 &lt;&gt; "", " ", ""),BZ268,IF(OR(BZ268&lt;&gt;"", BY268&lt;&gt;""), "{}",""), CB268,"{SILVER}", CA268)</f>
        <v>{SILVER}</v>
      </c>
    </row>
    <row r="269" spans="1:81" x14ac:dyDescent="0.25">
      <c r="A269" t="s">
        <v>114</v>
      </c>
      <c r="B269" t="s">
        <v>225</v>
      </c>
      <c r="D269" t="s">
        <v>168</v>
      </c>
      <c r="E269" t="s">
        <v>1165</v>
      </c>
      <c r="F269" t="s">
        <v>314</v>
      </c>
      <c r="G269">
        <v>1959</v>
      </c>
      <c r="X269" s="4" t="str">
        <f>IF(AND(T269&gt;0,W269&gt;0),(W269/((T269+U269)*10)),"")</f>
        <v/>
      </c>
      <c r="AF269" t="str">
        <f>CONCATENATE(VLOOKUP(AG269, 'Voxel Sizes'!$A$2:$B$18,2,FALSE),"x",INT(AC269*15), "x", INT(AD269*15))</f>
        <v>0x0x0</v>
      </c>
      <c r="AG269">
        <f>ROUND(15*((AB269*10)/256),0)</f>
        <v>0</v>
      </c>
      <c r="AI269" t="str">
        <f>CONCATENATE(VLOOKUP(AG269,Constants!$A$2:$C$16,IF(AH269&lt;&gt;"", 3, 2), FALSE),IF(AH269&lt;&gt;"",CONCATENATE(",",VLOOKUP(AH269,$B:$AI,34,FALSE)),""))</f>
        <v>na</v>
      </c>
      <c r="AS269">
        <v>30</v>
      </c>
      <c r="AT269" t="str">
        <f>IF(I269&lt;&gt;"",MAX(8,(I269-G269)-4),"")</f>
        <v/>
      </c>
      <c r="AW269">
        <f>MIN(Y269/150, 1)*30</f>
        <v>0</v>
      </c>
      <c r="AX269">
        <f>MIN(K269/4000, 1)*20</f>
        <v>0</v>
      </c>
      <c r="AY269">
        <f>MIN(W269/400,1)*20</f>
        <v>0</v>
      </c>
      <c r="AZ269" s="4">
        <v>1</v>
      </c>
      <c r="BA269">
        <f>((MAX($J269,1)*MIN($AE269/300,1)))*IF(D269="Wagon",50,10)</f>
        <v>0</v>
      </c>
      <c r="BB269">
        <f>VLOOKUP($E269,Constants!$I:$K, 2, FALSE)</f>
        <v>1</v>
      </c>
      <c r="BC269">
        <f>VLOOKUP($E269,Constants!$I:$K, 3, FALSE)*IF(AND(D269="multiple_unit",Y269&lt;110),0.75,1)</f>
        <v>1</v>
      </c>
      <c r="BD269">
        <f>INT(POWER(((Constants!$G$2+$AW269+$AX269+$AY269+$BA269)*$AZ269)*$BC269, 1.05))+$AV269</f>
        <v>5</v>
      </c>
      <c r="BE269">
        <f>INT(POWER((((Constants!$G$1+$AW269+$AX269+$AY269+$BA269)*(1/$AZ269))*$BB269),IF($D269="wagon",1,1.2)))+$AU269</f>
        <v>25</v>
      </c>
      <c r="BF269" s="15">
        <f>BD269*IF($D269="wagon",62.5,781.25)</f>
        <v>3906.25</v>
      </c>
      <c r="BG269" s="15">
        <f>BE269*IF($D269="wagon",2.73,81.25)</f>
        <v>2031.25</v>
      </c>
      <c r="BP269">
        <v>5</v>
      </c>
      <c r="BT269" t="str">
        <f>VLOOKUP(G269,Eras!$A$2:$C$10, 2, TRUE)</f>
        <v>dsl</v>
      </c>
      <c r="BU269" t="s">
        <v>385</v>
      </c>
      <c r="BV269" t="str">
        <f>CONCATENATE(BT269,"_",BU269)</f>
        <v>dsl_LU</v>
      </c>
      <c r="BW269" t="str">
        <f>IF(AND(BI269&lt;&gt;Y269,BI269&lt;&gt;""),_xlfn.CONCAT("{BLACK}","Tare speed: ","{GOLD}{VELOCITY}{}"), "")</f>
        <v/>
      </c>
      <c r="BX269" t="str">
        <f>_xlfn.CONCAT(E269, "_",F269)</f>
        <v>tube_RAIL</v>
      </c>
      <c r="BY269" t="str">
        <f>VLOOKUP($BX269, Constants!$M:$N, 2, FALSE)</f>
        <v/>
      </c>
      <c r="BZ269" t="str">
        <f>IF(J269&gt;1,_xlfn.CONCAT("{BLACK}Cars: {GOLD}", J269),"")</f>
        <v/>
      </c>
      <c r="CB269" t="str">
        <f>IF(BS269="BRAKE","{YELLOW}Speed bonus for slow wagons{}",IF(BQ269&gt;190,CONCATENATE("{YELLOW}",INT((BQ269-185)/1.85),"% Bonus for long distance travel{}"),IF(AND(BQ269&lt;180,BQ269&lt;&gt;0),CONCATENATE("{YELLOW}",INT((185-BQ269)/1.85),"% Penalty for long distance travel{}"),"")))</f>
        <v/>
      </c>
      <c r="CC269" t="str">
        <f>_xlfn.CONCAT(BW269,BY269,IF(BY269 &lt;&gt; "", " ", ""),BZ269,IF(OR(BZ269&lt;&gt;"", BY269&lt;&gt;""), "{}",""), CB269,"{SILVER}", CA269)</f>
        <v>{SILVER}</v>
      </c>
    </row>
    <row r="270" spans="1:81" x14ac:dyDescent="0.25">
      <c r="A270" t="s">
        <v>115</v>
      </c>
      <c r="B270" t="s">
        <v>226</v>
      </c>
      <c r="D270" t="s">
        <v>168</v>
      </c>
      <c r="E270" t="s">
        <v>1165</v>
      </c>
      <c r="F270" t="s">
        <v>314</v>
      </c>
      <c r="G270">
        <v>1960</v>
      </c>
      <c r="X270" s="4" t="str">
        <f>IF(AND(T270&gt;0,W270&gt;0),(W270/((T270+U270)*10)),"")</f>
        <v/>
      </c>
      <c r="AF270" t="str">
        <f>CONCATENATE(VLOOKUP(AG270, 'Voxel Sizes'!$A$2:$B$18,2,FALSE),"x",INT(AC270*15), "x", INT(AD270*15))</f>
        <v>0x0x0</v>
      </c>
      <c r="AG270">
        <f>ROUND(15*((AB270*10)/256),0)</f>
        <v>0</v>
      </c>
      <c r="AI270" t="str">
        <f>CONCATENATE(VLOOKUP(AG270,Constants!$A$2:$C$16,IF(AH270&lt;&gt;"", 3, 2), FALSE),IF(AH270&lt;&gt;"",CONCATENATE(",",VLOOKUP(AH270,$B:$AI,34,FALSE)),""))</f>
        <v>na</v>
      </c>
      <c r="AS270">
        <v>30</v>
      </c>
      <c r="AT270" t="str">
        <f>IF(I270&lt;&gt;"",MAX(8,(I270-G270)-4),"")</f>
        <v/>
      </c>
      <c r="AW270">
        <f>MIN(Y270/150, 1)*30</f>
        <v>0</v>
      </c>
      <c r="AX270">
        <f>MIN(K270/4000, 1)*20</f>
        <v>0</v>
      </c>
      <c r="AY270">
        <f>MIN(W270/400,1)*20</f>
        <v>0</v>
      </c>
      <c r="AZ270" s="4">
        <v>1</v>
      </c>
      <c r="BA270">
        <f>((MAX($J270,1)*MIN($AE270/300,1)))*IF(D270="Wagon",50,10)</f>
        <v>0</v>
      </c>
      <c r="BB270">
        <f>VLOOKUP($E270,Constants!$I:$K, 2, FALSE)</f>
        <v>1</v>
      </c>
      <c r="BC270">
        <f>VLOOKUP($E270,Constants!$I:$K, 3, FALSE)*IF(AND(D270="multiple_unit",Y270&lt;110),0.75,1)</f>
        <v>1</v>
      </c>
      <c r="BD270">
        <f>INT(POWER(((Constants!$G$2+$AW270+$AX270+$AY270+$BA270)*$AZ270)*$BC270, 1.05))+$AV270</f>
        <v>5</v>
      </c>
      <c r="BE270">
        <f>INT(POWER((((Constants!$G$1+$AW270+$AX270+$AY270+$BA270)*(1/$AZ270))*$BB270),IF($D270="wagon",1,1.2)))+$AU270</f>
        <v>25</v>
      </c>
      <c r="BF270" s="15">
        <f>BD270*IF($D270="wagon",62.5,781.25)</f>
        <v>3906.25</v>
      </c>
      <c r="BG270" s="15">
        <f>BE270*IF($D270="wagon",2.73,81.25)</f>
        <v>2031.25</v>
      </c>
      <c r="BP270">
        <v>6</v>
      </c>
      <c r="BT270" t="str">
        <f>VLOOKUP(G270,Eras!$A$2:$C$10, 2, TRUE)</f>
        <v>dsl</v>
      </c>
      <c r="BU270" t="s">
        <v>385</v>
      </c>
      <c r="BV270" t="str">
        <f>CONCATENATE(BT270,"_",BU270)</f>
        <v>dsl_LU</v>
      </c>
      <c r="BW270" t="str">
        <f>IF(AND(BI270&lt;&gt;Y270,BI270&lt;&gt;""),_xlfn.CONCAT("{BLACK}","Tare speed: ","{GOLD}{VELOCITY}{}"), "")</f>
        <v/>
      </c>
      <c r="BX270" t="str">
        <f>_xlfn.CONCAT(E270, "_",F270)</f>
        <v>tube_RAIL</v>
      </c>
      <c r="BY270" t="str">
        <f>VLOOKUP($BX270, Constants!$M:$N, 2, FALSE)</f>
        <v/>
      </c>
      <c r="BZ270" t="str">
        <f>IF(J270&gt;1,_xlfn.CONCAT("{BLACK}Cars: {GOLD}", J270),"")</f>
        <v/>
      </c>
      <c r="CB270" t="str">
        <f>IF(BS270="BRAKE","{YELLOW}Speed bonus for slow wagons{}",IF(BQ270&gt;190,CONCATENATE("{YELLOW}",INT((BQ270-185)/1.85),"% Bonus for long distance travel{}"),IF(AND(BQ270&lt;180,BQ270&lt;&gt;0),CONCATENATE("{YELLOW}",INT((185-BQ270)/1.85),"% Penalty for long distance travel{}"),"")))</f>
        <v/>
      </c>
      <c r="CC270" t="str">
        <f>_xlfn.CONCAT(BW270,BY270,IF(BY270 &lt;&gt; "", " ", ""),BZ270,IF(OR(BZ270&lt;&gt;"", BY270&lt;&gt;""), "{}",""), CB270,"{SILVER}", CA270)</f>
        <v>{SILVER}</v>
      </c>
    </row>
    <row r="271" spans="1:81" x14ac:dyDescent="0.25">
      <c r="A271" t="s">
        <v>116</v>
      </c>
      <c r="B271" t="s">
        <v>227</v>
      </c>
      <c r="D271" t="s">
        <v>168</v>
      </c>
      <c r="E271" t="s">
        <v>1165</v>
      </c>
      <c r="F271" t="s">
        <v>314</v>
      </c>
      <c r="G271">
        <v>1967</v>
      </c>
      <c r="X271" s="4" t="str">
        <f>IF(AND(T271&gt;0,W271&gt;0),(W271/((T271+U271)*10)),"")</f>
        <v/>
      </c>
      <c r="AF271" t="str">
        <f>CONCATENATE(VLOOKUP(AG271, 'Voxel Sizes'!$A$2:$B$18,2,FALSE),"x",INT(AC271*15), "x", INT(AD271*15))</f>
        <v>0x0x0</v>
      </c>
      <c r="AG271">
        <f>ROUND(15*((AB271*10)/256),0)</f>
        <v>0</v>
      </c>
      <c r="AI271" t="str">
        <f>CONCATENATE(VLOOKUP(AG271,Constants!$A$2:$C$16,IF(AH271&lt;&gt;"", 3, 2), FALSE),IF(AH271&lt;&gt;"",CONCATENATE(",",VLOOKUP(AH271,$B:$AI,34,FALSE)),""))</f>
        <v>na</v>
      </c>
      <c r="AS271">
        <v>30</v>
      </c>
      <c r="AT271" t="str">
        <f>IF(I271&lt;&gt;"",MAX(8,(I271-G271)-4),"")</f>
        <v/>
      </c>
      <c r="AW271">
        <f>MIN(Y271/150, 1)*30</f>
        <v>0</v>
      </c>
      <c r="AX271">
        <f>MIN(K271/4000, 1)*20</f>
        <v>0</v>
      </c>
      <c r="AY271">
        <f>MIN(W271/400,1)*20</f>
        <v>0</v>
      </c>
      <c r="AZ271" s="4">
        <v>1</v>
      </c>
      <c r="BA271">
        <f>((MAX($J271,1)*MIN($AE271/300,1)))*IF(D271="Wagon",50,10)</f>
        <v>0</v>
      </c>
      <c r="BB271">
        <f>VLOOKUP($E271,Constants!$I:$K, 2, FALSE)</f>
        <v>1</v>
      </c>
      <c r="BC271">
        <f>VLOOKUP($E271,Constants!$I:$K, 3, FALSE)*IF(AND(D271="multiple_unit",Y271&lt;110),0.75,1)</f>
        <v>1</v>
      </c>
      <c r="BD271">
        <f>INT(POWER(((Constants!$G$2+$AW271+$AX271+$AY271+$BA271)*$AZ271)*$BC271, 1.05))+$AV271</f>
        <v>5</v>
      </c>
      <c r="BE271">
        <f>INT(POWER((((Constants!$G$1+$AW271+$AX271+$AY271+$BA271)*(1/$AZ271))*$BB271),IF($D271="wagon",1,1.2)))+$AU271</f>
        <v>25</v>
      </c>
      <c r="BF271" s="15">
        <f>BD271*IF($D271="wagon",62.5,781.25)</f>
        <v>3906.25</v>
      </c>
      <c r="BG271" s="15">
        <f>BE271*IF($D271="wagon",2.73,81.25)</f>
        <v>2031.25</v>
      </c>
      <c r="BP271">
        <v>7</v>
      </c>
      <c r="BT271" t="str">
        <f>VLOOKUP(G271,Eras!$A$2:$C$10, 2, TRUE)</f>
        <v>dsl</v>
      </c>
      <c r="BU271" t="s">
        <v>385</v>
      </c>
      <c r="BV271" t="str">
        <f>CONCATENATE(BT271,"_",BU271)</f>
        <v>dsl_LU</v>
      </c>
      <c r="BW271" t="str">
        <f>IF(AND(BI271&lt;&gt;Y271,BI271&lt;&gt;""),_xlfn.CONCAT("{BLACK}","Tare speed: ","{GOLD}{VELOCITY}{}"), "")</f>
        <v/>
      </c>
      <c r="BX271" t="str">
        <f>_xlfn.CONCAT(E271, "_",F271)</f>
        <v>tube_RAIL</v>
      </c>
      <c r="BY271" t="str">
        <f>VLOOKUP($BX271, Constants!$M:$N, 2, FALSE)</f>
        <v/>
      </c>
      <c r="BZ271" t="str">
        <f>IF(J271&gt;1,_xlfn.CONCAT("{BLACK}Cars: {GOLD}", J271),"")</f>
        <v/>
      </c>
      <c r="CB271" t="str">
        <f>IF(BS271="BRAKE","{YELLOW}Speed bonus for slow wagons{}",IF(BQ271&gt;190,CONCATENATE("{YELLOW}",INT((BQ271-185)/1.85),"% Bonus for long distance travel{}"),IF(AND(BQ271&lt;180,BQ271&lt;&gt;0),CONCATENATE("{YELLOW}",INT((185-BQ271)/1.85),"% Penalty for long distance travel{}"),"")))</f>
        <v/>
      </c>
      <c r="CC271" t="str">
        <f>_xlfn.CONCAT(BW271,BY271,IF(BY271 &lt;&gt; "", " ", ""),BZ271,IF(OR(BZ271&lt;&gt;"", BY271&lt;&gt;""), "{}",""), CB271,"{SILVER}", CA271)</f>
        <v>{SILVER}</v>
      </c>
    </row>
    <row r="272" spans="1:81" x14ac:dyDescent="0.25">
      <c r="A272" t="s">
        <v>117</v>
      </c>
      <c r="B272" t="s">
        <v>228</v>
      </c>
      <c r="D272" t="s">
        <v>168</v>
      </c>
      <c r="E272" t="s">
        <v>1165</v>
      </c>
      <c r="F272" t="s">
        <v>314</v>
      </c>
      <c r="G272">
        <v>1969</v>
      </c>
      <c r="X272" s="4" t="str">
        <f>IF(AND(T272&gt;0,W272&gt;0),(W272/((T272+U272)*10)),"")</f>
        <v/>
      </c>
      <c r="AF272" t="str">
        <f>CONCATENATE(VLOOKUP(AG272, 'Voxel Sizes'!$A$2:$B$18,2,FALSE),"x",INT(AC272*15), "x", INT(AD272*15))</f>
        <v>0x0x0</v>
      </c>
      <c r="AG272">
        <f>ROUND(15*((AB272*10)/256),0)</f>
        <v>0</v>
      </c>
      <c r="AI272" t="str">
        <f>CONCATENATE(VLOOKUP(AG272,Constants!$A$2:$C$16,IF(AH272&lt;&gt;"", 3, 2), FALSE),IF(AH272&lt;&gt;"",CONCATENATE(",",VLOOKUP(AH272,$B:$AI,34,FALSE)),""))</f>
        <v>na</v>
      </c>
      <c r="AS272">
        <v>30</v>
      </c>
      <c r="AT272" t="str">
        <f>IF(I272&lt;&gt;"",MAX(8,(I272-G272)-4),"")</f>
        <v/>
      </c>
      <c r="AW272">
        <f>MIN(Y272/150, 1)*30</f>
        <v>0</v>
      </c>
      <c r="AX272">
        <f>MIN(K272/4000, 1)*20</f>
        <v>0</v>
      </c>
      <c r="AY272">
        <f>MIN(W272/400,1)*20</f>
        <v>0</v>
      </c>
      <c r="AZ272" s="4">
        <v>1</v>
      </c>
      <c r="BA272">
        <f>((MAX($J272,1)*MIN($AE272/300,1)))*IF(D272="Wagon",50,10)</f>
        <v>0</v>
      </c>
      <c r="BB272">
        <f>VLOOKUP($E272,Constants!$I:$K, 2, FALSE)</f>
        <v>1</v>
      </c>
      <c r="BC272">
        <f>VLOOKUP($E272,Constants!$I:$K, 3, FALSE)*IF(AND(D272="multiple_unit",Y272&lt;110),0.75,1)</f>
        <v>1</v>
      </c>
      <c r="BD272">
        <f>INT(POWER(((Constants!$G$2+$AW272+$AX272+$AY272+$BA272)*$AZ272)*$BC272, 1.05))+$AV272</f>
        <v>5</v>
      </c>
      <c r="BE272">
        <f>INT(POWER((((Constants!$G$1+$AW272+$AX272+$AY272+$BA272)*(1/$AZ272))*$BB272),IF($D272="wagon",1,1.2)))+$AU272</f>
        <v>25</v>
      </c>
      <c r="BF272" s="15">
        <f>BD272*IF($D272="wagon",62.5,781.25)</f>
        <v>3906.25</v>
      </c>
      <c r="BG272" s="15">
        <f>BE272*IF($D272="wagon",2.73,81.25)</f>
        <v>2031.25</v>
      </c>
      <c r="BP272">
        <v>8</v>
      </c>
      <c r="BT272" t="str">
        <f>VLOOKUP(G272,Eras!$A$2:$C$10, 2, TRUE)</f>
        <v>dsl</v>
      </c>
      <c r="BU272" t="s">
        <v>385</v>
      </c>
      <c r="BV272" t="str">
        <f>CONCATENATE(BT272,"_",BU272)</f>
        <v>dsl_LU</v>
      </c>
      <c r="BW272" t="str">
        <f>IF(AND(BI272&lt;&gt;Y272,BI272&lt;&gt;""),_xlfn.CONCAT("{BLACK}","Tare speed: ","{GOLD}{VELOCITY}{}"), "")</f>
        <v/>
      </c>
      <c r="BX272" t="str">
        <f>_xlfn.CONCAT(E272, "_",F272)</f>
        <v>tube_RAIL</v>
      </c>
      <c r="BY272" t="str">
        <f>VLOOKUP($BX272, Constants!$M:$N, 2, FALSE)</f>
        <v/>
      </c>
      <c r="BZ272" t="str">
        <f>IF(J272&gt;1,_xlfn.CONCAT("{BLACK}Cars: {GOLD}", J272),"")</f>
        <v/>
      </c>
      <c r="CB272" t="str">
        <f>IF(BS272="BRAKE","{YELLOW}Speed bonus for slow wagons{}",IF(BQ272&gt;190,CONCATENATE("{YELLOW}",INT((BQ272-185)/1.85),"% Bonus for long distance travel{}"),IF(AND(BQ272&lt;180,BQ272&lt;&gt;0),CONCATENATE("{YELLOW}",INT((185-BQ272)/1.85),"% Penalty for long distance travel{}"),"")))</f>
        <v/>
      </c>
      <c r="CC272" t="str">
        <f>_xlfn.CONCAT(BW272,BY272,IF(BY272 &lt;&gt; "", " ", ""),BZ272,IF(OR(BZ272&lt;&gt;"", BY272&lt;&gt;""), "{}",""), CB272,"{SILVER}", CA272)</f>
        <v>{SILVER}</v>
      </c>
    </row>
    <row r="273" spans="1:81" x14ac:dyDescent="0.25">
      <c r="A273" t="s">
        <v>118</v>
      </c>
      <c r="B273" t="s">
        <v>229</v>
      </c>
      <c r="D273" t="s">
        <v>168</v>
      </c>
      <c r="E273" t="s">
        <v>1165</v>
      </c>
      <c r="F273" t="s">
        <v>314</v>
      </c>
      <c r="G273">
        <v>1973</v>
      </c>
      <c r="X273" s="4" t="str">
        <f>IF(AND(T273&gt;0,W273&gt;0),(W273/((T273+U273)*10)),"")</f>
        <v/>
      </c>
      <c r="AF273" t="str">
        <f>CONCATENATE(VLOOKUP(AG273, 'Voxel Sizes'!$A$2:$B$18,2,FALSE),"x",INT(AC273*15), "x", INT(AD273*15))</f>
        <v>0x0x0</v>
      </c>
      <c r="AG273">
        <f>ROUND(15*((AB273*10)/256),0)</f>
        <v>0</v>
      </c>
      <c r="AI273" t="str">
        <f>CONCATENATE(VLOOKUP(AG273,Constants!$A$2:$C$16,IF(AH273&lt;&gt;"", 3, 2), FALSE),IF(AH273&lt;&gt;"",CONCATENATE(",",VLOOKUP(AH273,$B:$AI,34,FALSE)),""))</f>
        <v>na</v>
      </c>
      <c r="AS273">
        <v>30</v>
      </c>
      <c r="AT273" t="str">
        <f>IF(I273&lt;&gt;"",MAX(8,(I273-G273)-4),"")</f>
        <v/>
      </c>
      <c r="AW273">
        <f>MIN(Y273/150, 1)*30</f>
        <v>0</v>
      </c>
      <c r="AX273">
        <f>MIN(K273/4000, 1)*20</f>
        <v>0</v>
      </c>
      <c r="AY273">
        <f>MIN(W273/400,1)*20</f>
        <v>0</v>
      </c>
      <c r="AZ273" s="4">
        <v>1</v>
      </c>
      <c r="BA273">
        <f>((MAX($J273,1)*MIN($AE273/300,1)))*IF(D273="Wagon",50,10)</f>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BD273*IF($D273="wagon",62.5,781.25)</f>
        <v>3906.25</v>
      </c>
      <c r="BG273" s="15">
        <f>BE273*IF($D273="wagon",2.73,81.25)</f>
        <v>2031.25</v>
      </c>
      <c r="BP273">
        <v>9</v>
      </c>
      <c r="BT273" t="str">
        <f>VLOOKUP(G273,Eras!$A$2:$C$10, 2, TRUE)</f>
        <v>lbr</v>
      </c>
      <c r="BU273" t="s">
        <v>385</v>
      </c>
      <c r="BV273" t="str">
        <f>CONCATENATE(BT273,"_",BU273)</f>
        <v>lbr_LU</v>
      </c>
      <c r="BW273" t="str">
        <f>IF(AND(BI273&lt;&gt;Y273,BI273&lt;&gt;""),_xlfn.CONCAT("{BLACK}","Tare speed: ","{GOLD}{VELOCITY}{}"), "")</f>
        <v/>
      </c>
      <c r="BX273" t="str">
        <f>_xlfn.CONCAT(E273, "_",F273)</f>
        <v>tube_RAIL</v>
      </c>
      <c r="BY273" t="str">
        <f>VLOOKUP($BX273, Constants!$M:$N, 2, FALSE)</f>
        <v/>
      </c>
      <c r="BZ273" t="str">
        <f>IF(J273&gt;1,_xlfn.CONCAT("{BLACK}Cars: {GOLD}", J273),"")</f>
        <v/>
      </c>
      <c r="CB273" t="str">
        <f>IF(BS273="BRAKE","{YELLOW}Speed bonus for slow wagons{}",IF(BQ273&gt;190,CONCATENATE("{YELLOW}",INT((BQ273-185)/1.85),"% Bonus for long distance travel{}"),IF(AND(BQ273&lt;180,BQ273&lt;&gt;0),CONCATENATE("{YELLOW}",INT((185-BQ273)/1.85),"% Penalty for long distance travel{}"),"")))</f>
        <v/>
      </c>
      <c r="CC273" t="str">
        <f>_xlfn.CONCAT(BW273,BY273,IF(BY273 &lt;&gt; "", " ", ""),BZ273,IF(OR(BZ273&lt;&gt;"", BY273&lt;&gt;""), "{}",""), CB273,"{SILVER}", CA273)</f>
        <v>{SILVER}</v>
      </c>
    </row>
    <row r="274" spans="1:81" x14ac:dyDescent="0.25">
      <c r="A274" t="s">
        <v>120</v>
      </c>
      <c r="B274" t="s">
        <v>231</v>
      </c>
      <c r="D274" t="s">
        <v>168</v>
      </c>
      <c r="E274" t="s">
        <v>1165</v>
      </c>
      <c r="F274" t="s">
        <v>314</v>
      </c>
      <c r="G274">
        <v>1983</v>
      </c>
      <c r="X274" s="4" t="str">
        <f>IF(AND(T274&gt;0,W274&gt;0),(W274/((T274+U274)*10)),"")</f>
        <v/>
      </c>
      <c r="AF274" t="str">
        <f>CONCATENATE(VLOOKUP(AG274, 'Voxel Sizes'!$A$2:$B$18,2,FALSE),"x",INT(AC274*15), "x", INT(AD274*15))</f>
        <v>0x0x0</v>
      </c>
      <c r="AG274">
        <f>ROUND(15*((AB274*10)/256),0)</f>
        <v>0</v>
      </c>
      <c r="AI274" t="str">
        <f>CONCATENATE(VLOOKUP(AG274,Constants!$A$2:$C$16,IF(AH274&lt;&gt;"", 3, 2), FALSE),IF(AH274&lt;&gt;"",CONCATENATE(",",VLOOKUP(AH274,$B:$AI,34,FALSE)),""))</f>
        <v>na</v>
      </c>
      <c r="AS274">
        <v>30</v>
      </c>
      <c r="AT274" t="str">
        <f>IF(I274&lt;&gt;"",MAX(8,(I274-G274)-4),"")</f>
        <v/>
      </c>
      <c r="AW274">
        <f>MIN(Y274/150, 1)*30</f>
        <v>0</v>
      </c>
      <c r="AX274">
        <f>MIN(K274/4000, 1)*20</f>
        <v>0</v>
      </c>
      <c r="AY274">
        <f>MIN(W274/400,1)*20</f>
        <v>0</v>
      </c>
      <c r="AZ274" s="4">
        <v>1</v>
      </c>
      <c r="BA274">
        <f>((MAX($J274,1)*MIN($AE274/300,1)))*IF(D274="Wagon",50,10)</f>
        <v>0</v>
      </c>
      <c r="BB274">
        <f>VLOOKUP($E274,Constants!$I:$K, 2, FALSE)</f>
        <v>1</v>
      </c>
      <c r="BC274">
        <f>VLOOKUP($E274,Constants!$I:$K, 3, FALSE)*IF(AND(D274="multiple_unit",Y274&lt;110),0.75,1)</f>
        <v>1</v>
      </c>
      <c r="BD274">
        <f>INT(POWER(((Constants!$G$2+$AW274+$AX274+$AY274+$BA274)*$AZ274)*$BC274, 1.05))+$AV274</f>
        <v>5</v>
      </c>
      <c r="BE274">
        <f>INT(POWER((((Constants!$G$1+$AW274+$AX274+$AY274+$BA274)*(1/$AZ274))*$BB274),IF($D274="wagon",1,1.2)))+$AU274</f>
        <v>25</v>
      </c>
      <c r="BF274" s="15">
        <f>BD274*IF($D274="wagon",62.5,781.25)</f>
        <v>3906.25</v>
      </c>
      <c r="BG274" s="15">
        <f>BE274*IF($D274="wagon",2.73,81.25)</f>
        <v>2031.25</v>
      </c>
      <c r="BP274">
        <v>10</v>
      </c>
      <c r="BT274" t="str">
        <f>VLOOKUP(G274,Eras!$A$2:$C$10, 2, TRUE)</f>
        <v>lbr</v>
      </c>
      <c r="BU274" t="s">
        <v>385</v>
      </c>
      <c r="BV274" t="str">
        <f>CONCATENATE(BT274,"_",BU274)</f>
        <v>lbr_LU</v>
      </c>
      <c r="BW274" t="str">
        <f>IF(AND(BI274&lt;&gt;Y274,BI274&lt;&gt;""),_xlfn.CONCAT("{BLACK}","Tare speed: ","{GOLD}{VELOCITY}{}"), "")</f>
        <v/>
      </c>
      <c r="BX274" t="str">
        <f>_xlfn.CONCAT(E274, "_",F274)</f>
        <v>tube_RAIL</v>
      </c>
      <c r="BY274" t="str">
        <f>VLOOKUP($BX274, Constants!$M:$N, 2, FALSE)</f>
        <v/>
      </c>
      <c r="BZ274" t="str">
        <f>IF(J274&gt;1,_xlfn.CONCAT("{BLACK}Cars: {GOLD}", J274),"")</f>
        <v/>
      </c>
      <c r="CB274" t="str">
        <f>IF(BS274="BRAKE","{YELLOW}Speed bonus for slow wagons{}",IF(BQ274&gt;190,CONCATENATE("{YELLOW}",INT((BQ274-185)/1.85),"% Bonus for long distance travel{}"),IF(AND(BQ274&lt;180,BQ274&lt;&gt;0),CONCATENATE("{YELLOW}",INT((185-BQ274)/1.85),"% Penalty for long distance travel{}"),"")))</f>
        <v/>
      </c>
      <c r="CC274" t="str">
        <f>_xlfn.CONCAT(BW274,BY274,IF(BY274 &lt;&gt; "", " ", ""),BZ274,IF(OR(BZ274&lt;&gt;"", BY274&lt;&gt;""), "{}",""), CB274,"{SILVER}", CA274)</f>
        <v>{SILVER}</v>
      </c>
    </row>
    <row r="275" spans="1:81" x14ac:dyDescent="0.25">
      <c r="A275" t="s">
        <v>119</v>
      </c>
      <c r="B275" t="s">
        <v>230</v>
      </c>
      <c r="D275" t="s">
        <v>168</v>
      </c>
      <c r="E275" t="s">
        <v>1165</v>
      </c>
      <c r="F275" t="s">
        <v>314</v>
      </c>
      <c r="G275">
        <v>1978</v>
      </c>
      <c r="X275" s="4" t="str">
        <f>IF(AND(T275&gt;0,W275&gt;0),(W275/((T275+U275)*10)),"")</f>
        <v/>
      </c>
      <c r="AF275" t="str">
        <f>CONCATENATE(VLOOKUP(AG275, 'Voxel Sizes'!$A$2:$B$18,2,FALSE),"x",INT(AC275*15), "x", INT(AD275*15))</f>
        <v>0x0x0</v>
      </c>
      <c r="AG275">
        <f>ROUND(15*((AB275*10)/256),0)</f>
        <v>0</v>
      </c>
      <c r="AI275" t="str">
        <f>CONCATENATE(VLOOKUP(AG275,Constants!$A$2:$C$16,IF(AH275&lt;&gt;"", 3, 2), FALSE),IF(AH275&lt;&gt;"",CONCATENATE(",",VLOOKUP(AH275,$B:$AI,34,FALSE)),""))</f>
        <v>na</v>
      </c>
      <c r="AS275">
        <v>30</v>
      </c>
      <c r="AT275" t="str">
        <f>IF(I275&lt;&gt;"",MAX(8,(I275-G275)-4),"")</f>
        <v/>
      </c>
      <c r="AW275">
        <f>MIN(Y275/150, 1)*30</f>
        <v>0</v>
      </c>
      <c r="AX275">
        <f>MIN(K275/4000, 1)*20</f>
        <v>0</v>
      </c>
      <c r="AY275">
        <f>MIN(W275/400,1)*20</f>
        <v>0</v>
      </c>
      <c r="AZ275" s="4">
        <v>1</v>
      </c>
      <c r="BA275">
        <f>((MAX($J275,1)*MIN($AE275/300,1)))*IF(D275="Wagon",50,10)</f>
        <v>0</v>
      </c>
      <c r="BB275">
        <f>VLOOKUP($E275,Constants!$I:$K, 2, FALSE)</f>
        <v>1</v>
      </c>
      <c r="BC275">
        <f>VLOOKUP($E275,Constants!$I:$K, 3, FALSE)*IF(AND(D275="multiple_unit",Y275&lt;110),0.75,1)</f>
        <v>1</v>
      </c>
      <c r="BD275">
        <f>INT(POWER(((Constants!$G$2+$AW275+$AX275+$AY275+$BA275)*$AZ275)*$BC275, 1.05))+$AV275</f>
        <v>5</v>
      </c>
      <c r="BE275">
        <f>INT(POWER((((Constants!$G$1+$AW275+$AX275+$AY275+$BA275)*(1/$AZ275))*$BB275),IF($D275="wagon",1,1.2)))+$AU275</f>
        <v>25</v>
      </c>
      <c r="BF275" s="15">
        <f>BD275*IF($D275="wagon",62.5,781.25)</f>
        <v>3906.25</v>
      </c>
      <c r="BG275" s="15">
        <f>BE275*IF($D275="wagon",2.73,81.25)</f>
        <v>2031.25</v>
      </c>
      <c r="BP275">
        <v>11</v>
      </c>
      <c r="BT275" t="str">
        <f>VLOOKUP(G275,Eras!$A$2:$C$10, 2, TRUE)</f>
        <v>lbr</v>
      </c>
      <c r="BU275" t="s">
        <v>385</v>
      </c>
      <c r="BV275" t="str">
        <f>CONCATENATE(BT275,"_",BU275)</f>
        <v>lbr_LU</v>
      </c>
      <c r="BW275" t="str">
        <f>IF(AND(BI275&lt;&gt;Y275,BI275&lt;&gt;""),_xlfn.CONCAT("{BLACK}","Tare speed: ","{GOLD}{VELOCITY}{}"), "")</f>
        <v/>
      </c>
      <c r="BX275" t="str">
        <f>_xlfn.CONCAT(E275, "_",F275)</f>
        <v>tube_RAIL</v>
      </c>
      <c r="BY275" t="str">
        <f>VLOOKUP($BX275, Constants!$M:$N, 2, FALSE)</f>
        <v/>
      </c>
      <c r="BZ275" t="str">
        <f>IF(J275&gt;1,_xlfn.CONCAT("{BLACK}Cars: {GOLD}", J275),"")</f>
        <v/>
      </c>
      <c r="CB275" t="str">
        <f>IF(BS275="BRAKE","{YELLOW}Speed bonus for slow wagons{}",IF(BQ275&gt;190,CONCATENATE("{YELLOW}",INT((BQ275-185)/1.85),"% Bonus for long distance travel{}"),IF(AND(BQ275&lt;180,BQ275&lt;&gt;0),CONCATENATE("{YELLOW}",INT((185-BQ275)/1.85),"% Penalty for long distance travel{}"),"")))</f>
        <v/>
      </c>
      <c r="CC275" t="str">
        <f>_xlfn.CONCAT(BW275,BY275,IF(BY275 &lt;&gt; "", " ", ""),BZ275,IF(OR(BZ275&lt;&gt;"", BY275&lt;&gt;""), "{}",""), CB275,"{SILVER}", CA275)</f>
        <v>{SILVER}</v>
      </c>
    </row>
    <row r="276" spans="1:81" x14ac:dyDescent="0.25">
      <c r="A276" t="s">
        <v>123</v>
      </c>
      <c r="B276" t="s">
        <v>233</v>
      </c>
      <c r="D276" t="s">
        <v>168</v>
      </c>
      <c r="E276" t="s">
        <v>1165</v>
      </c>
      <c r="F276" t="s">
        <v>314</v>
      </c>
      <c r="G276">
        <v>2009</v>
      </c>
      <c r="X276" s="4" t="str">
        <f>IF(AND(T276&gt;0,W276&gt;0),(W276/((T276+U276)*10)),"")</f>
        <v/>
      </c>
      <c r="AF276" t="str">
        <f>CONCATENATE(VLOOKUP(AG276, 'Voxel Sizes'!$A$2:$B$18,2,FALSE),"x",INT(AC276*15), "x", INT(AD276*15))</f>
        <v>0x0x0</v>
      </c>
      <c r="AG276">
        <f>ROUND(15*((AB276*10)/256),0)</f>
        <v>0</v>
      </c>
      <c r="AI276" t="str">
        <f>CONCATENATE(VLOOKUP(AG276,Constants!$A$2:$C$16,IF(AH276&lt;&gt;"", 3, 2), FALSE),IF(AH276&lt;&gt;"",CONCATENATE(",",VLOOKUP(AH276,$B:$AI,34,FALSE)),""))</f>
        <v>na</v>
      </c>
      <c r="AS276">
        <v>30</v>
      </c>
      <c r="AT276" t="str">
        <f>IF(I276&lt;&gt;"",MAX(8,(I276-G276)-4),"")</f>
        <v/>
      </c>
      <c r="AW276">
        <f>MIN(Y276/150, 1)*30</f>
        <v>0</v>
      </c>
      <c r="AX276">
        <f>MIN(K276/4000, 1)*20</f>
        <v>0</v>
      </c>
      <c r="AY276">
        <f>MIN(W276/400,1)*20</f>
        <v>0</v>
      </c>
      <c r="AZ276" s="4">
        <v>1</v>
      </c>
      <c r="BA276">
        <f>((MAX($J276,1)*MIN($AE276/300,1)))*IF(D276="Wagon",50,10)</f>
        <v>0</v>
      </c>
      <c r="BB276">
        <f>VLOOKUP($E276,Constants!$I:$K, 2, FALSE)</f>
        <v>1</v>
      </c>
      <c r="BC276">
        <f>VLOOKUP($E276,Constants!$I:$K, 3, FALSE)*IF(AND(D276="multiple_unit",Y276&lt;110),0.75,1)</f>
        <v>1</v>
      </c>
      <c r="BD276">
        <f>INT(POWER(((Constants!$G$2+$AW276+$AX276+$AY276+$BA276)*$AZ276)*$BC276, 1.05))+$AV276</f>
        <v>5</v>
      </c>
      <c r="BE276">
        <f>INT(POWER((((Constants!$G$1+$AW276+$AX276+$AY276+$BA276)*(1/$AZ276))*$BB276),IF($D276="wagon",1,1.2)))+$AU276</f>
        <v>25</v>
      </c>
      <c r="BF276" s="15">
        <f>BD276*IF($D276="wagon",62.5,781.25)</f>
        <v>3906.25</v>
      </c>
      <c r="BG276" s="15">
        <f>BE276*IF($D276="wagon",2.73,81.25)</f>
        <v>2031.25</v>
      </c>
      <c r="BP276">
        <v>12</v>
      </c>
      <c r="BT276" t="str">
        <f>VLOOKUP(G276,Eras!$A$2:$C$10, 2, TRUE)</f>
        <v>mod</v>
      </c>
      <c r="BU276" t="s">
        <v>385</v>
      </c>
      <c r="BV276" t="str">
        <f>CONCATENATE(BT276,"_",BU276)</f>
        <v>mod_LU</v>
      </c>
      <c r="BW276" t="str">
        <f>IF(AND(BI276&lt;&gt;Y276,BI276&lt;&gt;""),_xlfn.CONCAT("{BLACK}","Tare speed: ","{GOLD}{VELOCITY}{}"), "")</f>
        <v/>
      </c>
      <c r="BX276" t="str">
        <f>_xlfn.CONCAT(E276, "_",F276)</f>
        <v>tube_RAIL</v>
      </c>
      <c r="BY276" t="str">
        <f>VLOOKUP($BX276, Constants!$M:$N, 2, FALSE)</f>
        <v/>
      </c>
      <c r="BZ276" t="str">
        <f>IF(J276&gt;1,_xlfn.CONCAT("{BLACK}Cars: {GOLD}", J276),"")</f>
        <v/>
      </c>
      <c r="CB276" t="str">
        <f>IF(BS276="BRAKE","{YELLOW}Speed bonus for slow wagons{}",IF(BQ276&gt;190,CONCATENATE("{YELLOW}",INT((BQ276-185)/1.85),"% Bonus for long distance travel{}"),IF(AND(BQ276&lt;180,BQ276&lt;&gt;0),CONCATENATE("{YELLOW}",INT((185-BQ276)/1.85),"% Penalty for long distance travel{}"),"")))</f>
        <v/>
      </c>
      <c r="CC276" t="str">
        <f>_xlfn.CONCAT(BW276,BY276,IF(BY276 &lt;&gt; "", " ", ""),BZ276,IF(OR(BZ276&lt;&gt;"", BY276&lt;&gt;""), "{}",""), CB276,"{SILVER}", CA276)</f>
        <v>{SILVER}</v>
      </c>
    </row>
    <row r="277" spans="1:81" x14ac:dyDescent="0.25">
      <c r="A277" t="s">
        <v>124</v>
      </c>
      <c r="B277" t="s">
        <v>234</v>
      </c>
      <c r="D277" t="s">
        <v>168</v>
      </c>
      <c r="E277" t="s">
        <v>1165</v>
      </c>
      <c r="F277" t="s">
        <v>314</v>
      </c>
      <c r="G277">
        <v>2010</v>
      </c>
      <c r="X277" s="4" t="str">
        <f>IF(AND(T277&gt;0,W277&gt;0),(W277/((T277+U277)*10)),"")</f>
        <v/>
      </c>
      <c r="AF277" t="str">
        <f>CONCATENATE(VLOOKUP(AG277, 'Voxel Sizes'!$A$2:$B$18,2,FALSE),"x",INT(AC277*15), "x", INT(AD277*15))</f>
        <v>0x0x0</v>
      </c>
      <c r="AG277">
        <f>ROUND(15*((AB277*10)/256),0)</f>
        <v>0</v>
      </c>
      <c r="AI277" t="str">
        <f>CONCATENATE(VLOOKUP(AG277,Constants!$A$2:$C$16,IF(AH277&lt;&gt;"", 3, 2), FALSE),IF(AH277&lt;&gt;"",CONCATENATE(",",VLOOKUP(AH277,$B:$AI,34,FALSE)),""))</f>
        <v>na</v>
      </c>
      <c r="AS277">
        <v>30</v>
      </c>
      <c r="AT277" t="str">
        <f>IF(I277&lt;&gt;"",MAX(8,(I277-G277)-4),"")</f>
        <v/>
      </c>
      <c r="AW277">
        <f>MIN(Y277/150, 1)*30</f>
        <v>0</v>
      </c>
      <c r="AX277">
        <f>MIN(K277/4000, 1)*20</f>
        <v>0</v>
      </c>
      <c r="AY277">
        <f>MIN(W277/400,1)*20</f>
        <v>0</v>
      </c>
      <c r="AZ277" s="4">
        <v>1</v>
      </c>
      <c r="BA277">
        <f>((MAX($J277,1)*MIN($AE277/300,1)))*IF(D277="Wagon",50,10)</f>
        <v>0</v>
      </c>
      <c r="BB277">
        <f>VLOOKUP($E277,Constants!$I:$K, 2, FALSE)</f>
        <v>1</v>
      </c>
      <c r="BC277">
        <f>VLOOKUP($E277,Constants!$I:$K, 3, FALSE)*IF(AND(D277="multiple_unit",Y277&lt;110),0.75,1)</f>
        <v>1</v>
      </c>
      <c r="BD277">
        <f>INT(POWER(((Constants!$G$2+$AW277+$AX277+$AY277+$BA277)*$AZ277)*$BC277, 1.05))+$AV277</f>
        <v>5</v>
      </c>
      <c r="BE277">
        <f>INT(POWER((((Constants!$G$1+$AW277+$AX277+$AY277+$BA277)*(1/$AZ277))*$BB277),IF($D277="wagon",1,1.2)))+$AU277</f>
        <v>25</v>
      </c>
      <c r="BF277" s="15">
        <f>BD277*IF($D277="wagon",62.5,781.25)</f>
        <v>3906.25</v>
      </c>
      <c r="BG277" s="15">
        <f>BE277*IF($D277="wagon",2.73,81.25)</f>
        <v>2031.25</v>
      </c>
      <c r="BP277">
        <v>1</v>
      </c>
      <c r="BT277" t="str">
        <f>VLOOKUP(G277,Eras!$A$2:$C$10, 2, TRUE)</f>
        <v>mod</v>
      </c>
      <c r="BU277" t="s">
        <v>385</v>
      </c>
      <c r="BV277" t="str">
        <f>CONCATENATE(BT277,"_",BU277)</f>
        <v>mod_LU</v>
      </c>
      <c r="BW277" t="str">
        <f>IF(AND(BI277&lt;&gt;Y277,BI277&lt;&gt;""),_xlfn.CONCAT("{BLACK}","Tare speed: ","{GOLD}{VELOCITY}{}"), "")</f>
        <v/>
      </c>
      <c r="BX277" t="str">
        <f>_xlfn.CONCAT(E277, "_",F277)</f>
        <v>tube_RAIL</v>
      </c>
      <c r="BY277" t="str">
        <f>VLOOKUP($BX277, Constants!$M:$N, 2, FALSE)</f>
        <v/>
      </c>
      <c r="BZ277" t="str">
        <f>IF(J277&gt;1,_xlfn.CONCAT("{BLACK}Cars: {GOLD}", J277),"")</f>
        <v/>
      </c>
      <c r="CB277" t="str">
        <f>IF(BS277="BRAKE","{YELLOW}Speed bonus for slow wagons{}",IF(BQ277&gt;190,CONCATENATE("{YELLOW}",INT((BQ277-185)/1.85),"% Bonus for long distance travel{}"),IF(AND(BQ277&lt;180,BQ277&lt;&gt;0),CONCATENATE("{YELLOW}",INT((185-BQ277)/1.85),"% Penalty for long distance travel{}"),"")))</f>
        <v/>
      </c>
      <c r="CC277" t="str">
        <f>_xlfn.CONCAT(BW277,BY277,IF(BY277 &lt;&gt; "", " ", ""),BZ277,IF(OR(BZ277&lt;&gt;"", BY277&lt;&gt;""), "{}",""), CB277,"{SILVER}", CA277)</f>
        <v>{SILVER}</v>
      </c>
    </row>
    <row r="278" spans="1:81" x14ac:dyDescent="0.25">
      <c r="A278" t="s">
        <v>122</v>
      </c>
      <c r="B278" t="s">
        <v>266</v>
      </c>
      <c r="D278" t="s">
        <v>168</v>
      </c>
      <c r="E278" t="s">
        <v>1165</v>
      </c>
      <c r="F278" t="s">
        <v>314</v>
      </c>
      <c r="G278">
        <v>1995</v>
      </c>
      <c r="X278" s="4" t="str">
        <f>IF(AND(T278&gt;0,W278&gt;0),(W278/((T278+U278)*10)),"")</f>
        <v/>
      </c>
      <c r="AF278" t="str">
        <f>CONCATENATE(VLOOKUP(AG278, 'Voxel Sizes'!$A$2:$B$18,2,FALSE),"x",INT(AC278*15), "x", INT(AD278*15))</f>
        <v>0x0x0</v>
      </c>
      <c r="AG278">
        <f>ROUND(15*((AB278*10)/256),0)</f>
        <v>0</v>
      </c>
      <c r="AI278" t="str">
        <f>CONCATENATE(VLOOKUP(AG278,Constants!$A$2:$C$16,IF(AH278&lt;&gt;"", 3, 2), FALSE),IF(AH278&lt;&gt;"",CONCATENATE(",",VLOOKUP(AH278,$B:$AI,34,FALSE)),""))</f>
        <v>na</v>
      </c>
      <c r="AS278">
        <v>30</v>
      </c>
      <c r="AT278" t="str">
        <f>IF(I278&lt;&gt;"",MAX(8,(I278-G278)-4),"")</f>
        <v/>
      </c>
      <c r="AW278">
        <f>MIN(Y278/150, 1)*30</f>
        <v>0</v>
      </c>
      <c r="AX278">
        <f>MIN(K278/4000, 1)*20</f>
        <v>0</v>
      </c>
      <c r="AY278">
        <f>MIN(W278/400,1)*20</f>
        <v>0</v>
      </c>
      <c r="AZ278" s="4">
        <v>1</v>
      </c>
      <c r="BA278">
        <f>((MAX($J278,1)*MIN($AE278/300,1)))*IF(D278="Wagon",50,10)</f>
        <v>0</v>
      </c>
      <c r="BB278">
        <f>VLOOKUP($E278,Constants!$I:$K, 2, FALSE)</f>
        <v>1</v>
      </c>
      <c r="BC278">
        <f>VLOOKUP($E278,Constants!$I:$K, 3, FALSE)*IF(AND(D278="multiple_unit",Y278&lt;110),0.75,1)</f>
        <v>1</v>
      </c>
      <c r="BD278">
        <f>INT(POWER(((Constants!$G$2+$AW278+$AX278+$AY278+$BA278)*$AZ278)*$BC278, 1.05))+$AV278</f>
        <v>5</v>
      </c>
      <c r="BE278">
        <f>INT(POWER((((Constants!$G$1+$AW278+$AX278+$AY278+$BA278)*(1/$AZ278))*$BB278),IF($D278="wagon",1,1.2)))+$AU278</f>
        <v>25</v>
      </c>
      <c r="BF278" s="15">
        <f>BD278*IF($D278="wagon",62.5,781.25)</f>
        <v>3906.25</v>
      </c>
      <c r="BG278" s="15">
        <f>BE278*IF($D278="wagon",2.73,81.25)</f>
        <v>2031.25</v>
      </c>
      <c r="BP278">
        <v>2</v>
      </c>
      <c r="BT278" t="str">
        <f>VLOOKUP(G278,Eras!$A$2:$C$10, 2, TRUE)</f>
        <v>prv</v>
      </c>
      <c r="BU278" t="s">
        <v>385</v>
      </c>
      <c r="BV278" t="str">
        <f>CONCATENATE(BT278,"_",BU278)</f>
        <v>prv_LU</v>
      </c>
      <c r="BW278" t="str">
        <f>IF(AND(BI278&lt;&gt;Y278,BI278&lt;&gt;""),_xlfn.CONCAT("{BLACK}","Tare speed: ","{GOLD}{VELOCITY}{}"), "")</f>
        <v/>
      </c>
      <c r="BX278" t="str">
        <f>_xlfn.CONCAT(E278, "_",F278)</f>
        <v>tube_RAIL</v>
      </c>
      <c r="BY278" t="str">
        <f>VLOOKUP($BX278, Constants!$M:$N, 2, FALSE)</f>
        <v/>
      </c>
      <c r="BZ278" t="str">
        <f>IF(J278&gt;1,_xlfn.CONCAT("{BLACK}Cars: {GOLD}", J278),"")</f>
        <v/>
      </c>
      <c r="CB278" t="str">
        <f>IF(BS278="BRAKE","{YELLOW}Speed bonus for slow wagons{}",IF(BQ278&gt;190,CONCATENATE("{YELLOW}",INT((BQ278-185)/1.85),"% Bonus for long distance travel{}"),IF(AND(BQ278&lt;180,BQ278&lt;&gt;0),CONCATENATE("{YELLOW}",INT((185-BQ278)/1.85),"% Penalty for long distance travel{}"),"")))</f>
        <v/>
      </c>
      <c r="CC278" t="str">
        <f>_xlfn.CONCAT(BW278,BY278,IF(BY278 &lt;&gt; "", " ", ""),BZ278,IF(OR(BZ278&lt;&gt;"", BY278&lt;&gt;""), "{}",""), CB278,"{SILVER}", CA278)</f>
        <v>{SILVER}</v>
      </c>
    </row>
    <row r="279" spans="1:81" x14ac:dyDescent="0.25">
      <c r="A279" t="s">
        <v>121</v>
      </c>
      <c r="B279" t="s">
        <v>232</v>
      </c>
      <c r="D279" t="s">
        <v>168</v>
      </c>
      <c r="E279" t="s">
        <v>1165</v>
      </c>
      <c r="F279" t="s">
        <v>314</v>
      </c>
      <c r="G279">
        <v>1992</v>
      </c>
      <c r="X279" s="4" t="str">
        <f>IF(AND(T279&gt;0,W279&gt;0),(W279/((T279+U279)*10)),"")</f>
        <v/>
      </c>
      <c r="AF279" t="str">
        <f>CONCATENATE(VLOOKUP(AG279, 'Voxel Sizes'!$A$2:$B$18,2,FALSE),"x",INT(AC279*15), "x", INT(AD279*15))</f>
        <v>0x0x0</v>
      </c>
      <c r="AG279">
        <f>ROUND(15*((AB279*10)/256),0)</f>
        <v>0</v>
      </c>
      <c r="AI279" t="str">
        <f>CONCATENATE(VLOOKUP(AG279,Constants!$A$2:$C$16,IF(AH279&lt;&gt;"", 3, 2), FALSE),IF(AH279&lt;&gt;"",CONCATENATE(",",VLOOKUP(AH279,$B:$AI,34,FALSE)),""))</f>
        <v>na</v>
      </c>
      <c r="AS279">
        <v>30</v>
      </c>
      <c r="AT279" t="str">
        <f>IF(I279&lt;&gt;"",MAX(8,(I279-G279)-4),"")</f>
        <v/>
      </c>
      <c r="AW279">
        <f>MIN(Y279/150, 1)*30</f>
        <v>0</v>
      </c>
      <c r="AX279">
        <f>MIN(K279/4000, 1)*20</f>
        <v>0</v>
      </c>
      <c r="AY279">
        <f>MIN(W279/400,1)*20</f>
        <v>0</v>
      </c>
      <c r="AZ279" s="4">
        <v>1</v>
      </c>
      <c r="BA279">
        <f>((MAX($J279,1)*MIN($AE279/300,1)))*IF(D279="Wagon",50,10)</f>
        <v>0</v>
      </c>
      <c r="BB279">
        <f>VLOOKUP($E279,Constants!$I:$K, 2, FALSE)</f>
        <v>1</v>
      </c>
      <c r="BC279">
        <f>VLOOKUP($E279,Constants!$I:$K, 3, FALSE)*IF(AND(D279="multiple_unit",Y279&lt;110),0.75,1)</f>
        <v>1</v>
      </c>
      <c r="BD279">
        <f>INT(POWER(((Constants!$G$2+$AW279+$AX279+$AY279+$BA279)*$AZ279)*$BC279, 1.05))+$AV279</f>
        <v>5</v>
      </c>
      <c r="BE279">
        <f>INT(POWER((((Constants!$G$1+$AW279+$AX279+$AY279+$BA279)*(1/$AZ279))*$BB279),IF($D279="wagon",1,1.2)))+$AU279</f>
        <v>25</v>
      </c>
      <c r="BF279" s="15">
        <f>BD279*IF($D279="wagon",62.5,781.25)</f>
        <v>3906.25</v>
      </c>
      <c r="BG279" s="15">
        <f>BE279*IF($D279="wagon",2.73,81.25)</f>
        <v>2031.25</v>
      </c>
      <c r="BP279">
        <v>3</v>
      </c>
      <c r="BT279" t="str">
        <f>VLOOKUP(G279,Eras!$A$2:$C$10, 2, TRUE)</f>
        <v>lbr</v>
      </c>
      <c r="BU279" t="s">
        <v>385</v>
      </c>
      <c r="BV279" t="str">
        <f>CONCATENATE(BT279,"_",BU279)</f>
        <v>lbr_LU</v>
      </c>
      <c r="BW279" t="str">
        <f>IF(AND(BI279&lt;&gt;Y279,BI279&lt;&gt;""),_xlfn.CONCAT("{BLACK}","Tare speed: ","{GOLD}{VELOCITY}{}"), "")</f>
        <v/>
      </c>
      <c r="BX279" t="str">
        <f>_xlfn.CONCAT(E279, "_",F279)</f>
        <v>tube_RAIL</v>
      </c>
      <c r="BY279" t="str">
        <f>VLOOKUP($BX279, Constants!$M:$N, 2, FALSE)</f>
        <v/>
      </c>
      <c r="BZ279" t="str">
        <f>IF(J279&gt;1,_xlfn.CONCAT("{BLACK}Cars: {GOLD}", J279),"")</f>
        <v/>
      </c>
      <c r="CB279" t="str">
        <f>IF(BS279="BRAKE","{YELLOW}Speed bonus for slow wagons{}",IF(BQ279&gt;190,CONCATENATE("{YELLOW}",INT((BQ279-185)/1.85),"% Bonus for long distance travel{}"),IF(AND(BQ279&lt;180,BQ279&lt;&gt;0),CONCATENATE("{YELLOW}",INT((185-BQ279)/1.85),"% Penalty for long distance travel{}"),"")))</f>
        <v/>
      </c>
      <c r="CC279" t="str">
        <f>_xlfn.CONCAT(BW279,BY279,IF(BY279 &lt;&gt; "", " ", ""),BZ279,IF(OR(BZ279&lt;&gt;"", BY279&lt;&gt;""), "{}",""), CB279,"{SILVER}", CA279)</f>
        <v>{SILVER}</v>
      </c>
    </row>
    <row r="280" spans="1:81" x14ac:dyDescent="0.25">
      <c r="A280" t="s">
        <v>1253</v>
      </c>
      <c r="B280" t="s">
        <v>1256</v>
      </c>
      <c r="D280" t="s">
        <v>168</v>
      </c>
      <c r="E280" t="s">
        <v>312</v>
      </c>
      <c r="F280" t="s">
        <v>314</v>
      </c>
      <c r="X280" s="4" t="str">
        <f>IF(AND(T280&gt;0,W280&gt;0),(W280/((T280+U280)*10)),"")</f>
        <v/>
      </c>
      <c r="AF280" t="str">
        <f>CONCATENATE(VLOOKUP(AG280, 'Voxel Sizes'!$A$2:$B$18,2,FALSE),"x",INT(AC280*15), "x", INT(AD280*15))</f>
        <v>0x0x0</v>
      </c>
      <c r="AG280">
        <f>ROUND(15*((AB280*10)/256),0)</f>
        <v>0</v>
      </c>
      <c r="AI280" t="str">
        <f>CONCATENATE(VLOOKUP(AG280,Constants!$A$2:$C$16,IF(AH280&lt;&gt;"", 3, 2), FALSE),IF(AH280&lt;&gt;"",CONCATENATE(",",VLOOKUP(AH280,$B:$AI,34,FALSE)),""))</f>
        <v>na</v>
      </c>
      <c r="AT280" t="str">
        <f>IF(I280&lt;&gt;"",MAX(8,(I280-G280)-4),"")</f>
        <v/>
      </c>
      <c r="AW280">
        <f>MIN(Y280/150, 1)*30</f>
        <v>0</v>
      </c>
      <c r="AX280">
        <f>MIN(K280/4000, 1)*20</f>
        <v>0</v>
      </c>
      <c r="AY280">
        <f>MIN(W280/400,1)*20</f>
        <v>0</v>
      </c>
      <c r="AZ280" s="4">
        <v>1</v>
      </c>
      <c r="BA280">
        <f>((MAX($J280,1)*MIN($AE280/300,1)))*IF(D280="Wagon",50,10)</f>
        <v>0</v>
      </c>
      <c r="BB280">
        <f>VLOOKUP($E280,Constants!$I:$K, 2, FALSE)</f>
        <v>1</v>
      </c>
      <c r="BC280">
        <f>VLOOKUP($E280,Constants!$I:$K, 3, FALSE)*IF(AND(D280="multiple_unit",Y280&lt;110),0.75,1)</f>
        <v>2</v>
      </c>
      <c r="BD280">
        <f>INT(POWER(((Constants!$G$2+$AW280+$AX280+$AY280+$BA280)*$AZ280)*$BC280, 1.05))+$AV280</f>
        <v>11</v>
      </c>
      <c r="BE280">
        <f>INT(POWER((((Constants!$G$1+$AW280+$AX280+$AY280+$BA280)*(1/$AZ280))*$BB280),IF($D280="wagon",1,1.2)))+$AU280</f>
        <v>25</v>
      </c>
      <c r="BF280" s="15">
        <f>BD280*IF($D280="wagon",62.5,781.25)</f>
        <v>8593.75</v>
      </c>
      <c r="BG280" s="15">
        <f>BE280*IF($D280="wagon",2.73,81.25)</f>
        <v>2031.25</v>
      </c>
      <c r="BP280">
        <v>4</v>
      </c>
      <c r="BT280" t="e">
        <f>VLOOKUP(G280,Eras!$A$2:$C$10, 2, TRUE)</f>
        <v>#N/A</v>
      </c>
      <c r="BV280" t="e">
        <f>CONCATENATE(BT280,"_",BU280)</f>
        <v>#N/A</v>
      </c>
      <c r="BX280" t="str">
        <f>_xlfn.CONCAT(E280, "_",F280)</f>
        <v>diesel_RAIL</v>
      </c>
      <c r="BY280" t="str">
        <f>VLOOKUP($BX280, Constants!$M:$N, 2, FALSE)</f>
        <v>{BLACK}Powered by: {GOLD}Diesel</v>
      </c>
      <c r="BZ280" t="str">
        <f>IF(J280&gt;1,_xlfn.CONCAT("{BLACK}Cars: {GOLD}", J280),"")</f>
        <v/>
      </c>
      <c r="CC280" t="str">
        <f>_xlfn.CONCAT(BW280,BY280,IF(BY280 &lt;&gt; "", " ", ""),BZ280,IF(OR(BZ280&lt;&gt;"", BY280&lt;&gt;""), "{}",""), CB280,"{SILVER}", CA280)</f>
        <v>{BLACK}Powered by: {GOLD}Diesel {}{SILVER}</v>
      </c>
    </row>
    <row r="281" spans="1:81" x14ac:dyDescent="0.25">
      <c r="A281" t="s">
        <v>1255</v>
      </c>
      <c r="B281" t="s">
        <v>1258</v>
      </c>
      <c r="D281" t="s">
        <v>168</v>
      </c>
      <c r="E281" t="s">
        <v>312</v>
      </c>
      <c r="F281" t="s">
        <v>314</v>
      </c>
      <c r="X281" s="4" t="str">
        <f>IF(AND(T281&gt;0,W281&gt;0),(W281/((T281+U281)*10)),"")</f>
        <v/>
      </c>
      <c r="AF281" t="str">
        <f>CONCATENATE(VLOOKUP(AG281, 'Voxel Sizes'!$A$2:$B$18,2,FALSE),"x",INT(AC281*15), "x", INT(AD281*15))</f>
        <v>0x0x0</v>
      </c>
      <c r="AG281">
        <f>ROUND(15*((AB281*10)/256),0)</f>
        <v>0</v>
      </c>
      <c r="AI281" t="str">
        <f>CONCATENATE(VLOOKUP(AG281,Constants!$A$2:$C$16,IF(AH281&lt;&gt;"", 3, 2), FALSE),IF(AH281&lt;&gt;"",CONCATENATE(",",VLOOKUP(AH281,$B:$AI,34,FALSE)),""))</f>
        <v>na</v>
      </c>
      <c r="AT281" t="str">
        <f>IF(I281&lt;&gt;"",MAX(8,(I281-G281)-4),"")</f>
        <v/>
      </c>
      <c r="AW281">
        <f>MIN(Y281/150, 1)*30</f>
        <v>0</v>
      </c>
      <c r="AX281">
        <f>MIN(K281/4000, 1)*20</f>
        <v>0</v>
      </c>
      <c r="AY281">
        <f>MIN(W281/400,1)*20</f>
        <v>0</v>
      </c>
      <c r="AZ281" s="4">
        <v>1</v>
      </c>
      <c r="BA281">
        <f>((MAX($J281,1)*MIN($AE281/300,1)))*IF(D281="Wagon",50,10)</f>
        <v>0</v>
      </c>
      <c r="BB281">
        <f>VLOOKUP($E281,Constants!$I:$K, 2, FALSE)</f>
        <v>1</v>
      </c>
      <c r="BC281">
        <f>VLOOKUP($E281,Constants!$I:$K, 3, FALSE)*IF(AND(D281="multiple_unit",Y281&lt;110),0.75,1)</f>
        <v>2</v>
      </c>
      <c r="BD281">
        <f>INT(POWER(((Constants!$G$2+$AW281+$AX281+$AY281+$BA281)*$AZ281)*$BC281, 1.05))+$AV281</f>
        <v>11</v>
      </c>
      <c r="BE281">
        <f>INT(POWER((((Constants!$G$1+$AW281+$AX281+$AY281+$BA281)*(1/$AZ281))*$BB281),IF($D281="wagon",1,1.2)))+$AU281</f>
        <v>25</v>
      </c>
      <c r="BF281" s="15">
        <f>BD281*IF($D281="wagon",62.5,781.25)</f>
        <v>8593.75</v>
      </c>
      <c r="BG281" s="15">
        <f>BE281*IF($D281="wagon",2.73,81.25)</f>
        <v>2031.25</v>
      </c>
      <c r="BP281">
        <v>6</v>
      </c>
      <c r="BT281" t="e">
        <f>VLOOKUP(G281,Eras!$A$2:$C$10, 2, TRUE)</f>
        <v>#N/A</v>
      </c>
      <c r="BV281" t="e">
        <f>CONCATENATE(BT281,"_",BU281)</f>
        <v>#N/A</v>
      </c>
      <c r="BX281" t="str">
        <f>_xlfn.CONCAT(E281, "_",F281)</f>
        <v>diesel_RAIL</v>
      </c>
      <c r="CC281" t="str">
        <f>_xlfn.CONCAT(BW281,BY281,IF(BY281 &lt;&gt; "", " ", ""),BZ281,IF(OR(BZ281&lt;&gt;"", BY281&lt;&gt;""), "{}",""), CB281,"{SILVER}", CA281)</f>
        <v>{SILVER}</v>
      </c>
    </row>
  </sheetData>
  <autoFilter ref="A1:CA279" xr:uid="{CF2E8555-48EE-4386-A1B1-369F6A2E644F}">
    <sortState xmlns:xlrd2="http://schemas.microsoft.com/office/spreadsheetml/2017/richdata2" ref="A2:CA276">
      <sortCondition ref="C100"/>
    </sortState>
  </autoFilter>
  <sortState xmlns:xlrd2="http://schemas.microsoft.com/office/spreadsheetml/2017/richdata2" ref="A2:CC281">
    <sortCondition ref="C233"/>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5</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5</v>
      </c>
      <c r="O11">
        <f>COUNTIF(Table!$BV:$BV,CONCATENATE($A11,"_",O$1))</f>
        <v>2</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1266</v>
      </c>
      <c r="N1" s="1" t="s">
        <v>1267</v>
      </c>
      <c r="O1" s="1" t="s">
        <v>161</v>
      </c>
    </row>
    <row r="2" spans="1:15" x14ac:dyDescent="0.25">
      <c r="A2" s="2">
        <v>0</v>
      </c>
      <c r="B2" s="2" t="s">
        <v>168</v>
      </c>
      <c r="F2" s="1" t="s">
        <v>1154</v>
      </c>
      <c r="G2">
        <v>5</v>
      </c>
      <c r="I2" t="s">
        <v>312</v>
      </c>
      <c r="J2">
        <v>1</v>
      </c>
      <c r="K2">
        <v>2</v>
      </c>
      <c r="M2" t="s">
        <v>1268</v>
      </c>
      <c r="N2" t="str">
        <f>IF(O2&lt;&gt;"", _xlfn.CONCAT("{BLACK}Powered by: {GOLD}",O2), "")</f>
        <v>{BLACK}Powered by: {GOLD}Diesel</v>
      </c>
      <c r="O2" t="s">
        <v>1277</v>
      </c>
    </row>
    <row r="3" spans="1:15" x14ac:dyDescent="0.25">
      <c r="A3">
        <v>3</v>
      </c>
      <c r="B3" t="s">
        <v>332</v>
      </c>
      <c r="C3" t="s">
        <v>332</v>
      </c>
      <c r="I3" t="s">
        <v>336</v>
      </c>
      <c r="J3">
        <v>0.85</v>
      </c>
      <c r="K3">
        <v>2.2999999999999998</v>
      </c>
      <c r="M3" t="s">
        <v>1269</v>
      </c>
      <c r="N3" t="str">
        <f t="shared" ref="N3:N17" si="0">IF(O3&lt;&gt;"", _xlfn.CONCAT("{BLACK}Powered by: {GOLD}",O3), "")</f>
        <v>{BLACK}Powered by: {GOLD}Steam</v>
      </c>
      <c r="O3" t="s">
        <v>1278</v>
      </c>
    </row>
    <row r="4" spans="1:15" x14ac:dyDescent="0.25">
      <c r="A4">
        <v>4</v>
      </c>
      <c r="B4" t="s">
        <v>762</v>
      </c>
      <c r="C4" t="s">
        <v>762</v>
      </c>
      <c r="I4" t="s">
        <v>311</v>
      </c>
      <c r="J4">
        <v>1.1499999999999999</v>
      </c>
      <c r="K4">
        <v>1.7</v>
      </c>
      <c r="M4" t="s">
        <v>1270</v>
      </c>
      <c r="N4" t="str">
        <f t="shared" si="0"/>
        <v>{BLACK}Powered by: {GOLD}25kV AC</v>
      </c>
      <c r="O4" t="s">
        <v>1279</v>
      </c>
    </row>
    <row r="5" spans="1:15" x14ac:dyDescent="0.25">
      <c r="A5">
        <v>5</v>
      </c>
      <c r="B5" t="s">
        <v>757</v>
      </c>
      <c r="C5" t="s">
        <v>757</v>
      </c>
      <c r="I5" t="s">
        <v>585</v>
      </c>
      <c r="J5">
        <v>0.9</v>
      </c>
      <c r="K5">
        <v>2.5</v>
      </c>
      <c r="M5" t="s">
        <v>1281</v>
      </c>
      <c r="N5" t="str">
        <f t="shared" si="0"/>
        <v>{BLACK}Powered by: {GOLD}750V DC</v>
      </c>
      <c r="O5" t="s">
        <v>1280</v>
      </c>
    </row>
    <row r="6" spans="1:15" x14ac:dyDescent="0.25">
      <c r="A6">
        <v>6</v>
      </c>
      <c r="B6" t="s">
        <v>344</v>
      </c>
      <c r="C6" t="s">
        <v>344</v>
      </c>
      <c r="I6" t="s">
        <v>596</v>
      </c>
      <c r="J6">
        <v>0.85</v>
      </c>
      <c r="K6">
        <v>2.4</v>
      </c>
      <c r="M6" t="s">
        <v>1272</v>
      </c>
      <c r="N6" t="str">
        <f t="shared" si="0"/>
        <v/>
      </c>
    </row>
    <row r="7" spans="1:15" x14ac:dyDescent="0.25">
      <c r="A7">
        <v>7</v>
      </c>
      <c r="B7" t="s">
        <v>755</v>
      </c>
      <c r="C7" t="s">
        <v>755</v>
      </c>
      <c r="I7" t="s">
        <v>1162</v>
      </c>
      <c r="J7">
        <v>1.2</v>
      </c>
      <c r="K7">
        <v>0.6</v>
      </c>
      <c r="M7" t="s">
        <v>1273</v>
      </c>
      <c r="N7" t="str">
        <f t="shared" si="0"/>
        <v/>
      </c>
    </row>
    <row r="8" spans="1:15" x14ac:dyDescent="0.25">
      <c r="A8">
        <v>8</v>
      </c>
      <c r="B8" t="s">
        <v>752</v>
      </c>
      <c r="C8" t="s">
        <v>752</v>
      </c>
      <c r="I8" t="s">
        <v>1163</v>
      </c>
      <c r="J8">
        <v>1.5</v>
      </c>
      <c r="K8">
        <v>0.7</v>
      </c>
      <c r="M8" t="s">
        <v>1274</v>
      </c>
      <c r="N8" t="str">
        <f t="shared" si="0"/>
        <v/>
      </c>
    </row>
    <row r="9" spans="1:15" x14ac:dyDescent="0.25">
      <c r="A9">
        <v>9</v>
      </c>
      <c r="B9" t="s">
        <v>754</v>
      </c>
      <c r="C9" t="s">
        <v>754</v>
      </c>
      <c r="I9" t="s">
        <v>321</v>
      </c>
      <c r="J9">
        <v>1</v>
      </c>
      <c r="K9">
        <v>0.45</v>
      </c>
      <c r="M9" t="s">
        <v>1275</v>
      </c>
      <c r="N9" t="str">
        <f t="shared" si="0"/>
        <v/>
      </c>
    </row>
    <row r="10" spans="1:15" x14ac:dyDescent="0.25">
      <c r="A10">
        <v>10</v>
      </c>
      <c r="B10" t="s">
        <v>756</v>
      </c>
      <c r="C10" t="s">
        <v>756</v>
      </c>
      <c r="I10" t="s">
        <v>1164</v>
      </c>
      <c r="J10">
        <v>1</v>
      </c>
      <c r="K10">
        <v>0.4</v>
      </c>
      <c r="M10" t="s">
        <v>1276</v>
      </c>
      <c r="N10" t="str">
        <f t="shared" si="0"/>
        <v/>
      </c>
    </row>
    <row r="11" spans="1:15" x14ac:dyDescent="0.25">
      <c r="A11">
        <v>11</v>
      </c>
      <c r="B11" t="s">
        <v>758</v>
      </c>
      <c r="C11" t="s">
        <v>758</v>
      </c>
      <c r="I11" t="s">
        <v>1165</v>
      </c>
      <c r="J11">
        <v>1</v>
      </c>
      <c r="K11">
        <v>1</v>
      </c>
      <c r="M11" t="s">
        <v>1282</v>
      </c>
      <c r="N11" t="str">
        <f t="shared" si="0"/>
        <v>{BLACK}Powered by: {GOLD}750V DC / Diesel</v>
      </c>
      <c r="O11" t="s">
        <v>1283</v>
      </c>
    </row>
    <row r="12" spans="1:15" x14ac:dyDescent="0.25">
      <c r="A12">
        <v>12</v>
      </c>
      <c r="B12" t="s">
        <v>751</v>
      </c>
      <c r="C12" t="s">
        <v>751</v>
      </c>
      <c r="I12" t="s">
        <v>331</v>
      </c>
      <c r="J12">
        <v>0</v>
      </c>
      <c r="K12">
        <v>0</v>
      </c>
      <c r="M12" t="s">
        <v>1284</v>
      </c>
      <c r="N12" t="str">
        <f t="shared" si="0"/>
        <v>{BLACK}Powered by: {GOLD}25kV AC / 750V DC</v>
      </c>
      <c r="O12" t="s">
        <v>1285</v>
      </c>
    </row>
    <row r="13" spans="1:15" x14ac:dyDescent="0.25">
      <c r="A13">
        <v>13</v>
      </c>
      <c r="B13" t="s">
        <v>759</v>
      </c>
      <c r="C13" t="s">
        <v>759</v>
      </c>
      <c r="I13" t="s">
        <v>1289</v>
      </c>
      <c r="J13">
        <v>1.05</v>
      </c>
      <c r="K13">
        <v>1.9</v>
      </c>
      <c r="M13" t="s">
        <v>1286</v>
      </c>
      <c r="N13" t="str">
        <f t="shared" si="0"/>
        <v/>
      </c>
    </row>
    <row r="14" spans="1:15" x14ac:dyDescent="0.25">
      <c r="A14">
        <v>14</v>
      </c>
      <c r="B14" t="s">
        <v>753</v>
      </c>
      <c r="C14" t="s">
        <v>753</v>
      </c>
      <c r="M14" t="s">
        <v>1287</v>
      </c>
      <c r="N14" t="str">
        <f t="shared" si="0"/>
        <v/>
      </c>
    </row>
    <row r="15" spans="1:15" x14ac:dyDescent="0.25">
      <c r="A15">
        <v>15</v>
      </c>
      <c r="B15" t="s">
        <v>760</v>
      </c>
      <c r="C15" t="s">
        <v>760</v>
      </c>
      <c r="M15" t="s">
        <v>1288</v>
      </c>
      <c r="N15" t="str">
        <f t="shared" si="0"/>
        <v/>
      </c>
    </row>
    <row r="16" spans="1:15" x14ac:dyDescent="0.25">
      <c r="A16">
        <v>16</v>
      </c>
      <c r="B16" t="s">
        <v>761</v>
      </c>
      <c r="C16" t="s">
        <v>761</v>
      </c>
      <c r="M16" t="s">
        <v>1290</v>
      </c>
      <c r="N16" t="str">
        <f t="shared" si="0"/>
        <v>{BLACK}Powered by: {GOLD}Petrol</v>
      </c>
      <c r="O16" t="s">
        <v>954</v>
      </c>
    </row>
    <row r="17" spans="13:15" x14ac:dyDescent="0.25">
      <c r="M17" t="s">
        <v>1305</v>
      </c>
      <c r="N17" t="str">
        <f t="shared" si="0"/>
        <v>{BLACK}Powered by: {GOLD}25kV AC / Diesel</v>
      </c>
      <c r="O17" t="s">
        <v>1306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1298</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1309</v>
      </c>
    </row>
    <row r="43" spans="1:6" x14ac:dyDescent="0.25">
      <c r="A43" t="s">
        <v>733</v>
      </c>
      <c r="B43" t="s">
        <v>1308</v>
      </c>
      <c r="C43" t="s">
        <v>1311</v>
      </c>
      <c r="D43" t="s">
        <v>1313</v>
      </c>
      <c r="E43" t="s">
        <v>1312</v>
      </c>
      <c r="F43" t="s">
        <v>1310</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2020-08-13T22:57:02Z</dcterms:modified>
</cp:coreProperties>
</file>