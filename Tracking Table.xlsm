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8524E9BC-906D-40C4-B9EA-34133AB09E85}" xr6:coauthVersionLast="45" xr6:coauthVersionMax="45" xr10:uidLastSave="{00000000-0000-0000-0000-000000000000}"/>
  <bookViews>
    <workbookView xWindow="195" yWindow="2010" windowWidth="21675" windowHeight="12210" xr2:uid="{F6BD1511-EB94-45B5-99E9-5A8B1986E383}"/>
  </bookViews>
  <sheets>
    <sheet name="Table" sheetId="1" r:id="rId1"/>
    <sheet name="Articulated Length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73" i="1" l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V77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W21" i="1" s="1"/>
  <c r="V22" i="1"/>
  <c r="V23" i="1"/>
  <c r="V24" i="1"/>
  <c r="V25" i="1"/>
  <c r="V26" i="1"/>
  <c r="V27" i="1"/>
  <c r="V28" i="1"/>
  <c r="V29" i="1"/>
  <c r="W29" i="1" s="1"/>
  <c r="V30" i="1"/>
  <c r="V31" i="1"/>
  <c r="V32" i="1"/>
  <c r="V33" i="1"/>
  <c r="V34" i="1"/>
  <c r="V35" i="1"/>
  <c r="V36" i="1"/>
  <c r="V37" i="1"/>
  <c r="W37" i="1" s="1"/>
  <c r="V38" i="1"/>
  <c r="V39" i="1"/>
  <c r="V40" i="1"/>
  <c r="V41" i="1"/>
  <c r="V42" i="1"/>
  <c r="V43" i="1"/>
  <c r="V44" i="1"/>
  <c r="V45" i="1"/>
  <c r="W45" i="1" s="1"/>
  <c r="V46" i="1"/>
  <c r="V47" i="1"/>
  <c r="V48" i="1"/>
  <c r="V49" i="1"/>
  <c r="V50" i="1"/>
  <c r="V51" i="1"/>
  <c r="V52" i="1"/>
  <c r="V53" i="1"/>
  <c r="W53" i="1" s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W71" i="1" s="1"/>
  <c r="V72" i="1"/>
  <c r="W72" i="1" s="1"/>
  <c r="V73" i="1"/>
  <c r="V74" i="1"/>
  <c r="V75" i="1"/>
  <c r="V76" i="1"/>
  <c r="W77" i="1"/>
  <c r="V78" i="1"/>
  <c r="V79" i="1"/>
  <c r="V80" i="1"/>
  <c r="V81" i="1"/>
  <c r="V82" i="1"/>
  <c r="V83" i="1"/>
  <c r="V84" i="1"/>
  <c r="V85" i="1"/>
  <c r="W85" i="1" s="1"/>
  <c r="V86" i="1"/>
  <c r="V87" i="1"/>
  <c r="W87" i="1" s="1"/>
  <c r="V88" i="1"/>
  <c r="V89" i="1"/>
  <c r="V90" i="1"/>
  <c r="V91" i="1"/>
  <c r="V92" i="1"/>
  <c r="V93" i="1"/>
  <c r="W93" i="1" s="1"/>
  <c r="V94" i="1"/>
  <c r="V95" i="1"/>
  <c r="W95" i="1" s="1"/>
  <c r="V96" i="1"/>
  <c r="V97" i="1"/>
  <c r="V98" i="1"/>
  <c r="V99" i="1"/>
  <c r="V100" i="1"/>
  <c r="V101" i="1"/>
  <c r="W101" i="1" s="1"/>
  <c r="V102" i="1"/>
  <c r="V103" i="1"/>
  <c r="W103" i="1" s="1"/>
  <c r="V104" i="1"/>
  <c r="V105" i="1"/>
  <c r="V106" i="1"/>
  <c r="V107" i="1"/>
  <c r="V108" i="1"/>
  <c r="V109" i="1"/>
  <c r="W109" i="1" s="1"/>
  <c r="V110" i="1"/>
  <c r="V111" i="1"/>
  <c r="W111" i="1" s="1"/>
  <c r="V112" i="1"/>
  <c r="V113" i="1"/>
  <c r="V114" i="1"/>
  <c r="V115" i="1"/>
  <c r="V116" i="1"/>
  <c r="V117" i="1"/>
  <c r="W117" i="1" s="1"/>
  <c r="V118" i="1"/>
  <c r="V119" i="1"/>
  <c r="V120" i="1"/>
  <c r="V121" i="1"/>
  <c r="V122" i="1"/>
  <c r="V123" i="1"/>
  <c r="V124" i="1"/>
  <c r="V125" i="1"/>
  <c r="W125" i="1" s="1"/>
  <c r="V126" i="1"/>
  <c r="V127" i="1"/>
  <c r="W127" i="1" s="1"/>
  <c r="V128" i="1"/>
  <c r="V129" i="1"/>
  <c r="V130" i="1"/>
  <c r="V131" i="1"/>
  <c r="V132" i="1"/>
  <c r="V133" i="1"/>
  <c r="W133" i="1" s="1"/>
  <c r="V134" i="1"/>
  <c r="V135" i="1"/>
  <c r="W135" i="1" s="1"/>
  <c r="V136" i="1"/>
  <c r="V137" i="1"/>
  <c r="V138" i="1"/>
  <c r="V139" i="1"/>
  <c r="V140" i="1"/>
  <c r="V141" i="1"/>
  <c r="W141" i="1" s="1"/>
  <c r="V142" i="1"/>
  <c r="V143" i="1"/>
  <c r="W143" i="1" s="1"/>
  <c r="V144" i="1"/>
  <c r="V145" i="1"/>
  <c r="V146" i="1"/>
  <c r="V147" i="1"/>
  <c r="V148" i="1"/>
  <c r="V149" i="1"/>
  <c r="W149" i="1" s="1"/>
  <c r="V150" i="1"/>
  <c r="V151" i="1"/>
  <c r="W151" i="1" s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W165" i="1" s="1"/>
  <c r="V166" i="1"/>
  <c r="V167" i="1"/>
  <c r="W167" i="1" s="1"/>
  <c r="V168" i="1"/>
  <c r="V169" i="1"/>
  <c r="V170" i="1"/>
  <c r="V171" i="1"/>
  <c r="V172" i="1"/>
  <c r="V173" i="1"/>
  <c r="W173" i="1" s="1"/>
  <c r="V174" i="1"/>
  <c r="V175" i="1"/>
  <c r="W175" i="1" s="1"/>
  <c r="V177" i="1"/>
  <c r="V178" i="1"/>
  <c r="V179" i="1"/>
  <c r="V180" i="1"/>
  <c r="V181" i="1"/>
  <c r="V182" i="1"/>
  <c r="V183" i="1"/>
  <c r="V184" i="1"/>
  <c r="W184" i="1" s="1"/>
  <c r="V185" i="1"/>
  <c r="V186" i="1"/>
  <c r="V187" i="1"/>
  <c r="V188" i="1"/>
  <c r="V189" i="1"/>
  <c r="V190" i="1"/>
  <c r="V191" i="1"/>
  <c r="V192" i="1"/>
  <c r="W192" i="1" s="1"/>
  <c r="V193" i="1"/>
  <c r="V194" i="1"/>
  <c r="W194" i="1" s="1"/>
  <c r="V195" i="1"/>
  <c r="V196" i="1"/>
  <c r="V197" i="1"/>
  <c r="V198" i="1"/>
  <c r="V176" i="1"/>
  <c r="W176" i="1" s="1"/>
  <c r="V2" i="1"/>
  <c r="V3" i="1"/>
  <c r="V4" i="1"/>
  <c r="V5" i="1"/>
  <c r="W10" i="1"/>
  <c r="W12" i="1"/>
  <c r="W18" i="1"/>
  <c r="W20" i="1"/>
  <c r="W26" i="1"/>
  <c r="W28" i="1"/>
  <c r="W34" i="1"/>
  <c r="W36" i="1"/>
  <c r="W42" i="1"/>
  <c r="W44" i="1"/>
  <c r="W58" i="1"/>
  <c r="W60" i="1"/>
  <c r="W66" i="1"/>
  <c r="W74" i="1"/>
  <c r="W82" i="1"/>
  <c r="W90" i="1"/>
  <c r="W92" i="1"/>
  <c r="W100" i="1"/>
  <c r="W106" i="1"/>
  <c r="W122" i="1"/>
  <c r="W124" i="1"/>
  <c r="W130" i="1"/>
  <c r="W138" i="1"/>
  <c r="W146" i="1"/>
  <c r="W154" i="1"/>
  <c r="W156" i="1"/>
  <c r="W170" i="1"/>
  <c r="W186" i="1"/>
  <c r="W9" i="1"/>
  <c r="W17" i="1"/>
  <c r="W25" i="1"/>
  <c r="W33" i="1"/>
  <c r="W41" i="1"/>
  <c r="W49" i="1"/>
  <c r="W57" i="1"/>
  <c r="W65" i="1"/>
  <c r="W73" i="1"/>
  <c r="W81" i="1"/>
  <c r="W89" i="1"/>
  <c r="W97" i="1"/>
  <c r="W105" i="1"/>
  <c r="W113" i="1"/>
  <c r="W121" i="1"/>
  <c r="W129" i="1"/>
  <c r="W137" i="1"/>
  <c r="W145" i="1"/>
  <c r="W153" i="1"/>
  <c r="W161" i="1"/>
  <c r="W169" i="1"/>
  <c r="W177" i="1"/>
  <c r="W185" i="1"/>
  <c r="W193" i="1"/>
  <c r="W198" i="1"/>
  <c r="W3" i="1"/>
  <c r="W4" i="1"/>
  <c r="W5" i="1"/>
  <c r="W6" i="1"/>
  <c r="W7" i="1"/>
  <c r="W8" i="1"/>
  <c r="W11" i="1"/>
  <c r="W13" i="1"/>
  <c r="W14" i="1"/>
  <c r="W15" i="1"/>
  <c r="W16" i="1"/>
  <c r="W19" i="1"/>
  <c r="W22" i="1"/>
  <c r="W23" i="1"/>
  <c r="W24" i="1"/>
  <c r="W27" i="1"/>
  <c r="W30" i="1"/>
  <c r="W31" i="1"/>
  <c r="W32" i="1"/>
  <c r="W35" i="1"/>
  <c r="W38" i="1"/>
  <c r="W39" i="1"/>
  <c r="W40" i="1"/>
  <c r="W43" i="1"/>
  <c r="W46" i="1"/>
  <c r="W47" i="1"/>
  <c r="W48" i="1"/>
  <c r="W50" i="1"/>
  <c r="W51" i="1"/>
  <c r="W52" i="1"/>
  <c r="W54" i="1"/>
  <c r="W55" i="1"/>
  <c r="W56" i="1"/>
  <c r="W59" i="1"/>
  <c r="W61" i="1"/>
  <c r="W62" i="1"/>
  <c r="W63" i="1"/>
  <c r="W64" i="1"/>
  <c r="W67" i="1"/>
  <c r="W68" i="1"/>
  <c r="W69" i="1"/>
  <c r="W70" i="1"/>
  <c r="W75" i="1"/>
  <c r="W76" i="1"/>
  <c r="W78" i="1"/>
  <c r="W79" i="1"/>
  <c r="W80" i="1"/>
  <c r="W83" i="1"/>
  <c r="W84" i="1"/>
  <c r="W86" i="1"/>
  <c r="W88" i="1"/>
  <c r="W91" i="1"/>
  <c r="W94" i="1"/>
  <c r="W96" i="1"/>
  <c r="W98" i="1"/>
  <c r="W99" i="1"/>
  <c r="W102" i="1"/>
  <c r="W104" i="1"/>
  <c r="W107" i="1"/>
  <c r="W108" i="1"/>
  <c r="W110" i="1"/>
  <c r="W112" i="1"/>
  <c r="W114" i="1"/>
  <c r="W115" i="1"/>
  <c r="W116" i="1"/>
  <c r="W118" i="1"/>
  <c r="W119" i="1"/>
  <c r="W120" i="1"/>
  <c r="W123" i="1"/>
  <c r="W126" i="1"/>
  <c r="W128" i="1"/>
  <c r="W131" i="1"/>
  <c r="W132" i="1"/>
  <c r="W134" i="1"/>
  <c r="W136" i="1"/>
  <c r="W139" i="1"/>
  <c r="W140" i="1"/>
  <c r="W142" i="1"/>
  <c r="W144" i="1"/>
  <c r="W147" i="1"/>
  <c r="W148" i="1"/>
  <c r="W150" i="1"/>
  <c r="W152" i="1"/>
  <c r="W155" i="1"/>
  <c r="W157" i="1"/>
  <c r="W158" i="1"/>
  <c r="W159" i="1"/>
  <c r="W160" i="1"/>
  <c r="W162" i="1"/>
  <c r="W163" i="1"/>
  <c r="W164" i="1"/>
  <c r="W166" i="1"/>
  <c r="W168" i="1"/>
  <c r="W171" i="1"/>
  <c r="W172" i="1"/>
  <c r="W174" i="1"/>
  <c r="W178" i="1"/>
  <c r="W179" i="1"/>
  <c r="W180" i="1"/>
  <c r="W181" i="1"/>
  <c r="W182" i="1"/>
  <c r="W183" i="1"/>
  <c r="W187" i="1"/>
  <c r="W188" i="1"/>
  <c r="W189" i="1"/>
  <c r="W190" i="1"/>
  <c r="W191" i="1"/>
  <c r="W195" i="1"/>
  <c r="W196" i="1"/>
  <c r="W197" i="1"/>
  <c r="W2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2" i="1"/>
  <c r="O3" i="1"/>
  <c r="O4" i="1"/>
  <c r="O5" i="1"/>
  <c r="O6" i="1"/>
  <c r="O7" i="1"/>
  <c r="O8" i="1"/>
  <c r="O9" i="1"/>
  <c r="O10" i="1"/>
  <c r="U2" i="1"/>
  <c r="U3" i="1"/>
  <c r="U4" i="1"/>
  <c r="U5" i="1"/>
  <c r="U6" i="1"/>
  <c r="U7" i="1"/>
  <c r="U8" i="1"/>
  <c r="J125" i="1" l="1"/>
  <c r="J124" i="1"/>
  <c r="K120" i="1"/>
  <c r="K118" i="1" l="1"/>
  <c r="K117" i="1"/>
  <c r="T116" i="1"/>
  <c r="T114" i="1"/>
  <c r="J84" i="1" l="1"/>
  <c r="J79" i="1"/>
  <c r="K34" i="1" l="1"/>
  <c r="K15" i="1"/>
</calcChain>
</file>

<file path=xl/sharedStrings.xml><?xml version="1.0" encoding="utf-8"?>
<sst xmlns="http://schemas.openxmlformats.org/spreadsheetml/2006/main" count="839" uniqueCount="444">
  <si>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</si>
  <si>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</si>
  <si>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</si>
  <si>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</si>
  <si>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</si>
  <si>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</si>
  <si>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</si>
  <si>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</si>
  <si>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</si>
  <si>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</si>
  <si>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</si>
  <si>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</si>
  <si>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</si>
  <si>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</si>
  <si>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</si>
  <si>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</si>
  <si>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</si>
  <si>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</si>
  <si>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</si>
  <si>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</si>
  <si>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</si>
  <si>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</si>
  <si>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</si>
  <si>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</si>
  <si>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</si>
  <si>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</si>
  <si>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</si>
  <si>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</si>
  <si>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</si>
  <si>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</si>
  <si>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</si>
  <si>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</si>
  <si>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</si>
  <si>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</si>
  <si>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</si>
  <si>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</si>
  <si>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</si>
  <si>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</si>
  <si>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</si>
  <si>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</si>
  <si>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</si>
  <si>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</si>
  <si>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</si>
  <si>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</si>
  <si>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</si>
  <si>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</si>
  <si>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</si>
  <si>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</si>
  <si>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</si>
  <si>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</si>
  <si>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</si>
  <si>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</si>
  <si>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</si>
  <si>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</si>
  <si>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</si>
  <si>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</si>
  <si>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</si>
  <si>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</si>
  <si>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</si>
  <si>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</si>
  <si>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</si>
  <si>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</si>
  <si>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</si>
  <si>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</si>
  <si>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</si>
  <si>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</si>
  <si>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</si>
  <si>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</si>
  <si>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</si>
  <si>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</si>
  <si>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</si>
  <si>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</si>
  <si>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</si>
  <si>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</si>
  <si>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</si>
  <si>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</si>
  <si>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</si>
  <si>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</si>
  <si>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</si>
  <si>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</si>
  <si>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</si>
  <si>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</si>
  <si>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</si>
  <si>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</si>
  <si>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</si>
  <si>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</si>
  <si>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</si>
  <si>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</si>
  <si>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</si>
  <si>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</si>
  <si>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</si>
  <si>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</si>
  <si>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</si>
  <si>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</si>
  <si>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</si>
  <si>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</si>
  <si>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</si>
  <si>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</si>
  <si>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</si>
  <si>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</si>
  <si>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</si>
  <si>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</si>
  <si>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</si>
  <si>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</si>
  <si>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</si>
  <si>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</si>
  <si>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</si>
  <si>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</si>
  <si>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</si>
  <si>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</si>
  <si>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</si>
  <si>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</si>
  <si>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</si>
  <si>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</si>
  <si>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</si>
  <si>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</si>
  <si>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</si>
  <si>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</si>
  <si>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</si>
  <si>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</si>
  <si>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</si>
  <si>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</si>
  <si>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</si>
  <si>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</si>
  <si>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</si>
  <si>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</si>
  <si>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</si>
  <si>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</si>
  <si>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</si>
  <si>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</si>
  <si>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</si>
  <si>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</si>
  <si>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</si>
  <si>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</si>
  <si>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</si>
  <si>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</si>
  <si>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</si>
  <si>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</si>
  <si>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</si>
  <si>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</si>
  <si>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</si>
  <si>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</si>
  <si>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</si>
  <si>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</si>
  <si>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</si>
  <si>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</si>
  <si>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</si>
  <si>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</si>
  <si>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</si>
  <si>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</si>
  <si>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</si>
  <si>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</si>
  <si>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</si>
  <si>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</si>
  <si>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</si>
  <si>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</si>
  <si>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</si>
  <si>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</si>
  <si>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</si>
  <si>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</si>
  <si>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</si>
  <si>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</si>
  <si>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</si>
  <si>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</si>
  <si>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</si>
  <si>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</si>
  <si>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</si>
  <si>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</si>
  <si>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</si>
  <si>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</si>
  <si>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</si>
  <si>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</si>
  <si>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</si>
  <si>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</si>
  <si>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</si>
  <si>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</si>
  <si>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</si>
  <si>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</si>
  <si>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</si>
  <si>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</si>
  <si>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</si>
  <si>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</si>
  <si>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</si>
  <si>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</si>
  <si>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</si>
  <si>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</si>
  <si>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</si>
  <si>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</si>
  <si>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</si>
  <si>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</si>
  <si>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</si>
  <si>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</si>
  <si>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</si>
  <si>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</si>
  <si>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</si>
  <si>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</si>
  <si>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</si>
  <si>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</si>
  <si>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</si>
  <si>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</si>
  <si>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</si>
  <si>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</si>
  <si>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</si>
  <si>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</si>
  <si>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</si>
  <si>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</si>
  <si>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</si>
  <si>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</si>
  <si>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</si>
  <si>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</si>
  <si>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</si>
  <si>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</si>
  <si>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</si>
  <si>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</si>
  <si>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carriage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</si>
  <si>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</si>
  <si>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</si>
  <si>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</si>
  <si>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</si>
  <si>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</si>
  <si>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</si>
  <si>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</si>
  <si>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</si>
  <si>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</si>
  <si>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</si>
  <si>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</si>
  <si>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</si>
  <si>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</si>
  <si>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</si>
  <si>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</si>
  <si>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</si>
  <si>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</si>
  <si>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</si>
  <si>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</si>
  <si>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</si>
  <si>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</si>
  <si>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</si>
  <si>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</si>
  <si>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</si>
  <si>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</si>
  <si>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</si>
  <si>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</si>
  <si>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lms_hughes_crab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</si>
  <si>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</si>
  <si>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</si>
  <si>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</si>
  <si>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</si>
  <si>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</si>
  <si>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</si>
  <si>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</si>
  <si>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lms_stanier_class_5</t>
  </si>
  <si>
    <t>lms_stanier_jubilee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</si>
  <si>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</si>
  <si>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</si>
  <si>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</si>
  <si>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</si>
  <si>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</si>
  <si>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</si>
  <si>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</si>
  <si>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</si>
  <si>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</si>
  <si>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</si>
  <si>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</si>
  <si>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</si>
  <si>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</si>
  <si>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</si>
  <si>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</si>
  <si>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</si>
  <si>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</si>
  <si>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</si>
  <si>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</si>
  <si>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</si>
  <si>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br_class_28_metrovick</t>
  </si>
  <si>
    <t>sulzer_class_45_peak</t>
  </si>
  <si>
    <t>brcw_class_33_crompton</t>
  </si>
  <si>
    <t>br_class_35_hymek</t>
  </si>
  <si>
    <t>br_class_52_western</t>
  </si>
  <si>
    <t>sulzer_class_25_rat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</si>
  <si>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</si>
  <si>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</si>
  <si>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</si>
  <si>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</si>
  <si>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</si>
  <si>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</si>
  <si>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brel_class_43_hst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</si>
  <si>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</si>
  <si>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</si>
  <si>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</si>
  <si>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</si>
  <si>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</si>
  <si>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</si>
  <si>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</si>
  <si>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</si>
  <si>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</si>
  <si>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</si>
  <si>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</si>
  <si>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</si>
  <si>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</si>
  <si>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</si>
  <si>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</si>
  <si>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</si>
  <si>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</si>
  <si>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</si>
  <si>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</si>
  <si>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</si>
  <si>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</si>
  <si>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</si>
  <si>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</si>
  <si>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</si>
  <si>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</si>
  <si>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</si>
  <si>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</si>
  <si>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</si>
  <si>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</si>
  <si>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</si>
  <si>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</si>
  <si>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</si>
  <si>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</si>
  <si>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</si>
  <si>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</si>
  <si>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</si>
  <si>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</si>
  <si>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</si>
  <si>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</si>
  <si>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</si>
  <si>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</si>
  <si>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</si>
  <si>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</si>
  <si>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</si>
  <si>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</si>
  <si>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</si>
  <si>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</si>
  <si>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</si>
  <si>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</si>
  <si>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</si>
  <si>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</si>
  <si>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</si>
  <si>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</si>
  <si>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</si>
  <si>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</si>
  <si>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</si>
  <si>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</si>
  <si>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</si>
  <si>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</si>
  <si>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</si>
  <si>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</si>
  <si>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</si>
  <si>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</si>
  <si>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</si>
  <si>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</si>
  <si>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</si>
  <si>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</si>
  <si>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</si>
  <si>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</si>
  <si>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</si>
  <si>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</si>
  <si>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</si>
  <si>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</si>
  <si>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</si>
  <si>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</si>
  <si>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</si>
  <si>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</si>
  <si>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</si>
  <si>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</si>
  <si>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</si>
  <si>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</si>
  <si>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</si>
  <si>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</si>
  <si>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</si>
  <si>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</si>
  <si>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</si>
  <si>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</si>
  <si>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</si>
  <si>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</si>
  <si>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</si>
  <si>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</si>
  <si>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</si>
  <si>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</si>
  <si>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</si>
  <si>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</si>
  <si>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</si>
  <si>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</si>
  <si>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</si>
  <si>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</si>
  <si>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</si>
  <si>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</si>
  <si>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</si>
  <si>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</si>
  <si>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</si>
  <si>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</si>
  <si>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</si>
  <si>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1,1,1</t>
  </si>
  <si>
    <t>1,2,1</t>
  </si>
  <si>
    <t>1,3,1</t>
  </si>
  <si>
    <t>2,2,2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</si>
  <si>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</si>
  <si>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</si>
  <si>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</si>
  <si>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</si>
  <si>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</si>
  <si>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</si>
  <si>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</si>
  <si>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</si>
  <si>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</si>
  <si>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</si>
  <si>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</si>
  <si>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</si>
  <si>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</si>
  <si>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</si>
  <si>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</si>
  <si>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</si>
  <si>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</si>
  <si>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</si>
  <si>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</si>
  <si>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</si>
  <si>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</si>
  <si>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</si>
  <si>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</si>
  <si>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four_wheel_tank_wagon</t>
  </si>
  <si>
    <t>six_wheel_tank_wagon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</si>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</sst>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Z198"/>
  <sheetViews>
    <sheetView tabSelected="1" topLeftCell="J1" workbookViewId="0">
      <pane ySplit="1" topLeftCell="A2" activePane="bottomLeft" state="frozenSplit"/>
      <selection pane="bottomLeft" activeCell="Z2" sqref="Z2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10.5703125" customWidth="1"/>
    <col min="19" max="19" width="10.42578125" bestFit="1" customWidth="1"/>
    <col min="21" max="21" width="10.28515625" bestFit="1" customWidth="1"/>
    <col min="22" max="22" width="10.28515625" customWidth="1"/>
    <col min="23" max="23" width="18.42578125" bestFit="1" customWidth="1"/>
    <col min="24" max="24" width="18.42578125" customWidth="1"/>
  </cols>
  <sheetData>
    <row r="1" spans="1:26" s="1" customFormat="1" x14ac:dyDescent="0.25">
      <c r="A1" s="1" t="s">
        <v>199</v>
      </c>
      <c r="B1" s="1" t="s">
        <v>200</v>
      </c>
      <c r="C1" s="1" t="s">
        <v>198</v>
      </c>
      <c r="D1" s="1" t="s">
        <v>435</v>
      </c>
      <c r="E1" s="1" t="s">
        <v>438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441</v>
      </c>
      <c r="N1" s="1" t="s">
        <v>209</v>
      </c>
      <c r="O1" s="3" t="s">
        <v>429</v>
      </c>
      <c r="P1" s="1" t="s">
        <v>210</v>
      </c>
      <c r="Q1" s="1" t="s">
        <v>211</v>
      </c>
      <c r="R1" s="1" t="s">
        <v>387</v>
      </c>
      <c r="S1" s="1" t="s">
        <v>212</v>
      </c>
      <c r="T1" s="1" t="s">
        <v>428</v>
      </c>
      <c r="U1" s="1" t="s">
        <v>201</v>
      </c>
      <c r="V1" s="1" t="s">
        <v>433</v>
      </c>
      <c r="W1" s="1" t="s">
        <v>388</v>
      </c>
      <c r="X1" s="1" t="s">
        <v>434</v>
      </c>
      <c r="Y1" s="1" t="s">
        <v>442</v>
      </c>
      <c r="Z1" s="1" t="s">
        <v>443</v>
      </c>
    </row>
    <row r="2" spans="1:26" x14ac:dyDescent="0.25">
      <c r="A2" t="s">
        <v>195</v>
      </c>
      <c r="B2" t="s">
        <v>341</v>
      </c>
      <c r="C2" t="s">
        <v>213</v>
      </c>
      <c r="E2" t="s">
        <v>440</v>
      </c>
      <c r="F2">
        <v>1802</v>
      </c>
      <c r="K2">
        <v>5</v>
      </c>
      <c r="O2" s="4" t="str">
        <f t="shared" ref="O2:O9" si="0">IF(AND(K2&gt;0,N2&gt;0),(N2/(K2*10)),"")</f>
        <v/>
      </c>
      <c r="P2">
        <v>5</v>
      </c>
      <c r="U2" t="str">
        <f t="shared" ref="U2:U8" si="1">CONCATENATE(INT(Q2*10),"x",INT(R2*15), "x", INT(S2*15))</f>
        <v>0x0x0</v>
      </c>
      <c r="V2">
        <f t="shared" ref="V2:V65" si="2">CEILING((Q2/56)*32,1)</f>
        <v>0</v>
      </c>
      <c r="W2" t="str">
        <f>VLOOKUP(V2,'Articulated Lengths'!$A$2:$B$16, 2, FALSE)</f>
        <v>na</v>
      </c>
      <c r="Y2">
        <v>10</v>
      </c>
      <c r="Z2">
        <v>10</v>
      </c>
    </row>
    <row r="3" spans="1:26" x14ac:dyDescent="0.25">
      <c r="A3" t="s">
        <v>0</v>
      </c>
      <c r="B3" t="s">
        <v>215</v>
      </c>
      <c r="C3" t="s">
        <v>213</v>
      </c>
      <c r="E3" t="s">
        <v>439</v>
      </c>
      <c r="F3">
        <v>1812</v>
      </c>
      <c r="K3">
        <v>5</v>
      </c>
      <c r="O3" s="4" t="str">
        <f t="shared" si="0"/>
        <v/>
      </c>
      <c r="U3" t="str">
        <f t="shared" si="1"/>
        <v>0x0x0</v>
      </c>
      <c r="V3">
        <f t="shared" si="2"/>
        <v>0</v>
      </c>
      <c r="W3" t="str">
        <f>VLOOKUP(V3,'Articulated Lengths'!$A$2:$B$16, 2, FALSE)</f>
        <v>na</v>
      </c>
      <c r="Y3">
        <v>10</v>
      </c>
      <c r="Z3">
        <v>10</v>
      </c>
    </row>
    <row r="4" spans="1:26" x14ac:dyDescent="0.25">
      <c r="A4" t="s">
        <v>1</v>
      </c>
      <c r="B4" t="s">
        <v>216</v>
      </c>
      <c r="C4" t="s">
        <v>213</v>
      </c>
      <c r="E4" t="s">
        <v>439</v>
      </c>
      <c r="F4">
        <v>1825</v>
      </c>
      <c r="K4">
        <v>7</v>
      </c>
      <c r="N4">
        <v>8.5</v>
      </c>
      <c r="O4" s="4">
        <f t="shared" si="0"/>
        <v>0.12142857142857143</v>
      </c>
      <c r="P4">
        <v>15</v>
      </c>
      <c r="U4" t="str">
        <f t="shared" si="1"/>
        <v>0x0x0</v>
      </c>
      <c r="V4">
        <f t="shared" si="2"/>
        <v>0</v>
      </c>
      <c r="W4" t="str">
        <f>VLOOKUP(V4,'Articulated Lengths'!$A$2:$B$16, 2, FALSE)</f>
        <v>na</v>
      </c>
      <c r="Y4">
        <v>10</v>
      </c>
      <c r="Z4">
        <v>10</v>
      </c>
    </row>
    <row r="5" spans="1:26" x14ac:dyDescent="0.25">
      <c r="A5" t="s">
        <v>2</v>
      </c>
      <c r="B5" t="s">
        <v>217</v>
      </c>
      <c r="C5" t="s">
        <v>213</v>
      </c>
      <c r="E5" t="s">
        <v>439</v>
      </c>
      <c r="F5">
        <v>1830</v>
      </c>
      <c r="K5">
        <v>4.3</v>
      </c>
      <c r="O5" s="4" t="str">
        <f t="shared" si="0"/>
        <v/>
      </c>
      <c r="U5" t="str">
        <f t="shared" si="1"/>
        <v>0x0x0</v>
      </c>
      <c r="V5">
        <f t="shared" si="2"/>
        <v>0</v>
      </c>
      <c r="W5" t="str">
        <f>VLOOKUP(V5,'Articulated Lengths'!$A$2:$B$16, 2, FALSE)</f>
        <v>na</v>
      </c>
      <c r="Y5">
        <v>10</v>
      </c>
      <c r="Z5">
        <v>10</v>
      </c>
    </row>
    <row r="6" spans="1:26" x14ac:dyDescent="0.25">
      <c r="A6" t="s">
        <v>187</v>
      </c>
      <c r="B6" t="s">
        <v>342</v>
      </c>
      <c r="C6" t="s">
        <v>213</v>
      </c>
      <c r="E6" t="s">
        <v>439</v>
      </c>
      <c r="F6">
        <v>1838</v>
      </c>
      <c r="N6">
        <v>9.6</v>
      </c>
      <c r="O6" s="4" t="str">
        <f t="shared" si="0"/>
        <v/>
      </c>
      <c r="P6">
        <v>45</v>
      </c>
      <c r="U6" t="str">
        <f t="shared" si="1"/>
        <v>0x0x0</v>
      </c>
      <c r="V6">
        <f t="shared" ref="V6:V69" si="3">CEILING((Q6/57)*32,1)</f>
        <v>0</v>
      </c>
      <c r="W6" t="str">
        <f>VLOOKUP(V6,'Articulated Lengths'!$A$2:$B$16, 2, FALSE)</f>
        <v>na</v>
      </c>
      <c r="Y6">
        <v>10</v>
      </c>
      <c r="Z6">
        <v>10</v>
      </c>
    </row>
    <row r="7" spans="1:26" x14ac:dyDescent="0.25">
      <c r="A7" t="s">
        <v>188</v>
      </c>
      <c r="B7" t="s">
        <v>343</v>
      </c>
      <c r="C7" t="s">
        <v>213</v>
      </c>
      <c r="E7" t="s">
        <v>439</v>
      </c>
      <c r="F7">
        <v>1838</v>
      </c>
      <c r="O7" s="4" t="str">
        <f t="shared" si="0"/>
        <v/>
      </c>
      <c r="U7" t="str">
        <f t="shared" si="1"/>
        <v>0x0x0</v>
      </c>
      <c r="V7">
        <f t="shared" si="3"/>
        <v>0</v>
      </c>
      <c r="W7" t="str">
        <f>VLOOKUP(V7,'Articulated Lengths'!$A$2:$B$16, 2, FALSE)</f>
        <v>na</v>
      </c>
      <c r="Y7">
        <v>10</v>
      </c>
      <c r="Z7">
        <v>10</v>
      </c>
    </row>
    <row r="8" spans="1:26" x14ac:dyDescent="0.25">
      <c r="A8" t="s">
        <v>3</v>
      </c>
      <c r="B8" t="s">
        <v>218</v>
      </c>
      <c r="C8" t="s">
        <v>213</v>
      </c>
      <c r="E8" t="s">
        <v>439</v>
      </c>
      <c r="F8">
        <v>1846</v>
      </c>
      <c r="K8">
        <v>19</v>
      </c>
      <c r="N8">
        <v>34</v>
      </c>
      <c r="O8" s="4">
        <f t="shared" si="0"/>
        <v>0.17894736842105263</v>
      </c>
      <c r="U8" t="str">
        <f t="shared" si="1"/>
        <v>0x0x0</v>
      </c>
      <c r="V8">
        <f t="shared" si="3"/>
        <v>0</v>
      </c>
      <c r="W8" t="str">
        <f>VLOOKUP(V8,'Articulated Lengths'!$A$2:$B$16, 2, FALSE)</f>
        <v>na</v>
      </c>
      <c r="Y8">
        <v>10</v>
      </c>
      <c r="Z8">
        <v>10</v>
      </c>
    </row>
    <row r="9" spans="1:26" x14ac:dyDescent="0.25">
      <c r="A9" t="s">
        <v>6</v>
      </c>
      <c r="B9" t="s">
        <v>344</v>
      </c>
      <c r="C9" t="s">
        <v>213</v>
      </c>
      <c r="E9" t="s">
        <v>439</v>
      </c>
      <c r="F9">
        <v>1846</v>
      </c>
      <c r="K9">
        <v>42</v>
      </c>
      <c r="O9" s="4" t="str">
        <f t="shared" si="0"/>
        <v/>
      </c>
      <c r="Q9">
        <v>6</v>
      </c>
      <c r="U9" t="str">
        <f t="shared" ref="U9:U73" si="4">CONCATENATE(INT(V9*17.7),"x",INT(R9*15), "x", INT(S9*15))</f>
        <v>70x0x0</v>
      </c>
      <c r="V9">
        <f t="shared" si="3"/>
        <v>4</v>
      </c>
      <c r="W9" t="str">
        <f>VLOOKUP(V9,'Articulated Lengths'!$A$2:$B$16, 2, FALSE)</f>
        <v>1,2,1</v>
      </c>
      <c r="Y9">
        <v>10</v>
      </c>
      <c r="Z9">
        <v>10</v>
      </c>
    </row>
    <row r="10" spans="1:26" x14ac:dyDescent="0.25">
      <c r="A10" t="s">
        <v>4</v>
      </c>
      <c r="B10" t="s">
        <v>219</v>
      </c>
      <c r="C10" t="s">
        <v>213</v>
      </c>
      <c r="E10" t="s">
        <v>439</v>
      </c>
      <c r="F10">
        <v>1847</v>
      </c>
      <c r="O10" s="4" t="str">
        <f>IF(AND(K10&gt;0,N10&gt;0),(N10/(K10*10)),"")</f>
        <v/>
      </c>
      <c r="P10">
        <v>60</v>
      </c>
      <c r="U10" t="str">
        <f t="shared" si="4"/>
        <v>0x0x0</v>
      </c>
      <c r="V10">
        <f t="shared" si="3"/>
        <v>0</v>
      </c>
      <c r="W10" t="str">
        <f>VLOOKUP(V10,'Articulated Lengths'!$A$2:$B$16, 2, FALSE)</f>
        <v>na</v>
      </c>
      <c r="Y10">
        <v>10</v>
      </c>
      <c r="Z10">
        <v>10</v>
      </c>
    </row>
    <row r="11" spans="1:26" x14ac:dyDescent="0.25">
      <c r="A11" t="s">
        <v>5</v>
      </c>
      <c r="B11" t="s">
        <v>220</v>
      </c>
      <c r="C11" t="s">
        <v>213</v>
      </c>
      <c r="E11" t="s">
        <v>439</v>
      </c>
      <c r="F11">
        <v>1852</v>
      </c>
      <c r="K11">
        <v>64</v>
      </c>
      <c r="N11">
        <v>65</v>
      </c>
      <c r="O11" s="4">
        <f t="shared" ref="O11:O74" si="5">IF(AND(K11&gt;0,N11&gt;0),(N11/(K11*10)),"")</f>
        <v>0.1015625</v>
      </c>
      <c r="U11" t="str">
        <f t="shared" si="4"/>
        <v>0x0x0</v>
      </c>
      <c r="V11">
        <f t="shared" si="3"/>
        <v>0</v>
      </c>
      <c r="W11" t="str">
        <f>VLOOKUP(V11,'Articulated Lengths'!$A$2:$B$16, 2, FALSE)</f>
        <v>na</v>
      </c>
      <c r="Y11">
        <v>10</v>
      </c>
      <c r="Z11">
        <v>10</v>
      </c>
    </row>
    <row r="12" spans="1:26" x14ac:dyDescent="0.25">
      <c r="A12" t="s">
        <v>7</v>
      </c>
      <c r="B12" t="s">
        <v>345</v>
      </c>
      <c r="C12" t="s">
        <v>213</v>
      </c>
      <c r="E12" t="s">
        <v>439</v>
      </c>
      <c r="F12">
        <v>1859</v>
      </c>
      <c r="K12">
        <v>27.4</v>
      </c>
      <c r="O12" s="4" t="str">
        <f t="shared" si="5"/>
        <v/>
      </c>
      <c r="P12">
        <v>70</v>
      </c>
      <c r="U12" t="str">
        <f t="shared" si="4"/>
        <v>0x0x0</v>
      </c>
      <c r="V12">
        <f t="shared" si="3"/>
        <v>0</v>
      </c>
      <c r="W12" t="str">
        <f>VLOOKUP(V12,'Articulated Lengths'!$A$2:$B$16, 2, FALSE)</f>
        <v>na</v>
      </c>
      <c r="Y12">
        <v>10</v>
      </c>
      <c r="Z12">
        <v>10</v>
      </c>
    </row>
    <row r="13" spans="1:26" x14ac:dyDescent="0.25">
      <c r="A13" t="s">
        <v>23</v>
      </c>
      <c r="B13" t="s">
        <v>221</v>
      </c>
      <c r="C13" t="s">
        <v>213</v>
      </c>
      <c r="E13" t="s">
        <v>439</v>
      </c>
      <c r="F13">
        <v>1868</v>
      </c>
      <c r="K13">
        <v>35.799999999999997</v>
      </c>
      <c r="N13">
        <v>65</v>
      </c>
      <c r="O13" s="4">
        <f t="shared" si="5"/>
        <v>0.18156424581005587</v>
      </c>
      <c r="Q13">
        <v>8.65</v>
      </c>
      <c r="S13">
        <v>3.7</v>
      </c>
      <c r="U13" t="str">
        <f t="shared" si="4"/>
        <v>88x0x55</v>
      </c>
      <c r="V13">
        <f t="shared" si="3"/>
        <v>5</v>
      </c>
      <c r="W13" t="str">
        <f>VLOOKUP(V13,'Articulated Lengths'!$A$2:$B$16, 2, FALSE)</f>
        <v>1,3,1</v>
      </c>
      <c r="Y13">
        <v>10</v>
      </c>
      <c r="Z13">
        <v>10</v>
      </c>
    </row>
    <row r="14" spans="1:26" x14ac:dyDescent="0.25">
      <c r="A14" t="s">
        <v>56</v>
      </c>
      <c r="B14" t="s">
        <v>346</v>
      </c>
      <c r="C14" t="s">
        <v>213</v>
      </c>
      <c r="E14" t="s">
        <v>439</v>
      </c>
      <c r="F14">
        <v>1872</v>
      </c>
      <c r="G14">
        <v>1880</v>
      </c>
      <c r="K14">
        <v>28</v>
      </c>
      <c r="N14">
        <v>34</v>
      </c>
      <c r="O14" s="4">
        <f t="shared" si="5"/>
        <v>0.12142857142857143</v>
      </c>
      <c r="P14">
        <v>45</v>
      </c>
      <c r="Q14">
        <v>7.94</v>
      </c>
      <c r="U14" t="str">
        <f t="shared" si="4"/>
        <v>88x0x0</v>
      </c>
      <c r="V14">
        <f t="shared" si="3"/>
        <v>5</v>
      </c>
      <c r="W14" t="str">
        <f>VLOOKUP(V14,'Articulated Lengths'!$A$2:$B$16, 2, FALSE)</f>
        <v>1,3,1</v>
      </c>
      <c r="Y14">
        <v>10</v>
      </c>
      <c r="Z14">
        <v>10</v>
      </c>
    </row>
    <row r="15" spans="1:26" x14ac:dyDescent="0.25">
      <c r="A15" t="s">
        <v>9</v>
      </c>
      <c r="B15" t="s">
        <v>222</v>
      </c>
      <c r="C15" t="s">
        <v>213</v>
      </c>
      <c r="E15" t="s">
        <v>439</v>
      </c>
      <c r="F15">
        <v>1883</v>
      </c>
      <c r="K15">
        <f>41.6+34.3</f>
        <v>75.900000000000006</v>
      </c>
      <c r="N15">
        <v>75.400000000000006</v>
      </c>
      <c r="O15" s="4">
        <f t="shared" si="5"/>
        <v>9.9341238471673268E-2</v>
      </c>
      <c r="U15" t="str">
        <f t="shared" si="4"/>
        <v>0x0x0</v>
      </c>
      <c r="V15">
        <f t="shared" si="3"/>
        <v>0</v>
      </c>
      <c r="W15" t="str">
        <f>VLOOKUP(V15,'Articulated Lengths'!$A$2:$B$16, 2, FALSE)</f>
        <v>na</v>
      </c>
      <c r="Y15">
        <v>10</v>
      </c>
      <c r="Z15">
        <v>10</v>
      </c>
    </row>
    <row r="16" spans="1:26" x14ac:dyDescent="0.25">
      <c r="A16" t="s">
        <v>189</v>
      </c>
      <c r="B16" t="s">
        <v>223</v>
      </c>
      <c r="C16" t="s">
        <v>213</v>
      </c>
      <c r="E16" t="s">
        <v>439</v>
      </c>
      <c r="F16">
        <v>1883</v>
      </c>
      <c r="K16">
        <v>41.2</v>
      </c>
      <c r="N16">
        <v>76</v>
      </c>
      <c r="O16" s="4">
        <f t="shared" si="5"/>
        <v>0.18446601941747573</v>
      </c>
      <c r="Q16">
        <v>14.4</v>
      </c>
      <c r="U16" t="str">
        <f t="shared" si="4"/>
        <v>159x0x0</v>
      </c>
      <c r="V16">
        <f t="shared" si="3"/>
        <v>9</v>
      </c>
      <c r="W16" t="str">
        <f>VLOOKUP(V16,'Articulated Lengths'!$A$2:$B$16, 2, FALSE)</f>
        <v>2,5,2</v>
      </c>
      <c r="Y16">
        <v>10</v>
      </c>
      <c r="Z16">
        <v>10</v>
      </c>
    </row>
    <row r="17" spans="1:26" x14ac:dyDescent="0.25">
      <c r="A17" t="s">
        <v>17</v>
      </c>
      <c r="B17" t="s">
        <v>224</v>
      </c>
      <c r="C17" t="s">
        <v>213</v>
      </c>
      <c r="E17" t="s">
        <v>439</v>
      </c>
      <c r="F17">
        <v>1888</v>
      </c>
      <c r="K17">
        <v>42.6</v>
      </c>
      <c r="N17">
        <v>88</v>
      </c>
      <c r="O17" s="4">
        <f t="shared" si="5"/>
        <v>0.20657276995305165</v>
      </c>
      <c r="Q17">
        <v>14.99</v>
      </c>
      <c r="U17" t="str">
        <f t="shared" si="4"/>
        <v>159x0x0</v>
      </c>
      <c r="V17">
        <f t="shared" si="3"/>
        <v>9</v>
      </c>
      <c r="W17" t="str">
        <f>VLOOKUP(V17,'Articulated Lengths'!$A$2:$B$16, 2, FALSE)</f>
        <v>2,5,2</v>
      </c>
      <c r="Y17">
        <v>10</v>
      </c>
      <c r="Z17">
        <v>10</v>
      </c>
    </row>
    <row r="18" spans="1:26" x14ac:dyDescent="0.25">
      <c r="A18" t="s">
        <v>8</v>
      </c>
      <c r="B18" t="s">
        <v>225</v>
      </c>
      <c r="C18" t="s">
        <v>213</v>
      </c>
      <c r="E18" t="s">
        <v>439</v>
      </c>
      <c r="F18">
        <v>1891</v>
      </c>
      <c r="O18" s="4" t="str">
        <f t="shared" si="5"/>
        <v/>
      </c>
      <c r="U18" t="str">
        <f t="shared" si="4"/>
        <v>0x0x0</v>
      </c>
      <c r="V18">
        <f t="shared" si="3"/>
        <v>0</v>
      </c>
      <c r="W18" t="str">
        <f>VLOOKUP(V18,'Articulated Lengths'!$A$2:$B$16, 2, FALSE)</f>
        <v>na</v>
      </c>
      <c r="Y18">
        <v>10</v>
      </c>
      <c r="Z18">
        <v>10</v>
      </c>
    </row>
    <row r="19" spans="1:26" x14ac:dyDescent="0.25">
      <c r="A19" t="s">
        <v>19</v>
      </c>
      <c r="B19" t="s">
        <v>382</v>
      </c>
      <c r="C19" t="s">
        <v>213</v>
      </c>
      <c r="E19" t="s">
        <v>439</v>
      </c>
      <c r="F19">
        <v>1896</v>
      </c>
      <c r="K19">
        <v>48</v>
      </c>
      <c r="N19">
        <v>68</v>
      </c>
      <c r="O19" s="4">
        <f t="shared" si="5"/>
        <v>0.14166666666666666</v>
      </c>
      <c r="P19">
        <v>90</v>
      </c>
      <c r="U19" t="str">
        <f t="shared" si="4"/>
        <v>0x0x0</v>
      </c>
      <c r="V19">
        <f t="shared" si="3"/>
        <v>0</v>
      </c>
      <c r="W19" t="str">
        <f>VLOOKUP(V19,'Articulated Lengths'!$A$2:$B$16, 2, FALSE)</f>
        <v>na</v>
      </c>
      <c r="Y19">
        <v>10</v>
      </c>
      <c r="Z19">
        <v>10</v>
      </c>
    </row>
    <row r="20" spans="1:26" x14ac:dyDescent="0.25">
      <c r="A20" t="s">
        <v>197</v>
      </c>
      <c r="B20" t="s">
        <v>226</v>
      </c>
      <c r="C20" t="s">
        <v>213</v>
      </c>
      <c r="E20" t="s">
        <v>439</v>
      </c>
      <c r="F20">
        <v>1897</v>
      </c>
      <c r="G20">
        <v>1911</v>
      </c>
      <c r="N20">
        <v>87</v>
      </c>
      <c r="O20" s="4" t="str">
        <f t="shared" si="5"/>
        <v/>
      </c>
      <c r="Q20">
        <v>10.5</v>
      </c>
      <c r="U20" t="str">
        <f t="shared" si="4"/>
        <v>106x0x0</v>
      </c>
      <c r="V20">
        <f t="shared" si="3"/>
        <v>6</v>
      </c>
      <c r="W20" t="str">
        <f>VLOOKUP(V20,'Articulated Lengths'!$A$2:$B$16, 2, FALSE)</f>
        <v>2,2,2</v>
      </c>
      <c r="Y20">
        <v>10</v>
      </c>
      <c r="Z20">
        <v>10</v>
      </c>
    </row>
    <row r="21" spans="1:26" x14ac:dyDescent="0.25">
      <c r="A21" t="s">
        <v>13</v>
      </c>
      <c r="B21" t="s">
        <v>381</v>
      </c>
      <c r="C21" t="s">
        <v>213</v>
      </c>
      <c r="E21" t="s">
        <v>439</v>
      </c>
      <c r="F21">
        <v>1899</v>
      </c>
      <c r="O21" s="4" t="str">
        <f t="shared" si="5"/>
        <v/>
      </c>
      <c r="U21" t="str">
        <f t="shared" si="4"/>
        <v>0x0x0</v>
      </c>
      <c r="V21">
        <f t="shared" si="3"/>
        <v>0</v>
      </c>
      <c r="W21" t="str">
        <f>VLOOKUP(V21,'Articulated Lengths'!$A$2:$B$16, 2, FALSE)</f>
        <v>na</v>
      </c>
      <c r="Y21">
        <v>10</v>
      </c>
      <c r="Z21">
        <v>10</v>
      </c>
    </row>
    <row r="22" spans="1:26" x14ac:dyDescent="0.25">
      <c r="A22" t="s">
        <v>18</v>
      </c>
      <c r="B22" t="s">
        <v>380</v>
      </c>
      <c r="C22" t="s">
        <v>213</v>
      </c>
      <c r="E22" t="s">
        <v>439</v>
      </c>
      <c r="F22">
        <v>1902</v>
      </c>
      <c r="N22">
        <v>97</v>
      </c>
      <c r="O22" s="4" t="str">
        <f t="shared" si="5"/>
        <v/>
      </c>
      <c r="U22" t="str">
        <f t="shared" si="4"/>
        <v>0x0x0</v>
      </c>
      <c r="V22">
        <f t="shared" si="3"/>
        <v>0</v>
      </c>
      <c r="W22" t="str">
        <f>VLOOKUP(V22,'Articulated Lengths'!$A$2:$B$16, 2, FALSE)</f>
        <v>na</v>
      </c>
      <c r="Y22">
        <v>10</v>
      </c>
      <c r="Z22">
        <v>10</v>
      </c>
    </row>
    <row r="23" spans="1:26" x14ac:dyDescent="0.25">
      <c r="A23" t="s">
        <v>85</v>
      </c>
      <c r="B23" t="s">
        <v>227</v>
      </c>
      <c r="C23" t="s">
        <v>213</v>
      </c>
      <c r="E23" t="s">
        <v>439</v>
      </c>
      <c r="F23">
        <v>1903</v>
      </c>
      <c r="G23">
        <v>1904</v>
      </c>
      <c r="J23">
        <v>640</v>
      </c>
      <c r="K23">
        <v>57</v>
      </c>
      <c r="N23">
        <v>111</v>
      </c>
      <c r="O23" s="4">
        <f t="shared" si="5"/>
        <v>0.19473684210526315</v>
      </c>
      <c r="P23">
        <v>27</v>
      </c>
      <c r="Q23">
        <v>11.56</v>
      </c>
      <c r="S23">
        <v>3.93</v>
      </c>
      <c r="U23" t="str">
        <f t="shared" si="4"/>
        <v>123x0x58</v>
      </c>
      <c r="V23">
        <f t="shared" si="3"/>
        <v>7</v>
      </c>
      <c r="W23" t="str">
        <f>VLOOKUP(V23,'Articulated Lengths'!$A$2:$B$16, 2, FALSE)</f>
        <v>2,3,2</v>
      </c>
      <c r="Y23">
        <v>10</v>
      </c>
      <c r="Z23">
        <v>10</v>
      </c>
    </row>
    <row r="24" spans="1:26" x14ac:dyDescent="0.25">
      <c r="A24" t="s">
        <v>194</v>
      </c>
      <c r="B24" t="s">
        <v>228</v>
      </c>
      <c r="C24" t="s">
        <v>213</v>
      </c>
      <c r="E24" t="s">
        <v>439</v>
      </c>
      <c r="F24">
        <v>1903</v>
      </c>
      <c r="O24" s="4" t="str">
        <f t="shared" si="5"/>
        <v/>
      </c>
      <c r="U24" t="str">
        <f t="shared" si="4"/>
        <v>0x0x0</v>
      </c>
      <c r="V24">
        <f t="shared" si="3"/>
        <v>0</v>
      </c>
      <c r="W24" t="str">
        <f>VLOOKUP(V24,'Articulated Lengths'!$A$2:$B$16, 2, FALSE)</f>
        <v>na</v>
      </c>
      <c r="Y24">
        <v>10</v>
      </c>
      <c r="Z24">
        <v>10</v>
      </c>
    </row>
    <row r="25" spans="1:26" x14ac:dyDescent="0.25">
      <c r="A25" t="s">
        <v>20</v>
      </c>
      <c r="B25" t="s">
        <v>229</v>
      </c>
      <c r="C25" t="s">
        <v>213</v>
      </c>
      <c r="E25" t="s">
        <v>439</v>
      </c>
      <c r="F25">
        <v>1904</v>
      </c>
      <c r="K25">
        <v>55</v>
      </c>
      <c r="N25">
        <v>77</v>
      </c>
      <c r="O25" s="4">
        <f t="shared" si="5"/>
        <v>0.14000000000000001</v>
      </c>
      <c r="Q25">
        <v>10.02</v>
      </c>
      <c r="U25" t="str">
        <f t="shared" si="4"/>
        <v>106x0x0</v>
      </c>
      <c r="V25">
        <f t="shared" si="3"/>
        <v>6</v>
      </c>
      <c r="W25" t="str">
        <f>VLOOKUP(V25,'Articulated Lengths'!$A$2:$B$16, 2, FALSE)</f>
        <v>2,2,2</v>
      </c>
      <c r="Y25">
        <v>10</v>
      </c>
      <c r="Z25">
        <v>10</v>
      </c>
    </row>
    <row r="26" spans="1:26" x14ac:dyDescent="0.25">
      <c r="A26" t="s">
        <v>25</v>
      </c>
      <c r="B26" t="s">
        <v>230</v>
      </c>
      <c r="C26" t="s">
        <v>213</v>
      </c>
      <c r="E26" t="s">
        <v>439</v>
      </c>
      <c r="F26">
        <v>1904</v>
      </c>
      <c r="G26">
        <v>1914</v>
      </c>
      <c r="K26">
        <v>63.4</v>
      </c>
      <c r="N26">
        <v>95</v>
      </c>
      <c r="O26" s="4">
        <f t="shared" si="5"/>
        <v>0.14984227129337541</v>
      </c>
      <c r="U26" t="str">
        <f t="shared" si="4"/>
        <v>0x0x0</v>
      </c>
      <c r="V26">
        <f t="shared" si="3"/>
        <v>0</v>
      </c>
      <c r="W26" t="str">
        <f>VLOOKUP(V26,'Articulated Lengths'!$A$2:$B$16, 2, FALSE)</f>
        <v>na</v>
      </c>
      <c r="Y26">
        <v>10</v>
      </c>
      <c r="Z26">
        <v>10</v>
      </c>
    </row>
    <row r="27" spans="1:26" x14ac:dyDescent="0.25">
      <c r="A27" t="s">
        <v>14</v>
      </c>
      <c r="B27" t="s">
        <v>231</v>
      </c>
      <c r="C27" t="s">
        <v>213</v>
      </c>
      <c r="E27" t="s">
        <v>439</v>
      </c>
      <c r="F27">
        <v>1911</v>
      </c>
      <c r="K27">
        <v>74</v>
      </c>
      <c r="N27">
        <v>139</v>
      </c>
      <c r="O27" s="4">
        <f t="shared" si="5"/>
        <v>0.18783783783783783</v>
      </c>
      <c r="Q27">
        <v>18.8</v>
      </c>
      <c r="U27" t="str">
        <f t="shared" si="4"/>
        <v>194x0x0</v>
      </c>
      <c r="V27">
        <f t="shared" si="3"/>
        <v>11</v>
      </c>
      <c r="W27" t="str">
        <f>VLOOKUP(V27,'Articulated Lengths'!$A$2:$B$16, 2, FALSE)</f>
        <v>3,5,3</v>
      </c>
      <c r="Y27">
        <v>10</v>
      </c>
      <c r="Z27">
        <v>10</v>
      </c>
    </row>
    <row r="28" spans="1:26" x14ac:dyDescent="0.25">
      <c r="A28" t="s">
        <v>37</v>
      </c>
      <c r="B28" t="s">
        <v>232</v>
      </c>
      <c r="C28" t="s">
        <v>213</v>
      </c>
      <c r="E28" t="s">
        <v>439</v>
      </c>
      <c r="F28">
        <v>1911</v>
      </c>
      <c r="G28">
        <v>1926</v>
      </c>
      <c r="K28">
        <v>87</v>
      </c>
      <c r="N28">
        <v>106</v>
      </c>
      <c r="O28" s="4">
        <f t="shared" si="5"/>
        <v>0.12183908045977011</v>
      </c>
      <c r="Q28">
        <v>13.1</v>
      </c>
      <c r="U28" t="str">
        <f t="shared" si="4"/>
        <v>141x0x0</v>
      </c>
      <c r="V28">
        <f t="shared" si="3"/>
        <v>8</v>
      </c>
      <c r="W28" t="str">
        <f>VLOOKUP(V28,'Articulated Lengths'!$A$2:$B$16, 2, FALSE)</f>
        <v>2,4,2</v>
      </c>
      <c r="Y28">
        <v>10</v>
      </c>
      <c r="Z28">
        <v>10</v>
      </c>
    </row>
    <row r="29" spans="1:26" x14ac:dyDescent="0.25">
      <c r="A29" t="s">
        <v>38</v>
      </c>
      <c r="B29" t="s">
        <v>233</v>
      </c>
      <c r="C29" t="s">
        <v>213</v>
      </c>
      <c r="E29" t="s">
        <v>439</v>
      </c>
      <c r="F29">
        <v>1911</v>
      </c>
      <c r="G29">
        <v>1914</v>
      </c>
      <c r="K29">
        <v>75</v>
      </c>
      <c r="N29">
        <v>139</v>
      </c>
      <c r="O29" s="4">
        <f t="shared" si="5"/>
        <v>0.18533333333333332</v>
      </c>
      <c r="Q29">
        <v>18.809999999999999</v>
      </c>
      <c r="U29" t="str">
        <f t="shared" si="4"/>
        <v>194x0x0</v>
      </c>
      <c r="V29">
        <f t="shared" si="3"/>
        <v>11</v>
      </c>
      <c r="W29" t="str">
        <f>VLOOKUP(V29,'Articulated Lengths'!$A$2:$B$16, 2, FALSE)</f>
        <v>3,5,3</v>
      </c>
      <c r="Y29">
        <v>10</v>
      </c>
      <c r="Z29">
        <v>10</v>
      </c>
    </row>
    <row r="30" spans="1:26" x14ac:dyDescent="0.25">
      <c r="A30" t="s">
        <v>36</v>
      </c>
      <c r="B30" t="s">
        <v>234</v>
      </c>
      <c r="C30" t="s">
        <v>213</v>
      </c>
      <c r="E30" t="s">
        <v>439</v>
      </c>
      <c r="F30">
        <v>1912</v>
      </c>
      <c r="K30">
        <v>61</v>
      </c>
      <c r="N30">
        <v>104</v>
      </c>
      <c r="O30" s="4">
        <f t="shared" si="5"/>
        <v>0.17049180327868851</v>
      </c>
      <c r="P30">
        <v>60</v>
      </c>
      <c r="U30" t="str">
        <f t="shared" si="4"/>
        <v>0x0x0</v>
      </c>
      <c r="V30">
        <f t="shared" si="3"/>
        <v>0</v>
      </c>
      <c r="W30" t="str">
        <f>VLOOKUP(V30,'Articulated Lengths'!$A$2:$B$16, 2, FALSE)</f>
        <v>na</v>
      </c>
      <c r="Y30">
        <v>10</v>
      </c>
      <c r="Z30">
        <v>10</v>
      </c>
    </row>
    <row r="31" spans="1:26" x14ac:dyDescent="0.25">
      <c r="A31" t="s">
        <v>86</v>
      </c>
      <c r="B31" t="s">
        <v>235</v>
      </c>
      <c r="C31" t="s">
        <v>213</v>
      </c>
      <c r="E31" t="s">
        <v>439</v>
      </c>
      <c r="F31">
        <v>1914</v>
      </c>
      <c r="G31">
        <v>1919</v>
      </c>
      <c r="J31">
        <v>1100</v>
      </c>
      <c r="K31">
        <v>76</v>
      </c>
      <c r="N31">
        <v>140</v>
      </c>
      <c r="O31" s="4">
        <f t="shared" si="5"/>
        <v>0.18421052631578946</v>
      </c>
      <c r="P31">
        <v>35</v>
      </c>
      <c r="Q31">
        <v>12</v>
      </c>
      <c r="U31" t="str">
        <f t="shared" si="4"/>
        <v>123x0x0</v>
      </c>
      <c r="V31">
        <f t="shared" si="3"/>
        <v>7</v>
      </c>
      <c r="W31" t="str">
        <f>VLOOKUP(V31,'Articulated Lengths'!$A$2:$B$16, 2, FALSE)</f>
        <v>2,3,2</v>
      </c>
      <c r="Y31">
        <v>10</v>
      </c>
      <c r="Z31">
        <v>10</v>
      </c>
    </row>
    <row r="32" spans="1:26" x14ac:dyDescent="0.25">
      <c r="A32" t="s">
        <v>51</v>
      </c>
      <c r="B32" t="s">
        <v>236</v>
      </c>
      <c r="C32" t="s">
        <v>213</v>
      </c>
      <c r="E32" t="s">
        <v>439</v>
      </c>
      <c r="F32">
        <v>1921</v>
      </c>
      <c r="G32">
        <v>1922</v>
      </c>
      <c r="K32">
        <v>63</v>
      </c>
      <c r="L32">
        <v>41</v>
      </c>
      <c r="N32">
        <v>125</v>
      </c>
      <c r="O32" s="4">
        <f t="shared" si="5"/>
        <v>0.1984126984126984</v>
      </c>
      <c r="U32" t="str">
        <f t="shared" si="4"/>
        <v>0x0x0</v>
      </c>
      <c r="V32">
        <f t="shared" si="3"/>
        <v>0</v>
      </c>
      <c r="W32" t="str">
        <f>VLOOKUP(V32,'Articulated Lengths'!$A$2:$B$16, 2, FALSE)</f>
        <v>na</v>
      </c>
      <c r="Y32">
        <v>10</v>
      </c>
      <c r="Z32">
        <v>10</v>
      </c>
    </row>
    <row r="33" spans="1:26" x14ac:dyDescent="0.25">
      <c r="A33" t="s">
        <v>32</v>
      </c>
      <c r="B33" t="s">
        <v>237</v>
      </c>
      <c r="C33" t="s">
        <v>213</v>
      </c>
      <c r="E33" t="s">
        <v>439</v>
      </c>
      <c r="F33">
        <v>1922</v>
      </c>
      <c r="G33">
        <v>1924</v>
      </c>
      <c r="N33">
        <v>119</v>
      </c>
      <c r="O33" s="4" t="str">
        <f t="shared" si="5"/>
        <v/>
      </c>
      <c r="U33" t="str">
        <f t="shared" si="4"/>
        <v>0x0x0</v>
      </c>
      <c r="V33">
        <f t="shared" si="3"/>
        <v>0</v>
      </c>
      <c r="W33" t="str">
        <f>VLOOKUP(V33,'Articulated Lengths'!$A$2:$B$16, 2, FALSE)</f>
        <v>na</v>
      </c>
      <c r="Y33">
        <v>10</v>
      </c>
      <c r="Z33">
        <v>10</v>
      </c>
    </row>
    <row r="34" spans="1:26" x14ac:dyDescent="0.25">
      <c r="A34" t="s">
        <v>11</v>
      </c>
      <c r="B34" t="s">
        <v>238</v>
      </c>
      <c r="C34" t="s">
        <v>213</v>
      </c>
      <c r="E34" t="s">
        <v>439</v>
      </c>
      <c r="F34">
        <v>1923</v>
      </c>
      <c r="J34">
        <v>800</v>
      </c>
      <c r="K34">
        <f>49.5+41.8</f>
        <v>91.3</v>
      </c>
      <c r="N34">
        <v>109</v>
      </c>
      <c r="O34" s="4">
        <f t="shared" si="5"/>
        <v>0.11938663745892661</v>
      </c>
      <c r="Q34">
        <v>15.8</v>
      </c>
      <c r="U34" t="str">
        <f t="shared" si="4"/>
        <v>159x0x0</v>
      </c>
      <c r="V34">
        <f t="shared" si="3"/>
        <v>9</v>
      </c>
      <c r="W34" t="str">
        <f>VLOOKUP(V34,'Articulated Lengths'!$A$2:$B$16, 2, FALSE)</f>
        <v>2,5,2</v>
      </c>
      <c r="Y34">
        <v>10</v>
      </c>
      <c r="Z34">
        <v>10</v>
      </c>
    </row>
    <row r="35" spans="1:26" x14ac:dyDescent="0.25">
      <c r="A35" t="s">
        <v>24</v>
      </c>
      <c r="B35" t="s">
        <v>239</v>
      </c>
      <c r="C35" t="s">
        <v>213</v>
      </c>
      <c r="E35" t="s">
        <v>439</v>
      </c>
      <c r="F35">
        <v>1923</v>
      </c>
      <c r="G35">
        <v>1950</v>
      </c>
      <c r="K35">
        <v>81.099999999999994</v>
      </c>
      <c r="N35">
        <v>141</v>
      </c>
      <c r="O35" s="4">
        <f t="shared" si="5"/>
        <v>0.17385943279901356</v>
      </c>
      <c r="P35">
        <v>102</v>
      </c>
      <c r="Q35">
        <v>19.86</v>
      </c>
      <c r="S35">
        <v>4.07</v>
      </c>
      <c r="U35" t="str">
        <f t="shared" si="4"/>
        <v>212x0x61</v>
      </c>
      <c r="V35">
        <f t="shared" si="3"/>
        <v>12</v>
      </c>
      <c r="W35" t="str">
        <f>VLOOKUP(V35,'Articulated Lengths'!$A$2:$B$16, 2, FALSE)</f>
        <v>3,6,3</v>
      </c>
      <c r="Y35">
        <v>10</v>
      </c>
      <c r="Z35">
        <v>10</v>
      </c>
    </row>
    <row r="36" spans="1:26" x14ac:dyDescent="0.25">
      <c r="A36" t="s">
        <v>193</v>
      </c>
      <c r="B36" t="s">
        <v>379</v>
      </c>
      <c r="C36" t="s">
        <v>213</v>
      </c>
      <c r="E36" t="s">
        <v>439</v>
      </c>
      <c r="F36">
        <v>1899</v>
      </c>
      <c r="G36">
        <v>1902</v>
      </c>
      <c r="K36">
        <v>49.5</v>
      </c>
      <c r="N36">
        <v>92</v>
      </c>
      <c r="O36" s="4">
        <f t="shared" si="5"/>
        <v>0.18585858585858586</v>
      </c>
      <c r="U36" t="str">
        <f t="shared" si="4"/>
        <v>0x0x0</v>
      </c>
      <c r="V36">
        <f t="shared" si="3"/>
        <v>0</v>
      </c>
      <c r="W36" t="str">
        <f>VLOOKUP(V36,'Articulated Lengths'!$A$2:$B$16, 2, FALSE)</f>
        <v>na</v>
      </c>
      <c r="Y36">
        <v>10</v>
      </c>
      <c r="Z36">
        <v>10</v>
      </c>
    </row>
    <row r="37" spans="1:26" x14ac:dyDescent="0.25">
      <c r="A37" t="s">
        <v>10</v>
      </c>
      <c r="B37" t="s">
        <v>240</v>
      </c>
      <c r="C37" t="s">
        <v>427</v>
      </c>
      <c r="D37" t="s">
        <v>436</v>
      </c>
      <c r="E37" t="s">
        <v>439</v>
      </c>
      <c r="F37">
        <v>1924</v>
      </c>
      <c r="J37">
        <v>700</v>
      </c>
      <c r="K37">
        <v>50.2</v>
      </c>
      <c r="N37">
        <v>93</v>
      </c>
      <c r="O37" s="4">
        <f t="shared" si="5"/>
        <v>0.1852589641434263</v>
      </c>
      <c r="P37">
        <v>45</v>
      </c>
      <c r="Q37">
        <v>9.57</v>
      </c>
      <c r="U37" t="str">
        <f t="shared" si="4"/>
        <v>106x0x0</v>
      </c>
      <c r="V37">
        <f t="shared" si="3"/>
        <v>6</v>
      </c>
      <c r="W37" t="str">
        <f>VLOOKUP(V37,'Articulated Lengths'!$A$2:$B$16, 2, FALSE)</f>
        <v>2,2,2</v>
      </c>
      <c r="X37">
        <v>1</v>
      </c>
      <c r="Y37">
        <v>10</v>
      </c>
      <c r="Z37">
        <v>10</v>
      </c>
    </row>
    <row r="38" spans="1:26" x14ac:dyDescent="0.25">
      <c r="A38" t="s">
        <v>26</v>
      </c>
      <c r="B38" t="s">
        <v>241</v>
      </c>
      <c r="C38" t="s">
        <v>213</v>
      </c>
      <c r="E38" t="s">
        <v>439</v>
      </c>
      <c r="F38">
        <v>1924</v>
      </c>
      <c r="G38">
        <v>1928</v>
      </c>
      <c r="N38">
        <v>115</v>
      </c>
      <c r="O38" s="4" t="str">
        <f t="shared" si="5"/>
        <v/>
      </c>
      <c r="U38" t="str">
        <f t="shared" si="4"/>
        <v>0x0x0</v>
      </c>
      <c r="V38">
        <f t="shared" si="3"/>
        <v>0</v>
      </c>
      <c r="W38" t="str">
        <f>VLOOKUP(V38,'Articulated Lengths'!$A$2:$B$16, 2, FALSE)</f>
        <v>na</v>
      </c>
      <c r="Y38">
        <v>10</v>
      </c>
      <c r="Z38">
        <v>10</v>
      </c>
    </row>
    <row r="39" spans="1:26" x14ac:dyDescent="0.25">
      <c r="A39" t="s">
        <v>40</v>
      </c>
      <c r="B39" t="s">
        <v>242</v>
      </c>
      <c r="C39" t="s">
        <v>213</v>
      </c>
      <c r="E39" t="s">
        <v>439</v>
      </c>
      <c r="F39">
        <v>1926</v>
      </c>
      <c r="G39">
        <v>1932</v>
      </c>
      <c r="J39">
        <v>1290</v>
      </c>
      <c r="K39">
        <v>67</v>
      </c>
      <c r="N39">
        <v>118</v>
      </c>
      <c r="O39" s="4">
        <f t="shared" si="5"/>
        <v>0.17611940298507461</v>
      </c>
      <c r="Q39">
        <v>18.079999999999998</v>
      </c>
      <c r="U39" t="str">
        <f t="shared" si="4"/>
        <v>194x0x0</v>
      </c>
      <c r="V39">
        <f t="shared" si="3"/>
        <v>11</v>
      </c>
      <c r="W39" t="str">
        <f>VLOOKUP(V39,'Articulated Lengths'!$A$2:$B$16, 2, FALSE)</f>
        <v>3,5,3</v>
      </c>
      <c r="Y39">
        <v>10</v>
      </c>
      <c r="Z39">
        <v>10</v>
      </c>
    </row>
    <row r="40" spans="1:26" x14ac:dyDescent="0.25">
      <c r="A40" t="s">
        <v>191</v>
      </c>
      <c r="B40" t="s">
        <v>243</v>
      </c>
      <c r="C40" t="s">
        <v>213</v>
      </c>
      <c r="E40" t="s">
        <v>439</v>
      </c>
      <c r="F40">
        <v>1927</v>
      </c>
      <c r="K40">
        <v>66</v>
      </c>
      <c r="N40">
        <v>96</v>
      </c>
      <c r="O40" s="4">
        <f t="shared" si="5"/>
        <v>0.14545454545454545</v>
      </c>
      <c r="Q40">
        <v>17.899999999999999</v>
      </c>
      <c r="U40" t="str">
        <f t="shared" si="4"/>
        <v>194x0x0</v>
      </c>
      <c r="V40">
        <f t="shared" si="3"/>
        <v>11</v>
      </c>
      <c r="W40" t="str">
        <f>VLOOKUP(V40,'Articulated Lengths'!$A$2:$B$16, 2, FALSE)</f>
        <v>3,5,3</v>
      </c>
      <c r="Y40">
        <v>10</v>
      </c>
      <c r="Z40">
        <v>10</v>
      </c>
    </row>
    <row r="41" spans="1:26" x14ac:dyDescent="0.25">
      <c r="A41" t="s">
        <v>28</v>
      </c>
      <c r="B41" t="s">
        <v>244</v>
      </c>
      <c r="C41" t="s">
        <v>213</v>
      </c>
      <c r="E41" t="s">
        <v>439</v>
      </c>
      <c r="F41">
        <v>1927</v>
      </c>
      <c r="G41">
        <v>1936</v>
      </c>
      <c r="K41">
        <v>90.4</v>
      </c>
      <c r="N41">
        <v>179</v>
      </c>
      <c r="O41" s="4">
        <f t="shared" si="5"/>
        <v>0.19800884955752213</v>
      </c>
      <c r="Q41">
        <v>20.78</v>
      </c>
      <c r="S41">
        <v>4.08</v>
      </c>
      <c r="U41" t="str">
        <f t="shared" si="4"/>
        <v>212x0x61</v>
      </c>
      <c r="V41">
        <f t="shared" si="3"/>
        <v>12</v>
      </c>
      <c r="W41" t="str">
        <f>VLOOKUP(V41,'Articulated Lengths'!$A$2:$B$16, 2, FALSE)</f>
        <v>3,6,3</v>
      </c>
      <c r="Y41">
        <v>10</v>
      </c>
      <c r="Z41">
        <v>10</v>
      </c>
    </row>
    <row r="42" spans="1:26" x14ac:dyDescent="0.25">
      <c r="A42" t="s">
        <v>43</v>
      </c>
      <c r="B42" t="s">
        <v>405</v>
      </c>
      <c r="C42" t="s">
        <v>213</v>
      </c>
      <c r="E42" t="s">
        <v>439</v>
      </c>
      <c r="F42">
        <v>1927</v>
      </c>
      <c r="G42">
        <v>1934</v>
      </c>
      <c r="K42">
        <v>87.6</v>
      </c>
      <c r="N42">
        <v>102</v>
      </c>
      <c r="O42" s="4">
        <f t="shared" si="5"/>
        <v>0.11643835616438356</v>
      </c>
      <c r="Q42">
        <v>14.4</v>
      </c>
      <c r="U42" t="str">
        <f t="shared" si="4"/>
        <v>159x0x0</v>
      </c>
      <c r="V42">
        <f t="shared" si="3"/>
        <v>9</v>
      </c>
      <c r="W42" t="str">
        <f>VLOOKUP(V42,'Articulated Lengths'!$A$2:$B$16, 2, FALSE)</f>
        <v>2,5,2</v>
      </c>
      <c r="Y42">
        <v>10</v>
      </c>
      <c r="Z42">
        <v>10</v>
      </c>
    </row>
    <row r="43" spans="1:26" x14ac:dyDescent="0.25">
      <c r="A43" t="s">
        <v>29</v>
      </c>
      <c r="B43" t="s">
        <v>245</v>
      </c>
      <c r="C43" t="s">
        <v>213</v>
      </c>
      <c r="E43" t="s">
        <v>439</v>
      </c>
      <c r="F43">
        <v>1928</v>
      </c>
      <c r="G43">
        <v>1943</v>
      </c>
      <c r="K43">
        <v>76.2</v>
      </c>
      <c r="N43">
        <v>121</v>
      </c>
      <c r="O43" s="4">
        <f t="shared" si="5"/>
        <v>0.15879265091863518</v>
      </c>
      <c r="Q43">
        <v>19.2</v>
      </c>
      <c r="S43">
        <v>4.04</v>
      </c>
      <c r="U43" t="str">
        <f t="shared" si="4"/>
        <v>194x0x60</v>
      </c>
      <c r="V43">
        <f t="shared" si="3"/>
        <v>11</v>
      </c>
      <c r="W43" t="str">
        <f>VLOOKUP(V43,'Articulated Lengths'!$A$2:$B$16, 2, FALSE)</f>
        <v>3,5,3</v>
      </c>
      <c r="Y43">
        <v>10</v>
      </c>
      <c r="Z43">
        <v>10</v>
      </c>
    </row>
    <row r="44" spans="1:26" x14ac:dyDescent="0.25">
      <c r="A44" t="s">
        <v>34</v>
      </c>
      <c r="B44" t="s">
        <v>246</v>
      </c>
      <c r="C44" t="s">
        <v>213</v>
      </c>
      <c r="E44" t="s">
        <v>439</v>
      </c>
      <c r="F44">
        <v>1928</v>
      </c>
      <c r="G44">
        <v>1935</v>
      </c>
      <c r="K44">
        <v>92.8</v>
      </c>
      <c r="N44">
        <v>146</v>
      </c>
      <c r="O44" s="4">
        <f t="shared" si="5"/>
        <v>0.15732758620689655</v>
      </c>
      <c r="P44">
        <v>108</v>
      </c>
      <c r="Q44">
        <v>21.46</v>
      </c>
      <c r="U44" t="str">
        <f t="shared" si="4"/>
        <v>230x0x0</v>
      </c>
      <c r="V44">
        <f t="shared" si="3"/>
        <v>13</v>
      </c>
      <c r="W44" t="str">
        <f>VLOOKUP(V44,'Articulated Lengths'!$A$2:$B$16, 2, FALSE)</f>
        <v>4,5,4</v>
      </c>
      <c r="Y44">
        <v>10</v>
      </c>
      <c r="Z44">
        <v>10</v>
      </c>
    </row>
    <row r="45" spans="1:26" x14ac:dyDescent="0.25">
      <c r="A45" t="s">
        <v>27</v>
      </c>
      <c r="B45" t="s">
        <v>247</v>
      </c>
      <c r="C45" t="s">
        <v>213</v>
      </c>
      <c r="E45" t="s">
        <v>439</v>
      </c>
      <c r="F45">
        <v>1929</v>
      </c>
      <c r="G45">
        <v>1950</v>
      </c>
      <c r="K45">
        <v>48.3</v>
      </c>
      <c r="N45">
        <v>100</v>
      </c>
      <c r="O45" s="4">
        <f t="shared" si="5"/>
        <v>0.20703933747412009</v>
      </c>
      <c r="Q45">
        <v>9.5</v>
      </c>
      <c r="S45">
        <v>3.7349999999999999</v>
      </c>
      <c r="U45" t="str">
        <f t="shared" si="4"/>
        <v>106x0x56</v>
      </c>
      <c r="V45">
        <f t="shared" si="3"/>
        <v>6</v>
      </c>
      <c r="W45" t="str">
        <f>VLOOKUP(V45,'Articulated Lengths'!$A$2:$B$16, 2, FALSE)</f>
        <v>2,2,2</v>
      </c>
      <c r="Y45">
        <v>10</v>
      </c>
      <c r="Z45">
        <v>10</v>
      </c>
    </row>
    <row r="46" spans="1:26" x14ac:dyDescent="0.25">
      <c r="A46" t="s">
        <v>46</v>
      </c>
      <c r="B46" t="s">
        <v>248</v>
      </c>
      <c r="C46" t="s">
        <v>213</v>
      </c>
      <c r="E46" t="s">
        <v>439</v>
      </c>
      <c r="F46">
        <v>1930</v>
      </c>
      <c r="G46">
        <v>1935</v>
      </c>
      <c r="K46">
        <v>68.2</v>
      </c>
      <c r="L46">
        <v>43.1</v>
      </c>
      <c r="N46">
        <v>111</v>
      </c>
      <c r="O46" s="4">
        <f t="shared" si="5"/>
        <v>0.1627565982404692</v>
      </c>
      <c r="P46">
        <v>95</v>
      </c>
      <c r="Q46">
        <v>17.93</v>
      </c>
      <c r="S46">
        <v>3.96</v>
      </c>
      <c r="U46" t="str">
        <f t="shared" si="4"/>
        <v>194x0x59</v>
      </c>
      <c r="V46">
        <f t="shared" si="3"/>
        <v>11</v>
      </c>
      <c r="W46" t="str">
        <f>VLOOKUP(V46,'Articulated Lengths'!$A$2:$B$16, 2, FALSE)</f>
        <v>3,5,3</v>
      </c>
      <c r="Y46">
        <v>10</v>
      </c>
      <c r="Z46">
        <v>10</v>
      </c>
    </row>
    <row r="47" spans="1:26" x14ac:dyDescent="0.25">
      <c r="A47" t="s">
        <v>22</v>
      </c>
      <c r="B47" t="s">
        <v>249</v>
      </c>
      <c r="C47" t="s">
        <v>213</v>
      </c>
      <c r="E47" t="s">
        <v>439</v>
      </c>
      <c r="F47">
        <v>1932</v>
      </c>
      <c r="K47">
        <v>43</v>
      </c>
      <c r="N47">
        <v>62</v>
      </c>
      <c r="O47" s="4">
        <f t="shared" si="5"/>
        <v>0.14418604651162792</v>
      </c>
      <c r="Q47">
        <v>9.1199999999999992</v>
      </c>
      <c r="S47">
        <v>3.82</v>
      </c>
      <c r="U47" t="str">
        <f t="shared" si="4"/>
        <v>106x0x57</v>
      </c>
      <c r="V47">
        <f t="shared" si="3"/>
        <v>6</v>
      </c>
      <c r="W47" t="str">
        <f>VLOOKUP(V47,'Articulated Lengths'!$A$2:$B$16, 2, FALSE)</f>
        <v>2,2,2</v>
      </c>
      <c r="Y47">
        <v>10</v>
      </c>
      <c r="Z47">
        <v>10</v>
      </c>
    </row>
    <row r="48" spans="1:26" x14ac:dyDescent="0.25">
      <c r="A48" t="s">
        <v>39</v>
      </c>
      <c r="B48" t="s">
        <v>250</v>
      </c>
      <c r="C48" t="s">
        <v>213</v>
      </c>
      <c r="E48" t="s">
        <v>439</v>
      </c>
      <c r="F48">
        <v>1934</v>
      </c>
      <c r="G48">
        <v>1951</v>
      </c>
      <c r="K48">
        <v>73.400000000000006</v>
      </c>
      <c r="N48">
        <v>113</v>
      </c>
      <c r="O48" s="4">
        <f t="shared" si="5"/>
        <v>0.15395095367847411</v>
      </c>
      <c r="Q48">
        <v>19.399999999999999</v>
      </c>
      <c r="U48" t="str">
        <f t="shared" si="4"/>
        <v>194x0x0</v>
      </c>
      <c r="V48">
        <f t="shared" si="3"/>
        <v>11</v>
      </c>
      <c r="W48" t="str">
        <f>VLOOKUP(V48,'Articulated Lengths'!$A$2:$B$16, 2, FALSE)</f>
        <v>3,5,3</v>
      </c>
      <c r="Y48">
        <v>10</v>
      </c>
      <c r="Z48">
        <v>10</v>
      </c>
    </row>
    <row r="49" spans="1:26" x14ac:dyDescent="0.25">
      <c r="A49" t="s">
        <v>41</v>
      </c>
      <c r="B49" t="s">
        <v>251</v>
      </c>
      <c r="C49" t="s">
        <v>213</v>
      </c>
      <c r="E49" t="s">
        <v>439</v>
      </c>
      <c r="F49">
        <v>1934</v>
      </c>
      <c r="G49">
        <v>1936</v>
      </c>
      <c r="J49">
        <v>1375</v>
      </c>
      <c r="K49">
        <v>80.8</v>
      </c>
      <c r="N49">
        <v>118</v>
      </c>
      <c r="O49" s="4">
        <f t="shared" si="5"/>
        <v>0.14603960396039603</v>
      </c>
      <c r="Q49">
        <v>19.73</v>
      </c>
      <c r="U49" t="str">
        <f t="shared" si="4"/>
        <v>212x0x0</v>
      </c>
      <c r="V49">
        <f t="shared" si="3"/>
        <v>12</v>
      </c>
      <c r="W49" t="str">
        <f>VLOOKUP(V49,'Articulated Lengths'!$A$2:$B$16, 2, FALSE)</f>
        <v>3,6,3</v>
      </c>
      <c r="Y49">
        <v>10</v>
      </c>
      <c r="Z49">
        <v>10</v>
      </c>
    </row>
    <row r="50" spans="1:26" x14ac:dyDescent="0.25">
      <c r="A50" t="s">
        <v>12</v>
      </c>
      <c r="B50" t="s">
        <v>252</v>
      </c>
      <c r="C50" t="s">
        <v>213</v>
      </c>
      <c r="E50" t="s">
        <v>439</v>
      </c>
      <c r="F50">
        <v>1935</v>
      </c>
      <c r="J50">
        <v>1300</v>
      </c>
      <c r="K50">
        <v>73</v>
      </c>
      <c r="N50">
        <v>144</v>
      </c>
      <c r="O50" s="4">
        <f t="shared" si="5"/>
        <v>0.19726027397260273</v>
      </c>
      <c r="Q50">
        <v>19.22</v>
      </c>
      <c r="U50" t="str">
        <f t="shared" si="4"/>
        <v>194x0x0</v>
      </c>
      <c r="V50">
        <f t="shared" si="3"/>
        <v>11</v>
      </c>
      <c r="W50" t="str">
        <f>VLOOKUP(V50,'Articulated Lengths'!$A$2:$B$16, 2, FALSE)</f>
        <v>3,5,3</v>
      </c>
      <c r="Y50">
        <v>10</v>
      </c>
      <c r="Z50">
        <v>10</v>
      </c>
    </row>
    <row r="51" spans="1:26" x14ac:dyDescent="0.25">
      <c r="A51" t="s">
        <v>35</v>
      </c>
      <c r="B51" t="s">
        <v>253</v>
      </c>
      <c r="C51" t="s">
        <v>213</v>
      </c>
      <c r="E51" t="s">
        <v>439</v>
      </c>
      <c r="F51">
        <v>1935</v>
      </c>
      <c r="G51">
        <v>1938</v>
      </c>
      <c r="J51">
        <v>1850</v>
      </c>
      <c r="K51">
        <v>104.6</v>
      </c>
      <c r="N51">
        <v>157</v>
      </c>
      <c r="O51" s="4">
        <f t="shared" si="5"/>
        <v>0.15009560229445507</v>
      </c>
      <c r="P51">
        <v>125</v>
      </c>
      <c r="Q51">
        <v>21.65</v>
      </c>
      <c r="S51">
        <v>3.99</v>
      </c>
      <c r="U51" t="str">
        <f t="shared" si="4"/>
        <v>230x0x59</v>
      </c>
      <c r="V51">
        <f t="shared" si="3"/>
        <v>13</v>
      </c>
      <c r="W51" t="str">
        <f>VLOOKUP(V51,'Articulated Lengths'!$A$2:$B$16, 2, FALSE)</f>
        <v>4,5,4</v>
      </c>
      <c r="Y51">
        <v>10</v>
      </c>
      <c r="Z51">
        <v>10</v>
      </c>
    </row>
    <row r="52" spans="1:26" x14ac:dyDescent="0.25">
      <c r="A52" t="s">
        <v>44</v>
      </c>
      <c r="B52" t="s">
        <v>406</v>
      </c>
      <c r="C52" t="s">
        <v>213</v>
      </c>
      <c r="E52" t="s">
        <v>439</v>
      </c>
      <c r="F52">
        <v>1935</v>
      </c>
      <c r="G52">
        <v>1943</v>
      </c>
      <c r="K52">
        <v>89.2</v>
      </c>
      <c r="N52">
        <v>110</v>
      </c>
      <c r="O52" s="4">
        <f t="shared" si="5"/>
        <v>0.12331838565022421</v>
      </c>
      <c r="Q52">
        <v>14.4</v>
      </c>
      <c r="U52" t="str">
        <f t="shared" si="4"/>
        <v>159x0x0</v>
      </c>
      <c r="V52">
        <f t="shared" si="3"/>
        <v>9</v>
      </c>
      <c r="W52" t="str">
        <f>VLOOKUP(V52,'Articulated Lengths'!$A$2:$B$16, 2, FALSE)</f>
        <v>2,5,2</v>
      </c>
      <c r="Y52">
        <v>10</v>
      </c>
      <c r="Z52">
        <v>10</v>
      </c>
    </row>
    <row r="53" spans="1:26" x14ac:dyDescent="0.25">
      <c r="A53" t="s">
        <v>16</v>
      </c>
      <c r="B53" t="s">
        <v>254</v>
      </c>
      <c r="C53" t="s">
        <v>213</v>
      </c>
      <c r="E53" t="s">
        <v>439</v>
      </c>
      <c r="F53">
        <v>1936</v>
      </c>
      <c r="N53">
        <v>150</v>
      </c>
      <c r="O53" s="4" t="str">
        <f t="shared" si="5"/>
        <v/>
      </c>
      <c r="Q53">
        <v>20.239999999999998</v>
      </c>
      <c r="U53" t="str">
        <f t="shared" si="4"/>
        <v>212x0x0</v>
      </c>
      <c r="V53">
        <f t="shared" si="3"/>
        <v>12</v>
      </c>
      <c r="W53" t="str">
        <f>VLOOKUP(V53,'Articulated Lengths'!$A$2:$B$16, 2, FALSE)</f>
        <v>3,6,3</v>
      </c>
      <c r="Y53">
        <v>10</v>
      </c>
      <c r="Z53">
        <v>10</v>
      </c>
    </row>
    <row r="54" spans="1:26" x14ac:dyDescent="0.25">
      <c r="A54" t="s">
        <v>30</v>
      </c>
      <c r="B54" t="s">
        <v>255</v>
      </c>
      <c r="C54" t="s">
        <v>213</v>
      </c>
      <c r="E54" t="s">
        <v>439</v>
      </c>
      <c r="F54">
        <v>1936</v>
      </c>
      <c r="G54">
        <v>1939</v>
      </c>
      <c r="K54">
        <v>75.2</v>
      </c>
      <c r="N54">
        <v>128</v>
      </c>
      <c r="O54" s="4">
        <f t="shared" si="5"/>
        <v>0.1702127659574468</v>
      </c>
      <c r="Q54">
        <v>19.21</v>
      </c>
      <c r="S54">
        <v>3.96</v>
      </c>
      <c r="U54" t="str">
        <f t="shared" si="4"/>
        <v>194x0x59</v>
      </c>
      <c r="V54">
        <f t="shared" si="3"/>
        <v>11</v>
      </c>
      <c r="W54" t="str">
        <f>VLOOKUP(V54,'Articulated Lengths'!$A$2:$B$16, 2, FALSE)</f>
        <v>3,5,3</v>
      </c>
      <c r="Y54">
        <v>10</v>
      </c>
      <c r="Z54">
        <v>10</v>
      </c>
    </row>
    <row r="55" spans="1:26" x14ac:dyDescent="0.25">
      <c r="A55" t="s">
        <v>42</v>
      </c>
      <c r="B55" t="s">
        <v>347</v>
      </c>
      <c r="C55" t="s">
        <v>213</v>
      </c>
      <c r="E55" t="s">
        <v>439</v>
      </c>
      <c r="F55">
        <v>1937</v>
      </c>
      <c r="G55">
        <v>1948</v>
      </c>
      <c r="J55">
        <v>3300</v>
      </c>
      <c r="K55">
        <v>110</v>
      </c>
      <c r="N55">
        <v>180</v>
      </c>
      <c r="O55" s="4">
        <f t="shared" si="5"/>
        <v>0.16363636363636364</v>
      </c>
      <c r="Q55">
        <v>22.49</v>
      </c>
      <c r="S55">
        <v>4.0389999999999997</v>
      </c>
      <c r="U55" t="str">
        <f t="shared" si="4"/>
        <v>230x0x60</v>
      </c>
      <c r="V55">
        <f t="shared" si="3"/>
        <v>13</v>
      </c>
      <c r="W55" t="str">
        <f>VLOOKUP(V55,'Articulated Lengths'!$A$2:$B$16, 2, FALSE)</f>
        <v>4,5,4</v>
      </c>
      <c r="Y55">
        <v>10</v>
      </c>
      <c r="Z55">
        <v>10</v>
      </c>
    </row>
    <row r="56" spans="1:26" x14ac:dyDescent="0.25">
      <c r="A56" t="s">
        <v>47</v>
      </c>
      <c r="B56" t="s">
        <v>256</v>
      </c>
      <c r="C56" t="s">
        <v>213</v>
      </c>
      <c r="E56" t="s">
        <v>439</v>
      </c>
      <c r="F56">
        <v>1941</v>
      </c>
      <c r="G56">
        <v>1949</v>
      </c>
      <c r="K56">
        <v>96.3</v>
      </c>
      <c r="N56">
        <v>167</v>
      </c>
      <c r="O56" s="4">
        <f t="shared" si="5"/>
        <v>0.17341640706126688</v>
      </c>
      <c r="P56">
        <v>105</v>
      </c>
      <c r="Q56">
        <v>21.23</v>
      </c>
      <c r="U56" t="str">
        <f t="shared" si="4"/>
        <v>212x0x0</v>
      </c>
      <c r="V56">
        <f t="shared" si="3"/>
        <v>12</v>
      </c>
      <c r="W56" t="str">
        <f>VLOOKUP(V56,'Articulated Lengths'!$A$2:$B$16, 2, FALSE)</f>
        <v>3,6,3</v>
      </c>
      <c r="Y56">
        <v>10</v>
      </c>
      <c r="Z56">
        <v>10</v>
      </c>
    </row>
    <row r="57" spans="1:26" x14ac:dyDescent="0.25">
      <c r="A57" t="s">
        <v>87</v>
      </c>
      <c r="B57" t="s">
        <v>257</v>
      </c>
      <c r="C57" t="s">
        <v>213</v>
      </c>
      <c r="E57" t="s">
        <v>439</v>
      </c>
      <c r="F57">
        <v>1941</v>
      </c>
      <c r="G57">
        <v>1948</v>
      </c>
      <c r="J57">
        <v>1470</v>
      </c>
      <c r="K57">
        <v>101</v>
      </c>
      <c r="N57">
        <v>178</v>
      </c>
      <c r="O57" s="4">
        <f t="shared" si="5"/>
        <v>0.17623762376237623</v>
      </c>
      <c r="P57">
        <v>75</v>
      </c>
      <c r="U57" t="str">
        <f t="shared" si="4"/>
        <v>0x0x0</v>
      </c>
      <c r="V57">
        <f t="shared" si="3"/>
        <v>0</v>
      </c>
      <c r="W57" t="str">
        <f>VLOOKUP(V57,'Articulated Lengths'!$A$2:$B$16, 2, FALSE)</f>
        <v>na</v>
      </c>
      <c r="Y57">
        <v>10</v>
      </c>
      <c r="Z57">
        <v>10</v>
      </c>
    </row>
    <row r="58" spans="1:26" x14ac:dyDescent="0.25">
      <c r="A58" t="s">
        <v>15</v>
      </c>
      <c r="B58" t="s">
        <v>258</v>
      </c>
      <c r="C58" t="s">
        <v>213</v>
      </c>
      <c r="E58" t="s">
        <v>439</v>
      </c>
      <c r="F58">
        <v>1942</v>
      </c>
      <c r="K58">
        <v>72</v>
      </c>
      <c r="N58">
        <v>119</v>
      </c>
      <c r="O58" s="4">
        <f t="shared" si="5"/>
        <v>0.16527777777777777</v>
      </c>
      <c r="U58" t="str">
        <f t="shared" si="4"/>
        <v>0x0x0</v>
      </c>
      <c r="V58">
        <f t="shared" si="3"/>
        <v>0</v>
      </c>
      <c r="W58" t="str">
        <f>VLOOKUP(V58,'Articulated Lengths'!$A$2:$B$16, 2, FALSE)</f>
        <v>na</v>
      </c>
      <c r="Y58">
        <v>10</v>
      </c>
      <c r="Z58">
        <v>10</v>
      </c>
    </row>
    <row r="59" spans="1:26" x14ac:dyDescent="0.25">
      <c r="A59" t="s">
        <v>54</v>
      </c>
      <c r="B59" t="s">
        <v>259</v>
      </c>
      <c r="C59" t="s">
        <v>213</v>
      </c>
      <c r="E59" t="s">
        <v>439</v>
      </c>
      <c r="F59">
        <v>1942</v>
      </c>
      <c r="G59">
        <v>1942</v>
      </c>
      <c r="K59">
        <v>90.7</v>
      </c>
      <c r="N59">
        <v>134</v>
      </c>
      <c r="O59" s="4">
        <f t="shared" si="5"/>
        <v>0.14773980154355015</v>
      </c>
      <c r="Q59">
        <v>16.73</v>
      </c>
      <c r="U59" t="str">
        <f t="shared" si="4"/>
        <v>177x0x0</v>
      </c>
      <c r="V59">
        <f t="shared" si="3"/>
        <v>10</v>
      </c>
      <c r="W59" t="str">
        <f>VLOOKUP(V59,'Articulated Lengths'!$A$2:$B$16, 2, FALSE)</f>
        <v>3,4,3</v>
      </c>
      <c r="Y59">
        <v>10</v>
      </c>
      <c r="Z59">
        <v>10</v>
      </c>
    </row>
    <row r="60" spans="1:26" x14ac:dyDescent="0.25">
      <c r="A60" t="s">
        <v>52</v>
      </c>
      <c r="B60" t="s">
        <v>348</v>
      </c>
      <c r="C60" t="s">
        <v>213</v>
      </c>
      <c r="E60" t="s">
        <v>439</v>
      </c>
      <c r="F60">
        <v>1943</v>
      </c>
      <c r="G60">
        <v>1964</v>
      </c>
      <c r="K60">
        <v>49</v>
      </c>
      <c r="N60">
        <v>106</v>
      </c>
      <c r="O60" s="4">
        <f t="shared" si="5"/>
        <v>0.21632653061224491</v>
      </c>
      <c r="Q60">
        <v>9.25</v>
      </c>
      <c r="U60" t="str">
        <f t="shared" si="4"/>
        <v>106x0x0</v>
      </c>
      <c r="V60">
        <f t="shared" si="3"/>
        <v>6</v>
      </c>
      <c r="W60" t="str">
        <f>VLOOKUP(V60,'Articulated Lengths'!$A$2:$B$16, 2, FALSE)</f>
        <v>2,2,2</v>
      </c>
      <c r="Y60">
        <v>10</v>
      </c>
      <c r="Z60">
        <v>10</v>
      </c>
    </row>
    <row r="61" spans="1:26" x14ac:dyDescent="0.25">
      <c r="A61" t="s">
        <v>53</v>
      </c>
      <c r="B61" t="s">
        <v>407</v>
      </c>
      <c r="C61" t="s">
        <v>213</v>
      </c>
      <c r="E61" t="s">
        <v>439</v>
      </c>
      <c r="F61">
        <v>1943</v>
      </c>
      <c r="G61">
        <v>1945</v>
      </c>
      <c r="K61">
        <v>71.400000000000006</v>
      </c>
      <c r="L61">
        <v>56.4</v>
      </c>
      <c r="N61">
        <v>152</v>
      </c>
      <c r="O61" s="4">
        <f t="shared" si="5"/>
        <v>0.21288515406162464</v>
      </c>
      <c r="Q61">
        <v>19.350000000000001</v>
      </c>
      <c r="U61" t="str">
        <f t="shared" si="4"/>
        <v>194x0x0</v>
      </c>
      <c r="V61">
        <f t="shared" si="3"/>
        <v>11</v>
      </c>
      <c r="W61" t="str">
        <f>VLOOKUP(V61,'Articulated Lengths'!$A$2:$B$16, 2, FALSE)</f>
        <v>3,5,3</v>
      </c>
      <c r="Y61">
        <v>10</v>
      </c>
      <c r="Z61">
        <v>10</v>
      </c>
    </row>
    <row r="62" spans="1:26" x14ac:dyDescent="0.25">
      <c r="A62" t="s">
        <v>31</v>
      </c>
      <c r="B62" t="s">
        <v>378</v>
      </c>
      <c r="C62" t="s">
        <v>213</v>
      </c>
      <c r="E62" t="s">
        <v>439</v>
      </c>
      <c r="F62">
        <v>1944</v>
      </c>
      <c r="G62">
        <v>1950</v>
      </c>
      <c r="K62">
        <v>77</v>
      </c>
      <c r="N62">
        <v>121</v>
      </c>
      <c r="O62" s="4">
        <f t="shared" si="5"/>
        <v>0.15714285714285714</v>
      </c>
      <c r="Q62">
        <v>19.2</v>
      </c>
      <c r="S62">
        <v>4.01</v>
      </c>
      <c r="U62" t="str">
        <f t="shared" si="4"/>
        <v>194x0x60</v>
      </c>
      <c r="V62">
        <f t="shared" si="3"/>
        <v>11</v>
      </c>
      <c r="W62" t="str">
        <f>VLOOKUP(V62,'Articulated Lengths'!$A$2:$B$16, 2, FALSE)</f>
        <v>3,5,3</v>
      </c>
      <c r="Y62">
        <v>10</v>
      </c>
      <c r="Z62">
        <v>10</v>
      </c>
    </row>
    <row r="63" spans="1:26" x14ac:dyDescent="0.25">
      <c r="A63" t="s">
        <v>21</v>
      </c>
      <c r="B63" t="s">
        <v>260</v>
      </c>
      <c r="C63" t="s">
        <v>213</v>
      </c>
      <c r="E63" t="s">
        <v>439</v>
      </c>
      <c r="F63">
        <v>1945</v>
      </c>
      <c r="K63">
        <v>78.099999999999994</v>
      </c>
      <c r="N63">
        <v>145</v>
      </c>
      <c r="O63" s="4">
        <f t="shared" si="5"/>
        <v>0.1856594110115237</v>
      </c>
      <c r="Q63">
        <v>19.21</v>
      </c>
      <c r="S63">
        <v>4.08</v>
      </c>
      <c r="U63" t="str">
        <f t="shared" si="4"/>
        <v>194x0x61</v>
      </c>
      <c r="V63">
        <f t="shared" si="3"/>
        <v>11</v>
      </c>
      <c r="W63" t="str">
        <f>VLOOKUP(V63,'Articulated Lengths'!$A$2:$B$16, 2, FALSE)</f>
        <v>3,5,3</v>
      </c>
      <c r="Y63">
        <v>10</v>
      </c>
      <c r="Z63">
        <v>10</v>
      </c>
    </row>
    <row r="64" spans="1:26" x14ac:dyDescent="0.25">
      <c r="A64" t="s">
        <v>48</v>
      </c>
      <c r="B64" t="s">
        <v>261</v>
      </c>
      <c r="C64" t="s">
        <v>213</v>
      </c>
      <c r="E64" t="s">
        <v>439</v>
      </c>
      <c r="F64">
        <v>1945</v>
      </c>
      <c r="G64">
        <v>1951</v>
      </c>
      <c r="K64">
        <v>87.4</v>
      </c>
      <c r="N64">
        <v>138</v>
      </c>
      <c r="O64" s="4">
        <f t="shared" si="5"/>
        <v>0.15789473684210525</v>
      </c>
      <c r="Q64">
        <v>20.54</v>
      </c>
      <c r="U64" t="str">
        <f t="shared" si="4"/>
        <v>212x0x0</v>
      </c>
      <c r="V64">
        <f t="shared" si="3"/>
        <v>12</v>
      </c>
      <c r="W64" t="str">
        <f>VLOOKUP(V64,'Articulated Lengths'!$A$2:$B$16, 2, FALSE)</f>
        <v>3,6,3</v>
      </c>
      <c r="Y64">
        <v>10</v>
      </c>
      <c r="Z64">
        <v>10</v>
      </c>
    </row>
    <row r="65" spans="1:26" x14ac:dyDescent="0.25">
      <c r="A65" t="s">
        <v>55</v>
      </c>
      <c r="B65" t="s">
        <v>262</v>
      </c>
      <c r="C65" t="s">
        <v>213</v>
      </c>
      <c r="E65" t="s">
        <v>439</v>
      </c>
      <c r="F65">
        <v>1946</v>
      </c>
      <c r="G65">
        <v>1949</v>
      </c>
      <c r="K65">
        <v>152</v>
      </c>
      <c r="N65">
        <v>117</v>
      </c>
      <c r="O65" s="4">
        <f t="shared" si="5"/>
        <v>7.6973684210526319E-2</v>
      </c>
      <c r="Q65">
        <v>20.420000000000002</v>
      </c>
      <c r="U65" t="str">
        <f t="shared" si="4"/>
        <v>212x0x0</v>
      </c>
      <c r="V65">
        <f t="shared" si="3"/>
        <v>12</v>
      </c>
      <c r="W65" t="str">
        <f>VLOOKUP(V65,'Articulated Lengths'!$A$2:$B$16, 2, FALSE)</f>
        <v>3,6,3</v>
      </c>
      <c r="Y65">
        <v>10</v>
      </c>
      <c r="Z65">
        <v>10</v>
      </c>
    </row>
    <row r="66" spans="1:26" x14ac:dyDescent="0.25">
      <c r="A66" t="s">
        <v>57</v>
      </c>
      <c r="B66" t="s">
        <v>263</v>
      </c>
      <c r="C66" t="s">
        <v>213</v>
      </c>
      <c r="E66" t="s">
        <v>439</v>
      </c>
      <c r="F66">
        <v>1946</v>
      </c>
      <c r="G66">
        <v>1953</v>
      </c>
      <c r="K66">
        <v>48</v>
      </c>
      <c r="N66">
        <v>77</v>
      </c>
      <c r="O66" s="4">
        <f t="shared" si="5"/>
        <v>0.16041666666666668</v>
      </c>
      <c r="Q66">
        <v>16.2</v>
      </c>
      <c r="U66" t="str">
        <f t="shared" si="4"/>
        <v>177x0x0</v>
      </c>
      <c r="V66">
        <f t="shared" si="3"/>
        <v>10</v>
      </c>
      <c r="W66" t="str">
        <f>VLOOKUP(V66,'Articulated Lengths'!$A$2:$B$16, 2, FALSE)</f>
        <v>3,4,3</v>
      </c>
      <c r="Y66">
        <v>10</v>
      </c>
      <c r="Z66">
        <v>10</v>
      </c>
    </row>
    <row r="67" spans="1:26" x14ac:dyDescent="0.25">
      <c r="A67" t="s">
        <v>88</v>
      </c>
      <c r="B67" t="s">
        <v>264</v>
      </c>
      <c r="C67" t="s">
        <v>213</v>
      </c>
      <c r="E67" t="s">
        <v>439</v>
      </c>
      <c r="F67">
        <v>1947</v>
      </c>
      <c r="G67">
        <v>1948</v>
      </c>
      <c r="J67">
        <v>1600</v>
      </c>
      <c r="K67">
        <v>129.69999999999999</v>
      </c>
      <c r="N67">
        <v>184</v>
      </c>
      <c r="O67" s="4">
        <f t="shared" si="5"/>
        <v>0.14186584425597532</v>
      </c>
      <c r="P67">
        <v>93</v>
      </c>
      <c r="Q67">
        <v>18.64</v>
      </c>
      <c r="S67">
        <v>3.95</v>
      </c>
      <c r="U67" t="str">
        <f t="shared" si="4"/>
        <v>194x0x59</v>
      </c>
      <c r="V67">
        <f t="shared" si="3"/>
        <v>11</v>
      </c>
      <c r="W67" t="str">
        <f>VLOOKUP(V67,'Articulated Lengths'!$A$2:$B$16, 2, FALSE)</f>
        <v>3,5,3</v>
      </c>
      <c r="Y67">
        <v>10</v>
      </c>
      <c r="Z67">
        <v>10</v>
      </c>
    </row>
    <row r="68" spans="1:26" x14ac:dyDescent="0.25">
      <c r="A68" t="s">
        <v>33</v>
      </c>
      <c r="B68" t="s">
        <v>265</v>
      </c>
      <c r="C68" t="s">
        <v>213</v>
      </c>
      <c r="E68" t="s">
        <v>439</v>
      </c>
      <c r="F68">
        <v>1948</v>
      </c>
      <c r="G68">
        <v>1949</v>
      </c>
      <c r="J68">
        <v>2700</v>
      </c>
      <c r="K68">
        <v>106.9</v>
      </c>
      <c r="N68">
        <v>166</v>
      </c>
      <c r="O68" s="4">
        <f t="shared" si="5"/>
        <v>0.15528531337698784</v>
      </c>
      <c r="P68">
        <v>100</v>
      </c>
      <c r="Q68">
        <v>22.24</v>
      </c>
      <c r="S68">
        <v>3.99</v>
      </c>
      <c r="U68" t="str">
        <f t="shared" si="4"/>
        <v>230x0x59</v>
      </c>
      <c r="V68">
        <f t="shared" si="3"/>
        <v>13</v>
      </c>
      <c r="W68" t="str">
        <f>VLOOKUP(V68,'Articulated Lengths'!$A$2:$B$16, 2, FALSE)</f>
        <v>4,5,4</v>
      </c>
      <c r="Y68">
        <v>10</v>
      </c>
      <c r="Z68">
        <v>10</v>
      </c>
    </row>
    <row r="69" spans="1:26" x14ac:dyDescent="0.25">
      <c r="A69" t="s">
        <v>92</v>
      </c>
      <c r="B69" t="s">
        <v>408</v>
      </c>
      <c r="C69" t="s">
        <v>213</v>
      </c>
      <c r="E69" t="s">
        <v>439</v>
      </c>
      <c r="F69">
        <v>1950</v>
      </c>
      <c r="G69">
        <v>1953</v>
      </c>
      <c r="J69">
        <v>1300</v>
      </c>
      <c r="K69">
        <v>89.3</v>
      </c>
      <c r="N69">
        <v>200</v>
      </c>
      <c r="O69" s="4">
        <f t="shared" si="5"/>
        <v>0.22396416573348266</v>
      </c>
      <c r="P69">
        <v>65</v>
      </c>
      <c r="Q69">
        <v>15.34</v>
      </c>
      <c r="U69" t="str">
        <f t="shared" si="4"/>
        <v>159x0x0</v>
      </c>
      <c r="V69">
        <f t="shared" si="3"/>
        <v>9</v>
      </c>
      <c r="W69" t="str">
        <f>VLOOKUP(V69,'Articulated Lengths'!$A$2:$B$16, 2, FALSE)</f>
        <v>2,5,2</v>
      </c>
      <c r="Y69">
        <v>10</v>
      </c>
      <c r="Z69">
        <v>10</v>
      </c>
    </row>
    <row r="70" spans="1:26" x14ac:dyDescent="0.25">
      <c r="A70" t="s">
        <v>45</v>
      </c>
      <c r="B70" t="s">
        <v>349</v>
      </c>
      <c r="C70" t="s">
        <v>213</v>
      </c>
      <c r="E70" t="s">
        <v>439</v>
      </c>
      <c r="F70">
        <v>1951</v>
      </c>
      <c r="G70">
        <v>1952</v>
      </c>
      <c r="K70">
        <v>89.92</v>
      </c>
      <c r="L70">
        <v>14.38</v>
      </c>
      <c r="N70">
        <v>122</v>
      </c>
      <c r="O70" s="4">
        <f t="shared" si="5"/>
        <v>0.13567615658362989</v>
      </c>
      <c r="Q70">
        <v>20.96</v>
      </c>
      <c r="S70">
        <v>3.98</v>
      </c>
      <c r="U70" t="str">
        <f t="shared" si="4"/>
        <v>212x0x59</v>
      </c>
      <c r="V70">
        <f t="shared" ref="V70:V133" si="6">CEILING((Q70/57)*32,1)</f>
        <v>12</v>
      </c>
      <c r="W70" t="str">
        <f>VLOOKUP(V70,'Articulated Lengths'!$A$2:$B$16, 2, FALSE)</f>
        <v>3,6,3</v>
      </c>
      <c r="Y70">
        <v>10</v>
      </c>
      <c r="Z70">
        <v>10</v>
      </c>
    </row>
    <row r="71" spans="1:26" x14ac:dyDescent="0.25">
      <c r="A71" t="s">
        <v>49</v>
      </c>
      <c r="B71" t="s">
        <v>350</v>
      </c>
      <c r="C71" t="s">
        <v>213</v>
      </c>
      <c r="E71" t="s">
        <v>439</v>
      </c>
      <c r="F71">
        <v>1951</v>
      </c>
      <c r="G71">
        <v>1954</v>
      </c>
      <c r="K71">
        <v>95.5</v>
      </c>
      <c r="L71">
        <v>50</v>
      </c>
      <c r="N71">
        <v>143</v>
      </c>
      <c r="O71" s="4">
        <f t="shared" si="5"/>
        <v>0.14973821989528796</v>
      </c>
      <c r="Q71">
        <v>20.96</v>
      </c>
      <c r="S71">
        <v>3.98</v>
      </c>
      <c r="U71" t="str">
        <f t="shared" si="4"/>
        <v>212x0x59</v>
      </c>
      <c r="V71">
        <f t="shared" si="6"/>
        <v>12</v>
      </c>
      <c r="W71" t="str">
        <f>VLOOKUP(V71,'Articulated Lengths'!$A$2:$B$16, 2, FALSE)</f>
        <v>3,6,3</v>
      </c>
      <c r="Y71">
        <v>10</v>
      </c>
      <c r="Z71">
        <v>10</v>
      </c>
    </row>
    <row r="72" spans="1:26" x14ac:dyDescent="0.25">
      <c r="A72" t="s">
        <v>98</v>
      </c>
      <c r="B72" t="s">
        <v>266</v>
      </c>
      <c r="C72" t="s">
        <v>427</v>
      </c>
      <c r="D72" t="s">
        <v>437</v>
      </c>
      <c r="E72" t="s">
        <v>439</v>
      </c>
      <c r="F72">
        <v>1952</v>
      </c>
      <c r="G72">
        <v>1962</v>
      </c>
      <c r="J72">
        <v>350</v>
      </c>
      <c r="K72">
        <v>49.8</v>
      </c>
      <c r="N72">
        <v>160</v>
      </c>
      <c r="O72" s="4">
        <f t="shared" si="5"/>
        <v>0.32128514056224899</v>
      </c>
      <c r="P72">
        <v>20</v>
      </c>
      <c r="Q72">
        <v>8.92</v>
      </c>
      <c r="R72">
        <v>2.59</v>
      </c>
      <c r="S72">
        <v>3.87</v>
      </c>
      <c r="U72" t="str">
        <f>CONCATENATE(INT(V72*17.7),"x",INT(R72*15), "x", INT(S72*15))</f>
        <v>106x38x58</v>
      </c>
      <c r="V72">
        <f t="shared" si="6"/>
        <v>6</v>
      </c>
      <c r="W72" t="str">
        <f>VLOOKUP(V72,'Articulated Lengths'!$A$2:$B$16, 2, FALSE)</f>
        <v>2,2,2</v>
      </c>
      <c r="X72">
        <v>1</v>
      </c>
      <c r="Y72">
        <v>10</v>
      </c>
      <c r="Z72">
        <v>10</v>
      </c>
    </row>
    <row r="73" spans="1:26" x14ac:dyDescent="0.25">
      <c r="A73" t="s">
        <v>93</v>
      </c>
      <c r="B73" t="s">
        <v>409</v>
      </c>
      <c r="C73" t="s">
        <v>213</v>
      </c>
      <c r="E73" t="s">
        <v>439</v>
      </c>
      <c r="F73">
        <v>1953</v>
      </c>
      <c r="G73">
        <v>1954</v>
      </c>
      <c r="J73">
        <v>2490</v>
      </c>
      <c r="K73">
        <v>104.1</v>
      </c>
      <c r="N73">
        <v>200</v>
      </c>
      <c r="O73" s="4">
        <f t="shared" si="5"/>
        <v>0.19212295869356388</v>
      </c>
      <c r="P73">
        <v>90</v>
      </c>
      <c r="Q73">
        <v>17.98</v>
      </c>
      <c r="U73" t="str">
        <f t="shared" si="4"/>
        <v>194x0x0</v>
      </c>
      <c r="V73">
        <f t="shared" si="6"/>
        <v>11</v>
      </c>
      <c r="W73" t="str">
        <f>VLOOKUP(V73,'Articulated Lengths'!$A$2:$B$16, 2, FALSE)</f>
        <v>3,5,3</v>
      </c>
      <c r="Y73">
        <v>10</v>
      </c>
      <c r="Z73">
        <v>10</v>
      </c>
    </row>
    <row r="74" spans="1:26" x14ac:dyDescent="0.25">
      <c r="A74" t="s">
        <v>50</v>
      </c>
      <c r="B74" t="s">
        <v>267</v>
      </c>
      <c r="C74" t="s">
        <v>213</v>
      </c>
      <c r="E74" t="s">
        <v>439</v>
      </c>
      <c r="F74">
        <v>1954</v>
      </c>
      <c r="G74">
        <v>1960</v>
      </c>
      <c r="K74">
        <v>90</v>
      </c>
      <c r="L74">
        <v>51</v>
      </c>
      <c r="N74">
        <v>176</v>
      </c>
      <c r="O74" s="4">
        <f t="shared" si="5"/>
        <v>0.19555555555555557</v>
      </c>
      <c r="P74">
        <v>90</v>
      </c>
      <c r="Q74">
        <v>20.170000000000002</v>
      </c>
      <c r="U74" t="str">
        <f t="shared" ref="U74:U137" si="7">CONCATENATE(INT(V74*17.7),"x",INT(R74*15), "x", INT(S74*15))</f>
        <v>212x0x0</v>
      </c>
      <c r="V74">
        <f t="shared" si="6"/>
        <v>12</v>
      </c>
      <c r="W74" t="str">
        <f>VLOOKUP(V74,'Articulated Lengths'!$A$2:$B$16, 2, FALSE)</f>
        <v>3,6,3</v>
      </c>
      <c r="Y74">
        <v>10</v>
      </c>
      <c r="Z74">
        <v>10</v>
      </c>
    </row>
    <row r="75" spans="1:26" x14ac:dyDescent="0.25">
      <c r="A75" t="s">
        <v>64</v>
      </c>
      <c r="B75" t="s">
        <v>432</v>
      </c>
      <c r="C75" t="s">
        <v>213</v>
      </c>
      <c r="E75" t="s">
        <v>439</v>
      </c>
      <c r="F75">
        <v>1955</v>
      </c>
      <c r="G75">
        <v>1962</v>
      </c>
      <c r="J75">
        <v>3300</v>
      </c>
      <c r="K75">
        <v>108</v>
      </c>
      <c r="N75">
        <v>233</v>
      </c>
      <c r="O75" s="4">
        <f t="shared" ref="O75:O138" si="8">IF(AND(K75&gt;0,N75&gt;0),(N75/(K75*10)),"")</f>
        <v>0.21574074074074073</v>
      </c>
      <c r="P75">
        <v>106</v>
      </c>
      <c r="Q75">
        <v>21.18</v>
      </c>
      <c r="S75">
        <v>3.91</v>
      </c>
      <c r="U75" t="str">
        <f t="shared" si="7"/>
        <v>212x0x58</v>
      </c>
      <c r="V75">
        <f t="shared" si="6"/>
        <v>12</v>
      </c>
      <c r="W75" t="str">
        <f>VLOOKUP(V75,'Articulated Lengths'!$A$2:$B$16, 2, FALSE)</f>
        <v>3,6,3</v>
      </c>
      <c r="Y75">
        <v>10</v>
      </c>
      <c r="Z75">
        <v>10</v>
      </c>
    </row>
    <row r="76" spans="1:26" x14ac:dyDescent="0.25">
      <c r="A76" t="s">
        <v>71</v>
      </c>
      <c r="B76" t="s">
        <v>268</v>
      </c>
      <c r="C76" t="s">
        <v>213</v>
      </c>
      <c r="E76" t="s">
        <v>439</v>
      </c>
      <c r="F76">
        <v>1957</v>
      </c>
      <c r="G76">
        <v>1962</v>
      </c>
      <c r="J76">
        <v>1250</v>
      </c>
      <c r="K76">
        <v>108.4</v>
      </c>
      <c r="N76">
        <v>160</v>
      </c>
      <c r="O76" s="4">
        <f t="shared" si="8"/>
        <v>0.14760147601476015</v>
      </c>
      <c r="P76">
        <v>80</v>
      </c>
      <c r="Q76">
        <v>17.3</v>
      </c>
      <c r="S76">
        <v>3.84</v>
      </c>
      <c r="U76" t="str">
        <f t="shared" si="7"/>
        <v>177x0x57</v>
      </c>
      <c r="V76">
        <f t="shared" si="6"/>
        <v>10</v>
      </c>
      <c r="W76" t="str">
        <f>VLOOKUP(V76,'Articulated Lengths'!$A$2:$B$16, 2, FALSE)</f>
        <v>3,4,3</v>
      </c>
      <c r="Y76">
        <v>10</v>
      </c>
      <c r="Z76">
        <v>10</v>
      </c>
    </row>
    <row r="77" spans="1:26" x14ac:dyDescent="0.25">
      <c r="A77" t="s">
        <v>75</v>
      </c>
      <c r="B77" t="s">
        <v>430</v>
      </c>
      <c r="C77" t="s">
        <v>427</v>
      </c>
      <c r="D77" t="s">
        <v>437</v>
      </c>
      <c r="E77" t="s">
        <v>439</v>
      </c>
      <c r="F77">
        <v>1957</v>
      </c>
      <c r="G77">
        <v>1968</v>
      </c>
      <c r="J77">
        <v>1000</v>
      </c>
      <c r="K77">
        <v>73</v>
      </c>
      <c r="N77">
        <v>186</v>
      </c>
      <c r="O77" s="4">
        <f t="shared" si="8"/>
        <v>0.25479452054794521</v>
      </c>
      <c r="P77">
        <v>75</v>
      </c>
      <c r="Q77">
        <v>14.25</v>
      </c>
      <c r="R77">
        <v>2.67</v>
      </c>
      <c r="S77">
        <v>3.85</v>
      </c>
      <c r="U77" t="str">
        <f t="shared" si="7"/>
        <v>141x40x57</v>
      </c>
      <c r="V77">
        <f>CEILING((Q77/57)*32,1)</f>
        <v>8</v>
      </c>
      <c r="W77" t="str">
        <f>VLOOKUP(V77,'Articulated Lengths'!$A$2:$B$16, 2, FALSE)</f>
        <v>2,4,2</v>
      </c>
      <c r="Y77">
        <v>10</v>
      </c>
      <c r="Z77">
        <v>10</v>
      </c>
    </row>
    <row r="78" spans="1:26" x14ac:dyDescent="0.25">
      <c r="A78" t="s">
        <v>58</v>
      </c>
      <c r="B78" t="s">
        <v>269</v>
      </c>
      <c r="C78" t="s">
        <v>213</v>
      </c>
      <c r="E78" t="s">
        <v>439</v>
      </c>
      <c r="F78">
        <v>1958</v>
      </c>
      <c r="G78">
        <v>1961</v>
      </c>
      <c r="J78">
        <v>2750</v>
      </c>
      <c r="K78">
        <v>45</v>
      </c>
      <c r="N78">
        <v>169</v>
      </c>
      <c r="O78" s="4">
        <f t="shared" si="8"/>
        <v>0.37555555555555553</v>
      </c>
      <c r="P78">
        <v>90</v>
      </c>
      <c r="Q78">
        <v>20.74</v>
      </c>
      <c r="U78" t="str">
        <f t="shared" si="7"/>
        <v>212x0x0</v>
      </c>
      <c r="V78">
        <f t="shared" si="6"/>
        <v>12</v>
      </c>
      <c r="W78" t="str">
        <f>VLOOKUP(V78,'Articulated Lengths'!$A$2:$B$16, 2, FALSE)</f>
        <v>3,6,3</v>
      </c>
      <c r="Y78">
        <v>10</v>
      </c>
      <c r="Z78">
        <v>10</v>
      </c>
    </row>
    <row r="79" spans="1:26" x14ac:dyDescent="0.25">
      <c r="A79" t="s">
        <v>62</v>
      </c>
      <c r="B79" t="s">
        <v>270</v>
      </c>
      <c r="C79" t="s">
        <v>213</v>
      </c>
      <c r="E79" t="s">
        <v>439</v>
      </c>
      <c r="F79">
        <v>1958</v>
      </c>
      <c r="G79">
        <v>1961</v>
      </c>
      <c r="J79">
        <f>1035*2</f>
        <v>2070</v>
      </c>
      <c r="K79">
        <v>79.3</v>
      </c>
      <c r="N79">
        <v>214</v>
      </c>
      <c r="O79" s="4">
        <f t="shared" si="8"/>
        <v>0.26986128625472888</v>
      </c>
      <c r="P79">
        <v>90</v>
      </c>
      <c r="Q79">
        <v>18.29</v>
      </c>
      <c r="S79">
        <v>3.67</v>
      </c>
      <c r="U79" t="str">
        <f t="shared" si="7"/>
        <v>194x0x55</v>
      </c>
      <c r="V79">
        <f t="shared" si="6"/>
        <v>11</v>
      </c>
      <c r="W79" t="str">
        <f>VLOOKUP(V79,'Articulated Lengths'!$A$2:$B$16, 2, FALSE)</f>
        <v>3,5,3</v>
      </c>
      <c r="Y79">
        <v>10</v>
      </c>
      <c r="Z79">
        <v>10</v>
      </c>
    </row>
    <row r="80" spans="1:26" x14ac:dyDescent="0.25">
      <c r="A80" t="s">
        <v>67</v>
      </c>
      <c r="B80" t="s">
        <v>271</v>
      </c>
      <c r="C80" t="s">
        <v>213</v>
      </c>
      <c r="E80" t="s">
        <v>439</v>
      </c>
      <c r="F80">
        <v>1958</v>
      </c>
      <c r="G80">
        <v>1962</v>
      </c>
      <c r="J80">
        <v>2000</v>
      </c>
      <c r="K80">
        <v>135</v>
      </c>
      <c r="N80">
        <v>231</v>
      </c>
      <c r="O80" s="4">
        <f t="shared" si="8"/>
        <v>0.1711111111111111</v>
      </c>
      <c r="P80">
        <v>90</v>
      </c>
      <c r="Q80">
        <v>21.18</v>
      </c>
      <c r="S80">
        <v>3.91</v>
      </c>
      <c r="U80" t="str">
        <f t="shared" si="7"/>
        <v>212x0x58</v>
      </c>
      <c r="V80">
        <f t="shared" si="6"/>
        <v>12</v>
      </c>
      <c r="W80" t="str">
        <f>VLOOKUP(V80,'Articulated Lengths'!$A$2:$B$16, 2, FALSE)</f>
        <v>3,6,3</v>
      </c>
      <c r="Y80">
        <v>10</v>
      </c>
      <c r="Z80">
        <v>10</v>
      </c>
    </row>
    <row r="81" spans="1:26" x14ac:dyDescent="0.25">
      <c r="A81" t="s">
        <v>68</v>
      </c>
      <c r="B81" t="s">
        <v>272</v>
      </c>
      <c r="C81" t="s">
        <v>213</v>
      </c>
      <c r="E81" t="s">
        <v>439</v>
      </c>
      <c r="F81">
        <v>1958</v>
      </c>
      <c r="G81">
        <v>1959</v>
      </c>
      <c r="J81">
        <v>1200</v>
      </c>
      <c r="K81">
        <v>98.6</v>
      </c>
      <c r="N81">
        <v>222</v>
      </c>
      <c r="O81" s="4">
        <f t="shared" si="8"/>
        <v>0.22515212981744423</v>
      </c>
      <c r="P81">
        <v>75</v>
      </c>
      <c r="Q81">
        <v>17.260000000000002</v>
      </c>
      <c r="S81">
        <v>3.7</v>
      </c>
      <c r="U81" t="str">
        <f t="shared" si="7"/>
        <v>177x0x55</v>
      </c>
      <c r="V81">
        <f t="shared" si="6"/>
        <v>10</v>
      </c>
      <c r="W81" t="str">
        <f>VLOOKUP(V81,'Articulated Lengths'!$A$2:$B$16, 2, FALSE)</f>
        <v>3,4,3</v>
      </c>
      <c r="Y81">
        <v>10</v>
      </c>
      <c r="Z81">
        <v>10</v>
      </c>
    </row>
    <row r="82" spans="1:26" x14ac:dyDescent="0.25">
      <c r="A82" t="s">
        <v>94</v>
      </c>
      <c r="B82" t="s">
        <v>351</v>
      </c>
      <c r="C82" t="s">
        <v>213</v>
      </c>
      <c r="E82" t="s">
        <v>439</v>
      </c>
      <c r="F82">
        <v>1958</v>
      </c>
      <c r="G82">
        <v>1960</v>
      </c>
      <c r="J82">
        <v>2300</v>
      </c>
      <c r="K82">
        <v>78.239999999999995</v>
      </c>
      <c r="N82">
        <v>195</v>
      </c>
      <c r="O82" s="4">
        <f t="shared" si="8"/>
        <v>0.24923312883435583</v>
      </c>
      <c r="P82">
        <v>90</v>
      </c>
      <c r="U82" t="str">
        <f t="shared" si="7"/>
        <v>0x0x0</v>
      </c>
      <c r="V82">
        <f t="shared" si="6"/>
        <v>0</v>
      </c>
      <c r="W82" t="str">
        <f>VLOOKUP(V82,'Articulated Lengths'!$A$2:$B$16, 2, FALSE)</f>
        <v>na</v>
      </c>
      <c r="Y82">
        <v>10</v>
      </c>
      <c r="Z82">
        <v>10</v>
      </c>
    </row>
    <row r="83" spans="1:26" x14ac:dyDescent="0.25">
      <c r="A83" t="s">
        <v>65</v>
      </c>
      <c r="B83" t="s">
        <v>431</v>
      </c>
      <c r="C83" t="s">
        <v>213</v>
      </c>
      <c r="E83" t="s">
        <v>439</v>
      </c>
      <c r="F83">
        <v>1959</v>
      </c>
      <c r="G83">
        <v>1959</v>
      </c>
      <c r="J83">
        <v>1100</v>
      </c>
      <c r="K83">
        <v>75.2</v>
      </c>
      <c r="N83">
        <v>209</v>
      </c>
      <c r="O83" s="4">
        <f t="shared" si="8"/>
        <v>0.27792553191489361</v>
      </c>
      <c r="P83">
        <v>75</v>
      </c>
      <c r="Q83">
        <v>16</v>
      </c>
      <c r="S83">
        <v>3.86</v>
      </c>
      <c r="U83" t="str">
        <f t="shared" si="7"/>
        <v>159x0x57</v>
      </c>
      <c r="V83">
        <f t="shared" si="6"/>
        <v>9</v>
      </c>
      <c r="W83" t="str">
        <f>VLOOKUP(V83,'Articulated Lengths'!$A$2:$B$16, 2, FALSE)</f>
        <v>2,5,2</v>
      </c>
      <c r="Y83">
        <v>10</v>
      </c>
      <c r="Z83">
        <v>10</v>
      </c>
    </row>
    <row r="84" spans="1:26" x14ac:dyDescent="0.25">
      <c r="A84" t="s">
        <v>89</v>
      </c>
      <c r="B84" t="s">
        <v>352</v>
      </c>
      <c r="C84" t="s">
        <v>213</v>
      </c>
      <c r="E84" t="s">
        <v>439</v>
      </c>
      <c r="F84">
        <v>1959</v>
      </c>
      <c r="G84">
        <v>1964</v>
      </c>
      <c r="J84">
        <f>4*847</f>
        <v>3388</v>
      </c>
      <c r="K84">
        <v>80.900000000000006</v>
      </c>
      <c r="N84">
        <v>222</v>
      </c>
      <c r="O84" s="4">
        <f t="shared" si="8"/>
        <v>0.27441285537700866</v>
      </c>
      <c r="P84">
        <v>100</v>
      </c>
      <c r="Q84">
        <v>17.22</v>
      </c>
      <c r="S84">
        <v>3.77</v>
      </c>
      <c r="U84" t="str">
        <f t="shared" si="7"/>
        <v>177x0x56</v>
      </c>
      <c r="V84">
        <f t="shared" si="6"/>
        <v>10</v>
      </c>
      <c r="W84" t="str">
        <f>VLOOKUP(V84,'Articulated Lengths'!$A$2:$B$16, 2, FALSE)</f>
        <v>3,4,3</v>
      </c>
      <c r="Y84">
        <v>10</v>
      </c>
      <c r="Z84">
        <v>10</v>
      </c>
    </row>
    <row r="85" spans="1:26" x14ac:dyDescent="0.25">
      <c r="A85" t="s">
        <v>66</v>
      </c>
      <c r="B85" t="s">
        <v>426</v>
      </c>
      <c r="C85" t="s">
        <v>427</v>
      </c>
      <c r="D85" t="s">
        <v>437</v>
      </c>
      <c r="E85" t="s">
        <v>439</v>
      </c>
      <c r="F85">
        <v>1960</v>
      </c>
      <c r="G85">
        <v>1965</v>
      </c>
      <c r="J85">
        <v>1750</v>
      </c>
      <c r="K85">
        <v>102</v>
      </c>
      <c r="N85">
        <v>247</v>
      </c>
      <c r="O85" s="4">
        <f t="shared" si="8"/>
        <v>0.24215686274509804</v>
      </c>
      <c r="P85">
        <v>90</v>
      </c>
      <c r="Q85">
        <v>18.75</v>
      </c>
      <c r="R85">
        <v>2.71</v>
      </c>
      <c r="S85">
        <v>3.89</v>
      </c>
      <c r="T85">
        <v>0</v>
      </c>
      <c r="U85" t="str">
        <f t="shared" si="7"/>
        <v>194x40x58</v>
      </c>
      <c r="V85">
        <f t="shared" si="6"/>
        <v>11</v>
      </c>
      <c r="W85" t="str">
        <f>VLOOKUP(V85,'Articulated Lengths'!$A$2:$B$16, 2, FALSE)</f>
        <v>3,5,3</v>
      </c>
      <c r="Y85">
        <v>10</v>
      </c>
      <c r="Z85">
        <v>10</v>
      </c>
    </row>
    <row r="86" spans="1:26" x14ac:dyDescent="0.25">
      <c r="A86" t="s">
        <v>77</v>
      </c>
      <c r="B86" t="s">
        <v>273</v>
      </c>
      <c r="C86" t="s">
        <v>213</v>
      </c>
      <c r="E86" t="s">
        <v>439</v>
      </c>
      <c r="F86">
        <v>1960</v>
      </c>
      <c r="G86">
        <v>1962</v>
      </c>
      <c r="J86">
        <v>2500</v>
      </c>
      <c r="K86">
        <v>135</v>
      </c>
      <c r="N86">
        <v>245</v>
      </c>
      <c r="O86" s="4">
        <f t="shared" si="8"/>
        <v>0.18148148148148149</v>
      </c>
      <c r="P86">
        <v>90</v>
      </c>
      <c r="Q86">
        <v>20.7</v>
      </c>
      <c r="S86">
        <v>3.91</v>
      </c>
      <c r="U86" t="str">
        <f t="shared" si="7"/>
        <v>212x0x58</v>
      </c>
      <c r="V86">
        <f t="shared" si="6"/>
        <v>12</v>
      </c>
      <c r="W86" t="str">
        <f>VLOOKUP(V86,'Articulated Lengths'!$A$2:$B$16, 2, FALSE)</f>
        <v>3,6,3</v>
      </c>
      <c r="Y86">
        <v>10</v>
      </c>
      <c r="Z86">
        <v>10</v>
      </c>
    </row>
    <row r="87" spans="1:26" x14ac:dyDescent="0.25">
      <c r="A87" t="s">
        <v>78</v>
      </c>
      <c r="B87" t="s">
        <v>274</v>
      </c>
      <c r="C87" t="s">
        <v>213</v>
      </c>
      <c r="E87" t="s">
        <v>439</v>
      </c>
      <c r="F87">
        <v>1960</v>
      </c>
      <c r="G87">
        <v>1962</v>
      </c>
      <c r="J87">
        <v>1550</v>
      </c>
      <c r="K87">
        <v>74.2</v>
      </c>
      <c r="N87">
        <v>200</v>
      </c>
      <c r="O87" s="4">
        <f t="shared" si="8"/>
        <v>0.26954177897574122</v>
      </c>
      <c r="P87">
        <v>85</v>
      </c>
      <c r="Q87">
        <v>15.47</v>
      </c>
      <c r="S87">
        <v>3.86</v>
      </c>
      <c r="U87" t="str">
        <f t="shared" si="7"/>
        <v>159x0x57</v>
      </c>
      <c r="V87">
        <f t="shared" si="6"/>
        <v>9</v>
      </c>
      <c r="W87" t="str">
        <f>VLOOKUP(V87,'Articulated Lengths'!$A$2:$B$16, 2, FALSE)</f>
        <v>2,5,2</v>
      </c>
      <c r="Y87">
        <v>10</v>
      </c>
      <c r="Z87">
        <v>10</v>
      </c>
    </row>
    <row r="88" spans="1:26" x14ac:dyDescent="0.25">
      <c r="A88" t="s">
        <v>190</v>
      </c>
      <c r="B88" t="s">
        <v>377</v>
      </c>
      <c r="C88" t="s">
        <v>213</v>
      </c>
      <c r="E88" t="s">
        <v>439</v>
      </c>
      <c r="F88">
        <v>1960</v>
      </c>
      <c r="J88">
        <v>1000</v>
      </c>
      <c r="K88">
        <v>304</v>
      </c>
      <c r="O88" s="4" t="str">
        <f t="shared" si="8"/>
        <v/>
      </c>
      <c r="P88">
        <v>90</v>
      </c>
      <c r="U88" t="str">
        <f t="shared" si="7"/>
        <v>0x0x0</v>
      </c>
      <c r="V88">
        <f t="shared" si="6"/>
        <v>0</v>
      </c>
      <c r="W88" t="str">
        <f>VLOOKUP(V88,'Articulated Lengths'!$A$2:$B$16, 2, FALSE)</f>
        <v>na</v>
      </c>
      <c r="Y88">
        <v>10</v>
      </c>
      <c r="Z88">
        <v>10</v>
      </c>
    </row>
    <row r="89" spans="1:26" x14ac:dyDescent="0.25">
      <c r="A89" t="s">
        <v>61</v>
      </c>
      <c r="B89" t="s">
        <v>275</v>
      </c>
      <c r="C89" t="s">
        <v>213</v>
      </c>
      <c r="E89" t="s">
        <v>439</v>
      </c>
      <c r="F89">
        <v>1961</v>
      </c>
      <c r="G89">
        <v>1964</v>
      </c>
      <c r="J89">
        <v>1700</v>
      </c>
      <c r="K89">
        <v>76.2</v>
      </c>
      <c r="N89">
        <v>207</v>
      </c>
      <c r="O89" s="4">
        <f t="shared" si="8"/>
        <v>0.27165354330708663</v>
      </c>
      <c r="P89">
        <v>90</v>
      </c>
      <c r="Q89">
        <v>15.76</v>
      </c>
      <c r="S89">
        <v>3.91</v>
      </c>
      <c r="U89" t="str">
        <f t="shared" si="7"/>
        <v>159x0x58</v>
      </c>
      <c r="V89">
        <f t="shared" si="6"/>
        <v>9</v>
      </c>
      <c r="W89" t="str">
        <f>VLOOKUP(V89,'Articulated Lengths'!$A$2:$B$16, 2, FALSE)</f>
        <v>2,5,2</v>
      </c>
      <c r="Y89">
        <v>10</v>
      </c>
      <c r="Z89">
        <v>10</v>
      </c>
    </row>
    <row r="90" spans="1:26" x14ac:dyDescent="0.25">
      <c r="A90" t="s">
        <v>63</v>
      </c>
      <c r="B90" t="s">
        <v>276</v>
      </c>
      <c r="C90" t="s">
        <v>213</v>
      </c>
      <c r="E90" t="s">
        <v>439</v>
      </c>
      <c r="F90">
        <v>1961</v>
      </c>
      <c r="G90">
        <v>1964</v>
      </c>
      <c r="J90">
        <v>2000</v>
      </c>
      <c r="K90">
        <v>110</v>
      </c>
      <c r="N90">
        <v>297</v>
      </c>
      <c r="O90" s="4">
        <f t="shared" si="8"/>
        <v>0.27</v>
      </c>
      <c r="P90">
        <v>90</v>
      </c>
      <c r="Q90">
        <v>20.73</v>
      </c>
      <c r="S90">
        <v>3.96</v>
      </c>
      <c r="U90" t="str">
        <f t="shared" si="7"/>
        <v>212x0x59</v>
      </c>
      <c r="V90">
        <f t="shared" si="6"/>
        <v>12</v>
      </c>
      <c r="W90" t="str">
        <f>VLOOKUP(V90,'Articulated Lengths'!$A$2:$B$16, 2, FALSE)</f>
        <v>3,6,3</v>
      </c>
      <c r="Y90">
        <v>10</v>
      </c>
      <c r="Z90">
        <v>10</v>
      </c>
    </row>
    <row r="91" spans="1:26" x14ac:dyDescent="0.25">
      <c r="A91" t="s">
        <v>76</v>
      </c>
      <c r="B91" t="s">
        <v>277</v>
      </c>
      <c r="C91" t="s">
        <v>213</v>
      </c>
      <c r="E91" t="s">
        <v>439</v>
      </c>
      <c r="F91">
        <v>1961</v>
      </c>
      <c r="G91">
        <v>1967</v>
      </c>
      <c r="J91">
        <v>1250</v>
      </c>
      <c r="K91">
        <v>74.2</v>
      </c>
      <c r="N91">
        <v>170</v>
      </c>
      <c r="O91" s="4">
        <f t="shared" si="8"/>
        <v>0.22911051212938005</v>
      </c>
      <c r="P91">
        <v>90</v>
      </c>
      <c r="Q91">
        <v>15.39</v>
      </c>
      <c r="S91">
        <v>3.86</v>
      </c>
      <c r="U91" t="str">
        <f t="shared" si="7"/>
        <v>159x0x57</v>
      </c>
      <c r="V91">
        <f t="shared" si="6"/>
        <v>9</v>
      </c>
      <c r="W91" t="str">
        <f>VLOOKUP(V91,'Articulated Lengths'!$A$2:$B$16, 2, FALSE)</f>
        <v>2,5,2</v>
      </c>
      <c r="Y91">
        <v>10</v>
      </c>
      <c r="Z91">
        <v>10</v>
      </c>
    </row>
    <row r="92" spans="1:26" x14ac:dyDescent="0.25">
      <c r="A92" t="s">
        <v>79</v>
      </c>
      <c r="B92" t="s">
        <v>278</v>
      </c>
      <c r="C92" t="s">
        <v>213</v>
      </c>
      <c r="E92" t="s">
        <v>439</v>
      </c>
      <c r="F92">
        <v>1961</v>
      </c>
      <c r="G92">
        <v>1962</v>
      </c>
      <c r="J92">
        <v>1250</v>
      </c>
      <c r="K92">
        <v>73.7</v>
      </c>
      <c r="N92">
        <v>187</v>
      </c>
      <c r="O92" s="4">
        <f t="shared" si="8"/>
        <v>0.2537313432835821</v>
      </c>
      <c r="P92">
        <v>90</v>
      </c>
      <c r="Q92">
        <v>15.47</v>
      </c>
      <c r="S92">
        <v>3.86</v>
      </c>
      <c r="U92" t="str">
        <f t="shared" si="7"/>
        <v>159x0x57</v>
      </c>
      <c r="V92">
        <f t="shared" si="6"/>
        <v>9</v>
      </c>
      <c r="W92" t="str">
        <f>VLOOKUP(V92,'Articulated Lengths'!$A$2:$B$16, 2, FALSE)</f>
        <v>2,5,2</v>
      </c>
      <c r="Y92">
        <v>10</v>
      </c>
      <c r="Z92">
        <v>10</v>
      </c>
    </row>
    <row r="93" spans="1:26" x14ac:dyDescent="0.25">
      <c r="A93" t="s">
        <v>70</v>
      </c>
      <c r="B93" t="s">
        <v>279</v>
      </c>
      <c r="C93" t="s">
        <v>213</v>
      </c>
      <c r="E93" t="s">
        <v>439</v>
      </c>
      <c r="F93">
        <v>1962</v>
      </c>
      <c r="G93">
        <v>1968</v>
      </c>
      <c r="J93">
        <v>2750</v>
      </c>
      <c r="K93">
        <v>114</v>
      </c>
      <c r="N93">
        <v>245</v>
      </c>
      <c r="O93" s="4">
        <f t="shared" si="8"/>
        <v>0.21491228070175439</v>
      </c>
      <c r="P93">
        <v>95</v>
      </c>
      <c r="Q93">
        <v>19.38</v>
      </c>
      <c r="S93">
        <v>3.9</v>
      </c>
      <c r="U93" t="str">
        <f t="shared" si="7"/>
        <v>194x0x58</v>
      </c>
      <c r="V93">
        <f t="shared" si="6"/>
        <v>11</v>
      </c>
      <c r="W93" t="str">
        <f>VLOOKUP(V93,'Articulated Lengths'!$A$2:$B$16, 2, FALSE)</f>
        <v>3,5,3</v>
      </c>
      <c r="Y93">
        <v>10</v>
      </c>
      <c r="Z93">
        <v>10</v>
      </c>
    </row>
    <row r="94" spans="1:26" x14ac:dyDescent="0.25">
      <c r="A94" t="s">
        <v>82</v>
      </c>
      <c r="B94" t="s">
        <v>280</v>
      </c>
      <c r="C94" t="s">
        <v>213</v>
      </c>
      <c r="E94" t="s">
        <v>439</v>
      </c>
      <c r="F94">
        <v>1962</v>
      </c>
      <c r="G94">
        <v>1965</v>
      </c>
      <c r="J94">
        <v>900</v>
      </c>
      <c r="K94">
        <v>69</v>
      </c>
      <c r="N94">
        <v>178</v>
      </c>
      <c r="O94" s="4">
        <f t="shared" si="8"/>
        <v>0.25797101449275361</v>
      </c>
      <c r="P94">
        <v>60</v>
      </c>
      <c r="Q94">
        <v>15.4</v>
      </c>
      <c r="S94">
        <v>3.86</v>
      </c>
      <c r="U94" t="str">
        <f t="shared" si="7"/>
        <v>159x0x57</v>
      </c>
      <c r="V94">
        <f t="shared" si="6"/>
        <v>9</v>
      </c>
      <c r="W94" t="str">
        <f>VLOOKUP(V94,'Articulated Lengths'!$A$2:$B$16, 2, FALSE)</f>
        <v>2,5,2</v>
      </c>
      <c r="Y94">
        <v>10</v>
      </c>
      <c r="Z94">
        <v>10</v>
      </c>
    </row>
    <row r="95" spans="1:26" x14ac:dyDescent="0.25">
      <c r="A95" t="s">
        <v>81</v>
      </c>
      <c r="B95" t="s">
        <v>281</v>
      </c>
      <c r="C95" t="s">
        <v>213</v>
      </c>
      <c r="E95" t="s">
        <v>439</v>
      </c>
      <c r="F95">
        <v>1964</v>
      </c>
      <c r="G95">
        <v>1965</v>
      </c>
      <c r="J95">
        <v>650</v>
      </c>
      <c r="K95">
        <v>48.5</v>
      </c>
      <c r="N95">
        <v>137</v>
      </c>
      <c r="O95" s="4">
        <f t="shared" si="8"/>
        <v>0.28247422680412371</v>
      </c>
      <c r="P95">
        <v>40</v>
      </c>
      <c r="Q95">
        <v>10.3</v>
      </c>
      <c r="U95" t="str">
        <f t="shared" si="7"/>
        <v>106x0x0</v>
      </c>
      <c r="V95">
        <f t="shared" si="6"/>
        <v>6</v>
      </c>
      <c r="W95" t="str">
        <f>VLOOKUP(V95,'Articulated Lengths'!$A$2:$B$16, 2, FALSE)</f>
        <v>2,2,2</v>
      </c>
      <c r="Y95">
        <v>10</v>
      </c>
      <c r="Z95">
        <v>10</v>
      </c>
    </row>
    <row r="96" spans="1:26" x14ac:dyDescent="0.25">
      <c r="A96" t="s">
        <v>83</v>
      </c>
      <c r="B96" t="s">
        <v>410</v>
      </c>
      <c r="C96" t="s">
        <v>213</v>
      </c>
      <c r="E96" t="s">
        <v>439</v>
      </c>
      <c r="F96">
        <v>1965</v>
      </c>
      <c r="G96">
        <v>1967</v>
      </c>
      <c r="J96">
        <v>1420</v>
      </c>
      <c r="K96">
        <v>76.3</v>
      </c>
      <c r="N96">
        <v>186</v>
      </c>
      <c r="O96" s="4">
        <f t="shared" si="8"/>
        <v>0.24377457404980341</v>
      </c>
      <c r="P96">
        <v>80</v>
      </c>
      <c r="Q96">
        <v>16.36</v>
      </c>
      <c r="U96" t="str">
        <f t="shared" si="7"/>
        <v>177x0x0</v>
      </c>
      <c r="V96">
        <f t="shared" si="6"/>
        <v>10</v>
      </c>
      <c r="W96" t="str">
        <f>VLOOKUP(V96,'Articulated Lengths'!$A$2:$B$16, 2, FALSE)</f>
        <v>3,4,3</v>
      </c>
      <c r="Y96">
        <v>10</v>
      </c>
      <c r="Z96">
        <v>10</v>
      </c>
    </row>
    <row r="97" spans="1:26" x14ac:dyDescent="0.25">
      <c r="A97" t="s">
        <v>90</v>
      </c>
      <c r="B97" t="s">
        <v>411</v>
      </c>
      <c r="C97" t="s">
        <v>213</v>
      </c>
      <c r="E97" t="s">
        <v>439</v>
      </c>
      <c r="F97">
        <v>1965</v>
      </c>
      <c r="G97">
        <v>1966</v>
      </c>
      <c r="J97">
        <v>3600</v>
      </c>
      <c r="K97">
        <v>82</v>
      </c>
      <c r="N97">
        <v>267</v>
      </c>
      <c r="O97" s="4">
        <f t="shared" si="8"/>
        <v>0.32560975609756099</v>
      </c>
      <c r="P97">
        <v>100</v>
      </c>
      <c r="Q97">
        <v>17.829999999999998</v>
      </c>
      <c r="S97">
        <v>3.77</v>
      </c>
      <c r="U97" t="str">
        <f t="shared" si="7"/>
        <v>194x0x56</v>
      </c>
      <c r="V97">
        <f t="shared" si="6"/>
        <v>11</v>
      </c>
      <c r="W97" t="str">
        <f>VLOOKUP(V97,'Articulated Lengths'!$A$2:$B$16, 2, FALSE)</f>
        <v>3,5,3</v>
      </c>
      <c r="Y97">
        <v>10</v>
      </c>
      <c r="Z97">
        <v>10</v>
      </c>
    </row>
    <row r="98" spans="1:26" x14ac:dyDescent="0.25">
      <c r="A98" t="s">
        <v>69</v>
      </c>
      <c r="B98" t="s">
        <v>282</v>
      </c>
      <c r="C98" t="s">
        <v>213</v>
      </c>
      <c r="E98" t="s">
        <v>439</v>
      </c>
      <c r="F98">
        <v>1967</v>
      </c>
      <c r="G98">
        <v>1968</v>
      </c>
      <c r="J98">
        <v>2700</v>
      </c>
      <c r="K98">
        <v>117</v>
      </c>
      <c r="N98">
        <v>216</v>
      </c>
      <c r="O98" s="4">
        <f t="shared" si="8"/>
        <v>0.18461538461538463</v>
      </c>
      <c r="P98">
        <v>100</v>
      </c>
      <c r="Q98">
        <v>20.88</v>
      </c>
      <c r="S98">
        <v>3.89</v>
      </c>
      <c r="U98" t="str">
        <f t="shared" si="7"/>
        <v>212x0x58</v>
      </c>
      <c r="V98">
        <f t="shared" si="6"/>
        <v>12</v>
      </c>
      <c r="W98" t="str">
        <f>VLOOKUP(V98,'Articulated Lengths'!$A$2:$B$16, 2, FALSE)</f>
        <v>3,6,3</v>
      </c>
      <c r="Y98">
        <v>10</v>
      </c>
      <c r="Z98">
        <v>10</v>
      </c>
    </row>
    <row r="99" spans="1:26" x14ac:dyDescent="0.25">
      <c r="A99" t="s">
        <v>91</v>
      </c>
      <c r="B99" t="s">
        <v>283</v>
      </c>
      <c r="C99" t="s">
        <v>213</v>
      </c>
      <c r="E99" t="s">
        <v>439</v>
      </c>
      <c r="F99">
        <v>1973</v>
      </c>
      <c r="G99">
        <v>1975</v>
      </c>
      <c r="J99">
        <v>5000</v>
      </c>
      <c r="K99">
        <v>81</v>
      </c>
      <c r="N99">
        <v>258</v>
      </c>
      <c r="O99" s="4">
        <f t="shared" si="8"/>
        <v>0.31851851851851853</v>
      </c>
      <c r="P99">
        <v>110</v>
      </c>
      <c r="Q99">
        <v>17.829999999999998</v>
      </c>
      <c r="S99">
        <v>3.77</v>
      </c>
      <c r="U99" t="str">
        <f t="shared" si="7"/>
        <v>194x0x56</v>
      </c>
      <c r="V99">
        <f t="shared" si="6"/>
        <v>11</v>
      </c>
      <c r="W99" t="str">
        <f>VLOOKUP(V99,'Articulated Lengths'!$A$2:$B$16, 2, FALSE)</f>
        <v>3,5,3</v>
      </c>
      <c r="Y99">
        <v>10</v>
      </c>
      <c r="Z99">
        <v>10</v>
      </c>
    </row>
    <row r="100" spans="1:26" x14ac:dyDescent="0.25">
      <c r="A100" t="s">
        <v>60</v>
      </c>
      <c r="B100" t="s">
        <v>284</v>
      </c>
      <c r="C100" t="s">
        <v>213</v>
      </c>
      <c r="E100" t="s">
        <v>439</v>
      </c>
      <c r="F100">
        <v>1975</v>
      </c>
      <c r="G100">
        <v>1982</v>
      </c>
      <c r="J100">
        <v>1770</v>
      </c>
      <c r="K100">
        <v>70.25</v>
      </c>
      <c r="N100">
        <v>160</v>
      </c>
      <c r="O100" s="4">
        <f t="shared" si="8"/>
        <v>0.22775800711743771</v>
      </c>
      <c r="P100">
        <v>125</v>
      </c>
      <c r="Q100">
        <v>17.79</v>
      </c>
      <c r="U100" t="str">
        <f t="shared" si="7"/>
        <v>177x0x0</v>
      </c>
      <c r="V100">
        <f t="shared" si="6"/>
        <v>10</v>
      </c>
      <c r="W100" t="str">
        <f>VLOOKUP(V100,'Articulated Lengths'!$A$2:$B$16, 2, FALSE)</f>
        <v>3,4,3</v>
      </c>
      <c r="Y100">
        <v>10</v>
      </c>
      <c r="Z100">
        <v>10</v>
      </c>
    </row>
    <row r="101" spans="1:26" x14ac:dyDescent="0.25">
      <c r="A101" t="s">
        <v>186</v>
      </c>
      <c r="B101" t="s">
        <v>285</v>
      </c>
      <c r="C101" t="s">
        <v>213</v>
      </c>
      <c r="E101" t="s">
        <v>439</v>
      </c>
      <c r="F101">
        <v>1976</v>
      </c>
      <c r="G101">
        <v>1984</v>
      </c>
      <c r="J101">
        <v>3250</v>
      </c>
      <c r="K101">
        <v>125</v>
      </c>
      <c r="N101">
        <v>275</v>
      </c>
      <c r="O101" s="4">
        <f t="shared" si="8"/>
        <v>0.22</v>
      </c>
      <c r="P101">
        <v>80</v>
      </c>
      <c r="Q101">
        <v>19.350000000000001</v>
      </c>
      <c r="S101">
        <v>3.89</v>
      </c>
      <c r="U101" t="str">
        <f t="shared" si="7"/>
        <v>194x0x58</v>
      </c>
      <c r="V101">
        <f t="shared" si="6"/>
        <v>11</v>
      </c>
      <c r="W101" t="str">
        <f>VLOOKUP(V101,'Articulated Lengths'!$A$2:$B$16, 2, FALSE)</f>
        <v>3,5,3</v>
      </c>
      <c r="Y101">
        <v>10</v>
      </c>
      <c r="Z101">
        <v>10</v>
      </c>
    </row>
    <row r="102" spans="1:26" x14ac:dyDescent="0.25">
      <c r="A102" t="s">
        <v>72</v>
      </c>
      <c r="B102" t="s">
        <v>286</v>
      </c>
      <c r="C102" t="s">
        <v>213</v>
      </c>
      <c r="E102" t="s">
        <v>439</v>
      </c>
      <c r="F102">
        <v>1983</v>
      </c>
      <c r="G102">
        <v>1987</v>
      </c>
      <c r="J102">
        <v>3300</v>
      </c>
      <c r="K102">
        <v>130</v>
      </c>
      <c r="N102">
        <v>267</v>
      </c>
      <c r="O102" s="4">
        <f t="shared" si="8"/>
        <v>0.20538461538461539</v>
      </c>
      <c r="P102">
        <v>80</v>
      </c>
      <c r="Q102">
        <v>19.13</v>
      </c>
      <c r="S102">
        <v>3.91</v>
      </c>
      <c r="U102" t="str">
        <f t="shared" si="7"/>
        <v>194x0x58</v>
      </c>
      <c r="V102">
        <f t="shared" si="6"/>
        <v>11</v>
      </c>
      <c r="W102" t="str">
        <f>VLOOKUP(V102,'Articulated Lengths'!$A$2:$B$16, 2, FALSE)</f>
        <v>3,5,3</v>
      </c>
      <c r="Y102">
        <v>10</v>
      </c>
      <c r="Z102">
        <v>10</v>
      </c>
    </row>
    <row r="103" spans="1:26" x14ac:dyDescent="0.25">
      <c r="A103" t="s">
        <v>59</v>
      </c>
      <c r="B103" t="s">
        <v>287</v>
      </c>
      <c r="C103" t="s">
        <v>213</v>
      </c>
      <c r="E103" t="s">
        <v>439</v>
      </c>
      <c r="F103">
        <v>1985</v>
      </c>
      <c r="G103">
        <v>1995</v>
      </c>
      <c r="J103">
        <v>3300</v>
      </c>
      <c r="K103">
        <v>126</v>
      </c>
      <c r="N103">
        <v>508</v>
      </c>
      <c r="O103" s="4">
        <f t="shared" si="8"/>
        <v>0.40317460317460319</v>
      </c>
      <c r="P103">
        <v>75</v>
      </c>
      <c r="Q103">
        <v>21.4</v>
      </c>
      <c r="S103">
        <v>3.91</v>
      </c>
      <c r="U103" t="str">
        <f t="shared" si="7"/>
        <v>230x0x58</v>
      </c>
      <c r="V103">
        <f t="shared" si="6"/>
        <v>13</v>
      </c>
      <c r="W103" t="str">
        <f>VLOOKUP(V103,'Articulated Lengths'!$A$2:$B$16, 2, FALSE)</f>
        <v>4,5,4</v>
      </c>
      <c r="Y103">
        <v>10</v>
      </c>
      <c r="Z103">
        <v>10</v>
      </c>
    </row>
    <row r="104" spans="1:26" x14ac:dyDescent="0.25">
      <c r="A104" t="s">
        <v>97</v>
      </c>
      <c r="B104" t="s">
        <v>288</v>
      </c>
      <c r="C104" t="s">
        <v>213</v>
      </c>
      <c r="E104" t="s">
        <v>439</v>
      </c>
      <c r="F104">
        <v>1987</v>
      </c>
      <c r="G104">
        <v>1990</v>
      </c>
      <c r="J104">
        <v>5000</v>
      </c>
      <c r="K104">
        <v>84.5</v>
      </c>
      <c r="N104">
        <v>258</v>
      </c>
      <c r="O104" s="4">
        <f t="shared" si="8"/>
        <v>0.30532544378698223</v>
      </c>
      <c r="P104">
        <v>110</v>
      </c>
      <c r="Q104">
        <v>18.75</v>
      </c>
      <c r="S104">
        <v>3.96</v>
      </c>
      <c r="U104" t="str">
        <f t="shared" si="7"/>
        <v>194x0x59</v>
      </c>
      <c r="V104">
        <f t="shared" si="6"/>
        <v>11</v>
      </c>
      <c r="W104" t="str">
        <f>VLOOKUP(V104,'Articulated Lengths'!$A$2:$B$16, 2, FALSE)</f>
        <v>3,5,3</v>
      </c>
      <c r="Y104">
        <v>10</v>
      </c>
      <c r="Z104">
        <v>10</v>
      </c>
    </row>
    <row r="105" spans="1:26" x14ac:dyDescent="0.25">
      <c r="A105" t="s">
        <v>95</v>
      </c>
      <c r="B105" t="s">
        <v>376</v>
      </c>
      <c r="C105" t="s">
        <v>213</v>
      </c>
      <c r="E105" t="s">
        <v>439</v>
      </c>
      <c r="F105">
        <v>1988</v>
      </c>
      <c r="G105">
        <v>1991</v>
      </c>
      <c r="J105">
        <v>6480</v>
      </c>
      <c r="K105">
        <v>81.5</v>
      </c>
      <c r="N105">
        <v>190</v>
      </c>
      <c r="O105" s="4">
        <f t="shared" si="8"/>
        <v>0.23312883435582821</v>
      </c>
      <c r="P105">
        <v>140</v>
      </c>
      <c r="Q105">
        <v>19.399999999999999</v>
      </c>
      <c r="U105" t="str">
        <f t="shared" si="7"/>
        <v>194x0x0</v>
      </c>
      <c r="V105">
        <f t="shared" si="6"/>
        <v>11</v>
      </c>
      <c r="W105" t="str">
        <f>VLOOKUP(V105,'Articulated Lengths'!$A$2:$B$16, 2, FALSE)</f>
        <v>3,5,3</v>
      </c>
      <c r="Y105">
        <v>10</v>
      </c>
      <c r="Z105">
        <v>10</v>
      </c>
    </row>
    <row r="106" spans="1:26" x14ac:dyDescent="0.25">
      <c r="A106" t="s">
        <v>96</v>
      </c>
      <c r="B106" t="s">
        <v>289</v>
      </c>
      <c r="C106" t="s">
        <v>213</v>
      </c>
      <c r="E106" t="s">
        <v>439</v>
      </c>
      <c r="F106">
        <v>1993</v>
      </c>
      <c r="G106">
        <v>1996</v>
      </c>
      <c r="J106">
        <v>6760</v>
      </c>
      <c r="K106">
        <v>126</v>
      </c>
      <c r="N106">
        <v>360</v>
      </c>
      <c r="O106" s="4">
        <f t="shared" si="8"/>
        <v>0.2857142857142857</v>
      </c>
      <c r="P106">
        <v>87</v>
      </c>
      <c r="Q106">
        <v>21.36</v>
      </c>
      <c r="U106" t="str">
        <f t="shared" si="7"/>
        <v>212x0x0</v>
      </c>
      <c r="V106">
        <f t="shared" si="6"/>
        <v>12</v>
      </c>
      <c r="W106" t="str">
        <f>VLOOKUP(V106,'Articulated Lengths'!$A$2:$B$16, 2, FALSE)</f>
        <v>3,6,3</v>
      </c>
      <c r="Y106">
        <v>10</v>
      </c>
      <c r="Z106">
        <v>10</v>
      </c>
    </row>
    <row r="107" spans="1:26" x14ac:dyDescent="0.25">
      <c r="A107" t="s">
        <v>73</v>
      </c>
      <c r="B107" t="s">
        <v>290</v>
      </c>
      <c r="C107" t="s">
        <v>213</v>
      </c>
      <c r="E107" t="s">
        <v>439</v>
      </c>
      <c r="F107">
        <v>1998</v>
      </c>
      <c r="G107">
        <v>2015</v>
      </c>
      <c r="J107">
        <v>3300</v>
      </c>
      <c r="K107">
        <v>129.6</v>
      </c>
      <c r="N107">
        <v>409</v>
      </c>
      <c r="O107" s="4">
        <f t="shared" si="8"/>
        <v>0.31558641975308643</v>
      </c>
      <c r="P107">
        <v>75</v>
      </c>
      <c r="Q107">
        <v>21.4</v>
      </c>
      <c r="S107">
        <v>3.9</v>
      </c>
      <c r="U107" t="str">
        <f t="shared" si="7"/>
        <v>230x0x58</v>
      </c>
      <c r="V107">
        <f t="shared" si="6"/>
        <v>13</v>
      </c>
      <c r="W107" t="str">
        <f>VLOOKUP(V107,'Articulated Lengths'!$A$2:$B$16, 2, FALSE)</f>
        <v>4,5,4</v>
      </c>
      <c r="Y107">
        <v>10</v>
      </c>
      <c r="Z107">
        <v>10</v>
      </c>
    </row>
    <row r="108" spans="1:26" x14ac:dyDescent="0.25">
      <c r="A108" t="s">
        <v>192</v>
      </c>
      <c r="B108" t="s">
        <v>375</v>
      </c>
      <c r="C108" t="s">
        <v>213</v>
      </c>
      <c r="E108" t="s">
        <v>439</v>
      </c>
      <c r="F108">
        <v>1998</v>
      </c>
      <c r="G108">
        <v>2004</v>
      </c>
      <c r="J108">
        <v>3000</v>
      </c>
      <c r="K108">
        <v>120.6</v>
      </c>
      <c r="N108">
        <v>250</v>
      </c>
      <c r="O108" s="4">
        <f t="shared" si="8"/>
        <v>0.20729684908789386</v>
      </c>
      <c r="P108">
        <v>95</v>
      </c>
      <c r="Q108">
        <v>19.38</v>
      </c>
      <c r="S108">
        <v>3.9</v>
      </c>
      <c r="U108" t="str">
        <f t="shared" si="7"/>
        <v>194x0x58</v>
      </c>
      <c r="V108">
        <f t="shared" si="6"/>
        <v>11</v>
      </c>
      <c r="W108" t="str">
        <f>VLOOKUP(V108,'Articulated Lengths'!$A$2:$B$16, 2, FALSE)</f>
        <v>3,5,3</v>
      </c>
      <c r="Y108">
        <v>10</v>
      </c>
      <c r="Z108">
        <v>10</v>
      </c>
    </row>
    <row r="109" spans="1:26" x14ac:dyDescent="0.25">
      <c r="A109" t="s">
        <v>74</v>
      </c>
      <c r="B109" t="s">
        <v>291</v>
      </c>
      <c r="C109" t="s">
        <v>213</v>
      </c>
      <c r="E109" t="s">
        <v>439</v>
      </c>
      <c r="F109">
        <v>1999</v>
      </c>
      <c r="G109">
        <v>2000</v>
      </c>
      <c r="J109">
        <v>3200</v>
      </c>
      <c r="K109">
        <v>88</v>
      </c>
      <c r="N109">
        <v>144</v>
      </c>
      <c r="O109" s="4">
        <f t="shared" si="8"/>
        <v>0.16363636363636364</v>
      </c>
      <c r="P109">
        <v>125</v>
      </c>
      <c r="Q109">
        <v>19.71</v>
      </c>
      <c r="S109">
        <v>3.93</v>
      </c>
      <c r="U109" t="str">
        <f t="shared" si="7"/>
        <v>212x0x58</v>
      </c>
      <c r="V109">
        <f t="shared" si="6"/>
        <v>12</v>
      </c>
      <c r="W109" t="str">
        <f>VLOOKUP(V109,'Articulated Lengths'!$A$2:$B$16, 2, FALSE)</f>
        <v>3,6,3</v>
      </c>
      <c r="Y109">
        <v>10</v>
      </c>
      <c r="Z109">
        <v>10</v>
      </c>
    </row>
    <row r="110" spans="1:26" x14ac:dyDescent="0.25">
      <c r="A110" t="s">
        <v>80</v>
      </c>
      <c r="B110" t="s">
        <v>292</v>
      </c>
      <c r="C110" t="s">
        <v>213</v>
      </c>
      <c r="E110" t="s">
        <v>439</v>
      </c>
      <c r="F110">
        <v>2008</v>
      </c>
      <c r="G110">
        <v>2017</v>
      </c>
      <c r="J110">
        <v>3690</v>
      </c>
      <c r="K110">
        <v>129</v>
      </c>
      <c r="N110">
        <v>534</v>
      </c>
      <c r="O110" s="4">
        <f t="shared" si="8"/>
        <v>0.413953488372093</v>
      </c>
      <c r="P110">
        <v>75</v>
      </c>
      <c r="Q110">
        <v>21.27</v>
      </c>
      <c r="S110">
        <v>3.91</v>
      </c>
      <c r="U110" t="str">
        <f t="shared" si="7"/>
        <v>212x0x58</v>
      </c>
      <c r="V110">
        <f t="shared" si="6"/>
        <v>12</v>
      </c>
      <c r="W110" t="str">
        <f>VLOOKUP(V110,'Articulated Lengths'!$A$2:$B$16, 2, FALSE)</f>
        <v>3,6,3</v>
      </c>
      <c r="Y110">
        <v>10</v>
      </c>
      <c r="Z110">
        <v>10</v>
      </c>
    </row>
    <row r="111" spans="1:26" x14ac:dyDescent="0.25">
      <c r="A111" t="s">
        <v>84</v>
      </c>
      <c r="B111" t="s">
        <v>293</v>
      </c>
      <c r="C111" t="s">
        <v>213</v>
      </c>
      <c r="E111" t="s">
        <v>439</v>
      </c>
      <c r="F111">
        <v>2015</v>
      </c>
      <c r="G111">
        <v>2016</v>
      </c>
      <c r="J111">
        <v>5400</v>
      </c>
      <c r="K111">
        <v>86</v>
      </c>
      <c r="N111">
        <v>317</v>
      </c>
      <c r="O111" s="4">
        <f t="shared" si="8"/>
        <v>0.36860465116279068</v>
      </c>
      <c r="P111">
        <v>100</v>
      </c>
      <c r="U111" t="str">
        <f t="shared" si="7"/>
        <v>0x0x0</v>
      </c>
      <c r="V111">
        <f t="shared" si="6"/>
        <v>0</v>
      </c>
      <c r="W111" t="str">
        <f>VLOOKUP(V111,'Articulated Lengths'!$A$2:$B$16, 2, FALSE)</f>
        <v>na</v>
      </c>
      <c r="Y111">
        <v>10</v>
      </c>
      <c r="Z111">
        <v>10</v>
      </c>
    </row>
    <row r="112" spans="1:26" x14ac:dyDescent="0.25">
      <c r="A112" t="s">
        <v>99</v>
      </c>
      <c r="B112" t="s">
        <v>294</v>
      </c>
      <c r="C112" t="s">
        <v>213</v>
      </c>
      <c r="E112" t="s">
        <v>439</v>
      </c>
      <c r="F112">
        <v>1933</v>
      </c>
      <c r="G112">
        <v>1942</v>
      </c>
      <c r="J112">
        <v>260</v>
      </c>
      <c r="O112" s="4" t="str">
        <f t="shared" si="8"/>
        <v/>
      </c>
      <c r="U112" t="str">
        <f t="shared" si="7"/>
        <v>0x0x0</v>
      </c>
      <c r="V112">
        <f t="shared" si="6"/>
        <v>0</v>
      </c>
      <c r="W112" t="str">
        <f>VLOOKUP(V112,'Articulated Lengths'!$A$2:$B$16, 2, FALSE)</f>
        <v>na</v>
      </c>
      <c r="Y112">
        <v>10</v>
      </c>
      <c r="Z112">
        <v>10</v>
      </c>
    </row>
    <row r="113" spans="1:26" x14ac:dyDescent="0.25">
      <c r="A113" t="s">
        <v>100</v>
      </c>
      <c r="B113" t="s">
        <v>383</v>
      </c>
      <c r="C113" t="s">
        <v>213</v>
      </c>
      <c r="E113" t="s">
        <v>439</v>
      </c>
      <c r="F113">
        <v>1914</v>
      </c>
      <c r="J113">
        <v>1000</v>
      </c>
      <c r="O113" s="4" t="str">
        <f t="shared" si="8"/>
        <v/>
      </c>
      <c r="U113" t="str">
        <f t="shared" si="7"/>
        <v>0x0x0</v>
      </c>
      <c r="V113">
        <f t="shared" si="6"/>
        <v>0</v>
      </c>
      <c r="W113" t="str">
        <f>VLOOKUP(V113,'Articulated Lengths'!$A$2:$B$16, 2, FALSE)</f>
        <v>na</v>
      </c>
      <c r="Y113">
        <v>10</v>
      </c>
      <c r="Z113">
        <v>10</v>
      </c>
    </row>
    <row r="114" spans="1:26" x14ac:dyDescent="0.25">
      <c r="A114" t="s">
        <v>101</v>
      </c>
      <c r="B114" t="s">
        <v>370</v>
      </c>
      <c r="C114" t="s">
        <v>213</v>
      </c>
      <c r="E114" t="s">
        <v>439</v>
      </c>
      <c r="F114">
        <v>1932</v>
      </c>
      <c r="H114">
        <v>1972</v>
      </c>
      <c r="J114">
        <v>1800</v>
      </c>
      <c r="K114">
        <v>253</v>
      </c>
      <c r="O114" s="4" t="str">
        <f t="shared" si="8"/>
        <v/>
      </c>
      <c r="P114">
        <v>75</v>
      </c>
      <c r="T114">
        <f>40+132</f>
        <v>172</v>
      </c>
      <c r="U114" t="str">
        <f t="shared" si="7"/>
        <v>0x0x0</v>
      </c>
      <c r="V114">
        <f t="shared" si="6"/>
        <v>0</v>
      </c>
      <c r="W114" t="str">
        <f>VLOOKUP(V114,'Articulated Lengths'!$A$2:$B$16, 2, FALSE)</f>
        <v>na</v>
      </c>
      <c r="Y114">
        <v>10</v>
      </c>
      <c r="Z114">
        <v>10</v>
      </c>
    </row>
    <row r="115" spans="1:26" x14ac:dyDescent="0.25">
      <c r="A115" t="s">
        <v>102</v>
      </c>
      <c r="B115" t="s">
        <v>371</v>
      </c>
      <c r="C115" t="s">
        <v>213</v>
      </c>
      <c r="E115" t="s">
        <v>439</v>
      </c>
      <c r="F115">
        <v>1937</v>
      </c>
      <c r="G115">
        <v>1938</v>
      </c>
      <c r="H115">
        <v>1972</v>
      </c>
      <c r="J115">
        <v>900</v>
      </c>
      <c r="K115">
        <v>160.80000000000001</v>
      </c>
      <c r="O115" s="4" t="str">
        <f t="shared" si="8"/>
        <v/>
      </c>
      <c r="P115">
        <v>75</v>
      </c>
      <c r="U115" t="str">
        <f t="shared" si="7"/>
        <v>0x0x0</v>
      </c>
      <c r="V115">
        <f t="shared" si="6"/>
        <v>0</v>
      </c>
      <c r="W115" t="str">
        <f>VLOOKUP(V115,'Articulated Lengths'!$A$2:$B$16, 2, FALSE)</f>
        <v>na</v>
      </c>
      <c r="Y115">
        <v>10</v>
      </c>
      <c r="Z115">
        <v>10</v>
      </c>
    </row>
    <row r="116" spans="1:26" x14ac:dyDescent="0.25">
      <c r="A116" t="s">
        <v>103</v>
      </c>
      <c r="B116" t="s">
        <v>372</v>
      </c>
      <c r="C116" t="s">
        <v>213</v>
      </c>
      <c r="E116" t="s">
        <v>439</v>
      </c>
      <c r="F116">
        <v>1938</v>
      </c>
      <c r="G116">
        <v>1939</v>
      </c>
      <c r="H116">
        <v>1971</v>
      </c>
      <c r="J116">
        <v>550</v>
      </c>
      <c r="K116">
        <v>77</v>
      </c>
      <c r="O116" s="4" t="str">
        <f t="shared" si="8"/>
        <v/>
      </c>
      <c r="T116">
        <f>32+102</f>
        <v>134</v>
      </c>
      <c r="U116" t="str">
        <f t="shared" si="7"/>
        <v>0x0x0</v>
      </c>
      <c r="V116">
        <f t="shared" si="6"/>
        <v>0</v>
      </c>
      <c r="W116" t="str">
        <f>VLOOKUP(V116,'Articulated Lengths'!$A$2:$B$16, 2, FALSE)</f>
        <v>na</v>
      </c>
      <c r="Y116">
        <v>10</v>
      </c>
      <c r="Z116">
        <v>10</v>
      </c>
    </row>
    <row r="117" spans="1:26" x14ac:dyDescent="0.25">
      <c r="A117" t="s">
        <v>104</v>
      </c>
      <c r="B117" t="s">
        <v>373</v>
      </c>
      <c r="C117" t="s">
        <v>213</v>
      </c>
      <c r="E117" t="s">
        <v>439</v>
      </c>
      <c r="F117">
        <v>1956</v>
      </c>
      <c r="G117">
        <v>1960</v>
      </c>
      <c r="H117">
        <v>2003</v>
      </c>
      <c r="J117">
        <v>300</v>
      </c>
      <c r="K117">
        <f>32.5+25</f>
        <v>57.5</v>
      </c>
      <c r="O117" s="4" t="str">
        <f t="shared" si="8"/>
        <v/>
      </c>
      <c r="P117">
        <v>70</v>
      </c>
      <c r="Q117">
        <v>17.37</v>
      </c>
      <c r="S117">
        <v>3.77</v>
      </c>
      <c r="U117" t="str">
        <f t="shared" si="7"/>
        <v>177x0x56</v>
      </c>
      <c r="V117">
        <f t="shared" si="6"/>
        <v>10</v>
      </c>
      <c r="W117" t="str">
        <f>VLOOKUP(V117,'Articulated Lengths'!$A$2:$B$16, 2, FALSE)</f>
        <v>3,4,3</v>
      </c>
      <c r="Y117">
        <v>10</v>
      </c>
      <c r="Z117">
        <v>10</v>
      </c>
    </row>
    <row r="118" spans="1:26" x14ac:dyDescent="0.25">
      <c r="A118" t="s">
        <v>105</v>
      </c>
      <c r="B118" t="s">
        <v>374</v>
      </c>
      <c r="C118" t="s">
        <v>213</v>
      </c>
      <c r="E118" t="s">
        <v>439</v>
      </c>
      <c r="F118">
        <v>1959</v>
      </c>
      <c r="G118">
        <v>1961</v>
      </c>
      <c r="H118">
        <v>2000</v>
      </c>
      <c r="J118">
        <v>600</v>
      </c>
      <c r="K118">
        <f>36.6+30.5+36.6</f>
        <v>103.69999999999999</v>
      </c>
      <c r="O118" s="4" t="str">
        <f t="shared" si="8"/>
        <v/>
      </c>
      <c r="P118">
        <v>70</v>
      </c>
      <c r="Q118">
        <v>19.510000000000002</v>
      </c>
      <c r="S118">
        <v>3.87</v>
      </c>
      <c r="U118" t="str">
        <f t="shared" si="7"/>
        <v>194x0x58</v>
      </c>
      <c r="V118">
        <f t="shared" si="6"/>
        <v>11</v>
      </c>
      <c r="W118" t="str">
        <f>VLOOKUP(V118,'Articulated Lengths'!$A$2:$B$16, 2, FALSE)</f>
        <v>3,5,3</v>
      </c>
      <c r="Y118">
        <v>10</v>
      </c>
      <c r="Z118">
        <v>10</v>
      </c>
    </row>
    <row r="119" spans="1:26" x14ac:dyDescent="0.25">
      <c r="A119" t="s">
        <v>106</v>
      </c>
      <c r="B119" t="s">
        <v>353</v>
      </c>
      <c r="C119" t="s">
        <v>213</v>
      </c>
      <c r="E119" t="s">
        <v>439</v>
      </c>
      <c r="F119">
        <v>1960</v>
      </c>
      <c r="H119">
        <v>2017</v>
      </c>
      <c r="J119">
        <v>300</v>
      </c>
      <c r="K119">
        <v>38</v>
      </c>
      <c r="O119" s="4" t="str">
        <f t="shared" si="8"/>
        <v/>
      </c>
      <c r="P119">
        <v>70</v>
      </c>
      <c r="Q119">
        <v>19.66</v>
      </c>
      <c r="S119">
        <v>3.77</v>
      </c>
      <c r="T119">
        <v>65</v>
      </c>
      <c r="U119" t="str">
        <f t="shared" si="7"/>
        <v>212x0x56</v>
      </c>
      <c r="V119">
        <f t="shared" si="6"/>
        <v>12</v>
      </c>
      <c r="W119" t="str">
        <f>VLOOKUP(V119,'Articulated Lengths'!$A$2:$B$16, 2, FALSE)</f>
        <v>3,6,3</v>
      </c>
      <c r="Y119">
        <v>10</v>
      </c>
      <c r="Z119">
        <v>10</v>
      </c>
    </row>
    <row r="120" spans="1:26" x14ac:dyDescent="0.25">
      <c r="A120" t="s">
        <v>107</v>
      </c>
      <c r="B120" t="s">
        <v>295</v>
      </c>
      <c r="C120" t="s">
        <v>213</v>
      </c>
      <c r="E120" t="s">
        <v>439</v>
      </c>
      <c r="F120">
        <v>1956</v>
      </c>
      <c r="G120">
        <v>1959</v>
      </c>
      <c r="H120">
        <v>1988</v>
      </c>
      <c r="J120">
        <v>300</v>
      </c>
      <c r="K120">
        <f>30.5*2</f>
        <v>61</v>
      </c>
      <c r="O120" s="4" t="str">
        <f t="shared" si="8"/>
        <v/>
      </c>
      <c r="P120">
        <v>70</v>
      </c>
      <c r="Q120">
        <v>17.53</v>
      </c>
      <c r="S120">
        <v>3.84</v>
      </c>
      <c r="U120" t="str">
        <f t="shared" si="7"/>
        <v>177x0x57</v>
      </c>
      <c r="V120">
        <f t="shared" si="6"/>
        <v>10</v>
      </c>
      <c r="W120" t="str">
        <f>VLOOKUP(V120,'Articulated Lengths'!$A$2:$B$16, 2, FALSE)</f>
        <v>3,4,3</v>
      </c>
      <c r="Y120">
        <v>10</v>
      </c>
      <c r="Z120">
        <v>10</v>
      </c>
    </row>
    <row r="121" spans="1:26" x14ac:dyDescent="0.25">
      <c r="A121" t="s">
        <v>108</v>
      </c>
      <c r="B121" t="s">
        <v>354</v>
      </c>
      <c r="C121" t="s">
        <v>213</v>
      </c>
      <c r="E121" t="s">
        <v>439</v>
      </c>
      <c r="F121">
        <v>2003</v>
      </c>
      <c r="J121">
        <v>1600</v>
      </c>
      <c r="K121">
        <v>173.6</v>
      </c>
      <c r="O121" s="4" t="str">
        <f t="shared" si="8"/>
        <v/>
      </c>
      <c r="P121">
        <v>100</v>
      </c>
      <c r="Q121">
        <v>20.399999999999999</v>
      </c>
      <c r="S121">
        <v>3.78</v>
      </c>
      <c r="U121" t="str">
        <f t="shared" si="7"/>
        <v>212x0x56</v>
      </c>
      <c r="V121">
        <f t="shared" si="6"/>
        <v>12</v>
      </c>
      <c r="W121" t="str">
        <f>VLOOKUP(V121,'Articulated Lengths'!$A$2:$B$16, 2, FALSE)</f>
        <v>3,6,3</v>
      </c>
      <c r="Y121">
        <v>10</v>
      </c>
      <c r="Z121">
        <v>10</v>
      </c>
    </row>
    <row r="122" spans="1:26" x14ac:dyDescent="0.25">
      <c r="A122" t="s">
        <v>109</v>
      </c>
      <c r="B122" t="s">
        <v>384</v>
      </c>
      <c r="C122" t="s">
        <v>213</v>
      </c>
      <c r="E122" t="s">
        <v>439</v>
      </c>
      <c r="F122">
        <v>1992</v>
      </c>
      <c r="G122">
        <v>1994</v>
      </c>
      <c r="H122" t="s">
        <v>196</v>
      </c>
      <c r="J122">
        <v>1608</v>
      </c>
      <c r="K122">
        <v>136</v>
      </c>
      <c r="O122" s="4" t="str">
        <f t="shared" si="8"/>
        <v/>
      </c>
      <c r="P122">
        <v>75</v>
      </c>
      <c r="Q122">
        <v>20.89</v>
      </c>
      <c r="S122">
        <v>3.77</v>
      </c>
      <c r="T122">
        <v>348</v>
      </c>
      <c r="U122" t="str">
        <f t="shared" si="7"/>
        <v>212x0x56</v>
      </c>
      <c r="V122">
        <f t="shared" si="6"/>
        <v>12</v>
      </c>
      <c r="W122" t="str">
        <f>VLOOKUP(V122,'Articulated Lengths'!$A$2:$B$16, 2, FALSE)</f>
        <v>3,6,3</v>
      </c>
      <c r="Y122">
        <v>10</v>
      </c>
      <c r="Z122">
        <v>10</v>
      </c>
    </row>
    <row r="123" spans="1:26" x14ac:dyDescent="0.25">
      <c r="A123" t="s">
        <v>110</v>
      </c>
      <c r="B123" t="s">
        <v>385</v>
      </c>
      <c r="C123" t="s">
        <v>213</v>
      </c>
      <c r="E123" t="s">
        <v>439</v>
      </c>
      <c r="F123">
        <v>2000</v>
      </c>
      <c r="G123">
        <v>2001</v>
      </c>
      <c r="H123">
        <v>2012</v>
      </c>
      <c r="I123">
        <v>8</v>
      </c>
      <c r="J123">
        <v>3620</v>
      </c>
      <c r="O123" s="4" t="str">
        <f t="shared" si="8"/>
        <v/>
      </c>
      <c r="P123">
        <v>100</v>
      </c>
      <c r="U123" t="str">
        <f t="shared" si="7"/>
        <v>0x0x0</v>
      </c>
      <c r="V123">
        <f t="shared" si="6"/>
        <v>0</v>
      </c>
      <c r="W123" t="str">
        <f>VLOOKUP(V123,'Articulated Lengths'!$A$2:$B$16, 2, FALSE)</f>
        <v>na</v>
      </c>
      <c r="Y123">
        <v>10</v>
      </c>
      <c r="Z123">
        <v>10</v>
      </c>
    </row>
    <row r="124" spans="1:26" x14ac:dyDescent="0.25">
      <c r="A124" t="s">
        <v>111</v>
      </c>
      <c r="B124" t="s">
        <v>386</v>
      </c>
      <c r="C124" t="s">
        <v>213</v>
      </c>
      <c r="E124" t="s">
        <v>439</v>
      </c>
      <c r="F124">
        <v>2007</v>
      </c>
      <c r="G124">
        <v>2009</v>
      </c>
      <c r="H124" t="s">
        <v>196</v>
      </c>
      <c r="J124">
        <f>16*280</f>
        <v>4480</v>
      </c>
      <c r="K124">
        <v>265</v>
      </c>
      <c r="O124" s="4" t="str">
        <f t="shared" si="8"/>
        <v/>
      </c>
      <c r="P124">
        <v>157</v>
      </c>
      <c r="Q124">
        <v>20.88</v>
      </c>
      <c r="S124">
        <v>3.82</v>
      </c>
      <c r="T124">
        <v>352</v>
      </c>
      <c r="U124" t="str">
        <f t="shared" si="7"/>
        <v>212x0x57</v>
      </c>
      <c r="V124">
        <f t="shared" si="6"/>
        <v>12</v>
      </c>
      <c r="W124" t="str">
        <f>VLOOKUP(V124,'Articulated Lengths'!$A$2:$B$16, 2, FALSE)</f>
        <v>3,6,3</v>
      </c>
      <c r="Y124">
        <v>10</v>
      </c>
      <c r="Z124">
        <v>10</v>
      </c>
    </row>
    <row r="125" spans="1:26" x14ac:dyDescent="0.25">
      <c r="A125" t="s">
        <v>112</v>
      </c>
      <c r="B125" t="s">
        <v>296</v>
      </c>
      <c r="C125" t="s">
        <v>213</v>
      </c>
      <c r="E125" t="s">
        <v>439</v>
      </c>
      <c r="F125">
        <v>1987</v>
      </c>
      <c r="G125">
        <v>1990</v>
      </c>
      <c r="I125">
        <v>4</v>
      </c>
      <c r="J125">
        <f>4*332</f>
        <v>1328</v>
      </c>
      <c r="K125">
        <v>140.30000000000001</v>
      </c>
      <c r="O125" s="4" t="str">
        <f t="shared" si="8"/>
        <v/>
      </c>
      <c r="P125">
        <v>100</v>
      </c>
      <c r="Q125">
        <v>19.829999999999998</v>
      </c>
      <c r="S125">
        <v>3.58</v>
      </c>
      <c r="U125" t="str">
        <f t="shared" si="7"/>
        <v>212x0x53</v>
      </c>
      <c r="V125">
        <f t="shared" si="6"/>
        <v>12</v>
      </c>
      <c r="W125" t="str">
        <f>VLOOKUP(V125,'Articulated Lengths'!$A$2:$B$16, 2, FALSE)</f>
        <v>3,6,3</v>
      </c>
      <c r="Y125">
        <v>10</v>
      </c>
      <c r="Z125">
        <v>10</v>
      </c>
    </row>
    <row r="126" spans="1:26" x14ac:dyDescent="0.25">
      <c r="A126" t="s">
        <v>113</v>
      </c>
      <c r="B126" t="s">
        <v>297</v>
      </c>
      <c r="C126" t="s">
        <v>213</v>
      </c>
      <c r="E126" t="s">
        <v>439</v>
      </c>
      <c r="F126">
        <v>1980</v>
      </c>
      <c r="G126">
        <v>1981</v>
      </c>
      <c r="H126" t="s">
        <v>196</v>
      </c>
      <c r="I126">
        <v>4</v>
      </c>
      <c r="J126">
        <v>880</v>
      </c>
      <c r="K126">
        <v>127.5</v>
      </c>
      <c r="O126" s="4" t="str">
        <f t="shared" si="8"/>
        <v/>
      </c>
      <c r="P126">
        <v>75</v>
      </c>
      <c r="Q126">
        <v>19.8</v>
      </c>
      <c r="S126">
        <v>3.58</v>
      </c>
      <c r="T126">
        <v>318</v>
      </c>
      <c r="U126" t="str">
        <f t="shared" si="7"/>
        <v>212x0x53</v>
      </c>
      <c r="V126">
        <f t="shared" si="6"/>
        <v>12</v>
      </c>
      <c r="W126" t="str">
        <f>VLOOKUP(V126,'Articulated Lengths'!$A$2:$B$16, 2, FALSE)</f>
        <v>3,6,3</v>
      </c>
      <c r="Y126">
        <v>10</v>
      </c>
      <c r="Z126">
        <v>10</v>
      </c>
    </row>
    <row r="127" spans="1:26" x14ac:dyDescent="0.25">
      <c r="A127" t="s">
        <v>114</v>
      </c>
      <c r="B127" t="s">
        <v>298</v>
      </c>
      <c r="C127" t="s">
        <v>213</v>
      </c>
      <c r="E127" t="s">
        <v>439</v>
      </c>
      <c r="F127">
        <v>1976</v>
      </c>
      <c r="G127">
        <v>1977</v>
      </c>
      <c r="H127" t="s">
        <v>196</v>
      </c>
      <c r="I127">
        <v>3</v>
      </c>
      <c r="J127">
        <v>880</v>
      </c>
      <c r="K127">
        <v>104.5</v>
      </c>
      <c r="O127" s="4" t="str">
        <f t="shared" si="8"/>
        <v/>
      </c>
      <c r="P127">
        <v>75</v>
      </c>
      <c r="Q127">
        <v>20.329999999999998</v>
      </c>
      <c r="S127">
        <v>3.58</v>
      </c>
      <c r="T127">
        <v>232</v>
      </c>
      <c r="U127" t="str">
        <f t="shared" si="7"/>
        <v>212x0x53</v>
      </c>
      <c r="V127">
        <f t="shared" si="6"/>
        <v>12</v>
      </c>
      <c r="W127" t="str">
        <f>VLOOKUP(V127,'Articulated Lengths'!$A$2:$B$16, 2, FALSE)</f>
        <v>3,6,3</v>
      </c>
      <c r="Y127">
        <v>10</v>
      </c>
      <c r="Z127">
        <v>10</v>
      </c>
    </row>
    <row r="128" spans="1:26" x14ac:dyDescent="0.25">
      <c r="A128" t="s">
        <v>115</v>
      </c>
      <c r="B128" t="s">
        <v>355</v>
      </c>
      <c r="C128" t="s">
        <v>213</v>
      </c>
      <c r="E128" t="s">
        <v>439</v>
      </c>
      <c r="O128" s="4" t="str">
        <f t="shared" si="8"/>
        <v/>
      </c>
      <c r="U128" t="str">
        <f t="shared" si="7"/>
        <v>0x0x0</v>
      </c>
      <c r="V128">
        <f t="shared" si="6"/>
        <v>0</v>
      </c>
      <c r="W128" t="str">
        <f>VLOOKUP(V128,'Articulated Lengths'!$A$2:$B$16, 2, FALSE)</f>
        <v>na</v>
      </c>
      <c r="Y128">
        <v>10</v>
      </c>
      <c r="Z128">
        <v>10</v>
      </c>
    </row>
    <row r="129" spans="1:26" x14ac:dyDescent="0.25">
      <c r="A129" t="s">
        <v>116</v>
      </c>
      <c r="B129" t="s">
        <v>356</v>
      </c>
      <c r="C129" t="s">
        <v>213</v>
      </c>
      <c r="E129" t="s">
        <v>439</v>
      </c>
      <c r="O129" s="4" t="str">
        <f t="shared" si="8"/>
        <v/>
      </c>
      <c r="U129" t="str">
        <f t="shared" si="7"/>
        <v>0x0x0</v>
      </c>
      <c r="V129">
        <f t="shared" si="6"/>
        <v>0</v>
      </c>
      <c r="W129" t="str">
        <f>VLOOKUP(V129,'Articulated Lengths'!$A$2:$B$16, 2, FALSE)</f>
        <v>na</v>
      </c>
      <c r="Y129">
        <v>10</v>
      </c>
      <c r="Z129">
        <v>10</v>
      </c>
    </row>
    <row r="130" spans="1:26" x14ac:dyDescent="0.25">
      <c r="A130" t="s">
        <v>117</v>
      </c>
      <c r="B130" t="s">
        <v>357</v>
      </c>
      <c r="C130" t="s">
        <v>213</v>
      </c>
      <c r="E130" t="s">
        <v>439</v>
      </c>
      <c r="O130" s="4" t="str">
        <f t="shared" si="8"/>
        <v/>
      </c>
      <c r="U130" t="str">
        <f t="shared" si="7"/>
        <v>0x0x0</v>
      </c>
      <c r="V130">
        <f t="shared" si="6"/>
        <v>0</v>
      </c>
      <c r="W130" t="str">
        <f>VLOOKUP(V130,'Articulated Lengths'!$A$2:$B$16, 2, FALSE)</f>
        <v>na</v>
      </c>
      <c r="Y130">
        <v>10</v>
      </c>
      <c r="Z130">
        <v>10</v>
      </c>
    </row>
    <row r="131" spans="1:26" x14ac:dyDescent="0.25">
      <c r="A131" t="s">
        <v>118</v>
      </c>
      <c r="B131" t="s">
        <v>358</v>
      </c>
      <c r="C131" t="s">
        <v>213</v>
      </c>
      <c r="E131" t="s">
        <v>439</v>
      </c>
      <c r="O131" s="4" t="str">
        <f t="shared" si="8"/>
        <v/>
      </c>
      <c r="U131" t="str">
        <f t="shared" si="7"/>
        <v>0x0x0</v>
      </c>
      <c r="V131">
        <f t="shared" si="6"/>
        <v>0</v>
      </c>
      <c r="W131" t="str">
        <f>VLOOKUP(V131,'Articulated Lengths'!$A$2:$B$16, 2, FALSE)</f>
        <v>na</v>
      </c>
      <c r="Y131">
        <v>10</v>
      </c>
      <c r="Z131">
        <v>10</v>
      </c>
    </row>
    <row r="132" spans="1:26" x14ac:dyDescent="0.25">
      <c r="A132" t="s">
        <v>119</v>
      </c>
      <c r="B132" t="s">
        <v>299</v>
      </c>
      <c r="C132" t="s">
        <v>213</v>
      </c>
      <c r="E132" t="s">
        <v>439</v>
      </c>
      <c r="O132" s="4" t="str">
        <f t="shared" si="8"/>
        <v/>
      </c>
      <c r="U132" t="str">
        <f t="shared" si="7"/>
        <v>0x0x0</v>
      </c>
      <c r="V132">
        <f t="shared" si="6"/>
        <v>0</v>
      </c>
      <c r="W132" t="str">
        <f>VLOOKUP(V132,'Articulated Lengths'!$A$2:$B$16, 2, FALSE)</f>
        <v>na</v>
      </c>
      <c r="Y132">
        <v>10</v>
      </c>
      <c r="Z132">
        <v>10</v>
      </c>
    </row>
    <row r="133" spans="1:26" x14ac:dyDescent="0.25">
      <c r="A133" t="s">
        <v>120</v>
      </c>
      <c r="B133" t="s">
        <v>300</v>
      </c>
      <c r="C133" t="s">
        <v>213</v>
      </c>
      <c r="E133" t="s">
        <v>439</v>
      </c>
      <c r="O133" s="4" t="str">
        <f t="shared" si="8"/>
        <v/>
      </c>
      <c r="U133" t="str">
        <f t="shared" si="7"/>
        <v>0x0x0</v>
      </c>
      <c r="V133">
        <f t="shared" si="6"/>
        <v>0</v>
      </c>
      <c r="W133" t="str">
        <f>VLOOKUP(V133,'Articulated Lengths'!$A$2:$B$16, 2, FALSE)</f>
        <v>na</v>
      </c>
      <c r="Y133">
        <v>10</v>
      </c>
      <c r="Z133">
        <v>10</v>
      </c>
    </row>
    <row r="134" spans="1:26" x14ac:dyDescent="0.25">
      <c r="A134" t="s">
        <v>121</v>
      </c>
      <c r="B134" t="s">
        <v>301</v>
      </c>
      <c r="C134" t="s">
        <v>213</v>
      </c>
      <c r="E134" t="s">
        <v>439</v>
      </c>
      <c r="O134" s="4" t="str">
        <f t="shared" si="8"/>
        <v/>
      </c>
      <c r="U134" t="str">
        <f t="shared" si="7"/>
        <v>0x0x0</v>
      </c>
      <c r="V134">
        <f t="shared" ref="V134:V175" si="9">CEILING((Q134/57)*32,1)</f>
        <v>0</v>
      </c>
      <c r="W134" t="str">
        <f>VLOOKUP(V134,'Articulated Lengths'!$A$2:$B$16, 2, FALSE)</f>
        <v>na</v>
      </c>
      <c r="Y134">
        <v>10</v>
      </c>
      <c r="Z134">
        <v>10</v>
      </c>
    </row>
    <row r="135" spans="1:26" x14ac:dyDescent="0.25">
      <c r="A135" t="s">
        <v>122</v>
      </c>
      <c r="B135" t="s">
        <v>412</v>
      </c>
      <c r="C135" t="s">
        <v>213</v>
      </c>
      <c r="E135" t="s">
        <v>439</v>
      </c>
      <c r="O135" s="4" t="str">
        <f t="shared" si="8"/>
        <v/>
      </c>
      <c r="U135" t="str">
        <f t="shared" si="7"/>
        <v>0x0x0</v>
      </c>
      <c r="V135">
        <f t="shared" si="9"/>
        <v>0</v>
      </c>
      <c r="W135" t="str">
        <f>VLOOKUP(V135,'Articulated Lengths'!$A$2:$B$16, 2, FALSE)</f>
        <v>na</v>
      </c>
      <c r="Y135">
        <v>10</v>
      </c>
      <c r="Z135">
        <v>10</v>
      </c>
    </row>
    <row r="136" spans="1:26" x14ac:dyDescent="0.25">
      <c r="A136" t="s">
        <v>123</v>
      </c>
      <c r="B136" t="s">
        <v>302</v>
      </c>
      <c r="C136" t="s">
        <v>213</v>
      </c>
      <c r="E136" t="s">
        <v>439</v>
      </c>
      <c r="O136" s="4" t="str">
        <f t="shared" si="8"/>
        <v/>
      </c>
      <c r="U136" t="str">
        <f t="shared" si="7"/>
        <v>0x0x0</v>
      </c>
      <c r="V136">
        <f t="shared" si="9"/>
        <v>0</v>
      </c>
      <c r="W136" t="str">
        <f>VLOOKUP(V136,'Articulated Lengths'!$A$2:$B$16, 2, FALSE)</f>
        <v>na</v>
      </c>
      <c r="Y136">
        <v>10</v>
      </c>
      <c r="Z136">
        <v>10</v>
      </c>
    </row>
    <row r="137" spans="1:26" x14ac:dyDescent="0.25">
      <c r="A137" t="s">
        <v>124</v>
      </c>
      <c r="B137" t="s">
        <v>414</v>
      </c>
      <c r="C137" t="s">
        <v>213</v>
      </c>
      <c r="E137" t="s">
        <v>439</v>
      </c>
      <c r="O137" s="4" t="str">
        <f t="shared" si="8"/>
        <v/>
      </c>
      <c r="U137" t="str">
        <f t="shared" si="7"/>
        <v>0x0x0</v>
      </c>
      <c r="V137">
        <f t="shared" si="9"/>
        <v>0</v>
      </c>
      <c r="W137" t="str">
        <f>VLOOKUP(V137,'Articulated Lengths'!$A$2:$B$16, 2, FALSE)</f>
        <v>na</v>
      </c>
      <c r="Y137">
        <v>10</v>
      </c>
      <c r="Z137">
        <v>10</v>
      </c>
    </row>
    <row r="138" spans="1:26" x14ac:dyDescent="0.25">
      <c r="A138" t="s">
        <v>125</v>
      </c>
      <c r="B138" t="s">
        <v>303</v>
      </c>
      <c r="C138" t="s">
        <v>213</v>
      </c>
      <c r="E138" t="s">
        <v>439</v>
      </c>
      <c r="O138" s="4" t="str">
        <f t="shared" si="8"/>
        <v/>
      </c>
      <c r="U138" t="str">
        <f t="shared" ref="U138:U198" si="10">CONCATENATE(INT(V138*17.7),"x",INT(R138*15), "x", INT(S138*15))</f>
        <v>0x0x0</v>
      </c>
      <c r="V138">
        <f t="shared" si="9"/>
        <v>0</v>
      </c>
      <c r="W138" t="str">
        <f>VLOOKUP(V138,'Articulated Lengths'!$A$2:$B$16, 2, FALSE)</f>
        <v>na</v>
      </c>
      <c r="Y138">
        <v>10</v>
      </c>
      <c r="Z138">
        <v>10</v>
      </c>
    </row>
    <row r="139" spans="1:26" x14ac:dyDescent="0.25">
      <c r="A139" t="s">
        <v>126</v>
      </c>
      <c r="B139" t="s">
        <v>361</v>
      </c>
      <c r="C139" t="s">
        <v>213</v>
      </c>
      <c r="E139" t="s">
        <v>439</v>
      </c>
      <c r="O139" s="4" t="str">
        <f t="shared" ref="O139:O198" si="11">IF(AND(K139&gt;0,N139&gt;0),(N139/(K139*10)),"")</f>
        <v/>
      </c>
      <c r="U139" t="str">
        <f t="shared" si="10"/>
        <v>0x0x0</v>
      </c>
      <c r="V139">
        <f t="shared" si="9"/>
        <v>0</v>
      </c>
      <c r="W139" t="str">
        <f>VLOOKUP(V139,'Articulated Lengths'!$A$2:$B$16, 2, FALSE)</f>
        <v>na</v>
      </c>
      <c r="Y139">
        <v>10</v>
      </c>
      <c r="Z139">
        <v>10</v>
      </c>
    </row>
    <row r="140" spans="1:26" x14ac:dyDescent="0.25">
      <c r="A140" t="s">
        <v>127</v>
      </c>
      <c r="B140" t="s">
        <v>362</v>
      </c>
      <c r="C140" t="s">
        <v>213</v>
      </c>
      <c r="E140" t="s">
        <v>439</v>
      </c>
      <c r="O140" s="4" t="str">
        <f t="shared" si="11"/>
        <v/>
      </c>
      <c r="U140" t="str">
        <f t="shared" si="10"/>
        <v>0x0x0</v>
      </c>
      <c r="V140">
        <f t="shared" si="9"/>
        <v>0</v>
      </c>
      <c r="W140" t="str">
        <f>VLOOKUP(V140,'Articulated Lengths'!$A$2:$B$16, 2, FALSE)</f>
        <v>na</v>
      </c>
      <c r="Y140">
        <v>10</v>
      </c>
      <c r="Z140">
        <v>10</v>
      </c>
    </row>
    <row r="141" spans="1:26" x14ac:dyDescent="0.25">
      <c r="A141" t="s">
        <v>128</v>
      </c>
      <c r="B141" t="s">
        <v>363</v>
      </c>
      <c r="C141" t="s">
        <v>213</v>
      </c>
      <c r="E141" t="s">
        <v>439</v>
      </c>
      <c r="O141" s="4" t="str">
        <f t="shared" si="11"/>
        <v/>
      </c>
      <c r="U141" t="str">
        <f t="shared" si="10"/>
        <v>0x0x0</v>
      </c>
      <c r="V141">
        <f t="shared" si="9"/>
        <v>0</v>
      </c>
      <c r="W141" t="str">
        <f>VLOOKUP(V141,'Articulated Lengths'!$A$2:$B$16, 2, FALSE)</f>
        <v>na</v>
      </c>
      <c r="Y141">
        <v>10</v>
      </c>
      <c r="Z141">
        <v>10</v>
      </c>
    </row>
    <row r="142" spans="1:26" x14ac:dyDescent="0.25">
      <c r="A142" t="s">
        <v>129</v>
      </c>
      <c r="B142" t="s">
        <v>364</v>
      </c>
      <c r="C142" t="s">
        <v>213</v>
      </c>
      <c r="E142" t="s">
        <v>439</v>
      </c>
      <c r="O142" s="4" t="str">
        <f t="shared" si="11"/>
        <v/>
      </c>
      <c r="U142" t="str">
        <f t="shared" si="10"/>
        <v>0x0x0</v>
      </c>
      <c r="V142">
        <f t="shared" si="9"/>
        <v>0</v>
      </c>
      <c r="W142" t="str">
        <f>VLOOKUP(V142,'Articulated Lengths'!$A$2:$B$16, 2, FALSE)</f>
        <v>na</v>
      </c>
      <c r="Y142">
        <v>10</v>
      </c>
      <c r="Z142">
        <v>10</v>
      </c>
    </row>
    <row r="143" spans="1:26" x14ac:dyDescent="0.25">
      <c r="A143" t="s">
        <v>130</v>
      </c>
      <c r="B143" t="s">
        <v>304</v>
      </c>
      <c r="C143" t="s">
        <v>213</v>
      </c>
      <c r="E143" t="s">
        <v>439</v>
      </c>
      <c r="O143" s="4" t="str">
        <f t="shared" si="11"/>
        <v/>
      </c>
      <c r="U143" t="str">
        <f t="shared" si="10"/>
        <v>0x0x0</v>
      </c>
      <c r="V143">
        <f t="shared" si="9"/>
        <v>0</v>
      </c>
      <c r="W143" t="str">
        <f>VLOOKUP(V143,'Articulated Lengths'!$A$2:$B$16, 2, FALSE)</f>
        <v>na</v>
      </c>
      <c r="Y143">
        <v>10</v>
      </c>
      <c r="Z143">
        <v>10</v>
      </c>
    </row>
    <row r="144" spans="1:26" x14ac:dyDescent="0.25">
      <c r="A144" t="s">
        <v>131</v>
      </c>
      <c r="B144" t="s">
        <v>305</v>
      </c>
      <c r="C144" t="s">
        <v>213</v>
      </c>
      <c r="E144" t="s">
        <v>439</v>
      </c>
      <c r="O144" s="4" t="str">
        <f t="shared" si="11"/>
        <v/>
      </c>
      <c r="U144" t="str">
        <f t="shared" si="10"/>
        <v>0x0x0</v>
      </c>
      <c r="V144">
        <f t="shared" si="9"/>
        <v>0</v>
      </c>
      <c r="W144" t="str">
        <f>VLOOKUP(V144,'Articulated Lengths'!$A$2:$B$16, 2, FALSE)</f>
        <v>na</v>
      </c>
      <c r="Y144">
        <v>10</v>
      </c>
      <c r="Z144">
        <v>10</v>
      </c>
    </row>
    <row r="145" spans="1:26" x14ac:dyDescent="0.25">
      <c r="A145" t="s">
        <v>132</v>
      </c>
      <c r="B145" t="s">
        <v>306</v>
      </c>
      <c r="C145" t="s">
        <v>213</v>
      </c>
      <c r="E145" t="s">
        <v>439</v>
      </c>
      <c r="O145" s="4" t="str">
        <f t="shared" si="11"/>
        <v/>
      </c>
      <c r="U145" t="str">
        <f t="shared" si="10"/>
        <v>0x0x0</v>
      </c>
      <c r="V145">
        <f t="shared" si="9"/>
        <v>0</v>
      </c>
      <c r="W145" t="str">
        <f>VLOOKUP(V145,'Articulated Lengths'!$A$2:$B$16, 2, FALSE)</f>
        <v>na</v>
      </c>
      <c r="Y145">
        <v>10</v>
      </c>
      <c r="Z145">
        <v>10</v>
      </c>
    </row>
    <row r="146" spans="1:26" x14ac:dyDescent="0.25">
      <c r="A146" t="s">
        <v>133</v>
      </c>
      <c r="B146" t="s">
        <v>365</v>
      </c>
      <c r="C146" t="s">
        <v>213</v>
      </c>
      <c r="E146" t="s">
        <v>439</v>
      </c>
      <c r="O146" s="4" t="str">
        <f t="shared" si="11"/>
        <v/>
      </c>
      <c r="U146" t="str">
        <f t="shared" si="10"/>
        <v>0x0x0</v>
      </c>
      <c r="V146">
        <f t="shared" si="9"/>
        <v>0</v>
      </c>
      <c r="W146" t="str">
        <f>VLOOKUP(V146,'Articulated Lengths'!$A$2:$B$16, 2, FALSE)</f>
        <v>na</v>
      </c>
      <c r="Y146">
        <v>10</v>
      </c>
      <c r="Z146">
        <v>10</v>
      </c>
    </row>
    <row r="147" spans="1:26" x14ac:dyDescent="0.25">
      <c r="A147" t="s">
        <v>134</v>
      </c>
      <c r="B147" t="s">
        <v>360</v>
      </c>
      <c r="C147" t="s">
        <v>213</v>
      </c>
      <c r="E147" t="s">
        <v>439</v>
      </c>
      <c r="O147" s="4" t="str">
        <f t="shared" si="11"/>
        <v/>
      </c>
      <c r="U147" t="str">
        <f t="shared" si="10"/>
        <v>0x0x0</v>
      </c>
      <c r="V147">
        <f t="shared" si="9"/>
        <v>0</v>
      </c>
      <c r="W147" t="str">
        <f>VLOOKUP(V147,'Articulated Lengths'!$A$2:$B$16, 2, FALSE)</f>
        <v>na</v>
      </c>
      <c r="Y147">
        <v>10</v>
      </c>
      <c r="Z147">
        <v>10</v>
      </c>
    </row>
    <row r="148" spans="1:26" x14ac:dyDescent="0.25">
      <c r="A148" t="s">
        <v>135</v>
      </c>
      <c r="B148" t="s">
        <v>359</v>
      </c>
      <c r="C148" t="s">
        <v>213</v>
      </c>
      <c r="E148" t="s">
        <v>439</v>
      </c>
      <c r="O148" s="4" t="str">
        <f t="shared" si="11"/>
        <v/>
      </c>
      <c r="U148" t="str">
        <f t="shared" si="10"/>
        <v>0x0x0</v>
      </c>
      <c r="V148">
        <f t="shared" si="9"/>
        <v>0</v>
      </c>
      <c r="W148" t="str">
        <f>VLOOKUP(V148,'Articulated Lengths'!$A$2:$B$16, 2, FALSE)</f>
        <v>na</v>
      </c>
      <c r="Y148">
        <v>10</v>
      </c>
      <c r="Z148">
        <v>10</v>
      </c>
    </row>
    <row r="149" spans="1:26" x14ac:dyDescent="0.25">
      <c r="A149" t="s">
        <v>136</v>
      </c>
      <c r="B149" t="s">
        <v>369</v>
      </c>
      <c r="C149" t="s">
        <v>213</v>
      </c>
      <c r="E149" t="s">
        <v>439</v>
      </c>
      <c r="O149" s="4" t="str">
        <f t="shared" si="11"/>
        <v/>
      </c>
      <c r="U149" t="str">
        <f t="shared" si="10"/>
        <v>0x0x0</v>
      </c>
      <c r="V149">
        <f t="shared" si="9"/>
        <v>0</v>
      </c>
      <c r="W149" t="str">
        <f>VLOOKUP(V149,'Articulated Lengths'!$A$2:$B$16, 2, FALSE)</f>
        <v>na</v>
      </c>
      <c r="Y149">
        <v>10</v>
      </c>
      <c r="Z149">
        <v>10</v>
      </c>
    </row>
    <row r="150" spans="1:26" x14ac:dyDescent="0.25">
      <c r="A150" t="s">
        <v>137</v>
      </c>
      <c r="B150" t="s">
        <v>415</v>
      </c>
      <c r="C150" t="s">
        <v>213</v>
      </c>
      <c r="E150" t="s">
        <v>439</v>
      </c>
      <c r="O150" s="4" t="str">
        <f t="shared" si="11"/>
        <v/>
      </c>
      <c r="U150" t="str">
        <f t="shared" si="10"/>
        <v>0x0x0</v>
      </c>
      <c r="V150">
        <f t="shared" si="9"/>
        <v>0</v>
      </c>
      <c r="W150" t="str">
        <f>VLOOKUP(V150,'Articulated Lengths'!$A$2:$B$16, 2, FALSE)</f>
        <v>na</v>
      </c>
      <c r="Y150">
        <v>10</v>
      </c>
      <c r="Z150">
        <v>10</v>
      </c>
    </row>
    <row r="151" spans="1:26" x14ac:dyDescent="0.25">
      <c r="A151" t="s">
        <v>138</v>
      </c>
      <c r="B151" t="s">
        <v>368</v>
      </c>
      <c r="C151" t="s">
        <v>213</v>
      </c>
      <c r="E151" t="s">
        <v>439</v>
      </c>
      <c r="O151" s="4" t="str">
        <f t="shared" si="11"/>
        <v/>
      </c>
      <c r="U151" t="str">
        <f t="shared" si="10"/>
        <v>0x0x0</v>
      </c>
      <c r="V151">
        <f t="shared" si="9"/>
        <v>0</v>
      </c>
      <c r="W151" t="str">
        <f>VLOOKUP(V151,'Articulated Lengths'!$A$2:$B$16, 2, FALSE)</f>
        <v>na</v>
      </c>
      <c r="Y151">
        <v>10</v>
      </c>
      <c r="Z151">
        <v>10</v>
      </c>
    </row>
    <row r="152" spans="1:26" x14ac:dyDescent="0.25">
      <c r="A152" t="s">
        <v>139</v>
      </c>
      <c r="B152" t="s">
        <v>307</v>
      </c>
      <c r="C152" t="s">
        <v>213</v>
      </c>
      <c r="E152" t="s">
        <v>439</v>
      </c>
      <c r="O152" s="4" t="str">
        <f t="shared" si="11"/>
        <v/>
      </c>
      <c r="U152" t="str">
        <f t="shared" si="10"/>
        <v>0x0x0</v>
      </c>
      <c r="V152">
        <f t="shared" si="9"/>
        <v>0</v>
      </c>
      <c r="W152" t="str">
        <f>VLOOKUP(V152,'Articulated Lengths'!$A$2:$B$16, 2, FALSE)</f>
        <v>na</v>
      </c>
      <c r="Y152">
        <v>10</v>
      </c>
      <c r="Z152">
        <v>10</v>
      </c>
    </row>
    <row r="153" spans="1:26" x14ac:dyDescent="0.25">
      <c r="A153" t="s">
        <v>140</v>
      </c>
      <c r="B153" t="s">
        <v>308</v>
      </c>
      <c r="C153" t="s">
        <v>213</v>
      </c>
      <c r="E153" t="s">
        <v>439</v>
      </c>
      <c r="O153" s="4" t="str">
        <f t="shared" si="11"/>
        <v/>
      </c>
      <c r="U153" t="str">
        <f t="shared" si="10"/>
        <v>0x0x0</v>
      </c>
      <c r="V153">
        <f t="shared" si="9"/>
        <v>0</v>
      </c>
      <c r="W153" t="str">
        <f>VLOOKUP(V153,'Articulated Lengths'!$A$2:$B$16, 2, FALSE)</f>
        <v>na</v>
      </c>
      <c r="Y153">
        <v>10</v>
      </c>
      <c r="Z153">
        <v>10</v>
      </c>
    </row>
    <row r="154" spans="1:26" x14ac:dyDescent="0.25">
      <c r="A154" t="s">
        <v>141</v>
      </c>
      <c r="B154" t="s">
        <v>309</v>
      </c>
      <c r="C154" t="s">
        <v>213</v>
      </c>
      <c r="E154" t="s">
        <v>439</v>
      </c>
      <c r="O154" s="4" t="str">
        <f t="shared" si="11"/>
        <v/>
      </c>
      <c r="U154" t="str">
        <f t="shared" si="10"/>
        <v>0x0x0</v>
      </c>
      <c r="V154">
        <f t="shared" si="9"/>
        <v>0</v>
      </c>
      <c r="W154" t="str">
        <f>VLOOKUP(V154,'Articulated Lengths'!$A$2:$B$16, 2, FALSE)</f>
        <v>na</v>
      </c>
      <c r="Y154">
        <v>10</v>
      </c>
      <c r="Z154">
        <v>10</v>
      </c>
    </row>
    <row r="155" spans="1:26" x14ac:dyDescent="0.25">
      <c r="A155" t="s">
        <v>142</v>
      </c>
      <c r="B155" t="s">
        <v>366</v>
      </c>
      <c r="C155" t="s">
        <v>213</v>
      </c>
      <c r="E155" t="s">
        <v>439</v>
      </c>
      <c r="O155" s="4" t="str">
        <f t="shared" si="11"/>
        <v/>
      </c>
      <c r="U155" t="str">
        <f t="shared" si="10"/>
        <v>0x0x0</v>
      </c>
      <c r="V155">
        <f t="shared" si="9"/>
        <v>0</v>
      </c>
      <c r="W155" t="str">
        <f>VLOOKUP(V155,'Articulated Lengths'!$A$2:$B$16, 2, FALSE)</f>
        <v>na</v>
      </c>
      <c r="Y155">
        <v>10</v>
      </c>
      <c r="Z155">
        <v>10</v>
      </c>
    </row>
    <row r="156" spans="1:26" x14ac:dyDescent="0.25">
      <c r="A156" t="s">
        <v>143</v>
      </c>
      <c r="B156" t="s">
        <v>413</v>
      </c>
      <c r="C156" t="s">
        <v>213</v>
      </c>
      <c r="E156" t="s">
        <v>439</v>
      </c>
      <c r="O156" s="4" t="str">
        <f t="shared" si="11"/>
        <v/>
      </c>
      <c r="U156" t="str">
        <f t="shared" si="10"/>
        <v>0x0x0</v>
      </c>
      <c r="V156">
        <f t="shared" si="9"/>
        <v>0</v>
      </c>
      <c r="W156" t="str">
        <f>VLOOKUP(V156,'Articulated Lengths'!$A$2:$B$16, 2, FALSE)</f>
        <v>na</v>
      </c>
      <c r="Y156">
        <v>10</v>
      </c>
      <c r="Z156">
        <v>10</v>
      </c>
    </row>
    <row r="157" spans="1:26" x14ac:dyDescent="0.25">
      <c r="A157" t="s">
        <v>144</v>
      </c>
      <c r="B157" t="s">
        <v>310</v>
      </c>
      <c r="C157" t="s">
        <v>213</v>
      </c>
      <c r="E157" t="s">
        <v>439</v>
      </c>
      <c r="O157" s="4" t="str">
        <f t="shared" si="11"/>
        <v/>
      </c>
      <c r="U157" t="str">
        <f t="shared" si="10"/>
        <v>0x0x0</v>
      </c>
      <c r="V157">
        <f t="shared" si="9"/>
        <v>0</v>
      </c>
      <c r="W157" t="str">
        <f>VLOOKUP(V157,'Articulated Lengths'!$A$2:$B$16, 2, FALSE)</f>
        <v>na</v>
      </c>
      <c r="Y157">
        <v>10</v>
      </c>
      <c r="Z157">
        <v>10</v>
      </c>
    </row>
    <row r="158" spans="1:26" x14ac:dyDescent="0.25">
      <c r="A158" t="s">
        <v>145</v>
      </c>
      <c r="B158" t="s">
        <v>311</v>
      </c>
      <c r="C158" t="s">
        <v>213</v>
      </c>
      <c r="E158" t="s">
        <v>439</v>
      </c>
      <c r="O158" s="4" t="str">
        <f t="shared" si="11"/>
        <v/>
      </c>
      <c r="U158" t="str">
        <f t="shared" si="10"/>
        <v>0x0x0</v>
      </c>
      <c r="V158">
        <f t="shared" si="9"/>
        <v>0</v>
      </c>
      <c r="W158" t="str">
        <f>VLOOKUP(V158,'Articulated Lengths'!$A$2:$B$16, 2, FALSE)</f>
        <v>na</v>
      </c>
      <c r="Y158">
        <v>10</v>
      </c>
      <c r="Z158">
        <v>10</v>
      </c>
    </row>
    <row r="159" spans="1:26" x14ac:dyDescent="0.25">
      <c r="A159" t="s">
        <v>146</v>
      </c>
      <c r="B159" t="s">
        <v>312</v>
      </c>
      <c r="C159" t="s">
        <v>213</v>
      </c>
      <c r="E159" t="s">
        <v>439</v>
      </c>
      <c r="O159" s="4" t="str">
        <f t="shared" si="11"/>
        <v/>
      </c>
      <c r="U159" t="str">
        <f t="shared" si="10"/>
        <v>0x0x0</v>
      </c>
      <c r="V159">
        <f t="shared" si="9"/>
        <v>0</v>
      </c>
      <c r="W159" t="str">
        <f>VLOOKUP(V159,'Articulated Lengths'!$A$2:$B$16, 2, FALSE)</f>
        <v>na</v>
      </c>
      <c r="Y159">
        <v>10</v>
      </c>
      <c r="Z159">
        <v>10</v>
      </c>
    </row>
    <row r="160" spans="1:26" x14ac:dyDescent="0.25">
      <c r="A160" t="s">
        <v>147</v>
      </c>
      <c r="B160" t="s">
        <v>313</v>
      </c>
      <c r="C160" t="s">
        <v>213</v>
      </c>
      <c r="E160" t="s">
        <v>439</v>
      </c>
      <c r="O160" s="4" t="str">
        <f t="shared" si="11"/>
        <v/>
      </c>
      <c r="U160" t="str">
        <f t="shared" si="10"/>
        <v>0x0x0</v>
      </c>
      <c r="V160">
        <f t="shared" si="9"/>
        <v>0</v>
      </c>
      <c r="W160" t="str">
        <f>VLOOKUP(V160,'Articulated Lengths'!$A$2:$B$16, 2, FALSE)</f>
        <v>na</v>
      </c>
      <c r="Y160">
        <v>10</v>
      </c>
      <c r="Z160">
        <v>10</v>
      </c>
    </row>
    <row r="161" spans="1:26" x14ac:dyDescent="0.25">
      <c r="A161" t="s">
        <v>148</v>
      </c>
      <c r="B161" t="s">
        <v>314</v>
      </c>
      <c r="C161" t="s">
        <v>213</v>
      </c>
      <c r="E161" t="s">
        <v>439</v>
      </c>
      <c r="O161" s="4" t="str">
        <f t="shared" si="11"/>
        <v/>
      </c>
      <c r="U161" t="str">
        <f t="shared" si="10"/>
        <v>0x0x0</v>
      </c>
      <c r="V161">
        <f t="shared" si="9"/>
        <v>0</v>
      </c>
      <c r="W161" t="str">
        <f>VLOOKUP(V161,'Articulated Lengths'!$A$2:$B$16, 2, FALSE)</f>
        <v>na</v>
      </c>
      <c r="Y161">
        <v>10</v>
      </c>
      <c r="Z161">
        <v>10</v>
      </c>
    </row>
    <row r="162" spans="1:26" x14ac:dyDescent="0.25">
      <c r="A162" t="s">
        <v>149</v>
      </c>
      <c r="B162" t="s">
        <v>315</v>
      </c>
      <c r="C162" t="s">
        <v>213</v>
      </c>
      <c r="E162" t="s">
        <v>439</v>
      </c>
      <c r="O162" s="4" t="str">
        <f t="shared" si="11"/>
        <v/>
      </c>
      <c r="U162" t="str">
        <f t="shared" si="10"/>
        <v>0x0x0</v>
      </c>
      <c r="V162">
        <f t="shared" si="9"/>
        <v>0</v>
      </c>
      <c r="W162" t="str">
        <f>VLOOKUP(V162,'Articulated Lengths'!$A$2:$B$16, 2, FALSE)</f>
        <v>na</v>
      </c>
      <c r="Y162">
        <v>10</v>
      </c>
      <c r="Z162">
        <v>10</v>
      </c>
    </row>
    <row r="163" spans="1:26" x14ac:dyDescent="0.25">
      <c r="A163" t="s">
        <v>150</v>
      </c>
      <c r="B163" t="s">
        <v>316</v>
      </c>
      <c r="C163" t="s">
        <v>213</v>
      </c>
      <c r="E163" t="s">
        <v>439</v>
      </c>
      <c r="O163" s="4" t="str">
        <f t="shared" si="11"/>
        <v/>
      </c>
      <c r="U163" t="str">
        <f t="shared" si="10"/>
        <v>0x0x0</v>
      </c>
      <c r="V163">
        <f t="shared" si="9"/>
        <v>0</v>
      </c>
      <c r="W163" t="str">
        <f>VLOOKUP(V163,'Articulated Lengths'!$A$2:$B$16, 2, FALSE)</f>
        <v>na</v>
      </c>
      <c r="Y163">
        <v>10</v>
      </c>
      <c r="Z163">
        <v>10</v>
      </c>
    </row>
    <row r="164" spans="1:26" x14ac:dyDescent="0.25">
      <c r="A164" t="s">
        <v>151</v>
      </c>
      <c r="B164" t="s">
        <v>317</v>
      </c>
      <c r="C164" t="s">
        <v>213</v>
      </c>
      <c r="E164" t="s">
        <v>439</v>
      </c>
      <c r="O164" s="4" t="str">
        <f t="shared" si="11"/>
        <v/>
      </c>
      <c r="U164" t="str">
        <f t="shared" si="10"/>
        <v>0x0x0</v>
      </c>
      <c r="V164">
        <f t="shared" si="9"/>
        <v>0</v>
      </c>
      <c r="W164" t="str">
        <f>VLOOKUP(V164,'Articulated Lengths'!$A$2:$B$16, 2, FALSE)</f>
        <v>na</v>
      </c>
      <c r="Y164">
        <v>10</v>
      </c>
      <c r="Z164">
        <v>10</v>
      </c>
    </row>
    <row r="165" spans="1:26" x14ac:dyDescent="0.25">
      <c r="A165" t="s">
        <v>152</v>
      </c>
      <c r="B165" t="s">
        <v>318</v>
      </c>
      <c r="C165" t="s">
        <v>213</v>
      </c>
      <c r="E165" t="s">
        <v>439</v>
      </c>
      <c r="O165" s="4" t="str">
        <f t="shared" si="11"/>
        <v/>
      </c>
      <c r="U165" t="str">
        <f t="shared" si="10"/>
        <v>0x0x0</v>
      </c>
      <c r="V165">
        <f t="shared" si="9"/>
        <v>0</v>
      </c>
      <c r="W165" t="str">
        <f>VLOOKUP(V165,'Articulated Lengths'!$A$2:$B$16, 2, FALSE)</f>
        <v>na</v>
      </c>
      <c r="Y165">
        <v>10</v>
      </c>
      <c r="Z165">
        <v>10</v>
      </c>
    </row>
    <row r="166" spans="1:26" x14ac:dyDescent="0.25">
      <c r="A166" t="s">
        <v>153</v>
      </c>
      <c r="B166" t="s">
        <v>319</v>
      </c>
      <c r="C166" t="s">
        <v>213</v>
      </c>
      <c r="E166" t="s">
        <v>439</v>
      </c>
      <c r="O166" s="4" t="str">
        <f t="shared" si="11"/>
        <v/>
      </c>
      <c r="U166" t="str">
        <f t="shared" si="10"/>
        <v>0x0x0</v>
      </c>
      <c r="V166">
        <f t="shared" si="9"/>
        <v>0</v>
      </c>
      <c r="W166" t="str">
        <f>VLOOKUP(V166,'Articulated Lengths'!$A$2:$B$16, 2, FALSE)</f>
        <v>na</v>
      </c>
      <c r="Y166">
        <v>10</v>
      </c>
      <c r="Z166">
        <v>10</v>
      </c>
    </row>
    <row r="167" spans="1:26" x14ac:dyDescent="0.25">
      <c r="A167" t="s">
        <v>154</v>
      </c>
      <c r="B167" t="s">
        <v>367</v>
      </c>
      <c r="C167" t="s">
        <v>213</v>
      </c>
      <c r="E167" t="s">
        <v>439</v>
      </c>
      <c r="O167" s="4" t="str">
        <f t="shared" si="11"/>
        <v/>
      </c>
      <c r="U167" t="str">
        <f t="shared" si="10"/>
        <v>0x0x0</v>
      </c>
      <c r="V167">
        <f t="shared" si="9"/>
        <v>0</v>
      </c>
      <c r="W167" t="str">
        <f>VLOOKUP(V167,'Articulated Lengths'!$A$2:$B$16, 2, FALSE)</f>
        <v>na</v>
      </c>
      <c r="Y167">
        <v>10</v>
      </c>
      <c r="Z167">
        <v>10</v>
      </c>
    </row>
    <row r="168" spans="1:26" x14ac:dyDescent="0.25">
      <c r="A168" t="s">
        <v>155</v>
      </c>
      <c r="B168" t="s">
        <v>320</v>
      </c>
      <c r="C168" t="s">
        <v>213</v>
      </c>
      <c r="E168" t="s">
        <v>439</v>
      </c>
      <c r="O168" s="4" t="str">
        <f t="shared" si="11"/>
        <v/>
      </c>
      <c r="U168" t="str">
        <f t="shared" si="10"/>
        <v>0x0x0</v>
      </c>
      <c r="V168">
        <f t="shared" si="9"/>
        <v>0</v>
      </c>
      <c r="W168" t="str">
        <f>VLOOKUP(V168,'Articulated Lengths'!$A$2:$B$16, 2, FALSE)</f>
        <v>na</v>
      </c>
      <c r="Y168">
        <v>10</v>
      </c>
      <c r="Z168">
        <v>10</v>
      </c>
    </row>
    <row r="169" spans="1:26" x14ac:dyDescent="0.25">
      <c r="A169" t="s">
        <v>156</v>
      </c>
      <c r="B169" t="s">
        <v>321</v>
      </c>
      <c r="C169" t="s">
        <v>213</v>
      </c>
      <c r="E169" t="s">
        <v>439</v>
      </c>
      <c r="O169" s="4" t="str">
        <f t="shared" si="11"/>
        <v/>
      </c>
      <c r="U169" t="str">
        <f t="shared" si="10"/>
        <v>0x0x0</v>
      </c>
      <c r="V169">
        <f t="shared" si="9"/>
        <v>0</v>
      </c>
      <c r="W169" t="str">
        <f>VLOOKUP(V169,'Articulated Lengths'!$A$2:$B$16, 2, FALSE)</f>
        <v>na</v>
      </c>
      <c r="Y169">
        <v>10</v>
      </c>
      <c r="Z169">
        <v>10</v>
      </c>
    </row>
    <row r="170" spans="1:26" x14ac:dyDescent="0.25">
      <c r="A170" t="s">
        <v>157</v>
      </c>
      <c r="B170" t="s">
        <v>416</v>
      </c>
      <c r="C170" t="s">
        <v>213</v>
      </c>
      <c r="E170" t="s">
        <v>439</v>
      </c>
      <c r="O170" s="4" t="str">
        <f t="shared" si="11"/>
        <v/>
      </c>
      <c r="U170" t="str">
        <f t="shared" si="10"/>
        <v>0x0x0</v>
      </c>
      <c r="V170">
        <f t="shared" si="9"/>
        <v>0</v>
      </c>
      <c r="W170" t="str">
        <f>VLOOKUP(V170,'Articulated Lengths'!$A$2:$B$16, 2, FALSE)</f>
        <v>na</v>
      </c>
      <c r="Y170">
        <v>10</v>
      </c>
      <c r="Z170">
        <v>10</v>
      </c>
    </row>
    <row r="171" spans="1:26" x14ac:dyDescent="0.25">
      <c r="A171" t="s">
        <v>158</v>
      </c>
      <c r="B171" t="s">
        <v>417</v>
      </c>
      <c r="C171" t="s">
        <v>213</v>
      </c>
      <c r="E171" t="s">
        <v>439</v>
      </c>
      <c r="O171" s="4" t="str">
        <f t="shared" si="11"/>
        <v/>
      </c>
      <c r="U171" t="str">
        <f t="shared" si="10"/>
        <v>0x0x0</v>
      </c>
      <c r="V171">
        <f t="shared" si="9"/>
        <v>0</v>
      </c>
      <c r="W171" t="str">
        <f>VLOOKUP(V171,'Articulated Lengths'!$A$2:$B$16, 2, FALSE)</f>
        <v>na</v>
      </c>
      <c r="Y171">
        <v>10</v>
      </c>
      <c r="Z171">
        <v>10</v>
      </c>
    </row>
    <row r="172" spans="1:26" x14ac:dyDescent="0.25">
      <c r="A172" t="s">
        <v>159</v>
      </c>
      <c r="B172" t="s">
        <v>322</v>
      </c>
      <c r="C172" t="s">
        <v>213</v>
      </c>
      <c r="E172" t="s">
        <v>439</v>
      </c>
      <c r="O172" s="4" t="str">
        <f t="shared" si="11"/>
        <v/>
      </c>
      <c r="U172" t="str">
        <f t="shared" si="10"/>
        <v>0x0x0</v>
      </c>
      <c r="V172">
        <f t="shared" si="9"/>
        <v>0</v>
      </c>
      <c r="W172" t="str">
        <f>VLOOKUP(V172,'Articulated Lengths'!$A$2:$B$16, 2, FALSE)</f>
        <v>na</v>
      </c>
      <c r="Y172">
        <v>10</v>
      </c>
      <c r="Z172">
        <v>10</v>
      </c>
    </row>
    <row r="173" spans="1:26" x14ac:dyDescent="0.25">
      <c r="A173" t="s">
        <v>160</v>
      </c>
      <c r="B173" t="s">
        <v>323</v>
      </c>
      <c r="C173" t="s">
        <v>213</v>
      </c>
      <c r="E173" t="s">
        <v>439</v>
      </c>
      <c r="O173" s="4" t="str">
        <f t="shared" si="11"/>
        <v/>
      </c>
      <c r="U173" t="str">
        <f t="shared" si="10"/>
        <v>0x0x0</v>
      </c>
      <c r="V173">
        <f t="shared" si="9"/>
        <v>0</v>
      </c>
      <c r="W173" t="str">
        <f>VLOOKUP(V173,'Articulated Lengths'!$A$2:$B$16, 2, FALSE)</f>
        <v>na</v>
      </c>
      <c r="Y173">
        <v>10</v>
      </c>
      <c r="Z173">
        <v>10</v>
      </c>
    </row>
    <row r="174" spans="1:26" x14ac:dyDescent="0.25">
      <c r="A174" t="s">
        <v>161</v>
      </c>
      <c r="B174" t="s">
        <v>324</v>
      </c>
      <c r="C174" t="s">
        <v>213</v>
      </c>
      <c r="E174" t="s">
        <v>439</v>
      </c>
      <c r="O174" s="4" t="str">
        <f t="shared" si="11"/>
        <v/>
      </c>
      <c r="U174" t="str">
        <f t="shared" si="10"/>
        <v>0x0x0</v>
      </c>
      <c r="V174">
        <f t="shared" si="9"/>
        <v>0</v>
      </c>
      <c r="W174" t="str">
        <f>VLOOKUP(V174,'Articulated Lengths'!$A$2:$B$16, 2, FALSE)</f>
        <v>na</v>
      </c>
      <c r="Y174">
        <v>10</v>
      </c>
      <c r="Z174">
        <v>10</v>
      </c>
    </row>
    <row r="175" spans="1:26" x14ac:dyDescent="0.25">
      <c r="A175" t="s">
        <v>162</v>
      </c>
      <c r="B175" t="s">
        <v>423</v>
      </c>
      <c r="C175" t="s">
        <v>213</v>
      </c>
      <c r="E175" t="s">
        <v>439</v>
      </c>
      <c r="M175">
        <v>9</v>
      </c>
      <c r="O175" s="4" t="str">
        <f t="shared" si="11"/>
        <v/>
      </c>
      <c r="U175" t="str">
        <f t="shared" si="10"/>
        <v>0x0x0</v>
      </c>
      <c r="V175">
        <f t="shared" si="9"/>
        <v>0</v>
      </c>
      <c r="W175" t="str">
        <f>VLOOKUP(V175,'Articulated Lengths'!$A$2:$B$16, 2, FALSE)</f>
        <v>na</v>
      </c>
      <c r="Y175">
        <v>10</v>
      </c>
      <c r="Z175">
        <v>10</v>
      </c>
    </row>
    <row r="176" spans="1:26" x14ac:dyDescent="0.25">
      <c r="A176" t="s">
        <v>163</v>
      </c>
      <c r="B176" t="s">
        <v>422</v>
      </c>
      <c r="C176" t="s">
        <v>214</v>
      </c>
      <c r="E176" t="s">
        <v>439</v>
      </c>
      <c r="F176">
        <v>1956</v>
      </c>
      <c r="K176">
        <v>40</v>
      </c>
      <c r="M176">
        <v>9</v>
      </c>
      <c r="O176" s="4" t="str">
        <f t="shared" si="11"/>
        <v/>
      </c>
      <c r="P176">
        <v>100</v>
      </c>
      <c r="Q176">
        <v>19.66</v>
      </c>
      <c r="R176">
        <v>2.83</v>
      </c>
      <c r="S176">
        <v>3.79</v>
      </c>
      <c r="T176">
        <v>57</v>
      </c>
      <c r="U176" t="str">
        <f t="shared" si="10"/>
        <v>212x42x56</v>
      </c>
      <c r="V176">
        <f>CEILING((Q176/57)*32,1)</f>
        <v>12</v>
      </c>
      <c r="W176" t="str">
        <f>VLOOKUP(V176,'Articulated Lengths'!$A$2:$B$16, 2, FALSE)</f>
        <v>3,6,3</v>
      </c>
      <c r="Y176">
        <v>10</v>
      </c>
      <c r="Z176">
        <v>10</v>
      </c>
    </row>
    <row r="177" spans="1:26" x14ac:dyDescent="0.25">
      <c r="A177" t="s">
        <v>164</v>
      </c>
      <c r="B177" t="s">
        <v>424</v>
      </c>
      <c r="C177" t="s">
        <v>213</v>
      </c>
      <c r="E177" t="s">
        <v>439</v>
      </c>
      <c r="O177" s="4" t="str">
        <f t="shared" si="11"/>
        <v/>
      </c>
      <c r="U177" t="str">
        <f t="shared" si="10"/>
        <v>0x0x0</v>
      </c>
      <c r="V177">
        <f t="shared" ref="V177:V198" si="12">CEILING((Q177/57)*32,1)</f>
        <v>0</v>
      </c>
      <c r="W177" t="str">
        <f>VLOOKUP(V177,'Articulated Lengths'!$A$2:$B$16, 2, FALSE)</f>
        <v>na</v>
      </c>
      <c r="Y177">
        <v>10</v>
      </c>
      <c r="Z177">
        <v>10</v>
      </c>
    </row>
    <row r="178" spans="1:26" x14ac:dyDescent="0.25">
      <c r="A178" t="s">
        <v>165</v>
      </c>
      <c r="B178" t="s">
        <v>425</v>
      </c>
      <c r="C178" t="s">
        <v>213</v>
      </c>
      <c r="E178" t="s">
        <v>439</v>
      </c>
      <c r="O178" s="4" t="str">
        <f t="shared" si="11"/>
        <v/>
      </c>
      <c r="U178" t="str">
        <f t="shared" si="10"/>
        <v>0x0x0</v>
      </c>
      <c r="V178">
        <f t="shared" si="12"/>
        <v>0</v>
      </c>
      <c r="W178" t="str">
        <f>VLOOKUP(V178,'Articulated Lengths'!$A$2:$B$16, 2, FALSE)</f>
        <v>na</v>
      </c>
      <c r="Y178">
        <v>10</v>
      </c>
      <c r="Z178">
        <v>10</v>
      </c>
    </row>
    <row r="179" spans="1:26" x14ac:dyDescent="0.25">
      <c r="A179" t="s">
        <v>166</v>
      </c>
      <c r="B179" t="s">
        <v>325</v>
      </c>
      <c r="C179" t="s">
        <v>213</v>
      </c>
      <c r="E179" t="s">
        <v>439</v>
      </c>
      <c r="O179" s="4" t="str">
        <f t="shared" si="11"/>
        <v/>
      </c>
      <c r="U179" t="str">
        <f t="shared" si="10"/>
        <v>0x0x0</v>
      </c>
      <c r="V179">
        <f t="shared" si="12"/>
        <v>0</v>
      </c>
      <c r="W179" t="str">
        <f>VLOOKUP(V179,'Articulated Lengths'!$A$2:$B$16, 2, FALSE)</f>
        <v>na</v>
      </c>
      <c r="Y179">
        <v>10</v>
      </c>
      <c r="Z179">
        <v>10</v>
      </c>
    </row>
    <row r="180" spans="1:26" x14ac:dyDescent="0.25">
      <c r="A180" t="s">
        <v>167</v>
      </c>
      <c r="B180" t="s">
        <v>326</v>
      </c>
      <c r="C180" t="s">
        <v>213</v>
      </c>
      <c r="E180" t="s">
        <v>439</v>
      </c>
      <c r="O180" s="4" t="str">
        <f t="shared" si="11"/>
        <v/>
      </c>
      <c r="U180" t="str">
        <f t="shared" si="10"/>
        <v>0x0x0</v>
      </c>
      <c r="V180">
        <f t="shared" si="12"/>
        <v>0</v>
      </c>
      <c r="W180" t="str">
        <f>VLOOKUP(V180,'Articulated Lengths'!$A$2:$B$16, 2, FALSE)</f>
        <v>na</v>
      </c>
      <c r="Y180">
        <v>10</v>
      </c>
      <c r="Z180">
        <v>10</v>
      </c>
    </row>
    <row r="181" spans="1:26" x14ac:dyDescent="0.25">
      <c r="A181" t="s">
        <v>168</v>
      </c>
      <c r="B181" t="s">
        <v>327</v>
      </c>
      <c r="C181" t="s">
        <v>213</v>
      </c>
      <c r="E181" t="s">
        <v>439</v>
      </c>
      <c r="O181" s="4" t="str">
        <f t="shared" si="11"/>
        <v/>
      </c>
      <c r="U181" t="str">
        <f t="shared" si="10"/>
        <v>0x0x0</v>
      </c>
      <c r="V181">
        <f t="shared" si="12"/>
        <v>0</v>
      </c>
      <c r="W181" t="str">
        <f>VLOOKUP(V181,'Articulated Lengths'!$A$2:$B$16, 2, FALSE)</f>
        <v>na</v>
      </c>
      <c r="Y181">
        <v>10</v>
      </c>
      <c r="Z181">
        <v>10</v>
      </c>
    </row>
    <row r="182" spans="1:26" x14ac:dyDescent="0.25">
      <c r="A182" t="s">
        <v>169</v>
      </c>
      <c r="B182" t="s">
        <v>418</v>
      </c>
      <c r="C182" t="s">
        <v>213</v>
      </c>
      <c r="E182" t="s">
        <v>439</v>
      </c>
      <c r="O182" s="4" t="str">
        <f t="shared" si="11"/>
        <v/>
      </c>
      <c r="U182" t="str">
        <f t="shared" si="10"/>
        <v>0x0x0</v>
      </c>
      <c r="V182">
        <f t="shared" si="12"/>
        <v>0</v>
      </c>
      <c r="W182" t="str">
        <f>VLOOKUP(V182,'Articulated Lengths'!$A$2:$B$16, 2, FALSE)</f>
        <v>na</v>
      </c>
      <c r="Y182">
        <v>10</v>
      </c>
      <c r="Z182">
        <v>10</v>
      </c>
    </row>
    <row r="183" spans="1:26" x14ac:dyDescent="0.25">
      <c r="A183" t="s">
        <v>170</v>
      </c>
      <c r="B183" t="s">
        <v>419</v>
      </c>
      <c r="C183" t="s">
        <v>213</v>
      </c>
      <c r="E183" t="s">
        <v>439</v>
      </c>
      <c r="O183" s="4" t="str">
        <f t="shared" si="11"/>
        <v/>
      </c>
      <c r="U183" t="str">
        <f t="shared" si="10"/>
        <v>0x0x0</v>
      </c>
      <c r="V183">
        <f t="shared" si="12"/>
        <v>0</v>
      </c>
      <c r="W183" t="str">
        <f>VLOOKUP(V183,'Articulated Lengths'!$A$2:$B$16, 2, FALSE)</f>
        <v>na</v>
      </c>
      <c r="Y183">
        <v>10</v>
      </c>
      <c r="Z183">
        <v>10</v>
      </c>
    </row>
    <row r="184" spans="1:26" x14ac:dyDescent="0.25">
      <c r="A184" t="s">
        <v>171</v>
      </c>
      <c r="B184" t="s">
        <v>328</v>
      </c>
      <c r="C184" t="s">
        <v>213</v>
      </c>
      <c r="E184" t="s">
        <v>439</v>
      </c>
      <c r="O184" s="4" t="str">
        <f t="shared" si="11"/>
        <v/>
      </c>
      <c r="U184" t="str">
        <f t="shared" si="10"/>
        <v>0x0x0</v>
      </c>
      <c r="V184">
        <f t="shared" si="12"/>
        <v>0</v>
      </c>
      <c r="W184" t="str">
        <f>VLOOKUP(V184,'Articulated Lengths'!$A$2:$B$16, 2, FALSE)</f>
        <v>na</v>
      </c>
      <c r="Y184">
        <v>10</v>
      </c>
      <c r="Z184">
        <v>10</v>
      </c>
    </row>
    <row r="185" spans="1:26" x14ac:dyDescent="0.25">
      <c r="A185" t="s">
        <v>172</v>
      </c>
      <c r="B185" t="s">
        <v>329</v>
      </c>
      <c r="C185" t="s">
        <v>213</v>
      </c>
      <c r="E185" t="s">
        <v>439</v>
      </c>
      <c r="O185" s="4" t="str">
        <f t="shared" si="11"/>
        <v/>
      </c>
      <c r="U185" t="str">
        <f t="shared" si="10"/>
        <v>0x0x0</v>
      </c>
      <c r="V185">
        <f t="shared" si="12"/>
        <v>0</v>
      </c>
      <c r="W185" t="str">
        <f>VLOOKUP(V185,'Articulated Lengths'!$A$2:$B$16, 2, FALSE)</f>
        <v>na</v>
      </c>
      <c r="Y185">
        <v>10</v>
      </c>
      <c r="Z185">
        <v>10</v>
      </c>
    </row>
    <row r="186" spans="1:26" x14ac:dyDescent="0.25">
      <c r="A186" t="s">
        <v>173</v>
      </c>
      <c r="B186" t="s">
        <v>420</v>
      </c>
      <c r="C186" t="s">
        <v>213</v>
      </c>
      <c r="E186" t="s">
        <v>439</v>
      </c>
      <c r="O186" s="4" t="str">
        <f t="shared" si="11"/>
        <v/>
      </c>
      <c r="U186" t="str">
        <f t="shared" si="10"/>
        <v>0x0x0</v>
      </c>
      <c r="V186">
        <f t="shared" si="12"/>
        <v>0</v>
      </c>
      <c r="W186" t="str">
        <f>VLOOKUP(V186,'Articulated Lengths'!$A$2:$B$16, 2, FALSE)</f>
        <v>na</v>
      </c>
      <c r="Y186">
        <v>10</v>
      </c>
      <c r="Z186">
        <v>10</v>
      </c>
    </row>
    <row r="187" spans="1:26" x14ac:dyDescent="0.25">
      <c r="A187" t="s">
        <v>174</v>
      </c>
      <c r="B187" t="s">
        <v>421</v>
      </c>
      <c r="C187" t="s">
        <v>213</v>
      </c>
      <c r="E187" t="s">
        <v>439</v>
      </c>
      <c r="O187" s="4" t="str">
        <f t="shared" si="11"/>
        <v/>
      </c>
      <c r="U187" t="str">
        <f t="shared" si="10"/>
        <v>0x0x0</v>
      </c>
      <c r="V187">
        <f t="shared" si="12"/>
        <v>0</v>
      </c>
      <c r="W187" t="str">
        <f>VLOOKUP(V187,'Articulated Lengths'!$A$2:$B$16, 2, FALSE)</f>
        <v>na</v>
      </c>
      <c r="Y187">
        <v>10</v>
      </c>
      <c r="Z187">
        <v>10</v>
      </c>
    </row>
    <row r="188" spans="1:26" x14ac:dyDescent="0.25">
      <c r="A188" t="s">
        <v>175</v>
      </c>
      <c r="B188" t="s">
        <v>330</v>
      </c>
      <c r="C188" t="s">
        <v>213</v>
      </c>
      <c r="E188" t="s">
        <v>439</v>
      </c>
      <c r="O188" s="4" t="str">
        <f t="shared" si="11"/>
        <v/>
      </c>
      <c r="U188" t="str">
        <f t="shared" si="10"/>
        <v>0x0x0</v>
      </c>
      <c r="V188">
        <f t="shared" si="12"/>
        <v>0</v>
      </c>
      <c r="W188" t="str">
        <f>VLOOKUP(V188,'Articulated Lengths'!$A$2:$B$16, 2, FALSE)</f>
        <v>na</v>
      </c>
      <c r="Y188">
        <v>10</v>
      </c>
      <c r="Z188">
        <v>10</v>
      </c>
    </row>
    <row r="189" spans="1:26" x14ac:dyDescent="0.25">
      <c r="A189" t="s">
        <v>176</v>
      </c>
      <c r="B189" t="s">
        <v>331</v>
      </c>
      <c r="C189" t="s">
        <v>213</v>
      </c>
      <c r="E189" t="s">
        <v>439</v>
      </c>
      <c r="O189" s="4" t="str">
        <f t="shared" si="11"/>
        <v/>
      </c>
      <c r="U189" t="str">
        <f t="shared" si="10"/>
        <v>0x0x0</v>
      </c>
      <c r="V189">
        <f t="shared" si="12"/>
        <v>0</v>
      </c>
      <c r="W189" t="str">
        <f>VLOOKUP(V189,'Articulated Lengths'!$A$2:$B$16, 2, FALSE)</f>
        <v>na</v>
      </c>
      <c r="Y189">
        <v>10</v>
      </c>
      <c r="Z189">
        <v>10</v>
      </c>
    </row>
    <row r="190" spans="1:26" x14ac:dyDescent="0.25">
      <c r="A190" t="s">
        <v>177</v>
      </c>
      <c r="B190" t="s">
        <v>332</v>
      </c>
      <c r="C190" t="s">
        <v>213</v>
      </c>
      <c r="E190" t="s">
        <v>439</v>
      </c>
      <c r="O190" s="4" t="str">
        <f t="shared" si="11"/>
        <v/>
      </c>
      <c r="U190" t="str">
        <f t="shared" si="10"/>
        <v>0x0x0</v>
      </c>
      <c r="V190">
        <f t="shared" si="12"/>
        <v>0</v>
      </c>
      <c r="W190" t="str">
        <f>VLOOKUP(V190,'Articulated Lengths'!$A$2:$B$16, 2, FALSE)</f>
        <v>na</v>
      </c>
      <c r="Y190">
        <v>10</v>
      </c>
      <c r="Z190">
        <v>10</v>
      </c>
    </row>
    <row r="191" spans="1:26" x14ac:dyDescent="0.25">
      <c r="A191" t="s">
        <v>178</v>
      </c>
      <c r="B191" t="s">
        <v>333</v>
      </c>
      <c r="C191" t="s">
        <v>213</v>
      </c>
      <c r="E191" t="s">
        <v>439</v>
      </c>
      <c r="O191" s="4" t="str">
        <f t="shared" si="11"/>
        <v/>
      </c>
      <c r="U191" t="str">
        <f t="shared" si="10"/>
        <v>0x0x0</v>
      </c>
      <c r="V191">
        <f t="shared" si="12"/>
        <v>0</v>
      </c>
      <c r="W191" t="str">
        <f>VLOOKUP(V191,'Articulated Lengths'!$A$2:$B$16, 2, FALSE)</f>
        <v>na</v>
      </c>
      <c r="Y191">
        <v>10</v>
      </c>
      <c r="Z191">
        <v>10</v>
      </c>
    </row>
    <row r="192" spans="1:26" x14ac:dyDescent="0.25">
      <c r="A192" t="s">
        <v>179</v>
      </c>
      <c r="B192" t="s">
        <v>334</v>
      </c>
      <c r="C192" t="s">
        <v>213</v>
      </c>
      <c r="E192" t="s">
        <v>439</v>
      </c>
      <c r="O192" s="4" t="str">
        <f t="shared" si="11"/>
        <v/>
      </c>
      <c r="U192" t="str">
        <f t="shared" si="10"/>
        <v>0x0x0</v>
      </c>
      <c r="V192">
        <f t="shared" si="12"/>
        <v>0</v>
      </c>
      <c r="W192" t="str">
        <f>VLOOKUP(V192,'Articulated Lengths'!$A$2:$B$16, 2, FALSE)</f>
        <v>na</v>
      </c>
      <c r="Y192">
        <v>10</v>
      </c>
      <c r="Z192">
        <v>10</v>
      </c>
    </row>
    <row r="193" spans="1:26" x14ac:dyDescent="0.25">
      <c r="A193" t="s">
        <v>180</v>
      </c>
      <c r="B193" t="s">
        <v>335</v>
      </c>
      <c r="C193" t="s">
        <v>213</v>
      </c>
      <c r="E193" t="s">
        <v>439</v>
      </c>
      <c r="O193" s="4" t="str">
        <f t="shared" si="11"/>
        <v/>
      </c>
      <c r="U193" t="str">
        <f t="shared" si="10"/>
        <v>0x0x0</v>
      </c>
      <c r="V193">
        <f t="shared" si="12"/>
        <v>0</v>
      </c>
      <c r="W193" t="str">
        <f>VLOOKUP(V193,'Articulated Lengths'!$A$2:$B$16, 2, FALSE)</f>
        <v>na</v>
      </c>
      <c r="Y193">
        <v>10</v>
      </c>
      <c r="Z193">
        <v>10</v>
      </c>
    </row>
    <row r="194" spans="1:26" x14ac:dyDescent="0.25">
      <c r="A194" t="s">
        <v>181</v>
      </c>
      <c r="B194" t="s">
        <v>336</v>
      </c>
      <c r="C194" t="s">
        <v>213</v>
      </c>
      <c r="E194" t="s">
        <v>439</v>
      </c>
      <c r="O194" s="4" t="str">
        <f t="shared" si="11"/>
        <v/>
      </c>
      <c r="U194" t="str">
        <f t="shared" si="10"/>
        <v>0x0x0</v>
      </c>
      <c r="V194">
        <f t="shared" si="12"/>
        <v>0</v>
      </c>
      <c r="W194" t="str">
        <f>VLOOKUP(V194,'Articulated Lengths'!$A$2:$B$16, 2, FALSE)</f>
        <v>na</v>
      </c>
      <c r="Y194">
        <v>10</v>
      </c>
      <c r="Z194">
        <v>10</v>
      </c>
    </row>
    <row r="195" spans="1:26" x14ac:dyDescent="0.25">
      <c r="A195" t="s">
        <v>182</v>
      </c>
      <c r="B195" t="s">
        <v>337</v>
      </c>
      <c r="C195" t="s">
        <v>213</v>
      </c>
      <c r="E195" t="s">
        <v>439</v>
      </c>
      <c r="O195" s="4" t="str">
        <f t="shared" si="11"/>
        <v/>
      </c>
      <c r="U195" t="str">
        <f t="shared" si="10"/>
        <v>0x0x0</v>
      </c>
      <c r="V195">
        <f t="shared" si="12"/>
        <v>0</v>
      </c>
      <c r="W195" t="str">
        <f>VLOOKUP(V195,'Articulated Lengths'!$A$2:$B$16, 2, FALSE)</f>
        <v>na</v>
      </c>
      <c r="Y195">
        <v>10</v>
      </c>
      <c r="Z195">
        <v>10</v>
      </c>
    </row>
    <row r="196" spans="1:26" x14ac:dyDescent="0.25">
      <c r="A196" t="s">
        <v>183</v>
      </c>
      <c r="B196" t="s">
        <v>338</v>
      </c>
      <c r="C196" t="s">
        <v>213</v>
      </c>
      <c r="E196" t="s">
        <v>439</v>
      </c>
      <c r="O196" s="4" t="str">
        <f t="shared" si="11"/>
        <v/>
      </c>
      <c r="U196" t="str">
        <f t="shared" si="10"/>
        <v>0x0x0</v>
      </c>
      <c r="V196">
        <f t="shared" si="12"/>
        <v>0</v>
      </c>
      <c r="W196" t="str">
        <f>VLOOKUP(V196,'Articulated Lengths'!$A$2:$B$16, 2, FALSE)</f>
        <v>na</v>
      </c>
      <c r="Y196">
        <v>10</v>
      </c>
      <c r="Z196">
        <v>10</v>
      </c>
    </row>
    <row r="197" spans="1:26" x14ac:dyDescent="0.25">
      <c r="A197" t="s">
        <v>184</v>
      </c>
      <c r="B197" t="s">
        <v>339</v>
      </c>
      <c r="C197" t="s">
        <v>213</v>
      </c>
      <c r="E197" t="s">
        <v>439</v>
      </c>
      <c r="O197" s="4" t="str">
        <f t="shared" si="11"/>
        <v/>
      </c>
      <c r="U197" t="str">
        <f t="shared" si="10"/>
        <v>0x0x0</v>
      </c>
      <c r="V197">
        <f t="shared" si="12"/>
        <v>0</v>
      </c>
      <c r="W197" t="str">
        <f>VLOOKUP(V197,'Articulated Lengths'!$A$2:$B$16, 2, FALSE)</f>
        <v>na</v>
      </c>
      <c r="Y197">
        <v>10</v>
      </c>
      <c r="Z197">
        <v>10</v>
      </c>
    </row>
    <row r="198" spans="1:26" x14ac:dyDescent="0.25">
      <c r="A198" t="s">
        <v>185</v>
      </c>
      <c r="B198" t="s">
        <v>340</v>
      </c>
      <c r="C198" t="s">
        <v>213</v>
      </c>
      <c r="E198" t="s">
        <v>439</v>
      </c>
      <c r="O198" s="4" t="str">
        <f t="shared" si="11"/>
        <v/>
      </c>
      <c r="U198" t="str">
        <f t="shared" si="10"/>
        <v>0x0x0</v>
      </c>
      <c r="V198">
        <f t="shared" si="12"/>
        <v>0</v>
      </c>
      <c r="W198" t="str">
        <f>VLOOKUP(V198,'Articulated Lengths'!$A$2:$B$16, 2, FALSE)</f>
        <v>na</v>
      </c>
      <c r="Y198">
        <v>10</v>
      </c>
      <c r="Z198">
        <v>10</v>
      </c>
    </row>
  </sheetData>
  <sortState xmlns:xlrd2="http://schemas.microsoft.com/office/spreadsheetml/2017/richdata2" ref="A2:T198">
    <sortCondition ref="F2:F198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>
      <selection activeCell="B7" sqref="B7"/>
    </sheetView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389</v>
      </c>
      <c r="B1" s="1" t="s">
        <v>390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391</v>
      </c>
    </row>
    <row r="4" spans="1:2" x14ac:dyDescent="0.25">
      <c r="A4">
        <v>4</v>
      </c>
      <c r="B4" t="s">
        <v>392</v>
      </c>
    </row>
    <row r="5" spans="1:2" x14ac:dyDescent="0.25">
      <c r="A5">
        <v>5</v>
      </c>
      <c r="B5" t="s">
        <v>393</v>
      </c>
    </row>
    <row r="6" spans="1:2" x14ac:dyDescent="0.25">
      <c r="A6">
        <v>6</v>
      </c>
      <c r="B6" t="s">
        <v>394</v>
      </c>
    </row>
    <row r="7" spans="1:2" x14ac:dyDescent="0.25">
      <c r="A7">
        <v>7</v>
      </c>
      <c r="B7" t="s">
        <v>395</v>
      </c>
    </row>
    <row r="8" spans="1:2" x14ac:dyDescent="0.25">
      <c r="A8">
        <v>8</v>
      </c>
      <c r="B8" t="s">
        <v>396</v>
      </c>
    </row>
    <row r="9" spans="1:2" x14ac:dyDescent="0.25">
      <c r="A9">
        <v>9</v>
      </c>
      <c r="B9" t="s">
        <v>399</v>
      </c>
    </row>
    <row r="10" spans="1:2" x14ac:dyDescent="0.25">
      <c r="A10">
        <v>10</v>
      </c>
      <c r="B10" t="s">
        <v>397</v>
      </c>
    </row>
    <row r="11" spans="1:2" x14ac:dyDescent="0.25">
      <c r="A11">
        <v>11</v>
      </c>
      <c r="B11" t="s">
        <v>398</v>
      </c>
    </row>
    <row r="12" spans="1:2" x14ac:dyDescent="0.25">
      <c r="A12">
        <v>12</v>
      </c>
      <c r="B12" t="s">
        <v>400</v>
      </c>
    </row>
    <row r="13" spans="1:2" x14ac:dyDescent="0.25">
      <c r="A13">
        <v>13</v>
      </c>
      <c r="B13" t="s">
        <v>401</v>
      </c>
    </row>
    <row r="14" spans="1:2" x14ac:dyDescent="0.25">
      <c r="A14">
        <v>14</v>
      </c>
      <c r="B14" t="s">
        <v>402</v>
      </c>
    </row>
    <row r="15" spans="1:2" x14ac:dyDescent="0.25">
      <c r="A15">
        <v>15</v>
      </c>
      <c r="B15" t="s">
        <v>403</v>
      </c>
    </row>
    <row r="16" spans="1:2" x14ac:dyDescent="0.25">
      <c r="A16">
        <v>16</v>
      </c>
      <c r="B16" t="s">
        <v>404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Articulated Lengths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2020-06-06T22:49:36Z</dcterms:modified>
</cp:coreProperties>
</file>