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0EA82DF-44CA-450B-B105-59B5976122DC}" xr6:coauthVersionLast="47" xr6:coauthVersionMax="47" xr10:uidLastSave="{00000000-0000-0000-0000-000000000000}"/>
  <bookViews>
    <workbookView xWindow="7170" yWindow="1740" windowWidth="21600" windowHeight="1129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Table!$A$1:$CA$302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27" i="1" l="1"/>
  <c r="AA28" i="1"/>
  <c r="AA29" i="1"/>
  <c r="AA30" i="1"/>
  <c r="AA31" i="1"/>
  <c r="AA32" i="1"/>
  <c r="AA33" i="1"/>
  <c r="AA34" i="1"/>
  <c r="AA35" i="1"/>
  <c r="AA36" i="1"/>
  <c r="AA37"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38" i="1"/>
  <c r="AA39" i="1"/>
  <c r="AA40" i="1"/>
  <c r="AA41" i="1"/>
  <c r="AA42" i="1"/>
  <c r="AA43" i="1"/>
  <c r="AA44" i="1"/>
  <c r="AA45"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90" i="1"/>
  <c r="AA91" i="1"/>
  <c r="AA92" i="1"/>
  <c r="AA93" i="1"/>
  <c r="AA283" i="1"/>
  <c r="AA284" i="1"/>
  <c r="AA285" i="1"/>
  <c r="AA286" i="1"/>
  <c r="AA287" i="1"/>
  <c r="AA288" i="1"/>
  <c r="AA289" i="1"/>
  <c r="AA290" i="1"/>
  <c r="AA291" i="1"/>
  <c r="AA292" i="1"/>
  <c r="AA293" i="1"/>
  <c r="AA294" i="1"/>
  <c r="AA295" i="1"/>
  <c r="AA296" i="1"/>
  <c r="AA297" i="1"/>
  <c r="AA298" i="1"/>
  <c r="AA299" i="1"/>
  <c r="AA300" i="1"/>
  <c r="AA301" i="1"/>
  <c r="AA302" i="1"/>
  <c r="AA26" i="1"/>
  <c r="CB282" i="1"/>
  <c r="N28" i="2"/>
  <c r="BW282" i="1"/>
  <c r="BE282" i="1"/>
  <c r="BF282" i="1"/>
  <c r="BD282" i="1"/>
  <c r="AJ282" i="1"/>
  <c r="AI282" i="1" s="1"/>
  <c r="AZ282" i="1"/>
  <c r="Y282" i="1"/>
  <c r="BB282" i="1"/>
  <c r="BA282" i="1"/>
  <c r="BZ282" i="1"/>
  <c r="AW282" i="1"/>
  <c r="BC282" i="1"/>
  <c r="BX282" i="1"/>
  <c r="BD301" i="1"/>
  <c r="AD301" i="1"/>
  <c r="CB301" i="1"/>
  <c r="BZ301" i="1"/>
  <c r="BX301" i="1"/>
  <c r="BU301" i="1"/>
  <c r="BW301" i="1" s="1"/>
  <c r="BF301" i="1"/>
  <c r="BE301" i="1"/>
  <c r="BC301" i="1"/>
  <c r="BB301" i="1"/>
  <c r="BA301" i="1"/>
  <c r="AZ301" i="1"/>
  <c r="AW301" i="1"/>
  <c r="AJ301" i="1"/>
  <c r="AL301" i="1" s="1"/>
  <c r="Y301" i="1"/>
  <c r="N27" i="2"/>
  <c r="AW3" i="1"/>
  <c r="AW4" i="1"/>
  <c r="AW5" i="1"/>
  <c r="AW6" i="1"/>
  <c r="AW7" i="1"/>
  <c r="AW8"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38" i="1"/>
  <c r="AW39" i="1"/>
  <c r="AW40" i="1"/>
  <c r="AW41" i="1"/>
  <c r="AW42" i="1"/>
  <c r="AW43" i="1"/>
  <c r="AW44" i="1"/>
  <c r="AW45"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90" i="1"/>
  <c r="AW91" i="1"/>
  <c r="AW92" i="1"/>
  <c r="AW93" i="1"/>
  <c r="AW283" i="1"/>
  <c r="AW284" i="1"/>
  <c r="AW285" i="1"/>
  <c r="AW286" i="1"/>
  <c r="AW287" i="1"/>
  <c r="AW288" i="1"/>
  <c r="AW289" i="1"/>
  <c r="AW290" i="1"/>
  <c r="AW291" i="1"/>
  <c r="AW292" i="1"/>
  <c r="AW293" i="1"/>
  <c r="AW294" i="1"/>
  <c r="AW295" i="1"/>
  <c r="AW296" i="1"/>
  <c r="AW297" i="1"/>
  <c r="AW298" i="1"/>
  <c r="AW299" i="1"/>
  <c r="AW300" i="1"/>
  <c r="AW302" i="1"/>
  <c r="AW2" i="1"/>
  <c r="N26" i="2"/>
  <c r="CB117" i="1"/>
  <c r="BZ117" i="1"/>
  <c r="BX117" i="1"/>
  <c r="BU117" i="1"/>
  <c r="BW117" i="1" s="1"/>
  <c r="BF117" i="1"/>
  <c r="BE117" i="1"/>
  <c r="BD117" i="1"/>
  <c r="BC117" i="1"/>
  <c r="BB117" i="1"/>
  <c r="BA117" i="1"/>
  <c r="AZ117" i="1"/>
  <c r="AJ117" i="1"/>
  <c r="Y117" i="1"/>
  <c r="R117" i="1"/>
  <c r="T117" i="1" s="1"/>
  <c r="CB9" i="1"/>
  <c r="BZ9" i="1"/>
  <c r="BX9" i="1"/>
  <c r="BU9" i="1"/>
  <c r="BW9" i="1" s="1"/>
  <c r="BF9" i="1"/>
  <c r="BE9" i="1"/>
  <c r="BD9" i="1"/>
  <c r="BC9" i="1"/>
  <c r="BB9" i="1"/>
  <c r="BA9" i="1"/>
  <c r="AZ9" i="1"/>
  <c r="AJ9" i="1"/>
  <c r="AL9" i="1" s="1"/>
  <c r="Y9" i="1"/>
  <c r="CB105" i="1"/>
  <c r="BZ105" i="1"/>
  <c r="BX105" i="1"/>
  <c r="BU105" i="1"/>
  <c r="BW105" i="1" s="1"/>
  <c r="BF105" i="1"/>
  <c r="BE105" i="1"/>
  <c r="BD105" i="1"/>
  <c r="BC105" i="1"/>
  <c r="BB105" i="1"/>
  <c r="BA105" i="1"/>
  <c r="AZ105" i="1"/>
  <c r="AJ105" i="1"/>
  <c r="AI105" i="1" s="1"/>
  <c r="Y105" i="1"/>
  <c r="R105" i="1"/>
  <c r="T105" i="1" s="1"/>
  <c r="CB108" i="1"/>
  <c r="BW108" i="1"/>
  <c r="BF108" i="1"/>
  <c r="BE108" i="1"/>
  <c r="BD108" i="1"/>
  <c r="BA108" i="1"/>
  <c r="AJ108" i="1"/>
  <c r="AI108" i="1" s="1"/>
  <c r="AZ108" i="1"/>
  <c r="Y108" i="1"/>
  <c r="BB108" i="1"/>
  <c r="R108" i="1"/>
  <c r="T108" i="1" s="1"/>
  <c r="BC108" i="1"/>
  <c r="BX108" i="1"/>
  <c r="CB293" i="1"/>
  <c r="BZ293" i="1"/>
  <c r="BX293" i="1"/>
  <c r="BU293" i="1"/>
  <c r="BW293" i="1" s="1"/>
  <c r="BF293" i="1"/>
  <c r="BE293" i="1"/>
  <c r="BD293" i="1"/>
  <c r="BC293" i="1"/>
  <c r="BB293" i="1"/>
  <c r="BA293" i="1"/>
  <c r="AZ293" i="1"/>
  <c r="AJ293" i="1"/>
  <c r="AL293" i="1" s="1"/>
  <c r="U293" i="1"/>
  <c r="Y293" i="1" s="1"/>
  <c r="AL105" i="1" l="1"/>
  <c r="AL282" i="1"/>
  <c r="BY282" i="1"/>
  <c r="CC282" i="1" s="1"/>
  <c r="BG282" i="1"/>
  <c r="BI282" i="1" s="1"/>
  <c r="BH282" i="1"/>
  <c r="BJ282" i="1" s="1"/>
  <c r="AI301" i="1"/>
  <c r="BH301" i="1"/>
  <c r="BJ301" i="1" s="1"/>
  <c r="BG301" i="1"/>
  <c r="BI301" i="1" s="1"/>
  <c r="BH117" i="1"/>
  <c r="BJ117" i="1" s="1"/>
  <c r="AI117" i="1"/>
  <c r="BH9" i="1"/>
  <c r="BJ9" i="1" s="1"/>
  <c r="BG117" i="1"/>
  <c r="BI117" i="1" s="1"/>
  <c r="AI9" i="1"/>
  <c r="BG9" i="1"/>
  <c r="BI9" i="1" s="1"/>
  <c r="BG105" i="1"/>
  <c r="BI105" i="1" s="1"/>
  <c r="BH105" i="1"/>
  <c r="BJ105" i="1" s="1"/>
  <c r="BH108" i="1"/>
  <c r="BJ108" i="1" s="1"/>
  <c r="BG108" i="1"/>
  <c r="BI108" i="1" s="1"/>
  <c r="BH293" i="1"/>
  <c r="BJ293" i="1" s="1"/>
  <c r="BG293" i="1"/>
  <c r="BI293" i="1" s="1"/>
  <c r="AI293" i="1"/>
  <c r="U284" i="1" l="1"/>
  <c r="N25" i="2" l="1"/>
  <c r="BU302" i="1" l="1"/>
  <c r="BW302" i="1" s="1"/>
  <c r="CB302" i="1"/>
  <c r="BF302" i="1"/>
  <c r="BE302" i="1"/>
  <c r="BD302" i="1"/>
  <c r="AJ302" i="1"/>
  <c r="AL302" i="1" s="1"/>
  <c r="AZ302" i="1"/>
  <c r="Y302" i="1"/>
  <c r="BB302" i="1"/>
  <c r="BA302" i="1"/>
  <c r="BZ302" i="1"/>
  <c r="BC302" i="1"/>
  <c r="BX302" i="1"/>
  <c r="AI302" i="1" l="1"/>
  <c r="BH302" i="1"/>
  <c r="BJ302" i="1" s="1"/>
  <c r="BG302" i="1"/>
  <c r="BI302" i="1" s="1"/>
  <c r="N24" i="2"/>
  <c r="U300" i="1" l="1"/>
  <c r="Y300" i="1" s="1"/>
  <c r="CB300" i="1"/>
  <c r="BZ300" i="1"/>
  <c r="BX300" i="1"/>
  <c r="BU300" i="1"/>
  <c r="BW300" i="1" s="1"/>
  <c r="BF300" i="1"/>
  <c r="BE300" i="1"/>
  <c r="BD300" i="1"/>
  <c r="BC300" i="1"/>
  <c r="BB300" i="1"/>
  <c r="BA300" i="1"/>
  <c r="AZ300" i="1"/>
  <c r="AJ300" i="1"/>
  <c r="AL300" i="1" s="1"/>
  <c r="AI300" i="1" l="1"/>
  <c r="BH300" i="1"/>
  <c r="BJ300" i="1" s="1"/>
  <c r="BG300" i="1"/>
  <c r="BI300" i="1" s="1"/>
  <c r="U298" i="1"/>
  <c r="CB237" i="1"/>
  <c r="BZ237" i="1"/>
  <c r="BX237" i="1"/>
  <c r="BU237" i="1"/>
  <c r="BW237" i="1" s="1"/>
  <c r="BF237" i="1"/>
  <c r="BE237" i="1"/>
  <c r="BD237" i="1"/>
  <c r="BC237" i="1"/>
  <c r="BB237" i="1"/>
  <c r="AZ237" i="1"/>
  <c r="AJ237" i="1"/>
  <c r="AL237" i="1" s="1"/>
  <c r="Y237" i="1"/>
  <c r="BA237" i="1"/>
  <c r="U297" i="1"/>
  <c r="AI237" i="1" l="1"/>
  <c r="BH237" i="1"/>
  <c r="BJ237" i="1" s="1"/>
  <c r="BG237" i="1"/>
  <c r="BI237" i="1" s="1"/>
  <c r="U296" i="1"/>
  <c r="U294" i="1" l="1"/>
  <c r="BX290" i="1"/>
  <c r="U295" i="1"/>
  <c r="U292" i="1"/>
  <c r="BD291" i="1" l="1"/>
  <c r="U291" i="1"/>
  <c r="U290" i="1"/>
  <c r="N23" i="2" l="1"/>
  <c r="U287" i="1"/>
  <c r="BY301" i="1" l="1"/>
  <c r="CC301" i="1" s="1"/>
  <c r="BY293" i="1"/>
  <c r="CC293" i="1" s="1"/>
  <c r="BY302" i="1"/>
  <c r="CC302" i="1" s="1"/>
  <c r="BY300" i="1"/>
  <c r="CC300" i="1" s="1"/>
  <c r="CB144" i="1"/>
  <c r="BZ144" i="1"/>
  <c r="BX144" i="1"/>
  <c r="BU144" i="1"/>
  <c r="BW144" i="1" s="1"/>
  <c r="BF144" i="1"/>
  <c r="BE144" i="1"/>
  <c r="BD144" i="1"/>
  <c r="BC144" i="1"/>
  <c r="BB144" i="1"/>
  <c r="BA144" i="1"/>
  <c r="AZ144" i="1"/>
  <c r="AJ144" i="1"/>
  <c r="AI144" i="1" s="1"/>
  <c r="Y144" i="1"/>
  <c r="BH144" i="1" l="1"/>
  <c r="BJ144" i="1" s="1"/>
  <c r="BG144" i="1"/>
  <c r="BI144" i="1" s="1"/>
  <c r="R106" i="1"/>
  <c r="T106" i="1" s="1"/>
  <c r="CB97" i="1"/>
  <c r="BZ97" i="1"/>
  <c r="BX97" i="1"/>
  <c r="BU97" i="1"/>
  <c r="BW97" i="1" s="1"/>
  <c r="BF97" i="1"/>
  <c r="BE97" i="1"/>
  <c r="BD97" i="1"/>
  <c r="BC97" i="1"/>
  <c r="BB97" i="1"/>
  <c r="BA97" i="1"/>
  <c r="AZ97" i="1"/>
  <c r="AJ97" i="1"/>
  <c r="AL97" i="1" s="1"/>
  <c r="Y97" i="1"/>
  <c r="AI97" i="1" l="1"/>
  <c r="BH97" i="1"/>
  <c r="BJ97" i="1" s="1"/>
  <c r="BG97" i="1"/>
  <c r="BI97" i="1" s="1"/>
  <c r="CB95" i="1"/>
  <c r="BZ95" i="1"/>
  <c r="BX95" i="1"/>
  <c r="BU95" i="1"/>
  <c r="BW95" i="1" s="1"/>
  <c r="BF95" i="1"/>
  <c r="BE95" i="1"/>
  <c r="BD95" i="1"/>
  <c r="BC95" i="1"/>
  <c r="BB95" i="1"/>
  <c r="BA95" i="1"/>
  <c r="AZ95" i="1"/>
  <c r="AJ95" i="1"/>
  <c r="AL95" i="1" s="1"/>
  <c r="Y95" i="1"/>
  <c r="R96" i="1"/>
  <c r="T96" i="1" s="1"/>
  <c r="Y96" i="1"/>
  <c r="AJ96" i="1"/>
  <c r="AI96" i="1" s="1"/>
  <c r="AZ96" i="1"/>
  <c r="BA96" i="1"/>
  <c r="BB96" i="1"/>
  <c r="BC96" i="1"/>
  <c r="BD96" i="1"/>
  <c r="BE96" i="1"/>
  <c r="BF96" i="1"/>
  <c r="BU96" i="1"/>
  <c r="BW96" i="1" s="1"/>
  <c r="BX96" i="1"/>
  <c r="BZ96" i="1"/>
  <c r="CB96" i="1"/>
  <c r="N22" i="2"/>
  <c r="BY97" i="1" s="1"/>
  <c r="CC97" i="1" s="1"/>
  <c r="CB94" i="1"/>
  <c r="BZ94" i="1"/>
  <c r="BX94" i="1"/>
  <c r="BU94" i="1"/>
  <c r="BW94" i="1" s="1"/>
  <c r="BF94" i="1"/>
  <c r="BE94" i="1"/>
  <c r="BD94" i="1"/>
  <c r="BC94" i="1"/>
  <c r="BB94" i="1"/>
  <c r="BA94" i="1"/>
  <c r="AZ94" i="1"/>
  <c r="AJ94" i="1"/>
  <c r="AL94" i="1" s="1"/>
  <c r="Y94" i="1"/>
  <c r="N21" i="2"/>
  <c r="N20" i="2"/>
  <c r="CB3" i="1"/>
  <c r="BZ3" i="1"/>
  <c r="BX3" i="1"/>
  <c r="BU3" i="1"/>
  <c r="BW3" i="1" s="1"/>
  <c r="BF3" i="1"/>
  <c r="BE3" i="1"/>
  <c r="BD3" i="1"/>
  <c r="BC3" i="1"/>
  <c r="BB3" i="1"/>
  <c r="BA3" i="1"/>
  <c r="AZ3" i="1"/>
  <c r="AJ3" i="1"/>
  <c r="Y3" i="1"/>
  <c r="CB38" i="1"/>
  <c r="BZ38" i="1"/>
  <c r="BX38" i="1"/>
  <c r="BU38" i="1"/>
  <c r="BW38" i="1" s="1"/>
  <c r="BF38" i="1"/>
  <c r="BE38" i="1"/>
  <c r="BD38" i="1"/>
  <c r="BC38" i="1"/>
  <c r="BB38" i="1"/>
  <c r="BA38" i="1"/>
  <c r="AZ38" i="1"/>
  <c r="AJ38" i="1"/>
  <c r="AL38" i="1" s="1"/>
  <c r="Y38" i="1"/>
  <c r="CB26" i="1"/>
  <c r="BZ26" i="1"/>
  <c r="BX26" i="1"/>
  <c r="BU26" i="1"/>
  <c r="BW26" i="1" s="1"/>
  <c r="BF26" i="1"/>
  <c r="BE26" i="1"/>
  <c r="BD26" i="1"/>
  <c r="BC26" i="1"/>
  <c r="BB26" i="1"/>
  <c r="BA26" i="1"/>
  <c r="AZ26" i="1"/>
  <c r="AJ26" i="1"/>
  <c r="AL26" i="1" s="1"/>
  <c r="Y26" i="1"/>
  <c r="CB4" i="1"/>
  <c r="BZ4" i="1"/>
  <c r="BX4" i="1"/>
  <c r="BU4" i="1"/>
  <c r="BW4" i="1" s="1"/>
  <c r="BF4" i="1"/>
  <c r="BE4" i="1"/>
  <c r="BD4" i="1"/>
  <c r="BC4" i="1"/>
  <c r="BB4" i="1"/>
  <c r="BA4" i="1"/>
  <c r="AZ4" i="1"/>
  <c r="AJ4" i="1"/>
  <c r="AL4" i="1" s="1"/>
  <c r="Y4" i="1"/>
  <c r="R98" i="1"/>
  <c r="T98" i="1" s="1"/>
  <c r="Y98" i="1"/>
  <c r="CB100" i="1"/>
  <c r="BZ100" i="1"/>
  <c r="BX100" i="1"/>
  <c r="BU100" i="1"/>
  <c r="BW100" i="1" s="1"/>
  <c r="BF100" i="1"/>
  <c r="BE100" i="1"/>
  <c r="BD100" i="1"/>
  <c r="BC100" i="1"/>
  <c r="BB100" i="1"/>
  <c r="BA100" i="1"/>
  <c r="AZ100" i="1"/>
  <c r="AJ100" i="1"/>
  <c r="AI100" i="1" s="1"/>
  <c r="Y100" i="1"/>
  <c r="R100" i="1"/>
  <c r="T100" i="1" s="1"/>
  <c r="R99" i="1"/>
  <c r="T99" i="1" s="1"/>
  <c r="CB5" i="1"/>
  <c r="BZ5" i="1"/>
  <c r="BX5" i="1"/>
  <c r="BU5" i="1"/>
  <c r="BW5" i="1" s="1"/>
  <c r="BF5" i="1"/>
  <c r="BE5" i="1"/>
  <c r="BD5" i="1"/>
  <c r="BC5" i="1"/>
  <c r="BB5" i="1"/>
  <c r="BA5" i="1"/>
  <c r="AZ5" i="1"/>
  <c r="AJ5" i="1"/>
  <c r="AL5" i="1" s="1"/>
  <c r="Y5" i="1"/>
  <c r="CB80" i="1"/>
  <c r="BZ80" i="1"/>
  <c r="BX80" i="1"/>
  <c r="BU80" i="1"/>
  <c r="BW80" i="1" s="1"/>
  <c r="BF80" i="1"/>
  <c r="BE80" i="1"/>
  <c r="BD80" i="1"/>
  <c r="BC80" i="1"/>
  <c r="BB80" i="1"/>
  <c r="BA80" i="1"/>
  <c r="AZ80" i="1"/>
  <c r="AJ80" i="1"/>
  <c r="AL80" i="1" s="1"/>
  <c r="Y80" i="1"/>
  <c r="AL100" i="1" l="1"/>
  <c r="AI5" i="1"/>
  <c r="AI4" i="1"/>
  <c r="AI38" i="1"/>
  <c r="AI26" i="1"/>
  <c r="AI3" i="1"/>
  <c r="AL3" i="1"/>
  <c r="AL96" i="1" s="1"/>
  <c r="AI95" i="1"/>
  <c r="AI94" i="1"/>
  <c r="AI80" i="1"/>
  <c r="BY96" i="1"/>
  <c r="CC96" i="1" s="1"/>
  <c r="BY94" i="1"/>
  <c r="CC94" i="1" s="1"/>
  <c r="BY26" i="1"/>
  <c r="CC26" i="1" s="1"/>
  <c r="BY95" i="1"/>
  <c r="CC95" i="1" s="1"/>
  <c r="BG96" i="1"/>
  <c r="BI96" i="1" s="1"/>
  <c r="BG95" i="1"/>
  <c r="BI95" i="1" s="1"/>
  <c r="BH96" i="1"/>
  <c r="BJ96" i="1" s="1"/>
  <c r="BH95" i="1"/>
  <c r="BJ95" i="1" s="1"/>
  <c r="BH94" i="1"/>
  <c r="BJ94" i="1" s="1"/>
  <c r="BG94" i="1"/>
  <c r="BI94" i="1" s="1"/>
  <c r="BY38" i="1"/>
  <c r="CC38" i="1" s="1"/>
  <c r="BG4" i="1"/>
  <c r="BI4" i="1" s="1"/>
  <c r="BG38" i="1"/>
  <c r="BI38" i="1" s="1"/>
  <c r="BH3" i="1"/>
  <c r="BJ3" i="1" s="1"/>
  <c r="BG3" i="1"/>
  <c r="BI3" i="1" s="1"/>
  <c r="BH38" i="1"/>
  <c r="BJ38" i="1" s="1"/>
  <c r="BH26" i="1"/>
  <c r="BJ26" i="1" s="1"/>
  <c r="BH4" i="1"/>
  <c r="BJ4" i="1" s="1"/>
  <c r="BG26" i="1"/>
  <c r="BI26" i="1" s="1"/>
  <c r="BH100" i="1"/>
  <c r="BJ100" i="1" s="1"/>
  <c r="BG100" i="1"/>
  <c r="BI100" i="1" s="1"/>
  <c r="BG5" i="1"/>
  <c r="BI5" i="1" s="1"/>
  <c r="BH5" i="1"/>
  <c r="BJ5" i="1" s="1"/>
  <c r="BH80" i="1"/>
  <c r="BJ80" i="1" s="1"/>
  <c r="BG80" i="1"/>
  <c r="BI80" i="1" s="1"/>
  <c r="CB60" i="1"/>
  <c r="BZ60" i="1"/>
  <c r="BX60" i="1"/>
  <c r="BU60" i="1"/>
  <c r="BW60" i="1" s="1"/>
  <c r="BF60" i="1"/>
  <c r="BE60" i="1"/>
  <c r="BD60" i="1"/>
  <c r="BC60" i="1"/>
  <c r="BB60" i="1"/>
  <c r="BA60" i="1"/>
  <c r="AZ60" i="1"/>
  <c r="AJ60" i="1"/>
  <c r="AL60" i="1" s="1"/>
  <c r="Y60" i="1"/>
  <c r="CB90" i="1"/>
  <c r="BZ90" i="1"/>
  <c r="BX90" i="1"/>
  <c r="BY90" i="1" s="1"/>
  <c r="BU90" i="1"/>
  <c r="BW90" i="1" s="1"/>
  <c r="BF90" i="1"/>
  <c r="BE90" i="1"/>
  <c r="BD90" i="1"/>
  <c r="BC90" i="1"/>
  <c r="BB90" i="1"/>
  <c r="BA90" i="1"/>
  <c r="AZ90" i="1"/>
  <c r="AJ90" i="1"/>
  <c r="AL90" i="1" s="1"/>
  <c r="Y90" i="1"/>
  <c r="N19" i="2"/>
  <c r="BY80" i="1" s="1"/>
  <c r="CC80" i="1" s="1"/>
  <c r="CB46" i="1"/>
  <c r="BZ46" i="1"/>
  <c r="BX46" i="1"/>
  <c r="BY46" i="1" s="1"/>
  <c r="BU46" i="1"/>
  <c r="BW46" i="1" s="1"/>
  <c r="BF46" i="1"/>
  <c r="BE46" i="1"/>
  <c r="BD46" i="1"/>
  <c r="BC46" i="1"/>
  <c r="BB46" i="1"/>
  <c r="BA46" i="1"/>
  <c r="AZ46" i="1"/>
  <c r="AJ46" i="1"/>
  <c r="AL46" i="1" s="1"/>
  <c r="Y46" i="1"/>
  <c r="R101" i="1"/>
  <c r="T101" i="1" s="1"/>
  <c r="CB6" i="1"/>
  <c r="BZ6" i="1"/>
  <c r="BX6" i="1"/>
  <c r="BU6" i="1"/>
  <c r="BW6" i="1" s="1"/>
  <c r="BF6" i="1"/>
  <c r="BE6" i="1"/>
  <c r="BD6" i="1"/>
  <c r="BC6" i="1"/>
  <c r="BB6" i="1"/>
  <c r="BA6" i="1"/>
  <c r="AZ6" i="1"/>
  <c r="AJ6" i="1"/>
  <c r="AL6" i="1" s="1"/>
  <c r="Y6" i="1"/>
  <c r="R103" i="1"/>
  <c r="T103" i="1" s="1"/>
  <c r="CB7" i="1"/>
  <c r="BZ7" i="1"/>
  <c r="BX7" i="1"/>
  <c r="BU7" i="1"/>
  <c r="BW7" i="1" s="1"/>
  <c r="BF7" i="1"/>
  <c r="BE7" i="1"/>
  <c r="BD7" i="1"/>
  <c r="BC7" i="1"/>
  <c r="BB7" i="1"/>
  <c r="BA7" i="1"/>
  <c r="AZ7" i="1"/>
  <c r="AJ7" i="1"/>
  <c r="AL7" i="1" s="1"/>
  <c r="Y7" i="1"/>
  <c r="R102" i="1"/>
  <c r="T102" i="1" s="1"/>
  <c r="CB8" i="1"/>
  <c r="BZ8" i="1"/>
  <c r="BX8" i="1"/>
  <c r="BU8" i="1"/>
  <c r="BW8" i="1" s="1"/>
  <c r="BF8" i="1"/>
  <c r="BE8" i="1"/>
  <c r="BD8" i="1"/>
  <c r="BC8" i="1"/>
  <c r="BB8" i="1"/>
  <c r="BA8" i="1"/>
  <c r="AZ8" i="1"/>
  <c r="AJ8" i="1"/>
  <c r="AL8" i="1" s="1"/>
  <c r="Y8" i="1"/>
  <c r="R104" i="1"/>
  <c r="T104" i="1" s="1"/>
  <c r="AL108" i="1" l="1"/>
  <c r="AI6" i="1"/>
  <c r="AI60" i="1"/>
  <c r="AI7" i="1"/>
  <c r="AI90" i="1"/>
  <c r="AI46" i="1"/>
  <c r="AI8" i="1"/>
  <c r="BY60" i="1"/>
  <c r="CC60" i="1" s="1"/>
  <c r="CC90" i="1"/>
  <c r="CC46" i="1"/>
  <c r="BG60" i="1"/>
  <c r="BI60" i="1" s="1"/>
  <c r="BH60" i="1"/>
  <c r="BJ60" i="1" s="1"/>
  <c r="BH6" i="1"/>
  <c r="BJ6" i="1" s="1"/>
  <c r="BH90" i="1"/>
  <c r="BJ90" i="1" s="1"/>
  <c r="BG8" i="1"/>
  <c r="BI8" i="1" s="1"/>
  <c r="BG6" i="1"/>
  <c r="BI6" i="1" s="1"/>
  <c r="BG90" i="1"/>
  <c r="BI90" i="1" s="1"/>
  <c r="BH46" i="1"/>
  <c r="BJ46" i="1" s="1"/>
  <c r="BG46" i="1"/>
  <c r="BI46" i="1" s="1"/>
  <c r="BH7" i="1"/>
  <c r="BJ7" i="1" s="1"/>
  <c r="BG7" i="1"/>
  <c r="BI7" i="1" s="1"/>
  <c r="BH8" i="1"/>
  <c r="BJ8" i="1" s="1"/>
  <c r="R107" i="1"/>
  <c r="T107" i="1" s="1"/>
  <c r="R112" i="1"/>
  <c r="T112" i="1" s="1"/>
  <c r="R111" i="1" l="1"/>
  <c r="T111" i="1" s="1"/>
  <c r="AZ111" i="1"/>
  <c r="CC250" i="1" l="1"/>
  <c r="CC253" i="1"/>
  <c r="CC254" i="1"/>
  <c r="CB91" i="1"/>
  <c r="BZ91" i="1"/>
  <c r="BX91" i="1"/>
  <c r="BU91" i="1"/>
  <c r="BW91" i="1" s="1"/>
  <c r="BF91" i="1"/>
  <c r="BE91" i="1"/>
  <c r="BD91" i="1"/>
  <c r="BC91" i="1"/>
  <c r="BB91" i="1"/>
  <c r="BA91" i="1"/>
  <c r="AZ91" i="1"/>
  <c r="AJ91" i="1"/>
  <c r="AL91" i="1" s="1"/>
  <c r="Y91" i="1"/>
  <c r="R109" i="1"/>
  <c r="T109" i="1" s="1"/>
  <c r="CB40" i="1"/>
  <c r="BZ40" i="1"/>
  <c r="BX40" i="1"/>
  <c r="BU40" i="1"/>
  <c r="BW40" i="1" s="1"/>
  <c r="BF40" i="1"/>
  <c r="BE40" i="1"/>
  <c r="BD40" i="1"/>
  <c r="BC40" i="1"/>
  <c r="BB40" i="1"/>
  <c r="BA40" i="1"/>
  <c r="AZ40" i="1"/>
  <c r="AJ40" i="1"/>
  <c r="AL40" i="1" s="1"/>
  <c r="Y40" i="1"/>
  <c r="CB39" i="1"/>
  <c r="BZ39" i="1"/>
  <c r="BX39" i="1"/>
  <c r="BU39" i="1"/>
  <c r="BW39" i="1" s="1"/>
  <c r="BF39" i="1"/>
  <c r="BE39" i="1"/>
  <c r="BD39" i="1"/>
  <c r="BC39" i="1"/>
  <c r="BB39" i="1"/>
  <c r="BA39" i="1"/>
  <c r="AZ39" i="1"/>
  <c r="AJ39" i="1"/>
  <c r="AL39" i="1" s="1"/>
  <c r="Y39" i="1"/>
  <c r="CB110" i="1"/>
  <c r="BZ110" i="1"/>
  <c r="BX110" i="1"/>
  <c r="BU110" i="1"/>
  <c r="BW110" i="1" s="1"/>
  <c r="BF110" i="1"/>
  <c r="BE110" i="1"/>
  <c r="BD110" i="1"/>
  <c r="BC110" i="1"/>
  <c r="BB110" i="1"/>
  <c r="BA110" i="1"/>
  <c r="AZ110" i="1"/>
  <c r="AJ110" i="1"/>
  <c r="AL110" i="1" s="1"/>
  <c r="Y110" i="1"/>
  <c r="R110" i="1"/>
  <c r="T110" i="1" s="1"/>
  <c r="CB10" i="1"/>
  <c r="BZ10" i="1"/>
  <c r="BX10" i="1"/>
  <c r="BU10" i="1"/>
  <c r="BW10" i="1" s="1"/>
  <c r="BF10" i="1"/>
  <c r="BE10" i="1"/>
  <c r="BD10" i="1"/>
  <c r="BC10" i="1"/>
  <c r="BB10" i="1"/>
  <c r="BA10" i="1"/>
  <c r="AZ10" i="1"/>
  <c r="AJ10" i="1"/>
  <c r="AL10" i="1" s="1"/>
  <c r="Y10" i="1"/>
  <c r="R113" i="1"/>
  <c r="T113" i="1" s="1"/>
  <c r="R114" i="1"/>
  <c r="AL117" i="1" l="1"/>
  <c r="AI110" i="1"/>
  <c r="BH91" i="1"/>
  <c r="BJ91" i="1" s="1"/>
  <c r="BG91" i="1"/>
  <c r="BI91" i="1" s="1"/>
  <c r="AI91" i="1"/>
  <c r="BH40" i="1"/>
  <c r="BJ40" i="1" s="1"/>
  <c r="BH39" i="1"/>
  <c r="BJ39" i="1" s="1"/>
  <c r="AI39" i="1"/>
  <c r="AI40" i="1"/>
  <c r="BG39" i="1"/>
  <c r="BI39" i="1" s="1"/>
  <c r="BG40" i="1"/>
  <c r="BI40" i="1" s="1"/>
  <c r="BH110" i="1"/>
  <c r="BJ110" i="1" s="1"/>
  <c r="BG110" i="1"/>
  <c r="BI110" i="1" s="1"/>
  <c r="BH10" i="1"/>
  <c r="BJ10" i="1" s="1"/>
  <c r="AI10" i="1"/>
  <c r="BG10" i="1"/>
  <c r="BI10" i="1" s="1"/>
  <c r="T114" i="1"/>
  <c r="R115" i="1"/>
  <c r="T115" i="1" s="1"/>
  <c r="BE266" i="1" l="1"/>
  <c r="N18" i="2"/>
  <c r="AJ266" i="1"/>
  <c r="AL266" i="1" s="1"/>
  <c r="AZ266" i="1"/>
  <c r="BA266" i="1"/>
  <c r="BB266" i="1"/>
  <c r="BC266" i="1"/>
  <c r="BD266" i="1"/>
  <c r="BF266" i="1"/>
  <c r="BU266" i="1"/>
  <c r="BW266" i="1" s="1"/>
  <c r="BX266" i="1"/>
  <c r="BY266" i="1" s="1"/>
  <c r="CC266" i="1" s="1"/>
  <c r="Y266" i="1"/>
  <c r="AI266" i="1" l="1"/>
  <c r="BG266" i="1"/>
  <c r="BI266" i="1" s="1"/>
  <c r="BH266" i="1"/>
  <c r="BJ266" i="1" s="1"/>
  <c r="BC286" i="1"/>
  <c r="BC11" i="1"/>
  <c r="BC12" i="1"/>
  <c r="BC13" i="1"/>
  <c r="BC14" i="1"/>
  <c r="BC15" i="1"/>
  <c r="BC16" i="1"/>
  <c r="BC17" i="1"/>
  <c r="BC18" i="1"/>
  <c r="BC19" i="1"/>
  <c r="BC20" i="1"/>
  <c r="BC21" i="1"/>
  <c r="BC22" i="1"/>
  <c r="BC23" i="1"/>
  <c r="BC24" i="1"/>
  <c r="BC25" i="1"/>
  <c r="BC30" i="1"/>
  <c r="BC31" i="1"/>
  <c r="BC32" i="1"/>
  <c r="BC33" i="1"/>
  <c r="BC34" i="1"/>
  <c r="BC35" i="1"/>
  <c r="BC36" i="1"/>
  <c r="BC37" i="1"/>
  <c r="BC47" i="1"/>
  <c r="BC48" i="1"/>
  <c r="BC49" i="1"/>
  <c r="BC50" i="1"/>
  <c r="BC51" i="1"/>
  <c r="BC52" i="1"/>
  <c r="BC53" i="1"/>
  <c r="BC54" i="1"/>
  <c r="BC55" i="1"/>
  <c r="BC56" i="1"/>
  <c r="BC57" i="1"/>
  <c r="BC58" i="1"/>
  <c r="BC59" i="1"/>
  <c r="BC61" i="1"/>
  <c r="BC62" i="1"/>
  <c r="BC63" i="1"/>
  <c r="BC64" i="1"/>
  <c r="BC65" i="1"/>
  <c r="BC66" i="1"/>
  <c r="BC67" i="1"/>
  <c r="BC68" i="1"/>
  <c r="BC69" i="1"/>
  <c r="BC70" i="1"/>
  <c r="BC71" i="1"/>
  <c r="BC72" i="1"/>
  <c r="BC73" i="1"/>
  <c r="BC74" i="1"/>
  <c r="BC75" i="1"/>
  <c r="BC76" i="1"/>
  <c r="BC77" i="1"/>
  <c r="BC78" i="1"/>
  <c r="BC79" i="1"/>
  <c r="BC81" i="1"/>
  <c r="BC82" i="1"/>
  <c r="BC83" i="1"/>
  <c r="BC84" i="1"/>
  <c r="BC85" i="1"/>
  <c r="BC86" i="1"/>
  <c r="BC87" i="1"/>
  <c r="BC88" i="1"/>
  <c r="BC89" i="1"/>
  <c r="BC41" i="1"/>
  <c r="BC42" i="1"/>
  <c r="BC43" i="1"/>
  <c r="BC44" i="1"/>
  <c r="BC45" i="1"/>
  <c r="BC98" i="1"/>
  <c r="BC99" i="1"/>
  <c r="BC101" i="1"/>
  <c r="BC102" i="1"/>
  <c r="BC103" i="1"/>
  <c r="BC104" i="1"/>
  <c r="BC106" i="1"/>
  <c r="BC107" i="1"/>
  <c r="BC109" i="1"/>
  <c r="BC111" i="1"/>
  <c r="BC112" i="1"/>
  <c r="BC113" i="1"/>
  <c r="BC114" i="1"/>
  <c r="BC115" i="1"/>
  <c r="BC116"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7" i="1"/>
  <c r="BC268" i="1"/>
  <c r="BC269" i="1"/>
  <c r="BC270" i="1"/>
  <c r="BC281" i="1"/>
  <c r="BC271" i="1"/>
  <c r="BC272" i="1"/>
  <c r="BC273" i="1"/>
  <c r="BC92" i="1"/>
  <c r="BC93" i="1"/>
  <c r="BC27" i="1"/>
  <c r="BC28" i="1"/>
  <c r="BC29" i="1"/>
  <c r="BC283" i="1"/>
  <c r="BC284" i="1"/>
  <c r="BC285" i="1"/>
  <c r="BC275" i="1"/>
  <c r="BC278" i="1"/>
  <c r="BC279" i="1"/>
  <c r="BC277" i="1"/>
  <c r="BC274" i="1"/>
  <c r="BC280" i="1"/>
  <c r="BC276" i="1"/>
  <c r="BC287" i="1"/>
  <c r="BC288" i="1"/>
  <c r="BC289" i="1"/>
  <c r="BC290" i="1"/>
  <c r="BC291" i="1"/>
  <c r="BC292" i="1"/>
  <c r="BC294" i="1"/>
  <c r="BC295" i="1"/>
  <c r="BC298" i="1"/>
  <c r="BC299" i="1"/>
  <c r="BC297" i="1"/>
  <c r="BC296" i="1"/>
  <c r="BC208" i="1"/>
  <c r="BC2" i="1"/>
  <c r="CB268" i="1" l="1"/>
  <c r="BZ268" i="1"/>
  <c r="BX268" i="1"/>
  <c r="BU268" i="1"/>
  <c r="BW268" i="1" s="1"/>
  <c r="BF268" i="1"/>
  <c r="BE268" i="1"/>
  <c r="BD268" i="1"/>
  <c r="BB268" i="1"/>
  <c r="AZ268" i="1"/>
  <c r="AJ268" i="1"/>
  <c r="AL268" i="1" s="1"/>
  <c r="Y268" i="1"/>
  <c r="L268" i="1"/>
  <c r="BA268" i="1" s="1"/>
  <c r="BX254" i="1"/>
  <c r="BU254" i="1"/>
  <c r="BW254" i="1" s="1"/>
  <c r="BF254" i="1"/>
  <c r="BE254" i="1"/>
  <c r="BD254" i="1"/>
  <c r="BB254" i="1"/>
  <c r="AZ254" i="1"/>
  <c r="AJ254" i="1"/>
  <c r="AL254" i="1" s="1"/>
  <c r="Y254" i="1"/>
  <c r="L254" i="1"/>
  <c r="BA254" i="1" s="1"/>
  <c r="CB281" i="1"/>
  <c r="BZ281" i="1"/>
  <c r="BX281" i="1"/>
  <c r="BU281" i="1"/>
  <c r="BW281" i="1" s="1"/>
  <c r="BF281" i="1"/>
  <c r="BE281" i="1"/>
  <c r="BD281" i="1"/>
  <c r="BB281" i="1"/>
  <c r="BA281" i="1"/>
  <c r="AZ281" i="1"/>
  <c r="AJ281" i="1"/>
  <c r="AL281" i="1" s="1"/>
  <c r="Y281" i="1"/>
  <c r="CB280" i="1"/>
  <c r="BZ280" i="1"/>
  <c r="BX280" i="1"/>
  <c r="BU280" i="1"/>
  <c r="BW280" i="1" s="1"/>
  <c r="BF280" i="1"/>
  <c r="BE280" i="1"/>
  <c r="BD280" i="1"/>
  <c r="BB280" i="1"/>
  <c r="BA280" i="1"/>
  <c r="AZ280" i="1"/>
  <c r="AJ280" i="1"/>
  <c r="AL280" i="1" s="1"/>
  <c r="Y280" i="1"/>
  <c r="CB279" i="1"/>
  <c r="BZ279" i="1"/>
  <c r="BX279" i="1"/>
  <c r="BU279" i="1"/>
  <c r="BW279" i="1" s="1"/>
  <c r="BF279" i="1"/>
  <c r="BE279" i="1"/>
  <c r="BD279" i="1"/>
  <c r="BB279" i="1"/>
  <c r="BA279" i="1"/>
  <c r="AZ279" i="1"/>
  <c r="AJ279" i="1"/>
  <c r="AL279" i="1" s="1"/>
  <c r="Y279" i="1"/>
  <c r="CB278" i="1"/>
  <c r="BZ278" i="1"/>
  <c r="BX278" i="1"/>
  <c r="BU278" i="1"/>
  <c r="BW278" i="1" s="1"/>
  <c r="BF278" i="1"/>
  <c r="BE278" i="1"/>
  <c r="BD278" i="1"/>
  <c r="BB278" i="1"/>
  <c r="BA278" i="1"/>
  <c r="AZ278" i="1"/>
  <c r="AJ278" i="1"/>
  <c r="AL278" i="1" s="1"/>
  <c r="Y278" i="1"/>
  <c r="AI278" i="1" l="1"/>
  <c r="AI279" i="1"/>
  <c r="AI268" i="1"/>
  <c r="AI281" i="1"/>
  <c r="AI280" i="1"/>
  <c r="AI254" i="1"/>
  <c r="BH268" i="1"/>
  <c r="BJ268" i="1" s="1"/>
  <c r="BH278" i="1"/>
  <c r="BJ278" i="1" s="1"/>
  <c r="BH280" i="1"/>
  <c r="BJ280" i="1" s="1"/>
  <c r="BH281" i="1"/>
  <c r="BJ281" i="1" s="1"/>
  <c r="BH254" i="1"/>
  <c r="BJ254" i="1" s="1"/>
  <c r="BH279" i="1"/>
  <c r="BJ279" i="1" s="1"/>
  <c r="BG268" i="1"/>
  <c r="BI268" i="1" s="1"/>
  <c r="BG254" i="1"/>
  <c r="BI254" i="1" s="1"/>
  <c r="BG281" i="1"/>
  <c r="BI281" i="1" s="1"/>
  <c r="BG280" i="1"/>
  <c r="BI280" i="1" s="1"/>
  <c r="BG279" i="1"/>
  <c r="BI279" i="1" s="1"/>
  <c r="BG278" i="1"/>
  <c r="BI278" i="1" s="1"/>
  <c r="L273" i="1" l="1"/>
  <c r="L250" i="1" l="1"/>
  <c r="BF250" i="1" l="1"/>
  <c r="BE250" i="1"/>
  <c r="BD250" i="1"/>
  <c r="BF253" i="1"/>
  <c r="BE253" i="1"/>
  <c r="BD253" i="1"/>
  <c r="BX250" i="1"/>
  <c r="BU250" i="1"/>
  <c r="BW250" i="1" s="1"/>
  <c r="BB250" i="1"/>
  <c r="AZ250" i="1"/>
  <c r="AJ250" i="1"/>
  <c r="AL250" i="1" s="1"/>
  <c r="Y250" i="1"/>
  <c r="BA250" i="1"/>
  <c r="CB276" i="1"/>
  <c r="BZ276" i="1"/>
  <c r="BX276" i="1"/>
  <c r="BU276" i="1"/>
  <c r="BW276" i="1" s="1"/>
  <c r="BF276" i="1"/>
  <c r="BE276" i="1"/>
  <c r="BD276" i="1"/>
  <c r="BB276" i="1"/>
  <c r="BA276" i="1"/>
  <c r="AZ276" i="1"/>
  <c r="AJ276" i="1"/>
  <c r="AL276" i="1" s="1"/>
  <c r="Y276" i="1"/>
  <c r="CB274" i="1"/>
  <c r="BZ274" i="1"/>
  <c r="BX274" i="1"/>
  <c r="BU274" i="1"/>
  <c r="BW274" i="1" s="1"/>
  <c r="BF274" i="1"/>
  <c r="BE274" i="1"/>
  <c r="BD274" i="1"/>
  <c r="BB274" i="1"/>
  <c r="BA274" i="1"/>
  <c r="AZ274" i="1"/>
  <c r="AJ274" i="1"/>
  <c r="AL274" i="1" s="1"/>
  <c r="Y274" i="1"/>
  <c r="CB277" i="1"/>
  <c r="BZ277" i="1"/>
  <c r="BX277" i="1"/>
  <c r="BU277" i="1"/>
  <c r="BW277" i="1" s="1"/>
  <c r="BF277" i="1"/>
  <c r="BE277" i="1"/>
  <c r="BD277" i="1"/>
  <c r="BB277" i="1"/>
  <c r="BA277" i="1"/>
  <c r="AZ277" i="1"/>
  <c r="AJ277" i="1"/>
  <c r="AL277" i="1" s="1"/>
  <c r="Y277" i="1"/>
  <c r="L253" i="1"/>
  <c r="BA253" i="1" s="1"/>
  <c r="Y253" i="1"/>
  <c r="AJ253" i="1"/>
  <c r="AL253" i="1" s="1"/>
  <c r="AZ253" i="1"/>
  <c r="BB253" i="1"/>
  <c r="BU253" i="1"/>
  <c r="BW253" i="1" s="1"/>
  <c r="BX253" i="1"/>
  <c r="AI250" i="1" l="1"/>
  <c r="AI277" i="1"/>
  <c r="AI253" i="1"/>
  <c r="AI274" i="1"/>
  <c r="AI276" i="1"/>
  <c r="BH276" i="1"/>
  <c r="BJ276" i="1" s="1"/>
  <c r="BH274" i="1"/>
  <c r="BJ274" i="1" s="1"/>
  <c r="BH253" i="1"/>
  <c r="BJ253" i="1" s="1"/>
  <c r="BH277" i="1"/>
  <c r="BJ277" i="1" s="1"/>
  <c r="BH250" i="1"/>
  <c r="BJ250" i="1" s="1"/>
  <c r="BG253" i="1"/>
  <c r="BI253" i="1" s="1"/>
  <c r="BG250" i="1"/>
  <c r="BI250" i="1" s="1"/>
  <c r="BG274" i="1"/>
  <c r="BI274" i="1" s="1"/>
  <c r="BG276" i="1"/>
  <c r="BI276" i="1" s="1"/>
  <c r="BG277" i="1"/>
  <c r="BI277" i="1" s="1"/>
  <c r="B50" i="6"/>
  <c r="B49" i="6"/>
  <c r="F46" i="6"/>
  <c r="F47" i="6" s="1"/>
  <c r="E46" i="6"/>
  <c r="E47" i="6" s="1"/>
  <c r="D46" i="6"/>
  <c r="D47" i="6" s="1"/>
  <c r="C46" i="6"/>
  <c r="C47" i="6" s="1"/>
  <c r="B46" i="6"/>
  <c r="B52" i="6" s="1"/>
  <c r="B47" i="6" l="1"/>
  <c r="B51" i="6" s="1"/>
  <c r="N17" i="2"/>
  <c r="BY281" i="1" s="1"/>
  <c r="CC281"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61" i="1"/>
  <c r="BZ261" i="1"/>
  <c r="BX261" i="1"/>
  <c r="BU261" i="1"/>
  <c r="BW261" i="1" s="1"/>
  <c r="BF261" i="1"/>
  <c r="BE261" i="1"/>
  <c r="BD261" i="1"/>
  <c r="BB261" i="1"/>
  <c r="BA261" i="1"/>
  <c r="AZ261" i="1"/>
  <c r="AJ261" i="1"/>
  <c r="AL261" i="1" s="1"/>
  <c r="Y261" i="1"/>
  <c r="BH261" i="1" l="1"/>
  <c r="BJ261" i="1" s="1"/>
  <c r="B39" i="6"/>
  <c r="BG261" i="1"/>
  <c r="BI261" i="1" s="1"/>
  <c r="AI261" i="1"/>
  <c r="BU203" i="1"/>
  <c r="BW203" i="1" s="1"/>
  <c r="BU208" i="1"/>
  <c r="BW208" i="1" s="1"/>
  <c r="AZ203" i="1"/>
  <c r="BA203" i="1"/>
  <c r="BB203" i="1"/>
  <c r="AZ208" i="1"/>
  <c r="BA208" i="1"/>
  <c r="BB208" i="1"/>
  <c r="BX208" i="1"/>
  <c r="BF203" i="1"/>
  <c r="BF208" i="1"/>
  <c r="BE203" i="1"/>
  <c r="BE208" i="1"/>
  <c r="AJ203" i="1"/>
  <c r="AL203" i="1" s="1"/>
  <c r="AJ208" i="1"/>
  <c r="AL208" i="1" s="1"/>
  <c r="Y287" i="1"/>
  <c r="Y288" i="1"/>
  <c r="Y289" i="1"/>
  <c r="Y290" i="1"/>
  <c r="Y291" i="1"/>
  <c r="Y292" i="1"/>
  <c r="Y294" i="1"/>
  <c r="Y295" i="1"/>
  <c r="Y298" i="1"/>
  <c r="Y299" i="1"/>
  <c r="Y297" i="1"/>
  <c r="Y296" i="1"/>
  <c r="Y203" i="1"/>
  <c r="Y208" i="1"/>
  <c r="AI203" i="1" l="1"/>
  <c r="AI208" i="1"/>
  <c r="N13" i="2"/>
  <c r="BY91" i="1" s="1"/>
  <c r="CC91" i="1" s="1"/>
  <c r="N14" i="2"/>
  <c r="N15" i="2"/>
  <c r="N16" i="2"/>
  <c r="N3" i="2"/>
  <c r="N4" i="2"/>
  <c r="N5" i="2"/>
  <c r="BY276" i="1" s="1"/>
  <c r="CC276" i="1" s="1"/>
  <c r="N6" i="2"/>
  <c r="N7" i="2"/>
  <c r="N8" i="2"/>
  <c r="N9" i="2"/>
  <c r="N10" i="2"/>
  <c r="N11" i="2"/>
  <c r="N12" i="2"/>
  <c r="N2" i="2"/>
  <c r="BY208" i="1" s="1"/>
  <c r="CC208" i="1" s="1"/>
  <c r="BZ11" i="1"/>
  <c r="BZ12" i="1"/>
  <c r="BZ13" i="1"/>
  <c r="BZ14" i="1"/>
  <c r="BZ15" i="1"/>
  <c r="BZ16" i="1"/>
  <c r="BZ17" i="1"/>
  <c r="BZ18" i="1"/>
  <c r="BZ19" i="1"/>
  <c r="BZ20" i="1"/>
  <c r="BZ21" i="1"/>
  <c r="BZ22" i="1"/>
  <c r="BZ23" i="1"/>
  <c r="BZ24" i="1"/>
  <c r="BZ25" i="1"/>
  <c r="BZ30" i="1"/>
  <c r="BZ31" i="1"/>
  <c r="BZ32" i="1"/>
  <c r="BZ33" i="1"/>
  <c r="BZ34" i="1"/>
  <c r="BZ35" i="1"/>
  <c r="BZ36" i="1"/>
  <c r="BZ37" i="1"/>
  <c r="BZ47" i="1"/>
  <c r="BZ48" i="1"/>
  <c r="BZ49" i="1"/>
  <c r="BZ50" i="1"/>
  <c r="BZ51" i="1"/>
  <c r="BZ52" i="1"/>
  <c r="BZ53" i="1"/>
  <c r="BZ54" i="1"/>
  <c r="BZ55" i="1"/>
  <c r="BZ56" i="1"/>
  <c r="BZ57" i="1"/>
  <c r="BZ58" i="1"/>
  <c r="BZ59" i="1"/>
  <c r="BZ61" i="1"/>
  <c r="BZ62" i="1"/>
  <c r="BZ63" i="1"/>
  <c r="BZ64" i="1"/>
  <c r="BZ65" i="1"/>
  <c r="BZ66" i="1"/>
  <c r="BZ67" i="1"/>
  <c r="BZ68" i="1"/>
  <c r="BZ69" i="1"/>
  <c r="BZ70" i="1"/>
  <c r="BZ71" i="1"/>
  <c r="BZ72" i="1"/>
  <c r="BZ73" i="1"/>
  <c r="BZ74" i="1"/>
  <c r="BZ75" i="1"/>
  <c r="BZ76" i="1"/>
  <c r="BZ77" i="1"/>
  <c r="BZ78" i="1"/>
  <c r="BZ79" i="1"/>
  <c r="BZ81" i="1"/>
  <c r="BZ82" i="1"/>
  <c r="BZ83" i="1"/>
  <c r="BZ84" i="1"/>
  <c r="BZ85" i="1"/>
  <c r="BZ86" i="1"/>
  <c r="BZ87" i="1"/>
  <c r="BZ88" i="1"/>
  <c r="BZ89" i="1"/>
  <c r="BZ41" i="1"/>
  <c r="BZ42" i="1"/>
  <c r="BZ43" i="1"/>
  <c r="BZ44" i="1"/>
  <c r="BZ45" i="1"/>
  <c r="BZ98" i="1"/>
  <c r="BZ99" i="1"/>
  <c r="BZ101" i="1"/>
  <c r="BZ102" i="1"/>
  <c r="BZ103" i="1"/>
  <c r="BZ104" i="1"/>
  <c r="BZ106" i="1"/>
  <c r="BZ107" i="1"/>
  <c r="BZ109" i="1"/>
  <c r="BZ111" i="1"/>
  <c r="BZ112" i="1"/>
  <c r="BZ113" i="1"/>
  <c r="BZ114" i="1"/>
  <c r="BZ115" i="1"/>
  <c r="BZ116" i="1"/>
  <c r="BZ118" i="1"/>
  <c r="BZ119" i="1"/>
  <c r="BZ120" i="1"/>
  <c r="BZ121" i="1"/>
  <c r="BZ122" i="1"/>
  <c r="BZ123" i="1"/>
  <c r="BZ124" i="1"/>
  <c r="BZ125" i="1"/>
  <c r="BZ127" i="1"/>
  <c r="BZ129" i="1"/>
  <c r="BZ126" i="1"/>
  <c r="BZ128" i="1"/>
  <c r="BZ131" i="1"/>
  <c r="BZ133" i="1"/>
  <c r="BZ135" i="1"/>
  <c r="BZ137" i="1"/>
  <c r="BZ130" i="1"/>
  <c r="BZ132" i="1"/>
  <c r="BZ134" i="1"/>
  <c r="BZ136" i="1"/>
  <c r="BZ138" i="1"/>
  <c r="BZ139" i="1"/>
  <c r="BZ140" i="1"/>
  <c r="BZ141" i="1"/>
  <c r="BZ142" i="1"/>
  <c r="BZ143"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4" i="1"/>
  <c r="BZ205" i="1"/>
  <c r="BZ206" i="1"/>
  <c r="BZ207"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3" i="1"/>
  <c r="BZ234" i="1"/>
  <c r="BZ235" i="1"/>
  <c r="BZ236" i="1"/>
  <c r="BZ238" i="1"/>
  <c r="BZ239" i="1"/>
  <c r="BZ240" i="1"/>
  <c r="BZ241" i="1"/>
  <c r="BZ242" i="1"/>
  <c r="BZ243" i="1"/>
  <c r="BZ244" i="1"/>
  <c r="BZ245" i="1"/>
  <c r="BZ246" i="1"/>
  <c r="BZ247" i="1"/>
  <c r="BZ248" i="1"/>
  <c r="BZ249" i="1"/>
  <c r="BZ251" i="1"/>
  <c r="BZ252" i="1"/>
  <c r="BZ255" i="1"/>
  <c r="BZ256" i="1"/>
  <c r="BZ257" i="1"/>
  <c r="BZ258" i="1"/>
  <c r="BZ259" i="1"/>
  <c r="BZ260" i="1"/>
  <c r="BZ262" i="1"/>
  <c r="BZ263" i="1"/>
  <c r="BZ271" i="1"/>
  <c r="BZ264" i="1"/>
  <c r="BZ265" i="1"/>
  <c r="BZ267" i="1"/>
  <c r="BZ269" i="1"/>
  <c r="BZ92" i="1"/>
  <c r="BZ93" i="1"/>
  <c r="BZ27" i="1"/>
  <c r="BZ28" i="1"/>
  <c r="BZ29" i="1"/>
  <c r="BZ283" i="1"/>
  <c r="BZ284" i="1"/>
  <c r="BZ285" i="1"/>
  <c r="BZ286" i="1"/>
  <c r="BZ272" i="1"/>
  <c r="BZ270" i="1"/>
  <c r="BZ273" i="1"/>
  <c r="BZ275" i="1"/>
  <c r="BZ287" i="1"/>
  <c r="BZ288" i="1"/>
  <c r="BZ289" i="1"/>
  <c r="BZ290" i="1"/>
  <c r="BZ291" i="1"/>
  <c r="BZ292" i="1"/>
  <c r="BZ294" i="1"/>
  <c r="BZ295" i="1"/>
  <c r="BZ298" i="1"/>
  <c r="BZ299" i="1"/>
  <c r="BZ297" i="1"/>
  <c r="BZ296" i="1"/>
  <c r="BZ203" i="1"/>
  <c r="BZ2" i="1"/>
  <c r="BX11" i="1"/>
  <c r="BX12" i="1"/>
  <c r="BX13" i="1"/>
  <c r="BX14" i="1"/>
  <c r="BX15" i="1"/>
  <c r="BX16" i="1"/>
  <c r="BX17" i="1"/>
  <c r="BX18" i="1"/>
  <c r="BX19" i="1"/>
  <c r="BX20" i="1"/>
  <c r="BX21" i="1"/>
  <c r="BX22" i="1"/>
  <c r="BX23" i="1"/>
  <c r="BX24" i="1"/>
  <c r="BX25" i="1"/>
  <c r="BX30" i="1"/>
  <c r="BY30" i="1" s="1"/>
  <c r="BX31" i="1"/>
  <c r="BX32" i="1"/>
  <c r="BX33" i="1"/>
  <c r="BX34" i="1"/>
  <c r="BX35" i="1"/>
  <c r="BX36" i="1"/>
  <c r="BX37" i="1"/>
  <c r="BX47" i="1"/>
  <c r="BX48" i="1"/>
  <c r="BX49" i="1"/>
  <c r="BX50" i="1"/>
  <c r="BX51" i="1"/>
  <c r="BX52" i="1"/>
  <c r="BX53" i="1"/>
  <c r="BY53" i="1" s="1"/>
  <c r="BX54" i="1"/>
  <c r="BX55" i="1"/>
  <c r="BX56" i="1"/>
  <c r="BX57" i="1"/>
  <c r="BX58" i="1"/>
  <c r="BX59" i="1"/>
  <c r="BX61" i="1"/>
  <c r="BX62" i="1"/>
  <c r="BX63" i="1"/>
  <c r="BX64" i="1"/>
  <c r="BX65" i="1"/>
  <c r="BX66" i="1"/>
  <c r="BX67" i="1"/>
  <c r="BX68" i="1"/>
  <c r="BX69" i="1"/>
  <c r="BX70" i="1"/>
  <c r="BY70" i="1" s="1"/>
  <c r="BX71" i="1"/>
  <c r="BX72" i="1"/>
  <c r="BX73" i="1"/>
  <c r="BX74" i="1"/>
  <c r="BX75" i="1"/>
  <c r="BX76" i="1"/>
  <c r="BX77" i="1"/>
  <c r="BX78" i="1"/>
  <c r="BX79" i="1"/>
  <c r="BX81" i="1"/>
  <c r="BX82" i="1"/>
  <c r="BX83" i="1"/>
  <c r="BX84" i="1"/>
  <c r="BX85" i="1"/>
  <c r="BX86" i="1"/>
  <c r="BX87" i="1"/>
  <c r="BY87" i="1" s="1"/>
  <c r="BX88" i="1"/>
  <c r="BX89" i="1"/>
  <c r="BX41" i="1"/>
  <c r="BX42" i="1"/>
  <c r="BX43" i="1"/>
  <c r="BX44" i="1"/>
  <c r="BX45" i="1"/>
  <c r="BX98" i="1"/>
  <c r="BY98" i="1" s="1"/>
  <c r="BX99" i="1"/>
  <c r="BY99" i="1" s="1"/>
  <c r="BX101" i="1"/>
  <c r="BY101" i="1" s="1"/>
  <c r="BX102" i="1"/>
  <c r="BY102" i="1" s="1"/>
  <c r="BX103" i="1"/>
  <c r="BY103" i="1" s="1"/>
  <c r="BX104" i="1"/>
  <c r="BY104" i="1" s="1"/>
  <c r="BX106" i="1"/>
  <c r="BY106" i="1" s="1"/>
  <c r="BX107" i="1"/>
  <c r="BY107" i="1" s="1"/>
  <c r="BX109" i="1"/>
  <c r="BY109" i="1" s="1"/>
  <c r="BX111" i="1"/>
  <c r="BY111" i="1" s="1"/>
  <c r="BX112" i="1"/>
  <c r="BY112" i="1" s="1"/>
  <c r="BX113" i="1"/>
  <c r="BX114" i="1"/>
  <c r="BX115" i="1"/>
  <c r="BX116" i="1"/>
  <c r="BX118" i="1"/>
  <c r="BX119" i="1"/>
  <c r="BX120" i="1"/>
  <c r="BX121" i="1"/>
  <c r="BY121" i="1" s="1"/>
  <c r="BX122" i="1"/>
  <c r="BY122" i="1" s="1"/>
  <c r="BX123" i="1"/>
  <c r="BY123" i="1" s="1"/>
  <c r="BX124" i="1"/>
  <c r="BY124" i="1" s="1"/>
  <c r="BX125" i="1"/>
  <c r="BY125" i="1" s="1"/>
  <c r="BX127" i="1"/>
  <c r="BY127" i="1" s="1"/>
  <c r="BX129" i="1"/>
  <c r="BY129" i="1" s="1"/>
  <c r="BX126" i="1"/>
  <c r="BY126" i="1" s="1"/>
  <c r="BX128" i="1"/>
  <c r="BY128" i="1" s="1"/>
  <c r="BX131" i="1"/>
  <c r="BX133" i="1"/>
  <c r="BX135" i="1"/>
  <c r="BX137" i="1"/>
  <c r="BX130" i="1"/>
  <c r="BX132" i="1"/>
  <c r="BX134" i="1"/>
  <c r="BX136" i="1"/>
  <c r="BY136" i="1" s="1"/>
  <c r="BX138" i="1"/>
  <c r="BY138" i="1" s="1"/>
  <c r="BX139" i="1"/>
  <c r="BY139" i="1" s="1"/>
  <c r="BX140" i="1"/>
  <c r="BY140" i="1" s="1"/>
  <c r="BX141" i="1"/>
  <c r="BY141" i="1" s="1"/>
  <c r="BX142" i="1"/>
  <c r="BY142" i="1" s="1"/>
  <c r="BX143" i="1"/>
  <c r="BY143" i="1" s="1"/>
  <c r="BX145" i="1"/>
  <c r="BY145" i="1" s="1"/>
  <c r="BX146" i="1"/>
  <c r="BY146" i="1" s="1"/>
  <c r="BX147" i="1"/>
  <c r="BY147" i="1" s="1"/>
  <c r="BX148" i="1"/>
  <c r="BX149" i="1"/>
  <c r="BX150" i="1"/>
  <c r="BX151" i="1"/>
  <c r="BX152" i="1"/>
  <c r="BX153" i="1"/>
  <c r="BX154" i="1"/>
  <c r="BY154" i="1" s="1"/>
  <c r="BX155" i="1"/>
  <c r="BY155" i="1" s="1"/>
  <c r="BX156" i="1"/>
  <c r="BY156" i="1" s="1"/>
  <c r="BX157" i="1"/>
  <c r="BY157" i="1" s="1"/>
  <c r="BX158" i="1"/>
  <c r="BY158" i="1" s="1"/>
  <c r="BX159" i="1"/>
  <c r="BY159" i="1" s="1"/>
  <c r="BX160" i="1"/>
  <c r="BY160" i="1" s="1"/>
  <c r="BX161" i="1"/>
  <c r="BY161" i="1" s="1"/>
  <c r="BX162" i="1"/>
  <c r="BY162" i="1" s="1"/>
  <c r="BX163" i="1"/>
  <c r="BX164" i="1"/>
  <c r="BX165" i="1"/>
  <c r="BX166" i="1"/>
  <c r="BY166" i="1" s="1"/>
  <c r="BX167" i="1"/>
  <c r="BX168" i="1"/>
  <c r="BX169" i="1"/>
  <c r="BX170" i="1"/>
  <c r="BY170" i="1" s="1"/>
  <c r="BX171" i="1"/>
  <c r="BY171" i="1" s="1"/>
  <c r="BX172" i="1"/>
  <c r="BY172" i="1" s="1"/>
  <c r="BX173" i="1"/>
  <c r="BY173" i="1" s="1"/>
  <c r="BX174" i="1"/>
  <c r="BY174" i="1" s="1"/>
  <c r="BX175" i="1"/>
  <c r="BY175" i="1" s="1"/>
  <c r="BX176" i="1"/>
  <c r="BY176" i="1" s="1"/>
  <c r="BX177" i="1"/>
  <c r="BY177" i="1" s="1"/>
  <c r="BX178" i="1"/>
  <c r="BY178" i="1" s="1"/>
  <c r="BX179" i="1"/>
  <c r="BY179" i="1" s="1"/>
  <c r="BX180" i="1"/>
  <c r="BY180" i="1" s="1"/>
  <c r="BX181" i="1"/>
  <c r="BY181" i="1" s="1"/>
  <c r="BX182" i="1"/>
  <c r="BX183" i="1"/>
  <c r="BY183" i="1" s="1"/>
  <c r="BX184" i="1"/>
  <c r="BY184" i="1" s="1"/>
  <c r="BX185" i="1"/>
  <c r="BX186" i="1"/>
  <c r="BY186" i="1" s="1"/>
  <c r="BX187" i="1"/>
  <c r="BY187" i="1" s="1"/>
  <c r="BX188" i="1"/>
  <c r="BY188" i="1" s="1"/>
  <c r="BX189" i="1"/>
  <c r="BY189" i="1" s="1"/>
  <c r="BX190" i="1"/>
  <c r="BY190" i="1" s="1"/>
  <c r="BX191" i="1"/>
  <c r="BY191" i="1" s="1"/>
  <c r="BX192" i="1"/>
  <c r="BY192" i="1" s="1"/>
  <c r="BX193" i="1"/>
  <c r="BY193" i="1" s="1"/>
  <c r="BX194" i="1"/>
  <c r="BY194" i="1" s="1"/>
  <c r="BX195" i="1"/>
  <c r="BX196" i="1"/>
  <c r="BX197" i="1"/>
  <c r="BY197" i="1" s="1"/>
  <c r="BX198" i="1"/>
  <c r="BX199" i="1"/>
  <c r="BY199" i="1" s="1"/>
  <c r="BX200" i="1"/>
  <c r="BY200" i="1" s="1"/>
  <c r="BX201" i="1"/>
  <c r="BY201" i="1" s="1"/>
  <c r="BX202" i="1"/>
  <c r="BY202" i="1" s="1"/>
  <c r="BX204" i="1"/>
  <c r="BY204" i="1" s="1"/>
  <c r="BX205" i="1"/>
  <c r="BY205" i="1" s="1"/>
  <c r="BX206" i="1"/>
  <c r="BY206" i="1" s="1"/>
  <c r="BX207" i="1"/>
  <c r="BY207" i="1" s="1"/>
  <c r="BX209" i="1"/>
  <c r="BY209" i="1" s="1"/>
  <c r="BX210" i="1"/>
  <c r="BY210" i="1" s="1"/>
  <c r="BX211" i="1"/>
  <c r="BY211" i="1" s="1"/>
  <c r="BX212" i="1"/>
  <c r="BY212" i="1" s="1"/>
  <c r="BX213" i="1"/>
  <c r="BY213" i="1" s="1"/>
  <c r="BX214" i="1"/>
  <c r="BY214" i="1" s="1"/>
  <c r="BX215" i="1"/>
  <c r="BY215" i="1" s="1"/>
  <c r="BX216" i="1"/>
  <c r="BX217" i="1"/>
  <c r="BX218" i="1"/>
  <c r="BX219" i="1"/>
  <c r="BX220" i="1"/>
  <c r="BX221" i="1"/>
  <c r="BY221" i="1" s="1"/>
  <c r="BX222" i="1"/>
  <c r="BY222" i="1" s="1"/>
  <c r="BX223" i="1"/>
  <c r="BY223" i="1" s="1"/>
  <c r="BX224" i="1"/>
  <c r="BY224" i="1" s="1"/>
  <c r="BX225" i="1"/>
  <c r="BY225" i="1" s="1"/>
  <c r="BX226" i="1"/>
  <c r="BY226" i="1" s="1"/>
  <c r="BX227" i="1"/>
  <c r="BY227" i="1" s="1"/>
  <c r="BX228" i="1"/>
  <c r="BY228" i="1" s="1"/>
  <c r="BX229" i="1"/>
  <c r="BX230" i="1"/>
  <c r="BX231" i="1"/>
  <c r="BX232" i="1"/>
  <c r="BX233" i="1"/>
  <c r="BX234" i="1"/>
  <c r="BY234" i="1" s="1"/>
  <c r="BX235" i="1"/>
  <c r="BY235" i="1" s="1"/>
  <c r="BX236" i="1"/>
  <c r="BY236" i="1" s="1"/>
  <c r="BX238" i="1"/>
  <c r="BY238" i="1" s="1"/>
  <c r="BX239" i="1"/>
  <c r="BY239" i="1" s="1"/>
  <c r="BX240" i="1"/>
  <c r="BY240" i="1" s="1"/>
  <c r="BX241" i="1"/>
  <c r="BY241" i="1" s="1"/>
  <c r="BX242" i="1"/>
  <c r="BY242" i="1" s="1"/>
  <c r="BX243" i="1"/>
  <c r="BY243" i="1" s="1"/>
  <c r="BX244" i="1"/>
  <c r="BY244" i="1" s="1"/>
  <c r="BX245" i="1"/>
  <c r="BY245" i="1" s="1"/>
  <c r="BX246" i="1"/>
  <c r="BY246" i="1" s="1"/>
  <c r="BX247" i="1"/>
  <c r="BY247" i="1" s="1"/>
  <c r="BX248" i="1"/>
  <c r="BY248" i="1" s="1"/>
  <c r="BX249" i="1"/>
  <c r="BY249" i="1" s="1"/>
  <c r="BX251" i="1"/>
  <c r="BX252" i="1"/>
  <c r="BX255" i="1"/>
  <c r="BX256" i="1"/>
  <c r="BX257" i="1"/>
  <c r="BY257" i="1" s="1"/>
  <c r="BX258" i="1"/>
  <c r="BY258" i="1" s="1"/>
  <c r="BX259" i="1"/>
  <c r="BY259" i="1" s="1"/>
  <c r="BX260" i="1"/>
  <c r="BY260" i="1" s="1"/>
  <c r="BX262" i="1"/>
  <c r="BY262" i="1" s="1"/>
  <c r="BX263" i="1"/>
  <c r="BY263" i="1" s="1"/>
  <c r="BX271" i="1"/>
  <c r="BY271" i="1" s="1"/>
  <c r="BX264" i="1"/>
  <c r="BY264" i="1" s="1"/>
  <c r="BX265" i="1"/>
  <c r="BX267" i="1"/>
  <c r="BY267" i="1" s="1"/>
  <c r="BX269" i="1"/>
  <c r="BY269" i="1" s="1"/>
  <c r="BX92" i="1"/>
  <c r="BY92" i="1" s="1"/>
  <c r="BX93" i="1"/>
  <c r="BY93" i="1" s="1"/>
  <c r="BX27" i="1"/>
  <c r="BX28" i="1"/>
  <c r="BX29" i="1"/>
  <c r="BY29" i="1" s="1"/>
  <c r="BX283" i="1"/>
  <c r="BY283" i="1" s="1"/>
  <c r="BX284" i="1"/>
  <c r="BY284" i="1" s="1"/>
  <c r="BX285" i="1"/>
  <c r="BX286" i="1"/>
  <c r="BX272" i="1"/>
  <c r="BY272" i="1" s="1"/>
  <c r="BX270" i="1"/>
  <c r="BY270" i="1" s="1"/>
  <c r="BX273" i="1"/>
  <c r="BY273" i="1" s="1"/>
  <c r="BX275" i="1"/>
  <c r="BY275" i="1" s="1"/>
  <c r="BX287" i="1"/>
  <c r="BX288" i="1"/>
  <c r="BX289" i="1"/>
  <c r="BX291" i="1"/>
  <c r="BX292" i="1"/>
  <c r="BX294" i="1"/>
  <c r="BY294" i="1" s="1"/>
  <c r="BX295" i="1"/>
  <c r="BY295" i="1" s="1"/>
  <c r="BX298" i="1"/>
  <c r="BX299" i="1"/>
  <c r="BX297" i="1"/>
  <c r="BX296" i="1"/>
  <c r="BX203" i="1"/>
  <c r="BY203" i="1" s="1"/>
  <c r="BX2" i="1"/>
  <c r="BY105" i="1" l="1"/>
  <c r="CC105" i="1" s="1"/>
  <c r="BY108" i="1"/>
  <c r="CC108" i="1" s="1"/>
  <c r="BY117" i="1"/>
  <c r="CC117" i="1" s="1"/>
  <c r="BY144" i="1"/>
  <c r="CC144" i="1" s="1"/>
  <c r="BY100" i="1"/>
  <c r="CC100" i="1" s="1"/>
  <c r="BY110" i="1"/>
  <c r="CC110" i="1" s="1"/>
  <c r="BY219" i="1"/>
  <c r="BY120" i="1"/>
  <c r="BY27" i="1"/>
  <c r="BY252" i="1"/>
  <c r="BY218" i="1"/>
  <c r="BY168" i="1"/>
  <c r="BY152" i="1"/>
  <c r="BY132" i="1"/>
  <c r="BY119" i="1"/>
  <c r="BY78" i="1"/>
  <c r="BY62" i="1"/>
  <c r="BY36" i="1"/>
  <c r="BY237" i="1"/>
  <c r="CC237" i="1" s="1"/>
  <c r="BY278" i="1"/>
  <c r="CC278" i="1" s="1"/>
  <c r="BY279" i="1"/>
  <c r="CC279" i="1" s="1"/>
  <c r="BY261" i="1"/>
  <c r="CC261" i="1" s="1"/>
  <c r="BY185" i="1"/>
  <c r="BY251" i="1"/>
  <c r="BY233" i="1"/>
  <c r="BY217" i="1"/>
  <c r="BY167" i="1"/>
  <c r="BY151" i="1"/>
  <c r="BY130" i="1"/>
  <c r="BY118" i="1"/>
  <c r="BY35" i="1"/>
  <c r="BY40" i="1"/>
  <c r="CC40" i="1" s="1"/>
  <c r="BY39" i="1"/>
  <c r="CC39" i="1" s="1"/>
  <c r="BY232" i="1"/>
  <c r="BY216" i="1"/>
  <c r="BY198" i="1"/>
  <c r="BY182" i="1"/>
  <c r="BY150" i="1"/>
  <c r="BY137" i="1"/>
  <c r="BY116" i="1"/>
  <c r="BY44" i="1"/>
  <c r="BY34" i="1"/>
  <c r="BY9" i="1"/>
  <c r="CC9" i="1" s="1"/>
  <c r="BY4" i="1"/>
  <c r="CC4" i="1" s="1"/>
  <c r="BY5" i="1"/>
  <c r="CC5" i="1" s="1"/>
  <c r="BY3" i="1"/>
  <c r="CC3" i="1" s="1"/>
  <c r="BY7" i="1"/>
  <c r="CC7" i="1" s="1"/>
  <c r="BY6" i="1"/>
  <c r="CC6" i="1" s="1"/>
  <c r="BY8" i="1"/>
  <c r="CC8" i="1" s="1"/>
  <c r="BY10" i="1"/>
  <c r="CC10" i="1" s="1"/>
  <c r="BY256" i="1"/>
  <c r="BY47" i="1"/>
  <c r="BY28" i="1"/>
  <c r="BY169" i="1"/>
  <c r="BY37" i="1"/>
  <c r="BY231" i="1"/>
  <c r="BY165" i="1"/>
  <c r="BY149" i="1"/>
  <c r="BY135" i="1"/>
  <c r="BY115" i="1"/>
  <c r="BY43" i="1"/>
  <c r="BY33" i="1"/>
  <c r="BY220" i="1"/>
  <c r="BY134" i="1"/>
  <c r="BY230" i="1"/>
  <c r="BY196" i="1"/>
  <c r="BY164" i="1"/>
  <c r="BY148" i="1"/>
  <c r="BY133" i="1"/>
  <c r="BY114" i="1"/>
  <c r="BY42" i="1"/>
  <c r="BY32" i="1"/>
  <c r="BY18" i="1"/>
  <c r="BY255" i="1"/>
  <c r="BY153" i="1"/>
  <c r="BY265" i="1"/>
  <c r="BY229" i="1"/>
  <c r="BY195" i="1"/>
  <c r="BY163" i="1"/>
  <c r="BY131" i="1"/>
  <c r="BY113" i="1"/>
  <c r="BY41" i="1"/>
  <c r="BY31" i="1"/>
  <c r="BY268" i="1"/>
  <c r="CC268" i="1" s="1"/>
  <c r="BY280" i="1"/>
  <c r="CC280" i="1" s="1"/>
  <c r="BY277" i="1"/>
  <c r="CC277" i="1" s="1"/>
  <c r="BY274" i="1"/>
  <c r="CC274" i="1" s="1"/>
  <c r="CC203" i="1"/>
  <c r="BY290" i="1"/>
  <c r="BY289" i="1"/>
  <c r="BY296" i="1"/>
  <c r="BY287" i="1"/>
  <c r="BY297" i="1"/>
  <c r="BY286" i="1"/>
  <c r="BY299" i="1"/>
  <c r="BY285" i="1"/>
  <c r="BY291" i="1"/>
  <c r="BY25" i="1"/>
  <c r="BY17" i="1"/>
  <c r="BY298" i="1"/>
  <c r="BY288" i="1"/>
  <c r="BY24" i="1"/>
  <c r="BY16" i="1"/>
  <c r="BY23" i="1"/>
  <c r="BY15" i="1"/>
  <c r="BY2" i="1"/>
  <c r="BY22" i="1"/>
  <c r="BY14" i="1"/>
  <c r="BY21" i="1"/>
  <c r="BY13" i="1"/>
  <c r="BY292" i="1"/>
  <c r="BY20" i="1"/>
  <c r="BY12" i="1"/>
  <c r="BY19" i="1"/>
  <c r="BY11" i="1"/>
  <c r="BY88" i="1"/>
  <c r="BY79" i="1"/>
  <c r="BY71" i="1"/>
  <c r="BY63" i="1"/>
  <c r="BY54" i="1"/>
  <c r="BY45" i="1"/>
  <c r="BY86" i="1"/>
  <c r="BY77" i="1"/>
  <c r="BY69" i="1"/>
  <c r="BY61" i="1"/>
  <c r="BY52" i="1"/>
  <c r="BY85" i="1"/>
  <c r="BY76" i="1"/>
  <c r="BY68" i="1"/>
  <c r="BY59" i="1"/>
  <c r="BY51" i="1"/>
  <c r="BY84" i="1"/>
  <c r="BY75" i="1"/>
  <c r="BY67" i="1"/>
  <c r="BY58" i="1"/>
  <c r="BY50" i="1"/>
  <c r="BY83" i="1"/>
  <c r="BY74" i="1"/>
  <c r="BY66" i="1"/>
  <c r="BY57" i="1"/>
  <c r="BY49" i="1"/>
  <c r="BY82" i="1"/>
  <c r="BY73" i="1"/>
  <c r="BY65" i="1"/>
  <c r="BY56" i="1"/>
  <c r="BY48" i="1"/>
  <c r="BY89" i="1"/>
  <c r="BY81" i="1"/>
  <c r="BY72" i="1"/>
  <c r="BY64" i="1"/>
  <c r="BY55" i="1"/>
  <c r="CB12" i="1"/>
  <c r="BU12" i="1"/>
  <c r="BW12" i="1" s="1"/>
  <c r="BF12" i="1"/>
  <c r="BE12" i="1"/>
  <c r="BD12" i="1"/>
  <c r="BB12" i="1"/>
  <c r="BA12" i="1"/>
  <c r="AZ12" i="1"/>
  <c r="AJ12" i="1"/>
  <c r="AL12" i="1" s="1"/>
  <c r="Y12" i="1"/>
  <c r="CC12" i="1" l="1"/>
  <c r="BH12" i="1"/>
  <c r="BJ12" i="1" s="1"/>
  <c r="BG12" i="1"/>
  <c r="BI12" i="1" s="1"/>
  <c r="CB123" i="1"/>
  <c r="CC123" i="1" s="1"/>
  <c r="BU123" i="1"/>
  <c r="BW123" i="1" s="1"/>
  <c r="BF123" i="1"/>
  <c r="BE123" i="1"/>
  <c r="BD123" i="1"/>
  <c r="BB123" i="1"/>
  <c r="BA123" i="1"/>
  <c r="AZ123" i="1"/>
  <c r="AJ123" i="1"/>
  <c r="AL123" i="1" s="1"/>
  <c r="Y123" i="1"/>
  <c r="R123" i="1"/>
  <c r="T123" i="1" s="1"/>
  <c r="BH123" i="1" l="1"/>
  <c r="BJ123" i="1" s="1"/>
  <c r="BG123" i="1"/>
  <c r="BI123" i="1" s="1"/>
  <c r="BD208" i="1"/>
  <c r="BH208" i="1" s="1"/>
  <c r="BD203" i="1"/>
  <c r="BH203" i="1" s="1"/>
  <c r="BG203" i="1" l="1"/>
  <c r="BI203" i="1" s="1"/>
  <c r="BJ203" i="1"/>
  <c r="BG208" i="1"/>
  <c r="BI208" i="1" s="1"/>
  <c r="BJ208" i="1"/>
  <c r="CB33" i="1" l="1"/>
  <c r="CC33" i="1" s="1"/>
  <c r="CB34" i="1"/>
  <c r="CC34" i="1" s="1"/>
  <c r="CB35" i="1"/>
  <c r="CC35" i="1" s="1"/>
  <c r="CB36" i="1"/>
  <c r="CC36" i="1" s="1"/>
  <c r="CB37" i="1"/>
  <c r="CC37"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1" i="1"/>
  <c r="CC81" i="1" s="1"/>
  <c r="CB82" i="1"/>
  <c r="CC82" i="1" s="1"/>
  <c r="CB83" i="1"/>
  <c r="CC83" i="1" s="1"/>
  <c r="CB84" i="1"/>
  <c r="CC84" i="1" s="1"/>
  <c r="CB85" i="1"/>
  <c r="CC85" i="1" s="1"/>
  <c r="CB86" i="1"/>
  <c r="CC86" i="1" s="1"/>
  <c r="CB87" i="1"/>
  <c r="CC87" i="1" s="1"/>
  <c r="CB88" i="1"/>
  <c r="CC88" i="1" s="1"/>
  <c r="CB89" i="1"/>
  <c r="CC89" i="1" s="1"/>
  <c r="CB41" i="1"/>
  <c r="CC41" i="1" s="1"/>
  <c r="CB42" i="1"/>
  <c r="CC42" i="1" s="1"/>
  <c r="CB43" i="1"/>
  <c r="CC43" i="1" s="1"/>
  <c r="CB44" i="1"/>
  <c r="CC44" i="1" s="1"/>
  <c r="CB45" i="1"/>
  <c r="CC45" i="1" s="1"/>
  <c r="CB98" i="1"/>
  <c r="CC98" i="1" s="1"/>
  <c r="CB99" i="1"/>
  <c r="CC99" i="1" s="1"/>
  <c r="CB101" i="1"/>
  <c r="CC101" i="1" s="1"/>
  <c r="CB102" i="1"/>
  <c r="CC102" i="1" s="1"/>
  <c r="CB103" i="1"/>
  <c r="CC103" i="1" s="1"/>
  <c r="CB104" i="1"/>
  <c r="CC104" i="1" s="1"/>
  <c r="CB106" i="1"/>
  <c r="CC106" i="1" s="1"/>
  <c r="CB107" i="1"/>
  <c r="CC107" i="1" s="1"/>
  <c r="CB109" i="1"/>
  <c r="CC109" i="1" s="1"/>
  <c r="CB111" i="1"/>
  <c r="CC111" i="1" s="1"/>
  <c r="CB112" i="1"/>
  <c r="CC112" i="1" s="1"/>
  <c r="CB113" i="1"/>
  <c r="CC113" i="1" s="1"/>
  <c r="CB114" i="1"/>
  <c r="CC114" i="1" s="1"/>
  <c r="CB115" i="1"/>
  <c r="CC115" i="1" s="1"/>
  <c r="CB116" i="1"/>
  <c r="CC116" i="1" s="1"/>
  <c r="CB118" i="1"/>
  <c r="CC118" i="1" s="1"/>
  <c r="CB119" i="1"/>
  <c r="CC119" i="1" s="1"/>
  <c r="CB120" i="1"/>
  <c r="CC120" i="1" s="1"/>
  <c r="CB121" i="1"/>
  <c r="CC121" i="1" s="1"/>
  <c r="CB122" i="1"/>
  <c r="CC122" i="1" s="1"/>
  <c r="CB124" i="1"/>
  <c r="CC124" i="1" s="1"/>
  <c r="CB125" i="1"/>
  <c r="CC125" i="1" s="1"/>
  <c r="CB127" i="1"/>
  <c r="CC127" i="1" s="1"/>
  <c r="CB129" i="1"/>
  <c r="CC129" i="1" s="1"/>
  <c r="CB126" i="1"/>
  <c r="CC126" i="1" s="1"/>
  <c r="CB128" i="1"/>
  <c r="CC128" i="1" s="1"/>
  <c r="CB131" i="1"/>
  <c r="CC131" i="1" s="1"/>
  <c r="CB133" i="1"/>
  <c r="CC133" i="1" s="1"/>
  <c r="CB135" i="1"/>
  <c r="CC135" i="1" s="1"/>
  <c r="CB137" i="1"/>
  <c r="CC137" i="1" s="1"/>
  <c r="CB130" i="1"/>
  <c r="CC130" i="1" s="1"/>
  <c r="CB132" i="1"/>
  <c r="CC132" i="1" s="1"/>
  <c r="CB134" i="1"/>
  <c r="CC134" i="1" s="1"/>
  <c r="CB136" i="1"/>
  <c r="CC136" i="1" s="1"/>
  <c r="CB138" i="1"/>
  <c r="CC138" i="1" s="1"/>
  <c r="CB139" i="1"/>
  <c r="CC139" i="1" s="1"/>
  <c r="CB140" i="1"/>
  <c r="CC140" i="1" s="1"/>
  <c r="CB141" i="1"/>
  <c r="CC141" i="1" s="1"/>
  <c r="CB142" i="1"/>
  <c r="CC142" i="1" s="1"/>
  <c r="CB143" i="1"/>
  <c r="CC143"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79" i="1"/>
  <c r="CC179"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4" i="1"/>
  <c r="CC204" i="1" s="1"/>
  <c r="CB205" i="1"/>
  <c r="CC205" i="1" s="1"/>
  <c r="CB206" i="1"/>
  <c r="CC206" i="1" s="1"/>
  <c r="CB207" i="1"/>
  <c r="CC207"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6" i="1"/>
  <c r="CC226" i="1" s="1"/>
  <c r="CB227" i="1"/>
  <c r="CC227" i="1" s="1"/>
  <c r="CB228" i="1"/>
  <c r="CC228" i="1" s="1"/>
  <c r="CB229" i="1"/>
  <c r="CC229" i="1" s="1"/>
  <c r="CB230" i="1"/>
  <c r="CC230" i="1" s="1"/>
  <c r="CB231" i="1"/>
  <c r="CC231" i="1" s="1"/>
  <c r="CB232" i="1"/>
  <c r="CC232" i="1" s="1"/>
  <c r="CB233" i="1"/>
  <c r="CC233" i="1" s="1"/>
  <c r="CB234" i="1"/>
  <c r="CC234" i="1" s="1"/>
  <c r="CB235" i="1"/>
  <c r="CC235" i="1" s="1"/>
  <c r="CB236" i="1"/>
  <c r="CC236" i="1" s="1"/>
  <c r="CB238" i="1"/>
  <c r="CC238" i="1" s="1"/>
  <c r="CB239" i="1"/>
  <c r="CC239" i="1" s="1"/>
  <c r="CB240" i="1"/>
  <c r="CC240" i="1" s="1"/>
  <c r="CB241" i="1"/>
  <c r="CC241" i="1" s="1"/>
  <c r="CB242" i="1"/>
  <c r="CC242" i="1" s="1"/>
  <c r="CB243" i="1"/>
  <c r="CC243" i="1" s="1"/>
  <c r="CB244" i="1"/>
  <c r="CC244" i="1" s="1"/>
  <c r="CB245" i="1"/>
  <c r="CC245" i="1" s="1"/>
  <c r="CB246" i="1"/>
  <c r="CC246" i="1" s="1"/>
  <c r="CB247" i="1"/>
  <c r="CC247" i="1" s="1"/>
  <c r="CB248" i="1"/>
  <c r="CC248" i="1" s="1"/>
  <c r="CB249" i="1"/>
  <c r="CC249" i="1" s="1"/>
  <c r="CB251" i="1"/>
  <c r="CC251" i="1" s="1"/>
  <c r="CB252" i="1"/>
  <c r="CC252" i="1" s="1"/>
  <c r="CB255" i="1"/>
  <c r="CC255" i="1" s="1"/>
  <c r="CB256" i="1"/>
  <c r="CC256" i="1" s="1"/>
  <c r="CB257" i="1"/>
  <c r="CC257" i="1" s="1"/>
  <c r="CB258" i="1"/>
  <c r="CC258" i="1" s="1"/>
  <c r="CB259" i="1"/>
  <c r="CC259" i="1" s="1"/>
  <c r="CB260" i="1"/>
  <c r="CC260" i="1" s="1"/>
  <c r="CB262" i="1"/>
  <c r="CC262" i="1" s="1"/>
  <c r="CB263" i="1"/>
  <c r="CC263" i="1" s="1"/>
  <c r="CB271" i="1"/>
  <c r="CC271" i="1" s="1"/>
  <c r="CB264" i="1"/>
  <c r="CC264" i="1" s="1"/>
  <c r="CB265" i="1"/>
  <c r="CC265" i="1" s="1"/>
  <c r="CB267" i="1"/>
  <c r="CC267" i="1" s="1"/>
  <c r="CB269" i="1"/>
  <c r="CC269" i="1" s="1"/>
  <c r="CB92" i="1"/>
  <c r="CC92" i="1" s="1"/>
  <c r="CB93" i="1"/>
  <c r="CC93" i="1" s="1"/>
  <c r="CB27" i="1"/>
  <c r="CC27" i="1" s="1"/>
  <c r="CB28" i="1"/>
  <c r="CC28" i="1" s="1"/>
  <c r="CB29" i="1"/>
  <c r="CC29" i="1" s="1"/>
  <c r="CB283" i="1"/>
  <c r="CC283" i="1" s="1"/>
  <c r="CB284" i="1"/>
  <c r="CC284" i="1" s="1"/>
  <c r="CB285" i="1"/>
  <c r="CC285" i="1" s="1"/>
  <c r="CB286" i="1"/>
  <c r="CC286" i="1" s="1"/>
  <c r="CB272" i="1"/>
  <c r="CC272" i="1" s="1"/>
  <c r="CB270" i="1"/>
  <c r="CC270" i="1" s="1"/>
  <c r="CB273" i="1"/>
  <c r="CC273" i="1" s="1"/>
  <c r="CB275" i="1"/>
  <c r="CC275" i="1" s="1"/>
  <c r="CB287" i="1"/>
  <c r="CC287" i="1" s="1"/>
  <c r="CB288" i="1"/>
  <c r="CC288" i="1" s="1"/>
  <c r="CB289" i="1"/>
  <c r="CC289" i="1" s="1"/>
  <c r="CB290" i="1"/>
  <c r="CC290" i="1" s="1"/>
  <c r="CB291" i="1"/>
  <c r="CC291" i="1" s="1"/>
  <c r="CB292" i="1"/>
  <c r="CC292" i="1" s="1"/>
  <c r="CB294" i="1"/>
  <c r="CC294" i="1" s="1"/>
  <c r="CB295" i="1"/>
  <c r="CC295" i="1" s="1"/>
  <c r="CB298" i="1"/>
  <c r="CC298" i="1" s="1"/>
  <c r="CB299" i="1"/>
  <c r="CC299" i="1" s="1"/>
  <c r="CB297" i="1"/>
  <c r="CC297" i="1" s="1"/>
  <c r="CB296" i="1"/>
  <c r="CC296" i="1" s="1"/>
  <c r="CB2" i="1"/>
  <c r="CC2" i="1" s="1"/>
  <c r="CB11" i="1"/>
  <c r="CC11" i="1" s="1"/>
  <c r="CB13" i="1"/>
  <c r="CC13" i="1" s="1"/>
  <c r="CB14" i="1"/>
  <c r="CC14" i="1" s="1"/>
  <c r="CB15" i="1"/>
  <c r="CC15" i="1" s="1"/>
  <c r="CB16" i="1"/>
  <c r="CC16" i="1" s="1"/>
  <c r="CB17" i="1"/>
  <c r="CC17" i="1" s="1"/>
  <c r="CB18" i="1"/>
  <c r="CC18" i="1" s="1"/>
  <c r="CB19" i="1"/>
  <c r="CC19" i="1" s="1"/>
  <c r="CB20" i="1"/>
  <c r="CC20" i="1" s="1"/>
  <c r="CB21" i="1"/>
  <c r="CC21" i="1" s="1"/>
  <c r="CB22" i="1"/>
  <c r="CC22" i="1" s="1"/>
  <c r="CB23" i="1"/>
  <c r="CC23" i="1" s="1"/>
  <c r="CB24" i="1"/>
  <c r="CC24" i="1" s="1"/>
  <c r="CB25" i="1"/>
  <c r="CC25" i="1" s="1"/>
  <c r="CB30" i="1"/>
  <c r="CC30" i="1" s="1"/>
  <c r="CB31" i="1"/>
  <c r="CC31" i="1" s="1"/>
  <c r="CB32" i="1"/>
  <c r="CC32" i="1" s="1"/>
  <c r="BU13" i="1" l="1"/>
  <c r="BW13" i="1" s="1"/>
  <c r="BF13" i="1"/>
  <c r="BE13" i="1"/>
  <c r="BD13" i="1"/>
  <c r="BB13" i="1"/>
  <c r="BA13" i="1"/>
  <c r="AZ13" i="1"/>
  <c r="AJ13" i="1"/>
  <c r="AL13" i="1" s="1"/>
  <c r="Y13" i="1"/>
  <c r="BU15" i="1"/>
  <c r="BW15" i="1" s="1"/>
  <c r="BF15" i="1"/>
  <c r="BE15" i="1"/>
  <c r="BD15" i="1"/>
  <c r="BB15" i="1"/>
  <c r="BA15" i="1"/>
  <c r="AZ15" i="1"/>
  <c r="AJ15" i="1"/>
  <c r="AL15" i="1" s="1"/>
  <c r="AL133" i="1" s="1"/>
  <c r="Y15" i="1"/>
  <c r="V133" i="1"/>
  <c r="Y133" i="1" s="1"/>
  <c r="R135" i="1"/>
  <c r="T135" i="1" s="1"/>
  <c r="R133" i="1"/>
  <c r="T133" i="1" s="1"/>
  <c r="V126" i="1"/>
  <c r="Y126" i="1" s="1"/>
  <c r="BU133" i="1"/>
  <c r="BW133" i="1" s="1"/>
  <c r="BF133" i="1"/>
  <c r="BE133" i="1"/>
  <c r="BD133" i="1"/>
  <c r="BB133" i="1"/>
  <c r="BA133" i="1"/>
  <c r="AZ133" i="1"/>
  <c r="AJ133" i="1"/>
  <c r="BU128" i="1"/>
  <c r="BW128" i="1" s="1"/>
  <c r="BF128" i="1"/>
  <c r="BE128" i="1"/>
  <c r="BD128" i="1"/>
  <c r="BB128" i="1"/>
  <c r="BA128" i="1"/>
  <c r="AZ128" i="1"/>
  <c r="AJ128" i="1"/>
  <c r="Y128" i="1"/>
  <c r="R128" i="1"/>
  <c r="T128" i="1" s="1"/>
  <c r="BU137" i="1"/>
  <c r="BW137" i="1" s="1"/>
  <c r="BF137" i="1"/>
  <c r="BE137" i="1"/>
  <c r="BD137" i="1"/>
  <c r="BB137" i="1"/>
  <c r="BA137" i="1"/>
  <c r="AZ137" i="1"/>
  <c r="AJ137" i="1"/>
  <c r="AL137" i="1" s="1"/>
  <c r="Y137" i="1"/>
  <c r="R137" i="1"/>
  <c r="T137" i="1" s="1"/>
  <c r="BU131" i="1"/>
  <c r="BW131" i="1" s="1"/>
  <c r="BF131" i="1"/>
  <c r="BE131" i="1"/>
  <c r="BD131" i="1"/>
  <c r="BB131" i="1"/>
  <c r="BA131" i="1"/>
  <c r="AZ131" i="1"/>
  <c r="AJ131" i="1"/>
  <c r="AL131" i="1" s="1"/>
  <c r="Y131" i="1"/>
  <c r="R131" i="1"/>
  <c r="T131" i="1" s="1"/>
  <c r="BU126" i="1"/>
  <c r="BW126" i="1" s="1"/>
  <c r="BF126" i="1"/>
  <c r="BE126" i="1"/>
  <c r="BD126" i="1"/>
  <c r="BB126" i="1"/>
  <c r="BA126" i="1"/>
  <c r="AZ126" i="1"/>
  <c r="AJ126" i="1"/>
  <c r="R126" i="1"/>
  <c r="T126" i="1" s="1"/>
  <c r="AL126" i="1" l="1"/>
  <c r="BH133" i="1"/>
  <c r="BJ133" i="1" s="1"/>
  <c r="BH137" i="1"/>
  <c r="BJ137" i="1" s="1"/>
  <c r="BH126" i="1"/>
  <c r="BJ126" i="1" s="1"/>
  <c r="BH15" i="1"/>
  <c r="BJ15" i="1" s="1"/>
  <c r="BH128" i="1"/>
  <c r="BJ128" i="1" s="1"/>
  <c r="BH13" i="1"/>
  <c r="BJ13" i="1" s="1"/>
  <c r="BH131" i="1"/>
  <c r="BJ131" i="1" s="1"/>
  <c r="BG13" i="1"/>
  <c r="BI13" i="1" s="1"/>
  <c r="BG15" i="1"/>
  <c r="BI15" i="1" s="1"/>
  <c r="BG133" i="1"/>
  <c r="BI133" i="1" s="1"/>
  <c r="BG128" i="1"/>
  <c r="BI128" i="1" s="1"/>
  <c r="BG131" i="1"/>
  <c r="BI131" i="1" s="1"/>
  <c r="BG137" i="1"/>
  <c r="BI137" i="1" s="1"/>
  <c r="BG126" i="1"/>
  <c r="BI126" i="1" s="1"/>
  <c r="BU44" i="1" l="1"/>
  <c r="BW44" i="1" s="1"/>
  <c r="BF44" i="1"/>
  <c r="BE44" i="1"/>
  <c r="BD44" i="1"/>
  <c r="BB44" i="1"/>
  <c r="BA44" i="1"/>
  <c r="AZ44" i="1"/>
  <c r="AJ44" i="1"/>
  <c r="AL44" i="1" s="1"/>
  <c r="Y44" i="1"/>
  <c r="BU41" i="1"/>
  <c r="BW41" i="1" s="1"/>
  <c r="BF41" i="1"/>
  <c r="BE41" i="1"/>
  <c r="BD41" i="1"/>
  <c r="BB41" i="1"/>
  <c r="BA41" i="1"/>
  <c r="AZ41" i="1"/>
  <c r="AJ41" i="1"/>
  <c r="AL41" i="1" s="1"/>
  <c r="Y41" i="1"/>
  <c r="BU43" i="1"/>
  <c r="BW43" i="1" s="1"/>
  <c r="BF43" i="1"/>
  <c r="BE43" i="1"/>
  <c r="BD43" i="1"/>
  <c r="BB43" i="1"/>
  <c r="BA43" i="1"/>
  <c r="AZ43" i="1"/>
  <c r="AJ43" i="1"/>
  <c r="AL43" i="1" s="1"/>
  <c r="Y43" i="1"/>
  <c r="BU42" i="1"/>
  <c r="BW42" i="1" s="1"/>
  <c r="BF42" i="1"/>
  <c r="BE42" i="1"/>
  <c r="BD42" i="1"/>
  <c r="BB42" i="1"/>
  <c r="BA42" i="1"/>
  <c r="AZ42" i="1"/>
  <c r="AJ42" i="1"/>
  <c r="AL42" i="1" s="1"/>
  <c r="Y42" i="1"/>
  <c r="AY37" i="1"/>
  <c r="AY36" i="1"/>
  <c r="AY35" i="1"/>
  <c r="AY34" i="1"/>
  <c r="AY33" i="1"/>
  <c r="AY32" i="1"/>
  <c r="AY31" i="1"/>
  <c r="AY30" i="1"/>
  <c r="BH41" i="1" l="1"/>
  <c r="BJ41" i="1" s="1"/>
  <c r="BH42" i="1"/>
  <c r="BJ42" i="1" s="1"/>
  <c r="BH44" i="1"/>
  <c r="BJ44" i="1" s="1"/>
  <c r="BH43" i="1"/>
  <c r="BJ43" i="1" s="1"/>
  <c r="BG43" i="1"/>
  <c r="BI43" i="1" s="1"/>
  <c r="BG44" i="1"/>
  <c r="BI44" i="1" s="1"/>
  <c r="BG41" i="1"/>
  <c r="BI41" i="1" s="1"/>
  <c r="BG42" i="1"/>
  <c r="BI42" i="1" s="1"/>
  <c r="R116" i="1"/>
  <c r="T116" i="1" s="1"/>
  <c r="U257" i="1"/>
  <c r="Y257" i="1" s="1"/>
  <c r="BU257" i="1"/>
  <c r="BW257" i="1" s="1"/>
  <c r="BF257" i="1"/>
  <c r="BE257" i="1"/>
  <c r="BD257" i="1"/>
  <c r="BB257" i="1"/>
  <c r="BA257" i="1"/>
  <c r="AZ257" i="1"/>
  <c r="AJ257" i="1"/>
  <c r="AL257" i="1" s="1"/>
  <c r="U231" i="1"/>
  <c r="Y231" i="1" s="1"/>
  <c r="BU231" i="1"/>
  <c r="BW231" i="1" s="1"/>
  <c r="BF231" i="1"/>
  <c r="BE231" i="1"/>
  <c r="BD231" i="1"/>
  <c r="BB231" i="1"/>
  <c r="BA231" i="1"/>
  <c r="AZ231" i="1"/>
  <c r="AJ231" i="1"/>
  <c r="AL231" i="1" s="1"/>
  <c r="U252" i="1"/>
  <c r="BU251" i="1"/>
  <c r="BW251" i="1" s="1"/>
  <c r="BF251" i="1"/>
  <c r="BE251" i="1"/>
  <c r="BB251" i="1"/>
  <c r="BA251" i="1"/>
  <c r="AZ251" i="1"/>
  <c r="AJ251" i="1"/>
  <c r="AL251" i="1" s="1"/>
  <c r="AH251" i="1"/>
  <c r="BD251" i="1" s="1"/>
  <c r="Y251" i="1"/>
  <c r="U265" i="1"/>
  <c r="BU264" i="1"/>
  <c r="BW264" i="1" s="1"/>
  <c r="BF264" i="1"/>
  <c r="BE264" i="1"/>
  <c r="BD264" i="1"/>
  <c r="BB264" i="1"/>
  <c r="BA264" i="1"/>
  <c r="AZ264" i="1"/>
  <c r="AJ264" i="1"/>
  <c r="AL264" i="1" s="1"/>
  <c r="Y264" i="1"/>
  <c r="U260" i="1"/>
  <c r="Y260" i="1" s="1"/>
  <c r="BU260" i="1"/>
  <c r="BW260" i="1" s="1"/>
  <c r="BF260" i="1"/>
  <c r="BE260" i="1"/>
  <c r="BD260" i="1"/>
  <c r="BB260" i="1"/>
  <c r="AZ260" i="1"/>
  <c r="AJ260" i="1"/>
  <c r="AL260" i="1" s="1"/>
  <c r="L260" i="1"/>
  <c r="BA260" i="1" s="1"/>
  <c r="U240" i="1"/>
  <c r="Y240" i="1" s="1"/>
  <c r="BU240" i="1"/>
  <c r="BW240" i="1" s="1"/>
  <c r="BF240" i="1"/>
  <c r="BE240" i="1"/>
  <c r="BD240" i="1"/>
  <c r="BB240" i="1"/>
  <c r="BA240" i="1"/>
  <c r="AZ240" i="1"/>
  <c r="AJ240" i="1"/>
  <c r="AL240" i="1" s="1"/>
  <c r="U224" i="1"/>
  <c r="Y224" i="1" s="1"/>
  <c r="BU224" i="1"/>
  <c r="BW224" i="1" s="1"/>
  <c r="BF224" i="1"/>
  <c r="BE224" i="1"/>
  <c r="BD224" i="1"/>
  <c r="BB224" i="1"/>
  <c r="BA224" i="1"/>
  <c r="AZ224" i="1"/>
  <c r="AJ224" i="1"/>
  <c r="AL224" i="1" s="1"/>
  <c r="U247" i="1"/>
  <c r="Y247" i="1" s="1"/>
  <c r="U256" i="1"/>
  <c r="Y256" i="1" s="1"/>
  <c r="BU256" i="1"/>
  <c r="BW256" i="1" s="1"/>
  <c r="BF256" i="1"/>
  <c r="BE256" i="1"/>
  <c r="BD256" i="1"/>
  <c r="BB256" i="1"/>
  <c r="BA256" i="1"/>
  <c r="AZ256" i="1"/>
  <c r="AJ256" i="1"/>
  <c r="AL256" i="1" s="1"/>
  <c r="U230" i="1"/>
  <c r="Y230" i="1" s="1"/>
  <c r="BU230" i="1"/>
  <c r="BW230" i="1" s="1"/>
  <c r="BF230" i="1"/>
  <c r="BE230" i="1"/>
  <c r="BD230" i="1"/>
  <c r="BB230" i="1"/>
  <c r="BA230" i="1"/>
  <c r="AZ230" i="1"/>
  <c r="AJ230" i="1"/>
  <c r="AL230" i="1" s="1"/>
  <c r="BU247" i="1"/>
  <c r="BW247" i="1" s="1"/>
  <c r="BF247" i="1"/>
  <c r="BE247" i="1"/>
  <c r="BD247" i="1"/>
  <c r="BB247" i="1"/>
  <c r="BA247" i="1"/>
  <c r="AZ247" i="1"/>
  <c r="AJ247" i="1"/>
  <c r="AL247" i="1" s="1"/>
  <c r="BH257" i="1" l="1"/>
  <c r="BJ257" i="1" s="1"/>
  <c r="BH264" i="1"/>
  <c r="BJ264" i="1" s="1"/>
  <c r="BH224" i="1"/>
  <c r="BJ224" i="1" s="1"/>
  <c r="BH247" i="1"/>
  <c r="BJ247" i="1" s="1"/>
  <c r="BH240" i="1"/>
  <c r="BJ240" i="1" s="1"/>
  <c r="BH251" i="1"/>
  <c r="BJ251" i="1" s="1"/>
  <c r="BH230" i="1"/>
  <c r="BJ230" i="1" s="1"/>
  <c r="BH260" i="1"/>
  <c r="BJ260" i="1" s="1"/>
  <c r="BH231" i="1"/>
  <c r="BJ231" i="1" s="1"/>
  <c r="BH256" i="1"/>
  <c r="BJ256" i="1" s="1"/>
  <c r="BG264" i="1"/>
  <c r="BI264" i="1" s="1"/>
  <c r="BG251" i="1"/>
  <c r="BI251" i="1" s="1"/>
  <c r="BG247" i="1"/>
  <c r="BI247" i="1" s="1"/>
  <c r="BG256" i="1"/>
  <c r="BI256" i="1" s="1"/>
  <c r="BG260" i="1"/>
  <c r="BI260" i="1" s="1"/>
  <c r="BG240" i="1"/>
  <c r="BI240" i="1" s="1"/>
  <c r="BG257" i="1"/>
  <c r="BI257" i="1" s="1"/>
  <c r="BG231" i="1"/>
  <c r="BI231" i="1" s="1"/>
  <c r="AI264" i="1"/>
  <c r="AI240" i="1"/>
  <c r="BG224" i="1"/>
  <c r="BI224" i="1" s="1"/>
  <c r="BG230" i="1"/>
  <c r="BI230" i="1" s="1"/>
  <c r="AI247" i="1"/>
  <c r="BU33" i="1"/>
  <c r="BW33" i="1" s="1"/>
  <c r="BF33" i="1"/>
  <c r="BE33" i="1"/>
  <c r="BD33" i="1"/>
  <c r="BB33" i="1"/>
  <c r="BA33" i="1"/>
  <c r="AZ33" i="1"/>
  <c r="AJ33" i="1"/>
  <c r="AL33" i="1" s="1"/>
  <c r="Y33" i="1"/>
  <c r="BH33" i="1" l="1"/>
  <c r="BJ33" i="1" s="1"/>
  <c r="BG33" i="1"/>
  <c r="BI33" i="1" s="1"/>
  <c r="BF32" i="1" l="1"/>
  <c r="BF30" i="1"/>
  <c r="BF31" i="1"/>
  <c r="BF93" i="1"/>
  <c r="BF81" i="1"/>
  <c r="BF75" i="1"/>
  <c r="BF61" i="1"/>
  <c r="BF47" i="1"/>
  <c r="BF35" i="1"/>
  <c r="BF37" i="1"/>
  <c r="BF36" i="1"/>
  <c r="BF34" i="1"/>
  <c r="BF70" i="1"/>
  <c r="BF88" i="1"/>
  <c r="BF82" i="1"/>
  <c r="BF45" i="1"/>
  <c r="BF48" i="1"/>
  <c r="BF71" i="1"/>
  <c r="BF62" i="1"/>
  <c r="BF76" i="1"/>
  <c r="BF63" i="1"/>
  <c r="BF89" i="1"/>
  <c r="BF56" i="1"/>
  <c r="BF83" i="1"/>
  <c r="BF64" i="1"/>
  <c r="BF72" i="1"/>
  <c r="BF77" i="1"/>
  <c r="BF65" i="1"/>
  <c r="BF49" i="1"/>
  <c r="BF57" i="1"/>
  <c r="BF74" i="1"/>
  <c r="BF50" i="1"/>
  <c r="BF58" i="1"/>
  <c r="BF87" i="1"/>
  <c r="BF85" i="1"/>
  <c r="BF78" i="1"/>
  <c r="BF68" i="1"/>
  <c r="BF51" i="1"/>
  <c r="BF73" i="1"/>
  <c r="BF84" i="1"/>
  <c r="BF69" i="1"/>
  <c r="BF59" i="1"/>
  <c r="BF52" i="1"/>
  <c r="BF66" i="1"/>
  <c r="BF86" i="1"/>
  <c r="BF54" i="1"/>
  <c r="BF53" i="1"/>
  <c r="BF55" i="1"/>
  <c r="BF67" i="1"/>
  <c r="BF79" i="1"/>
  <c r="BF2" i="1"/>
  <c r="BF11" i="1"/>
  <c r="BF14" i="1"/>
  <c r="BF16" i="1"/>
  <c r="BF17" i="1"/>
  <c r="BF18" i="1"/>
  <c r="BF19" i="1"/>
  <c r="BF20" i="1"/>
  <c r="BF21" i="1"/>
  <c r="BF22" i="1"/>
  <c r="BF23" i="1"/>
  <c r="BF24" i="1"/>
  <c r="BF25" i="1"/>
  <c r="BF98" i="1"/>
  <c r="BF99" i="1"/>
  <c r="BF101" i="1"/>
  <c r="BF102" i="1"/>
  <c r="BF103" i="1"/>
  <c r="BF104" i="1"/>
  <c r="BF106" i="1"/>
  <c r="BF107" i="1"/>
  <c r="BF109" i="1"/>
  <c r="BF111" i="1"/>
  <c r="BF112" i="1"/>
  <c r="BF113" i="1"/>
  <c r="BF114" i="1"/>
  <c r="BF115" i="1"/>
  <c r="BF116" i="1"/>
  <c r="BF135" i="1"/>
  <c r="BF267" i="1"/>
  <c r="BF215" i="1"/>
  <c r="BF27" i="1"/>
  <c r="BF28" i="1"/>
  <c r="BF29" i="1"/>
  <c r="BF283" i="1"/>
  <c r="BF284" i="1"/>
  <c r="BF285" i="1"/>
  <c r="BF286" i="1"/>
  <c r="BF272" i="1"/>
  <c r="BF270" i="1"/>
  <c r="BF273" i="1"/>
  <c r="BF275" i="1"/>
  <c r="BF287" i="1"/>
  <c r="BF288" i="1"/>
  <c r="BF289" i="1"/>
  <c r="BF290" i="1"/>
  <c r="BF291" i="1"/>
  <c r="BF292" i="1"/>
  <c r="BF294" i="1"/>
  <c r="BF295" i="1"/>
  <c r="BF298" i="1"/>
  <c r="BF299" i="1"/>
  <c r="BF297" i="1"/>
  <c r="BF296" i="1"/>
  <c r="BF217" i="1"/>
  <c r="BF218" i="1"/>
  <c r="BF219" i="1"/>
  <c r="BF220" i="1"/>
  <c r="BF221" i="1"/>
  <c r="BF175" i="1"/>
  <c r="BF222" i="1"/>
  <c r="BF223" i="1"/>
  <c r="BF225" i="1"/>
  <c r="BF226" i="1"/>
  <c r="BF227" i="1"/>
  <c r="BF228" i="1"/>
  <c r="BF229" i="1"/>
  <c r="BF232" i="1"/>
  <c r="BF233" i="1"/>
  <c r="BF234" i="1"/>
  <c r="BF235" i="1"/>
  <c r="BF236" i="1"/>
  <c r="BF238" i="1"/>
  <c r="BF239" i="1"/>
  <c r="BF241" i="1"/>
  <c r="BF242" i="1"/>
  <c r="BF243" i="1"/>
  <c r="BF244" i="1"/>
  <c r="BF245" i="1"/>
  <c r="BF248" i="1"/>
  <c r="BF249" i="1"/>
  <c r="BF252" i="1"/>
  <c r="BF255" i="1"/>
  <c r="BF258" i="1"/>
  <c r="BF259" i="1"/>
  <c r="BF262" i="1"/>
  <c r="BF263" i="1"/>
  <c r="BF265" i="1"/>
  <c r="BF269" i="1"/>
  <c r="BF271" i="1"/>
  <c r="BF246" i="1"/>
  <c r="BF118" i="1"/>
  <c r="BF119" i="1"/>
  <c r="BF120" i="1"/>
  <c r="BF216" i="1"/>
  <c r="BF121" i="1"/>
  <c r="BF122" i="1"/>
  <c r="BF124" i="1"/>
  <c r="BF125" i="1"/>
  <c r="BF127" i="1"/>
  <c r="BF129" i="1"/>
  <c r="BF130" i="1"/>
  <c r="BF132" i="1"/>
  <c r="BF134" i="1"/>
  <c r="BF136" i="1"/>
  <c r="BF138" i="1"/>
  <c r="BF139" i="1"/>
  <c r="BF140" i="1"/>
  <c r="BF141" i="1"/>
  <c r="BF142" i="1"/>
  <c r="BF143" i="1"/>
  <c r="BF145" i="1"/>
  <c r="BF146" i="1"/>
  <c r="BF148" i="1"/>
  <c r="BF147" i="1"/>
  <c r="BF149" i="1"/>
  <c r="BF150" i="1"/>
  <c r="BF151" i="1"/>
  <c r="BF152" i="1"/>
  <c r="BF153" i="1"/>
  <c r="BF154" i="1"/>
  <c r="BF155" i="1"/>
  <c r="BF156" i="1"/>
  <c r="BF157" i="1"/>
  <c r="BF158" i="1"/>
  <c r="BF159" i="1"/>
  <c r="BF160" i="1"/>
  <c r="BF161" i="1"/>
  <c r="BF162" i="1"/>
  <c r="BF163" i="1"/>
  <c r="BF164" i="1"/>
  <c r="BF165" i="1"/>
  <c r="BF166" i="1"/>
  <c r="BF167" i="1"/>
  <c r="BF168" i="1"/>
  <c r="BF169" i="1"/>
  <c r="BF170" i="1"/>
  <c r="BF171" i="1"/>
  <c r="BF172" i="1"/>
  <c r="BF173" i="1"/>
  <c r="BF174" i="1"/>
  <c r="BF176" i="1"/>
  <c r="BF177" i="1"/>
  <c r="BF178" i="1"/>
  <c r="BF179" i="1"/>
  <c r="BF180" i="1"/>
  <c r="BF181" i="1"/>
  <c r="BF182" i="1"/>
  <c r="BF183" i="1"/>
  <c r="BF184" i="1"/>
  <c r="BF185" i="1"/>
  <c r="BF186" i="1"/>
  <c r="BF187" i="1"/>
  <c r="BF188" i="1"/>
  <c r="BF189" i="1"/>
  <c r="BF190" i="1"/>
  <c r="BF191" i="1"/>
  <c r="BF192" i="1"/>
  <c r="BF193" i="1"/>
  <c r="BF194" i="1"/>
  <c r="BF195" i="1"/>
  <c r="BF196" i="1"/>
  <c r="BF197" i="1"/>
  <c r="BF198" i="1"/>
  <c r="BF199" i="1"/>
  <c r="BF200" i="1"/>
  <c r="BF201" i="1"/>
  <c r="BF202" i="1"/>
  <c r="BF204" i="1"/>
  <c r="BF205" i="1"/>
  <c r="BF206" i="1"/>
  <c r="BF207" i="1"/>
  <c r="BF209" i="1"/>
  <c r="BF210" i="1"/>
  <c r="BF211" i="1"/>
  <c r="BF212" i="1"/>
  <c r="BF213" i="1"/>
  <c r="BF214" i="1"/>
  <c r="BF92" i="1"/>
  <c r="BD32" i="1"/>
  <c r="BD30" i="1"/>
  <c r="BD31" i="1"/>
  <c r="BD93" i="1"/>
  <c r="BD81" i="1"/>
  <c r="BD75" i="1"/>
  <c r="BD61" i="1"/>
  <c r="BD47" i="1"/>
  <c r="BD35" i="1"/>
  <c r="BD37" i="1"/>
  <c r="BD36" i="1"/>
  <c r="BD34" i="1"/>
  <c r="BD70" i="1"/>
  <c r="BD88" i="1"/>
  <c r="BD82" i="1"/>
  <c r="BD45" i="1"/>
  <c r="BD48" i="1"/>
  <c r="BD71" i="1"/>
  <c r="BD62" i="1"/>
  <c r="BD76" i="1"/>
  <c r="BD63" i="1"/>
  <c r="BD89" i="1"/>
  <c r="BD56" i="1"/>
  <c r="BD83" i="1"/>
  <c r="BD64" i="1"/>
  <c r="BD72" i="1"/>
  <c r="BD77" i="1"/>
  <c r="BD49" i="1"/>
  <c r="BD57" i="1"/>
  <c r="BD74" i="1"/>
  <c r="BD50" i="1"/>
  <c r="BD58" i="1"/>
  <c r="BD87" i="1"/>
  <c r="BD85" i="1"/>
  <c r="BD78" i="1"/>
  <c r="BD68" i="1"/>
  <c r="BD51" i="1"/>
  <c r="BD73" i="1"/>
  <c r="BD84" i="1"/>
  <c r="BD69" i="1"/>
  <c r="BD59" i="1"/>
  <c r="BD52" i="1"/>
  <c r="BD66" i="1"/>
  <c r="BD86" i="1"/>
  <c r="BD54" i="1"/>
  <c r="BD53" i="1"/>
  <c r="BD55" i="1"/>
  <c r="BD67" i="1"/>
  <c r="BD79" i="1"/>
  <c r="BD2" i="1"/>
  <c r="BD11" i="1"/>
  <c r="BD14" i="1"/>
  <c r="BD16" i="1"/>
  <c r="BD17" i="1"/>
  <c r="BD18" i="1"/>
  <c r="BD19" i="1"/>
  <c r="BD20" i="1"/>
  <c r="BD21" i="1"/>
  <c r="BD22" i="1"/>
  <c r="BD23" i="1"/>
  <c r="BD24" i="1"/>
  <c r="BD25" i="1"/>
  <c r="BD98" i="1"/>
  <c r="BD99" i="1"/>
  <c r="BD101" i="1"/>
  <c r="BD102" i="1"/>
  <c r="BD103" i="1"/>
  <c r="BD104" i="1"/>
  <c r="BD106" i="1"/>
  <c r="BD107" i="1"/>
  <c r="BD109" i="1"/>
  <c r="BD111" i="1"/>
  <c r="BD112" i="1"/>
  <c r="BD113" i="1"/>
  <c r="BD114" i="1"/>
  <c r="BD115" i="1"/>
  <c r="BD116" i="1"/>
  <c r="BD135" i="1"/>
  <c r="BD267" i="1"/>
  <c r="BD215" i="1"/>
  <c r="BD27" i="1"/>
  <c r="BD28" i="1"/>
  <c r="BD29" i="1"/>
  <c r="BD283" i="1"/>
  <c r="BD284" i="1"/>
  <c r="BD285" i="1"/>
  <c r="BD286" i="1"/>
  <c r="BD272" i="1"/>
  <c r="BD270" i="1"/>
  <c r="BD273" i="1"/>
  <c r="BD275" i="1"/>
  <c r="BD287" i="1"/>
  <c r="BD288" i="1"/>
  <c r="BD289" i="1"/>
  <c r="BD290" i="1"/>
  <c r="BD292" i="1"/>
  <c r="BD294" i="1"/>
  <c r="BD295" i="1"/>
  <c r="BD298" i="1"/>
  <c r="BD299" i="1"/>
  <c r="BD297" i="1"/>
  <c r="BD296" i="1"/>
  <c r="BD217" i="1"/>
  <c r="BD218" i="1"/>
  <c r="BD219" i="1"/>
  <c r="BD221" i="1"/>
  <c r="BD175" i="1"/>
  <c r="BD222" i="1"/>
  <c r="BD223" i="1"/>
  <c r="BD225" i="1"/>
  <c r="BD226" i="1"/>
  <c r="BD227" i="1"/>
  <c r="BD228" i="1"/>
  <c r="BD229" i="1"/>
  <c r="BD232" i="1"/>
  <c r="BD233" i="1"/>
  <c r="BD234" i="1"/>
  <c r="BD235" i="1"/>
  <c r="BD236" i="1"/>
  <c r="BD238" i="1"/>
  <c r="BD239" i="1"/>
  <c r="BD241" i="1"/>
  <c r="BD242" i="1"/>
  <c r="BD243" i="1"/>
  <c r="BD244" i="1"/>
  <c r="BD245" i="1"/>
  <c r="BD248" i="1"/>
  <c r="BD249" i="1"/>
  <c r="BD255" i="1"/>
  <c r="BD258" i="1"/>
  <c r="BD259" i="1"/>
  <c r="BD262" i="1"/>
  <c r="BD263" i="1"/>
  <c r="BD265" i="1"/>
  <c r="BD269" i="1"/>
  <c r="BD271" i="1"/>
  <c r="BD246" i="1"/>
  <c r="BD118" i="1"/>
  <c r="BD119" i="1"/>
  <c r="BD120" i="1"/>
  <c r="BD216" i="1"/>
  <c r="BD121" i="1"/>
  <c r="BD122" i="1"/>
  <c r="BD124" i="1"/>
  <c r="BD125" i="1"/>
  <c r="BD127" i="1"/>
  <c r="BD129" i="1"/>
  <c r="BD130" i="1"/>
  <c r="BD132" i="1"/>
  <c r="BD134" i="1"/>
  <c r="BD136" i="1"/>
  <c r="BD138" i="1"/>
  <c r="BD139" i="1"/>
  <c r="BD140" i="1"/>
  <c r="BD141" i="1"/>
  <c r="BD142" i="1"/>
  <c r="BD143" i="1"/>
  <c r="BD145" i="1"/>
  <c r="BD146" i="1"/>
  <c r="BD148" i="1"/>
  <c r="BD147"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4" i="1"/>
  <c r="BD205" i="1"/>
  <c r="BD206" i="1"/>
  <c r="BD207" i="1"/>
  <c r="BD209" i="1"/>
  <c r="BD210" i="1"/>
  <c r="BD211" i="1"/>
  <c r="BD212" i="1"/>
  <c r="BD213" i="1"/>
  <c r="BD214" i="1"/>
  <c r="BD92" i="1"/>
  <c r="AZ32" i="1"/>
  <c r="BA32" i="1"/>
  <c r="BB32" i="1"/>
  <c r="BE32" i="1"/>
  <c r="AZ30" i="1"/>
  <c r="BA30" i="1"/>
  <c r="BB30" i="1"/>
  <c r="BE30" i="1"/>
  <c r="AZ31" i="1"/>
  <c r="BA31" i="1"/>
  <c r="BB31" i="1"/>
  <c r="BE31" i="1"/>
  <c r="AZ93" i="1"/>
  <c r="BA93" i="1"/>
  <c r="BB93" i="1"/>
  <c r="BE93" i="1"/>
  <c r="AZ81" i="1"/>
  <c r="BA81" i="1"/>
  <c r="BB81" i="1"/>
  <c r="BE81" i="1"/>
  <c r="AZ75" i="1"/>
  <c r="BA75" i="1"/>
  <c r="BB75" i="1"/>
  <c r="BE75" i="1"/>
  <c r="AZ61" i="1"/>
  <c r="BA61" i="1"/>
  <c r="BB61" i="1"/>
  <c r="BE61" i="1"/>
  <c r="AZ47" i="1"/>
  <c r="BA47" i="1"/>
  <c r="BB47" i="1"/>
  <c r="BE47" i="1"/>
  <c r="AZ35" i="1"/>
  <c r="BA35" i="1"/>
  <c r="BB35" i="1"/>
  <c r="BE35" i="1"/>
  <c r="AZ37" i="1"/>
  <c r="BA37" i="1"/>
  <c r="BB37" i="1"/>
  <c r="BE37" i="1"/>
  <c r="AZ36" i="1"/>
  <c r="BA36" i="1"/>
  <c r="BB36" i="1"/>
  <c r="BE36" i="1"/>
  <c r="AZ34" i="1"/>
  <c r="BA34" i="1"/>
  <c r="BB34" i="1"/>
  <c r="BE34" i="1"/>
  <c r="AZ70" i="1"/>
  <c r="BA70" i="1"/>
  <c r="BB70" i="1"/>
  <c r="BE70" i="1"/>
  <c r="AZ88" i="1"/>
  <c r="BA88" i="1"/>
  <c r="BB88" i="1"/>
  <c r="BE88" i="1"/>
  <c r="AZ82" i="1"/>
  <c r="BA82" i="1"/>
  <c r="BB82" i="1"/>
  <c r="BE82" i="1"/>
  <c r="AZ45" i="1"/>
  <c r="BA45" i="1"/>
  <c r="BB45" i="1"/>
  <c r="BE45" i="1"/>
  <c r="AZ48" i="1"/>
  <c r="BA48" i="1"/>
  <c r="BB48" i="1"/>
  <c r="BE48" i="1"/>
  <c r="AZ71" i="1"/>
  <c r="BA71" i="1"/>
  <c r="BB71" i="1"/>
  <c r="BE71" i="1"/>
  <c r="AZ62" i="1"/>
  <c r="BA62" i="1"/>
  <c r="BB62" i="1"/>
  <c r="BE62" i="1"/>
  <c r="AZ76" i="1"/>
  <c r="BA76" i="1"/>
  <c r="BB76" i="1"/>
  <c r="BE76" i="1"/>
  <c r="AZ63" i="1"/>
  <c r="BA63" i="1"/>
  <c r="BB63" i="1"/>
  <c r="BE63" i="1"/>
  <c r="AZ89" i="1"/>
  <c r="BA89" i="1"/>
  <c r="BB89" i="1"/>
  <c r="BE89" i="1"/>
  <c r="AZ56" i="1"/>
  <c r="BA56" i="1"/>
  <c r="BB56" i="1"/>
  <c r="BE56" i="1"/>
  <c r="AZ83" i="1"/>
  <c r="BA83" i="1"/>
  <c r="BB83" i="1"/>
  <c r="BE83" i="1"/>
  <c r="AZ64" i="1"/>
  <c r="BA64" i="1"/>
  <c r="BB64" i="1"/>
  <c r="BE64" i="1"/>
  <c r="AZ72" i="1"/>
  <c r="BA72" i="1"/>
  <c r="BB72" i="1"/>
  <c r="BE72" i="1"/>
  <c r="AZ77" i="1"/>
  <c r="BA77" i="1"/>
  <c r="BB77" i="1"/>
  <c r="BE77" i="1"/>
  <c r="AZ65" i="1"/>
  <c r="BA65" i="1"/>
  <c r="BB65" i="1"/>
  <c r="BE65" i="1"/>
  <c r="AZ49" i="1"/>
  <c r="BA49" i="1"/>
  <c r="BB49" i="1"/>
  <c r="BE49" i="1"/>
  <c r="AZ57" i="1"/>
  <c r="BA57" i="1"/>
  <c r="BB57" i="1"/>
  <c r="BE57" i="1"/>
  <c r="AZ74" i="1"/>
  <c r="BA74" i="1"/>
  <c r="BB74" i="1"/>
  <c r="BE74" i="1"/>
  <c r="AZ50" i="1"/>
  <c r="BA50" i="1"/>
  <c r="BB50" i="1"/>
  <c r="BE50" i="1"/>
  <c r="AZ58" i="1"/>
  <c r="BA58" i="1"/>
  <c r="BB58" i="1"/>
  <c r="BE58" i="1"/>
  <c r="AZ87" i="1"/>
  <c r="BA87" i="1"/>
  <c r="BB87" i="1"/>
  <c r="BE87" i="1"/>
  <c r="AZ85" i="1"/>
  <c r="BA85" i="1"/>
  <c r="BB85" i="1"/>
  <c r="BE85" i="1"/>
  <c r="AZ78" i="1"/>
  <c r="BA78" i="1"/>
  <c r="BB78" i="1"/>
  <c r="BE78" i="1"/>
  <c r="AZ68" i="1"/>
  <c r="BA68" i="1"/>
  <c r="BB68" i="1"/>
  <c r="BE68" i="1"/>
  <c r="AZ51" i="1"/>
  <c r="BA51" i="1"/>
  <c r="BB51" i="1"/>
  <c r="BE51" i="1"/>
  <c r="AZ73" i="1"/>
  <c r="BA73" i="1"/>
  <c r="BB73" i="1"/>
  <c r="BE73" i="1"/>
  <c r="AZ84" i="1"/>
  <c r="BA84" i="1"/>
  <c r="BB84" i="1"/>
  <c r="BE84" i="1"/>
  <c r="AZ69" i="1"/>
  <c r="BA69" i="1"/>
  <c r="BB69" i="1"/>
  <c r="BE69" i="1"/>
  <c r="AZ59" i="1"/>
  <c r="BA59" i="1"/>
  <c r="BB59" i="1"/>
  <c r="BE59" i="1"/>
  <c r="AZ52" i="1"/>
  <c r="BA52" i="1"/>
  <c r="BB52" i="1"/>
  <c r="BE52" i="1"/>
  <c r="AZ66" i="1"/>
  <c r="BA66" i="1"/>
  <c r="BB66" i="1"/>
  <c r="BE66" i="1"/>
  <c r="AZ86" i="1"/>
  <c r="BA86" i="1"/>
  <c r="BB86" i="1"/>
  <c r="BE86" i="1"/>
  <c r="AZ54" i="1"/>
  <c r="BA54" i="1"/>
  <c r="BB54" i="1"/>
  <c r="BE54" i="1"/>
  <c r="AZ53" i="1"/>
  <c r="BA53" i="1"/>
  <c r="BB53" i="1"/>
  <c r="BE53" i="1"/>
  <c r="AZ55" i="1"/>
  <c r="BA55" i="1"/>
  <c r="BB55" i="1"/>
  <c r="BE55" i="1"/>
  <c r="AZ67" i="1"/>
  <c r="BA67" i="1"/>
  <c r="BB67" i="1"/>
  <c r="BE67" i="1"/>
  <c r="AZ79" i="1"/>
  <c r="BA79" i="1"/>
  <c r="BB79" i="1"/>
  <c r="BE79" i="1"/>
  <c r="AZ2" i="1"/>
  <c r="BA2" i="1"/>
  <c r="BB2" i="1"/>
  <c r="BE2" i="1"/>
  <c r="AZ11" i="1"/>
  <c r="BA11" i="1"/>
  <c r="BB11" i="1"/>
  <c r="BE11" i="1"/>
  <c r="AZ14" i="1"/>
  <c r="BA14" i="1"/>
  <c r="BB14" i="1"/>
  <c r="BE14" i="1"/>
  <c r="AZ16" i="1"/>
  <c r="BA16" i="1"/>
  <c r="BB16" i="1"/>
  <c r="BE16" i="1"/>
  <c r="AZ17" i="1"/>
  <c r="BA17" i="1"/>
  <c r="BB17" i="1"/>
  <c r="BE17" i="1"/>
  <c r="AZ18" i="1"/>
  <c r="BA18" i="1"/>
  <c r="BB18" i="1"/>
  <c r="BE18" i="1"/>
  <c r="AZ19" i="1"/>
  <c r="BA19" i="1"/>
  <c r="BB19" i="1"/>
  <c r="BE19" i="1"/>
  <c r="AZ20" i="1"/>
  <c r="BA20" i="1"/>
  <c r="BB20" i="1"/>
  <c r="BE20" i="1"/>
  <c r="AZ21" i="1"/>
  <c r="BA21" i="1"/>
  <c r="BB21" i="1"/>
  <c r="BE21" i="1"/>
  <c r="AZ22" i="1"/>
  <c r="BA22" i="1"/>
  <c r="BB22" i="1"/>
  <c r="BE22" i="1"/>
  <c r="AZ23" i="1"/>
  <c r="BA23" i="1"/>
  <c r="BB23" i="1"/>
  <c r="BE23" i="1"/>
  <c r="AZ24" i="1"/>
  <c r="BA24" i="1"/>
  <c r="BB24" i="1"/>
  <c r="BE24" i="1"/>
  <c r="AZ25" i="1"/>
  <c r="BA25" i="1"/>
  <c r="BB25" i="1"/>
  <c r="BE25" i="1"/>
  <c r="AZ98" i="1"/>
  <c r="BA98" i="1"/>
  <c r="BB98" i="1"/>
  <c r="BE98" i="1"/>
  <c r="AZ99" i="1"/>
  <c r="BA99" i="1"/>
  <c r="BB99" i="1"/>
  <c r="BE99" i="1"/>
  <c r="AZ101" i="1"/>
  <c r="BA101" i="1"/>
  <c r="BB101" i="1"/>
  <c r="BE101" i="1"/>
  <c r="AZ102" i="1"/>
  <c r="BA102" i="1"/>
  <c r="BB102" i="1"/>
  <c r="BE102" i="1"/>
  <c r="AZ103" i="1"/>
  <c r="BA103" i="1"/>
  <c r="BB103" i="1"/>
  <c r="BE103" i="1"/>
  <c r="AZ104" i="1"/>
  <c r="BA104" i="1"/>
  <c r="BB104" i="1"/>
  <c r="BE104" i="1"/>
  <c r="AZ106" i="1"/>
  <c r="BA106" i="1"/>
  <c r="BB106" i="1"/>
  <c r="BE106" i="1"/>
  <c r="AZ107" i="1"/>
  <c r="BA107" i="1"/>
  <c r="BB107" i="1"/>
  <c r="BE107" i="1"/>
  <c r="AZ109" i="1"/>
  <c r="BA109" i="1"/>
  <c r="BB109" i="1"/>
  <c r="BE109" i="1"/>
  <c r="BA111" i="1"/>
  <c r="BB111" i="1"/>
  <c r="BE111" i="1"/>
  <c r="AZ112" i="1"/>
  <c r="BA112" i="1"/>
  <c r="BB112" i="1"/>
  <c r="BE112" i="1"/>
  <c r="AZ113" i="1"/>
  <c r="BA113" i="1"/>
  <c r="BB113" i="1"/>
  <c r="BE113" i="1"/>
  <c r="AZ114" i="1"/>
  <c r="BA114" i="1"/>
  <c r="BB114" i="1"/>
  <c r="BE114" i="1"/>
  <c r="AZ115" i="1"/>
  <c r="BA115" i="1"/>
  <c r="BB115" i="1"/>
  <c r="BE115" i="1"/>
  <c r="AZ116" i="1"/>
  <c r="BA116" i="1"/>
  <c r="BB116" i="1"/>
  <c r="BE116" i="1"/>
  <c r="AZ135" i="1"/>
  <c r="BA135" i="1"/>
  <c r="BB135" i="1"/>
  <c r="BE135" i="1"/>
  <c r="AZ267" i="1"/>
  <c r="BB267" i="1"/>
  <c r="BE267" i="1"/>
  <c r="AZ215" i="1"/>
  <c r="BA215" i="1"/>
  <c r="BB215" i="1"/>
  <c r="BE215" i="1"/>
  <c r="AZ27" i="1"/>
  <c r="BA27" i="1"/>
  <c r="BB27" i="1"/>
  <c r="BE27" i="1"/>
  <c r="AZ28" i="1"/>
  <c r="BA28" i="1"/>
  <c r="BB28" i="1"/>
  <c r="BE28" i="1"/>
  <c r="AZ29" i="1"/>
  <c r="BA29" i="1"/>
  <c r="BB29" i="1"/>
  <c r="BE29" i="1"/>
  <c r="AZ283" i="1"/>
  <c r="BA283" i="1"/>
  <c r="BB283" i="1"/>
  <c r="BE283" i="1"/>
  <c r="AZ284" i="1"/>
  <c r="BA284" i="1"/>
  <c r="BB284" i="1"/>
  <c r="BE284" i="1"/>
  <c r="AZ285" i="1"/>
  <c r="BA285" i="1"/>
  <c r="BB285" i="1"/>
  <c r="BE285" i="1"/>
  <c r="AZ286" i="1"/>
  <c r="BA286" i="1"/>
  <c r="BB286" i="1"/>
  <c r="BE286" i="1"/>
  <c r="AZ272" i="1"/>
  <c r="BA272" i="1"/>
  <c r="BB272" i="1"/>
  <c r="BE272" i="1"/>
  <c r="AZ270" i="1"/>
  <c r="BA270" i="1"/>
  <c r="BB270" i="1"/>
  <c r="BE270" i="1"/>
  <c r="AZ273" i="1"/>
  <c r="BA273" i="1"/>
  <c r="BB273" i="1"/>
  <c r="BE273" i="1"/>
  <c r="AZ275" i="1"/>
  <c r="BA275" i="1"/>
  <c r="BB275" i="1"/>
  <c r="BE275" i="1"/>
  <c r="AZ287" i="1"/>
  <c r="BA287" i="1"/>
  <c r="BB287" i="1"/>
  <c r="BE287" i="1"/>
  <c r="AZ288" i="1"/>
  <c r="BA288" i="1"/>
  <c r="BB288" i="1"/>
  <c r="BE288" i="1"/>
  <c r="AZ289" i="1"/>
  <c r="BA289" i="1"/>
  <c r="BB289" i="1"/>
  <c r="BE289" i="1"/>
  <c r="AZ290" i="1"/>
  <c r="BA290" i="1"/>
  <c r="BB290" i="1"/>
  <c r="BE290" i="1"/>
  <c r="AZ291" i="1"/>
  <c r="BA291" i="1"/>
  <c r="BB291" i="1"/>
  <c r="BE291" i="1"/>
  <c r="AZ292" i="1"/>
  <c r="BA292" i="1"/>
  <c r="BB292" i="1"/>
  <c r="BE292" i="1"/>
  <c r="AZ294" i="1"/>
  <c r="BA294" i="1"/>
  <c r="BB294" i="1"/>
  <c r="BE294" i="1"/>
  <c r="AZ295" i="1"/>
  <c r="BA295" i="1"/>
  <c r="BB295" i="1"/>
  <c r="BE295" i="1"/>
  <c r="AZ298" i="1"/>
  <c r="BA298" i="1"/>
  <c r="BB298" i="1"/>
  <c r="BE298" i="1"/>
  <c r="AZ299" i="1"/>
  <c r="BA299" i="1"/>
  <c r="BB299" i="1"/>
  <c r="BE299" i="1"/>
  <c r="AZ297" i="1"/>
  <c r="BA297" i="1"/>
  <c r="BB297" i="1"/>
  <c r="BE297" i="1"/>
  <c r="AZ296" i="1"/>
  <c r="BA296" i="1"/>
  <c r="BB296" i="1"/>
  <c r="BE296" i="1"/>
  <c r="AZ217" i="1"/>
  <c r="BA217" i="1"/>
  <c r="BB217" i="1"/>
  <c r="BE217" i="1"/>
  <c r="AZ218" i="1"/>
  <c r="BA218" i="1"/>
  <c r="BB218" i="1"/>
  <c r="BE218" i="1"/>
  <c r="AZ219" i="1"/>
  <c r="BA219" i="1"/>
  <c r="BB219" i="1"/>
  <c r="BE219" i="1"/>
  <c r="AZ220" i="1"/>
  <c r="BA220" i="1"/>
  <c r="BB220" i="1"/>
  <c r="BE220" i="1"/>
  <c r="AZ221" i="1"/>
  <c r="BA221" i="1"/>
  <c r="BB221" i="1"/>
  <c r="BE221" i="1"/>
  <c r="AZ175" i="1"/>
  <c r="BA175" i="1"/>
  <c r="BB175" i="1"/>
  <c r="BE175" i="1"/>
  <c r="AZ222" i="1"/>
  <c r="BA222" i="1"/>
  <c r="BB222" i="1"/>
  <c r="BE222" i="1"/>
  <c r="AZ223" i="1"/>
  <c r="BA223" i="1"/>
  <c r="BB223" i="1"/>
  <c r="BE223" i="1"/>
  <c r="AZ225" i="1"/>
  <c r="BA225" i="1"/>
  <c r="BB225" i="1"/>
  <c r="BE225" i="1"/>
  <c r="AZ226" i="1"/>
  <c r="BA226" i="1"/>
  <c r="BB226" i="1"/>
  <c r="BE226" i="1"/>
  <c r="AZ227" i="1"/>
  <c r="BA227" i="1"/>
  <c r="BB227" i="1"/>
  <c r="BE227" i="1"/>
  <c r="AZ228" i="1"/>
  <c r="BA228" i="1"/>
  <c r="BB228" i="1"/>
  <c r="BE228" i="1"/>
  <c r="AZ229" i="1"/>
  <c r="BA229" i="1"/>
  <c r="BB229" i="1"/>
  <c r="BE229" i="1"/>
  <c r="AZ232" i="1"/>
  <c r="BA232" i="1"/>
  <c r="BB232" i="1"/>
  <c r="BE232" i="1"/>
  <c r="AZ233" i="1"/>
  <c r="BA233" i="1"/>
  <c r="BB233" i="1"/>
  <c r="BE233" i="1"/>
  <c r="AZ234" i="1"/>
  <c r="BB234" i="1"/>
  <c r="BE234" i="1"/>
  <c r="AZ235" i="1"/>
  <c r="BA235" i="1"/>
  <c r="BB235" i="1"/>
  <c r="BE235" i="1"/>
  <c r="AZ236" i="1"/>
  <c r="BB236" i="1"/>
  <c r="BE236" i="1"/>
  <c r="AZ238" i="1"/>
  <c r="BB238" i="1"/>
  <c r="BE238" i="1"/>
  <c r="AZ239" i="1"/>
  <c r="BA239" i="1"/>
  <c r="BB239" i="1"/>
  <c r="BE239" i="1"/>
  <c r="AZ241" i="1"/>
  <c r="BB241" i="1"/>
  <c r="BE241" i="1"/>
  <c r="AZ242" i="1"/>
  <c r="BA242" i="1"/>
  <c r="BB242" i="1"/>
  <c r="BE242" i="1"/>
  <c r="AZ243" i="1"/>
  <c r="BB243" i="1"/>
  <c r="BE243" i="1"/>
  <c r="AZ244" i="1"/>
  <c r="BA244" i="1"/>
  <c r="BB244" i="1"/>
  <c r="BE244" i="1"/>
  <c r="AZ245" i="1"/>
  <c r="BA245" i="1"/>
  <c r="BB245" i="1"/>
  <c r="BE245" i="1"/>
  <c r="AZ248" i="1"/>
  <c r="BA248" i="1"/>
  <c r="BB248" i="1"/>
  <c r="BE248" i="1"/>
  <c r="AZ249" i="1"/>
  <c r="BA249" i="1"/>
  <c r="BB249" i="1"/>
  <c r="BE249" i="1"/>
  <c r="AZ252" i="1"/>
  <c r="BA252" i="1"/>
  <c r="BB252" i="1"/>
  <c r="BE252" i="1"/>
  <c r="AZ255" i="1"/>
  <c r="BA255" i="1"/>
  <c r="BB255" i="1"/>
  <c r="BE255" i="1"/>
  <c r="AZ258" i="1"/>
  <c r="BA258" i="1"/>
  <c r="BB258" i="1"/>
  <c r="BE258" i="1"/>
  <c r="AZ259" i="1"/>
  <c r="BB259" i="1"/>
  <c r="BE259" i="1"/>
  <c r="AZ262" i="1"/>
  <c r="BA262" i="1"/>
  <c r="BB262" i="1"/>
  <c r="BE262" i="1"/>
  <c r="AZ263" i="1"/>
  <c r="BA263" i="1"/>
  <c r="BB263" i="1"/>
  <c r="BE263" i="1"/>
  <c r="AZ265" i="1"/>
  <c r="BA265" i="1"/>
  <c r="BB265" i="1"/>
  <c r="BE265" i="1"/>
  <c r="AZ269" i="1"/>
  <c r="BB269" i="1"/>
  <c r="BE269" i="1"/>
  <c r="AZ271" i="1"/>
  <c r="BB271" i="1"/>
  <c r="BE271" i="1"/>
  <c r="AZ246" i="1"/>
  <c r="BA246" i="1"/>
  <c r="BB246" i="1"/>
  <c r="BE246" i="1"/>
  <c r="AZ118" i="1"/>
  <c r="BA118" i="1"/>
  <c r="BB118" i="1"/>
  <c r="BE118" i="1"/>
  <c r="AZ119" i="1"/>
  <c r="BA119" i="1"/>
  <c r="BB119" i="1"/>
  <c r="BE119" i="1"/>
  <c r="AZ120" i="1"/>
  <c r="BA120" i="1"/>
  <c r="BB120" i="1"/>
  <c r="BE120" i="1"/>
  <c r="AZ216" i="1"/>
  <c r="BA216" i="1"/>
  <c r="BB216" i="1"/>
  <c r="BE216" i="1"/>
  <c r="AZ121" i="1"/>
  <c r="BA121" i="1"/>
  <c r="BB121" i="1"/>
  <c r="BE121" i="1"/>
  <c r="AZ122" i="1"/>
  <c r="BA122" i="1"/>
  <c r="BB122" i="1"/>
  <c r="BE122" i="1"/>
  <c r="AZ124" i="1"/>
  <c r="BA124" i="1"/>
  <c r="BB124" i="1"/>
  <c r="BE124" i="1"/>
  <c r="AZ125" i="1"/>
  <c r="BA125" i="1"/>
  <c r="BB125" i="1"/>
  <c r="BE125" i="1"/>
  <c r="AZ127" i="1"/>
  <c r="BA127" i="1"/>
  <c r="BB127" i="1"/>
  <c r="BE127" i="1"/>
  <c r="AZ129" i="1"/>
  <c r="BA129" i="1"/>
  <c r="BB129" i="1"/>
  <c r="BE129" i="1"/>
  <c r="AZ130" i="1"/>
  <c r="BA130" i="1"/>
  <c r="BB130" i="1"/>
  <c r="BE130" i="1"/>
  <c r="AZ132" i="1"/>
  <c r="BA132" i="1"/>
  <c r="BB132" i="1"/>
  <c r="BE132" i="1"/>
  <c r="AZ134" i="1"/>
  <c r="BA134" i="1"/>
  <c r="BB134" i="1"/>
  <c r="BE134" i="1"/>
  <c r="AZ136" i="1"/>
  <c r="BA136" i="1"/>
  <c r="BB136" i="1"/>
  <c r="BE136" i="1"/>
  <c r="AZ138" i="1"/>
  <c r="BA138" i="1"/>
  <c r="BB138" i="1"/>
  <c r="BE138" i="1"/>
  <c r="AZ139" i="1"/>
  <c r="BA139" i="1"/>
  <c r="BB139" i="1"/>
  <c r="BE139" i="1"/>
  <c r="AZ140" i="1"/>
  <c r="BA140" i="1"/>
  <c r="BB140" i="1"/>
  <c r="BE140" i="1"/>
  <c r="AZ141" i="1"/>
  <c r="BA141" i="1"/>
  <c r="BB141" i="1"/>
  <c r="BE141" i="1"/>
  <c r="AZ142" i="1"/>
  <c r="BA142" i="1"/>
  <c r="BB142" i="1"/>
  <c r="BE142" i="1"/>
  <c r="AZ143" i="1"/>
  <c r="BA143" i="1"/>
  <c r="BB143" i="1"/>
  <c r="BE143" i="1"/>
  <c r="AZ145" i="1"/>
  <c r="BA145" i="1"/>
  <c r="BB145" i="1"/>
  <c r="BE145" i="1"/>
  <c r="AZ146" i="1"/>
  <c r="BA146" i="1"/>
  <c r="BB146" i="1"/>
  <c r="BE146" i="1"/>
  <c r="AZ148" i="1"/>
  <c r="BA148" i="1"/>
  <c r="BB148" i="1"/>
  <c r="BE148" i="1"/>
  <c r="AZ147" i="1"/>
  <c r="BA147" i="1"/>
  <c r="BB147" i="1"/>
  <c r="BE147" i="1"/>
  <c r="AZ149" i="1"/>
  <c r="BA149" i="1"/>
  <c r="BB149" i="1"/>
  <c r="BE149" i="1"/>
  <c r="AZ150" i="1"/>
  <c r="BA150" i="1"/>
  <c r="BB150" i="1"/>
  <c r="BE150" i="1"/>
  <c r="AZ151" i="1"/>
  <c r="BA151" i="1"/>
  <c r="BB151" i="1"/>
  <c r="BE151" i="1"/>
  <c r="AZ152" i="1"/>
  <c r="BA152" i="1"/>
  <c r="BB152" i="1"/>
  <c r="BE152" i="1"/>
  <c r="AZ153" i="1"/>
  <c r="BA153" i="1"/>
  <c r="BB153" i="1"/>
  <c r="BE153" i="1"/>
  <c r="AZ154" i="1"/>
  <c r="BA154" i="1"/>
  <c r="BB154" i="1"/>
  <c r="BE154" i="1"/>
  <c r="AZ155" i="1"/>
  <c r="BA155" i="1"/>
  <c r="BB155" i="1"/>
  <c r="BE155" i="1"/>
  <c r="AZ156" i="1"/>
  <c r="BA156" i="1"/>
  <c r="BB156" i="1"/>
  <c r="BE156" i="1"/>
  <c r="AZ157" i="1"/>
  <c r="BA157" i="1"/>
  <c r="BB157" i="1"/>
  <c r="BE157" i="1"/>
  <c r="AZ158" i="1"/>
  <c r="BA158" i="1"/>
  <c r="BB158" i="1"/>
  <c r="BE158" i="1"/>
  <c r="AZ159" i="1"/>
  <c r="BA159" i="1"/>
  <c r="BB159" i="1"/>
  <c r="BE159" i="1"/>
  <c r="AZ160" i="1"/>
  <c r="BA160" i="1"/>
  <c r="BB160" i="1"/>
  <c r="BE160" i="1"/>
  <c r="AZ161" i="1"/>
  <c r="BA161" i="1"/>
  <c r="BB161" i="1"/>
  <c r="BE161" i="1"/>
  <c r="AZ162" i="1"/>
  <c r="BA162" i="1"/>
  <c r="BB162" i="1"/>
  <c r="BE162" i="1"/>
  <c r="AZ163" i="1"/>
  <c r="BA163" i="1"/>
  <c r="BB163" i="1"/>
  <c r="BE163" i="1"/>
  <c r="AZ164" i="1"/>
  <c r="BA164" i="1"/>
  <c r="BB164" i="1"/>
  <c r="BE164" i="1"/>
  <c r="AZ165" i="1"/>
  <c r="BA165" i="1"/>
  <c r="BB165" i="1"/>
  <c r="BE165" i="1"/>
  <c r="AZ166" i="1"/>
  <c r="BA166" i="1"/>
  <c r="BB166" i="1"/>
  <c r="BE166" i="1"/>
  <c r="AZ167" i="1"/>
  <c r="BA167" i="1"/>
  <c r="BB167" i="1"/>
  <c r="BE167" i="1"/>
  <c r="AZ168" i="1"/>
  <c r="BA168" i="1"/>
  <c r="BB168" i="1"/>
  <c r="BE168" i="1"/>
  <c r="AZ169" i="1"/>
  <c r="BA169" i="1"/>
  <c r="BB169" i="1"/>
  <c r="BE169" i="1"/>
  <c r="AZ170" i="1"/>
  <c r="BA170" i="1"/>
  <c r="BB170" i="1"/>
  <c r="BE170" i="1"/>
  <c r="AZ171" i="1"/>
  <c r="BA171" i="1"/>
  <c r="BB171" i="1"/>
  <c r="BE171" i="1"/>
  <c r="AZ172" i="1"/>
  <c r="BA172" i="1"/>
  <c r="BB172" i="1"/>
  <c r="BE172" i="1"/>
  <c r="AZ173" i="1"/>
  <c r="BA173" i="1"/>
  <c r="BB173" i="1"/>
  <c r="BE173" i="1"/>
  <c r="AZ174" i="1"/>
  <c r="BA174" i="1"/>
  <c r="BB174" i="1"/>
  <c r="BE174" i="1"/>
  <c r="AZ176" i="1"/>
  <c r="BA176" i="1"/>
  <c r="BB176" i="1"/>
  <c r="BE176" i="1"/>
  <c r="AZ177" i="1"/>
  <c r="BA177" i="1"/>
  <c r="BB177" i="1"/>
  <c r="BE177" i="1"/>
  <c r="AZ178" i="1"/>
  <c r="BA178" i="1"/>
  <c r="BB178" i="1"/>
  <c r="BE178" i="1"/>
  <c r="AZ179" i="1"/>
  <c r="BB179" i="1"/>
  <c r="BE179" i="1"/>
  <c r="AZ180" i="1"/>
  <c r="BA180" i="1"/>
  <c r="BB180" i="1"/>
  <c r="BE180" i="1"/>
  <c r="AZ181" i="1"/>
  <c r="BA181" i="1"/>
  <c r="BB181" i="1"/>
  <c r="BE181" i="1"/>
  <c r="AZ182" i="1"/>
  <c r="BA182" i="1"/>
  <c r="BB182" i="1"/>
  <c r="BE182" i="1"/>
  <c r="AZ183" i="1"/>
  <c r="BA183" i="1"/>
  <c r="BB183" i="1"/>
  <c r="BE183" i="1"/>
  <c r="AZ184" i="1"/>
  <c r="BA184" i="1"/>
  <c r="BB184" i="1"/>
  <c r="BE184" i="1"/>
  <c r="AZ185" i="1"/>
  <c r="BB185" i="1"/>
  <c r="BE185" i="1"/>
  <c r="AZ186" i="1"/>
  <c r="BA186" i="1"/>
  <c r="BB186" i="1"/>
  <c r="BE186" i="1"/>
  <c r="AZ187" i="1"/>
  <c r="BA187" i="1"/>
  <c r="BB187" i="1"/>
  <c r="BE187" i="1"/>
  <c r="AZ188" i="1"/>
  <c r="BA188" i="1"/>
  <c r="BB188" i="1"/>
  <c r="BE188" i="1"/>
  <c r="AZ189" i="1"/>
  <c r="BA189" i="1"/>
  <c r="BB189" i="1"/>
  <c r="BE189" i="1"/>
  <c r="AZ190" i="1"/>
  <c r="BA190" i="1"/>
  <c r="BB190" i="1"/>
  <c r="BE190" i="1"/>
  <c r="AZ191" i="1"/>
  <c r="BA191" i="1"/>
  <c r="BB191" i="1"/>
  <c r="BE191" i="1"/>
  <c r="AZ192" i="1"/>
  <c r="BA192" i="1"/>
  <c r="BB192" i="1"/>
  <c r="BE192" i="1"/>
  <c r="AZ193" i="1"/>
  <c r="BA193" i="1"/>
  <c r="BB193" i="1"/>
  <c r="BE193" i="1"/>
  <c r="AZ194" i="1"/>
  <c r="BA194" i="1"/>
  <c r="BB194" i="1"/>
  <c r="BE194" i="1"/>
  <c r="AZ195" i="1"/>
  <c r="BA195" i="1"/>
  <c r="BB195" i="1"/>
  <c r="BE195" i="1"/>
  <c r="AZ196" i="1"/>
  <c r="BA196" i="1"/>
  <c r="BB196" i="1"/>
  <c r="BE196" i="1"/>
  <c r="AZ197" i="1"/>
  <c r="BA197" i="1"/>
  <c r="BB197" i="1"/>
  <c r="BE197" i="1"/>
  <c r="AZ198" i="1"/>
  <c r="BA198" i="1"/>
  <c r="BB198" i="1"/>
  <c r="BE198" i="1"/>
  <c r="AZ199" i="1"/>
  <c r="BA199" i="1"/>
  <c r="BB199" i="1"/>
  <c r="BE199" i="1"/>
  <c r="AZ200" i="1"/>
  <c r="BA200" i="1"/>
  <c r="BB200" i="1"/>
  <c r="BE200" i="1"/>
  <c r="AZ201" i="1"/>
  <c r="BA201" i="1"/>
  <c r="BB201" i="1"/>
  <c r="BE201" i="1"/>
  <c r="AZ202" i="1"/>
  <c r="BA202" i="1"/>
  <c r="BB202" i="1"/>
  <c r="BE202" i="1"/>
  <c r="AZ204" i="1"/>
  <c r="BA204" i="1"/>
  <c r="BB204" i="1"/>
  <c r="BE204" i="1"/>
  <c r="AZ205" i="1"/>
  <c r="BA205" i="1"/>
  <c r="BB205" i="1"/>
  <c r="BE205" i="1"/>
  <c r="AZ206" i="1"/>
  <c r="BA206" i="1"/>
  <c r="BB206" i="1"/>
  <c r="BE206" i="1"/>
  <c r="AZ207" i="1"/>
  <c r="BA207" i="1"/>
  <c r="BB207" i="1"/>
  <c r="BE207" i="1"/>
  <c r="AZ209" i="1"/>
  <c r="BA209" i="1"/>
  <c r="BB209" i="1"/>
  <c r="BE209" i="1"/>
  <c r="AZ210" i="1"/>
  <c r="BA210" i="1"/>
  <c r="BB210" i="1"/>
  <c r="BE210" i="1"/>
  <c r="AZ211" i="1"/>
  <c r="BA211" i="1"/>
  <c r="BB211" i="1"/>
  <c r="BE211" i="1"/>
  <c r="AZ212" i="1"/>
  <c r="BA212" i="1"/>
  <c r="BB212" i="1"/>
  <c r="BE212" i="1"/>
  <c r="AZ213" i="1"/>
  <c r="BA213" i="1"/>
  <c r="BB213" i="1"/>
  <c r="BE213" i="1"/>
  <c r="AZ214" i="1"/>
  <c r="BA214" i="1"/>
  <c r="BB214" i="1"/>
  <c r="BE214" i="1"/>
  <c r="BB92" i="1"/>
  <c r="BA92" i="1"/>
  <c r="AZ92" i="1"/>
  <c r="BE92" i="1"/>
  <c r="BH289" i="1" l="1"/>
  <c r="BJ289" i="1" s="1"/>
  <c r="BH239" i="1"/>
  <c r="BH135" i="1"/>
  <c r="BJ135" i="1" s="1"/>
  <c r="BH111" i="1"/>
  <c r="BJ111" i="1" s="1"/>
  <c r="BH25" i="1"/>
  <c r="BJ25" i="1" s="1"/>
  <c r="BH23" i="1"/>
  <c r="BJ23" i="1" s="1"/>
  <c r="BH17" i="1"/>
  <c r="BJ17" i="1" s="1"/>
  <c r="BH14" i="1"/>
  <c r="BJ14" i="1" s="1"/>
  <c r="BH53" i="1"/>
  <c r="BJ53" i="1" s="1"/>
  <c r="BH86" i="1"/>
  <c r="BJ86" i="1" s="1"/>
  <c r="BH104" i="1"/>
  <c r="BJ104" i="1" s="1"/>
  <c r="BH19" i="1"/>
  <c r="BJ19" i="1" s="1"/>
  <c r="BH67" i="1"/>
  <c r="BJ67" i="1" s="1"/>
  <c r="BH69" i="1"/>
  <c r="BJ69" i="1" s="1"/>
  <c r="BH184" i="1"/>
  <c r="BJ184" i="1" s="1"/>
  <c r="BH182" i="1"/>
  <c r="BJ182" i="1" s="1"/>
  <c r="BH255" i="1"/>
  <c r="BJ255" i="1" s="1"/>
  <c r="BH245" i="1"/>
  <c r="BJ245" i="1" s="1"/>
  <c r="BH249" i="1"/>
  <c r="BJ249" i="1" s="1"/>
  <c r="BH107" i="1"/>
  <c r="BJ107" i="1" s="1"/>
  <c r="BH99" i="1"/>
  <c r="BJ99" i="1" s="1"/>
  <c r="BH21" i="1"/>
  <c r="BJ21" i="1" s="1"/>
  <c r="BH2" i="1"/>
  <c r="BJ2" i="1" s="1"/>
  <c r="BH52" i="1"/>
  <c r="BJ52" i="1" s="1"/>
  <c r="BH73" i="1"/>
  <c r="BJ73" i="1" s="1"/>
  <c r="BH68" i="1"/>
  <c r="BJ68" i="1" s="1"/>
  <c r="BH85" i="1"/>
  <c r="BJ85" i="1" s="1"/>
  <c r="BH58" i="1"/>
  <c r="BJ58" i="1" s="1"/>
  <c r="BH74" i="1"/>
  <c r="BJ74" i="1" s="1"/>
  <c r="BH49" i="1"/>
  <c r="BJ49" i="1" s="1"/>
  <c r="BH77" i="1"/>
  <c r="BJ77"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63" i="1"/>
  <c r="BJ263" i="1" s="1"/>
  <c r="BH64" i="1"/>
  <c r="BJ64" i="1" s="1"/>
  <c r="BH56" i="1"/>
  <c r="BJ56" i="1" s="1"/>
  <c r="BH63" i="1"/>
  <c r="BJ63" i="1" s="1"/>
  <c r="BH62" i="1"/>
  <c r="BJ62" i="1" s="1"/>
  <c r="BH48" i="1"/>
  <c r="BJ48" i="1" s="1"/>
  <c r="BH82" i="1"/>
  <c r="BJ82" i="1" s="1"/>
  <c r="BH70" i="1"/>
  <c r="BJ70" i="1" s="1"/>
  <c r="BH36" i="1"/>
  <c r="BJ36" i="1" s="1"/>
  <c r="BH35" i="1"/>
  <c r="BJ35" i="1" s="1"/>
  <c r="BH61" i="1"/>
  <c r="BJ61" i="1" s="1"/>
  <c r="BH81" i="1"/>
  <c r="BJ81" i="1" s="1"/>
  <c r="BH177" i="1"/>
  <c r="BJ177" i="1" s="1"/>
  <c r="BH172" i="1"/>
  <c r="BJ172" i="1" s="1"/>
  <c r="BH168" i="1"/>
  <c r="BJ168" i="1" s="1"/>
  <c r="BH164" i="1"/>
  <c r="BJ164" i="1" s="1"/>
  <c r="BH160" i="1"/>
  <c r="BJ160" i="1" s="1"/>
  <c r="BH156" i="1"/>
  <c r="BJ156" i="1" s="1"/>
  <c r="BH152" i="1"/>
  <c r="BJ152" i="1" s="1"/>
  <c r="BH147" i="1"/>
  <c r="BJ147" i="1" s="1"/>
  <c r="BH143" i="1"/>
  <c r="BJ143" i="1" s="1"/>
  <c r="BH139" i="1"/>
  <c r="BJ139" i="1" s="1"/>
  <c r="BH129" i="1"/>
  <c r="BJ129" i="1" s="1"/>
  <c r="BH122" i="1"/>
  <c r="BJ122" i="1" s="1"/>
  <c r="BH119" i="1"/>
  <c r="BJ119" i="1" s="1"/>
  <c r="BH242" i="1"/>
  <c r="BJ242" i="1" s="1"/>
  <c r="BH233" i="1"/>
  <c r="BJ233" i="1" s="1"/>
  <c r="BH229" i="1"/>
  <c r="BJ229" i="1" s="1"/>
  <c r="BH227" i="1"/>
  <c r="BJ227" i="1" s="1"/>
  <c r="BH225" i="1"/>
  <c r="BJ225" i="1" s="1"/>
  <c r="BH222" i="1"/>
  <c r="BJ222" i="1" s="1"/>
  <c r="BH221" i="1"/>
  <c r="BJ221" i="1" s="1"/>
  <c r="BH219" i="1"/>
  <c r="BJ219" i="1" s="1"/>
  <c r="BH217" i="1"/>
  <c r="BJ217" i="1" s="1"/>
  <c r="BH297" i="1"/>
  <c r="BJ297" i="1" s="1"/>
  <c r="BH298" i="1"/>
  <c r="BJ298" i="1" s="1"/>
  <c r="BH292" i="1"/>
  <c r="BJ292" i="1" s="1"/>
  <c r="BH290" i="1"/>
  <c r="BJ290" i="1" s="1"/>
  <c r="BH288" i="1"/>
  <c r="BJ288" i="1" s="1"/>
  <c r="BH275" i="1"/>
  <c r="BJ275" i="1" s="1"/>
  <c r="BH270" i="1"/>
  <c r="BJ270" i="1" s="1"/>
  <c r="BH284" i="1"/>
  <c r="BJ284" i="1" s="1"/>
  <c r="BH29" i="1"/>
  <c r="BJ29" i="1" s="1"/>
  <c r="BH27" i="1"/>
  <c r="BJ27" i="1" s="1"/>
  <c r="BH215" i="1"/>
  <c r="BJ215" i="1" s="1"/>
  <c r="BH174" i="1"/>
  <c r="BJ174" i="1" s="1"/>
  <c r="BH170" i="1"/>
  <c r="BJ170" i="1" s="1"/>
  <c r="BH166" i="1"/>
  <c r="BJ166" i="1" s="1"/>
  <c r="BH162" i="1"/>
  <c r="BJ162" i="1" s="1"/>
  <c r="BH158" i="1"/>
  <c r="BJ158" i="1" s="1"/>
  <c r="BH154" i="1"/>
  <c r="BJ154" i="1" s="1"/>
  <c r="BH150" i="1"/>
  <c r="BJ150" i="1" s="1"/>
  <c r="BH146" i="1"/>
  <c r="BJ146" i="1" s="1"/>
  <c r="BH141" i="1"/>
  <c r="BJ141" i="1" s="1"/>
  <c r="BH136" i="1"/>
  <c r="BJ136" i="1" s="1"/>
  <c r="BH132" i="1"/>
  <c r="BJ132" i="1" s="1"/>
  <c r="BH125" i="1"/>
  <c r="BJ125" i="1" s="1"/>
  <c r="BH216" i="1"/>
  <c r="BJ216" i="1" s="1"/>
  <c r="BH246" i="1"/>
  <c r="BJ246" i="1" s="1"/>
  <c r="BH183" i="1"/>
  <c r="BJ183" i="1" s="1"/>
  <c r="BH181" i="1"/>
  <c r="BJ181" i="1" s="1"/>
  <c r="BH258" i="1"/>
  <c r="BJ258" i="1" s="1"/>
  <c r="BH248" i="1"/>
  <c r="BJ248" i="1" s="1"/>
  <c r="BH244" i="1"/>
  <c r="BJ244" i="1" s="1"/>
  <c r="BH235" i="1"/>
  <c r="BJ235" i="1" s="1"/>
  <c r="BH92" i="1"/>
  <c r="BJ92" i="1" s="1"/>
  <c r="BH213" i="1"/>
  <c r="BJ213" i="1" s="1"/>
  <c r="BH211" i="1"/>
  <c r="BJ211" i="1" s="1"/>
  <c r="BH209" i="1"/>
  <c r="BJ209" i="1" s="1"/>
  <c r="BH206" i="1"/>
  <c r="BJ206" i="1" s="1"/>
  <c r="BH204" i="1"/>
  <c r="BJ204" i="1" s="1"/>
  <c r="BH201" i="1"/>
  <c r="BJ201" i="1" s="1"/>
  <c r="BH199" i="1"/>
  <c r="BJ199" i="1" s="1"/>
  <c r="BH197" i="1"/>
  <c r="BJ197" i="1" s="1"/>
  <c r="BH195" i="1"/>
  <c r="BJ195" i="1" s="1"/>
  <c r="BH193" i="1"/>
  <c r="BJ193" i="1" s="1"/>
  <c r="BH191" i="1"/>
  <c r="BJ191" i="1" s="1"/>
  <c r="BH189" i="1"/>
  <c r="BJ189" i="1" s="1"/>
  <c r="BH187" i="1"/>
  <c r="BJ187" i="1" s="1"/>
  <c r="BH265" i="1"/>
  <c r="BJ265" i="1" s="1"/>
  <c r="BH262" i="1"/>
  <c r="BJ262" i="1" s="1"/>
  <c r="BH116" i="1"/>
  <c r="BJ116" i="1" s="1"/>
  <c r="BH112" i="1"/>
  <c r="BJ112" i="1" s="1"/>
  <c r="BH109" i="1"/>
  <c r="BJ109" i="1" s="1"/>
  <c r="BH106" i="1"/>
  <c r="BJ106" i="1" s="1"/>
  <c r="BH103" i="1"/>
  <c r="BJ103" i="1" s="1"/>
  <c r="BH102" i="1"/>
  <c r="BJ102" i="1" s="1"/>
  <c r="BH101" i="1"/>
  <c r="BJ101" i="1" s="1"/>
  <c r="BH98" i="1"/>
  <c r="BJ98" i="1" s="1"/>
  <c r="BH24" i="1"/>
  <c r="BJ24" i="1" s="1"/>
  <c r="BH22" i="1"/>
  <c r="BJ22" i="1" s="1"/>
  <c r="BH20" i="1"/>
  <c r="BJ20" i="1" s="1"/>
  <c r="BH18" i="1"/>
  <c r="BJ18" i="1" s="1"/>
  <c r="BH16" i="1"/>
  <c r="BJ16" i="1" s="1"/>
  <c r="BH11" i="1"/>
  <c r="BJ11" i="1" s="1"/>
  <c r="BH79" i="1"/>
  <c r="BJ79" i="1" s="1"/>
  <c r="BH55" i="1"/>
  <c r="BJ55" i="1" s="1"/>
  <c r="BH54" i="1"/>
  <c r="BJ54" i="1" s="1"/>
  <c r="BH66" i="1"/>
  <c r="BJ66" i="1" s="1"/>
  <c r="BH59" i="1"/>
  <c r="BJ59" i="1" s="1"/>
  <c r="BH84" i="1"/>
  <c r="BJ84" i="1" s="1"/>
  <c r="BH51" i="1"/>
  <c r="BJ51" i="1" s="1"/>
  <c r="BH78" i="1"/>
  <c r="BJ78" i="1" s="1"/>
  <c r="BH87" i="1"/>
  <c r="BJ87" i="1" s="1"/>
  <c r="BH50" i="1"/>
  <c r="BJ50" i="1" s="1"/>
  <c r="BH57" i="1"/>
  <c r="BJ57" i="1" s="1"/>
  <c r="BH72" i="1"/>
  <c r="BJ72" i="1" s="1"/>
  <c r="BH83" i="1"/>
  <c r="BJ83" i="1" s="1"/>
  <c r="BH89" i="1"/>
  <c r="BJ89" i="1" s="1"/>
  <c r="BH76" i="1"/>
  <c r="BJ76" i="1" s="1"/>
  <c r="BH71" i="1"/>
  <c r="BJ71" i="1" s="1"/>
  <c r="BH45" i="1"/>
  <c r="BJ45" i="1" s="1"/>
  <c r="BH88" i="1"/>
  <c r="BJ88" i="1" s="1"/>
  <c r="BH34" i="1"/>
  <c r="BJ34" i="1" s="1"/>
  <c r="BH37" i="1"/>
  <c r="BJ37" i="1" s="1"/>
  <c r="BH47" i="1"/>
  <c r="BJ47" i="1" s="1"/>
  <c r="BH75" i="1"/>
  <c r="BJ75" i="1" s="1"/>
  <c r="BH93" i="1"/>
  <c r="BJ93" i="1" s="1"/>
  <c r="BH178" i="1"/>
  <c r="BJ178" i="1" s="1"/>
  <c r="BH176" i="1"/>
  <c r="BJ176"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149" i="1"/>
  <c r="BJ149" i="1" s="1"/>
  <c r="BH148" i="1"/>
  <c r="BJ148" i="1" s="1"/>
  <c r="BH145" i="1"/>
  <c r="BJ145" i="1" s="1"/>
  <c r="BH142" i="1"/>
  <c r="BJ142" i="1" s="1"/>
  <c r="BH140" i="1"/>
  <c r="BJ140" i="1" s="1"/>
  <c r="BH138" i="1"/>
  <c r="BJ138" i="1" s="1"/>
  <c r="BH134" i="1"/>
  <c r="BJ134" i="1" s="1"/>
  <c r="BH130" i="1"/>
  <c r="BJ130" i="1" s="1"/>
  <c r="BH127" i="1"/>
  <c r="BJ127" i="1" s="1"/>
  <c r="BH124" i="1"/>
  <c r="BJ124" i="1" s="1"/>
  <c r="BH121" i="1"/>
  <c r="BJ121" i="1" s="1"/>
  <c r="BH120" i="1"/>
  <c r="BJ120" i="1" s="1"/>
  <c r="BH118" i="1"/>
  <c r="BJ118" i="1" s="1"/>
  <c r="BH232" i="1"/>
  <c r="BJ232" i="1" s="1"/>
  <c r="BH228" i="1"/>
  <c r="BJ228" i="1" s="1"/>
  <c r="BH226" i="1"/>
  <c r="BJ226" i="1" s="1"/>
  <c r="BH223" i="1"/>
  <c r="BJ223" i="1" s="1"/>
  <c r="BH175" i="1"/>
  <c r="BJ175" i="1" s="1"/>
  <c r="BH218" i="1"/>
  <c r="BJ218" i="1" s="1"/>
  <c r="BH296" i="1"/>
  <c r="BJ296" i="1" s="1"/>
  <c r="BH299" i="1"/>
  <c r="BJ299" i="1" s="1"/>
  <c r="BH295" i="1"/>
  <c r="BJ295" i="1" s="1"/>
  <c r="BH294" i="1"/>
  <c r="BJ294" i="1" s="1"/>
  <c r="BH291" i="1"/>
  <c r="BJ291" i="1" s="1"/>
  <c r="BH287" i="1"/>
  <c r="BJ287" i="1" s="1"/>
  <c r="BH273" i="1"/>
  <c r="BJ273" i="1" s="1"/>
  <c r="BH272" i="1"/>
  <c r="BJ272" i="1" s="1"/>
  <c r="BH286" i="1"/>
  <c r="BJ286" i="1" s="1"/>
  <c r="BH285" i="1"/>
  <c r="BJ285" i="1" s="1"/>
  <c r="BH283" i="1"/>
  <c r="BJ283" i="1" s="1"/>
  <c r="BH28" i="1"/>
  <c r="BJ28" i="1" s="1"/>
  <c r="BH113" i="1"/>
  <c r="BJ113" i="1" s="1"/>
  <c r="BH32" i="1"/>
  <c r="BJ32" i="1" s="1"/>
  <c r="BH31" i="1"/>
  <c r="BJ31" i="1" s="1"/>
  <c r="BH30" i="1"/>
  <c r="BJ30" i="1" s="1"/>
  <c r="BH114" i="1"/>
  <c r="BJ114" i="1" s="1"/>
  <c r="BH115" i="1"/>
  <c r="BJ115" i="1" s="1"/>
  <c r="BG297" i="1"/>
  <c r="BI297" i="1" s="1"/>
  <c r="BG295" i="1"/>
  <c r="BI295" i="1" s="1"/>
  <c r="BG292" i="1"/>
  <c r="BI292" i="1" s="1"/>
  <c r="BG288" i="1"/>
  <c r="BI288" i="1" s="1"/>
  <c r="BG275" i="1"/>
  <c r="BI275" i="1" s="1"/>
  <c r="BG272" i="1"/>
  <c r="BI272" i="1" s="1"/>
  <c r="BG285" i="1"/>
  <c r="BI285" i="1" s="1"/>
  <c r="BG29" i="1"/>
  <c r="BI29" i="1" s="1"/>
  <c r="BG255" i="1"/>
  <c r="BI255" i="1" s="1"/>
  <c r="BG249" i="1"/>
  <c r="BI249" i="1" s="1"/>
  <c r="BG245" i="1"/>
  <c r="BI245" i="1" s="1"/>
  <c r="BG265" i="1"/>
  <c r="BI265" i="1" s="1"/>
  <c r="BG263" i="1"/>
  <c r="BI263" i="1" s="1"/>
  <c r="BG262" i="1"/>
  <c r="BI262" i="1" s="1"/>
  <c r="BG242" i="1"/>
  <c r="BI242" i="1" s="1"/>
  <c r="BG296" i="1"/>
  <c r="BI296" i="1" s="1"/>
  <c r="BG298" i="1"/>
  <c r="BI298" i="1" s="1"/>
  <c r="BG294" i="1"/>
  <c r="BI294" i="1" s="1"/>
  <c r="BG290" i="1"/>
  <c r="BI290" i="1" s="1"/>
  <c r="BG287" i="1"/>
  <c r="BI287" i="1" s="1"/>
  <c r="BG270" i="1"/>
  <c r="BI270" i="1" s="1"/>
  <c r="BG283" i="1"/>
  <c r="BI283" i="1" s="1"/>
  <c r="BG27" i="1"/>
  <c r="BI27" i="1" s="1"/>
  <c r="BG258" i="1"/>
  <c r="BI258" i="1" s="1"/>
  <c r="BJ239" i="1"/>
  <c r="BG239" i="1"/>
  <c r="BI239" i="1" s="1"/>
  <c r="BG93" i="1"/>
  <c r="BI93" i="1" s="1"/>
  <c r="BG92" i="1"/>
  <c r="BI92" i="1" s="1"/>
  <c r="BG246" i="1"/>
  <c r="BI246" i="1" s="1"/>
  <c r="BG299" i="1"/>
  <c r="BI299" i="1" s="1"/>
  <c r="BG291" i="1"/>
  <c r="BI291" i="1" s="1"/>
  <c r="BG289" i="1"/>
  <c r="BI289" i="1" s="1"/>
  <c r="BG273" i="1"/>
  <c r="BI273" i="1" s="1"/>
  <c r="BG286" i="1"/>
  <c r="BI286" i="1" s="1"/>
  <c r="BG284" i="1"/>
  <c r="BI284" i="1" s="1"/>
  <c r="BG28" i="1"/>
  <c r="BI28" i="1" s="1"/>
  <c r="BG248" i="1"/>
  <c r="BI248" i="1" s="1"/>
  <c r="BG244" i="1"/>
  <c r="BI244" i="1" s="1"/>
  <c r="BG235" i="1"/>
  <c r="BI235" i="1" s="1"/>
  <c r="BG25" i="1"/>
  <c r="BI25" i="1" s="1"/>
  <c r="BG24" i="1"/>
  <c r="BI24" i="1" s="1"/>
  <c r="BG23" i="1"/>
  <c r="BI23" i="1" s="1"/>
  <c r="BG22" i="1"/>
  <c r="BI22" i="1" s="1"/>
  <c r="BG21" i="1"/>
  <c r="BI21" i="1" s="1"/>
  <c r="BG20" i="1"/>
  <c r="BI20" i="1" s="1"/>
  <c r="BG19" i="1"/>
  <c r="BI19" i="1" s="1"/>
  <c r="BG18" i="1"/>
  <c r="BI18" i="1" s="1"/>
  <c r="BG17" i="1"/>
  <c r="BI17" i="1" s="1"/>
  <c r="BG16" i="1"/>
  <c r="BI16" i="1" s="1"/>
  <c r="BG14" i="1"/>
  <c r="BI14" i="1" s="1"/>
  <c r="BG11" i="1"/>
  <c r="BI11" i="1" s="1"/>
  <c r="BG2" i="1"/>
  <c r="BI2" i="1" s="1"/>
  <c r="BG213" i="1"/>
  <c r="BI213" i="1" s="1"/>
  <c r="BG199" i="1"/>
  <c r="BI199" i="1" s="1"/>
  <c r="BG115" i="1"/>
  <c r="BI115" i="1" s="1"/>
  <c r="BG109" i="1"/>
  <c r="BI109" i="1" s="1"/>
  <c r="BG102" i="1"/>
  <c r="BI102" i="1" s="1"/>
  <c r="BG98" i="1"/>
  <c r="BI98" i="1" s="1"/>
  <c r="BG79" i="1"/>
  <c r="BI79" i="1" s="1"/>
  <c r="BG55" i="1"/>
  <c r="BI55" i="1" s="1"/>
  <c r="BG54" i="1"/>
  <c r="BI54" i="1" s="1"/>
  <c r="BG66" i="1"/>
  <c r="BI66" i="1" s="1"/>
  <c r="BG84" i="1"/>
  <c r="BI84" i="1" s="1"/>
  <c r="BG51" i="1"/>
  <c r="BI51" i="1" s="1"/>
  <c r="BG78" i="1"/>
  <c r="BI78" i="1" s="1"/>
  <c r="BG87" i="1"/>
  <c r="BI87" i="1" s="1"/>
  <c r="BG50" i="1"/>
  <c r="BI50" i="1" s="1"/>
  <c r="BG57" i="1"/>
  <c r="BI57" i="1" s="1"/>
  <c r="BG72" i="1"/>
  <c r="BI72" i="1" s="1"/>
  <c r="BG83" i="1"/>
  <c r="BI83" i="1" s="1"/>
  <c r="BG89" i="1"/>
  <c r="BI89" i="1" s="1"/>
  <c r="BG76" i="1"/>
  <c r="BI76" i="1" s="1"/>
  <c r="BG71" i="1"/>
  <c r="BI71" i="1" s="1"/>
  <c r="BG45" i="1"/>
  <c r="BI45" i="1" s="1"/>
  <c r="BG88" i="1"/>
  <c r="BI88" i="1" s="1"/>
  <c r="BG34" i="1"/>
  <c r="BI34" i="1" s="1"/>
  <c r="BG37" i="1"/>
  <c r="BI37" i="1" s="1"/>
  <c r="BG47" i="1"/>
  <c r="BI47" i="1" s="1"/>
  <c r="BG75" i="1"/>
  <c r="BI75" i="1" s="1"/>
  <c r="BG30" i="1"/>
  <c r="BI30" i="1" s="1"/>
  <c r="BG204" i="1"/>
  <c r="BI204" i="1" s="1"/>
  <c r="BG193" i="1"/>
  <c r="BI193" i="1" s="1"/>
  <c r="BG116" i="1"/>
  <c r="BI116" i="1" s="1"/>
  <c r="BG112" i="1"/>
  <c r="BI112" i="1" s="1"/>
  <c r="BG106" i="1"/>
  <c r="BI106" i="1" s="1"/>
  <c r="BG103" i="1"/>
  <c r="BI103" i="1" s="1"/>
  <c r="BG101" i="1"/>
  <c r="BI101" i="1" s="1"/>
  <c r="BG59" i="1"/>
  <c r="BI59" i="1" s="1"/>
  <c r="BG178" i="1"/>
  <c r="BI178" i="1" s="1"/>
  <c r="BG176" i="1"/>
  <c r="BI176" i="1" s="1"/>
  <c r="BG173" i="1"/>
  <c r="BI173" i="1" s="1"/>
  <c r="BG171" i="1"/>
  <c r="BI171" i="1" s="1"/>
  <c r="BG169" i="1"/>
  <c r="BI169" i="1" s="1"/>
  <c r="BG167" i="1"/>
  <c r="BI167" i="1" s="1"/>
  <c r="BG165" i="1"/>
  <c r="BI165" i="1" s="1"/>
  <c r="BG163" i="1"/>
  <c r="BI163" i="1" s="1"/>
  <c r="BG161" i="1"/>
  <c r="BI161" i="1" s="1"/>
  <c r="BG159" i="1"/>
  <c r="BI159" i="1" s="1"/>
  <c r="BG157" i="1"/>
  <c r="BI157" i="1" s="1"/>
  <c r="BG155" i="1"/>
  <c r="BI155" i="1" s="1"/>
  <c r="BG153" i="1"/>
  <c r="BI153" i="1" s="1"/>
  <c r="BG151" i="1"/>
  <c r="BI151" i="1" s="1"/>
  <c r="BG149" i="1"/>
  <c r="BI149" i="1" s="1"/>
  <c r="BG148" i="1"/>
  <c r="BI148" i="1" s="1"/>
  <c r="BG145" i="1"/>
  <c r="BI145" i="1" s="1"/>
  <c r="BG142" i="1"/>
  <c r="BI142" i="1" s="1"/>
  <c r="BG140" i="1"/>
  <c r="BI140" i="1" s="1"/>
  <c r="BG138" i="1"/>
  <c r="BI138" i="1" s="1"/>
  <c r="BG134" i="1"/>
  <c r="BI134" i="1" s="1"/>
  <c r="BG130" i="1"/>
  <c r="BI130" i="1" s="1"/>
  <c r="BG127" i="1"/>
  <c r="BI127" i="1" s="1"/>
  <c r="BG124" i="1"/>
  <c r="BI124" i="1" s="1"/>
  <c r="BG121" i="1"/>
  <c r="BI121" i="1" s="1"/>
  <c r="BG120" i="1"/>
  <c r="BI120" i="1" s="1"/>
  <c r="BG118" i="1"/>
  <c r="BI118" i="1" s="1"/>
  <c r="BG232" i="1"/>
  <c r="BI232" i="1" s="1"/>
  <c r="BG228" i="1"/>
  <c r="BI228" i="1" s="1"/>
  <c r="BG226" i="1"/>
  <c r="BI226" i="1" s="1"/>
  <c r="BG223" i="1"/>
  <c r="BI223" i="1" s="1"/>
  <c r="BG175" i="1"/>
  <c r="BI175" i="1" s="1"/>
  <c r="BG218" i="1"/>
  <c r="BI218" i="1" s="1"/>
  <c r="BG211" i="1"/>
  <c r="BI211" i="1" s="1"/>
  <c r="BG197" i="1"/>
  <c r="BI197" i="1" s="1"/>
  <c r="BG184" i="1"/>
  <c r="BI184" i="1" s="1"/>
  <c r="BG182" i="1"/>
  <c r="BI182" i="1" s="1"/>
  <c r="BG180" i="1"/>
  <c r="BI180" i="1" s="1"/>
  <c r="BG214" i="1"/>
  <c r="BI214" i="1" s="1"/>
  <c r="BG212" i="1"/>
  <c r="BI212" i="1" s="1"/>
  <c r="BG210" i="1"/>
  <c r="BI210" i="1" s="1"/>
  <c r="BG207" i="1"/>
  <c r="BI207" i="1" s="1"/>
  <c r="BG205" i="1"/>
  <c r="BI205" i="1" s="1"/>
  <c r="BG202" i="1"/>
  <c r="BI202" i="1" s="1"/>
  <c r="BG200" i="1"/>
  <c r="BI200" i="1" s="1"/>
  <c r="BG198" i="1"/>
  <c r="BI198" i="1" s="1"/>
  <c r="BG196" i="1"/>
  <c r="BI196" i="1" s="1"/>
  <c r="BG194" i="1"/>
  <c r="BI194" i="1" s="1"/>
  <c r="BG192" i="1"/>
  <c r="BI192" i="1" s="1"/>
  <c r="BG190" i="1"/>
  <c r="BI190" i="1" s="1"/>
  <c r="BG188" i="1"/>
  <c r="BI188" i="1" s="1"/>
  <c r="BG186" i="1"/>
  <c r="BI186" i="1" s="1"/>
  <c r="BG206" i="1"/>
  <c r="BI206" i="1" s="1"/>
  <c r="BG195" i="1"/>
  <c r="BI195" i="1" s="1"/>
  <c r="BG189" i="1"/>
  <c r="BI189" i="1" s="1"/>
  <c r="BG135" i="1"/>
  <c r="BI135" i="1" s="1"/>
  <c r="BG114" i="1"/>
  <c r="BI114" i="1" s="1"/>
  <c r="BG111" i="1"/>
  <c r="BI111" i="1" s="1"/>
  <c r="BG107" i="1"/>
  <c r="BI107" i="1" s="1"/>
  <c r="BG104" i="1"/>
  <c r="BI104" i="1" s="1"/>
  <c r="BG99" i="1"/>
  <c r="BI99" i="1" s="1"/>
  <c r="BG67" i="1"/>
  <c r="BI67" i="1" s="1"/>
  <c r="BG86" i="1"/>
  <c r="BI86" i="1" s="1"/>
  <c r="BG69" i="1"/>
  <c r="BI69" i="1" s="1"/>
  <c r="BG68" i="1"/>
  <c r="BI68" i="1" s="1"/>
  <c r="BG58" i="1"/>
  <c r="BI58" i="1" s="1"/>
  <c r="BG77" i="1"/>
  <c r="BI77" i="1" s="1"/>
  <c r="BG56" i="1"/>
  <c r="BI56" i="1" s="1"/>
  <c r="BG62" i="1"/>
  <c r="BI62" i="1" s="1"/>
  <c r="BG82" i="1"/>
  <c r="BI82" i="1" s="1"/>
  <c r="BG36" i="1"/>
  <c r="BI36" i="1" s="1"/>
  <c r="BG81" i="1"/>
  <c r="BI81" i="1" s="1"/>
  <c r="BG32" i="1"/>
  <c r="BI32" i="1" s="1"/>
  <c r="BG177" i="1"/>
  <c r="BI177" i="1" s="1"/>
  <c r="BG174" i="1"/>
  <c r="BI174" i="1" s="1"/>
  <c r="BG172" i="1"/>
  <c r="BI172" i="1" s="1"/>
  <c r="BG170" i="1"/>
  <c r="BI170" i="1" s="1"/>
  <c r="BG168" i="1"/>
  <c r="BI168" i="1" s="1"/>
  <c r="BG166" i="1"/>
  <c r="BI166" i="1" s="1"/>
  <c r="BG164" i="1"/>
  <c r="BI164" i="1" s="1"/>
  <c r="BG162" i="1"/>
  <c r="BI162" i="1" s="1"/>
  <c r="BG160" i="1"/>
  <c r="BI160" i="1" s="1"/>
  <c r="BG158" i="1"/>
  <c r="BI158" i="1" s="1"/>
  <c r="BG156" i="1"/>
  <c r="BI156" i="1" s="1"/>
  <c r="BG154" i="1"/>
  <c r="BI154" i="1" s="1"/>
  <c r="BG152" i="1"/>
  <c r="BI152" i="1" s="1"/>
  <c r="BG150" i="1"/>
  <c r="BI150" i="1" s="1"/>
  <c r="BG147" i="1"/>
  <c r="BI147" i="1" s="1"/>
  <c r="BG146" i="1"/>
  <c r="BI146" i="1" s="1"/>
  <c r="BG143" i="1"/>
  <c r="BI143" i="1" s="1"/>
  <c r="BG141" i="1"/>
  <c r="BI141" i="1" s="1"/>
  <c r="BG139" i="1"/>
  <c r="BI139" i="1" s="1"/>
  <c r="BG136" i="1"/>
  <c r="BI136" i="1" s="1"/>
  <c r="BG132" i="1"/>
  <c r="BI132" i="1" s="1"/>
  <c r="BG129" i="1"/>
  <c r="BI129" i="1" s="1"/>
  <c r="BG125" i="1"/>
  <c r="BI125" i="1" s="1"/>
  <c r="BG122" i="1"/>
  <c r="BI122" i="1" s="1"/>
  <c r="BG216" i="1"/>
  <c r="BI216" i="1" s="1"/>
  <c r="BG119" i="1"/>
  <c r="BI119" i="1" s="1"/>
  <c r="BG233" i="1"/>
  <c r="BI233" i="1" s="1"/>
  <c r="BG229" i="1"/>
  <c r="BI229" i="1" s="1"/>
  <c r="BG227" i="1"/>
  <c r="BI227" i="1" s="1"/>
  <c r="BG225" i="1"/>
  <c r="BI225" i="1" s="1"/>
  <c r="BG222" i="1"/>
  <c r="BI222" i="1" s="1"/>
  <c r="BG221" i="1"/>
  <c r="BI221" i="1" s="1"/>
  <c r="BG219" i="1"/>
  <c r="BI219" i="1" s="1"/>
  <c r="BG217" i="1"/>
  <c r="BI217" i="1" s="1"/>
  <c r="BG215" i="1"/>
  <c r="BI215" i="1" s="1"/>
  <c r="BG209" i="1"/>
  <c r="BI209" i="1" s="1"/>
  <c r="BG201" i="1"/>
  <c r="BI201" i="1" s="1"/>
  <c r="BG191" i="1"/>
  <c r="BI191" i="1" s="1"/>
  <c r="BG187" i="1"/>
  <c r="BI187" i="1" s="1"/>
  <c r="BG113" i="1"/>
  <c r="BI113" i="1" s="1"/>
  <c r="BG53" i="1"/>
  <c r="BI53" i="1" s="1"/>
  <c r="BG52" i="1"/>
  <c r="BI52" i="1" s="1"/>
  <c r="BG73" i="1"/>
  <c r="BI73" i="1" s="1"/>
  <c r="BG85" i="1"/>
  <c r="BI85" i="1" s="1"/>
  <c r="BG74" i="1"/>
  <c r="BI74" i="1" s="1"/>
  <c r="BG49" i="1"/>
  <c r="BI49" i="1" s="1"/>
  <c r="BG64" i="1"/>
  <c r="BI64" i="1" s="1"/>
  <c r="BG63" i="1"/>
  <c r="BI63" i="1" s="1"/>
  <c r="BG48" i="1"/>
  <c r="BI48" i="1" s="1"/>
  <c r="BG70" i="1"/>
  <c r="BI70" i="1" s="1"/>
  <c r="BG35" i="1"/>
  <c r="BI35" i="1" s="1"/>
  <c r="BG61" i="1"/>
  <c r="BI61" i="1" s="1"/>
  <c r="BG31" i="1"/>
  <c r="BI31" i="1" s="1"/>
  <c r="BG183" i="1"/>
  <c r="BI183" i="1" s="1"/>
  <c r="BG181" i="1"/>
  <c r="BI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U88" i="1" l="1"/>
  <c r="BW88" i="1" s="1"/>
  <c r="AJ88" i="1"/>
  <c r="AL88" i="1" s="1"/>
  <c r="Y88" i="1"/>
  <c r="BU56" i="1" l="1"/>
  <c r="BW56" i="1" s="1"/>
  <c r="AJ56" i="1"/>
  <c r="AL56" i="1" s="1"/>
  <c r="Y56" i="1"/>
  <c r="BU89" i="1" l="1"/>
  <c r="BW89" i="1" s="1"/>
  <c r="AJ89" i="1"/>
  <c r="AL89" i="1" s="1"/>
  <c r="Y89" i="1"/>
  <c r="BU45" i="1"/>
  <c r="BW45" i="1" s="1"/>
  <c r="AJ45" i="1"/>
  <c r="AL45" i="1" s="1"/>
  <c r="Y45" i="1"/>
  <c r="BU69" i="1"/>
  <c r="BW69" i="1" s="1"/>
  <c r="AJ69" i="1"/>
  <c r="AL69" i="1" s="1"/>
  <c r="Y69" i="1"/>
  <c r="BU61" i="1"/>
  <c r="BW61" i="1" s="1"/>
  <c r="AJ61" i="1"/>
  <c r="AL61" i="1" s="1"/>
  <c r="Y61" i="1"/>
  <c r="BU67" i="1"/>
  <c r="BW67" i="1" s="1"/>
  <c r="AJ67" i="1"/>
  <c r="AL67" i="1" s="1"/>
  <c r="Y67" i="1"/>
  <c r="AH65" i="1"/>
  <c r="BD65" i="1" s="1"/>
  <c r="BU65" i="1"/>
  <c r="BW65" i="1" s="1"/>
  <c r="AJ65" i="1"/>
  <c r="AL65" i="1" s="1"/>
  <c r="Y65" i="1"/>
  <c r="BU66" i="1"/>
  <c r="BW66" i="1" s="1"/>
  <c r="AJ66" i="1"/>
  <c r="AL66" i="1" s="1"/>
  <c r="Y66" i="1"/>
  <c r="BU64" i="1"/>
  <c r="BW64" i="1" s="1"/>
  <c r="AJ64" i="1"/>
  <c r="AL64" i="1" s="1"/>
  <c r="Y64" i="1"/>
  <c r="BU59" i="1"/>
  <c r="BW59" i="1" s="1"/>
  <c r="AJ59" i="1"/>
  <c r="AL59" i="1" s="1"/>
  <c r="Y59" i="1"/>
  <c r="BU58" i="1"/>
  <c r="BW58" i="1" s="1"/>
  <c r="AJ58" i="1"/>
  <c r="AL58" i="1" s="1"/>
  <c r="Y58" i="1"/>
  <c r="BH65" i="1" l="1"/>
  <c r="BJ65" i="1" s="1"/>
  <c r="BG65" i="1"/>
  <c r="BI65" i="1" s="1"/>
  <c r="BU79" i="1"/>
  <c r="BW79" i="1" s="1"/>
  <c r="AJ79" i="1"/>
  <c r="AL79" i="1" s="1"/>
  <c r="Y79" i="1"/>
  <c r="BU78" i="1"/>
  <c r="BW78" i="1" s="1"/>
  <c r="AJ78" i="1"/>
  <c r="AL78" i="1" s="1"/>
  <c r="Y78" i="1"/>
  <c r="BU77" i="1"/>
  <c r="BW77" i="1" s="1"/>
  <c r="AJ77" i="1"/>
  <c r="AL77" i="1" s="1"/>
  <c r="Y77" i="1"/>
  <c r="BU76" i="1"/>
  <c r="BW76" i="1" s="1"/>
  <c r="AJ76" i="1"/>
  <c r="AL76" i="1" s="1"/>
  <c r="Y76" i="1"/>
  <c r="BU81" i="1"/>
  <c r="BW81" i="1" s="1"/>
  <c r="AJ81" i="1"/>
  <c r="AL81" i="1" s="1"/>
  <c r="Y81" i="1"/>
  <c r="BU87" i="1"/>
  <c r="BW87" i="1" s="1"/>
  <c r="AJ87" i="1"/>
  <c r="AL87" i="1" s="1"/>
  <c r="Y87" i="1"/>
  <c r="BU86" i="1"/>
  <c r="BW86" i="1" s="1"/>
  <c r="AJ86" i="1"/>
  <c r="AL86" i="1" s="1"/>
  <c r="Y86" i="1"/>
  <c r="BU84" i="1"/>
  <c r="BW84" i="1" s="1"/>
  <c r="AJ84" i="1"/>
  <c r="AL84" i="1" s="1"/>
  <c r="Y84" i="1"/>
  <c r="BU72" i="1" l="1"/>
  <c r="BW72" i="1" s="1"/>
  <c r="BU73" i="1"/>
  <c r="AJ72" i="1"/>
  <c r="AL72" i="1" s="1"/>
  <c r="AJ73" i="1"/>
  <c r="AL73" i="1" s="1"/>
  <c r="BU54" i="1"/>
  <c r="BW54" i="1" s="1"/>
  <c r="AJ54" i="1"/>
  <c r="AL54" i="1" s="1"/>
  <c r="Y54" i="1"/>
  <c r="BU52" i="1" l="1"/>
  <c r="BW52" i="1" s="1"/>
  <c r="BU53" i="1"/>
  <c r="BW53" i="1" s="1"/>
  <c r="BU55" i="1"/>
  <c r="AJ52" i="1"/>
  <c r="AL52" i="1" s="1"/>
  <c r="Y52" i="1"/>
  <c r="AJ51" i="1" l="1"/>
  <c r="AL51" i="1" s="1"/>
  <c r="Y51" i="1"/>
  <c r="BU50" i="1"/>
  <c r="BW50" i="1" s="1"/>
  <c r="BU51" i="1"/>
  <c r="BW51" i="1" s="1"/>
  <c r="BW55" i="1"/>
  <c r="AJ50" i="1"/>
  <c r="AL50" i="1" s="1"/>
  <c r="Y50" i="1"/>
  <c r="G23" i="6" l="1"/>
  <c r="B26" i="6"/>
  <c r="B25" i="6"/>
  <c r="I23" i="6"/>
  <c r="H23" i="6"/>
  <c r="F23" i="6"/>
  <c r="E23" i="6"/>
  <c r="D23" i="6"/>
  <c r="C23" i="6"/>
  <c r="B22" i="6"/>
  <c r="B23" i="6" s="1"/>
  <c r="U246" i="1"/>
  <c r="BU245" i="1"/>
  <c r="BW245" i="1" s="1"/>
  <c r="AJ245" i="1"/>
  <c r="AL245" i="1" s="1"/>
  <c r="Y245" i="1"/>
  <c r="AI245" i="1" l="1"/>
  <c r="B27" i="6"/>
  <c r="B14" i="6"/>
  <c r="B13" i="6"/>
  <c r="E11" i="6"/>
  <c r="F11" i="6"/>
  <c r="G11" i="6"/>
  <c r="H11" i="6"/>
  <c r="I11" i="6"/>
  <c r="J11" i="6"/>
  <c r="K11" i="6"/>
  <c r="L11" i="6"/>
  <c r="M11" i="6"/>
  <c r="N11" i="6"/>
  <c r="O11" i="6"/>
  <c r="P11" i="6"/>
  <c r="Q11" i="6"/>
  <c r="R11" i="6"/>
  <c r="S11" i="6"/>
  <c r="T11" i="6"/>
  <c r="U11" i="6"/>
  <c r="C11" i="6"/>
  <c r="D11" i="6"/>
  <c r="B10" i="6"/>
  <c r="B11" i="6" s="1"/>
  <c r="AJ229" i="1"/>
  <c r="AL229" i="1" s="1"/>
  <c r="BU272" i="1"/>
  <c r="BW272" i="1" s="1"/>
  <c r="BU270" i="1"/>
  <c r="BW270" i="1" s="1"/>
  <c r="BU273" i="1"/>
  <c r="BW273" i="1" s="1"/>
  <c r="BU275" i="1"/>
  <c r="BW275" i="1" s="1"/>
  <c r="AJ272" i="1"/>
  <c r="AL272" i="1" s="1"/>
  <c r="AJ270" i="1"/>
  <c r="AL270" i="1" s="1"/>
  <c r="AJ273" i="1"/>
  <c r="AL273" i="1" s="1"/>
  <c r="AJ275" i="1"/>
  <c r="AL275" i="1" s="1"/>
  <c r="B15" i="6" l="1"/>
  <c r="L259" i="1"/>
  <c r="BA259" i="1" s="1"/>
  <c r="BH259" i="1" s="1"/>
  <c r="L271" i="1"/>
  <c r="BA271" i="1" s="1"/>
  <c r="BH271" i="1" s="1"/>
  <c r="BG271" i="1" l="1"/>
  <c r="BI271" i="1" s="1"/>
  <c r="BJ271" i="1"/>
  <c r="BG259" i="1"/>
  <c r="BI259" i="1" s="1"/>
  <c r="BJ259" i="1"/>
  <c r="U235" i="1"/>
  <c r="L243" i="1"/>
  <c r="BA243" i="1" s="1"/>
  <c r="BH243" i="1" s="1"/>
  <c r="BU25" i="1"/>
  <c r="BW25" i="1" s="1"/>
  <c r="AJ25" i="1"/>
  <c r="AL25" i="1" s="1"/>
  <c r="Y25" i="1"/>
  <c r="BU241" i="1"/>
  <c r="L241" i="1"/>
  <c r="BA241" i="1" s="1"/>
  <c r="BH241" i="1" s="1"/>
  <c r="U241" i="1"/>
  <c r="BJ243" i="1" l="1"/>
  <c r="BG243" i="1"/>
  <c r="BI243" i="1" s="1"/>
  <c r="BJ241" i="1"/>
  <c r="BG241" i="1"/>
  <c r="BI241" i="1" s="1"/>
  <c r="L238" i="1"/>
  <c r="BA238" i="1" s="1"/>
  <c r="BH238" i="1" s="1"/>
  <c r="U238" i="1"/>
  <c r="BG238" i="1" l="1"/>
  <c r="BI238" i="1" s="1"/>
  <c r="BJ238" i="1"/>
  <c r="L234" i="1"/>
  <c r="BA234" i="1" s="1"/>
  <c r="BH234" i="1" s="1"/>
  <c r="U234" i="1"/>
  <c r="BJ234" i="1" l="1"/>
  <c r="BG234" i="1"/>
  <c r="BI234" i="1" s="1"/>
  <c r="AD226" i="1"/>
  <c r="U222" i="1" l="1"/>
  <c r="U221" i="1"/>
  <c r="BU207" i="1"/>
  <c r="BW207" i="1" s="1"/>
  <c r="AJ207" i="1"/>
  <c r="AL207" i="1" s="1"/>
  <c r="Y207" i="1"/>
  <c r="AI207" i="1" l="1"/>
  <c r="L269" i="1"/>
  <c r="BA269" i="1" s="1"/>
  <c r="BH269" i="1" s="1"/>
  <c r="BU215" i="1"/>
  <c r="BW215" i="1" s="1"/>
  <c r="AJ215" i="1"/>
  <c r="AL215" i="1" s="1"/>
  <c r="Y215" i="1"/>
  <c r="BG269" i="1" l="1"/>
  <c r="BI269" i="1" s="1"/>
  <c r="BJ269" i="1"/>
  <c r="AH252" i="1"/>
  <c r="BD252" i="1" s="1"/>
  <c r="BH252" i="1" s="1"/>
  <c r="BG252" i="1" l="1"/>
  <c r="BI252" i="1" s="1"/>
  <c r="BJ252" i="1"/>
  <c r="BU37" i="1"/>
  <c r="BW37" i="1" s="1"/>
  <c r="AJ37" i="1"/>
  <c r="AL37" i="1" s="1"/>
  <c r="Y37" i="1"/>
  <c r="BU205" i="1"/>
  <c r="BW205" i="1" s="1"/>
  <c r="AJ205" i="1"/>
  <c r="AL205" i="1" s="1"/>
  <c r="Y205" i="1"/>
  <c r="AI37" i="1" l="1"/>
  <c r="Y232" i="1"/>
  <c r="Y228" i="1"/>
  <c r="R173" i="1" l="1"/>
  <c r="T173" i="1" s="1"/>
  <c r="R169" i="1" l="1"/>
  <c r="T169" i="1" s="1"/>
  <c r="AE169" i="1"/>
  <c r="AE170" i="1"/>
  <c r="R170" i="1"/>
  <c r="T170" i="1" s="1"/>
  <c r="AE167" i="1" l="1"/>
  <c r="AJ167" i="1" s="1"/>
  <c r="BU24" i="1"/>
  <c r="BW24" i="1" s="1"/>
  <c r="AJ24" i="1"/>
  <c r="AL24" i="1" s="1"/>
  <c r="Y24" i="1"/>
  <c r="AE165" i="1"/>
  <c r="R165" i="1"/>
  <c r="T165" i="1" s="1"/>
  <c r="R164" i="1"/>
  <c r="T164" i="1" s="1"/>
  <c r="R163" i="1" l="1"/>
  <c r="T163" i="1" s="1"/>
  <c r="R162" i="1"/>
  <c r="T162" i="1" s="1"/>
  <c r="R161" i="1"/>
  <c r="T161" i="1" s="1"/>
  <c r="BU23" i="1"/>
  <c r="BW23" i="1" s="1"/>
  <c r="AJ23" i="1"/>
  <c r="AL23" i="1" s="1"/>
  <c r="Y23" i="1"/>
  <c r="R160" i="1"/>
  <c r="T160" i="1" s="1"/>
  <c r="R134" i="1"/>
  <c r="T134" i="1" s="1"/>
  <c r="R159" i="1"/>
  <c r="T159" i="1" s="1"/>
  <c r="BU22" i="1" l="1"/>
  <c r="BW22" i="1" s="1"/>
  <c r="AJ22" i="1"/>
  <c r="AL22" i="1" s="1"/>
  <c r="Y22" i="1"/>
  <c r="V158" i="1"/>
  <c r="R158" i="1"/>
  <c r="T158" i="1" s="1"/>
  <c r="BU21" i="1" l="1"/>
  <c r="BW21" i="1" s="1"/>
  <c r="AJ21" i="1"/>
  <c r="AL21" i="1" s="1"/>
  <c r="Y21" i="1"/>
  <c r="AE156" i="1"/>
  <c r="R156" i="1"/>
  <c r="T156" i="1" s="1"/>
  <c r="AH220" i="1"/>
  <c r="BD220" i="1" s="1"/>
  <c r="BH220" i="1" l="1"/>
  <c r="BJ220" i="1" s="1"/>
  <c r="BG220" i="1"/>
  <c r="BI220" i="1" s="1"/>
  <c r="BU20" i="1"/>
  <c r="BW20" i="1" s="1"/>
  <c r="AJ20" i="1"/>
  <c r="AL20" i="1" s="1"/>
  <c r="Y20" i="1"/>
  <c r="AE155" i="1"/>
  <c r="AE154" i="1"/>
  <c r="R154" i="1"/>
  <c r="T154" i="1" s="1"/>
  <c r="AE153" i="1" l="1"/>
  <c r="R153" i="1"/>
  <c r="T153" i="1" s="1"/>
  <c r="Y154" i="1"/>
  <c r="Y155" i="1"/>
  <c r="Y219" i="1"/>
  <c r="Y220" i="1"/>
  <c r="Y156" i="1"/>
  <c r="Y157" i="1"/>
  <c r="Y158" i="1"/>
  <c r="Y159" i="1"/>
  <c r="Y160" i="1"/>
  <c r="Y161" i="1"/>
  <c r="Y162" i="1"/>
  <c r="Y163" i="1"/>
  <c r="Y164" i="1"/>
  <c r="Y165" i="1"/>
  <c r="Y166" i="1"/>
  <c r="Y167" i="1"/>
  <c r="Y168" i="1"/>
  <c r="Y169" i="1"/>
  <c r="Y170" i="1"/>
  <c r="Y171" i="1"/>
  <c r="Y172" i="1"/>
  <c r="Y173" i="1"/>
  <c r="Y174" i="1"/>
  <c r="Y35" i="1"/>
  <c r="Y176" i="1"/>
  <c r="Y177" i="1"/>
  <c r="Y178" i="1"/>
  <c r="Y179" i="1"/>
  <c r="Y180" i="1"/>
  <c r="Y181" i="1"/>
  <c r="Y182" i="1"/>
  <c r="Y184" i="1"/>
  <c r="Y185" i="1"/>
  <c r="Y186" i="1"/>
  <c r="Y187" i="1"/>
  <c r="Y188" i="1"/>
  <c r="Y223" i="1"/>
  <c r="Y225" i="1"/>
  <c r="Y189" i="1"/>
  <c r="Y190" i="1"/>
  <c r="Y191" i="1"/>
  <c r="Y183" i="1"/>
  <c r="Y192" i="1"/>
  <c r="Y193" i="1"/>
  <c r="Y194" i="1"/>
  <c r="Y195" i="1"/>
  <c r="Y196" i="1"/>
  <c r="Y197" i="1"/>
  <c r="Y198" i="1"/>
  <c r="Y199" i="1"/>
  <c r="Y36" i="1"/>
  <c r="Y200" i="1"/>
  <c r="Y201" i="1"/>
  <c r="Y202" i="1"/>
  <c r="Y204" i="1"/>
  <c r="Y236" i="1"/>
  <c r="Y206" i="1"/>
  <c r="Y244" i="1"/>
  <c r="Y209" i="1"/>
  <c r="Y210" i="1"/>
  <c r="Y211" i="1"/>
  <c r="Y212" i="1"/>
  <c r="Y252" i="1"/>
  <c r="Y262" i="1"/>
  <c r="Y267" i="1"/>
  <c r="Y213" i="1"/>
  <c r="Y214" i="1"/>
  <c r="Y249" i="1"/>
  <c r="Y269" i="1"/>
  <c r="Y263" i="1"/>
  <c r="Y265" i="1"/>
  <c r="Y233" i="1"/>
  <c r="Y242" i="1"/>
  <c r="Y221" i="1"/>
  <c r="Y222" i="1"/>
  <c r="Y227" i="1"/>
  <c r="Y226" i="1"/>
  <c r="Y234" i="1"/>
  <c r="Y238" i="1"/>
  <c r="Y241" i="1"/>
  <c r="Y243" i="1"/>
  <c r="Y235" i="1"/>
  <c r="Y271" i="1"/>
  <c r="Y248" i="1"/>
  <c r="Y229" i="1"/>
  <c r="Y255" i="1"/>
  <c r="Y258" i="1"/>
  <c r="Y259" i="1"/>
  <c r="Y239" i="1"/>
  <c r="Y246" i="1"/>
  <c r="Y283" i="1"/>
  <c r="Y284" i="1"/>
  <c r="Y285" i="1"/>
  <c r="Y286" i="1"/>
  <c r="Y27" i="1"/>
  <c r="Y28" i="1"/>
  <c r="Y30" i="1"/>
  <c r="Y29" i="1"/>
  <c r="Y34" i="1"/>
  <c r="Y92" i="1"/>
  <c r="Y93" i="1"/>
  <c r="Y73" i="1"/>
  <c r="Y74" i="1"/>
  <c r="Y49" i="1"/>
  <c r="Y53" i="1"/>
  <c r="Y55" i="1"/>
  <c r="Y63" i="1"/>
  <c r="Y57" i="1"/>
  <c r="Y83" i="1"/>
  <c r="Y75" i="1"/>
  <c r="Y85" i="1"/>
  <c r="Y68" i="1"/>
  <c r="Y272" i="1"/>
  <c r="Y270" i="1"/>
  <c r="Y273" i="1"/>
  <c r="Y275" i="1"/>
  <c r="Y47" i="1"/>
  <c r="Y99" i="1"/>
  <c r="Y101" i="1"/>
  <c r="Y102" i="1"/>
  <c r="Y103" i="1"/>
  <c r="Y104" i="1"/>
  <c r="Y106" i="1"/>
  <c r="Y70" i="1"/>
  <c r="Y107" i="1"/>
  <c r="Y109" i="1"/>
  <c r="Y112" i="1"/>
  <c r="Y113" i="1"/>
  <c r="Y114" i="1"/>
  <c r="Y115" i="1"/>
  <c r="Y116" i="1"/>
  <c r="Y2" i="1"/>
  <c r="Y11" i="1"/>
  <c r="Y19" i="1"/>
  <c r="Y14" i="1"/>
  <c r="Y118" i="1"/>
  <c r="Y119" i="1"/>
  <c r="Y48" i="1"/>
  <c r="Y120" i="1"/>
  <c r="Y216" i="1"/>
  <c r="Y82" i="1"/>
  <c r="Y62" i="1"/>
  <c r="Y71" i="1"/>
  <c r="Y31" i="1"/>
  <c r="Y32" i="1"/>
  <c r="Y121" i="1"/>
  <c r="Y122" i="1"/>
  <c r="Y124" i="1"/>
  <c r="Y125" i="1"/>
  <c r="Y127" i="1"/>
  <c r="Y129" i="1"/>
  <c r="Y217" i="1"/>
  <c r="Y135" i="1"/>
  <c r="Y132" i="1"/>
  <c r="Y134" i="1"/>
  <c r="Y136" i="1"/>
  <c r="Y16" i="1"/>
  <c r="Y17" i="1"/>
  <c r="Y18" i="1"/>
  <c r="Y138" i="1"/>
  <c r="Y139" i="1"/>
  <c r="Y140" i="1"/>
  <c r="Y141" i="1"/>
  <c r="Y142" i="1"/>
  <c r="Y143" i="1"/>
  <c r="Y145" i="1"/>
  <c r="Y146" i="1"/>
  <c r="Y148" i="1"/>
  <c r="Y218" i="1"/>
  <c r="Y147" i="1"/>
  <c r="Y149" i="1"/>
  <c r="Y150" i="1"/>
  <c r="Y151" i="1"/>
  <c r="Y152" i="1"/>
  <c r="Y153" i="1"/>
  <c r="AE152" i="1"/>
  <c r="AE151" i="1" l="1"/>
  <c r="R148" i="1" l="1"/>
  <c r="T148" i="1" s="1"/>
  <c r="BU16" i="1"/>
  <c r="BW16" i="1" s="1"/>
  <c r="AJ16" i="1"/>
  <c r="AL16" i="1" s="1"/>
  <c r="R146" i="1"/>
  <c r="T146" i="1" s="1"/>
  <c r="AE146" i="1"/>
  <c r="R145" i="1" l="1"/>
  <c r="T145" i="1" s="1"/>
  <c r="BU19" i="1" l="1"/>
  <c r="BW19" i="1" s="1"/>
  <c r="AJ19" i="1"/>
  <c r="AL19" i="1" s="1"/>
  <c r="R143" i="1"/>
  <c r="T143" i="1" s="1"/>
  <c r="AE143" i="1"/>
  <c r="R142" i="1"/>
  <c r="T142" i="1" s="1"/>
  <c r="AE142" i="1"/>
  <c r="R141" i="1"/>
  <c r="T141" i="1" s="1"/>
  <c r="AE140" i="1"/>
  <c r="R140" i="1"/>
  <c r="T140" i="1" s="1"/>
  <c r="AE139" i="1"/>
  <c r="R139" i="1"/>
  <c r="T139" i="1" s="1"/>
  <c r="R138" i="1"/>
  <c r="T138" i="1" s="1"/>
  <c r="AE132" i="1"/>
  <c r="BU2" i="1"/>
  <c r="BW2" i="1" s="1"/>
  <c r="AJ2" i="1"/>
  <c r="AL2" i="1" s="1"/>
  <c r="R132" i="1"/>
  <c r="T132" i="1" s="1"/>
  <c r="R130" i="1"/>
  <c r="T130" i="1" s="1"/>
  <c r="BU82" i="1"/>
  <c r="BW82" i="1" s="1"/>
  <c r="AJ82" i="1"/>
  <c r="AL82" i="1" s="1"/>
  <c r="BU62" i="1"/>
  <c r="BW62" i="1" s="1"/>
  <c r="BU71" i="1"/>
  <c r="BW71" i="1" s="1"/>
  <c r="AJ62" i="1"/>
  <c r="AL62" i="1" s="1"/>
  <c r="AJ71" i="1"/>
  <c r="AL71" i="1" s="1"/>
  <c r="AL167" i="1" l="1"/>
  <c r="BU118" i="1"/>
  <c r="BW118" i="1" s="1"/>
  <c r="AJ118" i="1"/>
  <c r="AL118" i="1" s="1"/>
  <c r="R118" i="1"/>
  <c r="T118" i="1" s="1"/>
  <c r="BU31" i="1"/>
  <c r="BW31" i="1" s="1"/>
  <c r="AJ31" i="1"/>
  <c r="AL31" i="1" s="1"/>
  <c r="BU14" i="1" l="1"/>
  <c r="BW14" i="1" s="1"/>
  <c r="AJ14" i="1"/>
  <c r="AL14" i="1" s="1"/>
  <c r="AL128" i="1" s="1"/>
  <c r="R125" i="1"/>
  <c r="T125" i="1" s="1"/>
  <c r="R127" i="1"/>
  <c r="T127" i="1" s="1"/>
  <c r="R124" i="1" l="1"/>
  <c r="T124" i="1" s="1"/>
  <c r="R122" i="1"/>
  <c r="T122" i="1" s="1"/>
  <c r="Q119" i="1" l="1"/>
  <c r="R119" i="1"/>
  <c r="R121" i="1"/>
  <c r="T121" i="1" s="1"/>
  <c r="R167" i="1"/>
  <c r="T167" i="1" s="1"/>
  <c r="T119" i="1" l="1"/>
  <c r="B4" i="4"/>
  <c r="B5" i="4"/>
  <c r="B6" i="4"/>
  <c r="B7" i="4"/>
  <c r="B8" i="4"/>
  <c r="B9" i="4"/>
  <c r="B10" i="4"/>
  <c r="B11" i="4"/>
  <c r="B3" i="4"/>
  <c r="BU109" i="1"/>
  <c r="BW109" i="1" s="1"/>
  <c r="BU111" i="1"/>
  <c r="BW111" i="1" s="1"/>
  <c r="BU112" i="1"/>
  <c r="BW112" i="1" s="1"/>
  <c r="BU113" i="1"/>
  <c r="BW113" i="1" s="1"/>
  <c r="BU114" i="1"/>
  <c r="BW114" i="1" s="1"/>
  <c r="BU115" i="1"/>
  <c r="BW115" i="1" s="1"/>
  <c r="BU119" i="1"/>
  <c r="BW119" i="1" s="1"/>
  <c r="BU120" i="1"/>
  <c r="BW120" i="1" s="1"/>
  <c r="BU216" i="1"/>
  <c r="BW216" i="1" s="1"/>
  <c r="BU121" i="1"/>
  <c r="BW121" i="1" s="1"/>
  <c r="BU122" i="1"/>
  <c r="BW122" i="1" s="1"/>
  <c r="BU124" i="1"/>
  <c r="BW124" i="1" s="1"/>
  <c r="BU125" i="1"/>
  <c r="BW125" i="1" s="1"/>
  <c r="BU127" i="1"/>
  <c r="BW127" i="1" s="1"/>
  <c r="BU129" i="1"/>
  <c r="BW129" i="1" s="1"/>
  <c r="BU135" i="1"/>
  <c r="BW135" i="1" s="1"/>
  <c r="BU130" i="1"/>
  <c r="BW130" i="1" s="1"/>
  <c r="BU132" i="1"/>
  <c r="BW132" i="1" s="1"/>
  <c r="BU116" i="1"/>
  <c r="BW116" i="1" s="1"/>
  <c r="BU134" i="1"/>
  <c r="BW134" i="1" s="1"/>
  <c r="BU136" i="1"/>
  <c r="BW136" i="1" s="1"/>
  <c r="BU138" i="1"/>
  <c r="BW138" i="1" s="1"/>
  <c r="BU139" i="1"/>
  <c r="BW139" i="1" s="1"/>
  <c r="BU140" i="1"/>
  <c r="BW140" i="1" s="1"/>
  <c r="BU141" i="1"/>
  <c r="BW141" i="1" s="1"/>
  <c r="BU142" i="1"/>
  <c r="BW142" i="1" s="1"/>
  <c r="BU143" i="1"/>
  <c r="BW143" i="1" s="1"/>
  <c r="BU145" i="1"/>
  <c r="BW145" i="1" s="1"/>
  <c r="BU146" i="1"/>
  <c r="BW146" i="1" s="1"/>
  <c r="BU148" i="1"/>
  <c r="BW148" i="1" s="1"/>
  <c r="BU149" i="1"/>
  <c r="BW149" i="1" s="1"/>
  <c r="BU150" i="1"/>
  <c r="BW150" i="1" s="1"/>
  <c r="BU151" i="1"/>
  <c r="BW151" i="1" s="1"/>
  <c r="BU152" i="1"/>
  <c r="BW152" i="1" s="1"/>
  <c r="BU153" i="1"/>
  <c r="BW153" i="1" s="1"/>
  <c r="BU154" i="1"/>
  <c r="BW154" i="1" s="1"/>
  <c r="BU155" i="1"/>
  <c r="BW155" i="1" s="1"/>
  <c r="BU156" i="1"/>
  <c r="BW156" i="1" s="1"/>
  <c r="BU157" i="1"/>
  <c r="BW157" i="1" s="1"/>
  <c r="BU158" i="1"/>
  <c r="BW158" i="1" s="1"/>
  <c r="BU159" i="1"/>
  <c r="BW159" i="1" s="1"/>
  <c r="BU160" i="1"/>
  <c r="BW160" i="1" s="1"/>
  <c r="BU161" i="1"/>
  <c r="BW161" i="1" s="1"/>
  <c r="BU162" i="1"/>
  <c r="BW162" i="1" s="1"/>
  <c r="BU163" i="1"/>
  <c r="BW163" i="1" s="1"/>
  <c r="BU164" i="1"/>
  <c r="BW164" i="1" s="1"/>
  <c r="BU165" i="1"/>
  <c r="BW165" i="1" s="1"/>
  <c r="BU166" i="1"/>
  <c r="BW166" i="1" s="1"/>
  <c r="BU167" i="1"/>
  <c r="BW167" i="1" s="1"/>
  <c r="BU168" i="1"/>
  <c r="BW168" i="1" s="1"/>
  <c r="BU169" i="1"/>
  <c r="BW169" i="1" s="1"/>
  <c r="BU170" i="1"/>
  <c r="BW170" i="1" s="1"/>
  <c r="BU171" i="1"/>
  <c r="BW171" i="1" s="1"/>
  <c r="BU172" i="1"/>
  <c r="BW172" i="1" s="1"/>
  <c r="BU173" i="1"/>
  <c r="BW173" i="1" s="1"/>
  <c r="BU174" i="1"/>
  <c r="BW174" i="1" s="1"/>
  <c r="BU176" i="1"/>
  <c r="BW176" i="1" s="1"/>
  <c r="BU177" i="1"/>
  <c r="BW177" i="1" s="1"/>
  <c r="BU178" i="1"/>
  <c r="BW178" i="1" s="1"/>
  <c r="BU179" i="1"/>
  <c r="BW179" i="1" s="1"/>
  <c r="BU180" i="1"/>
  <c r="BW180" i="1" s="1"/>
  <c r="BU181" i="1"/>
  <c r="BW181" i="1" s="1"/>
  <c r="BU182" i="1"/>
  <c r="BW182" i="1" s="1"/>
  <c r="BU184" i="1"/>
  <c r="BW184" i="1" s="1"/>
  <c r="BU185" i="1"/>
  <c r="BW185" i="1" s="1"/>
  <c r="BU186" i="1"/>
  <c r="BW186" i="1" s="1"/>
  <c r="BU187" i="1"/>
  <c r="BW187" i="1" s="1"/>
  <c r="BU188" i="1"/>
  <c r="BW188" i="1" s="1"/>
  <c r="BU223" i="1"/>
  <c r="BW223" i="1" s="1"/>
  <c r="BU189" i="1"/>
  <c r="BW189" i="1" s="1"/>
  <c r="BU190" i="1"/>
  <c r="BW190" i="1" s="1"/>
  <c r="BU191" i="1"/>
  <c r="BW191" i="1" s="1"/>
  <c r="BU183" i="1"/>
  <c r="BW183" i="1" s="1"/>
  <c r="BU192" i="1"/>
  <c r="BW192" i="1" s="1"/>
  <c r="BU193" i="1"/>
  <c r="BW193" i="1" s="1"/>
  <c r="BU194" i="1"/>
  <c r="BW194" i="1" s="1"/>
  <c r="BU195" i="1"/>
  <c r="BW195" i="1" s="1"/>
  <c r="BU196" i="1"/>
  <c r="BW196" i="1" s="1"/>
  <c r="BU197" i="1"/>
  <c r="BW197" i="1" s="1"/>
  <c r="BU198" i="1"/>
  <c r="BW198" i="1" s="1"/>
  <c r="BU199" i="1"/>
  <c r="BW199" i="1" s="1"/>
  <c r="BU200" i="1"/>
  <c r="BW200" i="1" s="1"/>
  <c r="BU201" i="1"/>
  <c r="BW201" i="1" s="1"/>
  <c r="BU202" i="1"/>
  <c r="BW202" i="1" s="1"/>
  <c r="BU204" i="1"/>
  <c r="BW204" i="1" s="1"/>
  <c r="BU206" i="1"/>
  <c r="BW206" i="1" s="1"/>
  <c r="BU209" i="1"/>
  <c r="BW209" i="1" s="1"/>
  <c r="BU210" i="1"/>
  <c r="BW210" i="1" s="1"/>
  <c r="BU211" i="1"/>
  <c r="BW211" i="1" s="1"/>
  <c r="BU212" i="1"/>
  <c r="BW212" i="1" s="1"/>
  <c r="BU213" i="1"/>
  <c r="BW213" i="1" s="1"/>
  <c r="BU214" i="1"/>
  <c r="BW214" i="1" s="1"/>
  <c r="BU147" i="1"/>
  <c r="BW147" i="1" s="1"/>
  <c r="BU217" i="1"/>
  <c r="BW217" i="1" s="1"/>
  <c r="BU218" i="1"/>
  <c r="BW218" i="1" s="1"/>
  <c r="BU219" i="1"/>
  <c r="BW219" i="1" s="1"/>
  <c r="BU220" i="1"/>
  <c r="BW220" i="1" s="1"/>
  <c r="BU175" i="1"/>
  <c r="BW175" i="1" s="1"/>
  <c r="BU225" i="1"/>
  <c r="BW225" i="1" s="1"/>
  <c r="BU262" i="1"/>
  <c r="BW262" i="1" s="1"/>
  <c r="BU244" i="1"/>
  <c r="BW244" i="1" s="1"/>
  <c r="BU252" i="1"/>
  <c r="BW252" i="1" s="1"/>
  <c r="BU267" i="1"/>
  <c r="BW267" i="1" s="1"/>
  <c r="BU236" i="1"/>
  <c r="BW236" i="1" s="1"/>
  <c r="BU232" i="1"/>
  <c r="BW232" i="1" s="1"/>
  <c r="BU228" i="1"/>
  <c r="BW228" i="1" s="1"/>
  <c r="BU249" i="1"/>
  <c r="BW249" i="1" s="1"/>
  <c r="BU269" i="1"/>
  <c r="BW269" i="1" s="1"/>
  <c r="BU263" i="1"/>
  <c r="BW263" i="1" s="1"/>
  <c r="BU265" i="1"/>
  <c r="BW265" i="1" s="1"/>
  <c r="BU233" i="1"/>
  <c r="BW233" i="1" s="1"/>
  <c r="BU242" i="1"/>
  <c r="BW242" i="1" s="1"/>
  <c r="BU221" i="1"/>
  <c r="BW221" i="1" s="1"/>
  <c r="BU222" i="1"/>
  <c r="BW222" i="1" s="1"/>
  <c r="BU227" i="1"/>
  <c r="BW227" i="1" s="1"/>
  <c r="BU226" i="1"/>
  <c r="BW226" i="1" s="1"/>
  <c r="BU234" i="1"/>
  <c r="BW234" i="1" s="1"/>
  <c r="BU238" i="1"/>
  <c r="BW238" i="1" s="1"/>
  <c r="BW241" i="1"/>
  <c r="BU243" i="1"/>
  <c r="BW243" i="1" s="1"/>
  <c r="BU235" i="1"/>
  <c r="BW235" i="1" s="1"/>
  <c r="BU271" i="1"/>
  <c r="BW271" i="1" s="1"/>
  <c r="BU248" i="1"/>
  <c r="BW248" i="1" s="1"/>
  <c r="BU229" i="1"/>
  <c r="BW229" i="1" s="1"/>
  <c r="BU255" i="1"/>
  <c r="BW255" i="1" s="1"/>
  <c r="BU258" i="1"/>
  <c r="BW258" i="1" s="1"/>
  <c r="BU259" i="1"/>
  <c r="BW259" i="1" s="1"/>
  <c r="BU239" i="1"/>
  <c r="BW239" i="1" s="1"/>
  <c r="BU246" i="1"/>
  <c r="BW246" i="1" s="1"/>
  <c r="BU283" i="1"/>
  <c r="BW283" i="1" s="1"/>
  <c r="BU287" i="1"/>
  <c r="BW287" i="1" s="1"/>
  <c r="BU284" i="1"/>
  <c r="BW284" i="1" s="1"/>
  <c r="BU285" i="1"/>
  <c r="BW285" i="1" s="1"/>
  <c r="BU286" i="1"/>
  <c r="BW286" i="1" s="1"/>
  <c r="BU288" i="1"/>
  <c r="BW288" i="1" s="1"/>
  <c r="BU289" i="1"/>
  <c r="BW289" i="1" s="1"/>
  <c r="BU290" i="1"/>
  <c r="BW290" i="1" s="1"/>
  <c r="BU291" i="1"/>
  <c r="BW291" i="1" s="1"/>
  <c r="BU292" i="1"/>
  <c r="BW292" i="1" s="1"/>
  <c r="BU294" i="1"/>
  <c r="BW294" i="1" s="1"/>
  <c r="BU295" i="1"/>
  <c r="BW295" i="1" s="1"/>
  <c r="BU296" i="1"/>
  <c r="BW296" i="1" s="1"/>
  <c r="BU297" i="1"/>
  <c r="BW297" i="1" s="1"/>
  <c r="BU298" i="1"/>
  <c r="BW298" i="1" s="1"/>
  <c r="BU299" i="1"/>
  <c r="BW299" i="1" s="1"/>
  <c r="BU27" i="1"/>
  <c r="BW27" i="1" s="1"/>
  <c r="BU28" i="1"/>
  <c r="BW28" i="1" s="1"/>
  <c r="BU30" i="1"/>
  <c r="BW30" i="1" s="1"/>
  <c r="BU32" i="1"/>
  <c r="BW32" i="1" s="1"/>
  <c r="BU29" i="1"/>
  <c r="BW29" i="1" s="1"/>
  <c r="BU34" i="1"/>
  <c r="BW34" i="1" s="1"/>
  <c r="BU35" i="1"/>
  <c r="BW35" i="1" s="1"/>
  <c r="BU36" i="1"/>
  <c r="BW36" i="1" s="1"/>
  <c r="BU92" i="1"/>
  <c r="BW92" i="1" s="1"/>
  <c r="BU93" i="1"/>
  <c r="BW93" i="1" s="1"/>
  <c r="BU70" i="1"/>
  <c r="BW70" i="1" s="1"/>
  <c r="BW73" i="1"/>
  <c r="BU74" i="1"/>
  <c r="BW74" i="1" s="1"/>
  <c r="BU47" i="1"/>
  <c r="BW47" i="1" s="1"/>
  <c r="BU48" i="1"/>
  <c r="BW48" i="1" s="1"/>
  <c r="BU49" i="1"/>
  <c r="BW49" i="1" s="1"/>
  <c r="BU63" i="1"/>
  <c r="BW63" i="1" s="1"/>
  <c r="BU57" i="1"/>
  <c r="BW57" i="1" s="1"/>
  <c r="BU83" i="1"/>
  <c r="BW83" i="1" s="1"/>
  <c r="BU75" i="1"/>
  <c r="BW75" i="1" s="1"/>
  <c r="BU85" i="1"/>
  <c r="BW85" i="1" s="1"/>
  <c r="BU68" i="1"/>
  <c r="BW68" i="1" s="1"/>
  <c r="BU18" i="1"/>
  <c r="BW18" i="1" s="1"/>
  <c r="BU11" i="1"/>
  <c r="BW11" i="1" s="1"/>
  <c r="BU98" i="1"/>
  <c r="BW98" i="1" s="1"/>
  <c r="BU99" i="1"/>
  <c r="BW99" i="1" s="1"/>
  <c r="BU101" i="1"/>
  <c r="BW101" i="1" s="1"/>
  <c r="BU102" i="1"/>
  <c r="BW102" i="1" s="1"/>
  <c r="BU103" i="1"/>
  <c r="BW103" i="1" s="1"/>
  <c r="BU104" i="1"/>
  <c r="BW104" i="1" s="1"/>
  <c r="BU106" i="1"/>
  <c r="BW106" i="1" s="1"/>
  <c r="BU107" i="1"/>
  <c r="BW107" i="1" s="1"/>
  <c r="BU17" i="1"/>
  <c r="BW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E119" i="1"/>
  <c r="AJ11" i="1"/>
  <c r="AL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I42" i="1" l="1"/>
  <c r="AI33" i="1"/>
  <c r="AI31" i="1"/>
  <c r="AI41" i="1"/>
  <c r="AI88" i="1"/>
  <c r="AI66" i="1"/>
  <c r="AI126" i="1"/>
  <c r="AI137" i="1"/>
  <c r="AI87" i="1"/>
  <c r="AI11" i="1"/>
  <c r="AI61" i="1"/>
  <c r="AI81" i="1"/>
  <c r="AI24" i="1"/>
  <c r="AI23" i="1"/>
  <c r="AI22" i="1"/>
  <c r="AI118" i="1"/>
  <c r="AI123" i="1"/>
  <c r="AI89" i="1"/>
  <c r="AI79" i="1"/>
  <c r="AI133" i="1"/>
  <c r="AI128" i="1"/>
  <c r="AI64" i="1"/>
  <c r="AI78" i="1"/>
  <c r="AI73" i="1"/>
  <c r="AI54" i="1"/>
  <c r="AI52" i="1"/>
  <c r="AI51" i="1"/>
  <c r="AI58" i="1"/>
  <c r="AI69" i="1"/>
  <c r="AI59" i="1"/>
  <c r="AI205" i="1"/>
  <c r="AI12" i="1"/>
  <c r="AI15" i="1"/>
  <c r="AI131" i="1"/>
  <c r="AI13" i="1"/>
  <c r="AI56" i="1"/>
  <c r="AI84" i="1"/>
  <c r="AI77" i="1"/>
  <c r="AI76" i="1"/>
  <c r="AI86" i="1"/>
  <c r="AI72" i="1"/>
  <c r="AI50" i="1"/>
  <c r="AI25" i="1"/>
  <c r="AI21" i="1"/>
  <c r="AI20" i="1"/>
  <c r="AI16" i="1"/>
  <c r="AI2" i="1"/>
  <c r="AI19" i="1"/>
  <c r="AI71" i="1"/>
  <c r="AI82" i="1"/>
  <c r="AI62" i="1"/>
  <c r="AI14" i="1"/>
  <c r="AI257" i="1"/>
  <c r="AI256" i="1"/>
  <c r="AI260" i="1"/>
  <c r="AI44" i="1"/>
  <c r="AI43" i="1"/>
  <c r="AI230" i="1"/>
  <c r="AI231" i="1"/>
  <c r="AI224" i="1"/>
  <c r="AI251" i="1"/>
  <c r="AI65" i="1"/>
  <c r="AI67" i="1"/>
  <c r="AI45" i="1"/>
  <c r="AI215" i="1"/>
  <c r="AI272" i="1"/>
  <c r="AI275" i="1"/>
  <c r="AI270" i="1"/>
  <c r="AI273" i="1"/>
  <c r="AJ172" i="1"/>
  <c r="AL172" i="1" s="1"/>
  <c r="AJ173" i="1"/>
  <c r="AL173" i="1" s="1"/>
  <c r="AJ18" i="1"/>
  <c r="AL18" i="1" s="1"/>
  <c r="AJ98" i="1"/>
  <c r="AL98" i="1" s="1"/>
  <c r="AJ99" i="1"/>
  <c r="AL99" i="1" s="1"/>
  <c r="AJ101" i="1"/>
  <c r="AL101" i="1" s="1"/>
  <c r="AJ102" i="1"/>
  <c r="AL102" i="1" s="1"/>
  <c r="AJ103" i="1"/>
  <c r="AL103" i="1" s="1"/>
  <c r="AJ104" i="1"/>
  <c r="AL104" i="1" s="1"/>
  <c r="AJ106" i="1"/>
  <c r="AL106" i="1" s="1"/>
  <c r="AJ107" i="1"/>
  <c r="AL107" i="1" s="1"/>
  <c r="AJ109" i="1"/>
  <c r="AL109" i="1" s="1"/>
  <c r="AJ111" i="1"/>
  <c r="AL111" i="1" s="1"/>
  <c r="AJ112" i="1"/>
  <c r="AL112" i="1" s="1"/>
  <c r="AJ113" i="1"/>
  <c r="AL113" i="1" s="1"/>
  <c r="AJ114" i="1"/>
  <c r="AL114" i="1" s="1"/>
  <c r="AJ115" i="1"/>
  <c r="AL115" i="1" s="1"/>
  <c r="AJ119" i="1"/>
  <c r="AL119" i="1" s="1"/>
  <c r="AJ120" i="1"/>
  <c r="AL120" i="1" s="1"/>
  <c r="AJ216" i="1"/>
  <c r="AL216" i="1" s="1"/>
  <c r="AJ121" i="1"/>
  <c r="AL121" i="1" s="1"/>
  <c r="AJ122" i="1"/>
  <c r="AL122" i="1" s="1"/>
  <c r="AJ124" i="1"/>
  <c r="AL124" i="1" s="1"/>
  <c r="AJ125" i="1"/>
  <c r="AL125" i="1" s="1"/>
  <c r="AJ127" i="1"/>
  <c r="AL127" i="1" s="1"/>
  <c r="AJ129" i="1"/>
  <c r="AL129" i="1" s="1"/>
  <c r="AJ135" i="1"/>
  <c r="AL135" i="1" s="1"/>
  <c r="AJ130" i="1"/>
  <c r="AL130" i="1" s="1"/>
  <c r="AJ132" i="1"/>
  <c r="AL132" i="1" s="1"/>
  <c r="AJ116" i="1"/>
  <c r="AL116" i="1" s="1"/>
  <c r="AJ134" i="1"/>
  <c r="AL134" i="1" s="1"/>
  <c r="AJ136" i="1"/>
  <c r="AL136" i="1" s="1"/>
  <c r="AJ138" i="1"/>
  <c r="AJ139" i="1"/>
  <c r="AL139" i="1" s="1"/>
  <c r="AJ140" i="1"/>
  <c r="AL140" i="1" s="1"/>
  <c r="AJ141" i="1"/>
  <c r="AL141" i="1" s="1"/>
  <c r="AJ142" i="1"/>
  <c r="AL142" i="1" s="1"/>
  <c r="AJ143" i="1"/>
  <c r="AL143" i="1" s="1"/>
  <c r="AJ145" i="1"/>
  <c r="AL145" i="1" s="1"/>
  <c r="AJ146" i="1"/>
  <c r="AL146" i="1" s="1"/>
  <c r="AJ148" i="1"/>
  <c r="AL148" i="1" s="1"/>
  <c r="AJ149" i="1"/>
  <c r="AJ150" i="1"/>
  <c r="AJ151" i="1"/>
  <c r="AJ152" i="1"/>
  <c r="AL152" i="1" s="1"/>
  <c r="AJ153" i="1"/>
  <c r="AL153" i="1" s="1"/>
  <c r="AJ154" i="1"/>
  <c r="AL154" i="1" s="1"/>
  <c r="AJ155" i="1"/>
  <c r="AL155" i="1" s="1"/>
  <c r="AJ156" i="1"/>
  <c r="AL156" i="1" s="1"/>
  <c r="AJ157" i="1"/>
  <c r="AL157" i="1" s="1"/>
  <c r="AJ158" i="1"/>
  <c r="AL158" i="1" s="1"/>
  <c r="AJ159" i="1"/>
  <c r="AL159" i="1" s="1"/>
  <c r="AJ160" i="1"/>
  <c r="AL160" i="1" s="1"/>
  <c r="AJ161" i="1"/>
  <c r="AL161" i="1" s="1"/>
  <c r="AJ162" i="1"/>
  <c r="AL162" i="1" s="1"/>
  <c r="AJ163" i="1"/>
  <c r="AL163" i="1" s="1"/>
  <c r="AJ164" i="1"/>
  <c r="AL164" i="1" s="1"/>
  <c r="AJ165" i="1"/>
  <c r="AL165" i="1" s="1"/>
  <c r="AJ166" i="1"/>
  <c r="AL166" i="1" s="1"/>
  <c r="AJ168" i="1"/>
  <c r="AL168" i="1" s="1"/>
  <c r="AJ169" i="1"/>
  <c r="AL169" i="1" s="1"/>
  <c r="AJ170" i="1"/>
  <c r="AL170" i="1" s="1"/>
  <c r="AJ171" i="1"/>
  <c r="AL171" i="1" s="1"/>
  <c r="AJ174" i="1"/>
  <c r="AL174" i="1" s="1"/>
  <c r="AJ176" i="1"/>
  <c r="AL176" i="1" s="1"/>
  <c r="AJ177" i="1"/>
  <c r="AL177" i="1" s="1"/>
  <c r="AJ178" i="1"/>
  <c r="AL178" i="1" s="1"/>
  <c r="AJ179" i="1"/>
  <c r="AL179" i="1" s="1"/>
  <c r="AJ180" i="1"/>
  <c r="AL180" i="1" s="1"/>
  <c r="AJ181" i="1"/>
  <c r="AL181" i="1" s="1"/>
  <c r="AJ182" i="1"/>
  <c r="AL182" i="1" s="1"/>
  <c r="AJ184" i="1"/>
  <c r="AL184" i="1" s="1"/>
  <c r="AJ185" i="1"/>
  <c r="AL185" i="1" s="1"/>
  <c r="AJ186" i="1"/>
  <c r="AL186" i="1" s="1"/>
  <c r="AJ187" i="1"/>
  <c r="AL187" i="1" s="1"/>
  <c r="AJ188" i="1"/>
  <c r="AL188" i="1" s="1"/>
  <c r="AJ223" i="1"/>
  <c r="AL223" i="1" s="1"/>
  <c r="AJ189" i="1"/>
  <c r="AL189" i="1" s="1"/>
  <c r="AJ190" i="1"/>
  <c r="AL190" i="1" s="1"/>
  <c r="AJ191" i="1"/>
  <c r="AL191" i="1" s="1"/>
  <c r="AJ183" i="1"/>
  <c r="AL183" i="1" s="1"/>
  <c r="AJ192" i="1"/>
  <c r="AL192" i="1" s="1"/>
  <c r="AJ193" i="1"/>
  <c r="AL193" i="1" s="1"/>
  <c r="AJ194" i="1"/>
  <c r="AL194" i="1" s="1"/>
  <c r="AJ195" i="1"/>
  <c r="AL195" i="1" s="1"/>
  <c r="AJ196" i="1"/>
  <c r="AL196" i="1" s="1"/>
  <c r="AJ197" i="1"/>
  <c r="AL197" i="1" s="1"/>
  <c r="AJ198" i="1"/>
  <c r="AL198" i="1" s="1"/>
  <c r="AJ199" i="1"/>
  <c r="AL199" i="1" s="1"/>
  <c r="AJ200" i="1"/>
  <c r="AL200" i="1" s="1"/>
  <c r="AJ201" i="1"/>
  <c r="AL201" i="1" s="1"/>
  <c r="AJ202" i="1"/>
  <c r="AL202" i="1" s="1"/>
  <c r="AJ204" i="1"/>
  <c r="AL204" i="1" s="1"/>
  <c r="AJ206" i="1"/>
  <c r="AL206" i="1" s="1"/>
  <c r="AJ209" i="1"/>
  <c r="AL209" i="1" s="1"/>
  <c r="AJ210" i="1"/>
  <c r="AL210" i="1" s="1"/>
  <c r="AJ211" i="1"/>
  <c r="AL211" i="1" s="1"/>
  <c r="AJ212" i="1"/>
  <c r="AL212" i="1" s="1"/>
  <c r="AJ213" i="1"/>
  <c r="AL213" i="1" s="1"/>
  <c r="AJ214" i="1"/>
  <c r="AL214" i="1" s="1"/>
  <c r="AJ147" i="1"/>
  <c r="AL147" i="1" s="1"/>
  <c r="AJ217" i="1"/>
  <c r="AL217" i="1" s="1"/>
  <c r="AJ218" i="1"/>
  <c r="AL218" i="1" s="1"/>
  <c r="AJ219" i="1"/>
  <c r="AL219" i="1" s="1"/>
  <c r="AJ220" i="1"/>
  <c r="AL220" i="1" s="1"/>
  <c r="AJ175" i="1"/>
  <c r="AL175" i="1" s="1"/>
  <c r="AJ225" i="1"/>
  <c r="AL225" i="1" s="1"/>
  <c r="AJ262" i="1"/>
  <c r="AL262" i="1" s="1"/>
  <c r="AJ244" i="1"/>
  <c r="AL244" i="1" s="1"/>
  <c r="AJ252" i="1"/>
  <c r="AL252" i="1" s="1"/>
  <c r="AJ267" i="1"/>
  <c r="AL267" i="1" s="1"/>
  <c r="AJ236" i="1"/>
  <c r="AL236" i="1" s="1"/>
  <c r="AJ232" i="1"/>
  <c r="AL232" i="1" s="1"/>
  <c r="AJ228" i="1"/>
  <c r="AL228" i="1" s="1"/>
  <c r="AJ249" i="1"/>
  <c r="AL249" i="1" s="1"/>
  <c r="AJ269" i="1"/>
  <c r="AL269" i="1" s="1"/>
  <c r="AJ263" i="1"/>
  <c r="AL263" i="1" s="1"/>
  <c r="AJ265" i="1"/>
  <c r="AL265" i="1" s="1"/>
  <c r="AJ233" i="1"/>
  <c r="AL233" i="1" s="1"/>
  <c r="AJ242" i="1"/>
  <c r="AL242" i="1" s="1"/>
  <c r="AJ221" i="1"/>
  <c r="AL221" i="1" s="1"/>
  <c r="AJ222" i="1"/>
  <c r="AL222" i="1" s="1"/>
  <c r="AJ227" i="1"/>
  <c r="AL227" i="1" s="1"/>
  <c r="AJ226" i="1"/>
  <c r="AL226" i="1" s="1"/>
  <c r="AJ234" i="1"/>
  <c r="AL234" i="1" s="1"/>
  <c r="AJ238" i="1"/>
  <c r="AL238" i="1" s="1"/>
  <c r="AJ241" i="1"/>
  <c r="AL241" i="1" s="1"/>
  <c r="AJ243" i="1"/>
  <c r="AL243" i="1" s="1"/>
  <c r="AJ235" i="1"/>
  <c r="AL235" i="1" s="1"/>
  <c r="AJ271" i="1"/>
  <c r="AL271" i="1" s="1"/>
  <c r="AJ248" i="1"/>
  <c r="AL248" i="1" s="1"/>
  <c r="AJ255" i="1"/>
  <c r="AL255" i="1" s="1"/>
  <c r="AJ258" i="1"/>
  <c r="AL258" i="1" s="1"/>
  <c r="AJ259" i="1"/>
  <c r="AL259" i="1" s="1"/>
  <c r="AJ239" i="1"/>
  <c r="AL239" i="1" s="1"/>
  <c r="AJ246" i="1"/>
  <c r="AL246" i="1" s="1"/>
  <c r="AJ283" i="1"/>
  <c r="AL283" i="1" s="1"/>
  <c r="AJ287" i="1"/>
  <c r="AL287" i="1" s="1"/>
  <c r="AJ284" i="1"/>
  <c r="AL284" i="1" s="1"/>
  <c r="AJ285" i="1"/>
  <c r="AL285" i="1" s="1"/>
  <c r="AJ286" i="1"/>
  <c r="AL286" i="1" s="1"/>
  <c r="AJ288" i="1"/>
  <c r="AL288" i="1" s="1"/>
  <c r="AJ289" i="1"/>
  <c r="AL289" i="1" s="1"/>
  <c r="AJ290" i="1"/>
  <c r="AL290" i="1" s="1"/>
  <c r="AJ291" i="1"/>
  <c r="AL291" i="1" s="1"/>
  <c r="AJ292" i="1"/>
  <c r="AL292" i="1" s="1"/>
  <c r="AJ294" i="1"/>
  <c r="AL294" i="1" s="1"/>
  <c r="AJ295" i="1"/>
  <c r="AL295" i="1" s="1"/>
  <c r="AJ296" i="1"/>
  <c r="AL296" i="1" s="1"/>
  <c r="AJ297" i="1"/>
  <c r="AL297" i="1" s="1"/>
  <c r="AJ298" i="1"/>
  <c r="AL298" i="1" s="1"/>
  <c r="AJ299" i="1"/>
  <c r="AL299" i="1" s="1"/>
  <c r="AJ27" i="1"/>
  <c r="AL27" i="1" s="1"/>
  <c r="AJ28" i="1"/>
  <c r="AL28" i="1" s="1"/>
  <c r="AJ30" i="1"/>
  <c r="AL30" i="1" s="1"/>
  <c r="AJ32" i="1"/>
  <c r="AL32" i="1" s="1"/>
  <c r="AJ29" i="1"/>
  <c r="AL29" i="1" s="1"/>
  <c r="AJ34" i="1"/>
  <c r="AL34" i="1" s="1"/>
  <c r="AJ35" i="1"/>
  <c r="AL35" i="1" s="1"/>
  <c r="AJ36" i="1"/>
  <c r="AL36" i="1" s="1"/>
  <c r="AJ92" i="1"/>
  <c r="AL92" i="1" s="1"/>
  <c r="AJ93" i="1"/>
  <c r="AL93" i="1" s="1"/>
  <c r="AJ70" i="1"/>
  <c r="AL70" i="1" s="1"/>
  <c r="AJ74" i="1"/>
  <c r="AL74" i="1" s="1"/>
  <c r="AJ47" i="1"/>
  <c r="AL47" i="1" s="1"/>
  <c r="AJ48" i="1"/>
  <c r="AL48" i="1" s="1"/>
  <c r="AJ49" i="1"/>
  <c r="AL49" i="1" s="1"/>
  <c r="AJ53" i="1"/>
  <c r="AL53" i="1" s="1"/>
  <c r="AJ55" i="1"/>
  <c r="AL55" i="1" s="1"/>
  <c r="AJ63" i="1"/>
  <c r="AL63" i="1" s="1"/>
  <c r="AJ57" i="1"/>
  <c r="AL57" i="1" s="1"/>
  <c r="AJ83" i="1"/>
  <c r="AL83" i="1" s="1"/>
  <c r="AJ75" i="1"/>
  <c r="AL75" i="1" s="1"/>
  <c r="AJ85" i="1"/>
  <c r="AL85" i="1" s="1"/>
  <c r="AJ68" i="1"/>
  <c r="AL68" i="1" s="1"/>
  <c r="AJ17" i="1"/>
  <c r="AL17" i="1" s="1"/>
  <c r="AL144" i="1" s="1"/>
  <c r="AL150" i="1" l="1"/>
  <c r="AL151" i="1"/>
  <c r="AL149" i="1"/>
  <c r="AL138" i="1"/>
  <c r="AI296" i="1"/>
  <c r="AI55" i="1"/>
  <c r="AI53" i="1"/>
  <c r="AI138" i="1"/>
  <c r="AI150" i="1"/>
  <c r="AI149" i="1"/>
  <c r="AI17" i="1"/>
  <c r="AI132" i="1"/>
  <c r="AI129" i="1"/>
  <c r="AI122" i="1"/>
  <c r="AI119" i="1"/>
  <c r="AI109" i="1"/>
  <c r="AI103" i="1"/>
  <c r="AI101" i="1"/>
  <c r="AI32" i="1"/>
  <c r="AI239" i="1"/>
  <c r="AI226" i="1"/>
  <c r="AI236" i="1"/>
  <c r="AI212" i="1"/>
  <c r="AI196" i="1"/>
  <c r="AI186" i="1"/>
  <c r="AI170" i="1"/>
  <c r="AI162" i="1"/>
  <c r="AI152" i="1"/>
  <c r="AI295" i="1"/>
  <c r="AI259" i="1"/>
  <c r="AI227" i="1"/>
  <c r="AI249" i="1"/>
  <c r="AI220" i="1"/>
  <c r="AI204" i="1"/>
  <c r="AI183" i="1"/>
  <c r="AI180" i="1"/>
  <c r="AI169" i="1"/>
  <c r="AI161" i="1"/>
  <c r="AI151" i="1"/>
  <c r="AI141" i="1"/>
  <c r="AI136" i="1"/>
  <c r="AI130" i="1"/>
  <c r="AI121" i="1"/>
  <c r="AI113" i="1"/>
  <c r="AI107" i="1"/>
  <c r="AI99" i="1"/>
  <c r="AI18" i="1"/>
  <c r="AI85" i="1"/>
  <c r="AI74" i="1"/>
  <c r="AI291" i="1"/>
  <c r="AI284" i="1"/>
  <c r="AI243" i="1"/>
  <c r="AI269" i="1"/>
  <c r="AI175" i="1"/>
  <c r="AI206" i="1"/>
  <c r="AI192" i="1"/>
  <c r="AI181" i="1"/>
  <c r="AI166" i="1"/>
  <c r="AI155" i="1"/>
  <c r="AI148" i="1"/>
  <c r="AI49" i="1"/>
  <c r="AI93" i="1"/>
  <c r="AI30" i="1"/>
  <c r="AI290" i="1"/>
  <c r="AI287" i="1"/>
  <c r="AI248" i="1"/>
  <c r="AI233" i="1"/>
  <c r="AI211" i="1"/>
  <c r="AI199" i="1"/>
  <c r="AI195" i="1"/>
  <c r="AI185" i="1"/>
  <c r="AI176" i="1"/>
  <c r="AI165" i="1"/>
  <c r="AI154" i="1"/>
  <c r="AI146" i="1"/>
  <c r="AI75" i="1"/>
  <c r="AI63" i="1"/>
  <c r="AI34" i="1"/>
  <c r="AI28" i="1"/>
  <c r="AI297" i="1"/>
  <c r="AI294" i="1"/>
  <c r="AI289" i="1"/>
  <c r="AI283" i="1"/>
  <c r="AI258" i="1"/>
  <c r="AI271" i="1"/>
  <c r="AI238" i="1"/>
  <c r="AI222" i="1"/>
  <c r="AI265" i="1"/>
  <c r="AI228" i="1"/>
  <c r="AI252" i="1"/>
  <c r="AI225" i="1"/>
  <c r="AI219" i="1"/>
  <c r="AI214" i="1"/>
  <c r="AI210" i="1"/>
  <c r="AI202" i="1"/>
  <c r="AI198" i="1"/>
  <c r="AI194" i="1"/>
  <c r="AI191" i="1"/>
  <c r="AI188" i="1"/>
  <c r="AI184" i="1"/>
  <c r="AI179" i="1"/>
  <c r="AI174" i="1"/>
  <c r="AI168" i="1"/>
  <c r="AI164" i="1"/>
  <c r="AI160" i="1"/>
  <c r="AI157" i="1"/>
  <c r="AI153" i="1"/>
  <c r="AI145" i="1"/>
  <c r="AI140" i="1"/>
  <c r="AI134" i="1"/>
  <c r="AI216" i="1"/>
  <c r="AI115" i="1"/>
  <c r="AI112" i="1"/>
  <c r="AI106" i="1"/>
  <c r="AI102" i="1"/>
  <c r="AI98" i="1"/>
  <c r="AI173" i="1"/>
  <c r="AI36" i="1"/>
  <c r="AI299" i="1"/>
  <c r="AI229" i="1"/>
  <c r="AI242" i="1"/>
  <c r="AI262" i="1"/>
  <c r="AI217" i="1"/>
  <c r="AI200" i="1"/>
  <c r="AI189" i="1"/>
  <c r="AI177" i="1"/>
  <c r="AI158" i="1"/>
  <c r="AI142" i="1"/>
  <c r="AI57" i="1"/>
  <c r="AI35" i="1"/>
  <c r="AI298" i="1"/>
  <c r="AI286" i="1"/>
  <c r="AI241" i="1"/>
  <c r="AI267" i="1"/>
  <c r="AI147" i="1"/>
  <c r="AI223" i="1"/>
  <c r="AI48" i="1"/>
  <c r="AI92" i="1"/>
  <c r="AI68" i="1"/>
  <c r="AI83" i="1"/>
  <c r="AI47" i="1"/>
  <c r="AI70" i="1"/>
  <c r="AI29" i="1"/>
  <c r="AI27" i="1"/>
  <c r="AI292" i="1"/>
  <c r="AI288" i="1"/>
  <c r="AI285" i="1"/>
  <c r="AI246" i="1"/>
  <c r="AI255" i="1"/>
  <c r="AI235" i="1"/>
  <c r="AI234" i="1"/>
  <c r="AI221" i="1"/>
  <c r="AI263" i="1"/>
  <c r="AI232" i="1"/>
  <c r="AI244" i="1"/>
  <c r="AI218" i="1"/>
  <c r="AI213" i="1"/>
  <c r="AI209" i="1"/>
  <c r="AI201" i="1"/>
  <c r="AI197" i="1"/>
  <c r="AI193" i="1"/>
  <c r="AI190" i="1"/>
  <c r="AI187" i="1"/>
  <c r="AI182" i="1"/>
  <c r="AI178" i="1"/>
  <c r="AI171" i="1"/>
  <c r="AI167" i="1"/>
  <c r="AI163" i="1"/>
  <c r="AI159" i="1"/>
  <c r="AI156" i="1"/>
  <c r="AI143" i="1"/>
  <c r="AI139" i="1"/>
  <c r="AI116" i="1"/>
  <c r="AI135" i="1"/>
  <c r="AI124" i="1"/>
  <c r="AI120" i="1"/>
  <c r="AI114" i="1"/>
  <c r="AI111" i="1"/>
  <c r="AI104" i="1"/>
  <c r="AI172" i="1"/>
  <c r="AI127" i="1"/>
  <c r="AI125" i="1"/>
  <c r="L236" i="1" l="1"/>
  <c r="BA236" i="1" s="1"/>
  <c r="BH236" i="1" s="1"/>
  <c r="L267" i="1"/>
  <c r="BA267" i="1" s="1"/>
  <c r="BH267" i="1" s="1"/>
  <c r="BJ267" i="1" l="1"/>
  <c r="BG267" i="1"/>
  <c r="BI267" i="1" s="1"/>
  <c r="BJ236" i="1"/>
  <c r="BG236" i="1"/>
  <c r="BI236" i="1" s="1"/>
  <c r="U175" i="1"/>
  <c r="Y175" i="1" s="1"/>
  <c r="L185" i="1" l="1"/>
  <c r="BA185" i="1" s="1"/>
  <c r="L179" i="1"/>
  <c r="BA179" i="1" s="1"/>
  <c r="BH179" i="1" l="1"/>
  <c r="BJ179" i="1" s="1"/>
  <c r="BH185" i="1"/>
  <c r="BJ185" i="1" s="1"/>
  <c r="BG179" i="1"/>
  <c r="BI179" i="1" s="1"/>
  <c r="BG185" i="1"/>
  <c r="BI185" i="1" s="1"/>
  <c r="U130" i="1"/>
  <c r="Y130" i="1" s="1"/>
  <c r="U111" i="1"/>
  <c r="Y111" i="1" s="1"/>
</calcChain>
</file>

<file path=xl/sharedStrings.xml><?xml version="1.0" encoding="utf-8"?>
<sst xmlns="http://schemas.openxmlformats.org/spreadsheetml/2006/main" count="3352" uniqueCount="1508">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</sst>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302"/>
  <sheetViews>
    <sheetView tabSelected="1" zoomScaleNormal="100" workbookViewId="0">
      <pane xSplit="1" ySplit="1" topLeftCell="B2" activePane="bottomRight" state="frozenSplit"/>
      <selection pane="topRight" activeCell="B1" sqref="B1"/>
      <selection pane="bottomLeft" activeCell="A2" sqref="A2"/>
      <selection pane="bottomRight" activeCell="B300" sqref="B300"/>
    </sheetView>
  </sheetViews>
  <sheetFormatPr defaultRowHeight="15" x14ac:dyDescent="0.25"/>
  <cols>
    <col min="1" max="1" width="37.140625" bestFit="1" customWidth="1"/>
    <col min="2" max="2" width="28.28515625" bestFit="1" customWidth="1"/>
    <col min="3" max="3" width="13.28515625" bestFit="1" customWidth="1"/>
    <col min="4" max="4" width="13.28515625" customWidth="1"/>
    <col min="5" max="5" width="13.28515625" bestFit="1" customWidth="1"/>
    <col min="6" max="6" width="14.7109375" bestFit="1" customWidth="1"/>
    <col min="7" max="7" width="13.42578125" bestFit="1" customWidth="1"/>
    <col min="12" max="12" width="10.85546875" bestFit="1" customWidth="1"/>
    <col min="13" max="13" width="10.85546875" style="8" customWidth="1"/>
    <col min="14" max="14" width="5.140625" style="5" bestFit="1" customWidth="1"/>
    <col min="15" max="15" width="7.28515625" style="5" bestFit="1" customWidth="1"/>
    <col min="16" max="16" width="5.5703125" style="5" bestFit="1" customWidth="1"/>
    <col min="17" max="17" width="10" style="5" bestFit="1" customWidth="1"/>
    <col min="18" max="18" width="7.7109375" style="5" bestFit="1" customWidth="1"/>
    <col min="19" max="19" width="11" style="5" bestFit="1" customWidth="1"/>
    <col min="20" max="20" width="7.7109375" style="5" customWidth="1"/>
    <col min="21" max="21" width="10" bestFit="1" customWidth="1"/>
    <col min="22" max="22" width="19.7109375" style="8" customWidth="1"/>
    <col min="23" max="23" width="13.28515625" customWidth="1"/>
    <col min="24" max="24" width="18" bestFit="1" customWidth="1"/>
    <col min="25" max="25" width="8.42578125" style="3" bestFit="1" customWidth="1"/>
    <col min="26" max="26" width="12.42578125" bestFit="1" customWidth="1"/>
    <col min="27" max="29" width="12.42578125" customWidth="1"/>
    <col min="30" max="30" width="10.5703125" bestFit="1" customWidth="1"/>
    <col min="31" max="31" width="9.28515625" bestFit="1" customWidth="1"/>
    <col min="32" max="32" width="10.5703125" customWidth="1"/>
    <col min="33" max="33" width="10.42578125" bestFit="1" customWidth="1"/>
    <col min="34" max="34" width="9.140625" style="10"/>
    <col min="35" max="35" width="10.28515625" bestFit="1" customWidth="1"/>
    <col min="36" max="36" width="10.28515625" customWidth="1"/>
    <col min="37" max="37" width="26.85546875" customWidth="1"/>
    <col min="38" max="38" width="18.42578125" bestFit="1" customWidth="1"/>
    <col min="39" max="39" width="18.42578125" customWidth="1"/>
    <col min="40" max="41" width="18.42578125" style="12" customWidth="1"/>
    <col min="42" max="42" width="31.140625" customWidth="1"/>
    <col min="43" max="43" width="17" customWidth="1"/>
    <col min="44" max="44" width="11.85546875" bestFit="1" customWidth="1"/>
    <col min="45" max="45" width="13.140625" bestFit="1" customWidth="1"/>
    <col min="46" max="46" width="9.42578125" bestFit="1" customWidth="1"/>
    <col min="47" max="49" width="9.42578125" customWidth="1"/>
    <col min="50" max="50" width="18.7109375" bestFit="1" customWidth="1"/>
    <col min="51" max="51" width="19.140625" bestFit="1" customWidth="1"/>
    <col min="52" max="52" width="15" hidden="1" customWidth="1"/>
    <col min="53" max="53" width="10" hidden="1" customWidth="1"/>
    <col min="54" max="54" width="9.140625" hidden="1" customWidth="1"/>
    <col min="55" max="55" width="9.7109375" hidden="1" customWidth="1"/>
    <col min="56" max="56" width="12.42578125" hidden="1" customWidth="1"/>
    <col min="57" max="58" width="16" hidden="1" customWidth="1"/>
    <col min="60" max="60" width="11" bestFit="1" customWidth="1"/>
    <col min="61" max="62" width="11" customWidth="1"/>
    <col min="68" max="68" width="31.140625" customWidth="1"/>
    <col min="70" max="70" width="19.140625" bestFit="1" customWidth="1"/>
    <col min="71" max="71" width="16.85546875" bestFit="1" customWidth="1"/>
    <col min="72" max="72" width="15.5703125" bestFit="1" customWidth="1"/>
    <col min="74" max="74" width="15.7109375" bestFit="1" customWidth="1"/>
    <col min="75" max="75" width="21.7109375" bestFit="1" customWidth="1"/>
    <col min="76" max="76" width="26.28515625" bestFit="1" customWidth="1"/>
    <col min="77" max="77" width="44.28515625" customWidth="1"/>
    <col min="78" max="78" width="38.42578125" customWidth="1"/>
    <col min="79" max="79" width="255.7109375" bestFit="1" customWidth="1"/>
  </cols>
  <sheetData>
    <row r="1" spans="1:81" s="1" customFormat="1" x14ac:dyDescent="0.25">
      <c r="A1" s="1" t="s">
        <v>133</v>
      </c>
      <c r="B1" s="1" t="s">
        <v>134</v>
      </c>
      <c r="C1" s="1" t="s">
        <v>716</v>
      </c>
      <c r="D1" s="1" t="s">
        <v>1507</v>
      </c>
      <c r="E1" s="1" t="s">
        <v>132</v>
      </c>
      <c r="F1" s="1" t="s">
        <v>271</v>
      </c>
      <c r="G1" s="1" t="s">
        <v>274</v>
      </c>
      <c r="H1" s="1" t="s">
        <v>136</v>
      </c>
      <c r="I1" s="1" t="s">
        <v>137</v>
      </c>
      <c r="J1" s="1" t="s">
        <v>138</v>
      </c>
      <c r="K1" s="1" t="s">
        <v>139</v>
      </c>
      <c r="L1" s="1" t="s">
        <v>140</v>
      </c>
      <c r="M1" s="7" t="s">
        <v>542</v>
      </c>
      <c r="N1" s="4" t="s">
        <v>375</v>
      </c>
      <c r="O1" s="4" t="s">
        <v>372</v>
      </c>
      <c r="P1" s="4" t="s">
        <v>373</v>
      </c>
      <c r="Q1" s="4" t="s">
        <v>370</v>
      </c>
      <c r="R1" s="4" t="s">
        <v>371</v>
      </c>
      <c r="S1" s="4" t="s">
        <v>376</v>
      </c>
      <c r="T1" s="4" t="s">
        <v>374</v>
      </c>
      <c r="U1" s="1" t="s">
        <v>141</v>
      </c>
      <c r="V1" s="7" t="s">
        <v>142</v>
      </c>
      <c r="W1" s="1" t="s">
        <v>276</v>
      </c>
      <c r="X1" s="1" t="s">
        <v>143</v>
      </c>
      <c r="Y1" s="2" t="s">
        <v>265</v>
      </c>
      <c r="Z1" s="1" t="s">
        <v>144</v>
      </c>
      <c r="AA1" s="1" t="s">
        <v>1505</v>
      </c>
      <c r="AB1" s="1" t="s">
        <v>1500</v>
      </c>
      <c r="AC1" s="1" t="s">
        <v>380</v>
      </c>
      <c r="AD1" s="1" t="s">
        <v>145</v>
      </c>
      <c r="AE1" s="1" t="s">
        <v>285</v>
      </c>
      <c r="AF1" s="1" t="s">
        <v>244</v>
      </c>
      <c r="AG1" s="1" t="s">
        <v>146</v>
      </c>
      <c r="AH1" s="9" t="s">
        <v>264</v>
      </c>
      <c r="AI1" s="1" t="s">
        <v>135</v>
      </c>
      <c r="AJ1" s="1" t="s">
        <v>269</v>
      </c>
      <c r="AK1" s="1" t="s">
        <v>291</v>
      </c>
      <c r="AL1" s="1" t="s">
        <v>245</v>
      </c>
      <c r="AM1" s="1" t="s">
        <v>1255</v>
      </c>
      <c r="AN1" s="11" t="s">
        <v>678</v>
      </c>
      <c r="AO1" s="11" t="s">
        <v>1237</v>
      </c>
      <c r="AP1" s="1" t="s">
        <v>401</v>
      </c>
      <c r="AQ1" s="1" t="s">
        <v>553</v>
      </c>
      <c r="AR1" s="1" t="s">
        <v>402</v>
      </c>
      <c r="AS1" s="1" t="s">
        <v>483</v>
      </c>
      <c r="AT1" s="1" t="s">
        <v>270</v>
      </c>
      <c r="AU1" s="1" t="s">
        <v>1168</v>
      </c>
      <c r="AV1" s="1" t="s">
        <v>1092</v>
      </c>
      <c r="AW1" s="1" t="s">
        <v>1118</v>
      </c>
      <c r="AX1" s="1" t="s">
        <v>1093</v>
      </c>
      <c r="AY1" s="1" t="s">
        <v>1110</v>
      </c>
      <c r="AZ1" s="1" t="s">
        <v>1094</v>
      </c>
      <c r="BA1" s="1" t="s">
        <v>1095</v>
      </c>
      <c r="BB1" s="1" t="s">
        <v>1096</v>
      </c>
      <c r="BC1" s="1" t="s">
        <v>1099</v>
      </c>
      <c r="BD1" s="1" t="s">
        <v>1105</v>
      </c>
      <c r="BE1" s="1" t="s">
        <v>1100</v>
      </c>
      <c r="BF1" s="1" t="s">
        <v>1104</v>
      </c>
      <c r="BG1" s="1" t="s">
        <v>277</v>
      </c>
      <c r="BH1" s="1" t="s">
        <v>278</v>
      </c>
      <c r="BI1" s="1" t="s">
        <v>1170</v>
      </c>
      <c r="BJ1" s="1" t="s">
        <v>1171</v>
      </c>
      <c r="BK1" s="1" t="s">
        <v>307</v>
      </c>
      <c r="BL1" s="1" t="s">
        <v>567</v>
      </c>
      <c r="BM1" s="1" t="s">
        <v>659</v>
      </c>
      <c r="BN1" s="1" t="s">
        <v>1111</v>
      </c>
      <c r="BO1" s="1" t="s">
        <v>1123</v>
      </c>
      <c r="BP1" s="1" t="s">
        <v>1145</v>
      </c>
      <c r="BQ1" s="1" t="s">
        <v>1154</v>
      </c>
      <c r="BR1" s="1" t="s">
        <v>1155</v>
      </c>
      <c r="BS1" s="1" t="s">
        <v>1042</v>
      </c>
      <c r="BT1" s="1" t="s">
        <v>282</v>
      </c>
      <c r="BU1" s="1" t="s">
        <v>323</v>
      </c>
      <c r="BV1" s="1" t="s">
        <v>344</v>
      </c>
      <c r="BW1" s="1" t="s">
        <v>346</v>
      </c>
      <c r="BX1" s="1" t="s">
        <v>1208</v>
      </c>
      <c r="BY1" s="1" t="s">
        <v>1202</v>
      </c>
      <c r="BZ1" s="1" t="s">
        <v>1152</v>
      </c>
      <c r="CA1" s="1" t="s">
        <v>1119</v>
      </c>
      <c r="CB1" s="1" t="s">
        <v>1153</v>
      </c>
      <c r="CC1" s="1" t="s">
        <v>347</v>
      </c>
    </row>
    <row r="2" spans="1:81" x14ac:dyDescent="0.25">
      <c r="A2" t="s">
        <v>420</v>
      </c>
      <c r="B2" t="s">
        <v>421</v>
      </c>
      <c r="C2">
        <v>-1</v>
      </c>
      <c r="D2">
        <v>-1</v>
      </c>
      <c r="E2" t="s">
        <v>291</v>
      </c>
      <c r="F2" t="s">
        <v>291</v>
      </c>
      <c r="G2" t="s">
        <v>275</v>
      </c>
      <c r="H2">
        <v>1900</v>
      </c>
      <c r="U2">
        <v>42</v>
      </c>
      <c r="Y2" s="3" t="str">
        <f t="shared" ref="Y2:Y33" si="0">IF(AND(U2&gt;0,X2&gt;0),(X2/((U2+V2)*10)),"")</f>
        <v/>
      </c>
      <c r="AD2">
        <v>7.5</v>
      </c>
      <c r="AE2">
        <v>8</v>
      </c>
      <c r="AH2" s="10">
        <v>0</v>
      </c>
      <c r="AI2" t="str">
        <f>CONCATENATE(VLOOKUP(AJ2, 'Voxel Sizes'!$A$2:$B$18,2,FALSE),"x",INT(AF2*15), "x", INT(AG2*15))</f>
        <v>82x0x0</v>
      </c>
      <c r="AJ2">
        <f t="shared" ref="AJ2:AJ73" si="1">ROUND(15*((AE2*10)/256),0)</f>
        <v>5</v>
      </c>
      <c r="AL2" t="str">
        <f>CONCATENATE(VLOOKUP(AJ2,Constants!$A$2:$C$16,IF(AK2&lt;&gt;"", 3, 2), FALSE),IF(AK2&lt;&gt;"",CONCATENATE(",",VLOOKUP(AK2,$B:$AL,36,FALSE)),""))</f>
        <v>2,1,2</v>
      </c>
      <c r="AV2">
        <v>30</v>
      </c>
      <c r="AW2" s="15" t="str">
        <f t="shared" ref="AW2:AW73" si="2">IF(J2&lt;&gt;"",MAX(16,(J2-H2)+8),"")</f>
        <v/>
      </c>
      <c r="AZ2">
        <f t="shared" ref="AZ2:AZ73" si="3">MIN(Z2/150, 1)*30</f>
        <v>0</v>
      </c>
      <c r="BA2">
        <f t="shared" ref="BA2:BA73" si="4">MIN(L2/4000, 1)*20</f>
        <v>0</v>
      </c>
      <c r="BB2">
        <f t="shared" ref="BB2:BB73" si="5">MIN(X2/400,1)*20</f>
        <v>0</v>
      </c>
      <c r="BC2" s="3">
        <f t="shared" ref="BC2:BC73" si="6">1-(MAX(H2-1900, 0)/750)</f>
        <v>1</v>
      </c>
      <c r="BD2">
        <f t="shared" ref="BD2:BD73" si="7">((MAX($K2,1)*MIN($AH2/300,1)))*IF(E2="Wagon",50,10)</f>
        <v>0</v>
      </c>
      <c r="BE2">
        <f>VLOOKUP($F2,Constants!$I:$K, 2, FALSE)</f>
        <v>0</v>
      </c>
      <c r="BF2">
        <f>VLOOKUP($F2,Constants!$I:$K, 3, FALSE)*IF(AND(E2="multiple_unit",Z2&lt;110),0.75,1)</f>
        <v>0</v>
      </c>
      <c r="BG2">
        <f>INT(POWER(((Constants!$G$2+$AZ2+$BA2+$BB2+$BD2)*$BC2)*$BF2, 1.05))+$AY2</f>
        <v>0</v>
      </c>
      <c r="BH2">
        <f>INT(POWER((((Constants!$G$1+$AZ2+$BA2+$BB2+$BD2)*($BC2))*$BE2),IF($E2="wagon",1,1.2)))+$AX2</f>
        <v>0</v>
      </c>
      <c r="BI2" s="14">
        <f t="shared" ref="BI2:BI73" si="8">BG2*IF($E2="wagon",62.5,781.25)</f>
        <v>0</v>
      </c>
      <c r="BJ2" s="14">
        <f t="shared" ref="BJ2:BJ73" si="9">BH2*IF($E2="wagon",2.73,81.25)</f>
        <v>0</v>
      </c>
      <c r="BU2" t="str">
        <f>VLOOKUP(H2,Eras!$A$2:$C$10, 2, TRUE)</f>
        <v>edw</v>
      </c>
      <c r="BW2" t="str">
        <f t="shared" ref="BW2:BW73" si="10">CONCATENATE(BU2,"_",BV2)</f>
        <v>edw_</v>
      </c>
      <c r="BX2" t="str">
        <f t="shared" ref="BX2:BX73" si="11">_xlfn.CONCAT(F2, "_",G2)</f>
        <v>tender_RAIL</v>
      </c>
      <c r="BY2" t="str">
        <f>VLOOKUP($BX2, Constants!$M:$N, 2, FALSE)</f>
        <v/>
      </c>
      <c r="BZ2" t="str">
        <f t="shared" ref="BZ2:BZ33" si="12">IF(K2&gt;1,_xlfn.CONCAT("{BLACK}Cars: {GOLD}", K2),"")</f>
        <v/>
      </c>
      <c r="CB2" t="str">
        <f t="shared" ref="CB2:CB33" si="13">IF(BT2="BRAKE","{YELLOW}Speed bonus for slow wagons{}",IF(BR2&gt;190,CONCATENATE("{YELLOW}",INT((BR2-185)/1.85),"% Bonus for long distance travel{}"),IF(AND(BR2&lt;180,BR2&lt;&gt;0),CONCATENATE("{YELLOW}",INT((185-BR2)/1.85),"% Penalty for long distance travel{}"),"")))</f>
        <v/>
      </c>
      <c r="CC2" t="str">
        <f t="shared" ref="CC2:CC73" si="14">_xlfn.CONCAT(BY2,IF(BY2 &lt;&gt; "", " ", ""),BZ2,IF(OR(BZ2&lt;&gt;"", BY2&lt;&gt;""), "{}",""), CB2,"{SILVER}", CA2)</f>
        <v>{SILVER}</v>
      </c>
    </row>
    <row r="3" spans="1:81" x14ac:dyDescent="0.25">
      <c r="A3" t="s">
        <v>1382</v>
      </c>
      <c r="B3" t="s">
        <v>1383</v>
      </c>
      <c r="C3">
        <v>-1</v>
      </c>
      <c r="D3">
        <v>-1</v>
      </c>
      <c r="E3" t="s">
        <v>291</v>
      </c>
      <c r="F3" t="s">
        <v>291</v>
      </c>
      <c r="G3" t="s">
        <v>275</v>
      </c>
      <c r="H3">
        <v>1815</v>
      </c>
      <c r="U3">
        <v>42</v>
      </c>
      <c r="Y3" s="3" t="str">
        <f t="shared" si="0"/>
        <v/>
      </c>
      <c r="AD3">
        <v>7.5</v>
      </c>
      <c r="AE3">
        <v>6</v>
      </c>
      <c r="AH3" s="10">
        <v>0</v>
      </c>
      <c r="AI3" t="str">
        <f>CONCATENATE(VLOOKUP(AJ3, 'Voxel Sizes'!$A$2:$B$18,2,FALSE),"x",INT(AF3*15), "x", INT(AG3*15))</f>
        <v>60x0x0</v>
      </c>
      <c r="AJ3">
        <f t="shared" si="1"/>
        <v>4</v>
      </c>
      <c r="AL3" t="str">
        <f>CONCATENATE(VLOOKUP(AJ3,Constants!$A$2:$C$16,IF(AK3&lt;&gt;"", 3, 2), FALSE),IF(AK3&lt;&gt;"",CONCATENATE(",",VLOOKUP(AK3,$B:$AL,36,FALSE)),""))</f>
        <v>1,2,1</v>
      </c>
      <c r="AV3">
        <v>30</v>
      </c>
      <c r="AW3" s="15" t="str">
        <f t="shared" si="2"/>
        <v/>
      </c>
      <c r="AZ3">
        <f t="shared" si="3"/>
        <v>0</v>
      </c>
      <c r="BA3">
        <f t="shared" si="4"/>
        <v>0</v>
      </c>
      <c r="BB3">
        <f t="shared" si="5"/>
        <v>0</v>
      </c>
      <c r="BC3" s="3">
        <f t="shared" si="6"/>
        <v>1</v>
      </c>
      <c r="BD3">
        <f t="shared" si="7"/>
        <v>0</v>
      </c>
      <c r="BE3">
        <f>VLOOKUP($F3,Constants!$I:$K, 2, FALSE)</f>
        <v>0</v>
      </c>
      <c r="BF3">
        <f>VLOOKUP($F3,Constants!$I:$K, 3, FALSE)*IF(AND(E3="multiple_unit",Z3&lt;110),0.75,1)</f>
        <v>0</v>
      </c>
      <c r="BG3">
        <f>INT(POWER(((Constants!$G$2+$AZ3+$BA3+$BB3+$BD3)*$BC3)*$BF3, 1.05))+$AY3</f>
        <v>0</v>
      </c>
      <c r="BH3">
        <f>INT(POWER((((Constants!$G$1+$AZ3+$BA3+$BB3+$BD3)*($BC3))*$BE3),IF($E3="wagon",1,1.2)))+$AX3</f>
        <v>0</v>
      </c>
      <c r="BI3" s="14">
        <f t="shared" si="8"/>
        <v>0</v>
      </c>
      <c r="BJ3" s="14">
        <f t="shared" si="9"/>
        <v>0</v>
      </c>
      <c r="BU3" t="str">
        <f>VLOOKUP(H3,Eras!$A$2:$C$10, 2, TRUE)</f>
        <v>early</v>
      </c>
      <c r="BW3" t="str">
        <f t="shared" si="10"/>
        <v>early_</v>
      </c>
      <c r="BX3" t="str">
        <f t="shared" si="11"/>
        <v>tender_RAIL</v>
      </c>
      <c r="BY3" t="str">
        <f>VLOOKUP($BX3, Constants!$M:$N, 2, FALSE)</f>
        <v/>
      </c>
      <c r="BZ3" t="str">
        <f t="shared" si="12"/>
        <v/>
      </c>
      <c r="CB3" t="str">
        <f t="shared" si="13"/>
        <v/>
      </c>
      <c r="CC3" t="str">
        <f t="shared" si="14"/>
        <v>{SILVER}</v>
      </c>
    </row>
    <row r="4" spans="1:81" x14ac:dyDescent="0.25">
      <c r="A4" t="s">
        <v>1371</v>
      </c>
      <c r="B4" t="s">
        <v>1370</v>
      </c>
      <c r="C4">
        <v>-1</v>
      </c>
      <c r="D4">
        <v>-1</v>
      </c>
      <c r="E4" t="s">
        <v>291</v>
      </c>
      <c r="F4" t="s">
        <v>291</v>
      </c>
      <c r="G4" t="s">
        <v>275</v>
      </c>
      <c r="H4">
        <v>1815</v>
      </c>
      <c r="U4">
        <v>42</v>
      </c>
      <c r="Y4" s="3" t="str">
        <f t="shared" si="0"/>
        <v/>
      </c>
      <c r="AD4">
        <v>7.5</v>
      </c>
      <c r="AE4">
        <v>6</v>
      </c>
      <c r="AH4" s="10">
        <v>0</v>
      </c>
      <c r="AI4" t="str">
        <f>CONCATENATE(VLOOKUP(AJ4, 'Voxel Sizes'!$A$2:$B$18,2,FALSE),"x",INT(AF4*15), "x", INT(AG4*15))</f>
        <v>60x0x0</v>
      </c>
      <c r="AJ4">
        <f t="shared" si="1"/>
        <v>4</v>
      </c>
      <c r="AL4" t="str">
        <f>CONCATENATE(VLOOKUP(AJ4,Constants!$A$2:$C$16,IF(AK4&lt;&gt;"", 3, 2), FALSE),IF(AK4&lt;&gt;"",CONCATENATE(",",VLOOKUP(AK4,$B:$AL,37,FALSE)),""))</f>
        <v>1,2,1</v>
      </c>
      <c r="AV4">
        <v>30</v>
      </c>
      <c r="AW4" s="15" t="str">
        <f t="shared" si="2"/>
        <v/>
      </c>
      <c r="AZ4">
        <f t="shared" si="3"/>
        <v>0</v>
      </c>
      <c r="BA4">
        <f t="shared" si="4"/>
        <v>0</v>
      </c>
      <c r="BB4">
        <f t="shared" si="5"/>
        <v>0</v>
      </c>
      <c r="BC4" s="3">
        <f t="shared" si="6"/>
        <v>1</v>
      </c>
      <c r="BD4">
        <f t="shared" si="7"/>
        <v>0</v>
      </c>
      <c r="BE4">
        <f>VLOOKUP($F4,Constants!$I:$K, 2, FALSE)</f>
        <v>0</v>
      </c>
      <c r="BF4">
        <f>VLOOKUP($F4,Constants!$I:$K, 3, FALSE)*IF(AND(E4="multiple_unit",Z4&lt;110),0.75,1)</f>
        <v>0</v>
      </c>
      <c r="BG4">
        <f>INT(POWER(((Constants!$G$2+$AZ4+$BA4+$BB4+$BD4)*$BC4)*$BF4, 1.05))+$AY4</f>
        <v>0</v>
      </c>
      <c r="BH4">
        <f>INT(POWER((((Constants!$G$1+$AZ4+$BA4+$BB4+$BD4)*($BC4))*$BE4),IF($E4="wagon",1,1.2)))+$AX4</f>
        <v>0</v>
      </c>
      <c r="BI4" s="14">
        <f t="shared" si="8"/>
        <v>0</v>
      </c>
      <c r="BJ4" s="14">
        <f t="shared" si="9"/>
        <v>0</v>
      </c>
      <c r="BU4" t="str">
        <f>VLOOKUP(H4,Eras!$A$2:$C$10, 2, TRUE)</f>
        <v>early</v>
      </c>
      <c r="BW4" t="str">
        <f t="shared" si="10"/>
        <v>early_</v>
      </c>
      <c r="BX4" t="str">
        <f t="shared" si="11"/>
        <v>tender_RAIL</v>
      </c>
      <c r="BY4" t="str">
        <f>VLOOKUP($BX4, Constants!$M:$N, 2, FALSE)</f>
        <v/>
      </c>
      <c r="BZ4" t="str">
        <f t="shared" si="12"/>
        <v/>
      </c>
      <c r="CB4" t="str">
        <f t="shared" si="13"/>
        <v/>
      </c>
      <c r="CC4" t="str">
        <f t="shared" si="14"/>
        <v>{SILVER}</v>
      </c>
    </row>
    <row r="5" spans="1:81" x14ac:dyDescent="0.25">
      <c r="A5" t="s">
        <v>1363</v>
      </c>
      <c r="B5" t="s">
        <v>1364</v>
      </c>
      <c r="C5">
        <v>-1</v>
      </c>
      <c r="D5">
        <v>-1</v>
      </c>
      <c r="E5" t="s">
        <v>291</v>
      </c>
      <c r="F5" t="s">
        <v>291</v>
      </c>
      <c r="G5" t="s">
        <v>275</v>
      </c>
      <c r="H5">
        <v>1815</v>
      </c>
      <c r="U5">
        <v>42</v>
      </c>
      <c r="Y5" s="3" t="str">
        <f t="shared" si="0"/>
        <v/>
      </c>
      <c r="AD5">
        <v>7.5</v>
      </c>
      <c r="AE5">
        <v>6</v>
      </c>
      <c r="AH5" s="10">
        <v>0</v>
      </c>
      <c r="AI5" t="str">
        <f>CONCATENATE(VLOOKUP(AJ5, 'Voxel Sizes'!$A$2:$B$18,2,FALSE),"x",INT(AF5*15), "x", INT(AG5*15))</f>
        <v>60x0x0</v>
      </c>
      <c r="AJ5">
        <f t="shared" si="1"/>
        <v>4</v>
      </c>
      <c r="AL5" t="str">
        <f>CONCATENATE(VLOOKUP(AJ5,Constants!$A$2:$C$16,IF(AK5&lt;&gt;"", 3, 2), FALSE),IF(AK5&lt;&gt;"",CONCATENATE(",",VLOOKUP(AK5,$B:$AL,37,FALSE)),""))</f>
        <v>1,2,1</v>
      </c>
      <c r="AV5">
        <v>30</v>
      </c>
      <c r="AW5" s="15" t="str">
        <f t="shared" si="2"/>
        <v/>
      </c>
      <c r="AZ5">
        <f t="shared" si="3"/>
        <v>0</v>
      </c>
      <c r="BA5">
        <f t="shared" si="4"/>
        <v>0</v>
      </c>
      <c r="BB5">
        <f t="shared" si="5"/>
        <v>0</v>
      </c>
      <c r="BC5" s="3">
        <f t="shared" si="6"/>
        <v>1</v>
      </c>
      <c r="BD5">
        <f t="shared" si="7"/>
        <v>0</v>
      </c>
      <c r="BE5">
        <f>VLOOKUP($F5,Constants!$I:$K, 2, FALSE)</f>
        <v>0</v>
      </c>
      <c r="BF5">
        <f>VLOOKUP($F5,Constants!$I:$K, 3, FALSE)*IF(AND(E5="multiple_unit",Z5&lt;110),0.75,1)</f>
        <v>0</v>
      </c>
      <c r="BG5">
        <f>INT(POWER(((Constants!$G$2+$AZ5+$BA5+$BB5+$BD5)*$BC5)*$BF5, 1.05))+$AY5</f>
        <v>0</v>
      </c>
      <c r="BH5">
        <f>INT(POWER((((Constants!$G$1+$AZ5+$BA5+$BB5+$BD5)*($BC5))*$BE5),IF($E5="wagon",1,1.2)))+$AX5</f>
        <v>0</v>
      </c>
      <c r="BI5" s="14">
        <f t="shared" si="8"/>
        <v>0</v>
      </c>
      <c r="BJ5" s="14">
        <f t="shared" si="9"/>
        <v>0</v>
      </c>
      <c r="BU5" t="str">
        <f>VLOOKUP(H5,Eras!$A$2:$C$10, 2, TRUE)</f>
        <v>early</v>
      </c>
      <c r="BW5" t="str">
        <f t="shared" si="10"/>
        <v>early_</v>
      </c>
      <c r="BX5" t="str">
        <f t="shared" si="11"/>
        <v>tender_RAIL</v>
      </c>
      <c r="BY5" t="str">
        <f>VLOOKUP($BX5, Constants!$M:$N, 2, FALSE)</f>
        <v/>
      </c>
      <c r="BZ5" t="str">
        <f t="shared" si="12"/>
        <v/>
      </c>
      <c r="CB5" t="str">
        <f t="shared" si="13"/>
        <v/>
      </c>
      <c r="CC5" t="str">
        <f t="shared" si="14"/>
        <v>{SILVER}</v>
      </c>
    </row>
    <row r="6" spans="1:81" x14ac:dyDescent="0.25">
      <c r="A6" t="s">
        <v>1347</v>
      </c>
      <c r="B6" t="s">
        <v>1348</v>
      </c>
      <c r="C6">
        <v>-1</v>
      </c>
      <c r="D6">
        <v>-1</v>
      </c>
      <c r="E6" t="s">
        <v>291</v>
      </c>
      <c r="F6" t="s">
        <v>291</v>
      </c>
      <c r="G6" t="s">
        <v>275</v>
      </c>
      <c r="H6">
        <v>1830</v>
      </c>
      <c r="U6">
        <v>42</v>
      </c>
      <c r="Y6" s="3" t="str">
        <f t="shared" si="0"/>
        <v/>
      </c>
      <c r="AD6">
        <v>7.5</v>
      </c>
      <c r="AE6">
        <v>6</v>
      </c>
      <c r="AH6" s="10">
        <v>0</v>
      </c>
      <c r="AI6" t="str">
        <f>CONCATENATE(VLOOKUP(AJ6, 'Voxel Sizes'!$A$2:$B$18,2,FALSE),"x",INT(AF6*15), "x", INT(AG6*15))</f>
        <v>60x0x0</v>
      </c>
      <c r="AJ6">
        <f t="shared" si="1"/>
        <v>4</v>
      </c>
      <c r="AL6" t="str">
        <f>CONCATENATE(VLOOKUP(AJ6,Constants!$A$2:$C$16,IF(AK6&lt;&gt;"", 3, 2), FALSE),IF(AK6&lt;&gt;"",CONCATENATE(",",VLOOKUP(AK6,$B:$AL,37,FALSE)),""))</f>
        <v>1,2,1</v>
      </c>
      <c r="AV6">
        <v>30</v>
      </c>
      <c r="AW6" s="15" t="str">
        <f t="shared" si="2"/>
        <v/>
      </c>
      <c r="AZ6">
        <f t="shared" si="3"/>
        <v>0</v>
      </c>
      <c r="BA6">
        <f t="shared" si="4"/>
        <v>0</v>
      </c>
      <c r="BB6">
        <f t="shared" si="5"/>
        <v>0</v>
      </c>
      <c r="BC6" s="3">
        <f t="shared" si="6"/>
        <v>1</v>
      </c>
      <c r="BD6">
        <f t="shared" si="7"/>
        <v>0</v>
      </c>
      <c r="BE6">
        <f>VLOOKUP($F6,Constants!$I:$K, 2, FALSE)</f>
        <v>0</v>
      </c>
      <c r="BF6">
        <f>VLOOKUP($F6,Constants!$I:$K, 3, FALSE)*IF(AND(E6="multiple_unit",Z6&lt;110),0.75,1)</f>
        <v>0</v>
      </c>
      <c r="BG6">
        <f>INT(POWER(((Constants!$G$2+$AZ6+$BA6+$BB6+$BD6)*$BC6)*$BF6, 1.05))+$AY6</f>
        <v>0</v>
      </c>
      <c r="BH6">
        <f>INT(POWER((((Constants!$G$1+$AZ6+$BA6+$BB6+$BD6)*($BC6))*$BE6),IF($E6="wagon",1,1.2)))+$AX6</f>
        <v>0</v>
      </c>
      <c r="BI6" s="14">
        <f t="shared" si="8"/>
        <v>0</v>
      </c>
      <c r="BJ6" s="14">
        <f t="shared" si="9"/>
        <v>0</v>
      </c>
      <c r="BU6" t="str">
        <f>VLOOKUP(H6,Eras!$A$2:$C$10, 2, TRUE)</f>
        <v>early</v>
      </c>
      <c r="BW6" t="str">
        <f t="shared" si="10"/>
        <v>early_</v>
      </c>
      <c r="BX6" t="str">
        <f t="shared" si="11"/>
        <v>tender_RAIL</v>
      </c>
      <c r="BY6" t="str">
        <f>VLOOKUP($BX6, Constants!$M:$N, 2, FALSE)</f>
        <v/>
      </c>
      <c r="BZ6" t="str">
        <f t="shared" si="12"/>
        <v/>
      </c>
      <c r="CB6" t="str">
        <f t="shared" si="13"/>
        <v/>
      </c>
      <c r="CC6" t="str">
        <f t="shared" si="14"/>
        <v>{SILVER}</v>
      </c>
    </row>
    <row r="7" spans="1:81" x14ac:dyDescent="0.25">
      <c r="A7" t="s">
        <v>1345</v>
      </c>
      <c r="B7" t="s">
        <v>1346</v>
      </c>
      <c r="C7">
        <v>-1</v>
      </c>
      <c r="D7">
        <v>-1</v>
      </c>
      <c r="E7" t="s">
        <v>291</v>
      </c>
      <c r="F7" t="s">
        <v>291</v>
      </c>
      <c r="G7" t="s">
        <v>275</v>
      </c>
      <c r="H7">
        <v>1830</v>
      </c>
      <c r="U7">
        <v>42</v>
      </c>
      <c r="Y7" s="3" t="str">
        <f t="shared" si="0"/>
        <v/>
      </c>
      <c r="AD7">
        <v>7.5</v>
      </c>
      <c r="AE7">
        <v>6</v>
      </c>
      <c r="AH7" s="10">
        <v>0</v>
      </c>
      <c r="AI7" t="str">
        <f>CONCATENATE(VLOOKUP(AJ7, 'Voxel Sizes'!$A$2:$B$18,2,FALSE),"x",INT(AF7*15), "x", INT(AG7*15))</f>
        <v>60x0x0</v>
      </c>
      <c r="AJ7">
        <f t="shared" si="1"/>
        <v>4</v>
      </c>
      <c r="AL7" t="str">
        <f>CONCATENATE(VLOOKUP(AJ7,Constants!$A$2:$C$16,IF(AK7&lt;&gt;"", 3, 2), FALSE),IF(AK7&lt;&gt;"",CONCATENATE(",",VLOOKUP(AK7,$B:$AL,37,FALSE)),""))</f>
        <v>1,2,1</v>
      </c>
      <c r="AV7">
        <v>30</v>
      </c>
      <c r="AW7" s="15" t="str">
        <f t="shared" si="2"/>
        <v/>
      </c>
      <c r="AZ7">
        <f t="shared" si="3"/>
        <v>0</v>
      </c>
      <c r="BA7">
        <f t="shared" si="4"/>
        <v>0</v>
      </c>
      <c r="BB7">
        <f t="shared" si="5"/>
        <v>0</v>
      </c>
      <c r="BC7" s="3">
        <f t="shared" si="6"/>
        <v>1</v>
      </c>
      <c r="BD7">
        <f t="shared" si="7"/>
        <v>0</v>
      </c>
      <c r="BE7">
        <f>VLOOKUP($F7,Constants!$I:$K, 2, FALSE)</f>
        <v>0</v>
      </c>
      <c r="BF7">
        <f>VLOOKUP($F7,Constants!$I:$K, 3, FALSE)*IF(AND(E7="multiple_unit",Z7&lt;110),0.75,1)</f>
        <v>0</v>
      </c>
      <c r="BG7">
        <f>INT(POWER(((Constants!$G$2+$AZ7+$BA7+$BB7+$BD7)*$BC7)*$BF7, 1.05))+$AY7</f>
        <v>0</v>
      </c>
      <c r="BH7">
        <f>INT(POWER((((Constants!$G$1+$AZ7+$BA7+$BB7+$BD7)*($BC7))*$BE7),IF($E7="wagon",1,1.2)))+$AX7</f>
        <v>0</v>
      </c>
      <c r="BI7" s="14">
        <f t="shared" si="8"/>
        <v>0</v>
      </c>
      <c r="BJ7" s="14">
        <f t="shared" si="9"/>
        <v>0</v>
      </c>
      <c r="BU7" t="str">
        <f>VLOOKUP(H7,Eras!$A$2:$C$10, 2, TRUE)</f>
        <v>early</v>
      </c>
      <c r="BW7" t="str">
        <f t="shared" si="10"/>
        <v>early_</v>
      </c>
      <c r="BX7" t="str">
        <f t="shared" si="11"/>
        <v>tender_RAIL</v>
      </c>
      <c r="BY7" t="str">
        <f>VLOOKUP($BX7, Constants!$M:$N, 2, FALSE)</f>
        <v/>
      </c>
      <c r="BZ7" t="str">
        <f t="shared" si="12"/>
        <v/>
      </c>
      <c r="CB7" t="str">
        <f t="shared" si="13"/>
        <v/>
      </c>
      <c r="CC7" t="str">
        <f t="shared" si="14"/>
        <v>{SILVER}</v>
      </c>
    </row>
    <row r="8" spans="1:81" x14ac:dyDescent="0.25">
      <c r="A8" t="s">
        <v>1342</v>
      </c>
      <c r="B8" t="s">
        <v>1343</v>
      </c>
      <c r="C8">
        <v>-1</v>
      </c>
      <c r="D8">
        <v>-1</v>
      </c>
      <c r="E8" t="s">
        <v>291</v>
      </c>
      <c r="F8" t="s">
        <v>291</v>
      </c>
      <c r="G8" t="s">
        <v>275</v>
      </c>
      <c r="H8">
        <v>1850</v>
      </c>
      <c r="U8">
        <v>42</v>
      </c>
      <c r="Y8" s="3" t="str">
        <f t="shared" si="0"/>
        <v/>
      </c>
      <c r="AD8">
        <v>7.5</v>
      </c>
      <c r="AE8">
        <v>6</v>
      </c>
      <c r="AH8" s="10">
        <v>0</v>
      </c>
      <c r="AI8" t="str">
        <f>CONCATENATE(VLOOKUP(AJ8, 'Voxel Sizes'!$A$2:$B$18,2,FALSE),"x",INT(AF8*15), "x", INT(AG8*15))</f>
        <v>60x0x0</v>
      </c>
      <c r="AJ8">
        <f t="shared" si="1"/>
        <v>4</v>
      </c>
      <c r="AL8" t="str">
        <f>CONCATENATE(VLOOKUP(AJ8,Constants!$A$2:$C$16,IF(AK8&lt;&gt;"", 3, 2), FALSE),IF(AK8&lt;&gt;"",CONCATENATE(",",VLOOKUP(AK8,$B:$AL,37,FALSE)),""))</f>
        <v>1,2,1</v>
      </c>
      <c r="AV8">
        <v>30</v>
      </c>
      <c r="AW8" s="15" t="str">
        <f t="shared" si="2"/>
        <v/>
      </c>
      <c r="AZ8">
        <f t="shared" si="3"/>
        <v>0</v>
      </c>
      <c r="BA8">
        <f t="shared" si="4"/>
        <v>0</v>
      </c>
      <c r="BB8">
        <f t="shared" si="5"/>
        <v>0</v>
      </c>
      <c r="BC8" s="3">
        <f t="shared" si="6"/>
        <v>1</v>
      </c>
      <c r="BD8">
        <f t="shared" si="7"/>
        <v>0</v>
      </c>
      <c r="BE8">
        <f>VLOOKUP($F8,Constants!$I:$K, 2, FALSE)</f>
        <v>0</v>
      </c>
      <c r="BF8">
        <f>VLOOKUP($F8,Constants!$I:$K, 3, FALSE)*IF(AND(E8="multiple_unit",Z8&lt;110),0.75,1)</f>
        <v>0</v>
      </c>
      <c r="BG8">
        <f>INT(POWER(((Constants!$G$2+$AZ8+$BA8+$BB8+$BD8)*$BC8)*$BF8, 1.05))+$AY8</f>
        <v>0</v>
      </c>
      <c r="BH8">
        <f>INT(POWER((((Constants!$G$1+$AZ8+$BA8+$BB8+$BD8)*($BC8))*$BE8),IF($E8="wagon",1,1.2)))+$AX8</f>
        <v>0</v>
      </c>
      <c r="BI8" s="14">
        <f t="shared" si="8"/>
        <v>0</v>
      </c>
      <c r="BJ8" s="14">
        <f t="shared" si="9"/>
        <v>0</v>
      </c>
      <c r="BU8" t="str">
        <f>VLOOKUP(H8,Eras!$A$2:$C$10, 2, TRUE)</f>
        <v>vct</v>
      </c>
      <c r="BW8" t="str">
        <f t="shared" si="10"/>
        <v>vct_</v>
      </c>
      <c r="BX8" t="str">
        <f t="shared" si="11"/>
        <v>tender_RAIL</v>
      </c>
      <c r="BY8" t="str">
        <f>VLOOKUP($BX8, Constants!$M:$N, 2, FALSE)</f>
        <v/>
      </c>
      <c r="BZ8" t="str">
        <f t="shared" si="12"/>
        <v/>
      </c>
      <c r="CB8" t="str">
        <f t="shared" si="13"/>
        <v/>
      </c>
      <c r="CC8" t="str">
        <f t="shared" si="14"/>
        <v>{SILVER}</v>
      </c>
    </row>
    <row r="9" spans="1:81" x14ac:dyDescent="0.25">
      <c r="A9" t="s">
        <v>1478</v>
      </c>
      <c r="B9" t="s">
        <v>1477</v>
      </c>
      <c r="C9">
        <v>-1</v>
      </c>
      <c r="D9">
        <v>-1</v>
      </c>
      <c r="E9" t="s">
        <v>291</v>
      </c>
      <c r="F9" t="s">
        <v>291</v>
      </c>
      <c r="G9" t="s">
        <v>275</v>
      </c>
      <c r="H9">
        <v>1850</v>
      </c>
      <c r="U9">
        <v>42</v>
      </c>
      <c r="Y9" s="3" t="str">
        <f t="shared" si="0"/>
        <v/>
      </c>
      <c r="AD9">
        <v>7.5</v>
      </c>
      <c r="AE9">
        <v>6</v>
      </c>
      <c r="AH9" s="10">
        <v>0</v>
      </c>
      <c r="AI9" t="str">
        <f>CONCATENATE(VLOOKUP(AJ9, 'Voxel Sizes'!$A$2:$B$18,2,FALSE),"x",INT(AF9*15), "x", INT(AG9*15))</f>
        <v>60x0x0</v>
      </c>
      <c r="AJ9">
        <f t="shared" si="1"/>
        <v>4</v>
      </c>
      <c r="AL9" t="str">
        <f>CONCATENATE(VLOOKUP(AJ9,Constants!$A$2:$C$16,IF(AK9&lt;&gt;"", 3, 2), FALSE),IF(AK9&lt;&gt;"",CONCATENATE(",",VLOOKUP(AK9,$B:$AL,37,FALSE)),""))</f>
        <v>1,2,1</v>
      </c>
      <c r="AV9">
        <v>30</v>
      </c>
      <c r="AW9" s="15" t="str">
        <f t="shared" si="2"/>
        <v/>
      </c>
      <c r="AZ9">
        <f t="shared" si="3"/>
        <v>0</v>
      </c>
      <c r="BA9">
        <f t="shared" si="4"/>
        <v>0</v>
      </c>
      <c r="BB9">
        <f t="shared" si="5"/>
        <v>0</v>
      </c>
      <c r="BC9" s="3">
        <f t="shared" si="6"/>
        <v>1</v>
      </c>
      <c r="BD9">
        <f t="shared" si="7"/>
        <v>0</v>
      </c>
      <c r="BE9">
        <f>VLOOKUP($F9,Constants!$I:$K, 2, FALSE)</f>
        <v>0</v>
      </c>
      <c r="BF9">
        <f>VLOOKUP($F9,Constants!$I:$K, 3, FALSE)*IF(AND(E9="multiple_unit",Z9&lt;110),0.75,1)</f>
        <v>0</v>
      </c>
      <c r="BG9">
        <f>INT(POWER(((Constants!$G$2+$AZ9+$BA9+$BB9+$BD9)*$BC9)*$BF9, 1.05))+$AY9</f>
        <v>0</v>
      </c>
      <c r="BH9">
        <f>INT(POWER((((Constants!$G$1+$AZ9+$BA9+$BB9+$BD9)*($BC9))*$BE9),IF($E9="wagon",1,1.2)))+$AX9</f>
        <v>0</v>
      </c>
      <c r="BI9" s="14">
        <f t="shared" si="8"/>
        <v>0</v>
      </c>
      <c r="BJ9" s="14">
        <f t="shared" si="9"/>
        <v>0</v>
      </c>
      <c r="BU9" t="str">
        <f>VLOOKUP(H9,Eras!$A$2:$C$10, 2, TRUE)</f>
        <v>vct</v>
      </c>
      <c r="BW9" t="str">
        <f t="shared" si="10"/>
        <v>vct_</v>
      </c>
      <c r="BX9" t="str">
        <f t="shared" si="11"/>
        <v>tender_RAIL</v>
      </c>
      <c r="BY9" t="str">
        <f>VLOOKUP($BX9, Constants!$M:$N, 2, FALSE)</f>
        <v/>
      </c>
      <c r="BZ9" t="str">
        <f t="shared" si="12"/>
        <v/>
      </c>
      <c r="CB9" t="str">
        <f t="shared" si="13"/>
        <v/>
      </c>
      <c r="CC9" t="str">
        <f t="shared" si="14"/>
        <v>{SILVER}</v>
      </c>
    </row>
    <row r="10" spans="1:81" x14ac:dyDescent="0.25">
      <c r="A10" t="s">
        <v>1321</v>
      </c>
      <c r="B10" t="s">
        <v>1322</v>
      </c>
      <c r="C10">
        <v>-1</v>
      </c>
      <c r="D10">
        <v>-1</v>
      </c>
      <c r="E10" t="s">
        <v>291</v>
      </c>
      <c r="F10" t="s">
        <v>291</v>
      </c>
      <c r="G10" t="s">
        <v>275</v>
      </c>
      <c r="H10">
        <v>1875</v>
      </c>
      <c r="U10">
        <v>42</v>
      </c>
      <c r="Y10" s="3" t="str">
        <f t="shared" si="0"/>
        <v/>
      </c>
      <c r="AD10">
        <v>7.5</v>
      </c>
      <c r="AE10">
        <v>8</v>
      </c>
      <c r="AH10" s="10">
        <v>0</v>
      </c>
      <c r="AI10" t="str">
        <f>CONCATENATE(VLOOKUP(AJ10, 'Voxel Sizes'!$A$2:$B$18,2,FALSE),"x",INT(AF10*15), "x", INT(AG10*15))</f>
        <v>82x0x0</v>
      </c>
      <c r="AJ10">
        <f t="shared" si="1"/>
        <v>5</v>
      </c>
      <c r="AL10" t="str">
        <f>CONCATENATE(VLOOKUP(AJ10,Constants!$A$2:$C$16,IF(AK10&lt;&gt;"", 3, 2), FALSE),IF(AK10&lt;&gt;"",CONCATENATE(",",VLOOKUP(AK10,$B:$AL,37,FALSE)),""))</f>
        <v>2,1,2</v>
      </c>
      <c r="AV10">
        <v>30</v>
      </c>
      <c r="AW10" s="15" t="str">
        <f t="shared" si="2"/>
        <v/>
      </c>
      <c r="AZ10">
        <f t="shared" si="3"/>
        <v>0</v>
      </c>
      <c r="BA10">
        <f t="shared" si="4"/>
        <v>0</v>
      </c>
      <c r="BB10">
        <f t="shared" si="5"/>
        <v>0</v>
      </c>
      <c r="BC10" s="3">
        <f t="shared" si="6"/>
        <v>1</v>
      </c>
      <c r="BD10">
        <f t="shared" si="7"/>
        <v>0</v>
      </c>
      <c r="BE10">
        <f>VLOOKUP($F10,Constants!$I:$K, 2, FALSE)</f>
        <v>0</v>
      </c>
      <c r="BF10">
        <f>VLOOKUP($F10,Constants!$I:$K, 3, FALSE)*IF(AND(E10="multiple_unit",Z10&lt;110),0.75,1)</f>
        <v>0</v>
      </c>
      <c r="BG10">
        <f>INT(POWER(((Constants!$G$2+$AZ10+$BA10+$BB10+$BD10)*$BC10)*$BF10, 1.05))+$AY10</f>
        <v>0</v>
      </c>
      <c r="BH10">
        <f>INT(POWER((((Constants!$G$1+$AZ10+$BA10+$BB10+$BD10)*($BC10))*$BE10),IF($E10="wagon",1,1.2)))+$AX10</f>
        <v>0</v>
      </c>
      <c r="BI10" s="14">
        <f t="shared" si="8"/>
        <v>0</v>
      </c>
      <c r="BJ10" s="14">
        <f t="shared" si="9"/>
        <v>0</v>
      </c>
      <c r="BU10" t="str">
        <f>VLOOKUP(H10,Eras!$A$2:$C$10, 2, TRUE)</f>
        <v>vct</v>
      </c>
      <c r="BW10" t="str">
        <f t="shared" si="10"/>
        <v>vct_</v>
      </c>
      <c r="BX10" t="str">
        <f t="shared" si="11"/>
        <v>tender_RAIL</v>
      </c>
      <c r="BY10" t="str">
        <f>VLOOKUP($BX10, Constants!$M:$N, 2, FALSE)</f>
        <v/>
      </c>
      <c r="BZ10" t="str">
        <f t="shared" si="12"/>
        <v/>
      </c>
      <c r="CB10" t="str">
        <f t="shared" si="13"/>
        <v/>
      </c>
      <c r="CC10" t="str">
        <f t="shared" si="14"/>
        <v>{SILVER}</v>
      </c>
    </row>
    <row r="11" spans="1:81" x14ac:dyDescent="0.25">
      <c r="A11" t="s">
        <v>308</v>
      </c>
      <c r="B11" t="s">
        <v>309</v>
      </c>
      <c r="C11">
        <v>-1</v>
      </c>
      <c r="D11">
        <v>-1</v>
      </c>
      <c r="E11" t="s">
        <v>291</v>
      </c>
      <c r="F11" t="s">
        <v>291</v>
      </c>
      <c r="G11" t="s">
        <v>275</v>
      </c>
      <c r="H11">
        <v>1900</v>
      </c>
      <c r="U11">
        <v>42</v>
      </c>
      <c r="Y11" s="3" t="str">
        <f t="shared" si="0"/>
        <v/>
      </c>
      <c r="AD11">
        <v>7.5</v>
      </c>
      <c r="AE11">
        <v>8</v>
      </c>
      <c r="AH11" s="10">
        <v>0</v>
      </c>
      <c r="AI11" t="str">
        <f>CONCATENATE(VLOOKUP(AJ11, 'Voxel Sizes'!$A$2:$B$18,2,FALSE),"x",INT(AF11*15), "x", INT(AG11*15))</f>
        <v>82x0x0</v>
      </c>
      <c r="AJ11">
        <f t="shared" si="1"/>
        <v>5</v>
      </c>
      <c r="AL11" t="str">
        <f>CONCATENATE(VLOOKUP(AJ11,Constants!$A$2:$C$16,IF(AK11&lt;&gt;"", 3, 2), FALSE),IF(AK11&lt;&gt;"",CONCATENATE(",",VLOOKUP(AK11,$B:$AL,37,FALSE)),""))</f>
        <v>2,1,2</v>
      </c>
      <c r="AV11">
        <v>30</v>
      </c>
      <c r="AW11" s="15" t="str">
        <f t="shared" si="2"/>
        <v/>
      </c>
      <c r="AZ11">
        <f t="shared" si="3"/>
        <v>0</v>
      </c>
      <c r="BA11">
        <f t="shared" si="4"/>
        <v>0</v>
      </c>
      <c r="BB11">
        <f t="shared" si="5"/>
        <v>0</v>
      </c>
      <c r="BC11" s="3">
        <f t="shared" si="6"/>
        <v>1</v>
      </c>
      <c r="BD11">
        <f t="shared" si="7"/>
        <v>0</v>
      </c>
      <c r="BE11">
        <f>VLOOKUP($F11,Constants!$I:$K, 2, FALSE)</f>
        <v>0</v>
      </c>
      <c r="BF11">
        <f>VLOOKUP($F11,Constants!$I:$K, 3, FALSE)*IF(AND(E11="multiple_unit",Z11&lt;110),0.75,1)</f>
        <v>0</v>
      </c>
      <c r="BG11">
        <f>INT(POWER(((Constants!$G$2+$AZ11+$BA11+$BB11+$BD11)*$BC11)*$BF11, 1.05))+$AY11</f>
        <v>0</v>
      </c>
      <c r="BH11">
        <f>INT(POWER((((Constants!$G$1+$AZ11+$BA11+$BB11+$BD11)*($BC11))*$BE11),IF($E11="wagon",1,1.2)))+$AX11</f>
        <v>0</v>
      </c>
      <c r="BI11" s="14">
        <f t="shared" si="8"/>
        <v>0</v>
      </c>
      <c r="BJ11" s="14">
        <f t="shared" si="9"/>
        <v>0</v>
      </c>
      <c r="BU11" t="str">
        <f>VLOOKUP(H11,Eras!$A$2:$C$10, 2, TRUE)</f>
        <v>edw</v>
      </c>
      <c r="BW11" t="str">
        <f t="shared" si="10"/>
        <v>edw_</v>
      </c>
      <c r="BX11" t="str">
        <f t="shared" si="11"/>
        <v>tender_RAIL</v>
      </c>
      <c r="BY11" t="str">
        <f>VLOOKUP($BX11, Constants!$M:$N, 2, FALSE)</f>
        <v/>
      </c>
      <c r="BZ11" t="str">
        <f t="shared" si="12"/>
        <v/>
      </c>
      <c r="CB11" t="str">
        <f t="shared" si="13"/>
        <v/>
      </c>
      <c r="CC11" t="str">
        <f t="shared" si="14"/>
        <v>{SILVER}</v>
      </c>
    </row>
    <row r="12" spans="1:81" x14ac:dyDescent="0.25">
      <c r="A12" t="s">
        <v>1200</v>
      </c>
      <c r="B12" t="s">
        <v>1201</v>
      </c>
      <c r="C12">
        <v>-1</v>
      </c>
      <c r="D12">
        <v>-1</v>
      </c>
      <c r="E12" t="s">
        <v>291</v>
      </c>
      <c r="F12" t="s">
        <v>291</v>
      </c>
      <c r="G12" t="s">
        <v>275</v>
      </c>
      <c r="H12">
        <v>1900</v>
      </c>
      <c r="U12">
        <v>42</v>
      </c>
      <c r="Y12" s="3" t="str">
        <f t="shared" si="0"/>
        <v/>
      </c>
      <c r="AD12">
        <v>7.5</v>
      </c>
      <c r="AE12">
        <v>8</v>
      </c>
      <c r="AH12" s="10">
        <v>0</v>
      </c>
      <c r="AI12" t="str">
        <f>CONCATENATE(VLOOKUP(AJ12, 'Voxel Sizes'!$A$2:$B$18,2,FALSE),"x",INT(AF12*15), "x", INT(AG12*15))</f>
        <v>82x0x0</v>
      </c>
      <c r="AJ12">
        <f t="shared" si="1"/>
        <v>5</v>
      </c>
      <c r="AL12" t="str">
        <f>CONCATENATE(VLOOKUP(AJ12,Constants!$A$2:$C$16,IF(AK12&lt;&gt;"", 3, 2), FALSE),IF(AK12&lt;&gt;"",CONCATENATE(",",VLOOKUP(AK12,$B:$AL,37,FALSE)),""))</f>
        <v>2,1,2</v>
      </c>
      <c r="AV12">
        <v>30</v>
      </c>
      <c r="AW12" s="15" t="str">
        <f t="shared" si="2"/>
        <v/>
      </c>
      <c r="AZ12">
        <f t="shared" si="3"/>
        <v>0</v>
      </c>
      <c r="BA12">
        <f t="shared" si="4"/>
        <v>0</v>
      </c>
      <c r="BB12">
        <f t="shared" si="5"/>
        <v>0</v>
      </c>
      <c r="BC12" s="3">
        <f t="shared" si="6"/>
        <v>1</v>
      </c>
      <c r="BD12">
        <f t="shared" si="7"/>
        <v>0</v>
      </c>
      <c r="BE12">
        <f>VLOOKUP($F12,Constants!$I:$K, 2, FALSE)</f>
        <v>0</v>
      </c>
      <c r="BF12">
        <f>VLOOKUP($F12,Constants!$I:$K, 3, FALSE)*IF(AND(E12="multiple_unit",Z12&lt;110),0.75,1)</f>
        <v>0</v>
      </c>
      <c r="BG12">
        <f>INT(POWER(((Constants!$G$2+$AZ12+$BA12+$BB12+$BD12)*$BC12)*$BF12, 1.05))+$AY12</f>
        <v>0</v>
      </c>
      <c r="BH12">
        <f>INT(POWER((((Constants!$G$1+$AZ12+$BA12+$BB12+$BD12)*($BC12))*$BE12),IF($E12="wagon",1,1.2)))+$AX12</f>
        <v>0</v>
      </c>
      <c r="BI12" s="14">
        <f t="shared" si="8"/>
        <v>0</v>
      </c>
      <c r="BJ12" s="14">
        <f t="shared" si="9"/>
        <v>0</v>
      </c>
      <c r="BU12" t="str">
        <f>VLOOKUP(H12,Eras!$A$2:$C$10, 2, TRUE)</f>
        <v>edw</v>
      </c>
      <c r="BW12" t="str">
        <f t="shared" si="10"/>
        <v>edw_</v>
      </c>
      <c r="BX12" t="str">
        <f t="shared" si="11"/>
        <v>tender_RAIL</v>
      </c>
      <c r="BY12" t="str">
        <f>VLOOKUP($BX12, Constants!$M:$N, 2, FALSE)</f>
        <v/>
      </c>
      <c r="BZ12" t="str">
        <f t="shared" si="12"/>
        <v/>
      </c>
      <c r="CB12" t="str">
        <f t="shared" si="13"/>
        <v/>
      </c>
      <c r="CC12" t="str">
        <f t="shared" si="14"/>
        <v>{SILVER}</v>
      </c>
    </row>
    <row r="13" spans="1:81" x14ac:dyDescent="0.25">
      <c r="A13" t="s">
        <v>1191</v>
      </c>
      <c r="B13" t="s">
        <v>1190</v>
      </c>
      <c r="C13">
        <v>-1</v>
      </c>
      <c r="D13">
        <v>-1</v>
      </c>
      <c r="E13" t="s">
        <v>291</v>
      </c>
      <c r="F13" t="s">
        <v>291</v>
      </c>
      <c r="G13" t="s">
        <v>275</v>
      </c>
      <c r="H13">
        <v>1900</v>
      </c>
      <c r="U13">
        <v>42</v>
      </c>
      <c r="Y13" s="3" t="str">
        <f t="shared" si="0"/>
        <v/>
      </c>
      <c r="AD13">
        <v>7.5</v>
      </c>
      <c r="AE13">
        <v>8</v>
      </c>
      <c r="AH13" s="10">
        <v>0</v>
      </c>
      <c r="AI13" t="str">
        <f>CONCATENATE(VLOOKUP(AJ13, 'Voxel Sizes'!$A$2:$B$18,2,FALSE),"x",INT(AF13*15), "x", INT(AG13*15))</f>
        <v>82x0x0</v>
      </c>
      <c r="AJ13">
        <f t="shared" si="1"/>
        <v>5</v>
      </c>
      <c r="AL13" t="str">
        <f>CONCATENATE(VLOOKUP(AJ13,Constants!$A$2:$C$16,IF(AK13&lt;&gt;"", 3, 2), FALSE),IF(AK13&lt;&gt;"",CONCATENATE(",",VLOOKUP(AK13,$B:$AL,37,FALSE)),""))</f>
        <v>2,1,2</v>
      </c>
      <c r="AV13">
        <v>30</v>
      </c>
      <c r="AW13" s="15" t="str">
        <f t="shared" si="2"/>
        <v/>
      </c>
      <c r="AZ13">
        <f t="shared" si="3"/>
        <v>0</v>
      </c>
      <c r="BA13">
        <f t="shared" si="4"/>
        <v>0</v>
      </c>
      <c r="BB13">
        <f t="shared" si="5"/>
        <v>0</v>
      </c>
      <c r="BC13" s="3">
        <f t="shared" si="6"/>
        <v>1</v>
      </c>
      <c r="BD13">
        <f t="shared" si="7"/>
        <v>0</v>
      </c>
      <c r="BE13">
        <f>VLOOKUP($F13,Constants!$I:$K, 2, FALSE)</f>
        <v>0</v>
      </c>
      <c r="BF13">
        <f>VLOOKUP($F13,Constants!$I:$K, 3, FALSE)*IF(AND(E13="multiple_unit",Z13&lt;110),0.75,1)</f>
        <v>0</v>
      </c>
      <c r="BG13">
        <f>INT(POWER(((Constants!$G$2+$AZ13+$BA13+$BB13+$BD13)*$BC13)*$BF13, 1.05))+$AY13</f>
        <v>0</v>
      </c>
      <c r="BH13">
        <f>INT(POWER((((Constants!$G$1+$AZ13+$BA13+$BB13+$BD13)*($BC13))*$BE13),IF($E13="wagon",1,1.2)))+$AX13</f>
        <v>0</v>
      </c>
      <c r="BI13" s="14">
        <f t="shared" si="8"/>
        <v>0</v>
      </c>
      <c r="BJ13" s="14">
        <f t="shared" si="9"/>
        <v>0</v>
      </c>
      <c r="BU13" t="str">
        <f>VLOOKUP(H13,Eras!$A$2:$C$10, 2, TRUE)</f>
        <v>edw</v>
      </c>
      <c r="BW13" t="str">
        <f t="shared" si="10"/>
        <v>edw_</v>
      </c>
      <c r="BX13" t="str">
        <f t="shared" si="11"/>
        <v>tender_RAIL</v>
      </c>
      <c r="BY13" t="str">
        <f>VLOOKUP($BX13, Constants!$M:$N, 2, FALSE)</f>
        <v/>
      </c>
      <c r="BZ13" t="str">
        <f t="shared" si="12"/>
        <v/>
      </c>
      <c r="CB13" t="str">
        <f t="shared" si="13"/>
        <v/>
      </c>
      <c r="CC13" t="str">
        <f t="shared" si="14"/>
        <v>{SILVER}</v>
      </c>
    </row>
    <row r="14" spans="1:81" x14ac:dyDescent="0.25">
      <c r="A14" t="s">
        <v>389</v>
      </c>
      <c r="B14" t="s">
        <v>390</v>
      </c>
      <c r="C14">
        <v>-1</v>
      </c>
      <c r="D14">
        <v>-1</v>
      </c>
      <c r="E14" t="s">
        <v>291</v>
      </c>
      <c r="F14" t="s">
        <v>291</v>
      </c>
      <c r="G14" t="s">
        <v>275</v>
      </c>
      <c r="H14">
        <v>1900</v>
      </c>
      <c r="U14">
        <v>42</v>
      </c>
      <c r="Y14" s="3" t="str">
        <f t="shared" si="0"/>
        <v/>
      </c>
      <c r="AD14">
        <v>7.5</v>
      </c>
      <c r="AE14">
        <v>8</v>
      </c>
      <c r="AH14" s="10">
        <v>0</v>
      </c>
      <c r="AI14" t="str">
        <f>CONCATENATE(VLOOKUP(AJ14, 'Voxel Sizes'!$A$2:$B$18,2,FALSE),"x",INT(AF14*15), "x", INT(AG14*15))</f>
        <v>82x0x0</v>
      </c>
      <c r="AJ14">
        <f t="shared" si="1"/>
        <v>5</v>
      </c>
      <c r="AL14" t="str">
        <f>CONCATENATE(VLOOKUP(AJ14,Constants!$A$2:$C$16,IF(AK14&lt;&gt;"", 3, 2), FALSE),IF(AK14&lt;&gt;"",CONCATENATE(",",VLOOKUP(AK14,$B:$AL,37,FALSE)),""))</f>
        <v>2,1,2</v>
      </c>
      <c r="AV14">
        <v>30</v>
      </c>
      <c r="AW14" s="15" t="str">
        <f t="shared" si="2"/>
        <v/>
      </c>
      <c r="AZ14">
        <f t="shared" si="3"/>
        <v>0</v>
      </c>
      <c r="BA14">
        <f t="shared" si="4"/>
        <v>0</v>
      </c>
      <c r="BB14">
        <f t="shared" si="5"/>
        <v>0</v>
      </c>
      <c r="BC14" s="3">
        <f t="shared" si="6"/>
        <v>1</v>
      </c>
      <c r="BD14">
        <f t="shared" si="7"/>
        <v>0</v>
      </c>
      <c r="BE14">
        <f>VLOOKUP($F14,Constants!$I:$K, 2, FALSE)</f>
        <v>0</v>
      </c>
      <c r="BF14">
        <f>VLOOKUP($F14,Constants!$I:$K, 3, FALSE)*IF(AND(E14="multiple_unit",Z14&lt;110),0.75,1)</f>
        <v>0</v>
      </c>
      <c r="BG14">
        <f>INT(POWER(((Constants!$G$2+$AZ14+$BA14+$BB14+$BD14)*$BC14)*$BF14, 1.05))+$AY14</f>
        <v>0</v>
      </c>
      <c r="BH14">
        <f>INT(POWER((((Constants!$G$1+$AZ14+$BA14+$BB14+$BD14)*($BC14))*$BE14),IF($E14="wagon",1,1.2)))+$AX14</f>
        <v>0</v>
      </c>
      <c r="BI14" s="14">
        <f t="shared" si="8"/>
        <v>0</v>
      </c>
      <c r="BJ14" s="14">
        <f t="shared" si="9"/>
        <v>0</v>
      </c>
      <c r="BU14" t="str">
        <f>VLOOKUP(H14,Eras!$A$2:$C$10, 2, TRUE)</f>
        <v>edw</v>
      </c>
      <c r="BW14" t="str">
        <f t="shared" si="10"/>
        <v>edw_</v>
      </c>
      <c r="BX14" t="str">
        <f t="shared" si="11"/>
        <v>tender_RAIL</v>
      </c>
      <c r="BY14" t="str">
        <f>VLOOKUP($BX14, Constants!$M:$N, 2, FALSE)</f>
        <v/>
      </c>
      <c r="BZ14" t="str">
        <f t="shared" si="12"/>
        <v/>
      </c>
      <c r="CB14" t="str">
        <f t="shared" si="13"/>
        <v/>
      </c>
      <c r="CC14" t="str">
        <f t="shared" si="14"/>
        <v>{SILVER}</v>
      </c>
    </row>
    <row r="15" spans="1:81" x14ac:dyDescent="0.25">
      <c r="A15" t="s">
        <v>1186</v>
      </c>
      <c r="B15" t="s">
        <v>1185</v>
      </c>
      <c r="C15">
        <v>-1</v>
      </c>
      <c r="D15">
        <v>-1</v>
      </c>
      <c r="E15" t="s">
        <v>291</v>
      </c>
      <c r="F15" t="s">
        <v>291</v>
      </c>
      <c r="G15" t="s">
        <v>275</v>
      </c>
      <c r="H15">
        <v>1920</v>
      </c>
      <c r="U15">
        <v>52</v>
      </c>
      <c r="Y15" s="3" t="str">
        <f t="shared" si="0"/>
        <v/>
      </c>
      <c r="AD15">
        <v>7.64</v>
      </c>
      <c r="AE15">
        <v>8</v>
      </c>
      <c r="AH15" s="10">
        <v>0</v>
      </c>
      <c r="AI15" t="str">
        <f>CONCATENATE(VLOOKUP(AJ15, 'Voxel Sizes'!$A$2:$B$18,2,FALSE),"x",INT(AF15*15), "x", INT(AG15*15))</f>
        <v>82x0x0</v>
      </c>
      <c r="AJ15">
        <f t="shared" si="1"/>
        <v>5</v>
      </c>
      <c r="AL15" t="str">
        <f>CONCATENATE(VLOOKUP(AJ15,Constants!$A$2:$C$16,IF(AK15&lt;&gt;"", 3, 2), FALSE),IF(AK15&lt;&gt;"",CONCATENATE(",",VLOOKUP(AK15,$B:$AL,37,FALSE)),""))</f>
        <v>2,1,2</v>
      </c>
      <c r="AV15">
        <v>30</v>
      </c>
      <c r="AW15" s="15" t="str">
        <f t="shared" si="2"/>
        <v/>
      </c>
      <c r="AZ15">
        <f t="shared" si="3"/>
        <v>0</v>
      </c>
      <c r="BA15">
        <f t="shared" si="4"/>
        <v>0</v>
      </c>
      <c r="BB15">
        <f t="shared" si="5"/>
        <v>0</v>
      </c>
      <c r="BC15" s="3">
        <f t="shared" si="6"/>
        <v>0.97333333333333338</v>
      </c>
      <c r="BD15">
        <f t="shared" si="7"/>
        <v>0</v>
      </c>
      <c r="BE15">
        <f>VLOOKUP($F15,Constants!$I:$K, 2, FALSE)</f>
        <v>0</v>
      </c>
      <c r="BF15">
        <f>VLOOKUP($F15,Constants!$I:$K, 3, FALSE)*IF(AND(E15="multiple_unit",Z15&lt;110),0.75,1)</f>
        <v>0</v>
      </c>
      <c r="BG15">
        <f>INT(POWER(((Constants!$G$2+$AZ15+$BA15+$BB15+$BD15)*$BC15)*$BF15, 1.05))+$AY15</f>
        <v>0</v>
      </c>
      <c r="BH15">
        <f>INT(POWER((((Constants!$G$1+$AZ15+$BA15+$BB15+$BD15)*($BC15))*$BE15),IF($E15="wagon",1,1.2)))+$AX15</f>
        <v>0</v>
      </c>
      <c r="BI15" s="14">
        <f t="shared" si="8"/>
        <v>0</v>
      </c>
      <c r="BJ15" s="14">
        <f t="shared" si="9"/>
        <v>0</v>
      </c>
      <c r="BU15" t="str">
        <f>VLOOKUP(H15,Eras!$A$2:$C$10, 2, TRUE)</f>
        <v>edw</v>
      </c>
      <c r="BW15" t="str">
        <f t="shared" si="10"/>
        <v>edw_</v>
      </c>
      <c r="BX15" t="str">
        <f t="shared" si="11"/>
        <v>tender_RAIL</v>
      </c>
      <c r="BY15" t="str">
        <f>VLOOKUP($BX15, Constants!$M:$N, 2, FALSE)</f>
        <v/>
      </c>
      <c r="BZ15" t="str">
        <f t="shared" si="12"/>
        <v/>
      </c>
      <c r="CB15" t="str">
        <f t="shared" si="13"/>
        <v/>
      </c>
      <c r="CC15" t="str">
        <f t="shared" si="14"/>
        <v>{SILVER}</v>
      </c>
    </row>
    <row r="16" spans="1:81" x14ac:dyDescent="0.25">
      <c r="A16" t="s">
        <v>440</v>
      </c>
      <c r="B16" t="s">
        <v>441</v>
      </c>
      <c r="C16">
        <v>-1</v>
      </c>
      <c r="D16">
        <v>-1</v>
      </c>
      <c r="E16" t="s">
        <v>291</v>
      </c>
      <c r="F16" t="s">
        <v>291</v>
      </c>
      <c r="G16" t="s">
        <v>275</v>
      </c>
      <c r="H16">
        <v>1925</v>
      </c>
      <c r="U16">
        <v>52</v>
      </c>
      <c r="Y16" s="3" t="str">
        <f t="shared" si="0"/>
        <v/>
      </c>
      <c r="AD16">
        <v>7.64</v>
      </c>
      <c r="AE16">
        <v>8</v>
      </c>
      <c r="AH16" s="10">
        <v>0</v>
      </c>
      <c r="AI16" t="str">
        <f>CONCATENATE(VLOOKUP(AJ16, 'Voxel Sizes'!$A$2:$B$18,2,FALSE),"x",INT(AF16*15), "x", INT(AG16*15))</f>
        <v>82x0x0</v>
      </c>
      <c r="AJ16">
        <f t="shared" si="1"/>
        <v>5</v>
      </c>
      <c r="AL16" t="str">
        <f>CONCATENATE(VLOOKUP(AJ16,Constants!$A$2:$C$16,IF(AK16&lt;&gt;"", 3, 2), FALSE),IF(AK16&lt;&gt;"",CONCATENATE(",",VLOOKUP(AK16,$B:$AL,37,FALSE)),""))</f>
        <v>2,1,2</v>
      </c>
      <c r="AV16">
        <v>30</v>
      </c>
      <c r="AW16" s="15" t="str">
        <f t="shared" si="2"/>
        <v/>
      </c>
      <c r="AZ16">
        <f t="shared" si="3"/>
        <v>0</v>
      </c>
      <c r="BA16">
        <f t="shared" si="4"/>
        <v>0</v>
      </c>
      <c r="BB16">
        <f t="shared" si="5"/>
        <v>0</v>
      </c>
      <c r="BC16" s="3">
        <f t="shared" si="6"/>
        <v>0.96666666666666667</v>
      </c>
      <c r="BD16">
        <f t="shared" si="7"/>
        <v>0</v>
      </c>
      <c r="BE16">
        <f>VLOOKUP($F16,Constants!$I:$K, 2, FALSE)</f>
        <v>0</v>
      </c>
      <c r="BF16">
        <f>VLOOKUP($F16,Constants!$I:$K, 3, FALSE)*IF(AND(E16="multiple_unit",Z16&lt;110),0.75,1)</f>
        <v>0</v>
      </c>
      <c r="BG16">
        <f>INT(POWER(((Constants!$G$2+$AZ16+$BA16+$BB16+$BD16)*$BC16)*$BF16, 1.05))+$AY16</f>
        <v>0</v>
      </c>
      <c r="BH16">
        <f>INT(POWER((((Constants!$G$1+$AZ16+$BA16+$BB16+$BD16)*($BC16))*$BE16),IF($E16="wagon",1,1.2)))+$AX16</f>
        <v>0</v>
      </c>
      <c r="BI16" s="14">
        <f t="shared" si="8"/>
        <v>0</v>
      </c>
      <c r="BJ16" s="14">
        <f t="shared" si="9"/>
        <v>0</v>
      </c>
      <c r="BU16" t="str">
        <f>VLOOKUP(H16,Eras!$A$2:$C$10, 2, TRUE)</f>
        <v>big4</v>
      </c>
      <c r="BW16" t="str">
        <f t="shared" si="10"/>
        <v>big4_</v>
      </c>
      <c r="BX16" t="str">
        <f t="shared" si="11"/>
        <v>tender_RAIL</v>
      </c>
      <c r="BY16" t="str">
        <f>VLOOKUP($BX16, Constants!$M:$N, 2, FALSE)</f>
        <v/>
      </c>
      <c r="BZ16" t="str">
        <f t="shared" si="12"/>
        <v/>
      </c>
      <c r="CB16" t="str">
        <f t="shared" si="13"/>
        <v/>
      </c>
      <c r="CC16" t="str">
        <f t="shared" si="14"/>
        <v>{SILVER}</v>
      </c>
    </row>
    <row r="17" spans="1:81" x14ac:dyDescent="0.25">
      <c r="A17" t="s">
        <v>290</v>
      </c>
      <c r="B17" t="s">
        <v>289</v>
      </c>
      <c r="C17">
        <v>-1</v>
      </c>
      <c r="D17">
        <v>-1</v>
      </c>
      <c r="E17" t="s">
        <v>291</v>
      </c>
      <c r="F17" t="s">
        <v>291</v>
      </c>
      <c r="G17" t="s">
        <v>275</v>
      </c>
      <c r="H17">
        <v>1925</v>
      </c>
      <c r="U17">
        <v>52</v>
      </c>
      <c r="Y17" s="3" t="str">
        <f t="shared" si="0"/>
        <v/>
      </c>
      <c r="AD17">
        <v>7.64</v>
      </c>
      <c r="AE17">
        <v>8</v>
      </c>
      <c r="AH17" s="10">
        <v>0</v>
      </c>
      <c r="AI17" t="str">
        <f>CONCATENATE(VLOOKUP(AJ17, 'Voxel Sizes'!$A$2:$B$18,2,FALSE),"x",INT(AF17*15), "x", INT(AG17*15))</f>
        <v>82x0x0</v>
      </c>
      <c r="AJ17">
        <f t="shared" si="1"/>
        <v>5</v>
      </c>
      <c r="AL17" t="str">
        <f>CONCATENATE(VLOOKUP(AJ17,Constants!$A$2:$C$16,IF(AK17&lt;&gt;"", 3, 2), FALSE),IF(AK17&lt;&gt;"",CONCATENATE(",",VLOOKUP(AK17,$B:$AL,37,FALSE)),""))</f>
        <v>2,1,2</v>
      </c>
      <c r="AV17">
        <v>30</v>
      </c>
      <c r="AW17" s="15" t="str">
        <f t="shared" si="2"/>
        <v/>
      </c>
      <c r="AZ17">
        <f t="shared" si="3"/>
        <v>0</v>
      </c>
      <c r="BA17">
        <f t="shared" si="4"/>
        <v>0</v>
      </c>
      <c r="BB17">
        <f t="shared" si="5"/>
        <v>0</v>
      </c>
      <c r="BC17" s="3">
        <f t="shared" si="6"/>
        <v>0.96666666666666667</v>
      </c>
      <c r="BD17">
        <f t="shared" si="7"/>
        <v>0</v>
      </c>
      <c r="BE17">
        <f>VLOOKUP($F17,Constants!$I:$K, 2, FALSE)</f>
        <v>0</v>
      </c>
      <c r="BF17">
        <f>VLOOKUP($F17,Constants!$I:$K, 3, FALSE)*IF(AND(E17="multiple_unit",Z17&lt;110),0.75,1)</f>
        <v>0</v>
      </c>
      <c r="BG17">
        <f>INT(POWER(((Constants!$G$2+$AZ17+$BA17+$BB17+$BD17)*$BC17)*$BF17, 1.05))+$AY17</f>
        <v>0</v>
      </c>
      <c r="BH17">
        <f>INT(POWER((((Constants!$G$1+$AZ17+$BA17+$BB17+$BD17)*($BC17))*$BE17),IF($E17="wagon",1,1.2)))+$AX17</f>
        <v>0</v>
      </c>
      <c r="BI17" s="14">
        <f t="shared" si="8"/>
        <v>0</v>
      </c>
      <c r="BJ17" s="14">
        <f t="shared" si="9"/>
        <v>0</v>
      </c>
      <c r="BU17" t="str">
        <f>VLOOKUP(H17,Eras!$A$2:$C$10, 2, TRUE)</f>
        <v>big4</v>
      </c>
      <c r="BW17" t="str">
        <f t="shared" si="10"/>
        <v>big4_</v>
      </c>
      <c r="BX17" t="str">
        <f t="shared" si="11"/>
        <v>tender_RAIL</v>
      </c>
      <c r="BY17" t="str">
        <f>VLOOKUP($BX17, Constants!$M:$N, 2, FALSE)</f>
        <v/>
      </c>
      <c r="BZ17" t="str">
        <f t="shared" si="12"/>
        <v/>
      </c>
      <c r="CB17" t="str">
        <f t="shared" si="13"/>
        <v/>
      </c>
      <c r="CC17" t="str">
        <f t="shared" si="14"/>
        <v>{SILVER}</v>
      </c>
    </row>
    <row r="18" spans="1:81" x14ac:dyDescent="0.25">
      <c r="A18" t="s">
        <v>293</v>
      </c>
      <c r="B18" t="s">
        <v>294</v>
      </c>
      <c r="C18">
        <v>-1</v>
      </c>
      <c r="D18">
        <v>-1</v>
      </c>
      <c r="E18" t="s">
        <v>291</v>
      </c>
      <c r="F18" t="s">
        <v>291</v>
      </c>
      <c r="G18" t="s">
        <v>275</v>
      </c>
      <c r="H18">
        <v>1925</v>
      </c>
      <c r="U18">
        <v>52</v>
      </c>
      <c r="Y18" s="3" t="str">
        <f t="shared" si="0"/>
        <v/>
      </c>
      <c r="AD18">
        <v>7.64</v>
      </c>
      <c r="AE18">
        <v>8</v>
      </c>
      <c r="AH18" s="10">
        <v>0</v>
      </c>
      <c r="AI18" t="str">
        <f>CONCATENATE(VLOOKUP(AJ18, 'Voxel Sizes'!$A$2:$B$18,2,FALSE),"x",INT(AF18*15), "x", INT(AG18*15))</f>
        <v>82x0x0</v>
      </c>
      <c r="AJ18">
        <f t="shared" si="1"/>
        <v>5</v>
      </c>
      <c r="AL18" t="str">
        <f>CONCATENATE(VLOOKUP(AJ18,Constants!$A$2:$C$16,IF(AK18&lt;&gt;"", 3, 2), FALSE),IF(AK18&lt;&gt;"",CONCATENATE(",",VLOOKUP(AK18,$B:$AL,37,FALSE)),""))</f>
        <v>2,1,2</v>
      </c>
      <c r="AV18">
        <v>30</v>
      </c>
      <c r="AW18" s="15" t="str">
        <f t="shared" si="2"/>
        <v/>
      </c>
      <c r="AZ18">
        <f t="shared" si="3"/>
        <v>0</v>
      </c>
      <c r="BA18">
        <f t="shared" si="4"/>
        <v>0</v>
      </c>
      <c r="BB18">
        <f t="shared" si="5"/>
        <v>0</v>
      </c>
      <c r="BC18" s="3">
        <f t="shared" si="6"/>
        <v>0.96666666666666667</v>
      </c>
      <c r="BD18">
        <f t="shared" si="7"/>
        <v>0</v>
      </c>
      <c r="BE18">
        <f>VLOOKUP($F18,Constants!$I:$K, 2, FALSE)</f>
        <v>0</v>
      </c>
      <c r="BF18">
        <f>VLOOKUP($F18,Constants!$I:$K, 3, FALSE)*IF(AND(E18="multiple_unit",Z18&lt;110),0.75,1)</f>
        <v>0</v>
      </c>
      <c r="BG18">
        <f>INT(POWER(((Constants!$G$2+$AZ18+$BA18+$BB18+$BD18)*$BC18)*$BF18, 1.05))+$AY18</f>
        <v>0</v>
      </c>
      <c r="BH18">
        <f>INT(POWER((((Constants!$G$1+$AZ18+$BA18+$BB18+$BD18)*($BC18))*$BE18),IF($E18="wagon",1,1.2)))+$AX18</f>
        <v>0</v>
      </c>
      <c r="BI18" s="14">
        <f t="shared" si="8"/>
        <v>0</v>
      </c>
      <c r="BJ18" s="14">
        <f t="shared" si="9"/>
        <v>0</v>
      </c>
      <c r="BU18" t="str">
        <f>VLOOKUP(H18,Eras!$A$2:$C$10, 2, TRUE)</f>
        <v>big4</v>
      </c>
      <c r="BW18" t="str">
        <f t="shared" si="10"/>
        <v>big4_</v>
      </c>
      <c r="BX18" t="str">
        <f t="shared" si="11"/>
        <v>tender_RAIL</v>
      </c>
      <c r="BY18" t="str">
        <f>VLOOKUP($BX18, Constants!$M:$N, 2, FALSE)</f>
        <v/>
      </c>
      <c r="BZ18" t="str">
        <f t="shared" si="12"/>
        <v/>
      </c>
      <c r="CB18" t="str">
        <f t="shared" si="13"/>
        <v/>
      </c>
      <c r="CC18" t="str">
        <f t="shared" si="14"/>
        <v>{SILVER}</v>
      </c>
    </row>
    <row r="19" spans="1:81" x14ac:dyDescent="0.25">
      <c r="A19" t="s">
        <v>435</v>
      </c>
      <c r="B19" t="s">
        <v>436</v>
      </c>
      <c r="C19">
        <v>-1</v>
      </c>
      <c r="D19">
        <v>-1</v>
      </c>
      <c r="E19" t="s">
        <v>291</v>
      </c>
      <c r="F19" t="s">
        <v>291</v>
      </c>
      <c r="G19" t="s">
        <v>275</v>
      </c>
      <c r="H19">
        <v>1927</v>
      </c>
      <c r="U19">
        <v>53</v>
      </c>
      <c r="Y19" s="3" t="str">
        <f t="shared" si="0"/>
        <v/>
      </c>
      <c r="AD19">
        <v>7.5</v>
      </c>
      <c r="AE19">
        <v>8</v>
      </c>
      <c r="AH19" s="10">
        <v>0</v>
      </c>
      <c r="AI19" t="str">
        <f>CONCATENATE(VLOOKUP(AJ19, 'Voxel Sizes'!$A$2:$B$18,2,FALSE),"x",INT(AF19*15), "x", INT(AG19*15))</f>
        <v>82x0x0</v>
      </c>
      <c r="AJ19">
        <f t="shared" si="1"/>
        <v>5</v>
      </c>
      <c r="AL19" t="str">
        <f>CONCATENATE(VLOOKUP(AJ19,Constants!$A$2:$C$16,IF(AK19&lt;&gt;"", 3, 2), FALSE),IF(AK19&lt;&gt;"",CONCATENATE(",",VLOOKUP(AK19,$B:$AL,37,FALSE)),""))</f>
        <v>2,1,2</v>
      </c>
      <c r="AV19">
        <v>30</v>
      </c>
      <c r="AW19" s="15" t="str">
        <f t="shared" si="2"/>
        <v/>
      </c>
      <c r="AZ19">
        <f t="shared" si="3"/>
        <v>0</v>
      </c>
      <c r="BA19">
        <f t="shared" si="4"/>
        <v>0</v>
      </c>
      <c r="BB19">
        <f t="shared" si="5"/>
        <v>0</v>
      </c>
      <c r="BC19" s="3">
        <f t="shared" si="6"/>
        <v>0.96399999999999997</v>
      </c>
      <c r="BD19">
        <f t="shared" si="7"/>
        <v>0</v>
      </c>
      <c r="BE19">
        <f>VLOOKUP($F19,Constants!$I:$K, 2, FALSE)</f>
        <v>0</v>
      </c>
      <c r="BF19">
        <f>VLOOKUP($F19,Constants!$I:$K, 3, FALSE)*IF(AND(E19="multiple_unit",Z19&lt;110),0.75,1)</f>
        <v>0</v>
      </c>
      <c r="BG19">
        <f>INT(POWER(((Constants!$G$2+$AZ19+$BA19+$BB19+$BD19)*$BC19)*$BF19, 1.05))+$AY19</f>
        <v>0</v>
      </c>
      <c r="BH19">
        <f>INT(POWER((((Constants!$G$1+$AZ19+$BA19+$BB19+$BD19)*($BC19))*$BE19),IF($E19="wagon",1,1.2)))+$AX19</f>
        <v>0</v>
      </c>
      <c r="BI19" s="14">
        <f t="shared" si="8"/>
        <v>0</v>
      </c>
      <c r="BJ19" s="14">
        <f t="shared" si="9"/>
        <v>0</v>
      </c>
      <c r="BU19" t="str">
        <f>VLOOKUP(H19,Eras!$A$2:$C$10, 2, TRUE)</f>
        <v>big4</v>
      </c>
      <c r="BW19" t="str">
        <f t="shared" si="10"/>
        <v>big4_</v>
      </c>
      <c r="BX19" t="str">
        <f t="shared" si="11"/>
        <v>tender_RAIL</v>
      </c>
      <c r="BY19" t="str">
        <f>VLOOKUP($BX19, Constants!$M:$N, 2, FALSE)</f>
        <v/>
      </c>
      <c r="BZ19" t="str">
        <f t="shared" si="12"/>
        <v/>
      </c>
      <c r="CB19" t="str">
        <f t="shared" si="13"/>
        <v/>
      </c>
      <c r="CC19" t="str">
        <f t="shared" si="14"/>
        <v>{SILVER}</v>
      </c>
    </row>
    <row r="20" spans="1:81" x14ac:dyDescent="0.25">
      <c r="A20" t="s">
        <v>461</v>
      </c>
      <c r="B20" t="s">
        <v>460</v>
      </c>
      <c r="C20">
        <v>-1</v>
      </c>
      <c r="D20">
        <v>-1</v>
      </c>
      <c r="E20" t="s">
        <v>291</v>
      </c>
      <c r="F20" t="s">
        <v>291</v>
      </c>
      <c r="G20" t="s">
        <v>275</v>
      </c>
      <c r="H20">
        <v>1935</v>
      </c>
      <c r="U20">
        <v>42</v>
      </c>
      <c r="Y20" s="3" t="str">
        <f t="shared" si="0"/>
        <v/>
      </c>
      <c r="AD20">
        <v>7.5</v>
      </c>
      <c r="AE20">
        <v>8</v>
      </c>
      <c r="AH20" s="10">
        <v>0</v>
      </c>
      <c r="AI20" t="str">
        <f>CONCATENATE(VLOOKUP(AJ20, 'Voxel Sizes'!$A$2:$B$18,2,FALSE),"x",INT(AF20*15), "x", INT(AG20*15))</f>
        <v>82x0x0</v>
      </c>
      <c r="AJ20">
        <f t="shared" si="1"/>
        <v>5</v>
      </c>
      <c r="AL20" t="str">
        <f>CONCATENATE(VLOOKUP(AJ20,Constants!$A$2:$C$16,IF(AK20&lt;&gt;"", 3, 2), FALSE),IF(AK20&lt;&gt;"",CONCATENATE(",",VLOOKUP(AK20,$B:$AL,37,FALSE)),""))</f>
        <v>2,1,2</v>
      </c>
      <c r="AV20">
        <v>30</v>
      </c>
      <c r="AW20" s="15" t="str">
        <f t="shared" si="2"/>
        <v/>
      </c>
      <c r="AZ20">
        <f t="shared" si="3"/>
        <v>0</v>
      </c>
      <c r="BA20">
        <f t="shared" si="4"/>
        <v>0</v>
      </c>
      <c r="BB20">
        <f t="shared" si="5"/>
        <v>0</v>
      </c>
      <c r="BC20" s="3">
        <f t="shared" si="6"/>
        <v>0.95333333333333337</v>
      </c>
      <c r="BD20">
        <f t="shared" si="7"/>
        <v>0</v>
      </c>
      <c r="BE20">
        <f>VLOOKUP($F20,Constants!$I:$K, 2, FALSE)</f>
        <v>0</v>
      </c>
      <c r="BF20">
        <f>VLOOKUP($F20,Constants!$I:$K, 3, FALSE)*IF(AND(E20="multiple_unit",Z20&lt;110),0.75,1)</f>
        <v>0</v>
      </c>
      <c r="BG20">
        <f>INT(POWER(((Constants!$G$2+$AZ20+$BA20+$BB20+$BD20)*$BC20)*$BF20, 1.05))+$AY20</f>
        <v>0</v>
      </c>
      <c r="BH20">
        <f>INT(POWER((((Constants!$G$1+$AZ20+$BA20+$BB20+$BD20)*($BC20))*$BE20),IF($E20="wagon",1,1.2)))+$AX20</f>
        <v>0</v>
      </c>
      <c r="BI20" s="14">
        <f t="shared" si="8"/>
        <v>0</v>
      </c>
      <c r="BJ20" s="14">
        <f t="shared" si="9"/>
        <v>0</v>
      </c>
      <c r="BU20" t="str">
        <f>VLOOKUP(H20,Eras!$A$2:$C$10, 2, TRUE)</f>
        <v>big4</v>
      </c>
      <c r="BW20" t="str">
        <f t="shared" si="10"/>
        <v>big4_</v>
      </c>
      <c r="BX20" t="str">
        <f t="shared" si="11"/>
        <v>tender_RAIL</v>
      </c>
      <c r="BY20" t="str">
        <f>VLOOKUP($BX20, Constants!$M:$N, 2, FALSE)</f>
        <v/>
      </c>
      <c r="BZ20" t="str">
        <f t="shared" si="12"/>
        <v/>
      </c>
      <c r="CB20" t="str">
        <f t="shared" si="13"/>
        <v/>
      </c>
      <c r="CC20" t="str">
        <f t="shared" si="14"/>
        <v>{SILVER}</v>
      </c>
    </row>
    <row r="21" spans="1:81" ht="13.5" customHeight="1" x14ac:dyDescent="0.25">
      <c r="A21" t="s">
        <v>468</v>
      </c>
      <c r="B21" t="s">
        <v>469</v>
      </c>
      <c r="C21">
        <v>-1</v>
      </c>
      <c r="D21">
        <v>-1</v>
      </c>
      <c r="E21" t="s">
        <v>291</v>
      </c>
      <c r="F21" t="s">
        <v>291</v>
      </c>
      <c r="G21" t="s">
        <v>275</v>
      </c>
      <c r="H21">
        <v>1941</v>
      </c>
      <c r="U21">
        <v>52</v>
      </c>
      <c r="Y21" s="3" t="str">
        <f t="shared" si="0"/>
        <v/>
      </c>
      <c r="AD21">
        <v>7.64</v>
      </c>
      <c r="AE21">
        <v>8</v>
      </c>
      <c r="AH21" s="10">
        <v>0</v>
      </c>
      <c r="AI21" t="str">
        <f>CONCATENATE(VLOOKUP(AJ21, 'Voxel Sizes'!$A$2:$B$18,2,FALSE),"x",INT(AF21*15), "x", INT(AG21*15))</f>
        <v>82x0x0</v>
      </c>
      <c r="AJ21">
        <f t="shared" si="1"/>
        <v>5</v>
      </c>
      <c r="AL21" t="str">
        <f>CONCATENATE(VLOOKUP(AJ21,Constants!$A$2:$C$16,IF(AK21&lt;&gt;"", 3, 2), FALSE),IF(AK21&lt;&gt;"",CONCATENATE(",",VLOOKUP(AK21,$B:$AL,37,FALSE)),""))</f>
        <v>2,1,2</v>
      </c>
      <c r="AV21">
        <v>30</v>
      </c>
      <c r="AW21" s="15" t="str">
        <f t="shared" si="2"/>
        <v/>
      </c>
      <c r="AZ21">
        <f t="shared" si="3"/>
        <v>0</v>
      </c>
      <c r="BA21">
        <f t="shared" si="4"/>
        <v>0</v>
      </c>
      <c r="BB21">
        <f t="shared" si="5"/>
        <v>0</v>
      </c>
      <c r="BC21" s="3">
        <f t="shared" si="6"/>
        <v>0.94533333333333336</v>
      </c>
      <c r="BD21">
        <f t="shared" si="7"/>
        <v>0</v>
      </c>
      <c r="BE21">
        <f>VLOOKUP($F21,Constants!$I:$K, 2, FALSE)</f>
        <v>0</v>
      </c>
      <c r="BF21">
        <f>VLOOKUP($F21,Constants!$I:$K, 3, FALSE)*IF(AND(E21="multiple_unit",Z21&lt;110),0.75,1)</f>
        <v>0</v>
      </c>
      <c r="BG21">
        <f>INT(POWER(((Constants!$G$2+$AZ21+$BA21+$BB21+$BD21)*$BC21)*$BF21, 1.05))+$AY21</f>
        <v>0</v>
      </c>
      <c r="BH21">
        <f>INT(POWER((((Constants!$G$1+$AZ21+$BA21+$BB21+$BD21)*($BC21))*$BE21),IF($E21="wagon",1,1.2)))+$AX21</f>
        <v>0</v>
      </c>
      <c r="BI21" s="14">
        <f t="shared" si="8"/>
        <v>0</v>
      </c>
      <c r="BJ21" s="14">
        <f t="shared" si="9"/>
        <v>0</v>
      </c>
      <c r="BU21" t="str">
        <f>VLOOKUP(H21,Eras!$A$2:$C$10, 2, TRUE)</f>
        <v>big4</v>
      </c>
      <c r="BW21" t="str">
        <f t="shared" si="10"/>
        <v>big4_</v>
      </c>
      <c r="BX21" t="str">
        <f t="shared" si="11"/>
        <v>tender_RAIL</v>
      </c>
      <c r="BY21" t="str">
        <f>VLOOKUP($BX21, Constants!$M:$N, 2, FALSE)</f>
        <v/>
      </c>
      <c r="BZ21" t="str">
        <f t="shared" si="12"/>
        <v/>
      </c>
      <c r="CB21" t="str">
        <f t="shared" si="13"/>
        <v/>
      </c>
      <c r="CC21" t="str">
        <f t="shared" si="14"/>
        <v>{SILVER}</v>
      </c>
    </row>
    <row r="22" spans="1:81" x14ac:dyDescent="0.25">
      <c r="A22" t="s">
        <v>476</v>
      </c>
      <c r="B22" t="s">
        <v>475</v>
      </c>
      <c r="C22">
        <v>-1</v>
      </c>
      <c r="D22">
        <v>-1</v>
      </c>
      <c r="E22" t="s">
        <v>291</v>
      </c>
      <c r="F22" t="s">
        <v>291</v>
      </c>
      <c r="G22" t="s">
        <v>275</v>
      </c>
      <c r="H22">
        <v>1942</v>
      </c>
      <c r="U22">
        <v>52</v>
      </c>
      <c r="Y22" s="3" t="str">
        <f t="shared" si="0"/>
        <v/>
      </c>
      <c r="AD22">
        <v>6</v>
      </c>
      <c r="AE22">
        <v>6</v>
      </c>
      <c r="AH22" s="10">
        <v>0</v>
      </c>
      <c r="AI22" t="str">
        <f>CONCATENATE(VLOOKUP(AJ22, 'Voxel Sizes'!$A$2:$B$18,2,FALSE),"x",INT(AF22*15), "x", INT(AG22*15))</f>
        <v>60x0x0</v>
      </c>
      <c r="AJ22">
        <f t="shared" si="1"/>
        <v>4</v>
      </c>
      <c r="AL22" t="str">
        <f>CONCATENATE(VLOOKUP(AJ22,Constants!$A$2:$C$16,IF(AK22&lt;&gt;"", 3, 2), FALSE),IF(AK22&lt;&gt;"",CONCATENATE(",",VLOOKUP(AK22,$B:$AL,37,FALSE)),""))</f>
        <v>1,2,1</v>
      </c>
      <c r="AV22">
        <v>30</v>
      </c>
      <c r="AW22" s="15" t="str">
        <f t="shared" si="2"/>
        <v/>
      </c>
      <c r="AZ22">
        <f t="shared" si="3"/>
        <v>0</v>
      </c>
      <c r="BA22">
        <f t="shared" si="4"/>
        <v>0</v>
      </c>
      <c r="BB22">
        <f t="shared" si="5"/>
        <v>0</v>
      </c>
      <c r="BC22" s="3">
        <f t="shared" si="6"/>
        <v>0.94399999999999995</v>
      </c>
      <c r="BD22">
        <f t="shared" si="7"/>
        <v>0</v>
      </c>
      <c r="BE22">
        <f>VLOOKUP($F22,Constants!$I:$K, 2, FALSE)</f>
        <v>0</v>
      </c>
      <c r="BF22">
        <f>VLOOKUP($F22,Constants!$I:$K, 3, FALSE)*IF(AND(E22="multiple_unit",Z22&lt;110),0.75,1)</f>
        <v>0</v>
      </c>
      <c r="BG22">
        <f>INT(POWER(((Constants!$G$2+$AZ22+$BA22+$BB22+$BD22)*$BC22)*$BF22, 1.05))+$AY22</f>
        <v>0</v>
      </c>
      <c r="BH22">
        <f>INT(POWER((((Constants!$G$1+$AZ22+$BA22+$BB22+$BD22)*($BC22))*$BE22),IF($E22="wagon",1,1.2)))+$AX22</f>
        <v>0</v>
      </c>
      <c r="BI22" s="14">
        <f t="shared" si="8"/>
        <v>0</v>
      </c>
      <c r="BJ22" s="14">
        <f t="shared" si="9"/>
        <v>0</v>
      </c>
      <c r="BU22" t="str">
        <f>VLOOKUP(H22,Eras!$A$2:$C$10, 2, TRUE)</f>
        <v>big4</v>
      </c>
      <c r="BW22" t="str">
        <f t="shared" si="10"/>
        <v>big4_</v>
      </c>
      <c r="BX22" t="str">
        <f t="shared" si="11"/>
        <v>tender_RAIL</v>
      </c>
      <c r="BY22" t="str">
        <f>VLOOKUP($BX22, Constants!$M:$N, 2, FALSE)</f>
        <v/>
      </c>
      <c r="BZ22" t="str">
        <f t="shared" si="12"/>
        <v/>
      </c>
      <c r="CB22" t="str">
        <f t="shared" si="13"/>
        <v/>
      </c>
      <c r="CC22" t="str">
        <f t="shared" si="14"/>
        <v>{SILVER}</v>
      </c>
    </row>
    <row r="23" spans="1:81" x14ac:dyDescent="0.25">
      <c r="A23" t="s">
        <v>481</v>
      </c>
      <c r="B23" t="s">
        <v>482</v>
      </c>
      <c r="C23">
        <v>-1</v>
      </c>
      <c r="D23">
        <v>-1</v>
      </c>
      <c r="E23" t="s">
        <v>291</v>
      </c>
      <c r="F23" t="s">
        <v>291</v>
      </c>
      <c r="G23" t="s">
        <v>275</v>
      </c>
      <c r="H23">
        <v>1943</v>
      </c>
      <c r="U23">
        <v>52</v>
      </c>
      <c r="Y23" s="3" t="str">
        <f t="shared" si="0"/>
        <v/>
      </c>
      <c r="AD23">
        <v>6</v>
      </c>
      <c r="AE23">
        <v>6</v>
      </c>
      <c r="AH23" s="10">
        <v>0</v>
      </c>
      <c r="AI23" t="str">
        <f>CONCATENATE(VLOOKUP(AJ23, 'Voxel Sizes'!$A$2:$B$18,2,FALSE),"x",INT(AF23*15), "x", INT(AG23*15))</f>
        <v>60x0x0</v>
      </c>
      <c r="AJ23">
        <f t="shared" si="1"/>
        <v>4</v>
      </c>
      <c r="AL23" t="str">
        <f>CONCATENATE(VLOOKUP(AJ23,Constants!$A$2:$C$16,IF(AK23&lt;&gt;"", 3, 2), FALSE),IF(AK23&lt;&gt;"",CONCATENATE(",",VLOOKUP(AK23,$B:$AL,37,FALSE)),""))</f>
        <v>1,2,1</v>
      </c>
      <c r="AV23">
        <v>30</v>
      </c>
      <c r="AW23" s="15" t="str">
        <f t="shared" si="2"/>
        <v/>
      </c>
      <c r="AZ23">
        <f t="shared" si="3"/>
        <v>0</v>
      </c>
      <c r="BA23">
        <f t="shared" si="4"/>
        <v>0</v>
      </c>
      <c r="BB23">
        <f t="shared" si="5"/>
        <v>0</v>
      </c>
      <c r="BC23" s="3">
        <f t="shared" si="6"/>
        <v>0.94266666666666665</v>
      </c>
      <c r="BD23">
        <f t="shared" si="7"/>
        <v>0</v>
      </c>
      <c r="BE23">
        <f>VLOOKUP($F23,Constants!$I:$K, 2, FALSE)</f>
        <v>0</v>
      </c>
      <c r="BF23">
        <f>VLOOKUP($F23,Constants!$I:$K, 3, FALSE)*IF(AND(E23="multiple_unit",Z23&lt;110),0.75,1)</f>
        <v>0</v>
      </c>
      <c r="BG23">
        <f>INT(POWER(((Constants!$G$2+$AZ23+$BA23+$BB23+$BD23)*$BC23)*$BF23, 1.05))+$AY23</f>
        <v>0</v>
      </c>
      <c r="BH23">
        <f>INT(POWER((((Constants!$G$1+$AZ23+$BA23+$BB23+$BD23)*($BC23))*$BE23),IF($E23="wagon",1,1.2)))+$AX23</f>
        <v>0</v>
      </c>
      <c r="BI23" s="14">
        <f t="shared" si="8"/>
        <v>0</v>
      </c>
      <c r="BJ23" s="14">
        <f t="shared" si="9"/>
        <v>0</v>
      </c>
      <c r="BU23" t="str">
        <f>VLOOKUP(H23,Eras!$A$2:$C$10, 2, TRUE)</f>
        <v>big4</v>
      </c>
      <c r="BW23" t="str">
        <f t="shared" si="10"/>
        <v>big4_</v>
      </c>
      <c r="BX23" t="str">
        <f t="shared" si="11"/>
        <v>tender_RAIL</v>
      </c>
      <c r="BY23" t="str">
        <f>VLOOKUP($BX23, Constants!$M:$N, 2, FALSE)</f>
        <v/>
      </c>
      <c r="BZ23" t="str">
        <f t="shared" si="12"/>
        <v/>
      </c>
      <c r="CB23" t="str">
        <f t="shared" si="13"/>
        <v/>
      </c>
      <c r="CC23" t="str">
        <f t="shared" si="14"/>
        <v>{SILVER}</v>
      </c>
    </row>
    <row r="24" spans="1:81" x14ac:dyDescent="0.25">
      <c r="A24" t="s">
        <v>496</v>
      </c>
      <c r="B24" t="s">
        <v>495</v>
      </c>
      <c r="C24">
        <v>-1</v>
      </c>
      <c r="D24">
        <v>-1</v>
      </c>
      <c r="E24" t="s">
        <v>291</v>
      </c>
      <c r="F24" t="s">
        <v>291</v>
      </c>
      <c r="G24" t="s">
        <v>275</v>
      </c>
      <c r="H24">
        <v>1946</v>
      </c>
      <c r="U24">
        <v>52</v>
      </c>
      <c r="Y24" s="3" t="str">
        <f t="shared" si="0"/>
        <v/>
      </c>
      <c r="AD24">
        <v>6</v>
      </c>
      <c r="AE24">
        <v>6</v>
      </c>
      <c r="AH24" s="10">
        <v>0</v>
      </c>
      <c r="AI24" t="str">
        <f>CONCATENATE(VLOOKUP(AJ24, 'Voxel Sizes'!$A$2:$B$18,2,FALSE),"x",INT(AF24*15), "x", INT(AG24*15))</f>
        <v>60x0x0</v>
      </c>
      <c r="AJ24">
        <f t="shared" si="1"/>
        <v>4</v>
      </c>
      <c r="AL24" t="str">
        <f>CONCATENATE(VLOOKUP(AJ24,Constants!$A$2:$C$16,IF(AK24&lt;&gt;"", 3, 2), FALSE),IF(AK24&lt;&gt;"",CONCATENATE(",",VLOOKUP(AK24,$B:$AL,37,FALSE)),""))</f>
        <v>1,2,1</v>
      </c>
      <c r="AV24">
        <v>30</v>
      </c>
      <c r="AW24" s="15" t="str">
        <f t="shared" si="2"/>
        <v/>
      </c>
      <c r="AZ24">
        <f t="shared" si="3"/>
        <v>0</v>
      </c>
      <c r="BA24">
        <f t="shared" si="4"/>
        <v>0</v>
      </c>
      <c r="BB24">
        <f t="shared" si="5"/>
        <v>0</v>
      </c>
      <c r="BC24" s="3">
        <f t="shared" si="6"/>
        <v>0.93866666666666665</v>
      </c>
      <c r="BD24">
        <f t="shared" si="7"/>
        <v>0</v>
      </c>
      <c r="BE24">
        <f>VLOOKUP($F24,Constants!$I:$K, 2, FALSE)</f>
        <v>0</v>
      </c>
      <c r="BF24">
        <f>VLOOKUP($F24,Constants!$I:$K, 3, FALSE)*IF(AND(E24="multiple_unit",Z24&lt;110),0.75,1)</f>
        <v>0</v>
      </c>
      <c r="BG24">
        <f>INT(POWER(((Constants!$G$2+$AZ24+$BA24+$BB24+$BD24)*$BC24)*$BF24, 1.05))+$AY24</f>
        <v>0</v>
      </c>
      <c r="BH24">
        <f>INT(POWER((((Constants!$G$1+$AZ24+$BA24+$BB24+$BD24)*($BC24))*$BE24),IF($E24="wagon",1,1.2)))+$AX24</f>
        <v>0</v>
      </c>
      <c r="BI24" s="14">
        <f t="shared" si="8"/>
        <v>0</v>
      </c>
      <c r="BJ24" s="14">
        <f t="shared" si="9"/>
        <v>0</v>
      </c>
      <c r="BU24" t="str">
        <f>VLOOKUP(H24,Eras!$A$2:$C$10, 2, TRUE)</f>
        <v>big4</v>
      </c>
      <c r="BW24" t="str">
        <f t="shared" si="10"/>
        <v>big4_</v>
      </c>
      <c r="BX24" t="str">
        <f t="shared" si="11"/>
        <v>tender_RAIL</v>
      </c>
      <c r="BY24" t="str">
        <f>VLOOKUP($BX24, Constants!$M:$N, 2, FALSE)</f>
        <v/>
      </c>
      <c r="BZ24" t="str">
        <f t="shared" si="12"/>
        <v/>
      </c>
      <c r="CB24" t="str">
        <f t="shared" si="13"/>
        <v/>
      </c>
      <c r="CC24" t="str">
        <f t="shared" si="14"/>
        <v>{SILVER}</v>
      </c>
    </row>
    <row r="25" spans="1:81" x14ac:dyDescent="0.25">
      <c r="A25" t="s">
        <v>635</v>
      </c>
      <c r="B25" t="s">
        <v>636</v>
      </c>
      <c r="C25">
        <v>-1</v>
      </c>
      <c r="D25">
        <v>-1</v>
      </c>
      <c r="E25" t="s">
        <v>291</v>
      </c>
      <c r="F25" t="s">
        <v>291</v>
      </c>
      <c r="G25" t="s">
        <v>275</v>
      </c>
      <c r="H25">
        <v>1958</v>
      </c>
      <c r="U25">
        <v>52</v>
      </c>
      <c r="Y25" s="3" t="str">
        <f t="shared" si="0"/>
        <v/>
      </c>
      <c r="AD25">
        <v>6</v>
      </c>
      <c r="AE25">
        <v>8</v>
      </c>
      <c r="AH25" s="10">
        <v>0</v>
      </c>
      <c r="AI25" t="str">
        <f>CONCATENATE(VLOOKUP(AJ25, 'Voxel Sizes'!$A$2:$B$18,2,FALSE),"x",INT(AF25*15), "x", INT(AG25*15))</f>
        <v>82x0x0</v>
      </c>
      <c r="AJ25">
        <f t="shared" si="1"/>
        <v>5</v>
      </c>
      <c r="AL25" t="str">
        <f>CONCATENATE(VLOOKUP(AJ25,Constants!$A$2:$C$16,IF(AK25&lt;&gt;"", 3, 2), FALSE),IF(AK25&lt;&gt;"",CONCATENATE(",",VLOOKUP(AK25,$B:$AL,37,FALSE)),""))</f>
        <v>2,1,2</v>
      </c>
      <c r="AV25">
        <v>30</v>
      </c>
      <c r="AW25" s="15" t="str">
        <f t="shared" si="2"/>
        <v/>
      </c>
      <c r="AZ25">
        <f t="shared" si="3"/>
        <v>0</v>
      </c>
      <c r="BA25">
        <f t="shared" si="4"/>
        <v>0</v>
      </c>
      <c r="BB25">
        <f t="shared" si="5"/>
        <v>0</v>
      </c>
      <c r="BC25" s="3">
        <f t="shared" si="6"/>
        <v>0.92266666666666663</v>
      </c>
      <c r="BD25">
        <f t="shared" si="7"/>
        <v>0</v>
      </c>
      <c r="BE25">
        <f>VLOOKUP($F25,Constants!$I:$K, 2, FALSE)</f>
        <v>0</v>
      </c>
      <c r="BF25">
        <f>VLOOKUP($F25,Constants!$I:$K, 3, FALSE)*IF(AND(E25="multiple_unit",Z25&lt;110),0.75,1)</f>
        <v>0</v>
      </c>
      <c r="BG25">
        <f>INT(POWER(((Constants!$G$2+$AZ25+$BA25+$BB25+$BD25)*$BC25)*$BF25, 1.05))+$AY25</f>
        <v>0</v>
      </c>
      <c r="BH25">
        <f>INT(POWER((((Constants!$G$1+$AZ25+$BA25+$BB25+$BD25)*($BC25))*$BE25),IF($E25="wagon",1,1.2)))+$AX25</f>
        <v>0</v>
      </c>
      <c r="BI25" s="14">
        <f t="shared" si="8"/>
        <v>0</v>
      </c>
      <c r="BJ25" s="14">
        <f t="shared" si="9"/>
        <v>0</v>
      </c>
      <c r="BU25" t="str">
        <f>VLOOKUP(H25,Eras!$A$2:$C$10, 2, TRUE)</f>
        <v>dsl</v>
      </c>
      <c r="BW25" t="str">
        <f t="shared" si="10"/>
        <v>dsl_</v>
      </c>
      <c r="BX25" t="str">
        <f t="shared" si="11"/>
        <v>tender_RAIL</v>
      </c>
      <c r="BY25" t="str">
        <f>VLOOKUP($BX25, Constants!$M:$N, 2, FALSE)</f>
        <v/>
      </c>
      <c r="BZ25" t="str">
        <f t="shared" si="12"/>
        <v/>
      </c>
      <c r="CB25" t="str">
        <f t="shared" si="13"/>
        <v/>
      </c>
      <c r="CC25" t="str">
        <f t="shared" si="14"/>
        <v>{SILVER}</v>
      </c>
    </row>
    <row r="26" spans="1:81" x14ac:dyDescent="0.25">
      <c r="A26" t="s">
        <v>1375</v>
      </c>
      <c r="B26" t="s">
        <v>1376</v>
      </c>
      <c r="C26">
        <v>4</v>
      </c>
      <c r="D26">
        <v>1001</v>
      </c>
      <c r="E26" t="s">
        <v>281</v>
      </c>
      <c r="F26" t="s">
        <v>1106</v>
      </c>
      <c r="G26" t="s">
        <v>1381</v>
      </c>
      <c r="H26">
        <v>1700</v>
      </c>
      <c r="J26">
        <v>1870</v>
      </c>
      <c r="U26">
        <v>8</v>
      </c>
      <c r="W26">
        <v>3</v>
      </c>
      <c r="Y26" s="3" t="str">
        <f t="shared" si="0"/>
        <v/>
      </c>
      <c r="Z26">
        <v>45</v>
      </c>
      <c r="AA26">
        <f>ROUND(Z26*1.6, 0)</f>
        <v>72</v>
      </c>
      <c r="AD26">
        <v>8</v>
      </c>
      <c r="AE26">
        <v>8</v>
      </c>
      <c r="AH26" s="10">
        <v>18</v>
      </c>
      <c r="AI26" t="str">
        <f>CONCATENATE(VLOOKUP(AJ26, 'Voxel Sizes'!$A$2:$B$18,2,FALSE),"x",INT(AF26*15), "x", INT(AG26*15))</f>
        <v>82x0x0</v>
      </c>
      <c r="AJ26">
        <f t="shared" si="1"/>
        <v>5</v>
      </c>
      <c r="AL26" t="str">
        <f>CONCATENATE(VLOOKUP(AJ26,Constants!$A$2:$C$16,IF(AK26&lt;&gt;"", 3, 2), FALSE),IF(AK26&lt;&gt;"",CONCATENATE(",",VLOOKUP(AK26,$B:$AL,37,FALSE)),""))</f>
        <v>2,1,2</v>
      </c>
      <c r="AV26">
        <v>30</v>
      </c>
      <c r="AW26" s="15">
        <f t="shared" si="2"/>
        <v>178</v>
      </c>
      <c r="AX26">
        <v>10</v>
      </c>
      <c r="AY26">
        <v>10</v>
      </c>
      <c r="AZ26">
        <f t="shared" si="3"/>
        <v>9</v>
      </c>
      <c r="BA26">
        <f t="shared" si="4"/>
        <v>0</v>
      </c>
      <c r="BB26">
        <f t="shared" si="5"/>
        <v>0</v>
      </c>
      <c r="BC26" s="3">
        <f t="shared" si="6"/>
        <v>1</v>
      </c>
      <c r="BD26">
        <f t="shared" si="7"/>
        <v>3</v>
      </c>
      <c r="BE26">
        <f>VLOOKUP($F26,Constants!$I:$K, 2, FALSE)</f>
        <v>1.2</v>
      </c>
      <c r="BF26">
        <f>VLOOKUP($F26,Constants!$I:$K, 3, FALSE)*IF(AND(E26="multiple_unit",Z26&lt;110),0.75,1)</f>
        <v>0.6</v>
      </c>
      <c r="BG26">
        <f>INT(POWER(((Constants!$G$2+$AZ26+$BA26+$BB26+$BD26)*$BC26)*$BF26, 1.05))+$AY26</f>
        <v>21</v>
      </c>
      <c r="BH26">
        <f>INT(POWER((((Constants!$G$1+$AZ26+$BA26+$BB26+$BD26)*($BC26))*$BE26),IF($E26="wagon",1,1.2)))+$AX26</f>
        <v>42</v>
      </c>
      <c r="BI26" s="14">
        <f t="shared" si="8"/>
        <v>1312.5</v>
      </c>
      <c r="BJ26" s="14">
        <f t="shared" si="9"/>
        <v>114.66</v>
      </c>
      <c r="BQ26">
        <v>10</v>
      </c>
      <c r="BR26">
        <v>185</v>
      </c>
      <c r="BS26" t="s">
        <v>874</v>
      </c>
      <c r="BT26" t="s">
        <v>283</v>
      </c>
      <c r="BU26" t="str">
        <f>VLOOKUP(H26,Eras!$A$2:$C$10, 2, TRUE)</f>
        <v>early</v>
      </c>
      <c r="BV26" t="s">
        <v>335</v>
      </c>
      <c r="BW26" t="str">
        <f t="shared" si="10"/>
        <v>early_Carriage</v>
      </c>
      <c r="BX26" t="str">
        <f t="shared" si="11"/>
        <v>carriage_PLATEWAY</v>
      </c>
      <c r="BY26" t="str">
        <f>VLOOKUP($BX26, Constants!$M:$N, 2, FALSE)</f>
        <v/>
      </c>
      <c r="BZ26" t="str">
        <f t="shared" si="12"/>
        <v/>
      </c>
      <c r="CA26" t="s">
        <v>1377</v>
      </c>
      <c r="CB26" t="str">
        <f t="shared" si="13"/>
        <v/>
      </c>
      <c r="CC26" t="str">
        <f t="shared" si="14"/>
        <v>{SILVER}The first enclosed passenger carriages were adapted from stagecoach bodies, with wooden frames.</v>
      </c>
    </row>
    <row r="27" spans="1:81" x14ac:dyDescent="0.25">
      <c r="A27" t="s">
        <v>108</v>
      </c>
      <c r="B27" t="s">
        <v>254</v>
      </c>
      <c r="C27">
        <v>6</v>
      </c>
      <c r="D27">
        <v>1002</v>
      </c>
      <c r="E27" t="s">
        <v>281</v>
      </c>
      <c r="F27" t="s">
        <v>1106</v>
      </c>
      <c r="G27" t="s">
        <v>275</v>
      </c>
      <c r="H27">
        <v>1855</v>
      </c>
      <c r="J27">
        <v>1900</v>
      </c>
      <c r="U27">
        <v>18</v>
      </c>
      <c r="W27">
        <v>4</v>
      </c>
      <c r="Y27" s="3" t="str">
        <f t="shared" si="0"/>
        <v/>
      </c>
      <c r="Z27">
        <v>65</v>
      </c>
      <c r="AA27">
        <f t="shared" ref="AA27:AA94" si="15">ROUND(Z27*1.6, 0)</f>
        <v>104</v>
      </c>
      <c r="AD27">
        <v>10</v>
      </c>
      <c r="AE27">
        <v>10</v>
      </c>
      <c r="AH27" s="10">
        <v>24</v>
      </c>
      <c r="AI27" t="str">
        <f>CONCATENATE(VLOOKUP(AJ27, 'Voxel Sizes'!$A$2:$B$18,2,FALSE),"x",INT(AF27*15), "x", INT(AG27*15))</f>
        <v>102x0x0</v>
      </c>
      <c r="AJ27">
        <f t="shared" si="1"/>
        <v>6</v>
      </c>
      <c r="AL27" t="str">
        <f>CONCATENATE(VLOOKUP(AJ27,Constants!$A$2:$C$16,IF(AK27&lt;&gt;"", 3, 2), FALSE),IF(AK27&lt;&gt;"",CONCATENATE(",",VLOOKUP(AK27,$B:$AL,37,FALSE)),""))</f>
        <v>2,2,2</v>
      </c>
      <c r="AV27">
        <v>30</v>
      </c>
      <c r="AW27" s="15">
        <f t="shared" si="2"/>
        <v>53</v>
      </c>
      <c r="AX27">
        <v>35</v>
      </c>
      <c r="AY27">
        <v>42</v>
      </c>
      <c r="AZ27">
        <f t="shared" si="3"/>
        <v>13</v>
      </c>
      <c r="BA27">
        <f t="shared" si="4"/>
        <v>0</v>
      </c>
      <c r="BB27">
        <f t="shared" si="5"/>
        <v>0</v>
      </c>
      <c r="BC27" s="3">
        <f t="shared" si="6"/>
        <v>1</v>
      </c>
      <c r="BD27">
        <f t="shared" si="7"/>
        <v>4</v>
      </c>
      <c r="BE27">
        <f>VLOOKUP($F27,Constants!$I:$K, 2, FALSE)</f>
        <v>1.2</v>
      </c>
      <c r="BF27">
        <f>VLOOKUP($F27,Constants!$I:$K, 3, FALSE)*IF(AND(E27="multiple_unit",Z27&lt;110),0.75,1)</f>
        <v>0.6</v>
      </c>
      <c r="BG27">
        <f>INT(POWER(((Constants!$G$2+$AZ27+$BA27+$BB27+$BD27)*$BC27)*$BF27, 1.05))+$AY27</f>
        <v>57</v>
      </c>
      <c r="BH27">
        <f>INT(POWER((((Constants!$G$1+$AZ27+$BA27+$BB27+$BD27)*($BC27))*$BE27),IF($E27="wagon",1,1.2)))+$AX27</f>
        <v>73</v>
      </c>
      <c r="BI27" s="14">
        <f t="shared" si="8"/>
        <v>3562.5</v>
      </c>
      <c r="BJ27" s="14">
        <f t="shared" si="9"/>
        <v>199.29</v>
      </c>
      <c r="BQ27">
        <v>10</v>
      </c>
      <c r="BR27">
        <v>185</v>
      </c>
      <c r="BS27" t="s">
        <v>874</v>
      </c>
      <c r="BT27" t="s">
        <v>283</v>
      </c>
      <c r="BU27" t="str">
        <f>VLOOKUP(H27,Eras!$A$2:$C$10, 2, TRUE)</f>
        <v>vct</v>
      </c>
      <c r="BV27" t="s">
        <v>335</v>
      </c>
      <c r="BW27" t="str">
        <f t="shared" si="10"/>
        <v>vct_Carriage</v>
      </c>
      <c r="BX27" t="str">
        <f t="shared" si="11"/>
        <v>carriage_RAIL</v>
      </c>
      <c r="BY27" t="str">
        <f>VLOOKUP($BX27, Constants!$M:$N, 2, FALSE)</f>
        <v/>
      </c>
      <c r="BZ27" t="str">
        <f t="shared" si="12"/>
        <v/>
      </c>
      <c r="CA27" t="s">
        <v>1328</v>
      </c>
      <c r="CB27" t="str">
        <f t="shared" si="13"/>
        <v/>
      </c>
      <c r="CC27" t="str">
        <f t="shared" si="14"/>
        <v>{SILVER}Railway carriages from the 1850s to 1870s tended to be built on wooden or wrought iron frames of around 20-24ft in length, with oil lighting internally.</v>
      </c>
    </row>
    <row r="28" spans="1:81" ht="14.25" customHeight="1" x14ac:dyDescent="0.25">
      <c r="A28" t="s">
        <v>109</v>
      </c>
      <c r="B28" t="s">
        <v>255</v>
      </c>
      <c r="C28">
        <v>8</v>
      </c>
      <c r="D28">
        <v>1003</v>
      </c>
      <c r="E28" t="s">
        <v>281</v>
      </c>
      <c r="F28" t="s">
        <v>1106</v>
      </c>
      <c r="G28" t="s">
        <v>275</v>
      </c>
      <c r="H28">
        <v>1875</v>
      </c>
      <c r="J28">
        <v>1915</v>
      </c>
      <c r="U28">
        <v>21</v>
      </c>
      <c r="W28">
        <v>4</v>
      </c>
      <c r="Y28" s="3" t="str">
        <f t="shared" si="0"/>
        <v/>
      </c>
      <c r="Z28">
        <v>75</v>
      </c>
      <c r="AA28">
        <f t="shared" si="15"/>
        <v>120</v>
      </c>
      <c r="AD28">
        <v>12</v>
      </c>
      <c r="AE28">
        <v>12</v>
      </c>
      <c r="AH28" s="10">
        <v>30</v>
      </c>
      <c r="AI28" t="str">
        <f>CONCATENATE(VLOOKUP(AJ28, 'Voxel Sizes'!$A$2:$B$18,2,FALSE),"x",INT(AF28*15), "x", INT(AG28*15))</f>
        <v>120x0x0</v>
      </c>
      <c r="AJ28">
        <f t="shared" si="1"/>
        <v>7</v>
      </c>
      <c r="AL28" t="str">
        <f>CONCATENATE(VLOOKUP(AJ28,Constants!$A$2:$C$16,IF(AK28&lt;&gt;"", 3, 2), FALSE),IF(AK28&lt;&gt;"",CONCATENATE(",",VLOOKUP(AK28,$B:$AL,37,FALSE)),""))</f>
        <v>2,3,2</v>
      </c>
      <c r="AV28">
        <v>30</v>
      </c>
      <c r="AW28" s="15">
        <f t="shared" si="2"/>
        <v>48</v>
      </c>
      <c r="AX28">
        <v>58</v>
      </c>
      <c r="AY28">
        <v>48</v>
      </c>
      <c r="AZ28">
        <f t="shared" si="3"/>
        <v>15</v>
      </c>
      <c r="BA28">
        <f t="shared" si="4"/>
        <v>0</v>
      </c>
      <c r="BB28">
        <f t="shared" si="5"/>
        <v>0</v>
      </c>
      <c r="BC28" s="3">
        <f t="shared" si="6"/>
        <v>1</v>
      </c>
      <c r="BD28">
        <f t="shared" si="7"/>
        <v>5</v>
      </c>
      <c r="BE28">
        <f>VLOOKUP($F28,Constants!$I:$K, 2, FALSE)</f>
        <v>1.2</v>
      </c>
      <c r="BF28">
        <f>VLOOKUP($F28,Constants!$I:$K, 3, FALSE)*IF(AND(E28="multiple_unit",Z28&lt;110),0.75,1)</f>
        <v>0.6</v>
      </c>
      <c r="BG28">
        <f>INT(POWER(((Constants!$G$2+$AZ28+$BA28+$BB28+$BD28)*$BC28)*$BF28, 1.05))+$AY28</f>
        <v>65</v>
      </c>
      <c r="BH28">
        <f>INT(POWER((((Constants!$G$1+$AZ28+$BA28+$BB28+$BD28)*($BC28))*$BE28),IF($E28="wagon",1,1.2)))+$AX28</f>
        <v>100</v>
      </c>
      <c r="BI28" s="14">
        <f t="shared" si="8"/>
        <v>4062.5</v>
      </c>
      <c r="BJ28" s="14">
        <f t="shared" si="9"/>
        <v>273</v>
      </c>
      <c r="BQ28">
        <v>11</v>
      </c>
      <c r="BR28">
        <v>185</v>
      </c>
      <c r="BS28" t="s">
        <v>874</v>
      </c>
      <c r="BT28" t="s">
        <v>283</v>
      </c>
      <c r="BU28" t="str">
        <f>VLOOKUP(H28,Eras!$A$2:$C$10, 2, TRUE)</f>
        <v>vct</v>
      </c>
      <c r="BV28" t="s">
        <v>335</v>
      </c>
      <c r="BW28" t="str">
        <f t="shared" si="10"/>
        <v>vct_Carriage</v>
      </c>
      <c r="BX28" t="str">
        <f t="shared" si="11"/>
        <v>carriage_RAIL</v>
      </c>
      <c r="BY28" t="str">
        <f>VLOOKUP($BX28, Constants!$M:$N, 2, FALSE)</f>
        <v/>
      </c>
      <c r="BZ28" t="str">
        <f t="shared" si="12"/>
        <v/>
      </c>
      <c r="CA28" t="s">
        <v>1405</v>
      </c>
      <c r="CB28" t="str">
        <f t="shared" si="13"/>
        <v/>
      </c>
      <c r="CC28" t="str">
        <f t="shared" si="14"/>
        <v>{SILVER}After early experiments for royal saloons, smoother and faster-running six wheel carriages with then-modern fixtures such as gas lighting became common from the 1870s, displacing older four wheeled stock to smaller suburban lines.</v>
      </c>
    </row>
    <row r="29" spans="1:81" x14ac:dyDescent="0.25">
      <c r="A29" t="s">
        <v>1455</v>
      </c>
      <c r="B29" t="s">
        <v>1456</v>
      </c>
      <c r="C29">
        <v>9</v>
      </c>
      <c r="D29">
        <v>1004</v>
      </c>
      <c r="E29" t="s">
        <v>281</v>
      </c>
      <c r="F29" t="s">
        <v>1106</v>
      </c>
      <c r="G29" t="s">
        <v>1411</v>
      </c>
      <c r="H29">
        <v>1889</v>
      </c>
      <c r="J29">
        <v>1924</v>
      </c>
      <c r="U29">
        <v>15</v>
      </c>
      <c r="W29">
        <v>7</v>
      </c>
      <c r="Y29" s="3" t="str">
        <f t="shared" si="0"/>
        <v/>
      </c>
      <c r="Z29">
        <v>30</v>
      </c>
      <c r="AA29">
        <f t="shared" si="15"/>
        <v>48</v>
      </c>
      <c r="AD29">
        <v>14</v>
      </c>
      <c r="AE29">
        <v>14</v>
      </c>
      <c r="AH29" s="10">
        <v>66</v>
      </c>
      <c r="AI29" t="str">
        <f>CONCATENATE(VLOOKUP(AJ29, 'Voxel Sizes'!$A$2:$B$18,2,FALSE),"x",INT(AF29*15), "x", INT(AG29*15))</f>
        <v>136x0x0</v>
      </c>
      <c r="AJ29">
        <f t="shared" si="1"/>
        <v>8</v>
      </c>
      <c r="AL29" t="str">
        <f>CONCATENATE(VLOOKUP(AJ29,Constants!$A$2:$C$16,IF(AK29&lt;&gt;"", 3, 2), FALSE),IF(AK29&lt;&gt;"",CONCATENATE(",",VLOOKUP(AK29,$B:$AL,37,FALSE)),""))</f>
        <v>2,4,2</v>
      </c>
      <c r="AV29">
        <v>30</v>
      </c>
      <c r="AW29" s="15">
        <f t="shared" si="2"/>
        <v>43</v>
      </c>
      <c r="AX29">
        <v>41</v>
      </c>
      <c r="AY29">
        <v>20</v>
      </c>
      <c r="AZ29">
        <f t="shared" si="3"/>
        <v>6</v>
      </c>
      <c r="BA29">
        <f t="shared" si="4"/>
        <v>0</v>
      </c>
      <c r="BB29">
        <f t="shared" si="5"/>
        <v>0</v>
      </c>
      <c r="BC29" s="3">
        <f t="shared" si="6"/>
        <v>1</v>
      </c>
      <c r="BD29">
        <f t="shared" si="7"/>
        <v>11</v>
      </c>
      <c r="BE29">
        <f>VLOOKUP($F29,Constants!$I:$K, 2, FALSE)</f>
        <v>1.2</v>
      </c>
      <c r="BF29">
        <f>VLOOKUP($F29,Constants!$I:$K, 3, FALSE)*IF(AND(E29="multiple_unit",Z29&lt;110),0.75,1)</f>
        <v>0.6</v>
      </c>
      <c r="BG29">
        <f>INT(POWER(((Constants!$G$2+$AZ29+$BA29+$BB29+$BD29)*$BC29)*$BF29, 1.05))+$AY29</f>
        <v>35</v>
      </c>
      <c r="BH29">
        <f>INT(POWER((((Constants!$G$1+$AZ29+$BA29+$BB29+$BD29)*($BC29))*$BE29),IF($E29="wagon",1,1.2)))+$AX29</f>
        <v>79</v>
      </c>
      <c r="BI29" s="14">
        <f t="shared" si="8"/>
        <v>2187.5</v>
      </c>
      <c r="BJ29" s="14">
        <f t="shared" si="9"/>
        <v>215.67</v>
      </c>
      <c r="BQ29">
        <v>1</v>
      </c>
      <c r="BR29">
        <v>120</v>
      </c>
      <c r="BS29" t="s">
        <v>874</v>
      </c>
      <c r="BT29" t="s">
        <v>283</v>
      </c>
      <c r="BU29" t="str">
        <f>VLOOKUP(H29,Eras!$A$2:$C$10, 2, TRUE)</f>
        <v>vct</v>
      </c>
      <c r="BV29" t="s">
        <v>335</v>
      </c>
      <c r="BW29" t="str">
        <f t="shared" si="10"/>
        <v>vct_Carriage</v>
      </c>
      <c r="BX29" t="str">
        <f t="shared" si="11"/>
        <v>carriage_FOURTH_RAIL</v>
      </c>
      <c r="BY29" t="str">
        <f>VLOOKUP($BX29, Constants!$M:$N, 2, FALSE)</f>
        <v/>
      </c>
      <c r="BZ29" t="str">
        <f t="shared" si="12"/>
        <v/>
      </c>
      <c r="CA29" t="s">
        <v>1457</v>
      </c>
      <c r="CB29" t="str">
        <f t="shared" si="13"/>
        <v>{YELLOW}35% Penalty for long distance travel{}</v>
      </c>
      <c r="CC29" t="str">
        <f t="shared" si="14"/>
        <v>{YELLOW}35% Penalty for long distance travel{}{SILVER}Early Tube carriages were nicknamed "Padded Cell" due to their tall cushion-backed seats and small windows.</v>
      </c>
    </row>
    <row r="30" spans="1:81" x14ac:dyDescent="0.25">
      <c r="A30" t="s">
        <v>110</v>
      </c>
      <c r="B30" t="s">
        <v>203</v>
      </c>
      <c r="C30">
        <v>10</v>
      </c>
      <c r="D30">
        <v>1005</v>
      </c>
      <c r="E30" t="s">
        <v>281</v>
      </c>
      <c r="F30" t="s">
        <v>1106</v>
      </c>
      <c r="G30" t="s">
        <v>275</v>
      </c>
      <c r="H30">
        <v>1892</v>
      </c>
      <c r="J30">
        <v>1935</v>
      </c>
      <c r="U30">
        <v>28</v>
      </c>
      <c r="W30">
        <v>4</v>
      </c>
      <c r="Y30" s="3" t="str">
        <f t="shared" si="0"/>
        <v/>
      </c>
      <c r="Z30">
        <v>90</v>
      </c>
      <c r="AA30">
        <f t="shared" si="15"/>
        <v>144</v>
      </c>
      <c r="AD30">
        <v>16.2</v>
      </c>
      <c r="AE30">
        <v>16.2</v>
      </c>
      <c r="AF30">
        <v>2.8</v>
      </c>
      <c r="AH30" s="10">
        <v>42</v>
      </c>
      <c r="AI30" t="str">
        <f>CONCATENATE(VLOOKUP(AJ30, 'Voxel Sizes'!$A$2:$B$18,2,FALSE),"x",INT(AF30*15), "x", INT(AG30*15))</f>
        <v>152x42x0</v>
      </c>
      <c r="AJ30">
        <f t="shared" si="1"/>
        <v>9</v>
      </c>
      <c r="AL30" t="str">
        <f>CONCATENATE(VLOOKUP(AJ30,Constants!$A$2:$C$16,IF(AK30&lt;&gt;"", 3, 2), FALSE),IF(AK30&lt;&gt;"",CONCATENATE(",",VLOOKUP(AK30,$B:$AL,37,FALSE)),""))</f>
        <v>2,5,2</v>
      </c>
      <c r="AV30">
        <v>30</v>
      </c>
      <c r="AW30" s="15">
        <f t="shared" si="2"/>
        <v>51</v>
      </c>
      <c r="AX30">
        <v>69</v>
      </c>
      <c r="AY30">
        <f>19*3</f>
        <v>57</v>
      </c>
      <c r="AZ30">
        <f t="shared" si="3"/>
        <v>18</v>
      </c>
      <c r="BA30">
        <f t="shared" si="4"/>
        <v>0</v>
      </c>
      <c r="BB30">
        <f t="shared" si="5"/>
        <v>0</v>
      </c>
      <c r="BC30" s="3">
        <f t="shared" si="6"/>
        <v>1</v>
      </c>
      <c r="BD30">
        <f t="shared" si="7"/>
        <v>7.0000000000000009</v>
      </c>
      <c r="BE30">
        <f>VLOOKUP($F30,Constants!$I:$K, 2, FALSE)</f>
        <v>1.2</v>
      </c>
      <c r="BF30">
        <f>VLOOKUP($F30,Constants!$I:$K, 3, FALSE)*IF(AND(E30="multiple_unit",Z30&lt;110),0.75,1)</f>
        <v>0.6</v>
      </c>
      <c r="BG30">
        <f>INT(POWER(((Constants!$G$2+$AZ30+$BA30+$BB30+$BD30)*$BC30)*$BF30, 1.05))+$AY30</f>
        <v>77</v>
      </c>
      <c r="BH30">
        <f>INT(POWER((((Constants!$G$1+$AZ30+$BA30+$BB30+$BD30)*($BC30))*$BE30),IF($E30="wagon",1,1.2)))+$AX30</f>
        <v>117</v>
      </c>
      <c r="BI30" s="14">
        <f t="shared" si="8"/>
        <v>4812.5</v>
      </c>
      <c r="BJ30" s="14">
        <f t="shared" si="9"/>
        <v>319.41000000000003</v>
      </c>
      <c r="BQ30">
        <v>1</v>
      </c>
      <c r="BR30">
        <v>185</v>
      </c>
      <c r="BS30" t="s">
        <v>874</v>
      </c>
      <c r="BT30" t="s">
        <v>283</v>
      </c>
      <c r="BU30" t="str">
        <f>VLOOKUP(H30,Eras!$A$2:$C$10, 2, TRUE)</f>
        <v>vct</v>
      </c>
      <c r="BV30" t="s">
        <v>335</v>
      </c>
      <c r="BW30" t="str">
        <f t="shared" si="10"/>
        <v>vct_Carriage</v>
      </c>
      <c r="BX30" t="str">
        <f t="shared" si="11"/>
        <v>carriage_RAIL</v>
      </c>
      <c r="BY30" t="str">
        <f>VLOOKUP($BX30, Constants!$M:$N, 2, FALSE)</f>
        <v/>
      </c>
      <c r="BZ30" t="str">
        <f t="shared" si="12"/>
        <v/>
      </c>
      <c r="CA30" t="s">
        <v>709</v>
      </c>
      <c r="CB30" t="str">
        <f t="shared" si="13"/>
        <v/>
      </c>
      <c r="CC30" t="str">
        <f t="shared" si="14"/>
        <v>{SILVER}Toward the end of the Victorian era, passenger carriages began to be mounted on bogies rather than fixed axles. Many featured clerestory-style roofs.</v>
      </c>
    </row>
    <row r="31" spans="1:81" x14ac:dyDescent="0.25">
      <c r="A31" t="s">
        <v>395</v>
      </c>
      <c r="B31" t="s">
        <v>396</v>
      </c>
      <c r="C31">
        <v>12</v>
      </c>
      <c r="D31">
        <v>1006</v>
      </c>
      <c r="E31" t="s">
        <v>281</v>
      </c>
      <c r="F31" t="s">
        <v>1106</v>
      </c>
      <c r="G31" t="s">
        <v>275</v>
      </c>
      <c r="H31">
        <v>1904</v>
      </c>
      <c r="J31">
        <v>1955</v>
      </c>
      <c r="U31">
        <v>34</v>
      </c>
      <c r="W31">
        <v>5</v>
      </c>
      <c r="Y31" s="3" t="str">
        <f t="shared" si="0"/>
        <v/>
      </c>
      <c r="Z31">
        <v>100</v>
      </c>
      <c r="AA31">
        <f t="shared" si="15"/>
        <v>160</v>
      </c>
      <c r="AD31">
        <v>17.7</v>
      </c>
      <c r="AE31">
        <v>17.7</v>
      </c>
      <c r="AF31">
        <v>2.83</v>
      </c>
      <c r="AG31">
        <v>3.79</v>
      </c>
      <c r="AH31" s="10">
        <v>48</v>
      </c>
      <c r="AI31" t="str">
        <f>CONCATENATE(VLOOKUP(AJ31, 'Voxel Sizes'!$A$2:$B$18,2,FALSE),"x",INT(AF31*15), "x", INT(AG31*15))</f>
        <v>164x42x56</v>
      </c>
      <c r="AJ31">
        <f t="shared" si="1"/>
        <v>10</v>
      </c>
      <c r="AL31" t="str">
        <f>CONCATENATE(VLOOKUP(AJ31,Constants!$A$2:$C$16,IF(AK31&lt;&gt;"", 3, 2), FALSE),IF(AK31&lt;&gt;"",CONCATENATE(",",VLOOKUP(AK31,$B:$AL,37,FALSE)),""))</f>
        <v>4,2,4</v>
      </c>
      <c r="AV31">
        <v>30</v>
      </c>
      <c r="AW31" s="15">
        <f t="shared" si="2"/>
        <v>59</v>
      </c>
      <c r="AX31">
        <v>72</v>
      </c>
      <c r="AY31">
        <f>20*3</f>
        <v>60</v>
      </c>
      <c r="AZ31">
        <f t="shared" si="3"/>
        <v>20</v>
      </c>
      <c r="BA31">
        <f t="shared" si="4"/>
        <v>0</v>
      </c>
      <c r="BB31">
        <f t="shared" si="5"/>
        <v>0</v>
      </c>
      <c r="BC31" s="3">
        <f t="shared" si="6"/>
        <v>0.9946666666666667</v>
      </c>
      <c r="BD31">
        <f t="shared" si="7"/>
        <v>8</v>
      </c>
      <c r="BE31">
        <f>VLOOKUP($F31,Constants!$I:$K, 2, FALSE)</f>
        <v>1.2</v>
      </c>
      <c r="BF31">
        <f>VLOOKUP($F31,Constants!$I:$K, 3, FALSE)*IF(AND(E31="multiple_unit",Z31&lt;110),0.75,1)</f>
        <v>0.6</v>
      </c>
      <c r="BG31">
        <f>INT(POWER(((Constants!$G$2+$AZ31+$BA31+$BB31+$BD31)*$BC31)*$BF31, 1.05))+$AY31</f>
        <v>82</v>
      </c>
      <c r="BH31">
        <f>INT(POWER((((Constants!$G$1+$AZ31+$BA31+$BB31+$BD31)*($BC31))*$BE31),IF($E31="wagon",1,1.2)))+$AX31</f>
        <v>123</v>
      </c>
      <c r="BI31" s="14">
        <f t="shared" si="8"/>
        <v>5125</v>
      </c>
      <c r="BJ31" s="14">
        <f t="shared" si="9"/>
        <v>335.79</v>
      </c>
      <c r="BQ31">
        <v>1</v>
      </c>
      <c r="BR31">
        <v>185</v>
      </c>
      <c r="BS31" t="s">
        <v>874</v>
      </c>
      <c r="BT31" t="s">
        <v>283</v>
      </c>
      <c r="BU31" t="str">
        <f>VLOOKUP(H31,Eras!$A$2:$C$10, 2, TRUE)</f>
        <v>edw</v>
      </c>
      <c r="BV31" t="s">
        <v>335</v>
      </c>
      <c r="BW31" t="str">
        <f t="shared" si="10"/>
        <v>edw_Carriage</v>
      </c>
      <c r="BX31" t="str">
        <f t="shared" si="11"/>
        <v>carriage_RAIL</v>
      </c>
      <c r="BY31" t="str">
        <f>VLOOKUP($BX31, Constants!$M:$N, 2, FALSE)</f>
        <v/>
      </c>
      <c r="BZ31" t="str">
        <f t="shared" si="12"/>
        <v/>
      </c>
      <c r="CA31" t="s">
        <v>397</v>
      </c>
      <c r="CB31" t="str">
        <f t="shared" si="13"/>
        <v/>
      </c>
      <c r="CC31" t="str">
        <f t="shared" si="14"/>
        <v>{SILVER}In the early 20th century passenger coaches were stretched to greater lengths. This is a typical LNWR design.</v>
      </c>
    </row>
    <row r="32" spans="1:81" x14ac:dyDescent="0.25">
      <c r="A32" t="s">
        <v>111</v>
      </c>
      <c r="B32" t="s">
        <v>447</v>
      </c>
      <c r="C32">
        <v>14</v>
      </c>
      <c r="D32">
        <v>1007</v>
      </c>
      <c r="E32" t="s">
        <v>281</v>
      </c>
      <c r="F32" t="s">
        <v>1107</v>
      </c>
      <c r="G32" t="s">
        <v>275</v>
      </c>
      <c r="H32">
        <v>1928</v>
      </c>
      <c r="J32">
        <v>1970</v>
      </c>
      <c r="U32">
        <v>40</v>
      </c>
      <c r="W32">
        <v>4</v>
      </c>
      <c r="Y32" s="3" t="str">
        <f t="shared" si="0"/>
        <v/>
      </c>
      <c r="Z32">
        <v>105</v>
      </c>
      <c r="AA32">
        <f t="shared" si="15"/>
        <v>168</v>
      </c>
      <c r="AD32">
        <v>20</v>
      </c>
      <c r="AE32">
        <v>20</v>
      </c>
      <c r="AH32" s="10">
        <v>48</v>
      </c>
      <c r="AI32" t="str">
        <f>CONCATENATE(VLOOKUP(AJ32, 'Voxel Sizes'!$A$2:$B$18,2,FALSE),"x",INT(AF32*15), "x", INT(AG32*15))</f>
        <v>198x0x0</v>
      </c>
      <c r="AJ32">
        <f t="shared" si="1"/>
        <v>12</v>
      </c>
      <c r="AL32" t="str">
        <f>CONCATENATE(VLOOKUP(AJ32,Constants!$A$2:$C$16,IF(AK32&lt;&gt;"", 3, 2), FALSE),IF(AK32&lt;&gt;"",CONCATENATE(",",VLOOKUP(AK32,$B:$AL,37,FALSE)),""))</f>
        <v>4,4,4</v>
      </c>
      <c r="AV32">
        <v>30</v>
      </c>
      <c r="AW32" s="15">
        <f t="shared" si="2"/>
        <v>50</v>
      </c>
      <c r="AX32">
        <v>93</v>
      </c>
      <c r="AY32">
        <f>26*3</f>
        <v>78</v>
      </c>
      <c r="AZ32">
        <f t="shared" si="3"/>
        <v>21</v>
      </c>
      <c r="BA32">
        <f t="shared" si="4"/>
        <v>0</v>
      </c>
      <c r="BB32">
        <f t="shared" si="5"/>
        <v>0</v>
      </c>
      <c r="BC32" s="3">
        <f t="shared" si="6"/>
        <v>0.96266666666666667</v>
      </c>
      <c r="BD32">
        <f t="shared" si="7"/>
        <v>8</v>
      </c>
      <c r="BE32">
        <f>VLOOKUP($F32,Constants!$I:$K, 2, FALSE)</f>
        <v>1.5</v>
      </c>
      <c r="BF32">
        <f>VLOOKUP($F32,Constants!$I:$K, 3, FALSE)*IF(AND(E32="multiple_unit",Z32&lt;110),0.75,1)</f>
        <v>0.7</v>
      </c>
      <c r="BG32">
        <f>INT(POWER(((Constants!$G$2+$AZ32+$BA32+$BB32+$BD32)*$BC32)*$BF32, 1.05))+$AY32</f>
        <v>104</v>
      </c>
      <c r="BH32">
        <f>INT(POWER((((Constants!$G$1+$AZ32+$BA32+$BB32+$BD32)*($BC32))*$BE32),IF($E32="wagon",1,1.2)))+$AX32</f>
        <v>156</v>
      </c>
      <c r="BI32" s="14">
        <f t="shared" si="8"/>
        <v>6500</v>
      </c>
      <c r="BJ32" s="14">
        <f t="shared" si="9"/>
        <v>425.88</v>
      </c>
      <c r="BQ32">
        <v>1</v>
      </c>
      <c r="BR32">
        <v>260</v>
      </c>
      <c r="BS32" t="s">
        <v>874</v>
      </c>
      <c r="BT32" t="s">
        <v>283</v>
      </c>
      <c r="BU32" t="str">
        <f>VLOOKUP(H32,Eras!$A$2:$C$10, 2, TRUE)</f>
        <v>big4</v>
      </c>
      <c r="BV32" t="s">
        <v>335</v>
      </c>
      <c r="BW32" t="str">
        <f t="shared" si="10"/>
        <v>big4_Carriage</v>
      </c>
      <c r="BX32" t="str">
        <f t="shared" si="11"/>
        <v>luxury_carriage_RAIL</v>
      </c>
      <c r="BY32" t="str">
        <f>VLOOKUP($BX32, Constants!$M:$N, 2, FALSE)</f>
        <v/>
      </c>
      <c r="BZ32" t="str">
        <f t="shared" si="12"/>
        <v/>
      </c>
      <c r="CA32" t="s">
        <v>1406</v>
      </c>
      <c r="CB32" t="str">
        <f t="shared" si="13"/>
        <v>{YELLOW}40% Bonus for long distance travel{}</v>
      </c>
      <c r="CC32" t="str">
        <f t="shared" si="14"/>
        <v>{YELLOW}40% Bonus for long distance travel{}{SILVER}The luxurious Pullman cars were large and heavy, with many still in use today for restaurant services.</v>
      </c>
    </row>
    <row r="33" spans="1:81" x14ac:dyDescent="0.25">
      <c r="A33" t="s">
        <v>1120</v>
      </c>
      <c r="B33" t="s">
        <v>1121</v>
      </c>
      <c r="C33">
        <v>15</v>
      </c>
      <c r="D33">
        <v>1008</v>
      </c>
      <c r="E33" t="s">
        <v>281</v>
      </c>
      <c r="F33" t="s">
        <v>1107</v>
      </c>
      <c r="G33" t="s">
        <v>275</v>
      </c>
      <c r="H33">
        <v>1931</v>
      </c>
      <c r="J33">
        <v>1965</v>
      </c>
      <c r="U33">
        <v>36</v>
      </c>
      <c r="W33">
        <v>5</v>
      </c>
      <c r="Y33" s="3" t="str">
        <f t="shared" si="0"/>
        <v/>
      </c>
      <c r="Z33">
        <v>130</v>
      </c>
      <c r="AA33">
        <f t="shared" si="15"/>
        <v>208</v>
      </c>
      <c r="AD33">
        <v>17.7</v>
      </c>
      <c r="AE33">
        <v>17.7</v>
      </c>
      <c r="AF33">
        <v>2.83</v>
      </c>
      <c r="AG33">
        <v>3.79</v>
      </c>
      <c r="AH33" s="10">
        <v>45</v>
      </c>
      <c r="AI33" t="str">
        <f>CONCATENATE(VLOOKUP(AJ33, 'Voxel Sizes'!$A$2:$B$18,2,FALSE),"x",INT(AF33*15), "x", INT(AG33*15))</f>
        <v>164x42x56</v>
      </c>
      <c r="AJ33">
        <f t="shared" si="1"/>
        <v>10</v>
      </c>
      <c r="AL33" t="str">
        <f>CONCATENATE(VLOOKUP(AJ33,Constants!$A$2:$C$16,IF(AK33&lt;&gt;"", 3, 2), FALSE),IF(AK33&lt;&gt;"",CONCATENATE(",",VLOOKUP(AK33,$B:$AL,37,FALSE)),""))</f>
        <v>4,2,4</v>
      </c>
      <c r="AU33" t="s">
        <v>1169</v>
      </c>
      <c r="AV33">
        <v>30</v>
      </c>
      <c r="AW33" s="15">
        <f t="shared" si="2"/>
        <v>42</v>
      </c>
      <c r="AX33">
        <v>102</v>
      </c>
      <c r="AY33">
        <f>31*3</f>
        <v>93</v>
      </c>
      <c r="AZ33">
        <f t="shared" si="3"/>
        <v>26</v>
      </c>
      <c r="BA33">
        <f t="shared" si="4"/>
        <v>0</v>
      </c>
      <c r="BB33">
        <f t="shared" si="5"/>
        <v>0</v>
      </c>
      <c r="BC33" s="3">
        <f t="shared" si="6"/>
        <v>0.95866666666666667</v>
      </c>
      <c r="BD33">
        <f t="shared" si="7"/>
        <v>7.5</v>
      </c>
      <c r="BE33">
        <f>VLOOKUP($F33,Constants!$I:$K, 2, FALSE)</f>
        <v>1.5</v>
      </c>
      <c r="BF33">
        <f>VLOOKUP($F33,Constants!$I:$K, 3, FALSE)*IF(AND(E33="multiple_unit",Z33&lt;110),0.75,1)</f>
        <v>0.7</v>
      </c>
      <c r="BG33">
        <f>INT(POWER(((Constants!$G$2+$AZ33+$BA33+$BB33+$BD33)*$BC33)*$BF33, 1.05))+$AY33</f>
        <v>123</v>
      </c>
      <c r="BH33">
        <f>INT(POWER((((Constants!$G$1+$AZ33+$BA33+$BB33+$BD33)*($BC33))*$BE33),IF($E33="wagon",1,1.2)))+$AX33</f>
        <v>171</v>
      </c>
      <c r="BI33" s="14">
        <f t="shared" si="8"/>
        <v>7687.5</v>
      </c>
      <c r="BJ33" s="14">
        <f t="shared" si="9"/>
        <v>466.83</v>
      </c>
      <c r="BQ33">
        <v>1</v>
      </c>
      <c r="BR33">
        <v>222</v>
      </c>
      <c r="BS33" t="s">
        <v>874</v>
      </c>
      <c r="BT33" t="s">
        <v>283</v>
      </c>
      <c r="BU33" t="str">
        <f>VLOOKUP(H33,Eras!$A$2:$C$10, 2, TRUE)</f>
        <v>big4</v>
      </c>
      <c r="BV33" t="s">
        <v>335</v>
      </c>
      <c r="BW33" t="str">
        <f t="shared" si="10"/>
        <v>big4_Carriage</v>
      </c>
      <c r="BX33" t="str">
        <f t="shared" si="11"/>
        <v>luxury_carriage_RAIL</v>
      </c>
      <c r="BY33" t="str">
        <f>VLOOKUP($BX33, Constants!$M:$N, 2, FALSE)</f>
        <v/>
      </c>
      <c r="BZ33" t="str">
        <f t="shared" si="12"/>
        <v/>
      </c>
      <c r="CA33" t="s">
        <v>1122</v>
      </c>
      <c r="CB33" t="str">
        <f t="shared" si="13"/>
        <v>{YELLOW}20% Bonus for long distance travel{}</v>
      </c>
      <c r="CC33" t="str">
        <f t="shared" si="14"/>
        <v>{YELLOW}20% Bonus for long distance travel{}{SILVER}As express services increased in speed, carriages were streamlined with valances between bogies and flexible walls connecting each carriage.</v>
      </c>
    </row>
    <row r="34" spans="1:81" x14ac:dyDescent="0.25">
      <c r="A34" t="s">
        <v>112</v>
      </c>
      <c r="B34" t="s">
        <v>259</v>
      </c>
      <c r="C34">
        <v>16</v>
      </c>
      <c r="D34">
        <v>1009</v>
      </c>
      <c r="E34" t="s">
        <v>281</v>
      </c>
      <c r="F34" t="s">
        <v>1106</v>
      </c>
      <c r="G34" t="s">
        <v>275</v>
      </c>
      <c r="H34">
        <v>1951</v>
      </c>
      <c r="I34">
        <v>1963</v>
      </c>
      <c r="J34">
        <v>1974</v>
      </c>
      <c r="U34">
        <v>32.5</v>
      </c>
      <c r="W34">
        <v>5</v>
      </c>
      <c r="Y34" s="3" t="str">
        <f t="shared" ref="Y34:Y71" si="16">IF(AND(U34&gt;0,X34&gt;0),(X34/((U34+V34)*10)),"")</f>
        <v/>
      </c>
      <c r="Z34">
        <v>100</v>
      </c>
      <c r="AA34">
        <f t="shared" si="15"/>
        <v>160</v>
      </c>
      <c r="AD34">
        <v>19.3</v>
      </c>
      <c r="AE34">
        <v>20</v>
      </c>
      <c r="AH34" s="10">
        <v>54</v>
      </c>
      <c r="AI34" t="str">
        <f>CONCATENATE(VLOOKUP(AJ34, 'Voxel Sizes'!$A$2:$B$18,2,FALSE),"x",INT(AF34*15), "x", INT(AG34*15))</f>
        <v>198x0x0</v>
      </c>
      <c r="AJ34">
        <f t="shared" si="1"/>
        <v>12</v>
      </c>
      <c r="AL34" t="str">
        <f>CONCATENATE(VLOOKUP(AJ34,Constants!$A$2:$C$16,IF(AK34&lt;&gt;"", 3, 2), FALSE),IF(AK34&lt;&gt;"",CONCATENATE(",",VLOOKUP(AK34,$B:$AL,37,FALSE)),""))</f>
        <v>4,4,4</v>
      </c>
      <c r="AV34">
        <v>30</v>
      </c>
      <c r="AW34" s="15">
        <f t="shared" si="2"/>
        <v>31</v>
      </c>
      <c r="AX34">
        <v>76</v>
      </c>
      <c r="AY34">
        <f>23*3</f>
        <v>69</v>
      </c>
      <c r="AZ34">
        <f t="shared" si="3"/>
        <v>20</v>
      </c>
      <c r="BA34">
        <f t="shared" si="4"/>
        <v>0</v>
      </c>
      <c r="BB34">
        <f t="shared" si="5"/>
        <v>0</v>
      </c>
      <c r="BC34" s="3">
        <f t="shared" si="6"/>
        <v>0.93199999999999994</v>
      </c>
      <c r="BD34">
        <f t="shared" si="7"/>
        <v>9</v>
      </c>
      <c r="BE34">
        <f>VLOOKUP($F34,Constants!$I:$K, 2, FALSE)</f>
        <v>1.2</v>
      </c>
      <c r="BF34">
        <f>VLOOKUP($F34,Constants!$I:$K, 3, FALSE)*IF(AND(E34="multiple_unit",Z34&lt;110),0.75,1)</f>
        <v>0.6</v>
      </c>
      <c r="BG34">
        <f>INT(POWER(((Constants!$G$2+$AZ34+$BA34+$BB34+$BD34)*$BC34)*$BF34, 1.05))+$AY34</f>
        <v>91</v>
      </c>
      <c r="BH34">
        <f>INT(POWER((((Constants!$G$1+$AZ34+$BA34+$BB34+$BD34)*($BC34))*$BE34),IF($E34="wagon",1,1.2)))+$AX34</f>
        <v>125</v>
      </c>
      <c r="BI34" s="14">
        <f t="shared" si="8"/>
        <v>5687.5</v>
      </c>
      <c r="BJ34" s="14">
        <f t="shared" si="9"/>
        <v>341.25</v>
      </c>
      <c r="BQ34">
        <v>1</v>
      </c>
      <c r="BR34">
        <v>185</v>
      </c>
      <c r="BS34" t="s">
        <v>874</v>
      </c>
      <c r="BT34" t="s">
        <v>283</v>
      </c>
      <c r="BU34" t="str">
        <f>VLOOKUP(H34,Eras!$A$2:$C$10, 2, TRUE)</f>
        <v>ebr</v>
      </c>
      <c r="BV34" t="s">
        <v>335</v>
      </c>
      <c r="BW34" t="str">
        <f t="shared" si="10"/>
        <v>ebr_Carriage</v>
      </c>
      <c r="BX34" t="str">
        <f t="shared" si="11"/>
        <v>carriage_RAIL</v>
      </c>
      <c r="BY34" t="str">
        <f>VLOOKUP($BX34, Constants!$M:$N, 2, FALSE)</f>
        <v/>
      </c>
      <c r="BZ34" t="str">
        <f t="shared" ref="BZ34:BZ73" si="17">IF(K34&gt;1,_xlfn.CONCAT("{BLACK}Cars: {GOLD}", K34),"")</f>
        <v/>
      </c>
      <c r="CA34" t="s">
        <v>625</v>
      </c>
      <c r="CB34" t="str">
        <f t="shared" ref="CB34:CB73" si="18">IF(BT34="BRAKE","{YELLOW}Speed bonus for slow wagons{}",IF(BR34&gt;190,CONCATENATE("{YELLOW}",INT((BR34-185)/1.85),"% Bonus for long distance travel{}"),IF(AND(BR34&lt;180,BR34&lt;&gt;0),CONCATENATE("{YELLOW}",INT((185-BR34)/1.85),"% Penalty for long distance travel{}"),"")))</f>
        <v/>
      </c>
      <c r="CC34" t="str">
        <f t="shared" si="14"/>
        <v>{SILVER}The Mk1 carriage combined best practice from the different Big Four carriage designs into a single standard design that could be used across the BR network.</v>
      </c>
    </row>
    <row r="35" spans="1:81" x14ac:dyDescent="0.25">
      <c r="A35" t="s">
        <v>113</v>
      </c>
      <c r="B35" t="s">
        <v>258</v>
      </c>
      <c r="C35">
        <v>17</v>
      </c>
      <c r="D35">
        <v>1010</v>
      </c>
      <c r="E35" t="s">
        <v>281</v>
      </c>
      <c r="F35" t="s">
        <v>1106</v>
      </c>
      <c r="G35" t="s">
        <v>275</v>
      </c>
      <c r="H35">
        <v>1956</v>
      </c>
      <c r="J35">
        <v>2010</v>
      </c>
      <c r="U35">
        <v>40</v>
      </c>
      <c r="W35">
        <v>5</v>
      </c>
      <c r="Y35" s="3" t="str">
        <f t="shared" si="16"/>
        <v/>
      </c>
      <c r="Z35">
        <v>110</v>
      </c>
      <c r="AA35">
        <f t="shared" si="15"/>
        <v>176</v>
      </c>
      <c r="AD35">
        <v>19.66</v>
      </c>
      <c r="AE35">
        <v>19.66</v>
      </c>
      <c r="AF35">
        <v>2.83</v>
      </c>
      <c r="AG35">
        <v>3.79</v>
      </c>
      <c r="AH35" s="10">
        <v>57</v>
      </c>
      <c r="AI35" t="str">
        <f>CONCATENATE(VLOOKUP(AJ35, 'Voxel Sizes'!$A$2:$B$18,2,FALSE),"x",INT(AF35*15), "x", INT(AG35*15))</f>
        <v>198x42x56</v>
      </c>
      <c r="AJ35">
        <f t="shared" si="1"/>
        <v>12</v>
      </c>
      <c r="AL35" t="str">
        <f>CONCATENATE(VLOOKUP(AJ35,Constants!$A$2:$C$16,IF(AK35&lt;&gt;"", 3, 2), FALSE),IF(AK35&lt;&gt;"",CONCATENATE(",",VLOOKUP(AK35,$B:$AL,37,FALSE)),""))</f>
        <v>4,4,4</v>
      </c>
      <c r="AV35">
        <v>30</v>
      </c>
      <c r="AW35" s="15">
        <f t="shared" si="2"/>
        <v>62</v>
      </c>
      <c r="AX35">
        <v>79</v>
      </c>
      <c r="AY35">
        <f>25*3</f>
        <v>75</v>
      </c>
      <c r="AZ35">
        <f t="shared" si="3"/>
        <v>22</v>
      </c>
      <c r="BA35">
        <f t="shared" si="4"/>
        <v>0</v>
      </c>
      <c r="BB35">
        <f t="shared" si="5"/>
        <v>0</v>
      </c>
      <c r="BC35" s="3">
        <f t="shared" si="6"/>
        <v>0.92533333333333334</v>
      </c>
      <c r="BD35">
        <f t="shared" si="7"/>
        <v>9.5</v>
      </c>
      <c r="BE35">
        <f>VLOOKUP($F35,Constants!$I:$K, 2, FALSE)</f>
        <v>1.2</v>
      </c>
      <c r="BF35">
        <f>VLOOKUP($F35,Constants!$I:$K, 3, FALSE)*IF(AND(E35="multiple_unit",Z35&lt;110),0.75,1)</f>
        <v>0.6</v>
      </c>
      <c r="BG35">
        <f>INT(POWER(((Constants!$G$2+$AZ35+$BA35+$BB35+$BD35)*$BC35)*$BF35, 1.05))+$AY35</f>
        <v>98</v>
      </c>
      <c r="BH35">
        <f>INT(POWER((((Constants!$G$1+$AZ35+$BA35+$BB35+$BD35)*($BC35))*$BE35),IF($E35="wagon",1,1.2)))+$AX35</f>
        <v>130</v>
      </c>
      <c r="BI35" s="14">
        <f t="shared" si="8"/>
        <v>6125</v>
      </c>
      <c r="BJ35" s="14">
        <f t="shared" si="9"/>
        <v>354.9</v>
      </c>
      <c r="BQ35">
        <v>1</v>
      </c>
      <c r="BR35">
        <v>185</v>
      </c>
      <c r="BS35" t="s">
        <v>874</v>
      </c>
      <c r="BT35" t="s">
        <v>283</v>
      </c>
      <c r="BU35" t="str">
        <f>VLOOKUP(H35,Eras!$A$2:$C$10, 2, TRUE)</f>
        <v>dsl</v>
      </c>
      <c r="BV35" t="s">
        <v>335</v>
      </c>
      <c r="BW35" t="str">
        <f t="shared" si="10"/>
        <v>dsl_Carriage</v>
      </c>
      <c r="BX35" t="str">
        <f t="shared" si="11"/>
        <v>carriage_RAIL</v>
      </c>
      <c r="BY35" t="str">
        <f>VLOOKUP($BX35, Constants!$M:$N, 2, FALSE)</f>
        <v/>
      </c>
      <c r="BZ35" t="str">
        <f t="shared" si="17"/>
        <v/>
      </c>
      <c r="CA35" t="s">
        <v>361</v>
      </c>
      <c r="CB35" t="str">
        <f t="shared" si="18"/>
        <v/>
      </c>
      <c r="CC35" t="str">
        <f t="shared" si="14"/>
        <v>{SILVER}The Mk2 carriage is the second BR carriage design. It was built to be stronger than the Mk1, giving better corrosion resistance and being safer for passengers in an accident.</v>
      </c>
    </row>
    <row r="36" spans="1:81" x14ac:dyDescent="0.25">
      <c r="A36" t="s">
        <v>114</v>
      </c>
      <c r="B36" t="s">
        <v>260</v>
      </c>
      <c r="C36">
        <v>18</v>
      </c>
      <c r="D36">
        <v>1011</v>
      </c>
      <c r="E36" t="s">
        <v>281</v>
      </c>
      <c r="F36" t="s">
        <v>1106</v>
      </c>
      <c r="G36" t="s">
        <v>275</v>
      </c>
      <c r="H36">
        <v>1975</v>
      </c>
      <c r="U36">
        <v>34</v>
      </c>
      <c r="W36">
        <v>5</v>
      </c>
      <c r="Y36" s="3" t="str">
        <f t="shared" si="16"/>
        <v/>
      </c>
      <c r="Z36">
        <v>125</v>
      </c>
      <c r="AA36">
        <f t="shared" si="15"/>
        <v>200</v>
      </c>
      <c r="AD36">
        <v>23</v>
      </c>
      <c r="AE36">
        <v>23</v>
      </c>
      <c r="AF36">
        <v>2.82</v>
      </c>
      <c r="AG36">
        <v>3.79</v>
      </c>
      <c r="AH36" s="10">
        <v>72</v>
      </c>
      <c r="AI36" t="str">
        <f>CONCATENATE(VLOOKUP(AJ36, 'Voxel Sizes'!$A$2:$B$18,2,FALSE),"x",INT(AF36*15), "x", INT(AG36*15))</f>
        <v>214x42x56</v>
      </c>
      <c r="AJ36">
        <f t="shared" si="1"/>
        <v>13</v>
      </c>
      <c r="AL36" t="str">
        <f>CONCATENATE(VLOOKUP(AJ36,Constants!$A$2:$C$16,IF(AK36&lt;&gt;"", 3, 2), FALSE),IF(AK36&lt;&gt;"",CONCATENATE(",",VLOOKUP(AK36,$B:$AL,37,FALSE)),""))</f>
        <v>4,5,4</v>
      </c>
      <c r="AV36">
        <v>30</v>
      </c>
      <c r="AW36" s="15" t="str">
        <f t="shared" si="2"/>
        <v/>
      </c>
      <c r="AX36">
        <v>86</v>
      </c>
      <c r="AY36">
        <f>29*3</f>
        <v>87</v>
      </c>
      <c r="AZ36">
        <f t="shared" si="3"/>
        <v>25</v>
      </c>
      <c r="BA36">
        <f t="shared" si="4"/>
        <v>0</v>
      </c>
      <c r="BB36">
        <f t="shared" si="5"/>
        <v>0</v>
      </c>
      <c r="BC36" s="3">
        <f t="shared" si="6"/>
        <v>0.9</v>
      </c>
      <c r="BD36">
        <f t="shared" si="7"/>
        <v>12</v>
      </c>
      <c r="BE36">
        <f>VLOOKUP($F36,Constants!$I:$K, 2, FALSE)</f>
        <v>1.2</v>
      </c>
      <c r="BF36">
        <f>VLOOKUP($F36,Constants!$I:$K, 3, FALSE)*IF(AND(E36="multiple_unit",Z36&lt;110),0.75,1)</f>
        <v>0.6</v>
      </c>
      <c r="BG36">
        <f>INT(POWER(((Constants!$G$2+$AZ36+$BA36+$BB36+$BD36)*$BC36)*$BF36, 1.05))+$AY36</f>
        <v>113</v>
      </c>
      <c r="BH36">
        <f>INT(POWER((((Constants!$G$1+$AZ36+$BA36+$BB36+$BD36)*($BC36))*$BE36),IF($E36="wagon",1,1.2)))+$AX36</f>
        <v>142</v>
      </c>
      <c r="BI36" s="14">
        <f t="shared" si="8"/>
        <v>7062.5</v>
      </c>
      <c r="BJ36" s="14">
        <f t="shared" si="9"/>
        <v>387.66</v>
      </c>
      <c r="BQ36">
        <v>2</v>
      </c>
      <c r="BR36">
        <v>205</v>
      </c>
      <c r="BS36" t="s">
        <v>874</v>
      </c>
      <c r="BT36" t="s">
        <v>283</v>
      </c>
      <c r="BU36" t="str">
        <f>VLOOKUP(H36,Eras!$A$2:$C$10, 2, TRUE)</f>
        <v>lbr</v>
      </c>
      <c r="BV36" t="s">
        <v>335</v>
      </c>
      <c r="BW36" t="str">
        <f t="shared" si="10"/>
        <v>lbr_Carriage</v>
      </c>
      <c r="BX36" t="str">
        <f t="shared" si="11"/>
        <v>carriage_RAIL</v>
      </c>
      <c r="BY36" t="str">
        <f>VLOOKUP($BX36, Constants!$M:$N, 2, FALSE)</f>
        <v/>
      </c>
      <c r="BZ36" t="str">
        <f t="shared" si="17"/>
        <v/>
      </c>
      <c r="CA36" t="s">
        <v>362</v>
      </c>
      <c r="CB36" t="str">
        <f t="shared" si="18"/>
        <v>{YELLOW}10% Bonus for long distance travel{}</v>
      </c>
      <c r="CC36" t="str">
        <f t="shared" si="14"/>
        <v xml:space="preserve">{YELLOW}10% Bonus for long distance travel{}{SILVER}The Mk3 carriage is designed for higher speed operation, capable of running at up to 125mph. The first Mk3 carriages were built for the prototype HST. </v>
      </c>
    </row>
    <row r="37" spans="1:81" x14ac:dyDescent="0.25">
      <c r="A37" t="s">
        <v>115</v>
      </c>
      <c r="B37" t="s">
        <v>261</v>
      </c>
      <c r="C37">
        <v>19</v>
      </c>
      <c r="D37">
        <v>1012</v>
      </c>
      <c r="E37" t="s">
        <v>281</v>
      </c>
      <c r="F37" t="s">
        <v>1106</v>
      </c>
      <c r="G37" t="s">
        <v>275</v>
      </c>
      <c r="H37">
        <v>1988</v>
      </c>
      <c r="U37">
        <v>40</v>
      </c>
      <c r="W37">
        <v>5</v>
      </c>
      <c r="Y37" s="3" t="str">
        <f t="shared" si="16"/>
        <v/>
      </c>
      <c r="Z37">
        <v>140</v>
      </c>
      <c r="AA37">
        <f t="shared" si="15"/>
        <v>224</v>
      </c>
      <c r="AD37">
        <v>23</v>
      </c>
      <c r="AE37">
        <v>23</v>
      </c>
      <c r="AF37">
        <v>2.82</v>
      </c>
      <c r="AG37">
        <v>3.79</v>
      </c>
      <c r="AH37" s="10">
        <v>72</v>
      </c>
      <c r="AI37" t="str">
        <f>CONCATENATE(VLOOKUP(AJ37, 'Voxel Sizes'!$A$2:$B$18,2,FALSE),"x",INT(AF37*15), "x", INT(AG37*15))</f>
        <v>214x42x56</v>
      </c>
      <c r="AJ37">
        <f t="shared" si="1"/>
        <v>13</v>
      </c>
      <c r="AL37" t="str">
        <f>CONCATENATE(VLOOKUP(AJ37,Constants!$A$2:$C$16,IF(AK37&lt;&gt;"", 3, 2), FALSE),IF(AK37&lt;&gt;"",CONCATENATE(",",VLOOKUP(AK37,$B:$AL,37,FALSE)),""))</f>
        <v>4,5,4</v>
      </c>
      <c r="AV37">
        <v>30</v>
      </c>
      <c r="AW37" s="15" t="str">
        <f t="shared" si="2"/>
        <v/>
      </c>
      <c r="AX37">
        <v>90</v>
      </c>
      <c r="AY37">
        <f>31*3</f>
        <v>93</v>
      </c>
      <c r="AZ37">
        <f t="shared" si="3"/>
        <v>28</v>
      </c>
      <c r="BA37">
        <f t="shared" si="4"/>
        <v>0</v>
      </c>
      <c r="BB37">
        <f t="shared" si="5"/>
        <v>0</v>
      </c>
      <c r="BC37" s="3">
        <f t="shared" si="6"/>
        <v>0.88266666666666671</v>
      </c>
      <c r="BD37">
        <f t="shared" si="7"/>
        <v>12</v>
      </c>
      <c r="BE37">
        <f>VLOOKUP($F37,Constants!$I:$K, 2, FALSE)</f>
        <v>1.2</v>
      </c>
      <c r="BF37">
        <f>VLOOKUP($F37,Constants!$I:$K, 3, FALSE)*IF(AND(E37="multiple_unit",Z37&lt;110),0.75,1)</f>
        <v>0.6</v>
      </c>
      <c r="BG37">
        <f>INT(POWER(((Constants!$G$2+$AZ37+$BA37+$BB37+$BD37)*$BC37)*$BF37, 1.05))+$AY37</f>
        <v>120</v>
      </c>
      <c r="BH37">
        <f>INT(POWER((((Constants!$G$1+$AZ37+$BA37+$BB37+$BD37)*($BC37))*$BE37),IF($E37="wagon",1,1.2)))+$AX37</f>
        <v>148</v>
      </c>
      <c r="BI37" s="14">
        <f t="shared" si="8"/>
        <v>7500</v>
      </c>
      <c r="BJ37" s="14">
        <f t="shared" si="9"/>
        <v>404.04</v>
      </c>
      <c r="BQ37">
        <v>7</v>
      </c>
      <c r="BR37">
        <v>222</v>
      </c>
      <c r="BS37" t="s">
        <v>874</v>
      </c>
      <c r="BT37" t="s">
        <v>283</v>
      </c>
      <c r="BU37" t="str">
        <f>VLOOKUP(H37,Eras!$A$2:$C$10, 2, TRUE)</f>
        <v>lbr</v>
      </c>
      <c r="BV37" t="s">
        <v>335</v>
      </c>
      <c r="BW37" t="str">
        <f t="shared" si="10"/>
        <v>lbr_Carriage</v>
      </c>
      <c r="BX37" t="str">
        <f t="shared" si="11"/>
        <v>carriage_RAIL</v>
      </c>
      <c r="BY37" t="str">
        <f>VLOOKUP($BX37, Constants!$M:$N, 2, FALSE)</f>
        <v/>
      </c>
      <c r="BZ37" t="str">
        <f t="shared" si="17"/>
        <v/>
      </c>
      <c r="CA37" t="s">
        <v>572</v>
      </c>
      <c r="CB37" t="str">
        <f t="shared" si="18"/>
        <v>{YELLOW}20% Bonus for long distance travel{}</v>
      </c>
      <c r="CC37" t="str">
        <f t="shared" si="14"/>
        <v>{YELLOW}20% Bonus for long distance travel{}{SILVER}The Mk4 carriage is a further improvement on the Mk3. It's designed for use with the Class 91 for Intercity 225 services.</v>
      </c>
    </row>
    <row r="38" spans="1:81" x14ac:dyDescent="0.25">
      <c r="A38" t="s">
        <v>1378</v>
      </c>
      <c r="B38" t="s">
        <v>1379</v>
      </c>
      <c r="C38">
        <v>134</v>
      </c>
      <c r="D38">
        <v>1013</v>
      </c>
      <c r="E38" t="s">
        <v>281</v>
      </c>
      <c r="F38" t="s">
        <v>1106</v>
      </c>
      <c r="G38" t="s">
        <v>1381</v>
      </c>
      <c r="H38">
        <v>1700</v>
      </c>
      <c r="J38">
        <v>1870</v>
      </c>
      <c r="U38">
        <v>8</v>
      </c>
      <c r="W38">
        <v>3</v>
      </c>
      <c r="Y38" s="3" t="str">
        <f>IF(AND(U38&gt;0,X38&gt;0),(X38/((U38+V38)*10)),"")</f>
        <v/>
      </c>
      <c r="Z38">
        <v>45</v>
      </c>
      <c r="AA38">
        <f>ROUND(Z38*1.6, 0)</f>
        <v>72</v>
      </c>
      <c r="AD38">
        <v>8</v>
      </c>
      <c r="AE38">
        <v>8</v>
      </c>
      <c r="AH38" s="10">
        <v>24</v>
      </c>
      <c r="AI38" t="str">
        <f>CONCATENATE(VLOOKUP(AJ38, 'Voxel Sizes'!$A$2:$B$18,2,FALSE),"x",INT(AF38*15), "x", INT(AG38*15))</f>
        <v>82x0x0</v>
      </c>
      <c r="AJ38">
        <f>ROUND(15*((AE38*10)/256),0)</f>
        <v>5</v>
      </c>
      <c r="AL38" t="str">
        <f>CONCATENATE(VLOOKUP(AJ38,Constants!$A$2:$C$16,IF(AK38&lt;&gt;"", 3, 2), FALSE),IF(AK38&lt;&gt;"",CONCATENATE(",",VLOOKUP(AK38,$B:$AL,37,FALSE)),""))</f>
        <v>2,1,2</v>
      </c>
      <c r="AV38">
        <v>30</v>
      </c>
      <c r="AW38" s="15">
        <f>IF(J38&lt;&gt;"",MAX(16,(J38-H38)+8),"")</f>
        <v>178</v>
      </c>
      <c r="AX38">
        <v>5</v>
      </c>
      <c r="AY38">
        <v>4</v>
      </c>
      <c r="AZ38">
        <f>MIN(Z38/150, 1)*30</f>
        <v>9</v>
      </c>
      <c r="BA38">
        <f>MIN(L38/4000, 1)*20</f>
        <v>0</v>
      </c>
      <c r="BB38">
        <f>MIN(X38/400,1)*20</f>
        <v>0</v>
      </c>
      <c r="BC38" s="3">
        <f>1-(MAX(H38-1900, 0)/750)</f>
        <v>1</v>
      </c>
      <c r="BD38">
        <f>((MAX($K38,1)*MIN($AH38/300,1)))*IF(E38="Wagon",50,10)</f>
        <v>4</v>
      </c>
      <c r="BE38">
        <f>VLOOKUP($F38,Constants!$I:$K, 2, FALSE)</f>
        <v>1.2</v>
      </c>
      <c r="BF38">
        <f>VLOOKUP($F38,Constants!$I:$K, 3, FALSE)*IF(AND(E38="multiple_unit",Z38&lt;110),0.75,1)</f>
        <v>0.6</v>
      </c>
      <c r="BG38">
        <f>INT(POWER(((Constants!$G$2+$AZ38+$BA38+$BB38+$BD38)*$BC38)*$BF38, 1.05))+$AY38</f>
        <v>16</v>
      </c>
      <c r="BH38">
        <f>INT(POWER((((Constants!$G$1+$AZ38+$BA38+$BB38+$BD38)*($BC38))*$BE38),IF($E38="wagon",1,1.2)))+$AX38</f>
        <v>38</v>
      </c>
      <c r="BI38" s="14">
        <f>BG38*IF($E38="wagon",62.5,781.25)</f>
        <v>1000</v>
      </c>
      <c r="BJ38" s="14">
        <f>BH38*IF($E38="wagon",2.73,81.25)</f>
        <v>103.74</v>
      </c>
      <c r="BQ38">
        <v>10</v>
      </c>
      <c r="BR38">
        <v>185</v>
      </c>
      <c r="BS38" t="s">
        <v>1045</v>
      </c>
      <c r="BT38" t="s">
        <v>652</v>
      </c>
      <c r="BU38" t="str">
        <f>VLOOKUP(H38,Eras!$A$2:$C$10, 2, TRUE)</f>
        <v>early</v>
      </c>
      <c r="BV38" t="s">
        <v>335</v>
      </c>
      <c r="BW38" t="str">
        <f>CONCATENATE(BU38,"_",BV38)</f>
        <v>early_Carriage</v>
      </c>
      <c r="BX38" t="str">
        <f>_xlfn.CONCAT(F38, "_",G38)</f>
        <v>carriage_PLATEWAY</v>
      </c>
      <c r="BY38" t="str">
        <f>VLOOKUP($BX38, Constants!$M:$N, 2, FALSE)</f>
        <v/>
      </c>
      <c r="BZ38" t="str">
        <f>IF(K38&gt;1,_xlfn.CONCAT("{BLACK}Cars: {GOLD}", K38),"")</f>
        <v/>
      </c>
      <c r="CA38" t="s">
        <v>1380</v>
      </c>
      <c r="CB38" t="str">
        <f>IF(BT38="BRAKE","{YELLOW}Speed bonus for slow wagons{}",IF(BR38&gt;190,CONCATENATE("{YELLOW}",INT((BR38-185)/1.85),"% Bonus for long distance travel{}"),IF(AND(BR38&lt;180,BR38&lt;&gt;0),CONCATENATE("{YELLOW}",INT((185-BR38)/1.85),"% Penalty for long distance travel{}"),"")))</f>
        <v/>
      </c>
      <c r="CC38" t="str">
        <f>_xlfn.CONCAT(BY38,IF(BY38 &lt;&gt; "", " ", ""),BZ38,IF(OR(BZ38&lt;&gt;"", BY38&lt;&gt;""), "{}",""), CB38,"{SILVER}", CA38)</f>
        <v>{SILVER}Although dedicated brake carriages were not common until the 1840s, this one is included in the set to allow early parcel and mail transport.</v>
      </c>
    </row>
    <row r="39" spans="1:81" ht="14.25" customHeight="1" x14ac:dyDescent="0.25">
      <c r="A39" t="s">
        <v>1329</v>
      </c>
      <c r="B39" t="s">
        <v>1331</v>
      </c>
      <c r="C39">
        <v>136</v>
      </c>
      <c r="D39">
        <v>1014</v>
      </c>
      <c r="E39" t="s">
        <v>281</v>
      </c>
      <c r="F39" t="s">
        <v>1106</v>
      </c>
      <c r="G39" t="s">
        <v>275</v>
      </c>
      <c r="H39">
        <v>1855</v>
      </c>
      <c r="J39">
        <v>1900</v>
      </c>
      <c r="U39">
        <v>18</v>
      </c>
      <c r="W39">
        <v>4</v>
      </c>
      <c r="Y39" s="3" t="str">
        <f>IF(AND(U39&gt;0,X39&gt;0),(X39/((U39+V39)*10)),"")</f>
        <v/>
      </c>
      <c r="Z39">
        <v>65</v>
      </c>
      <c r="AA39">
        <f>ROUND(Z39*1.6, 0)</f>
        <v>104</v>
      </c>
      <c r="AD39">
        <v>10</v>
      </c>
      <c r="AE39">
        <v>10</v>
      </c>
      <c r="AH39" s="10">
        <v>24</v>
      </c>
      <c r="AI39" t="str">
        <f>CONCATENATE(VLOOKUP(AJ39, 'Voxel Sizes'!$A$2:$B$18,2,FALSE),"x",INT(AF39*15), "x", INT(AG39*15))</f>
        <v>102x0x0</v>
      </c>
      <c r="AJ39">
        <f>ROUND(15*((AE39*10)/256),0)</f>
        <v>6</v>
      </c>
      <c r="AL39" t="str">
        <f>CONCATENATE(VLOOKUP(AJ39,Constants!$A$2:$C$16,IF(AK39&lt;&gt;"", 3, 2), FALSE),IF(AK39&lt;&gt;"",CONCATENATE(",",VLOOKUP(AK39,$B:$AL,37,FALSE)),""))</f>
        <v>2,2,2</v>
      </c>
      <c r="AV39">
        <v>30</v>
      </c>
      <c r="AW39" s="15">
        <f>IF(J39&lt;&gt;"",MAX(16,(J39-H39)+8),"")</f>
        <v>53</v>
      </c>
      <c r="AX39">
        <v>20</v>
      </c>
      <c r="AY39">
        <v>10</v>
      </c>
      <c r="AZ39">
        <f>MIN(Z39/150, 1)*30</f>
        <v>13</v>
      </c>
      <c r="BA39">
        <f>MIN(L39/4000, 1)*20</f>
        <v>0</v>
      </c>
      <c r="BB39">
        <f>MIN(X39/400,1)*20</f>
        <v>0</v>
      </c>
      <c r="BC39" s="3">
        <f>1-(MAX(H39-1900, 0)/750)</f>
        <v>1</v>
      </c>
      <c r="BD39">
        <f>((MAX($K39,1)*MIN($AH39/300,1)))*IF(E39="Wagon",50,10)</f>
        <v>4</v>
      </c>
      <c r="BE39">
        <f>VLOOKUP($F39,Constants!$I:$K, 2, FALSE)</f>
        <v>1.2</v>
      </c>
      <c r="BF39">
        <f>VLOOKUP($F39,Constants!$I:$K, 3, FALSE)*IF(AND(E39="multiple_unit",Z39&lt;110),0.75,1)</f>
        <v>0.6</v>
      </c>
      <c r="BG39">
        <f>INT(POWER(((Constants!$G$2+$AZ39+$BA39+$BB39+$BD39)*$BC39)*$BF39, 1.05))+$AY39</f>
        <v>25</v>
      </c>
      <c r="BH39">
        <f>INT(POWER((((Constants!$G$1+$AZ39+$BA39+$BB39+$BD39)*($BC39))*$BE39),IF($E39="wagon",1,1.2)))+$AX39</f>
        <v>58</v>
      </c>
      <c r="BI39" s="14">
        <f>BG39*IF($E39="wagon",62.5,781.25)</f>
        <v>1562.5</v>
      </c>
      <c r="BJ39" s="14">
        <f>BH39*IF($E39="wagon",2.73,81.25)</f>
        <v>158.34</v>
      </c>
      <c r="BQ39">
        <v>10</v>
      </c>
      <c r="BR39">
        <v>185</v>
      </c>
      <c r="BS39" t="s">
        <v>1045</v>
      </c>
      <c r="BT39" t="s">
        <v>652</v>
      </c>
      <c r="BU39" t="str">
        <f>VLOOKUP(H39,Eras!$A$2:$C$10, 2, TRUE)</f>
        <v>vct</v>
      </c>
      <c r="BV39" t="s">
        <v>335</v>
      </c>
      <c r="BW39" t="str">
        <f>CONCATENATE(BU39,"_",BV39)</f>
        <v>vct_Carriage</v>
      </c>
      <c r="BX39" t="str">
        <f>_xlfn.CONCAT(F39, "_",G39)</f>
        <v>carriage_RAIL</v>
      </c>
      <c r="BY39" t="str">
        <f>VLOOKUP($BX39, Constants!$M:$N, 2, FALSE)</f>
        <v/>
      </c>
      <c r="BZ39" t="str">
        <f>IF(K39&gt;1,_xlfn.CONCAT("{BLACK}Cars: {GOLD}", K39),"")</f>
        <v/>
      </c>
      <c r="CA39" t="s">
        <v>1336</v>
      </c>
      <c r="CB39" t="str">
        <f>IF(BT39="BRAKE","{YELLOW}Speed bonus for slow wagons{}",IF(BR39&gt;190,CONCATENATE("{YELLOW}",INT((BR39-185)/1.85),"% Bonus for long distance travel{}"),IF(AND(BR39&lt;180,BR39&lt;&gt;0),CONCATENATE("{YELLOW}",INT((185-BR39)/1.85),"% Penalty for long distance travel{}"),"")))</f>
        <v/>
      </c>
      <c r="CC39" t="str">
        <f>_xlfn.CONCAT(BY39,IF(BY39 &lt;&gt; "", " ", ""),BZ39,IF(OR(BZ39&lt;&gt;"", BY39&lt;&gt;""), "{}",""), CB39,"{SILVER}", CA39)</f>
        <v>{SILVER}Early four-wheel carriages did not have locomotive-controlled brakes so, like freight trains, were reliant on the brakes in the guard's van.</v>
      </c>
    </row>
    <row r="40" spans="1:81" x14ac:dyDescent="0.25">
      <c r="A40" t="s">
        <v>1330</v>
      </c>
      <c r="B40" t="s">
        <v>1332</v>
      </c>
      <c r="C40">
        <v>138</v>
      </c>
      <c r="D40">
        <v>1015</v>
      </c>
      <c r="E40" t="s">
        <v>281</v>
      </c>
      <c r="F40" t="s">
        <v>1106</v>
      </c>
      <c r="G40" t="s">
        <v>275</v>
      </c>
      <c r="H40">
        <v>1875</v>
      </c>
      <c r="J40">
        <v>1915</v>
      </c>
      <c r="U40">
        <v>21</v>
      </c>
      <c r="W40">
        <v>4</v>
      </c>
      <c r="Y40" s="3" t="str">
        <f>IF(AND(U40&gt;0,X40&gt;0),(X40/((U40+V40)*10)),"")</f>
        <v/>
      </c>
      <c r="Z40">
        <v>75</v>
      </c>
      <c r="AA40">
        <f>ROUND(Z40*1.6, 0)</f>
        <v>120</v>
      </c>
      <c r="AD40">
        <v>12</v>
      </c>
      <c r="AE40">
        <v>12</v>
      </c>
      <c r="AH40" s="10">
        <v>30</v>
      </c>
      <c r="AI40" t="str">
        <f>CONCATENATE(VLOOKUP(AJ40, 'Voxel Sizes'!$A$2:$B$18,2,FALSE),"x",INT(AF40*15), "x", INT(AG40*15))</f>
        <v>120x0x0</v>
      </c>
      <c r="AJ40">
        <f>ROUND(15*((AE40*10)/256),0)</f>
        <v>7</v>
      </c>
      <c r="AL40" t="str">
        <f>CONCATENATE(VLOOKUP(AJ40,Constants!$A$2:$C$16,IF(AK40&lt;&gt;"", 3, 2), FALSE),IF(AK40&lt;&gt;"",CONCATENATE(",",VLOOKUP(AK40,$B:$AL,37,FALSE)),""))</f>
        <v>2,3,2</v>
      </c>
      <c r="AV40">
        <v>30</v>
      </c>
      <c r="AW40" s="15">
        <f>IF(J40&lt;&gt;"",MAX(16,(J40-H40)+8),"")</f>
        <v>48</v>
      </c>
      <c r="AX40">
        <v>39</v>
      </c>
      <c r="AY40">
        <v>16</v>
      </c>
      <c r="AZ40">
        <f>MIN(Z40/150, 1)*30</f>
        <v>15</v>
      </c>
      <c r="BA40">
        <f>MIN(L40/4000, 1)*20</f>
        <v>0</v>
      </c>
      <c r="BB40">
        <f>MIN(X40/400,1)*20</f>
        <v>0</v>
      </c>
      <c r="BC40" s="3">
        <f>1-(MAX(H40-1900, 0)/750)</f>
        <v>1</v>
      </c>
      <c r="BD40">
        <f>((MAX($K40,1)*MIN($AH40/300,1)))*IF(E40="Wagon",50,10)</f>
        <v>5</v>
      </c>
      <c r="BE40">
        <f>VLOOKUP($F40,Constants!$I:$K, 2, FALSE)</f>
        <v>1.2</v>
      </c>
      <c r="BF40">
        <f>VLOOKUP($F40,Constants!$I:$K, 3, FALSE)*IF(AND(E40="multiple_unit",Z40&lt;110),0.75,1)</f>
        <v>0.6</v>
      </c>
      <c r="BG40">
        <f>INT(POWER(((Constants!$G$2+$AZ40+$BA40+$BB40+$BD40)*$BC40)*$BF40, 1.05))+$AY40</f>
        <v>33</v>
      </c>
      <c r="BH40">
        <f>INT(POWER((((Constants!$G$1+$AZ40+$BA40+$BB40+$BD40)*($BC40))*$BE40),IF($E40="wagon",1,1.2)))+$AX40</f>
        <v>81</v>
      </c>
      <c r="BI40" s="14">
        <f>BG40*IF($E40="wagon",62.5,781.25)</f>
        <v>2062.5</v>
      </c>
      <c r="BJ40" s="14">
        <f>BH40*IF($E40="wagon",2.73,81.25)</f>
        <v>221.13</v>
      </c>
      <c r="BQ40">
        <v>11</v>
      </c>
      <c r="BR40">
        <v>185</v>
      </c>
      <c r="BS40" t="s">
        <v>1045</v>
      </c>
      <c r="BT40" t="s">
        <v>652</v>
      </c>
      <c r="BU40" t="str">
        <f>VLOOKUP(H40,Eras!$A$2:$C$10, 2, TRUE)</f>
        <v>vct</v>
      </c>
      <c r="BV40" t="s">
        <v>335</v>
      </c>
      <c r="BW40" t="str">
        <f>CONCATENATE(BU40,"_",BV40)</f>
        <v>vct_Carriage</v>
      </c>
      <c r="BX40" t="str">
        <f>_xlfn.CONCAT(F40, "_",G40)</f>
        <v>carriage_RAIL</v>
      </c>
      <c r="BY40" t="str">
        <f>VLOOKUP($BX40, Constants!$M:$N, 2, FALSE)</f>
        <v/>
      </c>
      <c r="BZ40" t="str">
        <f>IF(K40&gt;1,_xlfn.CONCAT("{BLACK}Cars: {GOLD}", K40),"")</f>
        <v/>
      </c>
      <c r="CA40" t="s">
        <v>1333</v>
      </c>
      <c r="CB40" t="str">
        <f>IF(BT40="BRAKE","{YELLOW}Speed bonus for slow wagons{}",IF(BR40&gt;190,CONCATENATE("{YELLOW}",INT((BR40-185)/1.85),"% Bonus for long distance travel{}"),IF(AND(BR40&lt;180,BR40&lt;&gt;0),CONCATENATE("{YELLOW}",INT((185-BR40)/1.85),"% Penalty for long distance travel{}"),"")))</f>
        <v/>
      </c>
      <c r="CC40" t="str">
        <f>_xlfn.CONCAT(BY40,IF(BY40 &lt;&gt; "", " ", ""),BZ40,IF(OR(BZ40&lt;&gt;"", BY40&lt;&gt;""), "{}",""), CB40,"{SILVER}", CA40)</f>
        <v>{SILVER}Although carriages gained more luxurious fixtures and fittings through the Victorian era, braking still required a guard's van.</v>
      </c>
    </row>
    <row r="41" spans="1:81" x14ac:dyDescent="0.25">
      <c r="A41" t="s">
        <v>1161</v>
      </c>
      <c r="B41" t="s">
        <v>1162</v>
      </c>
      <c r="C41">
        <v>140</v>
      </c>
      <c r="D41">
        <v>1016</v>
      </c>
      <c r="E41" t="s">
        <v>281</v>
      </c>
      <c r="F41" t="s">
        <v>1106</v>
      </c>
      <c r="G41" t="s">
        <v>275</v>
      </c>
      <c r="H41">
        <v>1892</v>
      </c>
      <c r="J41">
        <v>1935</v>
      </c>
      <c r="U41">
        <v>28</v>
      </c>
      <c r="W41">
        <v>4</v>
      </c>
      <c r="Y41" s="3" t="str">
        <f>IF(AND(U41&gt;0,X41&gt;0),(X41/((U41+V41)*10)),"")</f>
        <v/>
      </c>
      <c r="Z41">
        <v>80</v>
      </c>
      <c r="AA41">
        <f>ROUND(Z41*1.6, 0)</f>
        <v>128</v>
      </c>
      <c r="AD41">
        <v>16.2</v>
      </c>
      <c r="AE41">
        <v>16.2</v>
      </c>
      <c r="AF41">
        <v>2.8</v>
      </c>
      <c r="AH41" s="10">
        <v>51</v>
      </c>
      <c r="AI41" t="str">
        <f>CONCATENATE(VLOOKUP(AJ41, 'Voxel Sizes'!$A$2:$B$18,2,FALSE),"x",INT(AF41*15), "x", INT(AG41*15))</f>
        <v>152x42x0</v>
      </c>
      <c r="AJ41">
        <f>ROUND(15*((AE41*10)/256),0)</f>
        <v>9</v>
      </c>
      <c r="AL41" t="str">
        <f>CONCATENATE(VLOOKUP(AJ41,Constants!$A$2:$C$16,IF(AK41&lt;&gt;"", 3, 2), FALSE),IF(AK41&lt;&gt;"",CONCATENATE(",",VLOOKUP(AK41,$B:$AL,37,FALSE)),""))</f>
        <v>2,5,2</v>
      </c>
      <c r="AV41">
        <v>30</v>
      </c>
      <c r="AW41" s="15">
        <f>IF(J41&lt;&gt;"",MAX(16,(J41-H41)+8),"")</f>
        <v>51</v>
      </c>
      <c r="AX41">
        <v>47</v>
      </c>
      <c r="AY41">
        <v>20</v>
      </c>
      <c r="AZ41">
        <f>MIN(Z41/150, 1)*30</f>
        <v>16</v>
      </c>
      <c r="BA41">
        <f>MIN(L41/4000, 1)*20</f>
        <v>0</v>
      </c>
      <c r="BB41">
        <f>MIN(X41/400,1)*20</f>
        <v>0</v>
      </c>
      <c r="BC41" s="3">
        <f>1-(MAX(H41-1900, 0)/750)</f>
        <v>1</v>
      </c>
      <c r="BD41">
        <f>((MAX($K41,1)*MIN($AH41/300,1)))*IF(E41="Wagon",50,10)</f>
        <v>8.5</v>
      </c>
      <c r="BE41">
        <f>VLOOKUP($F41,Constants!$I:$K, 2, FALSE)</f>
        <v>1.2</v>
      </c>
      <c r="BF41">
        <f>VLOOKUP($F41,Constants!$I:$K, 3, FALSE)*IF(AND(E41="multiple_unit",Z41&lt;110),0.75,1)</f>
        <v>0.6</v>
      </c>
      <c r="BG41">
        <f>INT(POWER(((Constants!$G$2+$AZ41+$BA41+$BB41+$BD41)*$BC41)*$BF41, 1.05))+$AY41</f>
        <v>40</v>
      </c>
      <c r="BH41">
        <f>INT(POWER((((Constants!$G$1+$AZ41+$BA41+$BB41+$BD41)*($BC41))*$BE41),IF($E41="wagon",1,1.2)))+$AX41</f>
        <v>94</v>
      </c>
      <c r="BI41" s="14">
        <f>BG41*IF($E41="wagon",62.5,781.25)</f>
        <v>2500</v>
      </c>
      <c r="BJ41" s="14">
        <f>BH41*IF($E41="wagon",2.73,81.25)</f>
        <v>256.62</v>
      </c>
      <c r="BQ41">
        <v>1</v>
      </c>
      <c r="BR41">
        <v>185</v>
      </c>
      <c r="BS41" t="s">
        <v>1045</v>
      </c>
      <c r="BT41" t="s">
        <v>652</v>
      </c>
      <c r="BU41" t="str">
        <f>VLOOKUP(H41,Eras!$A$2:$C$10, 2, TRUE)</f>
        <v>vct</v>
      </c>
      <c r="BV41" t="s">
        <v>336</v>
      </c>
      <c r="BW41" t="str">
        <f>CONCATENATE(BU41,"_",BV41)</f>
        <v>vct_Mail Carriage</v>
      </c>
      <c r="BX41" t="str">
        <f>_xlfn.CONCAT(F41, "_",G41)</f>
        <v>carriage_RAIL</v>
      </c>
      <c r="BY41" t="str">
        <f>VLOOKUP($BX41, Constants!$M:$N, 2, FALSE)</f>
        <v/>
      </c>
      <c r="BZ41" t="str">
        <f>IF(K41&gt;1,_xlfn.CONCAT("{BLACK}Cars: {GOLD}", K41),"")</f>
        <v/>
      </c>
      <c r="CA41" t="s">
        <v>1163</v>
      </c>
      <c r="CB41" t="str">
        <f>IF(BT41="BRAKE","{YELLOW}Speed bonus for slow wagons{}",IF(BR41&gt;190,CONCATENATE("{YELLOW}",INT((BR41-185)/1.85),"% Bonus for long distance travel{}"),IF(AND(BR41&lt;180,BR41&lt;&gt;0),CONCATENATE("{YELLOW}",INT((185-BR41)/1.85),"% Penalty for long distance travel{}"),"")))</f>
        <v/>
      </c>
      <c r="CC41" t="str">
        <f>_xlfn.CONCAT(BY41,IF(BY41 &lt;&gt; "", " ", ""),BZ41,IF(OR(BZ41&lt;&gt;"", BY41&lt;&gt;""), "{}",""), CB41,"{SILVER}", CA41)</f>
        <v>{SILVER}This brake carriage is designed for use with clerestory carriages. It can carry parcels and mail.</v>
      </c>
    </row>
    <row r="42" spans="1:81" x14ac:dyDescent="0.25">
      <c r="A42" t="s">
        <v>1157</v>
      </c>
      <c r="B42" t="s">
        <v>1156</v>
      </c>
      <c r="C42">
        <v>141</v>
      </c>
      <c r="D42">
        <v>1017</v>
      </c>
      <c r="E42" t="s">
        <v>281</v>
      </c>
      <c r="F42" t="s">
        <v>1106</v>
      </c>
      <c r="G42" t="s">
        <v>275</v>
      </c>
      <c r="H42">
        <v>1904</v>
      </c>
      <c r="J42">
        <v>1955</v>
      </c>
      <c r="U42">
        <v>29</v>
      </c>
      <c r="W42">
        <v>5</v>
      </c>
      <c r="Y42" s="3" t="str">
        <f>IF(AND(U42&gt;0,X42&gt;0),(X42/((U42+V42)*10)),"")</f>
        <v/>
      </c>
      <c r="Z42">
        <v>85</v>
      </c>
      <c r="AA42">
        <f>ROUND(Z42*1.6, 0)</f>
        <v>136</v>
      </c>
      <c r="AD42">
        <v>17.7</v>
      </c>
      <c r="AE42">
        <v>17.7</v>
      </c>
      <c r="AF42">
        <v>2.83</v>
      </c>
      <c r="AG42">
        <v>3.79</v>
      </c>
      <c r="AH42" s="10">
        <v>57</v>
      </c>
      <c r="AI42" t="str">
        <f>CONCATENATE(VLOOKUP(AJ42, 'Voxel Sizes'!$A$2:$B$18,2,FALSE),"x",INT(AF42*15), "x", INT(AG42*15))</f>
        <v>164x42x56</v>
      </c>
      <c r="AJ42">
        <f>ROUND(15*((AE42*10)/256),0)</f>
        <v>10</v>
      </c>
      <c r="AL42" t="str">
        <f>CONCATENATE(VLOOKUP(AJ42,Constants!$A$2:$C$16,IF(AK42&lt;&gt;"", 3, 2), FALSE),IF(AK42&lt;&gt;"",CONCATENATE(",",VLOOKUP(AK42,$B:$AL,37,FALSE)),""))</f>
        <v>4,2,4</v>
      </c>
      <c r="AV42">
        <v>30</v>
      </c>
      <c r="AW42" s="15">
        <f>IF(J42&lt;&gt;"",MAX(16,(J42-H42)+8),"")</f>
        <v>59</v>
      </c>
      <c r="AX42">
        <v>49</v>
      </c>
      <c r="AY42">
        <v>21</v>
      </c>
      <c r="AZ42">
        <f>MIN(Z42/150, 1)*30</f>
        <v>17</v>
      </c>
      <c r="BA42">
        <f>MIN(L42/4000, 1)*20</f>
        <v>0</v>
      </c>
      <c r="BB42">
        <f>MIN(X42/400,1)*20</f>
        <v>0</v>
      </c>
      <c r="BC42" s="3">
        <f>1-(MAX(H42-1900, 0)/750)</f>
        <v>0.9946666666666667</v>
      </c>
      <c r="BD42">
        <f>((MAX($K42,1)*MIN($AH42/300,1)))*IF(E42="Wagon",50,10)</f>
        <v>9.5</v>
      </c>
      <c r="BE42">
        <f>VLOOKUP($F42,Constants!$I:$K, 2, FALSE)</f>
        <v>1.2</v>
      </c>
      <c r="BF42">
        <f>VLOOKUP($F42,Constants!$I:$K, 3, FALSE)*IF(AND(E42="multiple_unit",Z42&lt;110),0.75,1)</f>
        <v>0.6</v>
      </c>
      <c r="BG42">
        <f>INT(POWER(((Constants!$G$2+$AZ42+$BA42+$BB42+$BD42)*$BC42)*$BF42, 1.05))+$AY42</f>
        <v>42</v>
      </c>
      <c r="BH42">
        <f>INT(POWER((((Constants!$G$1+$AZ42+$BA42+$BB42+$BD42)*($BC42))*$BE42),IF($E42="wagon",1,1.2)))+$AX42</f>
        <v>98</v>
      </c>
      <c r="BI42" s="14">
        <f>BG42*IF($E42="wagon",62.5,781.25)</f>
        <v>2625</v>
      </c>
      <c r="BJ42" s="14">
        <f>BH42*IF($E42="wagon",2.73,81.25)</f>
        <v>267.54000000000002</v>
      </c>
      <c r="BQ42">
        <v>1</v>
      </c>
      <c r="BR42">
        <v>185</v>
      </c>
      <c r="BS42" t="s">
        <v>1045</v>
      </c>
      <c r="BT42" t="s">
        <v>652</v>
      </c>
      <c r="BU42" t="str">
        <f>VLOOKUP(H42,Eras!$A$2:$C$10, 2, TRUE)</f>
        <v>edw</v>
      </c>
      <c r="BV42" t="s">
        <v>336</v>
      </c>
      <c r="BW42" t="str">
        <f>CONCATENATE(BU42,"_",BV42)</f>
        <v>edw_Mail Carriage</v>
      </c>
      <c r="BX42" t="str">
        <f>_xlfn.CONCAT(F42, "_",G42)</f>
        <v>carriage_RAIL</v>
      </c>
      <c r="BY42" t="str">
        <f>VLOOKUP($BX42, Constants!$M:$N, 2, FALSE)</f>
        <v/>
      </c>
      <c r="BZ42" t="str">
        <f>IF(K42&gt;1,_xlfn.CONCAT("{BLACK}Cars: {GOLD}", K42),"")</f>
        <v/>
      </c>
      <c r="CA42" t="s">
        <v>1164</v>
      </c>
      <c r="CB42" t="str">
        <f>IF(BT42="BRAKE","{YELLOW}Speed bonus for slow wagons{}",IF(BR42&gt;190,CONCATENATE("{YELLOW}",INT((BR42-185)/1.85),"% Bonus for long distance travel{}"),IF(AND(BR42&lt;180,BR42&lt;&gt;0),CONCATENATE("{YELLOW}",INT((185-BR42)/1.85),"% Penalty for long distance travel{}"),"")))</f>
        <v/>
      </c>
      <c r="CC42" t="str">
        <f>_xlfn.CONCAT(BY42,IF(BY42 &lt;&gt; "", " ", ""),BZ42,IF(OR(BZ42&lt;&gt;"", BY42&lt;&gt;""), "{}",""), CB42,"{SILVER}", CA42)</f>
        <v>{SILVER}Brake carriages continued to be a fixture of passenger trains during the steam era, carrying bulky luggage and parcels.</v>
      </c>
    </row>
    <row r="43" spans="1:81" x14ac:dyDescent="0.25">
      <c r="A43" t="s">
        <v>1158</v>
      </c>
      <c r="B43" t="s">
        <v>1159</v>
      </c>
      <c r="C43">
        <v>142</v>
      </c>
      <c r="D43">
        <v>1018</v>
      </c>
      <c r="E43" t="s">
        <v>281</v>
      </c>
      <c r="F43" t="s">
        <v>1106</v>
      </c>
      <c r="G43" t="s">
        <v>275</v>
      </c>
      <c r="H43">
        <v>1951</v>
      </c>
      <c r="I43">
        <v>1963</v>
      </c>
      <c r="J43">
        <v>1974</v>
      </c>
      <c r="U43">
        <v>31</v>
      </c>
      <c r="W43">
        <v>5</v>
      </c>
      <c r="Y43" s="3" t="str">
        <f>IF(AND(U43&gt;0,X43&gt;0),(X43/((U43+V43)*10)),"")</f>
        <v/>
      </c>
      <c r="Z43">
        <v>100</v>
      </c>
      <c r="AA43">
        <f>ROUND(Z43*1.6, 0)</f>
        <v>160</v>
      </c>
      <c r="AD43">
        <v>19.3</v>
      </c>
      <c r="AE43">
        <v>20</v>
      </c>
      <c r="AH43" s="10">
        <v>66</v>
      </c>
      <c r="AI43" t="str">
        <f>CONCATENATE(VLOOKUP(AJ43, 'Voxel Sizes'!$A$2:$B$18,2,FALSE),"x",INT(AF43*15), "x", INT(AG43*15))</f>
        <v>198x0x0</v>
      </c>
      <c r="AJ43">
        <f>ROUND(15*((AE43*10)/256),0)</f>
        <v>12</v>
      </c>
      <c r="AL43" t="str">
        <f>CONCATENATE(VLOOKUP(AJ43,Constants!$A$2:$C$16,IF(AK43&lt;&gt;"", 3, 2), FALSE),IF(AK43&lt;&gt;"",CONCATENATE(",",VLOOKUP(AK43,$B:$AL,37,FALSE)),""))</f>
        <v>4,4,4</v>
      </c>
      <c r="AV43">
        <v>30</v>
      </c>
      <c r="AW43" s="15">
        <f>IF(J43&lt;&gt;"",MAX(16,(J43-H43)+8),"")</f>
        <v>31</v>
      </c>
      <c r="AX43">
        <v>55</v>
      </c>
      <c r="AY43">
        <v>25</v>
      </c>
      <c r="AZ43">
        <f>MIN(Z43/150, 1)*30</f>
        <v>20</v>
      </c>
      <c r="BA43">
        <f>MIN(L43/4000, 1)*20</f>
        <v>0</v>
      </c>
      <c r="BB43">
        <f>MIN(X43/400,1)*20</f>
        <v>0</v>
      </c>
      <c r="BC43" s="3">
        <f>1-(MAX(H43-1900, 0)/750)</f>
        <v>0.93199999999999994</v>
      </c>
      <c r="BD43">
        <f>((MAX($K43,1)*MIN($AH43/300,1)))*IF(E43="Wagon",50,10)</f>
        <v>11</v>
      </c>
      <c r="BE43">
        <f>VLOOKUP($F43,Constants!$I:$K, 2, FALSE)</f>
        <v>1.2</v>
      </c>
      <c r="BF43">
        <f>VLOOKUP($F43,Constants!$I:$K, 3, FALSE)*IF(AND(E43="multiple_unit",Z43&lt;110),0.75,1)</f>
        <v>0.6</v>
      </c>
      <c r="BG43">
        <f>INT(POWER(((Constants!$G$2+$AZ43+$BA43+$BB43+$BD43)*$BC43)*$BF43, 1.05))+$AY43</f>
        <v>48</v>
      </c>
      <c r="BH43">
        <f>INT(POWER((((Constants!$G$1+$AZ43+$BA43+$BB43+$BD43)*($BC43))*$BE43),IF($E43="wagon",1,1.2)))+$AX43</f>
        <v>106</v>
      </c>
      <c r="BI43" s="14">
        <f>BG43*IF($E43="wagon",62.5,781.25)</f>
        <v>3000</v>
      </c>
      <c r="BJ43" s="14">
        <f>BH43*IF($E43="wagon",2.73,81.25)</f>
        <v>289.38</v>
      </c>
      <c r="BQ43">
        <v>1</v>
      </c>
      <c r="BR43">
        <v>185</v>
      </c>
      <c r="BS43" t="s">
        <v>1045</v>
      </c>
      <c r="BT43" t="s">
        <v>652</v>
      </c>
      <c r="BU43" t="str">
        <f>VLOOKUP(H43,Eras!$A$2:$C$10, 2, TRUE)</f>
        <v>ebr</v>
      </c>
      <c r="BV43" t="s">
        <v>336</v>
      </c>
      <c r="BW43" t="str">
        <f>CONCATENATE(BU43,"_",BV43)</f>
        <v>ebr_Mail Carriage</v>
      </c>
      <c r="BX43" t="str">
        <f>_xlfn.CONCAT(F43, "_",G43)</f>
        <v>carriage_RAIL</v>
      </c>
      <c r="BY43" t="str">
        <f>VLOOKUP($BX43, Constants!$M:$N, 2, FALSE)</f>
        <v/>
      </c>
      <c r="BZ43" t="str">
        <f>IF(K43&gt;1,_xlfn.CONCAT("{BLACK}Cars: {GOLD}", K43),"")</f>
        <v/>
      </c>
      <c r="CA43" t="s">
        <v>1160</v>
      </c>
      <c r="CB43" t="str">
        <f>IF(BT43="BRAKE","{YELLOW}Speed bonus for slow wagons{}",IF(BR43&gt;190,CONCATENATE("{YELLOW}",INT((BR43-185)/1.85),"% Bonus for long distance travel{}"),IF(AND(BR43&lt;180,BR43&lt;&gt;0),CONCATENATE("{YELLOW}",INT((185-BR43)/1.85),"% Penalty for long distance travel{}"),"")))</f>
        <v/>
      </c>
      <c r="CC43" t="str">
        <f>_xlfn.CONCAT(BY43,IF(BY43 &lt;&gt; "", " ", ""),BZ43,IF(OR(BZ43&lt;&gt;"", BY43&lt;&gt;""), "{}",""), CB43,"{SILVER}", CA43)</f>
        <v>{SILVER}BG for (Brake Gangway) is the BR designation for a brake coach. As well as a guard's compartment it had two large areas for storing luggage.</v>
      </c>
    </row>
    <row r="44" spans="1:81" x14ac:dyDescent="0.25">
      <c r="A44" t="s">
        <v>1165</v>
      </c>
      <c r="B44" t="s">
        <v>1166</v>
      </c>
      <c r="C44">
        <v>143</v>
      </c>
      <c r="D44">
        <v>1019</v>
      </c>
      <c r="E44" t="s">
        <v>281</v>
      </c>
      <c r="F44" t="s">
        <v>1106</v>
      </c>
      <c r="G44" t="s">
        <v>275</v>
      </c>
      <c r="H44">
        <v>1956</v>
      </c>
      <c r="J44">
        <v>2010</v>
      </c>
      <c r="U44">
        <v>33</v>
      </c>
      <c r="W44">
        <v>5</v>
      </c>
      <c r="Y44" s="3" t="str">
        <f>IF(AND(U44&gt;0,X44&gt;0),(X44/((U44+V44)*10)),"")</f>
        <v/>
      </c>
      <c r="Z44">
        <v>110</v>
      </c>
      <c r="AA44">
        <f>ROUND(Z44*1.6, 0)</f>
        <v>176</v>
      </c>
      <c r="AD44">
        <v>19.66</v>
      </c>
      <c r="AE44">
        <v>19.66</v>
      </c>
      <c r="AF44">
        <v>2.83</v>
      </c>
      <c r="AG44">
        <v>3.79</v>
      </c>
      <c r="AH44" s="10">
        <v>69</v>
      </c>
      <c r="AI44" t="str">
        <f>CONCATENATE(VLOOKUP(AJ44, 'Voxel Sizes'!$A$2:$B$18,2,FALSE),"x",INT(AF44*15), "x", INT(AG44*15))</f>
        <v>198x42x56</v>
      </c>
      <c r="AJ44">
        <f>ROUND(15*((AE44*10)/256),0)</f>
        <v>12</v>
      </c>
      <c r="AL44" t="str">
        <f>CONCATENATE(VLOOKUP(AJ44,Constants!$A$2:$C$16,IF(AK44&lt;&gt;"", 3, 2), FALSE),IF(AK44&lt;&gt;"",CONCATENATE(",",VLOOKUP(AK44,$B:$AL,37,FALSE)),""))</f>
        <v>4,4,4</v>
      </c>
      <c r="AV44">
        <v>30</v>
      </c>
      <c r="AW44" s="15">
        <f>IF(J44&lt;&gt;"",MAX(16,(J44-H44)+8),"")</f>
        <v>62</v>
      </c>
      <c r="AX44">
        <v>58</v>
      </c>
      <c r="AY44">
        <v>27</v>
      </c>
      <c r="AZ44">
        <f>MIN(Z44/150, 1)*30</f>
        <v>22</v>
      </c>
      <c r="BA44">
        <f>MIN(L44/4000, 1)*20</f>
        <v>0</v>
      </c>
      <c r="BB44">
        <f>MIN(X44/400,1)*20</f>
        <v>0</v>
      </c>
      <c r="BC44" s="3">
        <f>1-(MAX(H44-1900, 0)/750)</f>
        <v>0.92533333333333334</v>
      </c>
      <c r="BD44">
        <f>((MAX($K44,1)*MIN($AH44/300,1)))*IF(E44="Wagon",50,10)</f>
        <v>11.5</v>
      </c>
      <c r="BE44">
        <f>VLOOKUP($F44,Constants!$I:$K, 2, FALSE)</f>
        <v>1.2</v>
      </c>
      <c r="BF44">
        <f>VLOOKUP($F44,Constants!$I:$K, 3, FALSE)*IF(AND(E44="multiple_unit",Z44&lt;110),0.75,1)</f>
        <v>0.6</v>
      </c>
      <c r="BG44">
        <f>INT(POWER(((Constants!$G$2+$AZ44+$BA44+$BB44+$BD44)*$BC44)*$BF44, 1.05))+$AY44</f>
        <v>51</v>
      </c>
      <c r="BH44">
        <f>INT(POWER((((Constants!$G$1+$AZ44+$BA44+$BB44+$BD44)*($BC44))*$BE44),IF($E44="wagon",1,1.2)))+$AX44</f>
        <v>111</v>
      </c>
      <c r="BI44" s="14">
        <f>BG44*IF($E44="wagon",62.5,781.25)</f>
        <v>3187.5</v>
      </c>
      <c r="BJ44" s="14">
        <f>BH44*IF($E44="wagon",2.73,81.25)</f>
        <v>303.02999999999997</v>
      </c>
      <c r="BQ44">
        <v>1</v>
      </c>
      <c r="BR44">
        <v>185</v>
      </c>
      <c r="BS44" t="s">
        <v>1045</v>
      </c>
      <c r="BT44" t="s">
        <v>652</v>
      </c>
      <c r="BU44" t="str">
        <f>VLOOKUP(H44,Eras!$A$2:$C$10, 2, TRUE)</f>
        <v>dsl</v>
      </c>
      <c r="BV44" t="s">
        <v>335</v>
      </c>
      <c r="BW44" t="str">
        <f>CONCATENATE(BU44,"_",BV44)</f>
        <v>dsl_Carriage</v>
      </c>
      <c r="BX44" t="str">
        <f>_xlfn.CONCAT(F44, "_",G44)</f>
        <v>carriage_RAIL</v>
      </c>
      <c r="BY44" t="str">
        <f>VLOOKUP($BX44, Constants!$M:$N, 2, FALSE)</f>
        <v/>
      </c>
      <c r="BZ44" t="str">
        <f>IF(K44&gt;1,_xlfn.CONCAT("{BLACK}Cars: {GOLD}", K44),"")</f>
        <v/>
      </c>
      <c r="CA44" t="s">
        <v>1167</v>
      </c>
      <c r="CB44" t="str">
        <f>IF(BT44="BRAKE","{YELLOW}Speed bonus for slow wagons{}",IF(BR44&gt;190,CONCATENATE("{YELLOW}",INT((BR44-185)/1.85),"% Bonus for long distance travel{}"),IF(AND(BR44&lt;180,BR44&lt;&gt;0),CONCATENATE("{YELLOW}",INT((185-BR44)/1.85),"% Penalty for long distance travel{}"),"")))</f>
        <v/>
      </c>
      <c r="CC44" t="str">
        <f>_xlfn.CONCAT(BY44,IF(BY44 &lt;&gt; "", " ", ""),BZ44,IF(OR(BZ44&lt;&gt;"", BY44&lt;&gt;""), "{}",""), CB44,"{SILVER}", CA44)</f>
        <v>{SILVER}The Mk2 carriage also featured the BG Full Brake style, with luggage and parcel compartments.</v>
      </c>
    </row>
    <row r="45" spans="1:81" x14ac:dyDescent="0.25">
      <c r="A45" t="s">
        <v>791</v>
      </c>
      <c r="B45" t="s">
        <v>788</v>
      </c>
      <c r="C45">
        <v>144</v>
      </c>
      <c r="D45">
        <v>1020</v>
      </c>
      <c r="E45" t="s">
        <v>281</v>
      </c>
      <c r="F45" t="s">
        <v>281</v>
      </c>
      <c r="G45" t="s">
        <v>275</v>
      </c>
      <c r="H45">
        <v>1958</v>
      </c>
      <c r="U45">
        <v>30</v>
      </c>
      <c r="W45">
        <v>6</v>
      </c>
      <c r="Y45" s="3" t="str">
        <f>IF(AND(U45&gt;0,X45&gt;0),(X45/((U45+V45)*10)),"")</f>
        <v/>
      </c>
      <c r="Z45">
        <v>100</v>
      </c>
      <c r="AA45">
        <f>ROUND(Z45*1.6, 0)</f>
        <v>160</v>
      </c>
      <c r="AD45">
        <v>19.3</v>
      </c>
      <c r="AE45">
        <v>20</v>
      </c>
      <c r="AH45" s="10">
        <v>78</v>
      </c>
      <c r="AI45" t="str">
        <f>CONCATENATE(VLOOKUP(AJ45, 'Voxel Sizes'!$A$2:$B$18,2,FALSE),"x",INT(AF45*15), "x", INT(AG45*15))</f>
        <v>198x0x0</v>
      </c>
      <c r="AJ45">
        <f>ROUND(15*((AE45*10)/256),0)</f>
        <v>12</v>
      </c>
      <c r="AL45" t="str">
        <f>CONCATENATE(VLOOKUP(AJ45,Constants!$A$2:$C$16,IF(AK45&lt;&gt;"", 3, 2), FALSE),IF(AK45&lt;&gt;"",CONCATENATE(",",VLOOKUP(AK45,$B:$AL,37,FALSE)),""))</f>
        <v>4,4,4</v>
      </c>
      <c r="AV45">
        <v>30</v>
      </c>
      <c r="AW45" s="15" t="str">
        <f>IF(J45&lt;&gt;"",MAX(16,(J45-H45)+8),"")</f>
        <v/>
      </c>
      <c r="AX45">
        <v>48</v>
      </c>
      <c r="AY45">
        <v>19</v>
      </c>
      <c r="AZ45">
        <f>MIN(Z45/150, 1)*30</f>
        <v>20</v>
      </c>
      <c r="BA45">
        <f>MIN(L45/4000, 1)*20</f>
        <v>0</v>
      </c>
      <c r="BB45">
        <f>MIN(X45/400,1)*20</f>
        <v>0</v>
      </c>
      <c r="BC45" s="3">
        <f>1-(MAX(H45-1900, 0)/750)</f>
        <v>0.92266666666666663</v>
      </c>
      <c r="BD45">
        <f>((MAX($K45,1)*MIN($AH45/300,1)))*IF(E45="Wagon",50,10)</f>
        <v>13</v>
      </c>
      <c r="BE45">
        <f>VLOOKUP($F45,Constants!$I:$K, 2, FALSE)</f>
        <v>1</v>
      </c>
      <c r="BF45">
        <f>VLOOKUP($F45,Constants!$I:$K, 3, FALSE)*IF(AND(E45="multiple_unit",Z45&lt;110),0.75,1)</f>
        <v>0.45</v>
      </c>
      <c r="BG45">
        <f>INT(POWER(((Constants!$G$2+$AZ45+$BA45+$BB45+$BD45)*$BC45)*$BF45, 1.05))+$AY45</f>
        <v>37</v>
      </c>
      <c r="BH45">
        <f>INT(POWER((((Constants!$G$1+$AZ45+$BA45+$BB45+$BD45)*($BC45))*$BE45),IF($E45="wagon",1,1.2)))+$AX45</f>
        <v>92</v>
      </c>
      <c r="BI45" s="14">
        <f>BG45*IF($E45="wagon",62.5,781.25)</f>
        <v>2312.5</v>
      </c>
      <c r="BJ45" s="14">
        <f>BH45*IF($E45="wagon",2.73,81.25)</f>
        <v>251.16</v>
      </c>
      <c r="BQ45">
        <v>1</v>
      </c>
      <c r="BR45">
        <v>233</v>
      </c>
      <c r="BS45" t="s">
        <v>1045</v>
      </c>
      <c r="BT45" t="s">
        <v>652</v>
      </c>
      <c r="BU45" t="str">
        <f>VLOOKUP(H45,Eras!$A$2:$C$10, 2, TRUE)</f>
        <v>dsl</v>
      </c>
      <c r="BV45" t="s">
        <v>336</v>
      </c>
      <c r="BW45" t="str">
        <f>CONCATENATE(BU45,"_",BV45)</f>
        <v>dsl_Mail Carriage</v>
      </c>
      <c r="BX45" t="str">
        <f>_xlfn.CONCAT(F45, "_",G45)</f>
        <v>wagon_RAIL</v>
      </c>
      <c r="BY45" t="str">
        <f>VLOOKUP($BX45, Constants!$M:$N, 2, FALSE)</f>
        <v/>
      </c>
      <c r="BZ45" t="str">
        <f>IF(K45&gt;1,_xlfn.CONCAT("{BLACK}Cars: {GOLD}", K45),"")</f>
        <v/>
      </c>
      <c r="CA45" t="s">
        <v>790</v>
      </c>
      <c r="CB45" t="str">
        <f>IF(BT45="BRAKE","{YELLOW}Speed bonus for slow wagons{}",IF(BR45&gt;190,CONCATENATE("{YELLOW}",INT((BR45-185)/1.85),"% Bonus for long distance travel{}"),IF(AND(BR45&lt;180,BR45&lt;&gt;0),CONCATENATE("{YELLOW}",INT((185-BR45)/1.85),"% Penalty for long distance travel{}"),"")))</f>
        <v>{YELLOW}25% Bonus for long distance travel{}</v>
      </c>
      <c r="CC45" t="str">
        <f>_xlfn.CONCAT(BY45,IF(BY45 &lt;&gt; "", " ", ""),BZ45,IF(OR(BZ45&lt;&gt;"", BY45&lt;&gt;""), "{}",""), CB45,"{SILVER}", CA45)</f>
        <v>{YELLOW}25% Bonus for long distance travel{}{SILVER}Based on the Mark 1 carriage, the TPO (Travelling Post Office) allowed mail to be sorted as it was transported.</v>
      </c>
    </row>
    <row r="46" spans="1:81" x14ac:dyDescent="0.25">
      <c r="A46" t="s">
        <v>1350</v>
      </c>
      <c r="B46" t="s">
        <v>1351</v>
      </c>
      <c r="C46">
        <v>20</v>
      </c>
      <c r="D46">
        <v>1021</v>
      </c>
      <c r="E46" t="s">
        <v>281</v>
      </c>
      <c r="F46" t="s">
        <v>281</v>
      </c>
      <c r="G46" t="s">
        <v>1381</v>
      </c>
      <c r="H46">
        <v>1700</v>
      </c>
      <c r="J46">
        <v>1875</v>
      </c>
      <c r="U46">
        <v>2</v>
      </c>
      <c r="W46">
        <v>3</v>
      </c>
      <c r="Y46" s="3" t="str">
        <f t="shared" si="16"/>
        <v/>
      </c>
      <c r="Z46">
        <v>30</v>
      </c>
      <c r="AA46">
        <f t="shared" si="15"/>
        <v>48</v>
      </c>
      <c r="AD46">
        <v>4.9000000000000004</v>
      </c>
      <c r="AE46">
        <v>6</v>
      </c>
      <c r="AH46" s="10">
        <v>12</v>
      </c>
      <c r="AI46" t="str">
        <f>CONCATENATE(VLOOKUP(AJ46, 'Voxel Sizes'!$A$2:$B$18,2,FALSE),"x",INT(AF46*15), "x", INT(AG46*15))</f>
        <v>60x0x0</v>
      </c>
      <c r="AJ46">
        <f t="shared" si="1"/>
        <v>4</v>
      </c>
      <c r="AL46" t="str">
        <f>CONCATENATE(VLOOKUP(AJ46,Constants!$A$2:$C$16,IF(AK46&lt;&gt;"", 3, 2), FALSE),IF(AK46&lt;&gt;"",CONCATENATE(",",VLOOKUP(AK46,$B:$AL,37,FALSE)),""))</f>
        <v>1,2,1</v>
      </c>
      <c r="AV46">
        <v>30</v>
      </c>
      <c r="AW46" s="15">
        <f t="shared" si="2"/>
        <v>183</v>
      </c>
      <c r="AX46">
        <v>-15</v>
      </c>
      <c r="AY46">
        <v>-2</v>
      </c>
      <c r="AZ46">
        <f t="shared" si="3"/>
        <v>6</v>
      </c>
      <c r="BA46">
        <f t="shared" si="4"/>
        <v>0</v>
      </c>
      <c r="BB46">
        <f t="shared" si="5"/>
        <v>0</v>
      </c>
      <c r="BC46" s="3">
        <f t="shared" si="6"/>
        <v>1</v>
      </c>
      <c r="BD46">
        <f t="shared" si="7"/>
        <v>2</v>
      </c>
      <c r="BE46">
        <f>VLOOKUP($F46,Constants!$I:$K, 2, FALSE)</f>
        <v>1</v>
      </c>
      <c r="BF46">
        <f>VLOOKUP($F46,Constants!$I:$K, 3, FALSE)*IF(AND(E46="multiple_unit",Z46&lt;110),0.75,1)</f>
        <v>0.45</v>
      </c>
      <c r="BG46">
        <f>INT(POWER(((Constants!$G$2+$AZ46+$BA46+$BB46+$BD46)*$BC46)*$BF46, 1.05))+$AY46</f>
        <v>4</v>
      </c>
      <c r="BH46">
        <f>INT(POWER((((Constants!$G$1+$AZ46+$BA46+$BB46+$BD46)*($BC46))*$BE46),IF($E46="wagon",1,1.2)))+$AX46</f>
        <v>8</v>
      </c>
      <c r="BI46" s="14">
        <f t="shared" si="8"/>
        <v>250</v>
      </c>
      <c r="BJ46" s="14">
        <f t="shared" si="9"/>
        <v>21.84</v>
      </c>
      <c r="BQ46">
        <v>1</v>
      </c>
      <c r="BR46">
        <v>185</v>
      </c>
      <c r="BS46" t="s">
        <v>1362</v>
      </c>
      <c r="BT46" t="s">
        <v>714</v>
      </c>
      <c r="BU46" t="str">
        <f>VLOOKUP(H46,Eras!$A$2:$C$10, 2, TRUE)</f>
        <v>early</v>
      </c>
      <c r="BV46" t="s">
        <v>340</v>
      </c>
      <c r="BW46" t="str">
        <f t="shared" si="10"/>
        <v>early_Open Wagon</v>
      </c>
      <c r="BX46" t="str">
        <f t="shared" si="11"/>
        <v>wagon_PLATEWAY</v>
      </c>
      <c r="BY46" t="str">
        <f>VLOOKUP($BX46, Constants!$M:$N, 2, FALSE)</f>
        <v/>
      </c>
      <c r="BZ46" t="str">
        <f t="shared" si="17"/>
        <v/>
      </c>
      <c r="CA46" t="s">
        <v>1352</v>
      </c>
      <c r="CB46" t="str">
        <f t="shared" si="18"/>
        <v/>
      </c>
      <c r="CC46" t="str">
        <f t="shared" si="14"/>
        <v>{SILVER}Early open wagons had simple four-wheeled structures and were typically pulled by horses on quarry lines.</v>
      </c>
    </row>
    <row r="47" spans="1:81" x14ac:dyDescent="0.25">
      <c r="A47" t="s">
        <v>120</v>
      </c>
      <c r="B47" t="s">
        <v>256</v>
      </c>
      <c r="C47">
        <v>22</v>
      </c>
      <c r="D47">
        <v>1022</v>
      </c>
      <c r="E47" t="s">
        <v>281</v>
      </c>
      <c r="F47" t="s">
        <v>281</v>
      </c>
      <c r="G47" t="s">
        <v>275</v>
      </c>
      <c r="H47">
        <v>1850</v>
      </c>
      <c r="J47">
        <v>1920</v>
      </c>
      <c r="U47">
        <v>5</v>
      </c>
      <c r="W47">
        <v>3</v>
      </c>
      <c r="Y47" s="3" t="str">
        <f t="shared" si="16"/>
        <v/>
      </c>
      <c r="Z47">
        <v>35</v>
      </c>
      <c r="AA47">
        <f t="shared" si="15"/>
        <v>56</v>
      </c>
      <c r="AD47">
        <v>4.9000000000000004</v>
      </c>
      <c r="AE47">
        <v>6</v>
      </c>
      <c r="AH47" s="10">
        <v>15</v>
      </c>
      <c r="AI47" t="str">
        <f>CONCATENATE(VLOOKUP(AJ47, 'Voxel Sizes'!$A$2:$B$18,2,FALSE),"x",INT(AF47*15), "x", INT(AG47*15))</f>
        <v>60x0x0</v>
      </c>
      <c r="AJ47">
        <f t="shared" si="1"/>
        <v>4</v>
      </c>
      <c r="AL47" t="str">
        <f>CONCATENATE(VLOOKUP(AJ47,Constants!$A$2:$C$16,IF(AK47&lt;&gt;"", 3, 2), FALSE),IF(AK47&lt;&gt;"",CONCATENATE(",",VLOOKUP(AK47,$B:$AL,37,FALSE)),""))</f>
        <v>1,2,1</v>
      </c>
      <c r="AV47">
        <v>30</v>
      </c>
      <c r="AW47" s="15">
        <f t="shared" si="2"/>
        <v>78</v>
      </c>
      <c r="AZ47">
        <f t="shared" si="3"/>
        <v>7</v>
      </c>
      <c r="BA47">
        <f t="shared" si="4"/>
        <v>0</v>
      </c>
      <c r="BB47">
        <f t="shared" si="5"/>
        <v>0</v>
      </c>
      <c r="BC47" s="3">
        <f t="shared" si="6"/>
        <v>1</v>
      </c>
      <c r="BD47">
        <f t="shared" si="7"/>
        <v>2.5</v>
      </c>
      <c r="BE47">
        <f>VLOOKUP($F47,Constants!$I:$K, 2, FALSE)</f>
        <v>1</v>
      </c>
      <c r="BF47">
        <f>VLOOKUP($F47,Constants!$I:$K, 3, FALSE)*IF(AND(E47="multiple_unit",Z47&lt;110),0.75,1)</f>
        <v>0.45</v>
      </c>
      <c r="BG47">
        <f>INT(POWER(((Constants!$G$2+$AZ47+$BA47+$BB47+$BD47)*$BC47)*$BF47, 1.05))+$AY47</f>
        <v>7</v>
      </c>
      <c r="BH47">
        <f>INT(POWER((((Constants!$G$1+$AZ47+$BA47+$BB47+$BD47)*($BC47))*$BE47),IF($E47="wagon",1,1.2)))+$AX47</f>
        <v>24</v>
      </c>
      <c r="BI47" s="14">
        <f t="shared" si="8"/>
        <v>437.5</v>
      </c>
      <c r="BJ47" s="14">
        <f t="shared" si="9"/>
        <v>65.52</v>
      </c>
      <c r="BQ47">
        <v>1</v>
      </c>
      <c r="BR47">
        <v>185</v>
      </c>
      <c r="BS47" t="s">
        <v>1362</v>
      </c>
      <c r="BT47" t="s">
        <v>714</v>
      </c>
      <c r="BU47" t="str">
        <f>VLOOKUP(H47,Eras!$A$2:$C$10, 2, TRUE)</f>
        <v>vct</v>
      </c>
      <c r="BV47" t="s">
        <v>340</v>
      </c>
      <c r="BW47" t="str">
        <f t="shared" si="10"/>
        <v>vct_Open Wagon</v>
      </c>
      <c r="BX47" t="str">
        <f t="shared" si="11"/>
        <v>wagon_RAIL</v>
      </c>
      <c r="BY47" t="str">
        <f>VLOOKUP($BX47, Constants!$M:$N, 2, FALSE)</f>
        <v/>
      </c>
      <c r="BZ47" t="str">
        <f t="shared" si="17"/>
        <v/>
      </c>
      <c r="CA47" t="s">
        <v>364</v>
      </c>
      <c r="CB47" t="str">
        <f t="shared" si="18"/>
        <v/>
      </c>
      <c r="CC47" t="str">
        <f t="shared" si="14"/>
        <v>{SILVER}Open "plank" wagons are named for the number of planks used in the construction of their sides.</v>
      </c>
    </row>
    <row r="48" spans="1:81" x14ac:dyDescent="0.25">
      <c r="A48" t="s">
        <v>121</v>
      </c>
      <c r="B48" t="s">
        <v>257</v>
      </c>
      <c r="C48">
        <v>23</v>
      </c>
      <c r="D48">
        <v>1023</v>
      </c>
      <c r="E48" t="s">
        <v>281</v>
      </c>
      <c r="F48" t="s">
        <v>281</v>
      </c>
      <c r="G48" t="s">
        <v>275</v>
      </c>
      <c r="H48">
        <v>1902</v>
      </c>
      <c r="J48">
        <v>1965</v>
      </c>
      <c r="U48">
        <v>8</v>
      </c>
      <c r="W48">
        <v>3</v>
      </c>
      <c r="Y48" s="3" t="str">
        <f t="shared" si="16"/>
        <v/>
      </c>
      <c r="Z48">
        <v>45</v>
      </c>
      <c r="AA48">
        <f t="shared" si="15"/>
        <v>72</v>
      </c>
      <c r="AD48">
        <v>4.9000000000000004</v>
      </c>
      <c r="AE48">
        <v>6</v>
      </c>
      <c r="AH48" s="10">
        <v>21</v>
      </c>
      <c r="AI48" t="str">
        <f>CONCATENATE(VLOOKUP(AJ48, 'Voxel Sizes'!$A$2:$B$18,2,FALSE),"x",INT(AF48*15), "x", INT(AG48*15))</f>
        <v>60x0x0</v>
      </c>
      <c r="AJ48">
        <f t="shared" si="1"/>
        <v>4</v>
      </c>
      <c r="AL48" t="str">
        <f>CONCATENATE(VLOOKUP(AJ48,Constants!$A$2:$C$16,IF(AK48&lt;&gt;"", 3, 2), FALSE),IF(AK48&lt;&gt;"",CONCATENATE(",",VLOOKUP(AK48,$B:$AL,37,FALSE)),""))</f>
        <v>1,2,1</v>
      </c>
      <c r="AV48">
        <v>30</v>
      </c>
      <c r="AW48" s="15">
        <f t="shared" si="2"/>
        <v>71</v>
      </c>
      <c r="AZ48">
        <f t="shared" si="3"/>
        <v>9</v>
      </c>
      <c r="BA48">
        <f t="shared" si="4"/>
        <v>0</v>
      </c>
      <c r="BB48">
        <f t="shared" si="5"/>
        <v>0</v>
      </c>
      <c r="BC48" s="3">
        <f t="shared" si="6"/>
        <v>0.99733333333333329</v>
      </c>
      <c r="BD48">
        <f t="shared" si="7"/>
        <v>3.5000000000000004</v>
      </c>
      <c r="BE48">
        <f>VLOOKUP($F48,Constants!$I:$K, 2, FALSE)</f>
        <v>1</v>
      </c>
      <c r="BF48">
        <f>VLOOKUP($F48,Constants!$I:$K, 3, FALSE)*IF(AND(E48="multiple_unit",Z48&lt;110),0.75,1)</f>
        <v>0.45</v>
      </c>
      <c r="BG48">
        <f>INT(POWER(((Constants!$G$2+$AZ48+$BA48+$BB48+$BD48)*$BC48)*$BF48, 1.05))+$AY48</f>
        <v>8</v>
      </c>
      <c r="BH48">
        <f>INT(POWER((((Constants!$G$1+$AZ48+$BA48+$BB48+$BD48)*($BC48))*$BE48),IF($E48="wagon",1,1.2)))+$AX48</f>
        <v>27</v>
      </c>
      <c r="BI48" s="14">
        <f t="shared" si="8"/>
        <v>500</v>
      </c>
      <c r="BJ48" s="14">
        <f t="shared" si="9"/>
        <v>73.709999999999994</v>
      </c>
      <c r="BQ48">
        <v>1</v>
      </c>
      <c r="BR48">
        <v>185</v>
      </c>
      <c r="BS48" t="s">
        <v>1041</v>
      </c>
      <c r="BT48" t="s">
        <v>714</v>
      </c>
      <c r="BU48" t="str">
        <f>VLOOKUP(H48,Eras!$A$2:$C$10, 2, TRUE)</f>
        <v>edw</v>
      </c>
      <c r="BV48" t="s">
        <v>340</v>
      </c>
      <c r="BW48" t="str">
        <f t="shared" si="10"/>
        <v>edw_Open Wagon</v>
      </c>
      <c r="BX48" t="str">
        <f t="shared" si="11"/>
        <v>wagon_RAIL</v>
      </c>
      <c r="BY48" t="str">
        <f>VLOOKUP($BX48, Constants!$M:$N, 2, FALSE)</f>
        <v/>
      </c>
      <c r="BZ48" t="str">
        <f t="shared" si="17"/>
        <v/>
      </c>
      <c r="CA48" t="s">
        <v>365</v>
      </c>
      <c r="CB48" t="str">
        <f t="shared" si="18"/>
        <v/>
      </c>
      <c r="CC48" t="str">
        <f t="shared" si="14"/>
        <v>{SILVER}The 5 plank wagon became one of the common standard types used by the GWR, with thousands built.</v>
      </c>
    </row>
    <row r="49" spans="1:81" x14ac:dyDescent="0.25">
      <c r="A49" t="s">
        <v>122</v>
      </c>
      <c r="B49" t="s">
        <v>207</v>
      </c>
      <c r="C49">
        <v>24</v>
      </c>
      <c r="D49">
        <v>1024</v>
      </c>
      <c r="E49" t="s">
        <v>281</v>
      </c>
      <c r="F49" t="s">
        <v>281</v>
      </c>
      <c r="G49" t="s">
        <v>275</v>
      </c>
      <c r="H49">
        <v>1935</v>
      </c>
      <c r="J49">
        <v>1970</v>
      </c>
      <c r="U49">
        <v>10</v>
      </c>
      <c r="W49">
        <v>4</v>
      </c>
      <c r="Y49" s="3" t="str">
        <f t="shared" si="16"/>
        <v/>
      </c>
      <c r="Z49">
        <v>50</v>
      </c>
      <c r="AA49">
        <f t="shared" si="15"/>
        <v>80</v>
      </c>
      <c r="AD49">
        <v>8</v>
      </c>
      <c r="AE49">
        <v>8</v>
      </c>
      <c r="AH49" s="10">
        <v>27</v>
      </c>
      <c r="AI49" t="str">
        <f>CONCATENATE(VLOOKUP(AJ49, 'Voxel Sizes'!$A$2:$B$18,2,FALSE),"x",INT(AF49*15), "x", INT(AG49*15))</f>
        <v>82x0x0</v>
      </c>
      <c r="AJ49">
        <f t="shared" si="1"/>
        <v>5</v>
      </c>
      <c r="AL49" t="str">
        <f>CONCATENATE(VLOOKUP(AJ49,Constants!$A$2:$C$16,IF(AK49&lt;&gt;"", 3, 2), FALSE),IF(AK49&lt;&gt;"",CONCATENATE(",",VLOOKUP(AK49,$B:$AL,37,FALSE)),""))</f>
        <v>2,1,2</v>
      </c>
      <c r="AV49">
        <v>30</v>
      </c>
      <c r="AW49" s="15">
        <f t="shared" si="2"/>
        <v>43</v>
      </c>
      <c r="AZ49">
        <f t="shared" si="3"/>
        <v>10</v>
      </c>
      <c r="BA49">
        <f t="shared" si="4"/>
        <v>0</v>
      </c>
      <c r="BB49">
        <f t="shared" si="5"/>
        <v>0</v>
      </c>
      <c r="BC49" s="3">
        <f t="shared" si="6"/>
        <v>0.95333333333333337</v>
      </c>
      <c r="BD49">
        <f t="shared" si="7"/>
        <v>4.5</v>
      </c>
      <c r="BE49">
        <f>VLOOKUP($F49,Constants!$I:$K, 2, FALSE)</f>
        <v>1</v>
      </c>
      <c r="BF49">
        <f>VLOOKUP($F49,Constants!$I:$K, 3, FALSE)*IF(AND(E49="multiple_unit",Z49&lt;110),0.75,1)</f>
        <v>0.45</v>
      </c>
      <c r="BG49">
        <f>INT(POWER(((Constants!$G$2+$AZ49+$BA49+$BB49+$BD49)*$BC49)*$BF49, 1.05))+$AY49</f>
        <v>9</v>
      </c>
      <c r="BH49">
        <f>INT(POWER((((Constants!$G$1+$AZ49+$BA49+$BB49+$BD49)*($BC49))*$BE49),IF($E49="wagon",1,1.2)))+$AX49</f>
        <v>28</v>
      </c>
      <c r="BI49" s="14">
        <f t="shared" si="8"/>
        <v>562.5</v>
      </c>
      <c r="BJ49" s="14">
        <f t="shared" si="9"/>
        <v>76.44</v>
      </c>
      <c r="BQ49">
        <v>1</v>
      </c>
      <c r="BR49">
        <v>185</v>
      </c>
      <c r="BS49" t="s">
        <v>1041</v>
      </c>
      <c r="BT49" t="s">
        <v>714</v>
      </c>
      <c r="BU49" t="str">
        <f>VLOOKUP(H49,Eras!$A$2:$C$10, 2, TRUE)</f>
        <v>big4</v>
      </c>
      <c r="BV49" t="s">
        <v>340</v>
      </c>
      <c r="BW49" t="str">
        <f t="shared" si="10"/>
        <v>big4_Open Wagon</v>
      </c>
      <c r="BX49" t="str">
        <f t="shared" si="11"/>
        <v>wagon_RAIL</v>
      </c>
      <c r="BY49" t="str">
        <f>VLOOKUP($BX49, Constants!$M:$N, 2, FALSE)</f>
        <v/>
      </c>
      <c r="BZ49" t="str">
        <f t="shared" si="17"/>
        <v/>
      </c>
      <c r="CA49" t="s">
        <v>715</v>
      </c>
      <c r="CB49" t="str">
        <f t="shared" si="18"/>
        <v/>
      </c>
      <c r="CC49" t="str">
        <f t="shared" si="14"/>
        <v>{SILVER}Steel wagons were introduced in the 1930s to have a longer service life than wooden wagons, which were proving uneconomical for many owners to operate after recessions at the start of the decade.</v>
      </c>
    </row>
    <row r="50" spans="1:81" x14ac:dyDescent="0.25">
      <c r="A50" t="s">
        <v>719</v>
      </c>
      <c r="B50" t="s">
        <v>720</v>
      </c>
      <c r="C50">
        <v>26</v>
      </c>
      <c r="D50">
        <v>1025</v>
      </c>
      <c r="E50" t="s">
        <v>281</v>
      </c>
      <c r="F50" t="s">
        <v>281</v>
      </c>
      <c r="G50" t="s">
        <v>275</v>
      </c>
      <c r="H50">
        <v>1951</v>
      </c>
      <c r="J50">
        <v>1985</v>
      </c>
      <c r="U50">
        <v>10</v>
      </c>
      <c r="W50">
        <v>4</v>
      </c>
      <c r="Y50" s="3" t="str">
        <f t="shared" si="16"/>
        <v/>
      </c>
      <c r="Z50">
        <v>60</v>
      </c>
      <c r="AA50">
        <f t="shared" si="15"/>
        <v>96</v>
      </c>
      <c r="AD50">
        <v>8</v>
      </c>
      <c r="AE50">
        <v>8</v>
      </c>
      <c r="AH50" s="10">
        <v>27</v>
      </c>
      <c r="AI50" t="str">
        <f>CONCATENATE(VLOOKUP(AJ50, 'Voxel Sizes'!$A$2:$B$18,2,FALSE),"x",INT(AF50*15), "x", INT(AG50*15))</f>
        <v>82x0x0</v>
      </c>
      <c r="AJ50">
        <f t="shared" si="1"/>
        <v>5</v>
      </c>
      <c r="AL50" t="str">
        <f>CONCATENATE(VLOOKUP(AJ50,Constants!$A$2:$C$16,IF(AK50&lt;&gt;"", 3, 2), FALSE),IF(AK50&lt;&gt;"",CONCATENATE(",",VLOOKUP(AK50,$B:$AL,37,FALSE)),""))</f>
        <v>2,1,2</v>
      </c>
      <c r="AV50">
        <v>30</v>
      </c>
      <c r="AW50" s="15">
        <f t="shared" si="2"/>
        <v>42</v>
      </c>
      <c r="AZ50">
        <f t="shared" si="3"/>
        <v>12</v>
      </c>
      <c r="BA50">
        <f t="shared" si="4"/>
        <v>0</v>
      </c>
      <c r="BB50">
        <f t="shared" si="5"/>
        <v>0</v>
      </c>
      <c r="BC50" s="3">
        <f t="shared" si="6"/>
        <v>0.93199999999999994</v>
      </c>
      <c r="BD50">
        <f t="shared" si="7"/>
        <v>4.5</v>
      </c>
      <c r="BE50">
        <f>VLOOKUP($F50,Constants!$I:$K, 2, FALSE)</f>
        <v>1</v>
      </c>
      <c r="BF50">
        <f>VLOOKUP($F50,Constants!$I:$K, 3, FALSE)*IF(AND(E50="multiple_unit",Z50&lt;110),0.75,1)</f>
        <v>0.45</v>
      </c>
      <c r="BG50">
        <f>INT(POWER(((Constants!$G$2+$AZ50+$BA50+$BB50+$BD50)*$BC50)*$BF50, 1.05))+$AY50</f>
        <v>10</v>
      </c>
      <c r="BH50">
        <f>INT(POWER((((Constants!$G$1+$AZ50+$BA50+$BB50+$BD50)*($BC50))*$BE50),IF($E50="wagon",1,1.2)))+$AX50</f>
        <v>29</v>
      </c>
      <c r="BI50" s="14">
        <f t="shared" si="8"/>
        <v>625</v>
      </c>
      <c r="BJ50" s="14">
        <f t="shared" si="9"/>
        <v>79.17</v>
      </c>
      <c r="BQ50">
        <v>1</v>
      </c>
      <c r="BR50">
        <v>185</v>
      </c>
      <c r="BS50" t="s">
        <v>1041</v>
      </c>
      <c r="BT50" t="s">
        <v>714</v>
      </c>
      <c r="BU50" t="str">
        <f>VLOOKUP(H50,Eras!$A$2:$C$10, 2, TRUE)</f>
        <v>ebr</v>
      </c>
      <c r="BV50" t="s">
        <v>340</v>
      </c>
      <c r="BW50" t="str">
        <f t="shared" si="10"/>
        <v>ebr_Open Wagon</v>
      </c>
      <c r="BX50" t="str">
        <f t="shared" si="11"/>
        <v>wagon_RAIL</v>
      </c>
      <c r="BY50" t="str">
        <f>VLOOKUP($BX50, Constants!$M:$N, 2, FALSE)</f>
        <v/>
      </c>
      <c r="BZ50" t="str">
        <f t="shared" si="17"/>
        <v/>
      </c>
      <c r="CA50" t="s">
        <v>721</v>
      </c>
      <c r="CB50" t="str">
        <f t="shared" si="18"/>
        <v/>
      </c>
      <c r="CC50" t="str">
        <f t="shared" si="14"/>
        <v>{SILVER}BR continued to make steel bodied wagons following LNER designs, gradually altering the body style.</v>
      </c>
    </row>
    <row r="51" spans="1:81" x14ac:dyDescent="0.25">
      <c r="A51" t="s">
        <v>717</v>
      </c>
      <c r="B51" t="s">
        <v>718</v>
      </c>
      <c r="C51">
        <v>28</v>
      </c>
      <c r="D51">
        <v>1026</v>
      </c>
      <c r="E51" t="s">
        <v>281</v>
      </c>
      <c r="F51" t="s">
        <v>281</v>
      </c>
      <c r="G51" t="s">
        <v>275</v>
      </c>
      <c r="H51">
        <v>1971</v>
      </c>
      <c r="J51">
        <v>2018</v>
      </c>
      <c r="U51">
        <v>14</v>
      </c>
      <c r="W51">
        <v>5</v>
      </c>
      <c r="Y51" s="3" t="str">
        <f t="shared" si="16"/>
        <v/>
      </c>
      <c r="Z51">
        <v>70</v>
      </c>
      <c r="AA51">
        <f t="shared" si="15"/>
        <v>112</v>
      </c>
      <c r="AD51">
        <v>10</v>
      </c>
      <c r="AE51">
        <v>10</v>
      </c>
      <c r="AH51" s="10">
        <v>33</v>
      </c>
      <c r="AI51" t="str">
        <f>CONCATENATE(VLOOKUP(AJ51, 'Voxel Sizes'!$A$2:$B$18,2,FALSE),"x",INT(AF51*15), "x", INT(AG51*15))</f>
        <v>102x0x0</v>
      </c>
      <c r="AJ51">
        <f t="shared" si="1"/>
        <v>6</v>
      </c>
      <c r="AL51" t="str">
        <f>CONCATENATE(VLOOKUP(AJ51,Constants!$A$2:$C$16,IF(AK51&lt;&gt;"", 3, 2), FALSE),IF(AK51&lt;&gt;"",CONCATENATE(",",VLOOKUP(AK51,$B:$AL,37,FALSE)),""))</f>
        <v>2,2,2</v>
      </c>
      <c r="AV51">
        <v>30</v>
      </c>
      <c r="AW51" s="15">
        <f t="shared" si="2"/>
        <v>55</v>
      </c>
      <c r="AZ51">
        <f t="shared" si="3"/>
        <v>14</v>
      </c>
      <c r="BA51">
        <f t="shared" si="4"/>
        <v>0</v>
      </c>
      <c r="BB51">
        <f t="shared" si="5"/>
        <v>0</v>
      </c>
      <c r="BC51" s="3">
        <f t="shared" si="6"/>
        <v>0.90533333333333332</v>
      </c>
      <c r="BD51">
        <f t="shared" si="7"/>
        <v>5.5</v>
      </c>
      <c r="BE51">
        <f>VLOOKUP($F51,Constants!$I:$K, 2, FALSE)</f>
        <v>1</v>
      </c>
      <c r="BF51">
        <f>VLOOKUP($F51,Constants!$I:$K, 3, FALSE)*IF(AND(E51="multiple_unit",Z51&lt;110),0.75,1)</f>
        <v>0.45</v>
      </c>
      <c r="BG51">
        <f>INT(POWER(((Constants!$G$2+$AZ51+$BA51+$BB51+$BD51)*$BC51)*$BF51, 1.05))+$AY51</f>
        <v>11</v>
      </c>
      <c r="BH51">
        <f>INT(POWER((((Constants!$G$1+$AZ51+$BA51+$BB51+$BD51)*($BC51))*$BE51),IF($E51="wagon",1,1.2)))+$AX51</f>
        <v>31</v>
      </c>
      <c r="BI51" s="14">
        <f t="shared" si="8"/>
        <v>687.5</v>
      </c>
      <c r="BJ51" s="14">
        <f t="shared" si="9"/>
        <v>84.63</v>
      </c>
      <c r="BQ51">
        <v>1</v>
      </c>
      <c r="BR51">
        <v>185</v>
      </c>
      <c r="BS51" t="s">
        <v>1041</v>
      </c>
      <c r="BT51" t="s">
        <v>714</v>
      </c>
      <c r="BU51" t="str">
        <f>VLOOKUP(H51,Eras!$A$2:$C$10, 2, TRUE)</f>
        <v>lbr</v>
      </c>
      <c r="BV51" t="s">
        <v>340</v>
      </c>
      <c r="BW51" t="str">
        <f t="shared" si="10"/>
        <v>lbr_Open Wagon</v>
      </c>
      <c r="BX51" t="str">
        <f t="shared" si="11"/>
        <v>wagon_RAIL</v>
      </c>
      <c r="BY51" t="str">
        <f>VLOOKUP($BX51, Constants!$M:$N, 2, FALSE)</f>
        <v/>
      </c>
      <c r="BZ51" t="str">
        <f t="shared" si="17"/>
        <v/>
      </c>
      <c r="CA51" t="s">
        <v>722</v>
      </c>
      <c r="CB51" t="str">
        <f t="shared" si="18"/>
        <v/>
      </c>
      <c r="CC51" t="str">
        <f t="shared" si="14"/>
        <v>{SILVER}The OAA/OBA wagons were BR's first air braked open wagons, later forming part of the Speedlink network. They featured steel end frames with wooden drop sides.</v>
      </c>
    </row>
    <row r="52" spans="1:81" x14ac:dyDescent="0.25">
      <c r="A52" t="s">
        <v>723</v>
      </c>
      <c r="B52" t="s">
        <v>725</v>
      </c>
      <c r="C52">
        <v>30</v>
      </c>
      <c r="D52">
        <v>1027</v>
      </c>
      <c r="E52" t="s">
        <v>281</v>
      </c>
      <c r="F52" t="s">
        <v>281</v>
      </c>
      <c r="G52" t="s">
        <v>275</v>
      </c>
      <c r="H52">
        <v>1989</v>
      </c>
      <c r="U52">
        <v>12</v>
      </c>
      <c r="W52">
        <v>6</v>
      </c>
      <c r="Y52" s="3" t="str">
        <f t="shared" si="16"/>
        <v/>
      </c>
      <c r="Z52">
        <v>80</v>
      </c>
      <c r="AA52">
        <f t="shared" si="15"/>
        <v>128</v>
      </c>
      <c r="AD52">
        <v>10</v>
      </c>
      <c r="AE52">
        <v>10</v>
      </c>
      <c r="AH52" s="10">
        <v>45</v>
      </c>
      <c r="AI52" t="str">
        <f>CONCATENATE(VLOOKUP(AJ52, 'Voxel Sizes'!$A$2:$B$18,2,FALSE),"x",INT(AF52*15), "x", INT(AG52*15))</f>
        <v>102x0x0</v>
      </c>
      <c r="AJ52">
        <f t="shared" si="1"/>
        <v>6</v>
      </c>
      <c r="AL52" t="str">
        <f>CONCATENATE(VLOOKUP(AJ52,Constants!$A$2:$C$16,IF(AK52&lt;&gt;"", 3, 2), FALSE),IF(AK52&lt;&gt;"",CONCATENATE(",",VLOOKUP(AK52,$B:$AL,37,FALSE)),""))</f>
        <v>2,2,2</v>
      </c>
      <c r="AV52">
        <v>30</v>
      </c>
      <c r="AW52" s="15" t="str">
        <f t="shared" si="2"/>
        <v/>
      </c>
      <c r="AZ52">
        <f t="shared" si="3"/>
        <v>16</v>
      </c>
      <c r="BA52">
        <f t="shared" si="4"/>
        <v>0</v>
      </c>
      <c r="BB52">
        <f t="shared" si="5"/>
        <v>0</v>
      </c>
      <c r="BC52" s="3">
        <f t="shared" si="6"/>
        <v>0.8813333333333333</v>
      </c>
      <c r="BD52">
        <f t="shared" si="7"/>
        <v>7.5</v>
      </c>
      <c r="BE52">
        <f>VLOOKUP($F52,Constants!$I:$K, 2, FALSE)</f>
        <v>1</v>
      </c>
      <c r="BF52">
        <f>VLOOKUP($F52,Constants!$I:$K, 3, FALSE)*IF(AND(E52="multiple_unit",Z52&lt;110),0.75,1)</f>
        <v>0.45</v>
      </c>
      <c r="BG52">
        <f>INT(POWER(((Constants!$G$2+$AZ52+$BA52+$BB52+$BD52)*$BC52)*$BF52, 1.05))+$AY52</f>
        <v>12</v>
      </c>
      <c r="BH52">
        <f>INT(POWER((((Constants!$G$1+$AZ52+$BA52+$BB52+$BD52)*($BC52))*$BE52),IF($E52="wagon",1,1.2)))+$AX52</f>
        <v>33</v>
      </c>
      <c r="BI52" s="14">
        <f t="shared" si="8"/>
        <v>750</v>
      </c>
      <c r="BJ52" s="14">
        <f t="shared" si="9"/>
        <v>90.09</v>
      </c>
      <c r="BQ52">
        <v>1</v>
      </c>
      <c r="BR52">
        <v>185</v>
      </c>
      <c r="BS52" t="s">
        <v>1041</v>
      </c>
      <c r="BT52" t="s">
        <v>714</v>
      </c>
      <c r="BU52" t="str">
        <f>VLOOKUP(H52,Eras!$A$2:$C$10, 2, TRUE)</f>
        <v>lbr</v>
      </c>
      <c r="BV52" t="s">
        <v>340</v>
      </c>
      <c r="BW52" t="str">
        <f t="shared" si="10"/>
        <v>lbr_Open Wagon</v>
      </c>
      <c r="BX52" t="str">
        <f t="shared" si="11"/>
        <v>wagon_RAIL</v>
      </c>
      <c r="BY52" t="str">
        <f>VLOOKUP($BX52, Constants!$M:$N, 2, FALSE)</f>
        <v/>
      </c>
      <c r="BZ52" t="str">
        <f t="shared" si="17"/>
        <v/>
      </c>
      <c r="CA52" t="s">
        <v>726</v>
      </c>
      <c r="CB52" t="str">
        <f t="shared" si="18"/>
        <v/>
      </c>
      <c r="CC52" t="str">
        <f t="shared" si="14"/>
        <v>{SILVER}MEA wagons used frames from old hopper wagons combined with a new box body.</v>
      </c>
    </row>
    <row r="53" spans="1:81" x14ac:dyDescent="0.25">
      <c r="A53" t="s">
        <v>724</v>
      </c>
      <c r="B53" t="s">
        <v>208</v>
      </c>
      <c r="C53">
        <v>32</v>
      </c>
      <c r="D53">
        <v>1028</v>
      </c>
      <c r="E53" t="s">
        <v>281</v>
      </c>
      <c r="F53" t="s">
        <v>281</v>
      </c>
      <c r="G53" t="s">
        <v>275</v>
      </c>
      <c r="H53">
        <v>2015</v>
      </c>
      <c r="U53">
        <v>24</v>
      </c>
      <c r="W53">
        <v>5</v>
      </c>
      <c r="Y53" s="3" t="str">
        <f t="shared" si="16"/>
        <v/>
      </c>
      <c r="Z53">
        <v>80</v>
      </c>
      <c r="AA53">
        <f t="shared" si="15"/>
        <v>128</v>
      </c>
      <c r="AD53">
        <v>17</v>
      </c>
      <c r="AE53">
        <v>17</v>
      </c>
      <c r="AH53" s="10">
        <v>78</v>
      </c>
      <c r="AI53" t="str">
        <f>CONCATENATE(VLOOKUP(AJ53, 'Voxel Sizes'!$A$2:$B$18,2,FALSE),"x",INT(AF53*15), "x", INT(AG53*15))</f>
        <v>164x0x0</v>
      </c>
      <c r="AJ53">
        <f t="shared" si="1"/>
        <v>10</v>
      </c>
      <c r="AL53" t="str">
        <f>CONCATENATE(VLOOKUP(AJ53,Constants!$A$2:$C$16,IF(AK53&lt;&gt;"", 3, 2), FALSE),IF(AK53&lt;&gt;"",CONCATENATE(",",VLOOKUP(AK53,$B:$AL,37,FALSE)),""))</f>
        <v>4,2,4</v>
      </c>
      <c r="AV53">
        <v>30</v>
      </c>
      <c r="AW53" s="15" t="str">
        <f t="shared" si="2"/>
        <v/>
      </c>
      <c r="AZ53">
        <f t="shared" si="3"/>
        <v>16</v>
      </c>
      <c r="BA53">
        <f t="shared" si="4"/>
        <v>0</v>
      </c>
      <c r="BB53">
        <f t="shared" si="5"/>
        <v>0</v>
      </c>
      <c r="BC53" s="3">
        <f t="shared" si="6"/>
        <v>0.84666666666666668</v>
      </c>
      <c r="BD53">
        <f t="shared" si="7"/>
        <v>13</v>
      </c>
      <c r="BE53">
        <f>VLOOKUP($F53,Constants!$I:$K, 2, FALSE)</f>
        <v>1</v>
      </c>
      <c r="BF53">
        <f>VLOOKUP($F53,Constants!$I:$K, 3, FALSE)*IF(AND(E53="multiple_unit",Z53&lt;110),0.75,1)</f>
        <v>0.45</v>
      </c>
      <c r="BG53">
        <f>INT(POWER(((Constants!$G$2+$AZ53+$BA53+$BB53+$BD53)*$BC53)*$BF53, 1.05))+$AY53</f>
        <v>14</v>
      </c>
      <c r="BH53">
        <f>INT(POWER((((Constants!$G$1+$AZ53+$BA53+$BB53+$BD53)*($BC53))*$BE53),IF($E53="wagon",1,1.2)))+$AX53</f>
        <v>37</v>
      </c>
      <c r="BI53" s="14">
        <f t="shared" si="8"/>
        <v>875</v>
      </c>
      <c r="BJ53" s="14">
        <f t="shared" si="9"/>
        <v>101.01</v>
      </c>
      <c r="BQ53">
        <v>1</v>
      </c>
      <c r="BR53">
        <v>185</v>
      </c>
      <c r="BS53" t="s">
        <v>1041</v>
      </c>
      <c r="BT53" t="s">
        <v>714</v>
      </c>
      <c r="BU53" t="str">
        <f>VLOOKUP(H53,Eras!$A$2:$C$10, 2, TRUE)</f>
        <v>mod</v>
      </c>
      <c r="BV53" t="s">
        <v>340</v>
      </c>
      <c r="BW53" t="str">
        <f t="shared" si="10"/>
        <v>mod_Open Wagon</v>
      </c>
      <c r="BX53" t="str">
        <f t="shared" si="11"/>
        <v>wagon_RAIL</v>
      </c>
      <c r="BY53" t="str">
        <f>VLOOKUP($BX53, Constants!$M:$N, 2, FALSE)</f>
        <v/>
      </c>
      <c r="BZ53" t="str">
        <f t="shared" si="17"/>
        <v/>
      </c>
      <c r="CA53" t="s">
        <v>727</v>
      </c>
      <c r="CB53" t="str">
        <f t="shared" si="18"/>
        <v/>
      </c>
      <c r="CC53" t="str">
        <f t="shared" si="14"/>
        <v>{SILVER}The MWA is another wagon rebuilt using new bodies on an old frame, resulting in a high capacity bogie open wagon.</v>
      </c>
    </row>
    <row r="54" spans="1:81" x14ac:dyDescent="0.25">
      <c r="A54" t="s">
        <v>729</v>
      </c>
      <c r="B54" t="s">
        <v>731</v>
      </c>
      <c r="C54">
        <v>40</v>
      </c>
      <c r="D54">
        <v>1029</v>
      </c>
      <c r="E54" t="s">
        <v>281</v>
      </c>
      <c r="F54" t="s">
        <v>281</v>
      </c>
      <c r="G54" t="s">
        <v>275</v>
      </c>
      <c r="H54">
        <v>1968</v>
      </c>
      <c r="J54">
        <v>2010</v>
      </c>
      <c r="U54">
        <v>17</v>
      </c>
      <c r="W54">
        <v>8</v>
      </c>
      <c r="Y54" s="3" t="str">
        <f t="shared" si="16"/>
        <v/>
      </c>
      <c r="Z54">
        <v>60</v>
      </c>
      <c r="AA54">
        <f t="shared" si="15"/>
        <v>96</v>
      </c>
      <c r="AD54">
        <v>10</v>
      </c>
      <c r="AE54">
        <v>10</v>
      </c>
      <c r="AH54" s="10">
        <v>45</v>
      </c>
      <c r="AI54" t="str">
        <f>CONCATENATE(VLOOKUP(AJ54, 'Voxel Sizes'!$A$2:$B$18,2,FALSE),"x",INT(AF54*15), "x", INT(AG54*15))</f>
        <v>102x0x0</v>
      </c>
      <c r="AJ54">
        <f t="shared" si="1"/>
        <v>6</v>
      </c>
      <c r="AL54" t="str">
        <f>CONCATENATE(VLOOKUP(AJ54,Constants!$A$2:$C$16,IF(AK54&lt;&gt;"", 3, 2), FALSE),IF(AK54&lt;&gt;"",CONCATENATE(",",VLOOKUP(AK54,$B:$AL,37,FALSE)),""))</f>
        <v>2,2,2</v>
      </c>
      <c r="AV54">
        <v>30</v>
      </c>
      <c r="AW54" s="15">
        <f t="shared" si="2"/>
        <v>50</v>
      </c>
      <c r="AZ54">
        <f t="shared" si="3"/>
        <v>12</v>
      </c>
      <c r="BA54">
        <f t="shared" si="4"/>
        <v>0</v>
      </c>
      <c r="BB54">
        <f t="shared" si="5"/>
        <v>0</v>
      </c>
      <c r="BC54" s="3">
        <f t="shared" si="6"/>
        <v>0.90933333333333333</v>
      </c>
      <c r="BD54">
        <f t="shared" si="7"/>
        <v>7.5</v>
      </c>
      <c r="BE54">
        <f>VLOOKUP($F54,Constants!$I:$K, 2, FALSE)</f>
        <v>1</v>
      </c>
      <c r="BF54">
        <f>VLOOKUP($F54,Constants!$I:$K, 3, FALSE)*IF(AND(E54="multiple_unit",Z54&lt;110),0.75,1)</f>
        <v>0.45</v>
      </c>
      <c r="BG54">
        <f>INT(POWER(((Constants!$G$2+$AZ54+$BA54+$BB54+$BD54)*$BC54)*$BF54, 1.05))+$AY54</f>
        <v>11</v>
      </c>
      <c r="BH54">
        <f>INT(POWER((((Constants!$G$1+$AZ54+$BA54+$BB54+$BD54)*($BC54))*$BE54),IF($E54="wagon",1,1.2)))+$AX54</f>
        <v>31</v>
      </c>
      <c r="BI54" s="14">
        <f t="shared" si="8"/>
        <v>687.5</v>
      </c>
      <c r="BJ54" s="14">
        <f t="shared" si="9"/>
        <v>84.63</v>
      </c>
      <c r="BQ54">
        <v>1</v>
      </c>
      <c r="BR54">
        <v>185</v>
      </c>
      <c r="BS54" t="s">
        <v>1041</v>
      </c>
      <c r="BT54" t="s">
        <v>714</v>
      </c>
      <c r="BU54" t="str">
        <f>VLOOKUP(H54,Eras!$A$2:$C$10, 2, TRUE)</f>
        <v>dsl</v>
      </c>
      <c r="BV54" t="s">
        <v>340</v>
      </c>
      <c r="BW54" t="str">
        <f t="shared" si="10"/>
        <v>dsl_Open Wagon</v>
      </c>
      <c r="BX54" t="str">
        <f t="shared" si="11"/>
        <v>wagon_RAIL</v>
      </c>
      <c r="BY54" t="str">
        <f>VLOOKUP($BX54, Constants!$M:$N, 2, FALSE)</f>
        <v/>
      </c>
      <c r="BZ54" t="str">
        <f t="shared" si="17"/>
        <v/>
      </c>
      <c r="CA54" t="s">
        <v>732</v>
      </c>
      <c r="CB54" t="str">
        <f t="shared" si="18"/>
        <v/>
      </c>
      <c r="CC54" t="str">
        <f t="shared" si="14"/>
        <v>{SILVER}MGR "merry-go-round" hoppers enabled coal trains to load and unload without stopping, emptying coal into discharge hoppers underneath the wagons. In OpenTTD this is represented by faster loading speeds.</v>
      </c>
    </row>
    <row r="55" spans="1:81" x14ac:dyDescent="0.25">
      <c r="A55" t="s">
        <v>730</v>
      </c>
      <c r="B55" t="s">
        <v>209</v>
      </c>
      <c r="C55">
        <v>41</v>
      </c>
      <c r="D55">
        <v>1030</v>
      </c>
      <c r="E55" t="s">
        <v>281</v>
      </c>
      <c r="F55" t="s">
        <v>281</v>
      </c>
      <c r="G55" t="s">
        <v>275</v>
      </c>
      <c r="H55">
        <v>2000</v>
      </c>
      <c r="U55">
        <v>24</v>
      </c>
      <c r="W55">
        <v>8</v>
      </c>
      <c r="Y55" s="3" t="str">
        <f t="shared" si="16"/>
        <v/>
      </c>
      <c r="Z55">
        <v>80</v>
      </c>
      <c r="AA55">
        <f t="shared" si="15"/>
        <v>128</v>
      </c>
      <c r="AD55">
        <v>19.7</v>
      </c>
      <c r="AE55">
        <v>19.399999999999999</v>
      </c>
      <c r="AH55" s="10">
        <v>78</v>
      </c>
      <c r="AI55" t="str">
        <f>CONCATENATE(VLOOKUP(AJ55, 'Voxel Sizes'!$A$2:$B$18,2,FALSE),"x",INT(AF55*15), "x", INT(AG55*15))</f>
        <v>186x0x0</v>
      </c>
      <c r="AJ55">
        <f t="shared" si="1"/>
        <v>11</v>
      </c>
      <c r="AL55" t="str">
        <f>CONCATENATE(VLOOKUP(AJ55,Constants!$A$2:$C$16,IF(AK55&lt;&gt;"", 3, 2), FALSE),IF(AK55&lt;&gt;"",CONCATENATE(",",VLOOKUP(AK55,$B:$AL,37,FALSE)),""))</f>
        <v>4,3,4</v>
      </c>
      <c r="AV55">
        <v>30</v>
      </c>
      <c r="AW55" s="15" t="str">
        <f t="shared" si="2"/>
        <v/>
      </c>
      <c r="AZ55">
        <f t="shared" si="3"/>
        <v>16</v>
      </c>
      <c r="BA55">
        <f t="shared" si="4"/>
        <v>0</v>
      </c>
      <c r="BB55">
        <f t="shared" si="5"/>
        <v>0</v>
      </c>
      <c r="BC55" s="3">
        <f t="shared" si="6"/>
        <v>0.8666666666666667</v>
      </c>
      <c r="BD55">
        <f t="shared" si="7"/>
        <v>13</v>
      </c>
      <c r="BE55">
        <f>VLOOKUP($F55,Constants!$I:$K, 2, FALSE)</f>
        <v>1</v>
      </c>
      <c r="BF55">
        <f>VLOOKUP($F55,Constants!$I:$K, 3, FALSE)*IF(AND(E55="multiple_unit",Z55&lt;110),0.75,1)</f>
        <v>0.45</v>
      </c>
      <c r="BG55">
        <f>INT(POWER(((Constants!$G$2+$AZ55+$BA55+$BB55+$BD55)*$BC55)*$BF55, 1.05))+$AY55</f>
        <v>15</v>
      </c>
      <c r="BH55">
        <f>INT(POWER((((Constants!$G$1+$AZ55+$BA55+$BB55+$BD55)*($BC55))*$BE55),IF($E55="wagon",1,1.2)))+$AX55</f>
        <v>38</v>
      </c>
      <c r="BI55" s="14">
        <f t="shared" si="8"/>
        <v>937.5</v>
      </c>
      <c r="BJ55" s="14">
        <f t="shared" si="9"/>
        <v>103.74</v>
      </c>
      <c r="BQ55">
        <v>1</v>
      </c>
      <c r="BR55">
        <v>185</v>
      </c>
      <c r="BS55" t="s">
        <v>1041</v>
      </c>
      <c r="BT55" t="s">
        <v>714</v>
      </c>
      <c r="BU55" t="str">
        <f>VLOOKUP(H55,Eras!$A$2:$C$10, 2, TRUE)</f>
        <v>prv</v>
      </c>
      <c r="BV55" t="s">
        <v>340</v>
      </c>
      <c r="BW55" t="str">
        <f t="shared" si="10"/>
        <v>prv_Open Wagon</v>
      </c>
      <c r="BX55" t="str">
        <f t="shared" si="11"/>
        <v>wagon_RAIL</v>
      </c>
      <c r="BY55" t="str">
        <f>VLOOKUP($BX55, Constants!$M:$N, 2, FALSE)</f>
        <v/>
      </c>
      <c r="BZ55" t="str">
        <f t="shared" si="17"/>
        <v/>
      </c>
      <c r="CA55" t="s">
        <v>728</v>
      </c>
      <c r="CB55" t="str">
        <f t="shared" si="18"/>
        <v/>
      </c>
      <c r="CC55" t="str">
        <f t="shared" si="14"/>
        <v>{SILVER}The HHA is a large self-discharging hopper built for Freightliner to use on coal trains.</v>
      </c>
    </row>
    <row r="56" spans="1:81" x14ac:dyDescent="0.25">
      <c r="A56" t="s">
        <v>795</v>
      </c>
      <c r="B56" t="s">
        <v>796</v>
      </c>
      <c r="C56">
        <v>50</v>
      </c>
      <c r="D56">
        <v>1031</v>
      </c>
      <c r="E56" t="s">
        <v>281</v>
      </c>
      <c r="F56" t="s">
        <v>281</v>
      </c>
      <c r="G56" t="s">
        <v>275</v>
      </c>
      <c r="H56">
        <v>1930</v>
      </c>
      <c r="J56">
        <v>1970</v>
      </c>
      <c r="U56">
        <v>7</v>
      </c>
      <c r="W56">
        <v>9</v>
      </c>
      <c r="Y56" s="3" t="str">
        <f t="shared" si="16"/>
        <v/>
      </c>
      <c r="Z56">
        <v>60</v>
      </c>
      <c r="AA56">
        <f t="shared" si="15"/>
        <v>96</v>
      </c>
      <c r="AD56">
        <v>8</v>
      </c>
      <c r="AE56">
        <v>8</v>
      </c>
      <c r="AH56" s="10">
        <v>27</v>
      </c>
      <c r="AI56" t="str">
        <f>CONCATENATE(VLOOKUP(AJ56, 'Voxel Sizes'!$A$2:$B$18,2,FALSE),"x",INT(AF56*15), "x", INT(AG56*15))</f>
        <v>82x0x0</v>
      </c>
      <c r="AJ56">
        <f t="shared" si="1"/>
        <v>5</v>
      </c>
      <c r="AL56" t="str">
        <f>CONCATENATE(VLOOKUP(AJ56,Constants!$A$2:$C$16,IF(AK56&lt;&gt;"", 3, 2), FALSE),IF(AK56&lt;&gt;"",CONCATENATE(",",VLOOKUP(AK56,$B:$AL,37,FALSE)),""))</f>
        <v>2,1,2</v>
      </c>
      <c r="AV56">
        <v>30</v>
      </c>
      <c r="AW56" s="15">
        <f t="shared" si="2"/>
        <v>48</v>
      </c>
      <c r="AZ56">
        <f t="shared" si="3"/>
        <v>12</v>
      </c>
      <c r="BA56">
        <f t="shared" si="4"/>
        <v>0</v>
      </c>
      <c r="BB56">
        <f t="shared" si="5"/>
        <v>0</v>
      </c>
      <c r="BC56" s="3">
        <f t="shared" si="6"/>
        <v>0.96</v>
      </c>
      <c r="BD56">
        <f t="shared" si="7"/>
        <v>4.5</v>
      </c>
      <c r="BE56">
        <f>VLOOKUP($F56,Constants!$I:$K, 2, FALSE)</f>
        <v>1</v>
      </c>
      <c r="BF56">
        <f>VLOOKUP($F56,Constants!$I:$K, 3, FALSE)*IF(AND(E56="multiple_unit",Z56&lt;110),0.75,1)</f>
        <v>0.45</v>
      </c>
      <c r="BG56">
        <f>INT(POWER(((Constants!$G$2+$AZ56+$BA56+$BB56+$BD56)*$BC56)*$BF56, 1.05))+$AY56</f>
        <v>10</v>
      </c>
      <c r="BH56">
        <f>INT(POWER((((Constants!$G$1+$AZ56+$BA56+$BB56+$BD56)*($BC56))*$BE56),IF($E56="wagon",1,1.2)))+$AX56</f>
        <v>30</v>
      </c>
      <c r="BI56" s="14">
        <f t="shared" si="8"/>
        <v>625</v>
      </c>
      <c r="BJ56" s="14">
        <f t="shared" si="9"/>
        <v>81.900000000000006</v>
      </c>
      <c r="BQ56">
        <v>1</v>
      </c>
      <c r="BR56">
        <v>185</v>
      </c>
      <c r="BS56" t="s">
        <v>1044</v>
      </c>
      <c r="BT56" t="s">
        <v>286</v>
      </c>
      <c r="BU56" t="str">
        <f>VLOOKUP(H56,Eras!$A$2:$C$10, 2, TRUE)</f>
        <v>big4</v>
      </c>
      <c r="BV56" t="s">
        <v>695</v>
      </c>
      <c r="BW56" t="str">
        <f t="shared" si="10"/>
        <v>big4_Extra</v>
      </c>
      <c r="BX56" t="str">
        <f t="shared" si="11"/>
        <v>wagon_RAIL</v>
      </c>
      <c r="BY56" t="str">
        <f>VLOOKUP($BX56, Constants!$M:$N, 2, FALSE)</f>
        <v/>
      </c>
      <c r="BZ56" t="str">
        <f t="shared" si="17"/>
        <v/>
      </c>
      <c r="CA56" t="s">
        <v>1407</v>
      </c>
      <c r="CB56" t="str">
        <f t="shared" si="18"/>
        <v/>
      </c>
      <c r="CC56" t="str">
        <f t="shared" si="14"/>
        <v>{SILVER}Conflats were built to carry containers, meaning goods could be loaded separately and then the whole container placed on the train in one operation.</v>
      </c>
    </row>
    <row r="57" spans="1:81" x14ac:dyDescent="0.25">
      <c r="A57" t="s">
        <v>764</v>
      </c>
      <c r="B57" t="s">
        <v>765</v>
      </c>
      <c r="C57">
        <v>52</v>
      </c>
      <c r="D57">
        <v>1032</v>
      </c>
      <c r="E57" t="s">
        <v>281</v>
      </c>
      <c r="F57" t="s">
        <v>281</v>
      </c>
      <c r="G57" t="s">
        <v>275</v>
      </c>
      <c r="H57">
        <v>1964</v>
      </c>
      <c r="J57">
        <v>1995</v>
      </c>
      <c r="U57">
        <v>17</v>
      </c>
      <c r="W57">
        <v>9</v>
      </c>
      <c r="Y57" s="3" t="str">
        <f t="shared" si="16"/>
        <v/>
      </c>
      <c r="Z57">
        <v>70</v>
      </c>
      <c r="AA57">
        <f t="shared" si="15"/>
        <v>112</v>
      </c>
      <c r="AD57">
        <v>19.3</v>
      </c>
      <c r="AE57">
        <v>19.3</v>
      </c>
      <c r="AH57" s="10">
        <v>60</v>
      </c>
      <c r="AI57" t="str">
        <f>CONCATENATE(VLOOKUP(AJ57, 'Voxel Sizes'!$A$2:$B$18,2,FALSE),"x",INT(AF57*15), "x", INT(AG57*15))</f>
        <v>186x0x0</v>
      </c>
      <c r="AJ57">
        <f t="shared" si="1"/>
        <v>11</v>
      </c>
      <c r="AL57" t="str">
        <f>CONCATENATE(VLOOKUP(AJ57,Constants!$A$2:$C$16,IF(AK57&lt;&gt;"", 3, 2), FALSE),IF(AK57&lt;&gt;"",CONCATENATE(",",VLOOKUP(AK57,$B:$AL,37,FALSE)),""))</f>
        <v>4,3,4</v>
      </c>
      <c r="AV57">
        <v>30</v>
      </c>
      <c r="AW57" s="15">
        <f t="shared" si="2"/>
        <v>39</v>
      </c>
      <c r="AZ57">
        <f t="shared" si="3"/>
        <v>14</v>
      </c>
      <c r="BA57">
        <f t="shared" si="4"/>
        <v>0</v>
      </c>
      <c r="BB57">
        <f t="shared" si="5"/>
        <v>0</v>
      </c>
      <c r="BC57" s="3">
        <f t="shared" si="6"/>
        <v>0.91466666666666663</v>
      </c>
      <c r="BD57">
        <f t="shared" si="7"/>
        <v>10</v>
      </c>
      <c r="BE57">
        <f>VLOOKUP($F57,Constants!$I:$K, 2, FALSE)</f>
        <v>1</v>
      </c>
      <c r="BF57">
        <f>VLOOKUP($F57,Constants!$I:$K, 3, FALSE)*IF(AND(E57="multiple_unit",Z57&lt;110),0.75,1)</f>
        <v>0.45</v>
      </c>
      <c r="BG57">
        <f>INT(POWER(((Constants!$G$2+$AZ57+$BA57+$BB57+$BD57)*$BC57)*$BF57, 1.05))+$AY57</f>
        <v>13</v>
      </c>
      <c r="BH57">
        <f>INT(POWER((((Constants!$G$1+$AZ57+$BA57+$BB57+$BD57)*($BC57))*$BE57),IF($E57="wagon",1,1.2)))+$AX57</f>
        <v>35</v>
      </c>
      <c r="BI57" s="14">
        <f t="shared" si="8"/>
        <v>812.5</v>
      </c>
      <c r="BJ57" s="14">
        <f t="shared" si="9"/>
        <v>95.55</v>
      </c>
      <c r="BQ57">
        <v>1</v>
      </c>
      <c r="BR57">
        <v>185</v>
      </c>
      <c r="BS57" t="s">
        <v>1044</v>
      </c>
      <c r="BT57" t="s">
        <v>286</v>
      </c>
      <c r="BU57" t="str">
        <f>VLOOKUP(H57,Eras!$A$2:$C$10, 2, TRUE)</f>
        <v>dsl</v>
      </c>
      <c r="BV57" t="s">
        <v>695</v>
      </c>
      <c r="BW57" t="str">
        <f t="shared" si="10"/>
        <v>dsl_Extra</v>
      </c>
      <c r="BX57" t="str">
        <f t="shared" si="11"/>
        <v>wagon_RAIL</v>
      </c>
      <c r="BY57" t="str">
        <f>VLOOKUP($BX57, Constants!$M:$N, 2, FALSE)</f>
        <v/>
      </c>
      <c r="BZ57" t="str">
        <f t="shared" si="17"/>
        <v/>
      </c>
      <c r="CA57" t="s">
        <v>797</v>
      </c>
      <c r="CB57" t="str">
        <f t="shared" si="18"/>
        <v/>
      </c>
      <c r="CC57" t="str">
        <f t="shared" si="14"/>
        <v>{SILVER}The FFA container wagons were a major advance over short-wheelbase conflats when built, and being easily adapted to the then-new ISO container standard only increased this advantage.</v>
      </c>
    </row>
    <row r="58" spans="1:81" x14ac:dyDescent="0.25">
      <c r="A58" t="s">
        <v>766</v>
      </c>
      <c r="B58" t="s">
        <v>767</v>
      </c>
      <c r="C58">
        <v>54</v>
      </c>
      <c r="D58">
        <v>1033</v>
      </c>
      <c r="E58" t="s">
        <v>281</v>
      </c>
      <c r="F58" t="s">
        <v>281</v>
      </c>
      <c r="G58" t="s">
        <v>275</v>
      </c>
      <c r="H58">
        <v>1991</v>
      </c>
      <c r="U58">
        <v>17</v>
      </c>
      <c r="W58">
        <v>9</v>
      </c>
      <c r="Y58" s="3" t="str">
        <f t="shared" si="16"/>
        <v/>
      </c>
      <c r="Z58">
        <v>90</v>
      </c>
      <c r="AA58">
        <f t="shared" si="15"/>
        <v>144</v>
      </c>
      <c r="AD58">
        <v>19.3</v>
      </c>
      <c r="AE58">
        <v>19.3</v>
      </c>
      <c r="AH58" s="10">
        <v>60</v>
      </c>
      <c r="AI58" t="str">
        <f>CONCATENATE(VLOOKUP(AJ58, 'Voxel Sizes'!$A$2:$B$18,2,FALSE),"x",INT(AF58*15), "x", INT(AG58*15))</f>
        <v>186x0x0</v>
      </c>
      <c r="AJ58">
        <f t="shared" si="1"/>
        <v>11</v>
      </c>
      <c r="AL58" t="str">
        <f>CONCATENATE(VLOOKUP(AJ58,Constants!$A$2:$C$16,IF(AK58&lt;&gt;"", 3, 2), FALSE),IF(AK58&lt;&gt;"",CONCATENATE(",",VLOOKUP(AK58,$B:$AL,37,FALSE)),""))</f>
        <v>4,3,4</v>
      </c>
      <c r="AV58">
        <v>30</v>
      </c>
      <c r="AW58" s="15" t="str">
        <f t="shared" si="2"/>
        <v/>
      </c>
      <c r="AZ58">
        <f t="shared" si="3"/>
        <v>18</v>
      </c>
      <c r="BA58">
        <f t="shared" si="4"/>
        <v>0</v>
      </c>
      <c r="BB58">
        <f t="shared" si="5"/>
        <v>0</v>
      </c>
      <c r="BC58" s="3">
        <f t="shared" si="6"/>
        <v>0.87866666666666671</v>
      </c>
      <c r="BD58">
        <f t="shared" si="7"/>
        <v>10</v>
      </c>
      <c r="BE58">
        <f>VLOOKUP($F58,Constants!$I:$K, 2, FALSE)</f>
        <v>1</v>
      </c>
      <c r="BF58">
        <f>VLOOKUP($F58,Constants!$I:$K, 3, FALSE)*IF(AND(E58="multiple_unit",Z58&lt;110),0.75,1)</f>
        <v>0.45</v>
      </c>
      <c r="BG58">
        <f>INT(POWER(((Constants!$G$2+$AZ58+$BA58+$BB58+$BD58)*$BC58)*$BF58, 1.05))+$AY58</f>
        <v>14</v>
      </c>
      <c r="BH58">
        <f>INT(POWER((((Constants!$G$1+$AZ58+$BA58+$BB58+$BD58)*($BC58))*$BE58),IF($E58="wagon",1,1.2)))+$AX58</f>
        <v>37</v>
      </c>
      <c r="BI58" s="14">
        <f t="shared" si="8"/>
        <v>875</v>
      </c>
      <c r="BJ58" s="14">
        <f t="shared" si="9"/>
        <v>101.01</v>
      </c>
      <c r="BQ58">
        <v>1</v>
      </c>
      <c r="BR58">
        <v>185</v>
      </c>
      <c r="BS58" t="s">
        <v>1044</v>
      </c>
      <c r="BT58" t="s">
        <v>286</v>
      </c>
      <c r="BU58" t="str">
        <f>VLOOKUP(H58,Eras!$A$2:$C$10, 2, TRUE)</f>
        <v>lbr</v>
      </c>
      <c r="BV58" t="s">
        <v>695</v>
      </c>
      <c r="BW58" t="str">
        <f t="shared" si="10"/>
        <v>lbr_Extra</v>
      </c>
      <c r="BX58" t="str">
        <f t="shared" si="11"/>
        <v>wagon_RAIL</v>
      </c>
      <c r="BY58" t="str">
        <f>VLOOKUP($BX58, Constants!$M:$N, 2, FALSE)</f>
        <v/>
      </c>
      <c r="BZ58" t="str">
        <f t="shared" si="17"/>
        <v/>
      </c>
      <c r="CA58" t="s">
        <v>798</v>
      </c>
      <c r="CB58" t="str">
        <f t="shared" si="18"/>
        <v/>
      </c>
      <c r="CC58" t="str">
        <f t="shared" si="14"/>
        <v>{SILVER}Freightliner had considered replacing the FFA wagons with a shorter 40ft container flat, but the poor running quality of fixed axle wagons resulted in the choice of another standard bogie flat.</v>
      </c>
    </row>
    <row r="59" spans="1:81" x14ac:dyDescent="0.25">
      <c r="A59" t="s">
        <v>799</v>
      </c>
      <c r="B59" t="s">
        <v>800</v>
      </c>
      <c r="C59">
        <v>56</v>
      </c>
      <c r="D59">
        <v>1034</v>
      </c>
      <c r="E59" t="s">
        <v>281</v>
      </c>
      <c r="F59" t="s">
        <v>281</v>
      </c>
      <c r="G59" t="s">
        <v>275</v>
      </c>
      <c r="H59">
        <v>1997</v>
      </c>
      <c r="U59">
        <v>23</v>
      </c>
      <c r="W59">
        <v>9</v>
      </c>
      <c r="Y59" s="3" t="str">
        <f t="shared" si="16"/>
        <v/>
      </c>
      <c r="Z59">
        <v>90</v>
      </c>
      <c r="AA59">
        <f t="shared" si="15"/>
        <v>144</v>
      </c>
      <c r="AD59">
        <v>19.3</v>
      </c>
      <c r="AE59">
        <v>19.3</v>
      </c>
      <c r="AH59" s="10">
        <v>51</v>
      </c>
      <c r="AI59" t="str">
        <f>CONCATENATE(VLOOKUP(AJ59, 'Voxel Sizes'!$A$2:$B$18,2,FALSE),"x",INT(AF59*15), "x", INT(AG59*15))</f>
        <v>186x0x0</v>
      </c>
      <c r="AJ59">
        <f t="shared" si="1"/>
        <v>11</v>
      </c>
      <c r="AL59" t="str">
        <f>CONCATENATE(VLOOKUP(AJ59,Constants!$A$2:$C$16,IF(AK59&lt;&gt;"", 3, 2), FALSE),IF(AK59&lt;&gt;"",CONCATENATE(",",VLOOKUP(AK59,$B:$AL,37,FALSE)),""))</f>
        <v>4,3,4</v>
      </c>
      <c r="AV59">
        <v>30</v>
      </c>
      <c r="AW59" s="15" t="str">
        <f t="shared" si="2"/>
        <v/>
      </c>
      <c r="AZ59">
        <f t="shared" si="3"/>
        <v>18</v>
      </c>
      <c r="BA59">
        <f t="shared" si="4"/>
        <v>0</v>
      </c>
      <c r="BB59">
        <f t="shared" si="5"/>
        <v>0</v>
      </c>
      <c r="BC59" s="3">
        <f t="shared" si="6"/>
        <v>0.8706666666666667</v>
      </c>
      <c r="BD59">
        <f t="shared" si="7"/>
        <v>8.5</v>
      </c>
      <c r="BE59">
        <f>VLOOKUP($F59,Constants!$I:$K, 2, FALSE)</f>
        <v>1</v>
      </c>
      <c r="BF59">
        <f>VLOOKUP($F59,Constants!$I:$K, 3, FALSE)*IF(AND(E59="multiple_unit",Z59&lt;110),0.75,1)</f>
        <v>0.45</v>
      </c>
      <c r="BG59">
        <f>INT(POWER(((Constants!$G$2+$AZ59+$BA59+$BB59+$BD59)*$BC59)*$BF59, 1.05))+$AY59</f>
        <v>13</v>
      </c>
      <c r="BH59">
        <f>INT(POWER((((Constants!$G$1+$AZ59+$BA59+$BB59+$BD59)*($BC59))*$BE59),IF($E59="wagon",1,1.2)))+$AX59</f>
        <v>36</v>
      </c>
      <c r="BI59" s="14">
        <f t="shared" si="8"/>
        <v>812.5</v>
      </c>
      <c r="BJ59" s="14">
        <f t="shared" si="9"/>
        <v>98.28</v>
      </c>
      <c r="BQ59">
        <v>1</v>
      </c>
      <c r="BR59">
        <v>185</v>
      </c>
      <c r="BS59" t="s">
        <v>1044</v>
      </c>
      <c r="BT59" t="s">
        <v>286</v>
      </c>
      <c r="BU59" t="str">
        <f>VLOOKUP(H59,Eras!$A$2:$C$10, 2, TRUE)</f>
        <v>prv</v>
      </c>
      <c r="BV59" t="s">
        <v>695</v>
      </c>
      <c r="BW59" t="str">
        <f t="shared" si="10"/>
        <v>prv_Extra</v>
      </c>
      <c r="BX59" t="str">
        <f t="shared" si="11"/>
        <v>wagon_RAIL</v>
      </c>
      <c r="BY59" t="str">
        <f>VLOOKUP($BX59, Constants!$M:$N, 2, FALSE)</f>
        <v/>
      </c>
      <c r="BZ59" t="str">
        <f t="shared" si="17"/>
        <v/>
      </c>
      <c r="CA59" t="s">
        <v>811</v>
      </c>
      <c r="CB59" t="str">
        <f t="shared" si="18"/>
        <v/>
      </c>
      <c r="CC59" t="str">
        <f t="shared" si="14"/>
        <v>{SILVER}KTA wagons solve the problem of carrying high-cube containers in the small British loading gauge, using a "pocket" between the axles that can take either a single 40ft container or two 20ft ones.</v>
      </c>
    </row>
    <row r="60" spans="1:81" x14ac:dyDescent="0.25">
      <c r="A60" t="s">
        <v>1357</v>
      </c>
      <c r="B60" t="s">
        <v>1356</v>
      </c>
      <c r="C60">
        <v>59</v>
      </c>
      <c r="D60">
        <v>1035</v>
      </c>
      <c r="E60" t="s">
        <v>281</v>
      </c>
      <c r="F60" t="s">
        <v>281</v>
      </c>
      <c r="G60" t="s">
        <v>1381</v>
      </c>
      <c r="H60">
        <v>1700</v>
      </c>
      <c r="J60">
        <v>1875</v>
      </c>
      <c r="U60">
        <v>2</v>
      </c>
      <c r="W60">
        <v>3</v>
      </c>
      <c r="Y60" s="3" t="str">
        <f t="shared" si="16"/>
        <v/>
      </c>
      <c r="Z60">
        <v>30</v>
      </c>
      <c r="AA60">
        <f t="shared" si="15"/>
        <v>48</v>
      </c>
      <c r="AD60">
        <v>6</v>
      </c>
      <c r="AE60">
        <v>6</v>
      </c>
      <c r="AH60" s="10">
        <v>18</v>
      </c>
      <c r="AI60" t="str">
        <f>CONCATENATE(VLOOKUP(AJ60, 'Voxel Sizes'!$A$2:$B$18,2,FALSE),"x",INT(AF60*15), "x", INT(AG60*15))</f>
        <v>60x0x0</v>
      </c>
      <c r="AJ60">
        <f t="shared" si="1"/>
        <v>4</v>
      </c>
      <c r="AL60" t="str">
        <f>CONCATENATE(VLOOKUP(AJ60,Constants!$A$2:$C$16,IF(AK60&lt;&gt;"", 3, 2), FALSE),IF(AK60&lt;&gt;"",CONCATENATE(",",VLOOKUP(AK60,$B:$AL,37,FALSE)),""))</f>
        <v>1,2,1</v>
      </c>
      <c r="AV60">
        <v>30</v>
      </c>
      <c r="AW60" s="15">
        <f t="shared" si="2"/>
        <v>183</v>
      </c>
      <c r="AX60">
        <v>-15</v>
      </c>
      <c r="AY60">
        <v>-2</v>
      </c>
      <c r="AZ60">
        <f t="shared" si="3"/>
        <v>6</v>
      </c>
      <c r="BA60">
        <f t="shared" si="4"/>
        <v>0</v>
      </c>
      <c r="BB60">
        <f t="shared" si="5"/>
        <v>0</v>
      </c>
      <c r="BC60" s="3">
        <f t="shared" si="6"/>
        <v>1</v>
      </c>
      <c r="BD60">
        <f t="shared" si="7"/>
        <v>3</v>
      </c>
      <c r="BE60">
        <f>VLOOKUP($F60,Constants!$I:$K, 2, FALSE)</f>
        <v>1</v>
      </c>
      <c r="BF60">
        <f>VLOOKUP($F60,Constants!$I:$K, 3, FALSE)*IF(AND(E60="multiple_unit",Z60&lt;110),0.75,1)</f>
        <v>0.45</v>
      </c>
      <c r="BG60">
        <f>INT(POWER(((Constants!$G$2+$AZ60+$BA60+$BB60+$BD60)*$BC60)*$BF60, 1.05))+$AY60</f>
        <v>4</v>
      </c>
      <c r="BH60">
        <f>INT(POWER((((Constants!$G$1+$AZ60+$BA60+$BB60+$BD60)*($BC60))*$BE60),IF($E60="wagon",1,1.2)))+$AX60</f>
        <v>9</v>
      </c>
      <c r="BI60" s="14">
        <f t="shared" si="8"/>
        <v>250</v>
      </c>
      <c r="BJ60" s="14">
        <f t="shared" si="9"/>
        <v>24.57</v>
      </c>
      <c r="BQ60">
        <v>1</v>
      </c>
      <c r="BR60">
        <v>185</v>
      </c>
      <c r="BS60" t="s">
        <v>1043</v>
      </c>
      <c r="BT60" t="s">
        <v>411</v>
      </c>
      <c r="BU60" t="str">
        <f>VLOOKUP(H60,Eras!$A$2:$C$10, 2, TRUE)</f>
        <v>early</v>
      </c>
      <c r="BV60" t="s">
        <v>341</v>
      </c>
      <c r="BW60" t="str">
        <f t="shared" si="10"/>
        <v>early_Flat Wagon</v>
      </c>
      <c r="BX60" t="str">
        <f t="shared" si="11"/>
        <v>wagon_PLATEWAY</v>
      </c>
      <c r="BY60" t="str">
        <f>VLOOKUP($BX60, Constants!$M:$N, 2, FALSE)</f>
        <v/>
      </c>
      <c r="BZ60" t="str">
        <f t="shared" si="17"/>
        <v/>
      </c>
      <c r="CA60" t="s">
        <v>1358</v>
      </c>
      <c r="CB60" t="str">
        <f t="shared" si="18"/>
        <v/>
      </c>
      <c r="CC60" t="str">
        <f t="shared" si="14"/>
        <v>{SILVER}Early flat wagons had simple wooden construction, and sometimes featured stakes for securing loads.</v>
      </c>
    </row>
    <row r="61" spans="1:81" x14ac:dyDescent="0.25">
      <c r="A61" t="s">
        <v>780</v>
      </c>
      <c r="B61" t="s">
        <v>782</v>
      </c>
      <c r="C61">
        <v>60</v>
      </c>
      <c r="D61">
        <v>1036</v>
      </c>
      <c r="E61" t="s">
        <v>281</v>
      </c>
      <c r="F61" t="s">
        <v>281</v>
      </c>
      <c r="G61" t="s">
        <v>275</v>
      </c>
      <c r="H61">
        <v>1850</v>
      </c>
      <c r="J61">
        <v>1924</v>
      </c>
      <c r="U61">
        <v>5</v>
      </c>
      <c r="W61">
        <v>3</v>
      </c>
      <c r="Y61" s="3" t="str">
        <f t="shared" si="16"/>
        <v/>
      </c>
      <c r="Z61">
        <v>35</v>
      </c>
      <c r="AA61">
        <f t="shared" si="15"/>
        <v>56</v>
      </c>
      <c r="AD61">
        <v>6</v>
      </c>
      <c r="AE61">
        <v>6</v>
      </c>
      <c r="AH61" s="10">
        <v>24</v>
      </c>
      <c r="AI61" t="str">
        <f>CONCATENATE(VLOOKUP(AJ61, 'Voxel Sizes'!$A$2:$B$18,2,FALSE),"x",INT(AF61*15), "x", INT(AG61*15))</f>
        <v>60x0x0</v>
      </c>
      <c r="AJ61">
        <f t="shared" si="1"/>
        <v>4</v>
      </c>
      <c r="AL61" t="str">
        <f>CONCATENATE(VLOOKUP(AJ61,Constants!$A$2:$C$16,IF(AK61&lt;&gt;"", 3, 2), FALSE),IF(AK61&lt;&gt;"",CONCATENATE(",",VLOOKUP(AK61,$B:$AL,37,FALSE)),""))</f>
        <v>1,2,1</v>
      </c>
      <c r="AV61">
        <v>30</v>
      </c>
      <c r="AW61" s="15">
        <f t="shared" si="2"/>
        <v>82</v>
      </c>
      <c r="AZ61">
        <f t="shared" si="3"/>
        <v>7</v>
      </c>
      <c r="BA61">
        <f t="shared" si="4"/>
        <v>0</v>
      </c>
      <c r="BB61">
        <f t="shared" si="5"/>
        <v>0</v>
      </c>
      <c r="BC61" s="3">
        <f t="shared" si="6"/>
        <v>1</v>
      </c>
      <c r="BD61">
        <f t="shared" si="7"/>
        <v>4</v>
      </c>
      <c r="BE61">
        <f>VLOOKUP($F61,Constants!$I:$K, 2, FALSE)</f>
        <v>1</v>
      </c>
      <c r="BF61">
        <f>VLOOKUP($F61,Constants!$I:$K, 3, FALSE)*IF(AND(E61="multiple_unit",Z61&lt;110),0.75,1)</f>
        <v>0.45</v>
      </c>
      <c r="BG61">
        <f>INT(POWER(((Constants!$G$2+$AZ61+$BA61+$BB61+$BD61)*$BC61)*$BF61, 1.05))+$AY61</f>
        <v>7</v>
      </c>
      <c r="BH61">
        <f>INT(POWER((((Constants!$G$1+$AZ61+$BA61+$BB61+$BD61)*($BC61))*$BE61),IF($E61="wagon",1,1.2)))+$AX61</f>
        <v>26</v>
      </c>
      <c r="BI61" s="14">
        <f t="shared" si="8"/>
        <v>437.5</v>
      </c>
      <c r="BJ61" s="14">
        <f t="shared" si="9"/>
        <v>70.98</v>
      </c>
      <c r="BQ61">
        <v>1</v>
      </c>
      <c r="BR61">
        <v>185</v>
      </c>
      <c r="BS61" t="s">
        <v>1043</v>
      </c>
      <c r="BT61" t="s">
        <v>411</v>
      </c>
      <c r="BU61" t="str">
        <f>VLOOKUP(H61,Eras!$A$2:$C$10, 2, TRUE)</f>
        <v>vct</v>
      </c>
      <c r="BV61" t="s">
        <v>341</v>
      </c>
      <c r="BW61" t="str">
        <f t="shared" si="10"/>
        <v>vct_Flat Wagon</v>
      </c>
      <c r="BX61" t="str">
        <f t="shared" si="11"/>
        <v>wagon_RAIL</v>
      </c>
      <c r="BY61" t="str">
        <f>VLOOKUP($BX61, Constants!$M:$N, 2, FALSE)</f>
        <v/>
      </c>
      <c r="BZ61" t="str">
        <f t="shared" si="17"/>
        <v/>
      </c>
      <c r="CA61" t="s">
        <v>781</v>
      </c>
      <c r="CB61" t="str">
        <f t="shared" si="18"/>
        <v/>
      </c>
      <c r="CC61" t="str">
        <f t="shared" si="14"/>
        <v>{SILVER}Flat wagons carried goods such as metal pipes and wood, where a flat surface with bolsters for tying loads down was most convenient.</v>
      </c>
    </row>
    <row r="62" spans="1:81" x14ac:dyDescent="0.25">
      <c r="A62" t="s">
        <v>409</v>
      </c>
      <c r="B62" t="s">
        <v>410</v>
      </c>
      <c r="C62">
        <v>62</v>
      </c>
      <c r="D62">
        <v>1037</v>
      </c>
      <c r="E62" t="s">
        <v>281</v>
      </c>
      <c r="F62" t="s">
        <v>281</v>
      </c>
      <c r="G62" t="s">
        <v>275</v>
      </c>
      <c r="H62">
        <v>1906</v>
      </c>
      <c r="J62">
        <v>1960</v>
      </c>
      <c r="U62">
        <v>7</v>
      </c>
      <c r="W62">
        <v>3</v>
      </c>
      <c r="Y62" s="3" t="str">
        <f t="shared" si="16"/>
        <v/>
      </c>
      <c r="Z62">
        <v>45</v>
      </c>
      <c r="AA62">
        <f t="shared" si="15"/>
        <v>72</v>
      </c>
      <c r="AD62">
        <v>8</v>
      </c>
      <c r="AE62">
        <v>8</v>
      </c>
      <c r="AH62" s="10">
        <v>24</v>
      </c>
      <c r="AI62" t="str">
        <f>CONCATENATE(VLOOKUP(AJ62, 'Voxel Sizes'!$A$2:$B$18,2,FALSE),"x",INT(AF62*15), "x", INT(AG62*15))</f>
        <v>82x0x0</v>
      </c>
      <c r="AJ62">
        <f t="shared" si="1"/>
        <v>5</v>
      </c>
      <c r="AL62" t="str">
        <f>CONCATENATE(VLOOKUP(AJ62,Constants!$A$2:$C$16,IF(AK62&lt;&gt;"", 3, 2), FALSE),IF(AK62&lt;&gt;"",CONCATENATE(",",VLOOKUP(AK62,$B:$AL,37,FALSE)),""))</f>
        <v>2,1,2</v>
      </c>
      <c r="AV62">
        <v>30</v>
      </c>
      <c r="AW62" s="15">
        <f t="shared" si="2"/>
        <v>62</v>
      </c>
      <c r="AZ62">
        <f t="shared" si="3"/>
        <v>9</v>
      </c>
      <c r="BA62">
        <f t="shared" si="4"/>
        <v>0</v>
      </c>
      <c r="BB62">
        <f t="shared" si="5"/>
        <v>0</v>
      </c>
      <c r="BC62" s="3">
        <f t="shared" si="6"/>
        <v>0.99199999999999999</v>
      </c>
      <c r="BD62">
        <f t="shared" si="7"/>
        <v>4</v>
      </c>
      <c r="BE62">
        <f>VLOOKUP($F62,Constants!$I:$K, 2, FALSE)</f>
        <v>1</v>
      </c>
      <c r="BF62">
        <f>VLOOKUP($F62,Constants!$I:$K, 3, FALSE)*IF(AND(E62="multiple_unit",Z62&lt;110),0.75,1)</f>
        <v>0.45</v>
      </c>
      <c r="BG62">
        <f>INT(POWER(((Constants!$G$2+$AZ62+$BA62+$BB62+$BD62)*$BC62)*$BF62, 1.05))+$AY62</f>
        <v>8</v>
      </c>
      <c r="BH62">
        <f>INT(POWER((((Constants!$G$1+$AZ62+$BA62+$BB62+$BD62)*($BC62))*$BE62),IF($E62="wagon",1,1.2)))+$AX62</f>
        <v>27</v>
      </c>
      <c r="BI62" s="14">
        <f t="shared" si="8"/>
        <v>500</v>
      </c>
      <c r="BJ62" s="14">
        <f t="shared" si="9"/>
        <v>73.709999999999994</v>
      </c>
      <c r="BQ62">
        <v>1</v>
      </c>
      <c r="BR62">
        <v>185</v>
      </c>
      <c r="BS62" t="s">
        <v>1043</v>
      </c>
      <c r="BT62" t="s">
        <v>411</v>
      </c>
      <c r="BU62" t="str">
        <f>VLOOKUP(H62,Eras!$A$2:$C$10, 2, TRUE)</f>
        <v>edw</v>
      </c>
      <c r="BV62" t="s">
        <v>341</v>
      </c>
      <c r="BW62" t="str">
        <f t="shared" si="10"/>
        <v>edw_Flat Wagon</v>
      </c>
      <c r="BX62" t="str">
        <f t="shared" si="11"/>
        <v>wagon_RAIL</v>
      </c>
      <c r="BY62" t="str">
        <f>VLOOKUP($BX62, Constants!$M:$N, 2, FALSE)</f>
        <v/>
      </c>
      <c r="BZ62" t="str">
        <f t="shared" si="17"/>
        <v/>
      </c>
      <c r="CA62" t="s">
        <v>412</v>
      </c>
      <c r="CB62" t="str">
        <f t="shared" si="18"/>
        <v/>
      </c>
      <c r="CC62" t="str">
        <f t="shared" si="14"/>
        <v>{SILVER}"Beaver" was the GWR telegraph code for a flat wagon, with an additional letter used to identify the length.</v>
      </c>
    </row>
    <row r="63" spans="1:81" x14ac:dyDescent="0.25">
      <c r="A63" t="s">
        <v>123</v>
      </c>
      <c r="B63" t="s">
        <v>763</v>
      </c>
      <c r="C63">
        <v>64</v>
      </c>
      <c r="D63">
        <v>1038</v>
      </c>
      <c r="E63" t="s">
        <v>281</v>
      </c>
      <c r="F63" t="s">
        <v>281</v>
      </c>
      <c r="G63" t="s">
        <v>275</v>
      </c>
      <c r="H63">
        <v>1916</v>
      </c>
      <c r="J63">
        <v>1965</v>
      </c>
      <c r="U63">
        <v>14</v>
      </c>
      <c r="W63">
        <v>4</v>
      </c>
      <c r="Y63" s="3" t="str">
        <f t="shared" si="16"/>
        <v/>
      </c>
      <c r="Z63">
        <v>45</v>
      </c>
      <c r="AA63">
        <f t="shared" si="15"/>
        <v>72</v>
      </c>
      <c r="AD63">
        <v>15.2</v>
      </c>
      <c r="AE63">
        <v>15.2</v>
      </c>
      <c r="AH63" s="10">
        <v>42</v>
      </c>
      <c r="AI63" t="str">
        <f>CONCATENATE(VLOOKUP(AJ63, 'Voxel Sizes'!$A$2:$B$18,2,FALSE),"x",INT(AF63*15), "x", INT(AG63*15))</f>
        <v>152x0x0</v>
      </c>
      <c r="AJ63">
        <f t="shared" si="1"/>
        <v>9</v>
      </c>
      <c r="AL63" t="str">
        <f>CONCATENATE(VLOOKUP(AJ63,Constants!$A$2:$C$16,IF(AK63&lt;&gt;"", 3, 2), FALSE),IF(AK63&lt;&gt;"",CONCATENATE(",",VLOOKUP(AK63,$B:$AL,37,FALSE)),""))</f>
        <v>2,5,2</v>
      </c>
      <c r="AV63">
        <v>30</v>
      </c>
      <c r="AW63" s="15">
        <f t="shared" si="2"/>
        <v>57</v>
      </c>
      <c r="AZ63">
        <f t="shared" si="3"/>
        <v>9</v>
      </c>
      <c r="BA63">
        <f t="shared" si="4"/>
        <v>0</v>
      </c>
      <c r="BB63">
        <f t="shared" si="5"/>
        <v>0</v>
      </c>
      <c r="BC63" s="3">
        <f t="shared" si="6"/>
        <v>0.97866666666666668</v>
      </c>
      <c r="BD63">
        <f t="shared" si="7"/>
        <v>7.0000000000000009</v>
      </c>
      <c r="BE63">
        <f>VLOOKUP($F63,Constants!$I:$K, 2, FALSE)</f>
        <v>1</v>
      </c>
      <c r="BF63">
        <f>VLOOKUP($F63,Constants!$I:$K, 3, FALSE)*IF(AND(E63="multiple_unit",Z63&lt;110),0.75,1)</f>
        <v>0.45</v>
      </c>
      <c r="BG63">
        <f>INT(POWER(((Constants!$G$2+$AZ63+$BA63+$BB63+$BD63)*$BC63)*$BF63, 1.05))+$AY63</f>
        <v>10</v>
      </c>
      <c r="BH63">
        <f>INT(POWER((((Constants!$G$1+$AZ63+$BA63+$BB63+$BD63)*($BC63))*$BE63),IF($E63="wagon",1,1.2)))+$AX63</f>
        <v>30</v>
      </c>
      <c r="BI63" s="14">
        <f t="shared" si="8"/>
        <v>625</v>
      </c>
      <c r="BJ63" s="14">
        <f t="shared" si="9"/>
        <v>81.900000000000006</v>
      </c>
      <c r="BQ63">
        <v>1</v>
      </c>
      <c r="BR63">
        <v>185</v>
      </c>
      <c r="BS63" t="s">
        <v>1043</v>
      </c>
      <c r="BT63" t="s">
        <v>411</v>
      </c>
      <c r="BU63" t="str">
        <f>VLOOKUP(H63,Eras!$A$2:$C$10, 2, TRUE)</f>
        <v>edw</v>
      </c>
      <c r="BV63" t="s">
        <v>341</v>
      </c>
      <c r="BW63" t="str">
        <f t="shared" si="10"/>
        <v>edw_Flat Wagon</v>
      </c>
      <c r="BX63" t="str">
        <f t="shared" si="11"/>
        <v>wagon_RAIL</v>
      </c>
      <c r="BY63" t="str">
        <f>VLOOKUP($BX63, Constants!$M:$N, 2, FALSE)</f>
        <v/>
      </c>
      <c r="BZ63" t="str">
        <f t="shared" si="17"/>
        <v/>
      </c>
      <c r="CA63" t="s">
        <v>762</v>
      </c>
      <c r="CB63" t="str">
        <f t="shared" si="18"/>
        <v/>
      </c>
      <c r="CC63" t="str">
        <f t="shared" si="14"/>
        <v>{SILVER}Bolster wagons were some of the earliest goods vehicles to use bogies rather than fixed axles. The wooden bolsters running across the wagon made long, rigid loads easy to tie down.</v>
      </c>
    </row>
    <row r="64" spans="1:81" x14ac:dyDescent="0.25">
      <c r="A64" t="s">
        <v>768</v>
      </c>
      <c r="B64" t="s">
        <v>769</v>
      </c>
      <c r="C64">
        <v>66</v>
      </c>
      <c r="D64">
        <v>1039</v>
      </c>
      <c r="E64" t="s">
        <v>281</v>
      </c>
      <c r="F64" t="s">
        <v>281</v>
      </c>
      <c r="G64" t="s">
        <v>275</v>
      </c>
      <c r="H64">
        <v>1925</v>
      </c>
      <c r="J64">
        <v>1970</v>
      </c>
      <c r="U64">
        <v>7</v>
      </c>
      <c r="W64">
        <v>3</v>
      </c>
      <c r="Y64" s="3" t="str">
        <f t="shared" si="16"/>
        <v/>
      </c>
      <c r="Z64">
        <v>50</v>
      </c>
      <c r="AA64">
        <f t="shared" si="15"/>
        <v>80</v>
      </c>
      <c r="AD64">
        <v>10</v>
      </c>
      <c r="AE64">
        <v>10</v>
      </c>
      <c r="AH64" s="10">
        <v>30</v>
      </c>
      <c r="AI64" t="str">
        <f>CONCATENATE(VLOOKUP(AJ64, 'Voxel Sizes'!$A$2:$B$18,2,FALSE),"x",INT(AF64*15), "x", INT(AG64*15))</f>
        <v>102x0x0</v>
      </c>
      <c r="AJ64">
        <f t="shared" si="1"/>
        <v>6</v>
      </c>
      <c r="AL64" t="str">
        <f>CONCATENATE(VLOOKUP(AJ64,Constants!$A$2:$C$16,IF(AK64&lt;&gt;"", 3, 2), FALSE),IF(AK64&lt;&gt;"",CONCATENATE(",",VLOOKUP(AK64,$B:$AL,37,FALSE)),""))</f>
        <v>2,2,2</v>
      </c>
      <c r="AV64">
        <v>30</v>
      </c>
      <c r="AW64" s="15">
        <f t="shared" si="2"/>
        <v>53</v>
      </c>
      <c r="AZ64">
        <f t="shared" si="3"/>
        <v>10</v>
      </c>
      <c r="BA64">
        <f t="shared" si="4"/>
        <v>0</v>
      </c>
      <c r="BB64">
        <f t="shared" si="5"/>
        <v>0</v>
      </c>
      <c r="BC64" s="3">
        <f t="shared" si="6"/>
        <v>0.96666666666666667</v>
      </c>
      <c r="BD64">
        <f t="shared" si="7"/>
        <v>5</v>
      </c>
      <c r="BE64">
        <f>VLOOKUP($F64,Constants!$I:$K, 2, FALSE)</f>
        <v>1</v>
      </c>
      <c r="BF64">
        <f>VLOOKUP($F64,Constants!$I:$K, 3, FALSE)*IF(AND(E64="multiple_unit",Z64&lt;110),0.75,1)</f>
        <v>0.45</v>
      </c>
      <c r="BG64">
        <f>INT(POWER(((Constants!$G$2+$AZ64+$BA64+$BB64+$BD64)*$BC64)*$BF64, 1.05))+$AY64</f>
        <v>9</v>
      </c>
      <c r="BH64">
        <f>INT(POWER((((Constants!$G$1+$AZ64+$BA64+$BB64+$BD64)*($BC64))*$BE64),IF($E64="wagon",1,1.2)))+$AX64</f>
        <v>29</v>
      </c>
      <c r="BI64" s="14">
        <f t="shared" si="8"/>
        <v>562.5</v>
      </c>
      <c r="BJ64" s="14">
        <f t="shared" si="9"/>
        <v>79.17</v>
      </c>
      <c r="BQ64">
        <v>1</v>
      </c>
      <c r="BR64">
        <v>185</v>
      </c>
      <c r="BS64" t="s">
        <v>1043</v>
      </c>
      <c r="BT64" t="s">
        <v>411</v>
      </c>
      <c r="BU64" t="str">
        <f>VLOOKUP(H64,Eras!$A$2:$C$10, 2, TRUE)</f>
        <v>big4</v>
      </c>
      <c r="BV64" t="s">
        <v>341</v>
      </c>
      <c r="BW64" t="str">
        <f t="shared" si="10"/>
        <v>big4_Flat Wagon</v>
      </c>
      <c r="BX64" t="str">
        <f t="shared" si="11"/>
        <v>wagon_RAIL</v>
      </c>
      <c r="BY64" t="str">
        <f>VLOOKUP($BX64, Constants!$M:$N, 2, FALSE)</f>
        <v/>
      </c>
      <c r="BZ64" t="str">
        <f t="shared" si="17"/>
        <v/>
      </c>
      <c r="CA64" t="s">
        <v>770</v>
      </c>
      <c r="CB64" t="str">
        <f t="shared" si="18"/>
        <v/>
      </c>
      <c r="CC64" t="str">
        <f t="shared" si="14"/>
        <v>{SILVER}The LMS built double bolsters to carry welded rail, with single rails laid across multiple bolster wagons.</v>
      </c>
    </row>
    <row r="65" spans="1:81" x14ac:dyDescent="0.25">
      <c r="A65" t="s">
        <v>774</v>
      </c>
      <c r="B65" t="s">
        <v>775</v>
      </c>
      <c r="C65">
        <v>68</v>
      </c>
      <c r="D65">
        <v>1040</v>
      </c>
      <c r="E65" t="s">
        <v>281</v>
      </c>
      <c r="F65" t="s">
        <v>281</v>
      </c>
      <c r="G65" t="s">
        <v>275</v>
      </c>
      <c r="H65">
        <v>1949</v>
      </c>
      <c r="J65">
        <v>2010</v>
      </c>
      <c r="U65">
        <v>16</v>
      </c>
      <c r="W65">
        <v>5</v>
      </c>
      <c r="Y65" s="3" t="str">
        <f t="shared" si="16"/>
        <v/>
      </c>
      <c r="Z65">
        <v>60</v>
      </c>
      <c r="AA65">
        <f t="shared" si="15"/>
        <v>96</v>
      </c>
      <c r="AD65">
        <v>15.8</v>
      </c>
      <c r="AE65">
        <v>19.8</v>
      </c>
      <c r="AH65" s="10">
        <f>19*3</f>
        <v>57</v>
      </c>
      <c r="AI65" t="str">
        <f>CONCATENATE(VLOOKUP(AJ65, 'Voxel Sizes'!$A$2:$B$18,2,FALSE),"x",INT(AF65*15), "x", INT(AG65*15))</f>
        <v>198x0x0</v>
      </c>
      <c r="AJ65">
        <f t="shared" si="1"/>
        <v>12</v>
      </c>
      <c r="AL65" t="str">
        <f>CONCATENATE(VLOOKUP(AJ65,Constants!$A$2:$C$16,IF(AK65&lt;&gt;"", 3, 2), FALSE),IF(AK65&lt;&gt;"",CONCATENATE(",",VLOOKUP(AK65,$B:$AL,37,FALSE)),""))</f>
        <v>4,4,4</v>
      </c>
      <c r="AV65">
        <v>30</v>
      </c>
      <c r="AW65" s="15">
        <f t="shared" si="2"/>
        <v>69</v>
      </c>
      <c r="AZ65">
        <f t="shared" si="3"/>
        <v>12</v>
      </c>
      <c r="BA65">
        <f t="shared" si="4"/>
        <v>0</v>
      </c>
      <c r="BB65">
        <f t="shared" si="5"/>
        <v>0</v>
      </c>
      <c r="BC65" s="3">
        <f t="shared" si="6"/>
        <v>0.93466666666666665</v>
      </c>
      <c r="BD65">
        <f t="shared" si="7"/>
        <v>9.5</v>
      </c>
      <c r="BE65">
        <f>VLOOKUP($F65,Constants!$I:$K, 2, FALSE)</f>
        <v>1</v>
      </c>
      <c r="BF65">
        <f>VLOOKUP($F65,Constants!$I:$K, 3, FALSE)*IF(AND(E65="multiple_unit",Z65&lt;110),0.75,1)</f>
        <v>0.45</v>
      </c>
      <c r="BG65">
        <f>INT(POWER(((Constants!$G$2+$AZ65+$BA65+$BB65+$BD65)*$BC65)*$BF65, 1.05))+$AY65</f>
        <v>12</v>
      </c>
      <c r="BH65">
        <f>INT(POWER((((Constants!$G$1+$AZ65+$BA65+$BB65+$BD65)*($BC65))*$BE65),IF($E65="wagon",1,1.2)))+$AX65</f>
        <v>34</v>
      </c>
      <c r="BI65" s="14">
        <f t="shared" si="8"/>
        <v>750</v>
      </c>
      <c r="BJ65" s="14">
        <f t="shared" si="9"/>
        <v>92.82</v>
      </c>
      <c r="BQ65">
        <v>1</v>
      </c>
      <c r="BR65">
        <v>185</v>
      </c>
      <c r="BS65" t="s">
        <v>1043</v>
      </c>
      <c r="BT65" t="s">
        <v>411</v>
      </c>
      <c r="BU65" t="str">
        <f>VLOOKUP(H65,Eras!$A$2:$C$10, 2, TRUE)</f>
        <v>ebr</v>
      </c>
      <c r="BV65" t="s">
        <v>341</v>
      </c>
      <c r="BW65" t="str">
        <f t="shared" si="10"/>
        <v>ebr_Flat Wagon</v>
      </c>
      <c r="BX65" t="str">
        <f t="shared" si="11"/>
        <v>wagon_RAIL</v>
      </c>
      <c r="BY65" t="str">
        <f>VLOOKUP($BX65, Constants!$M:$N, 2, FALSE)</f>
        <v/>
      </c>
      <c r="BZ65" t="str">
        <f t="shared" si="17"/>
        <v/>
      </c>
      <c r="CA65" t="s">
        <v>776</v>
      </c>
      <c r="CB65" t="str">
        <f t="shared" si="18"/>
        <v/>
      </c>
      <c r="CC6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6" spans="1:81" x14ac:dyDescent="0.25">
      <c r="A66" t="s">
        <v>771</v>
      </c>
      <c r="B66" t="s">
        <v>772</v>
      </c>
      <c r="C66">
        <v>70</v>
      </c>
      <c r="D66">
        <v>1041</v>
      </c>
      <c r="E66" t="s">
        <v>281</v>
      </c>
      <c r="F66" t="s">
        <v>281</v>
      </c>
      <c r="G66" t="s">
        <v>275</v>
      </c>
      <c r="H66">
        <v>1975</v>
      </c>
      <c r="U66">
        <v>16</v>
      </c>
      <c r="W66">
        <v>4</v>
      </c>
      <c r="Y66" s="3" t="str">
        <f t="shared" si="16"/>
        <v/>
      </c>
      <c r="Z66">
        <v>70</v>
      </c>
      <c r="AA66">
        <f t="shared" si="15"/>
        <v>112</v>
      </c>
      <c r="AD66">
        <v>15.8</v>
      </c>
      <c r="AE66">
        <v>15.8</v>
      </c>
      <c r="AH66" s="10">
        <v>45</v>
      </c>
      <c r="AI66" t="str">
        <f>CONCATENATE(VLOOKUP(AJ66, 'Voxel Sizes'!$A$2:$B$18,2,FALSE),"x",INT(AF66*15), "x", INT(AG66*15))</f>
        <v>152x0x0</v>
      </c>
      <c r="AJ66">
        <f t="shared" si="1"/>
        <v>9</v>
      </c>
      <c r="AL66" t="str">
        <f>CONCATENATE(VLOOKUP(AJ66,Constants!$A$2:$C$16,IF(AK66&lt;&gt;"", 3, 2), FALSE),IF(AK66&lt;&gt;"",CONCATENATE(",",VLOOKUP(AK66,$B:$AL,37,FALSE)),""))</f>
        <v>2,5,2</v>
      </c>
      <c r="AV66">
        <v>30</v>
      </c>
      <c r="AW66" s="15" t="str">
        <f t="shared" si="2"/>
        <v/>
      </c>
      <c r="AZ66">
        <f t="shared" si="3"/>
        <v>14</v>
      </c>
      <c r="BA66">
        <f t="shared" si="4"/>
        <v>0</v>
      </c>
      <c r="BB66">
        <f t="shared" si="5"/>
        <v>0</v>
      </c>
      <c r="BC66" s="3">
        <f t="shared" si="6"/>
        <v>0.9</v>
      </c>
      <c r="BD66">
        <f t="shared" si="7"/>
        <v>7.5</v>
      </c>
      <c r="BE66">
        <f>VLOOKUP($F66,Constants!$I:$K, 2, FALSE)</f>
        <v>1</v>
      </c>
      <c r="BF66">
        <f>VLOOKUP($F66,Constants!$I:$K, 3, FALSE)*IF(AND(E66="multiple_unit",Z66&lt;110),0.75,1)</f>
        <v>0.45</v>
      </c>
      <c r="BG66">
        <f>INT(POWER(((Constants!$G$2+$AZ66+$BA66+$BB66+$BD66)*$BC66)*$BF66, 1.05))+$AY66</f>
        <v>12</v>
      </c>
      <c r="BH66">
        <f>INT(POWER((((Constants!$G$1+$AZ66+$BA66+$BB66+$BD66)*($BC66))*$BE66),IF($E66="wagon",1,1.2)))+$AX66</f>
        <v>32</v>
      </c>
      <c r="BI66" s="14">
        <f t="shared" si="8"/>
        <v>750</v>
      </c>
      <c r="BJ66" s="14">
        <f t="shared" si="9"/>
        <v>87.36</v>
      </c>
      <c r="BQ66">
        <v>1</v>
      </c>
      <c r="BR66">
        <v>185</v>
      </c>
      <c r="BS66" t="s">
        <v>1043</v>
      </c>
      <c r="BT66" t="s">
        <v>411</v>
      </c>
      <c r="BU66" t="str">
        <f>VLOOKUP(H66,Eras!$A$2:$C$10, 2, TRUE)</f>
        <v>lbr</v>
      </c>
      <c r="BV66" t="s">
        <v>341</v>
      </c>
      <c r="BW66" t="str">
        <f t="shared" si="10"/>
        <v>lbr_Flat Wagon</v>
      </c>
      <c r="BX66" t="str">
        <f t="shared" si="11"/>
        <v>wagon_RAIL</v>
      </c>
      <c r="BY66" t="str">
        <f>VLOOKUP($BX66, Constants!$M:$N, 2, FALSE)</f>
        <v/>
      </c>
      <c r="BZ66" t="str">
        <f t="shared" si="17"/>
        <v/>
      </c>
      <c r="CA66" t="s">
        <v>773</v>
      </c>
      <c r="CB66" t="str">
        <f t="shared" si="18"/>
        <v/>
      </c>
      <c r="CC6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7" spans="1:81" x14ac:dyDescent="0.25">
      <c r="A67" t="s">
        <v>777</v>
      </c>
      <c r="B67" t="s">
        <v>778</v>
      </c>
      <c r="C67">
        <v>72</v>
      </c>
      <c r="D67">
        <v>1042</v>
      </c>
      <c r="E67" t="s">
        <v>281</v>
      </c>
      <c r="F67" t="s">
        <v>281</v>
      </c>
      <c r="G67" t="s">
        <v>275</v>
      </c>
      <c r="H67">
        <v>2009</v>
      </c>
      <c r="U67">
        <v>16</v>
      </c>
      <c r="W67">
        <v>4</v>
      </c>
      <c r="Y67" s="3" t="str">
        <f t="shared" si="16"/>
        <v/>
      </c>
      <c r="Z67">
        <v>85</v>
      </c>
      <c r="AA67">
        <f t="shared" si="15"/>
        <v>136</v>
      </c>
      <c r="AD67">
        <v>15.8</v>
      </c>
      <c r="AE67">
        <v>19.8</v>
      </c>
      <c r="AH67" s="10">
        <v>60</v>
      </c>
      <c r="AI67" t="str">
        <f>CONCATENATE(VLOOKUP(AJ67, 'Voxel Sizes'!$A$2:$B$18,2,FALSE),"x",INT(AF67*15), "x", INT(AG67*15))</f>
        <v>198x0x0</v>
      </c>
      <c r="AJ67">
        <f t="shared" si="1"/>
        <v>12</v>
      </c>
      <c r="AL67" t="str">
        <f>CONCATENATE(VLOOKUP(AJ67,Constants!$A$2:$C$16,IF(AK67&lt;&gt;"", 3, 2), FALSE),IF(AK67&lt;&gt;"",CONCATENATE(",",VLOOKUP(AK67,$B:$AL,37,FALSE)),""))</f>
        <v>4,4,4</v>
      </c>
      <c r="AV67">
        <v>30</v>
      </c>
      <c r="AW67" s="15" t="str">
        <f t="shared" si="2"/>
        <v/>
      </c>
      <c r="AZ67">
        <f t="shared" si="3"/>
        <v>17</v>
      </c>
      <c r="BA67">
        <f t="shared" si="4"/>
        <v>0</v>
      </c>
      <c r="BB67">
        <f t="shared" si="5"/>
        <v>0</v>
      </c>
      <c r="BC67" s="3">
        <f t="shared" si="6"/>
        <v>0.85466666666666669</v>
      </c>
      <c r="BD67">
        <f t="shared" si="7"/>
        <v>10</v>
      </c>
      <c r="BE67">
        <f>VLOOKUP($F67,Constants!$I:$K, 2, FALSE)</f>
        <v>1</v>
      </c>
      <c r="BF67">
        <f>VLOOKUP($F67,Constants!$I:$K, 3, FALSE)*IF(AND(E67="multiple_unit",Z67&lt;110),0.75,1)</f>
        <v>0.45</v>
      </c>
      <c r="BG67">
        <f>INT(POWER(((Constants!$G$2+$AZ67+$BA67+$BB67+$BD67)*$BC67)*$BF67, 1.05))+$AY67</f>
        <v>13</v>
      </c>
      <c r="BH67">
        <f>INT(POWER((((Constants!$G$1+$AZ67+$BA67+$BB67+$BD67)*($BC67))*$BE67),IF($E67="wagon",1,1.2)))+$AX67</f>
        <v>35</v>
      </c>
      <c r="BI67" s="14">
        <f t="shared" si="8"/>
        <v>812.5</v>
      </c>
      <c r="BJ67" s="14">
        <f t="shared" si="9"/>
        <v>95.55</v>
      </c>
      <c r="BQ67">
        <v>1</v>
      </c>
      <c r="BR67">
        <v>185</v>
      </c>
      <c r="BS67" t="s">
        <v>1043</v>
      </c>
      <c r="BT67" t="s">
        <v>411</v>
      </c>
      <c r="BU67" t="str">
        <f>VLOOKUP(H67,Eras!$A$2:$C$10, 2, TRUE)</f>
        <v>mod</v>
      </c>
      <c r="BV67" t="s">
        <v>341</v>
      </c>
      <c r="BW67" t="str">
        <f t="shared" si="10"/>
        <v>mod_Flat Wagon</v>
      </c>
      <c r="BX67" t="str">
        <f t="shared" si="11"/>
        <v>wagon_RAIL</v>
      </c>
      <c r="BY67" t="str">
        <f>VLOOKUP($BX67, Constants!$M:$N, 2, FALSE)</f>
        <v/>
      </c>
      <c r="BZ67" t="str">
        <f t="shared" si="17"/>
        <v/>
      </c>
      <c r="CA67" t="s">
        <v>779</v>
      </c>
      <c r="CB67" t="str">
        <f t="shared" si="18"/>
        <v/>
      </c>
      <c r="CC67" t="str">
        <f t="shared" si="14"/>
        <v>{SILVER}Despite the age of the "Salmon" bolster wagons, in 2009 they were refurbished with new end plates to make loading track panels simpler.</v>
      </c>
    </row>
    <row r="68" spans="1:81" x14ac:dyDescent="0.25">
      <c r="A68" t="s">
        <v>783</v>
      </c>
      <c r="B68" t="s">
        <v>784</v>
      </c>
      <c r="C68">
        <v>80</v>
      </c>
      <c r="D68">
        <v>1043</v>
      </c>
      <c r="E68" t="s">
        <v>281</v>
      </c>
      <c r="F68" t="s">
        <v>281</v>
      </c>
      <c r="G68" t="s">
        <v>275</v>
      </c>
      <c r="H68">
        <v>1972</v>
      </c>
      <c r="U68">
        <v>17</v>
      </c>
      <c r="W68">
        <v>5</v>
      </c>
      <c r="Y68" s="3" t="str">
        <f t="shared" si="16"/>
        <v/>
      </c>
      <c r="Z68">
        <v>70</v>
      </c>
      <c r="AA68">
        <f t="shared" si="15"/>
        <v>112</v>
      </c>
      <c r="AD68">
        <v>13.3</v>
      </c>
      <c r="AE68">
        <v>13.3</v>
      </c>
      <c r="AH68" s="10">
        <v>42</v>
      </c>
      <c r="AI68" t="str">
        <f>CONCATENATE(VLOOKUP(AJ68, 'Voxel Sizes'!$A$2:$B$18,2,FALSE),"x",INT(AF68*15), "x", INT(AG68*15))</f>
        <v>136x0x0</v>
      </c>
      <c r="AJ68">
        <f t="shared" si="1"/>
        <v>8</v>
      </c>
      <c r="AL68" t="str">
        <f>CONCATENATE(VLOOKUP(AJ68,Constants!$A$2:$C$16,IF(AK68&lt;&gt;"", 3, 2), FALSE),IF(AK68&lt;&gt;"",CONCATENATE(",",VLOOKUP(AK68,$B:$AL,37,FALSE)),""))</f>
        <v>2,4,2</v>
      </c>
      <c r="AV68">
        <v>30</v>
      </c>
      <c r="AW68" s="15" t="str">
        <f t="shared" si="2"/>
        <v/>
      </c>
      <c r="AZ68">
        <f t="shared" si="3"/>
        <v>14</v>
      </c>
      <c r="BA68">
        <f t="shared" si="4"/>
        <v>0</v>
      </c>
      <c r="BB68">
        <f t="shared" si="5"/>
        <v>0</v>
      </c>
      <c r="BC68" s="3">
        <f t="shared" si="6"/>
        <v>0.90400000000000003</v>
      </c>
      <c r="BD68">
        <f t="shared" si="7"/>
        <v>7.0000000000000009</v>
      </c>
      <c r="BE68">
        <f>VLOOKUP($F68,Constants!$I:$K, 2, FALSE)</f>
        <v>1</v>
      </c>
      <c r="BF68">
        <f>VLOOKUP($F68,Constants!$I:$K, 3, FALSE)*IF(AND(E68="multiple_unit",Z68&lt;110),0.75,1)</f>
        <v>0.45</v>
      </c>
      <c r="BG68">
        <f>INT(POWER(((Constants!$G$2+$AZ68+$BA68+$BB68+$BD68)*$BC68)*$BF68, 1.05))+$AY68</f>
        <v>11</v>
      </c>
      <c r="BH68">
        <f>INT(POWER((((Constants!$G$1+$AZ68+$BA68+$BB68+$BD68)*($BC68))*$BE68),IF($E68="wagon",1,1.2)))+$AX68</f>
        <v>32</v>
      </c>
      <c r="BI68" s="14">
        <f t="shared" si="8"/>
        <v>687.5</v>
      </c>
      <c r="BJ68" s="14">
        <f t="shared" si="9"/>
        <v>87.36</v>
      </c>
      <c r="BQ68">
        <v>1</v>
      </c>
      <c r="BR68">
        <v>185</v>
      </c>
      <c r="BS68" t="s">
        <v>889</v>
      </c>
      <c r="BT68" t="s">
        <v>793</v>
      </c>
      <c r="BU68" t="str">
        <f>VLOOKUP(H68,Eras!$A$2:$C$10, 2, TRUE)</f>
        <v>lbr</v>
      </c>
      <c r="BV68" t="s">
        <v>341</v>
      </c>
      <c r="BW68" t="str">
        <f t="shared" si="10"/>
        <v>lbr_Flat Wagon</v>
      </c>
      <c r="BX68" t="str">
        <f t="shared" si="11"/>
        <v>wagon_RAIL</v>
      </c>
      <c r="BY68" t="str">
        <f>VLOOKUP($BX68, Constants!$M:$N, 2, FALSE)</f>
        <v/>
      </c>
      <c r="BZ68" t="str">
        <f t="shared" si="17"/>
        <v/>
      </c>
      <c r="CA68" t="s">
        <v>794</v>
      </c>
      <c r="CB68" t="str">
        <f t="shared" si="18"/>
        <v/>
      </c>
      <c r="CC68" t="str">
        <f t="shared" si="14"/>
        <v>{SILVER}BAA wagons could initially carry steel in a large variety of forms, although many were later modified to be dedicated coil carriers.</v>
      </c>
    </row>
    <row r="69" spans="1:81" x14ac:dyDescent="0.25">
      <c r="A69" t="s">
        <v>785</v>
      </c>
      <c r="B69" t="s">
        <v>786</v>
      </c>
      <c r="C69">
        <v>82</v>
      </c>
      <c r="D69">
        <v>1044</v>
      </c>
      <c r="E69" t="s">
        <v>281</v>
      </c>
      <c r="F69" t="s">
        <v>281</v>
      </c>
      <c r="G69" t="s">
        <v>275</v>
      </c>
      <c r="H69">
        <v>1998</v>
      </c>
      <c r="U69">
        <v>24</v>
      </c>
      <c r="W69">
        <v>8</v>
      </c>
      <c r="Y69" s="3" t="str">
        <f t="shared" si="16"/>
        <v/>
      </c>
      <c r="Z69">
        <v>85</v>
      </c>
      <c r="AA69">
        <f t="shared" si="15"/>
        <v>136</v>
      </c>
      <c r="AD69">
        <v>18.600000000000001</v>
      </c>
      <c r="AE69">
        <v>18.600000000000001</v>
      </c>
      <c r="AH69" s="10">
        <v>78</v>
      </c>
      <c r="AI69" t="str">
        <f>CONCATENATE(VLOOKUP(AJ69, 'Voxel Sizes'!$A$2:$B$18,2,FALSE),"x",INT(AF69*15), "x", INT(AG69*15))</f>
        <v>186x0x0</v>
      </c>
      <c r="AJ69">
        <f t="shared" si="1"/>
        <v>11</v>
      </c>
      <c r="AL69" t="str">
        <f>CONCATENATE(VLOOKUP(AJ69,Constants!$A$2:$C$16,IF(AK69&lt;&gt;"", 3, 2), FALSE),IF(AK69&lt;&gt;"",CONCATENATE(",",VLOOKUP(AK69,$B:$AL,37,FALSE)),""))</f>
        <v>4,3,4</v>
      </c>
      <c r="AV69">
        <v>30</v>
      </c>
      <c r="AW69" s="15" t="str">
        <f t="shared" si="2"/>
        <v/>
      </c>
      <c r="AZ69">
        <f t="shared" si="3"/>
        <v>17</v>
      </c>
      <c r="BA69">
        <f t="shared" si="4"/>
        <v>0</v>
      </c>
      <c r="BB69">
        <f t="shared" si="5"/>
        <v>0</v>
      </c>
      <c r="BC69" s="3">
        <f t="shared" si="6"/>
        <v>0.86933333333333329</v>
      </c>
      <c r="BD69">
        <f t="shared" si="7"/>
        <v>13</v>
      </c>
      <c r="BE69">
        <f>VLOOKUP($F69,Constants!$I:$K, 2, FALSE)</f>
        <v>1</v>
      </c>
      <c r="BF69">
        <f>VLOOKUP($F69,Constants!$I:$K, 3, FALSE)*IF(AND(E69="multiple_unit",Z69&lt;110),0.75,1)</f>
        <v>0.45</v>
      </c>
      <c r="BG69">
        <f>INT(POWER(((Constants!$G$2+$AZ69+$BA69+$BB69+$BD69)*$BC69)*$BF69, 1.05))+$AY69</f>
        <v>15</v>
      </c>
      <c r="BH69">
        <f>INT(POWER((((Constants!$G$1+$AZ69+$BA69+$BB69+$BD69)*($BC69))*$BE69),IF($E69="wagon",1,1.2)))+$AX69</f>
        <v>39</v>
      </c>
      <c r="BI69" s="14">
        <f t="shared" si="8"/>
        <v>937.5</v>
      </c>
      <c r="BJ69" s="14">
        <f t="shared" si="9"/>
        <v>106.47</v>
      </c>
      <c r="BQ69">
        <v>1</v>
      </c>
      <c r="BR69">
        <v>185</v>
      </c>
      <c r="BS69" t="s">
        <v>889</v>
      </c>
      <c r="BT69" t="s">
        <v>793</v>
      </c>
      <c r="BU69" t="str">
        <f>VLOOKUP(H69,Eras!$A$2:$C$10, 2, TRUE)</f>
        <v>prv</v>
      </c>
      <c r="BV69" t="s">
        <v>341</v>
      </c>
      <c r="BW69" t="str">
        <f t="shared" si="10"/>
        <v>prv_Flat Wagon</v>
      </c>
      <c r="BX69" t="str">
        <f t="shared" si="11"/>
        <v>wagon_RAIL</v>
      </c>
      <c r="BY69" t="str">
        <f>VLOOKUP($BX69, Constants!$M:$N, 2, FALSE)</f>
        <v/>
      </c>
      <c r="BZ69" t="str">
        <f t="shared" si="17"/>
        <v/>
      </c>
      <c r="CA69" t="s">
        <v>792</v>
      </c>
      <c r="CB69" t="str">
        <f t="shared" si="18"/>
        <v/>
      </c>
      <c r="CC69" t="str">
        <f t="shared" si="14"/>
        <v>{SILVER}The BYA/BRA covered steel carriers gained their name from the corrugated sliding cover and its curved cross section.</v>
      </c>
    </row>
    <row r="70" spans="1:81" x14ac:dyDescent="0.25">
      <c r="A70" t="s">
        <v>119</v>
      </c>
      <c r="B70" t="s">
        <v>279</v>
      </c>
      <c r="C70">
        <v>93</v>
      </c>
      <c r="D70">
        <v>1045</v>
      </c>
      <c r="E70" t="s">
        <v>281</v>
      </c>
      <c r="F70" t="s">
        <v>281</v>
      </c>
      <c r="G70" t="s">
        <v>275</v>
      </c>
      <c r="H70">
        <v>1860</v>
      </c>
      <c r="J70">
        <v>1922</v>
      </c>
      <c r="U70">
        <v>5</v>
      </c>
      <c r="W70">
        <v>2</v>
      </c>
      <c r="Y70" s="3" t="str">
        <f t="shared" si="16"/>
        <v/>
      </c>
      <c r="Z70">
        <v>35</v>
      </c>
      <c r="AA70">
        <f t="shared" si="15"/>
        <v>56</v>
      </c>
      <c r="AD70">
        <v>4.9000000000000004</v>
      </c>
      <c r="AE70">
        <v>6</v>
      </c>
      <c r="AH70" s="10">
        <v>15</v>
      </c>
      <c r="AI70" t="str">
        <f>CONCATENATE(VLOOKUP(AJ70, 'Voxel Sizes'!$A$2:$B$18,2,FALSE),"x",INT(AF70*15), "x", INT(AG70*15))</f>
        <v>60x0x0</v>
      </c>
      <c r="AJ70">
        <f t="shared" si="1"/>
        <v>4</v>
      </c>
      <c r="AL70" t="str">
        <f>CONCATENATE(VLOOKUP(AJ70,Constants!$A$2:$C$16,IF(AK70&lt;&gt;"", 3, 2), FALSE),IF(AK70&lt;&gt;"",CONCATENATE(",",VLOOKUP(AK70,$B:$AL,37,FALSE)),""))</f>
        <v>1,2,1</v>
      </c>
      <c r="AV70">
        <v>30</v>
      </c>
      <c r="AW70" s="15">
        <f t="shared" si="2"/>
        <v>70</v>
      </c>
      <c r="AZ70">
        <f t="shared" si="3"/>
        <v>7</v>
      </c>
      <c r="BA70">
        <f t="shared" si="4"/>
        <v>0</v>
      </c>
      <c r="BB70">
        <f t="shared" si="5"/>
        <v>0</v>
      </c>
      <c r="BC70" s="3">
        <f t="shared" si="6"/>
        <v>1</v>
      </c>
      <c r="BD70">
        <f t="shared" si="7"/>
        <v>2.5</v>
      </c>
      <c r="BE70">
        <f>VLOOKUP($F70,Constants!$I:$K, 2, FALSE)</f>
        <v>1</v>
      </c>
      <c r="BF70">
        <f>VLOOKUP($F70,Constants!$I:$K, 3, FALSE)*IF(AND(E70="multiple_unit",Z70&lt;110),0.75,1)</f>
        <v>0.45</v>
      </c>
      <c r="BG70">
        <f>INT(POWER(((Constants!$G$2+$AZ70+$BA70+$BB70+$BD70)*$BC70)*$BF70, 1.05))+$AY70</f>
        <v>7</v>
      </c>
      <c r="BH70">
        <f>INT(POWER((((Constants!$G$1+$AZ70+$BA70+$BB70+$BD70)*($BC70))*$BE70),IF($E70="wagon",1,1.2)))+$AX70</f>
        <v>24</v>
      </c>
      <c r="BI70" s="14">
        <f t="shared" si="8"/>
        <v>437.5</v>
      </c>
      <c r="BJ70" s="14">
        <f t="shared" si="9"/>
        <v>65.52</v>
      </c>
      <c r="BQ70">
        <v>1</v>
      </c>
      <c r="BR70">
        <v>185</v>
      </c>
      <c r="BS70" t="s">
        <v>343</v>
      </c>
      <c r="BT70" t="s">
        <v>284</v>
      </c>
      <c r="BU70" t="str">
        <f>VLOOKUP(H70,Eras!$A$2:$C$10, 2, TRUE)</f>
        <v>vct</v>
      </c>
      <c r="BV70" t="s">
        <v>343</v>
      </c>
      <c r="BW70" t="str">
        <f t="shared" si="10"/>
        <v>vct_Tanker</v>
      </c>
      <c r="BX70" t="str">
        <f t="shared" si="11"/>
        <v>wagon_RAIL</v>
      </c>
      <c r="BY70" t="str">
        <f>VLOOKUP($BX70, Constants!$M:$N, 2, FALSE)</f>
        <v/>
      </c>
      <c r="BZ70" t="str">
        <f t="shared" si="17"/>
        <v/>
      </c>
      <c r="CA70" t="s">
        <v>363</v>
      </c>
      <c r="CB70" t="str">
        <f t="shared" si="18"/>
        <v/>
      </c>
      <c r="CC70" t="str">
        <f t="shared" si="14"/>
        <v>{SILVER}Early four wheel tank wagons are limited to low speeds by their construction and primitive suspension.</v>
      </c>
    </row>
    <row r="71" spans="1:81" x14ac:dyDescent="0.25">
      <c r="A71" t="s">
        <v>406</v>
      </c>
      <c r="B71" t="s">
        <v>407</v>
      </c>
      <c r="C71">
        <v>94</v>
      </c>
      <c r="D71">
        <v>1046</v>
      </c>
      <c r="E71" t="s">
        <v>281</v>
      </c>
      <c r="F71" t="s">
        <v>281</v>
      </c>
      <c r="G71" t="s">
        <v>275</v>
      </c>
      <c r="H71">
        <v>1901</v>
      </c>
      <c r="J71">
        <v>1939</v>
      </c>
      <c r="U71">
        <v>10</v>
      </c>
      <c r="W71">
        <v>3</v>
      </c>
      <c r="Y71" s="3" t="str">
        <f t="shared" si="16"/>
        <v/>
      </c>
      <c r="Z71">
        <v>45</v>
      </c>
      <c r="AA71">
        <f t="shared" si="15"/>
        <v>72</v>
      </c>
      <c r="AD71">
        <v>8</v>
      </c>
      <c r="AE71">
        <v>8</v>
      </c>
      <c r="AH71" s="10">
        <v>21</v>
      </c>
      <c r="AI71" t="str">
        <f>CONCATENATE(VLOOKUP(AJ71, 'Voxel Sizes'!$A$2:$B$18,2,FALSE),"x",INT(AF71*15), "x", INT(AG71*15))</f>
        <v>82x0x0</v>
      </c>
      <c r="AJ71">
        <f t="shared" si="1"/>
        <v>5</v>
      </c>
      <c r="AL71" t="str">
        <f>CONCATENATE(VLOOKUP(AJ71,Constants!$A$2:$C$16,IF(AK71&lt;&gt;"", 3, 2), FALSE),IF(AK71&lt;&gt;"",CONCATENATE(",",VLOOKUP(AK71,$B:$AL,37,FALSE)),""))</f>
        <v>2,1,2</v>
      </c>
      <c r="AV71">
        <v>30</v>
      </c>
      <c r="AW71" s="15">
        <f t="shared" si="2"/>
        <v>46</v>
      </c>
      <c r="AZ71">
        <f t="shared" si="3"/>
        <v>9</v>
      </c>
      <c r="BA71">
        <f t="shared" si="4"/>
        <v>0</v>
      </c>
      <c r="BB71">
        <f t="shared" si="5"/>
        <v>0</v>
      </c>
      <c r="BC71" s="3">
        <f t="shared" si="6"/>
        <v>0.9986666666666667</v>
      </c>
      <c r="BD71">
        <f t="shared" si="7"/>
        <v>3.5000000000000004</v>
      </c>
      <c r="BE71">
        <f>VLOOKUP($F71,Constants!$I:$K, 2, FALSE)</f>
        <v>1</v>
      </c>
      <c r="BF71">
        <f>VLOOKUP($F71,Constants!$I:$K, 3, FALSE)*IF(AND(E71="multiple_unit",Z71&lt;110),0.75,1)</f>
        <v>0.45</v>
      </c>
      <c r="BG71">
        <f>INT(POWER(((Constants!$G$2+$AZ71+$BA71+$BB71+$BD71)*$BC71)*$BF71, 1.05))+$AY71</f>
        <v>8</v>
      </c>
      <c r="BH71">
        <f>INT(POWER((((Constants!$G$1+$AZ71+$BA71+$BB71+$BD71)*($BC71))*$BE71),IF($E71="wagon",1,1.2)))+$AX71</f>
        <v>27</v>
      </c>
      <c r="BI71" s="14">
        <f t="shared" si="8"/>
        <v>500</v>
      </c>
      <c r="BJ71" s="14">
        <f t="shared" si="9"/>
        <v>73.709999999999994</v>
      </c>
      <c r="BQ71">
        <v>1</v>
      </c>
      <c r="BR71">
        <v>185</v>
      </c>
      <c r="BS71" t="s">
        <v>343</v>
      </c>
      <c r="BT71" t="s">
        <v>284</v>
      </c>
      <c r="BU71" t="str">
        <f>VLOOKUP(H71,Eras!$A$2:$C$10, 2, TRUE)</f>
        <v>edw</v>
      </c>
      <c r="BV71" t="s">
        <v>343</v>
      </c>
      <c r="BW71" t="str">
        <f t="shared" si="10"/>
        <v>edw_Tanker</v>
      </c>
      <c r="BX71" t="str">
        <f t="shared" si="11"/>
        <v>wagon_RAIL</v>
      </c>
      <c r="BY71" t="str">
        <f>VLOOKUP($BX71, Constants!$M:$N, 2, FALSE)</f>
        <v/>
      </c>
      <c r="BZ71" t="str">
        <f t="shared" si="17"/>
        <v/>
      </c>
      <c r="CA71" t="s">
        <v>408</v>
      </c>
      <c r="CB71" t="str">
        <f t="shared" si="18"/>
        <v/>
      </c>
      <c r="CC71" t="str">
        <f t="shared" si="14"/>
        <v>{SILVER}The GWR's cylindrical tank wagons were built by the Locomotive department, as the iron cylinders used similar techniques to steam engines.</v>
      </c>
    </row>
    <row r="72" spans="1:81" x14ac:dyDescent="0.25">
      <c r="A72" t="s">
        <v>735</v>
      </c>
      <c r="B72" t="s">
        <v>280</v>
      </c>
      <c r="C72">
        <v>96</v>
      </c>
      <c r="D72">
        <v>1047</v>
      </c>
      <c r="E72" t="s">
        <v>281</v>
      </c>
      <c r="F72" t="s">
        <v>281</v>
      </c>
      <c r="G72" t="s">
        <v>275</v>
      </c>
      <c r="H72">
        <v>1928</v>
      </c>
      <c r="J72">
        <v>1975</v>
      </c>
      <c r="U72">
        <v>11</v>
      </c>
      <c r="W72">
        <v>3</v>
      </c>
      <c r="Z72">
        <v>50</v>
      </c>
      <c r="AA72">
        <f t="shared" si="15"/>
        <v>80</v>
      </c>
      <c r="AD72">
        <v>8</v>
      </c>
      <c r="AE72">
        <v>8</v>
      </c>
      <c r="AH72" s="10">
        <v>27</v>
      </c>
      <c r="AI72" t="str">
        <f>CONCATENATE(VLOOKUP(AJ72, 'Voxel Sizes'!$A$2:$B$18,2,FALSE),"x",INT(AF72*15), "x", INT(AG72*15))</f>
        <v>82x0x0</v>
      </c>
      <c r="AJ72">
        <f t="shared" si="1"/>
        <v>5</v>
      </c>
      <c r="AL72" t="str">
        <f>CONCATENATE(VLOOKUP(AJ72,Constants!$A$2:$C$16,IF(AK72&lt;&gt;"", 3, 2), FALSE),IF(AK72&lt;&gt;"",CONCATENATE(",",VLOOKUP(AK72,$B:$AL,37,FALSE)),""))</f>
        <v>2,1,2</v>
      </c>
      <c r="AV72">
        <v>30</v>
      </c>
      <c r="AW72" s="15">
        <f t="shared" si="2"/>
        <v>55</v>
      </c>
      <c r="AZ72">
        <f t="shared" si="3"/>
        <v>10</v>
      </c>
      <c r="BA72">
        <f t="shared" si="4"/>
        <v>0</v>
      </c>
      <c r="BB72">
        <f t="shared" si="5"/>
        <v>0</v>
      </c>
      <c r="BC72" s="3">
        <f t="shared" si="6"/>
        <v>0.96266666666666667</v>
      </c>
      <c r="BD72">
        <f t="shared" si="7"/>
        <v>4.5</v>
      </c>
      <c r="BE72">
        <f>VLOOKUP($F72,Constants!$I:$K, 2, FALSE)</f>
        <v>1</v>
      </c>
      <c r="BF72">
        <f>VLOOKUP($F72,Constants!$I:$K, 3, FALSE)*IF(AND(E72="multiple_unit",Z72&lt;110),0.75,1)</f>
        <v>0.45</v>
      </c>
      <c r="BG72">
        <f>INT(POWER(((Constants!$G$2+$AZ72+$BA72+$BB72+$BD72)*$BC72)*$BF72, 1.05))+$AY72</f>
        <v>9</v>
      </c>
      <c r="BH72">
        <f>INT(POWER((((Constants!$G$1+$AZ72+$BA72+$BB72+$BD72)*($BC72))*$BE72),IF($E72="wagon",1,1.2)))+$AX72</f>
        <v>28</v>
      </c>
      <c r="BI72" s="14">
        <f t="shared" si="8"/>
        <v>562.5</v>
      </c>
      <c r="BJ72" s="14">
        <f t="shared" si="9"/>
        <v>76.44</v>
      </c>
      <c r="BQ72">
        <v>1</v>
      </c>
      <c r="BR72">
        <v>185</v>
      </c>
      <c r="BS72" t="s">
        <v>343</v>
      </c>
      <c r="BT72" t="s">
        <v>284</v>
      </c>
      <c r="BU72" t="str">
        <f>VLOOKUP(H72,Eras!$A$2:$C$10, 2, TRUE)</f>
        <v>big4</v>
      </c>
      <c r="BV72" t="s">
        <v>343</v>
      </c>
      <c r="BW72" t="str">
        <f t="shared" si="10"/>
        <v>big4_Tanker</v>
      </c>
      <c r="BX72" t="str">
        <f t="shared" si="11"/>
        <v>wagon_RAIL</v>
      </c>
      <c r="BY72" t="str">
        <f>VLOOKUP($BX72, Constants!$M:$N, 2, FALSE)</f>
        <v/>
      </c>
      <c r="BZ72" t="str">
        <f t="shared" si="17"/>
        <v/>
      </c>
      <c r="CA72" t="s">
        <v>736</v>
      </c>
      <c r="CB72" t="str">
        <f t="shared" si="18"/>
        <v/>
      </c>
      <c r="CC72" t="str">
        <f t="shared" si="14"/>
        <v>{SILVER}Six wheeled tank wagons formed the core of the GWR (and later BR) "milk trains", long freight consists transporting milk from farms to cities.</v>
      </c>
    </row>
    <row r="73" spans="1:81" x14ac:dyDescent="0.25">
      <c r="A73" t="s">
        <v>733</v>
      </c>
      <c r="B73" t="s">
        <v>712</v>
      </c>
      <c r="C73">
        <v>97</v>
      </c>
      <c r="D73">
        <v>1048</v>
      </c>
      <c r="E73" t="s">
        <v>281</v>
      </c>
      <c r="F73" t="s">
        <v>281</v>
      </c>
      <c r="G73" t="s">
        <v>275</v>
      </c>
      <c r="H73">
        <v>1966</v>
      </c>
      <c r="U73">
        <v>12</v>
      </c>
      <c r="W73">
        <v>4</v>
      </c>
      <c r="Y73" s="3" t="str">
        <f t="shared" ref="Y73:Y132" si="19">IF(AND(U73&gt;0,X73&gt;0),(X73/((U73+V73)*10)),"")</f>
        <v/>
      </c>
      <c r="Z73">
        <v>65</v>
      </c>
      <c r="AA73">
        <f t="shared" si="15"/>
        <v>104</v>
      </c>
      <c r="AD73">
        <v>9.8000000000000007</v>
      </c>
      <c r="AE73">
        <v>9.8000000000000007</v>
      </c>
      <c r="AH73" s="10">
        <v>33</v>
      </c>
      <c r="AI73" t="str">
        <f>CONCATENATE(VLOOKUP(AJ73, 'Voxel Sizes'!$A$2:$B$18,2,FALSE),"x",INT(AF73*15), "x", INT(AG73*15))</f>
        <v>102x0x0</v>
      </c>
      <c r="AJ73">
        <f t="shared" si="1"/>
        <v>6</v>
      </c>
      <c r="AL73" t="str">
        <f>CONCATENATE(VLOOKUP(AJ73,Constants!$A$2:$C$16,IF(AK73&lt;&gt;"", 3, 2), FALSE),IF(AK73&lt;&gt;"",CONCATENATE(",",VLOOKUP(AK73,$B:$AL,37,FALSE)),""))</f>
        <v>2,2,2</v>
      </c>
      <c r="AV73">
        <v>30</v>
      </c>
      <c r="AW73" s="15" t="str">
        <f t="shared" si="2"/>
        <v/>
      </c>
      <c r="AZ73">
        <f t="shared" si="3"/>
        <v>13</v>
      </c>
      <c r="BA73">
        <f t="shared" si="4"/>
        <v>0</v>
      </c>
      <c r="BB73">
        <f t="shared" si="5"/>
        <v>0</v>
      </c>
      <c r="BC73" s="3">
        <f t="shared" si="6"/>
        <v>0.91200000000000003</v>
      </c>
      <c r="BD73">
        <f t="shared" si="7"/>
        <v>5.5</v>
      </c>
      <c r="BE73">
        <f>VLOOKUP($F73,Constants!$I:$K, 2, FALSE)</f>
        <v>1</v>
      </c>
      <c r="BF73">
        <f>VLOOKUP($F73,Constants!$I:$K, 3, FALSE)*IF(AND(E73="multiple_unit",Z73&lt;110),0.75,1)</f>
        <v>0.45</v>
      </c>
      <c r="BG73">
        <f>INT(POWER(((Constants!$G$2+$AZ73+$BA73+$BB73+$BD73)*$BC73)*$BF73, 1.05))+$AY73</f>
        <v>10</v>
      </c>
      <c r="BH73">
        <f>INT(POWER((((Constants!$G$1+$AZ73+$BA73+$BB73+$BD73)*($BC73))*$BE73),IF($E73="wagon",1,1.2)))+$AX73</f>
        <v>30</v>
      </c>
      <c r="BI73" s="14">
        <f t="shared" si="8"/>
        <v>625</v>
      </c>
      <c r="BJ73" s="14">
        <f t="shared" si="9"/>
        <v>81.900000000000006</v>
      </c>
      <c r="BQ73">
        <v>1</v>
      </c>
      <c r="BR73">
        <v>185</v>
      </c>
      <c r="BS73" t="s">
        <v>343</v>
      </c>
      <c r="BT73" t="s">
        <v>284</v>
      </c>
      <c r="BU73" t="str">
        <f>VLOOKUP(H73,Eras!$A$2:$C$10, 2, TRUE)</f>
        <v>dsl</v>
      </c>
      <c r="BV73" t="s">
        <v>343</v>
      </c>
      <c r="BW73" t="str">
        <f t="shared" si="10"/>
        <v>dsl_Tanker</v>
      </c>
      <c r="BX73" t="str">
        <f t="shared" si="11"/>
        <v>wagon_RAIL</v>
      </c>
      <c r="BY73" t="str">
        <f>VLOOKUP($BX73, Constants!$M:$N, 2, FALSE)</f>
        <v/>
      </c>
      <c r="BZ73" t="str">
        <f t="shared" si="17"/>
        <v/>
      </c>
      <c r="CA73" t="s">
        <v>710</v>
      </c>
      <c r="CB73" t="str">
        <f t="shared" si="18"/>
        <v/>
      </c>
      <c r="CC73" t="str">
        <f t="shared" si="14"/>
        <v>{SILVER}TTA tankers were constructed on "monobloc" principles and featured automatic braking.</v>
      </c>
    </row>
    <row r="74" spans="1:81" x14ac:dyDescent="0.25">
      <c r="A74" t="s">
        <v>734</v>
      </c>
      <c r="B74" t="s">
        <v>713</v>
      </c>
      <c r="C74">
        <v>99</v>
      </c>
      <c r="D74">
        <v>1049</v>
      </c>
      <c r="E74" t="s">
        <v>281</v>
      </c>
      <c r="F74" t="s">
        <v>281</v>
      </c>
      <c r="G74" t="s">
        <v>275</v>
      </c>
      <c r="H74">
        <v>1970</v>
      </c>
      <c r="U74">
        <v>24</v>
      </c>
      <c r="W74">
        <v>5</v>
      </c>
      <c r="Y74" s="3" t="str">
        <f t="shared" si="19"/>
        <v/>
      </c>
      <c r="Z74">
        <v>70</v>
      </c>
      <c r="AA74">
        <f t="shared" si="15"/>
        <v>112</v>
      </c>
      <c r="AD74">
        <v>17.7</v>
      </c>
      <c r="AE74">
        <v>17.7</v>
      </c>
      <c r="AH74" s="10">
        <v>78</v>
      </c>
      <c r="AI74" t="str">
        <f>CONCATENATE(VLOOKUP(AJ74, 'Voxel Sizes'!$A$2:$B$18,2,FALSE),"x",INT(AF74*15), "x", INT(AG74*15))</f>
        <v>164x0x0</v>
      </c>
      <c r="AJ74">
        <f t="shared" ref="AJ74:AJ133" si="20">ROUND(15*((AE74*10)/256),0)</f>
        <v>10</v>
      </c>
      <c r="AL74" t="str">
        <f>CONCATENATE(VLOOKUP(AJ74,Constants!$A$2:$C$16,IF(AK74&lt;&gt;"", 3, 2), FALSE),IF(AK74&lt;&gt;"",CONCATENATE(",",VLOOKUP(AK74,$B:$AL,37,FALSE)),""))</f>
        <v>4,2,4</v>
      </c>
      <c r="AV74">
        <v>30</v>
      </c>
      <c r="AW74" s="15" t="str">
        <f t="shared" ref="AW74:AW133" si="21">IF(J74&lt;&gt;"",MAX(16,(J74-H74)+8),"")</f>
        <v/>
      </c>
      <c r="AZ74">
        <f t="shared" ref="AZ74:AZ133" si="22">MIN(Z74/150, 1)*30</f>
        <v>14</v>
      </c>
      <c r="BA74">
        <f t="shared" ref="BA74:BA133" si="23">MIN(L74/4000, 1)*20</f>
        <v>0</v>
      </c>
      <c r="BB74">
        <f t="shared" ref="BB74:BB133" si="24">MIN(X74/400,1)*20</f>
        <v>0</v>
      </c>
      <c r="BC74" s="3">
        <f t="shared" ref="BC74:BC133" si="25">1-(MAX(H74-1900, 0)/750)</f>
        <v>0.90666666666666662</v>
      </c>
      <c r="BD74">
        <f t="shared" ref="BD74:BD133" si="26">((MAX($K74,1)*MIN($AH74/300,1)))*IF(E74="Wagon",50,10)</f>
        <v>13</v>
      </c>
      <c r="BE74">
        <f>VLOOKUP($F74,Constants!$I:$K, 2, FALSE)</f>
        <v>1</v>
      </c>
      <c r="BF74">
        <f>VLOOKUP($F74,Constants!$I:$K, 3, FALSE)*IF(AND(E74="multiple_unit",Z74&lt;110),0.75,1)</f>
        <v>0.45</v>
      </c>
      <c r="BG74">
        <f>INT(POWER(((Constants!$G$2+$AZ74+$BA74+$BB74+$BD74)*$BC74)*$BF74, 1.05))+$AY74</f>
        <v>14</v>
      </c>
      <c r="BH74">
        <f>INT(POWER((((Constants!$G$1+$AZ74+$BA74+$BB74+$BD74)*($BC74))*$BE74),IF($E74="wagon",1,1.2)))+$AX74</f>
        <v>38</v>
      </c>
      <c r="BI74" s="14">
        <f t="shared" ref="BI74:BI133" si="27">BG74*IF($E74="wagon",62.5,781.25)</f>
        <v>875</v>
      </c>
      <c r="BJ74" s="14">
        <f t="shared" ref="BJ74:BJ133" si="28">BH74*IF($E74="wagon",2.73,81.25)</f>
        <v>103.74</v>
      </c>
      <c r="BQ74">
        <v>1</v>
      </c>
      <c r="BR74">
        <v>185</v>
      </c>
      <c r="BS74" t="s">
        <v>343</v>
      </c>
      <c r="BT74" t="s">
        <v>284</v>
      </c>
      <c r="BU74" t="str">
        <f>VLOOKUP(H74,Eras!$A$2:$C$10, 2, TRUE)</f>
        <v>lbr</v>
      </c>
      <c r="BV74" t="s">
        <v>343</v>
      </c>
      <c r="BW74" t="str">
        <f t="shared" ref="BW74:BW133" si="29">CONCATENATE(BU74,"_",BV74)</f>
        <v>lbr_Tanker</v>
      </c>
      <c r="BX74" t="str">
        <f t="shared" ref="BX74:BX133" si="30">_xlfn.CONCAT(F74, "_",G74)</f>
        <v>wagon_RAIL</v>
      </c>
      <c r="BY74" t="str">
        <f>VLOOKUP($BX74, Constants!$M:$N, 2, FALSE)</f>
        <v/>
      </c>
      <c r="BZ74" t="str">
        <f t="shared" ref="BZ74:BZ101" si="31">IF(K74&gt;1,_xlfn.CONCAT("{BLACK}Cars: {GOLD}", K74),"")</f>
        <v/>
      </c>
      <c r="CA74" t="s">
        <v>711</v>
      </c>
      <c r="CB74" t="str">
        <f t="shared" ref="CB74:CB101" si="32">IF(BT74="BRAKE","{YELLOW}Speed bonus for slow wagons{}",IF(BR74&gt;190,CONCATENATE("{YELLOW}",INT((BR74-185)/1.85),"% Bonus for long distance travel{}"),IF(AND(BR74&lt;180,BR74&lt;&gt;0),CONCATENATE("{YELLOW}",INT((185-BR74)/1.85),"% Penalty for long distance travel{}"),"")))</f>
        <v/>
      </c>
      <c r="CC74" t="str">
        <f t="shared" ref="CC74:CC133" si="33">_xlfn.CONCAT(BY74,IF(BY74 &lt;&gt; "", " ", ""),BZ74,IF(OR(BZ74&lt;&gt;"", BY74&lt;&gt;""), "{}",""), CB74,"{SILVER}", CA74)</f>
        <v>{SILVER}Large bogie tankers allowed for carrying heavy loads of liquids at high speeds. The long frames allow tanks to take up more space without fouling axles.</v>
      </c>
    </row>
    <row r="75" spans="1:81" x14ac:dyDescent="0.25">
      <c r="A75" t="s">
        <v>803</v>
      </c>
      <c r="B75" t="s">
        <v>210</v>
      </c>
      <c r="C75">
        <v>100</v>
      </c>
      <c r="D75">
        <v>1050</v>
      </c>
      <c r="E75" t="s">
        <v>281</v>
      </c>
      <c r="F75" t="s">
        <v>281</v>
      </c>
      <c r="G75" t="s">
        <v>275</v>
      </c>
      <c r="H75">
        <v>1850</v>
      </c>
      <c r="J75">
        <v>1925</v>
      </c>
      <c r="U75">
        <v>8</v>
      </c>
      <c r="W75">
        <v>3</v>
      </c>
      <c r="Y75" s="3" t="str">
        <f t="shared" si="19"/>
        <v/>
      </c>
      <c r="Z75">
        <v>40</v>
      </c>
      <c r="AA75">
        <f t="shared" si="15"/>
        <v>64</v>
      </c>
      <c r="AD75">
        <v>6</v>
      </c>
      <c r="AE75">
        <v>6</v>
      </c>
      <c r="AH75" s="10">
        <v>18</v>
      </c>
      <c r="AI75" t="str">
        <f>CONCATENATE(VLOOKUP(AJ75, 'Voxel Sizes'!$A$2:$B$18,2,FALSE),"x",INT(AF75*15), "x", INT(AG75*15))</f>
        <v>60x0x0</v>
      </c>
      <c r="AJ75">
        <f t="shared" si="20"/>
        <v>4</v>
      </c>
      <c r="AL75" t="str">
        <f>CONCATENATE(VLOOKUP(AJ75,Constants!$A$2:$C$16,IF(AK75&lt;&gt;"", 3, 2), FALSE),IF(AK75&lt;&gt;"",CONCATENATE(",",VLOOKUP(AK75,$B:$AL,37,FALSE)),""))</f>
        <v>1,2,1</v>
      </c>
      <c r="AV75">
        <v>30</v>
      </c>
      <c r="AW75" s="15">
        <f t="shared" si="21"/>
        <v>83</v>
      </c>
      <c r="AZ75">
        <f t="shared" si="22"/>
        <v>8</v>
      </c>
      <c r="BA75">
        <f t="shared" si="23"/>
        <v>0</v>
      </c>
      <c r="BB75">
        <f t="shared" si="24"/>
        <v>0</v>
      </c>
      <c r="BC75" s="3">
        <f t="shared" si="25"/>
        <v>1</v>
      </c>
      <c r="BD75">
        <f t="shared" si="26"/>
        <v>3</v>
      </c>
      <c r="BE75">
        <f>VLOOKUP($F75,Constants!$I:$K, 2, FALSE)</f>
        <v>1</v>
      </c>
      <c r="BF75">
        <f>VLOOKUP($F75,Constants!$I:$K, 3, FALSE)*IF(AND(E75="multiple_unit",Z75&lt;110),0.75,1)</f>
        <v>0.45</v>
      </c>
      <c r="BG75">
        <f>INT(POWER(((Constants!$G$2+$AZ75+$BA75+$BB75+$BD75)*$BC75)*$BF75, 1.05))+$AY75</f>
        <v>7</v>
      </c>
      <c r="BH75">
        <f>INT(POWER((((Constants!$G$1+$AZ75+$BA75+$BB75+$BD75)*($BC75))*$BE75),IF($E75="wagon",1,1.2)))+$AX75</f>
        <v>26</v>
      </c>
      <c r="BI75" s="14">
        <f t="shared" si="27"/>
        <v>437.5</v>
      </c>
      <c r="BJ75" s="14">
        <f t="shared" si="28"/>
        <v>70.98</v>
      </c>
      <c r="BQ75">
        <v>1</v>
      </c>
      <c r="BR75">
        <v>185</v>
      </c>
      <c r="BS75" t="s">
        <v>905</v>
      </c>
      <c r="BT75" t="s">
        <v>753</v>
      </c>
      <c r="BU75" t="str">
        <f>VLOOKUP(H75,Eras!$A$2:$C$10, 2, TRUE)</f>
        <v>vct</v>
      </c>
      <c r="BV75" t="s">
        <v>342</v>
      </c>
      <c r="BW75" t="str">
        <f t="shared" si="29"/>
        <v>vct_Van</v>
      </c>
      <c r="BX75" t="str">
        <f t="shared" si="30"/>
        <v>wagon_RAIL</v>
      </c>
      <c r="BY75" t="str">
        <f>VLOOKUP($BX75, Constants!$M:$N, 2, FALSE)</f>
        <v/>
      </c>
      <c r="BZ75" t="str">
        <f t="shared" si="31"/>
        <v/>
      </c>
      <c r="CA75" t="s">
        <v>752</v>
      </c>
      <c r="CB75" t="str">
        <f t="shared" si="32"/>
        <v/>
      </c>
      <c r="CC75" t="str">
        <f t="shared" si="33"/>
        <v>{SILVER}Livestock traffic was common early on in railway history, with specialised cattle wagons and stations equipped to handle loading and unloading.</v>
      </c>
    </row>
    <row r="76" spans="1:81" x14ac:dyDescent="0.25">
      <c r="A76" t="s">
        <v>804</v>
      </c>
      <c r="B76" t="s">
        <v>754</v>
      </c>
      <c r="C76">
        <v>101</v>
      </c>
      <c r="D76">
        <v>1051</v>
      </c>
      <c r="E76" t="s">
        <v>281</v>
      </c>
      <c r="F76" t="s">
        <v>281</v>
      </c>
      <c r="G76" t="s">
        <v>275</v>
      </c>
      <c r="H76">
        <v>1905</v>
      </c>
      <c r="J76">
        <v>1955</v>
      </c>
      <c r="U76">
        <v>10</v>
      </c>
      <c r="W76">
        <v>3</v>
      </c>
      <c r="Y76" s="3" t="str">
        <f t="shared" si="19"/>
        <v/>
      </c>
      <c r="Z76">
        <v>45</v>
      </c>
      <c r="AA76">
        <f t="shared" si="15"/>
        <v>72</v>
      </c>
      <c r="AD76">
        <v>8.9</v>
      </c>
      <c r="AE76">
        <v>8.9</v>
      </c>
      <c r="AH76" s="10">
        <v>24</v>
      </c>
      <c r="AI76" t="str">
        <f>CONCATENATE(VLOOKUP(AJ76, 'Voxel Sizes'!$A$2:$B$18,2,FALSE),"x",INT(AF76*15), "x", INT(AG76*15))</f>
        <v>82x0x0</v>
      </c>
      <c r="AJ76">
        <f t="shared" si="20"/>
        <v>5</v>
      </c>
      <c r="AL76" t="str">
        <f>CONCATENATE(VLOOKUP(AJ76,Constants!$A$2:$C$16,IF(AK76&lt;&gt;"", 3, 2), FALSE),IF(AK76&lt;&gt;"",CONCATENATE(",",VLOOKUP(AK76,$B:$AL,37,FALSE)),""))</f>
        <v>2,1,2</v>
      </c>
      <c r="AV76">
        <v>30</v>
      </c>
      <c r="AW76" s="15">
        <f t="shared" si="21"/>
        <v>58</v>
      </c>
      <c r="AZ76">
        <f t="shared" si="22"/>
        <v>9</v>
      </c>
      <c r="BA76">
        <f t="shared" si="23"/>
        <v>0</v>
      </c>
      <c r="BB76">
        <f t="shared" si="24"/>
        <v>0</v>
      </c>
      <c r="BC76" s="3">
        <f t="shared" si="25"/>
        <v>0.99333333333333329</v>
      </c>
      <c r="BD76">
        <f t="shared" si="26"/>
        <v>4</v>
      </c>
      <c r="BE76">
        <f>VLOOKUP($F76,Constants!$I:$K, 2, FALSE)</f>
        <v>1</v>
      </c>
      <c r="BF76">
        <f>VLOOKUP($F76,Constants!$I:$K, 3, FALSE)*IF(AND(E76="multiple_unit",Z76&lt;110),0.75,1)</f>
        <v>0.45</v>
      </c>
      <c r="BG76">
        <f>INT(POWER(((Constants!$G$2+$AZ76+$BA76+$BB76+$BD76)*$BC76)*$BF76, 1.05))+$AY76</f>
        <v>8</v>
      </c>
      <c r="BH76">
        <f>INT(POWER((((Constants!$G$1+$AZ76+$BA76+$BB76+$BD76)*($BC76))*$BE76),IF($E76="wagon",1,1.2)))+$AX76</f>
        <v>27</v>
      </c>
      <c r="BI76" s="14">
        <f t="shared" si="27"/>
        <v>500</v>
      </c>
      <c r="BJ76" s="14">
        <f t="shared" si="28"/>
        <v>73.709999999999994</v>
      </c>
      <c r="BQ76">
        <v>1</v>
      </c>
      <c r="BR76">
        <v>185</v>
      </c>
      <c r="BS76" t="s">
        <v>905</v>
      </c>
      <c r="BT76" t="s">
        <v>753</v>
      </c>
      <c r="BU76" t="str">
        <f>VLOOKUP(H76,Eras!$A$2:$C$10, 2, TRUE)</f>
        <v>edw</v>
      </c>
      <c r="BV76" t="s">
        <v>342</v>
      </c>
      <c r="BW76" t="str">
        <f t="shared" si="29"/>
        <v>edw_Van</v>
      </c>
      <c r="BX76" t="str">
        <f t="shared" si="30"/>
        <v>wagon_RAIL</v>
      </c>
      <c r="BY76" t="str">
        <f>VLOOKUP($BX76, Constants!$M:$N, 2, FALSE)</f>
        <v/>
      </c>
      <c r="BZ76" t="str">
        <f t="shared" si="31"/>
        <v/>
      </c>
      <c r="CA76" t="s">
        <v>756</v>
      </c>
      <c r="CB76" t="str">
        <f t="shared" si="32"/>
        <v/>
      </c>
      <c r="CC76" t="str">
        <f t="shared" si="33"/>
        <v>{SILVER}Livestock vans evolved along with improvements in covered van design.</v>
      </c>
    </row>
    <row r="77" spans="1:81" x14ac:dyDescent="0.25">
      <c r="A77" t="s">
        <v>805</v>
      </c>
      <c r="B77" t="s">
        <v>755</v>
      </c>
      <c r="C77">
        <v>102</v>
      </c>
      <c r="D77">
        <v>1052</v>
      </c>
      <c r="E77" t="s">
        <v>281</v>
      </c>
      <c r="F77" t="s">
        <v>281</v>
      </c>
      <c r="G77" t="s">
        <v>275</v>
      </c>
      <c r="H77">
        <v>1930</v>
      </c>
      <c r="J77">
        <v>1975</v>
      </c>
      <c r="U77">
        <v>10</v>
      </c>
      <c r="W77">
        <v>3</v>
      </c>
      <c r="Y77" s="3" t="str">
        <f t="shared" si="19"/>
        <v/>
      </c>
      <c r="Z77">
        <v>50</v>
      </c>
      <c r="AA77">
        <f t="shared" si="15"/>
        <v>80</v>
      </c>
      <c r="AD77">
        <v>8.9</v>
      </c>
      <c r="AE77">
        <v>8.9</v>
      </c>
      <c r="AH77" s="10">
        <v>24</v>
      </c>
      <c r="AI77" t="str">
        <f>CONCATENATE(VLOOKUP(AJ77, 'Voxel Sizes'!$A$2:$B$18,2,FALSE),"x",INT(AF77*15), "x", INT(AG77*15))</f>
        <v>82x0x0</v>
      </c>
      <c r="AJ77">
        <f t="shared" si="20"/>
        <v>5</v>
      </c>
      <c r="AL77" t="str">
        <f>CONCATENATE(VLOOKUP(AJ77,Constants!$A$2:$C$16,IF(AK77&lt;&gt;"", 3, 2), FALSE),IF(AK77&lt;&gt;"",CONCATENATE(",",VLOOKUP(AK77,$B:$AL,37,FALSE)),""))</f>
        <v>2,1,2</v>
      </c>
      <c r="AV77">
        <v>30</v>
      </c>
      <c r="AW77" s="15">
        <f t="shared" si="21"/>
        <v>53</v>
      </c>
      <c r="AZ77">
        <f t="shared" si="22"/>
        <v>10</v>
      </c>
      <c r="BA77">
        <f t="shared" si="23"/>
        <v>0</v>
      </c>
      <c r="BB77">
        <f t="shared" si="24"/>
        <v>0</v>
      </c>
      <c r="BC77" s="3">
        <f t="shared" si="25"/>
        <v>0.96</v>
      </c>
      <c r="BD77">
        <f t="shared" si="26"/>
        <v>4</v>
      </c>
      <c r="BE77">
        <f>VLOOKUP($F77,Constants!$I:$K, 2, FALSE)</f>
        <v>1</v>
      </c>
      <c r="BF77">
        <f>VLOOKUP($F77,Constants!$I:$K, 3, FALSE)*IF(AND(E77="multiple_unit",Z77&lt;110),0.75,1)</f>
        <v>0.45</v>
      </c>
      <c r="BG77">
        <f>INT(POWER(((Constants!$G$2+$AZ77+$BA77+$BB77+$BD77)*$BC77)*$BF77, 1.05))+$AY77</f>
        <v>9</v>
      </c>
      <c r="BH77">
        <f>INT(POWER((((Constants!$G$1+$AZ77+$BA77+$BB77+$BD77)*($BC77))*$BE77),IF($E77="wagon",1,1.2)))+$AX77</f>
        <v>27</v>
      </c>
      <c r="BI77" s="14">
        <f t="shared" si="27"/>
        <v>562.5</v>
      </c>
      <c r="BJ77" s="14">
        <f t="shared" si="28"/>
        <v>73.709999999999994</v>
      </c>
      <c r="BQ77">
        <v>1</v>
      </c>
      <c r="BR77">
        <v>185</v>
      </c>
      <c r="BS77" t="s">
        <v>905</v>
      </c>
      <c r="BT77" t="s">
        <v>753</v>
      </c>
      <c r="BU77" t="str">
        <f>VLOOKUP(H77,Eras!$A$2:$C$10, 2, TRUE)</f>
        <v>big4</v>
      </c>
      <c r="BV77" t="s">
        <v>342</v>
      </c>
      <c r="BW77" t="str">
        <f t="shared" si="29"/>
        <v>big4_Van</v>
      </c>
      <c r="BX77" t="str">
        <f t="shared" si="30"/>
        <v>wagon_RAIL</v>
      </c>
      <c r="BY77" t="str">
        <f>VLOOKUP($BX77, Constants!$M:$N, 2, FALSE)</f>
        <v/>
      </c>
      <c r="BZ77" t="str">
        <f t="shared" si="31"/>
        <v/>
      </c>
      <c r="CA77" t="s">
        <v>757</v>
      </c>
      <c r="CB77" t="str">
        <f t="shared" si="32"/>
        <v/>
      </c>
      <c r="CC77" t="str">
        <f t="shared" si="33"/>
        <v>{SILVER}Specialised cattle vans such as this Southern Railway example were built from the 1930s to the 1950s, although livestock traffic reduced in the latter part of this period.</v>
      </c>
    </row>
    <row r="78" spans="1:81" x14ac:dyDescent="0.25">
      <c r="A78" t="s">
        <v>806</v>
      </c>
      <c r="B78" t="s">
        <v>758</v>
      </c>
      <c r="C78">
        <v>103</v>
      </c>
      <c r="D78">
        <v>1053</v>
      </c>
      <c r="E78" t="s">
        <v>281</v>
      </c>
      <c r="F78" t="s">
        <v>281</v>
      </c>
      <c r="G78" t="s">
        <v>275</v>
      </c>
      <c r="H78">
        <v>1960</v>
      </c>
      <c r="J78">
        <v>2000</v>
      </c>
      <c r="U78">
        <v>14</v>
      </c>
      <c r="W78">
        <v>4</v>
      </c>
      <c r="Y78" s="3" t="str">
        <f t="shared" si="19"/>
        <v/>
      </c>
      <c r="Z78">
        <v>65</v>
      </c>
      <c r="AA78">
        <f t="shared" si="15"/>
        <v>104</v>
      </c>
      <c r="AD78">
        <v>10.6</v>
      </c>
      <c r="AE78">
        <v>10.6</v>
      </c>
      <c r="AH78" s="10">
        <v>39</v>
      </c>
      <c r="AI78" t="str">
        <f>CONCATENATE(VLOOKUP(AJ78, 'Voxel Sizes'!$A$2:$B$18,2,FALSE),"x",INT(AF78*15), "x", INT(AG78*15))</f>
        <v>102x0x0</v>
      </c>
      <c r="AJ78">
        <f t="shared" si="20"/>
        <v>6</v>
      </c>
      <c r="AL78" t="str">
        <f>CONCATENATE(VLOOKUP(AJ78,Constants!$A$2:$C$16,IF(AK78&lt;&gt;"", 3, 2), FALSE),IF(AK78&lt;&gt;"",CONCATENATE(",",VLOOKUP(AK78,$B:$AL,37,FALSE)),""))</f>
        <v>2,2,2</v>
      </c>
      <c r="AV78">
        <v>30</v>
      </c>
      <c r="AW78" s="15">
        <f t="shared" si="21"/>
        <v>48</v>
      </c>
      <c r="AZ78">
        <f t="shared" si="22"/>
        <v>13</v>
      </c>
      <c r="BA78">
        <f t="shared" si="23"/>
        <v>0</v>
      </c>
      <c r="BB78">
        <f t="shared" si="24"/>
        <v>0</v>
      </c>
      <c r="BC78" s="3">
        <f t="shared" si="25"/>
        <v>0.92</v>
      </c>
      <c r="BD78">
        <f t="shared" si="26"/>
        <v>6.5</v>
      </c>
      <c r="BE78">
        <f>VLOOKUP($F78,Constants!$I:$K, 2, FALSE)</f>
        <v>1</v>
      </c>
      <c r="BF78">
        <f>VLOOKUP($F78,Constants!$I:$K, 3, FALSE)*IF(AND(E78="multiple_unit",Z78&lt;110),0.75,1)</f>
        <v>0.45</v>
      </c>
      <c r="BG78">
        <f>INT(POWER(((Constants!$G$2+$AZ78+$BA78+$BB78+$BD78)*$BC78)*$BF78, 1.05))+$AY78</f>
        <v>11</v>
      </c>
      <c r="BH78">
        <f>INT(POWER((((Constants!$G$1+$AZ78+$BA78+$BB78+$BD78)*($BC78))*$BE78),IF($E78="wagon",1,1.2)))+$AX78</f>
        <v>31</v>
      </c>
      <c r="BI78" s="14">
        <f t="shared" si="27"/>
        <v>687.5</v>
      </c>
      <c r="BJ78" s="14">
        <f t="shared" si="28"/>
        <v>84.63</v>
      </c>
      <c r="BQ78">
        <v>1</v>
      </c>
      <c r="BR78">
        <v>185</v>
      </c>
      <c r="BS78" t="s">
        <v>905</v>
      </c>
      <c r="BT78" t="s">
        <v>753</v>
      </c>
      <c r="BU78" t="str">
        <f>VLOOKUP(H78,Eras!$A$2:$C$10, 2, TRUE)</f>
        <v>dsl</v>
      </c>
      <c r="BV78" t="s">
        <v>342</v>
      </c>
      <c r="BW78" t="str">
        <f t="shared" si="29"/>
        <v>dsl_Van</v>
      </c>
      <c r="BX78" t="str">
        <f t="shared" si="30"/>
        <v>wagon_RAIL</v>
      </c>
      <c r="BY78" t="str">
        <f>VLOOKUP($BX78, Constants!$M:$N, 2, FALSE)</f>
        <v/>
      </c>
      <c r="BZ78" t="str">
        <f t="shared" si="31"/>
        <v/>
      </c>
      <c r="CA78" t="s">
        <v>761</v>
      </c>
      <c r="CB78" t="str">
        <f t="shared" si="32"/>
        <v/>
      </c>
      <c r="CC78" t="str">
        <f t="shared" si="33"/>
        <v>{SILVER}In reality by the 1960s cattle traffic on the railways had heavily declined with few stations still equipped to handle livestock, and eventually ceased altogether. This wagon represents a plausible development had mainline livestock traffic continued.</v>
      </c>
    </row>
    <row r="79" spans="1:81" x14ac:dyDescent="0.25">
      <c r="A79" t="s">
        <v>807</v>
      </c>
      <c r="B79" t="s">
        <v>759</v>
      </c>
      <c r="C79">
        <v>104</v>
      </c>
      <c r="D79">
        <v>1054</v>
      </c>
      <c r="E79" t="s">
        <v>281</v>
      </c>
      <c r="F79" t="s">
        <v>281</v>
      </c>
      <c r="G79" t="s">
        <v>275</v>
      </c>
      <c r="H79">
        <v>1990</v>
      </c>
      <c r="U79">
        <v>16</v>
      </c>
      <c r="W79">
        <v>4</v>
      </c>
      <c r="Y79" s="3" t="str">
        <f t="shared" si="19"/>
        <v/>
      </c>
      <c r="Z79">
        <v>75</v>
      </c>
      <c r="AA79">
        <f t="shared" si="15"/>
        <v>120</v>
      </c>
      <c r="AD79">
        <v>12.2</v>
      </c>
      <c r="AE79">
        <v>12.2</v>
      </c>
      <c r="AH79" s="10">
        <v>39</v>
      </c>
      <c r="AI79" t="str">
        <f>CONCATENATE(VLOOKUP(AJ79, 'Voxel Sizes'!$A$2:$B$18,2,FALSE),"x",INT(AF79*15), "x", INT(AG79*15))</f>
        <v>120x0x0</v>
      </c>
      <c r="AJ79">
        <f t="shared" si="20"/>
        <v>7</v>
      </c>
      <c r="AL79" t="str">
        <f>CONCATENATE(VLOOKUP(AJ79,Constants!$A$2:$C$16,IF(AK79&lt;&gt;"", 3, 2), FALSE),IF(AK79&lt;&gt;"",CONCATENATE(",",VLOOKUP(AK79,$B:$AL,37,FALSE)),""))</f>
        <v>2,3,2</v>
      </c>
      <c r="AV79">
        <v>30</v>
      </c>
      <c r="AW79" s="15" t="str">
        <f t="shared" si="21"/>
        <v/>
      </c>
      <c r="AZ79">
        <f t="shared" si="22"/>
        <v>15</v>
      </c>
      <c r="BA79">
        <f t="shared" si="23"/>
        <v>0</v>
      </c>
      <c r="BB79">
        <f t="shared" si="24"/>
        <v>0</v>
      </c>
      <c r="BC79" s="3">
        <f t="shared" si="25"/>
        <v>0.88</v>
      </c>
      <c r="BD79">
        <f t="shared" si="26"/>
        <v>6.5</v>
      </c>
      <c r="BE79">
        <f>VLOOKUP($F79,Constants!$I:$K, 2, FALSE)</f>
        <v>1</v>
      </c>
      <c r="BF79">
        <f>VLOOKUP($F79,Constants!$I:$K, 3, FALSE)*IF(AND(E79="multiple_unit",Z79&lt;110),0.75,1)</f>
        <v>0.45</v>
      </c>
      <c r="BG79">
        <f>INT(POWER(((Constants!$G$2+$AZ79+$BA79+$BB79+$BD79)*$BC79)*$BF79, 1.05))+$AY79</f>
        <v>11</v>
      </c>
      <c r="BH79">
        <f>INT(POWER((((Constants!$G$1+$AZ79+$BA79+$BB79+$BD79)*($BC79))*$BE79),IF($E79="wagon",1,1.2)))+$AX79</f>
        <v>32</v>
      </c>
      <c r="BI79" s="14">
        <f t="shared" si="27"/>
        <v>687.5</v>
      </c>
      <c r="BJ79" s="14">
        <f t="shared" si="28"/>
        <v>87.36</v>
      </c>
      <c r="BQ79">
        <v>1</v>
      </c>
      <c r="BR79">
        <v>185</v>
      </c>
      <c r="BS79" t="s">
        <v>905</v>
      </c>
      <c r="BT79" t="s">
        <v>753</v>
      </c>
      <c r="BU79" t="str">
        <f>VLOOKUP(H79,Eras!$A$2:$C$10, 2, TRUE)</f>
        <v>lbr</v>
      </c>
      <c r="BV79" t="s">
        <v>342</v>
      </c>
      <c r="BW79" t="str">
        <f t="shared" si="29"/>
        <v>lbr_Van</v>
      </c>
      <c r="BX79" t="str">
        <f t="shared" si="30"/>
        <v>wagon_RAIL</v>
      </c>
      <c r="BY79" t="str">
        <f>VLOOKUP($BX79, Constants!$M:$N, 2, FALSE)</f>
        <v/>
      </c>
      <c r="BZ79" t="str">
        <f t="shared" si="31"/>
        <v/>
      </c>
      <c r="CA79" t="s">
        <v>760</v>
      </c>
      <c r="CB79" t="str">
        <f t="shared" si="32"/>
        <v/>
      </c>
      <c r="CC79" t="str">
        <f t="shared" si="33"/>
        <v>{SILVER}Although there is no modern livestock traffic on railways in the UK, other countries have continued to build livestock wagons. This wagon is representative of contemporary livestock transport, if it were built to British loading gauge.</v>
      </c>
    </row>
    <row r="80" spans="1:81" x14ac:dyDescent="0.25">
      <c r="A80" t="s">
        <v>1359</v>
      </c>
      <c r="B80" t="s">
        <v>1360</v>
      </c>
      <c r="C80">
        <v>110</v>
      </c>
      <c r="D80">
        <v>1055</v>
      </c>
      <c r="E80" t="s">
        <v>281</v>
      </c>
      <c r="F80" t="s">
        <v>281</v>
      </c>
      <c r="G80" t="s">
        <v>1381</v>
      </c>
      <c r="H80">
        <v>1700</v>
      </c>
      <c r="J80">
        <v>1875</v>
      </c>
      <c r="U80">
        <v>3</v>
      </c>
      <c r="W80">
        <v>2</v>
      </c>
      <c r="Y80" s="3" t="str">
        <f t="shared" si="19"/>
        <v/>
      </c>
      <c r="Z80">
        <v>35</v>
      </c>
      <c r="AA80">
        <f t="shared" si="15"/>
        <v>56</v>
      </c>
      <c r="AD80">
        <v>6</v>
      </c>
      <c r="AE80">
        <v>6</v>
      </c>
      <c r="AH80" s="10">
        <v>15</v>
      </c>
      <c r="AI80" t="str">
        <f>CONCATENATE(VLOOKUP(AJ80, 'Voxel Sizes'!$A$2:$B$18,2,FALSE),"x",INT(AF80*15), "x", INT(AG80*15))</f>
        <v>60x0x0</v>
      </c>
      <c r="AJ80">
        <f t="shared" si="20"/>
        <v>4</v>
      </c>
      <c r="AL80" t="str">
        <f>CONCATENATE(VLOOKUP(AJ80,Constants!$A$2:$C$16,IF(AK80&lt;&gt;"", 3, 2), FALSE),IF(AK80&lt;&gt;"",CONCATENATE(",",VLOOKUP(AK80,$B:$AL,37,FALSE)),""))</f>
        <v>1,2,1</v>
      </c>
      <c r="AV80">
        <v>30</v>
      </c>
      <c r="AW80" s="15">
        <f t="shared" si="21"/>
        <v>183</v>
      </c>
      <c r="AX80">
        <v>-15</v>
      </c>
      <c r="AY80">
        <v>-2</v>
      </c>
      <c r="AZ80">
        <f t="shared" si="22"/>
        <v>7</v>
      </c>
      <c r="BA80">
        <f t="shared" si="23"/>
        <v>0</v>
      </c>
      <c r="BB80">
        <f t="shared" si="24"/>
        <v>0</v>
      </c>
      <c r="BC80" s="3">
        <f t="shared" si="25"/>
        <v>1</v>
      </c>
      <c r="BD80">
        <f t="shared" si="26"/>
        <v>2.5</v>
      </c>
      <c r="BE80">
        <f>VLOOKUP($F80,Constants!$I:$K, 2, FALSE)</f>
        <v>1</v>
      </c>
      <c r="BF80">
        <f>VLOOKUP($F80,Constants!$I:$K, 3, FALSE)*IF(AND(E80="multiple_unit",Z80&lt;110),0.75,1)</f>
        <v>0.45</v>
      </c>
      <c r="BG80">
        <f>INT(POWER(((Constants!$G$2+$AZ80+$BA80+$BB80+$BD80)*$BC80)*$BF80, 1.05))+$AY80</f>
        <v>5</v>
      </c>
      <c r="BH80">
        <f>INT(POWER((((Constants!$G$1+$AZ80+$BA80+$BB80+$BD80)*($BC80))*$BE80),IF($E80="wagon",1,1.2)))+$AX80</f>
        <v>9</v>
      </c>
      <c r="BI80" s="14">
        <f t="shared" si="27"/>
        <v>312.5</v>
      </c>
      <c r="BJ80" s="14">
        <f t="shared" si="28"/>
        <v>24.57</v>
      </c>
      <c r="BQ80">
        <v>1</v>
      </c>
      <c r="BR80">
        <v>185</v>
      </c>
      <c r="BS80" t="s">
        <v>342</v>
      </c>
      <c r="BT80" t="s">
        <v>286</v>
      </c>
      <c r="BU80" t="str">
        <f>VLOOKUP(H80,Eras!$A$2:$C$10, 2, TRUE)</f>
        <v>early</v>
      </c>
      <c r="BV80" t="s">
        <v>342</v>
      </c>
      <c r="BW80" t="str">
        <f t="shared" si="29"/>
        <v>early_Van</v>
      </c>
      <c r="BX80" t="str">
        <f t="shared" si="30"/>
        <v>wagon_PLATEWAY</v>
      </c>
      <c r="BY80" t="str">
        <f>VLOOKUP($BX80, Constants!$M:$N, 2, FALSE)</f>
        <v/>
      </c>
      <c r="BZ80" t="str">
        <f t="shared" si="31"/>
        <v/>
      </c>
      <c r="CA80" t="s">
        <v>1361</v>
      </c>
      <c r="CB80" t="str">
        <f t="shared" si="32"/>
        <v/>
      </c>
      <c r="CC80" t="str">
        <f t="shared" si="33"/>
        <v>{SILVER}Simple canvas-covered wagons were some of the earliest vehicles for moving piece goods which needed to be sheltered from the elements.</v>
      </c>
    </row>
    <row r="81" spans="1:81" x14ac:dyDescent="0.25">
      <c r="A81" t="s">
        <v>749</v>
      </c>
      <c r="B81" t="s">
        <v>750</v>
      </c>
      <c r="C81">
        <v>112</v>
      </c>
      <c r="D81">
        <v>1056</v>
      </c>
      <c r="E81" t="s">
        <v>281</v>
      </c>
      <c r="F81" t="s">
        <v>281</v>
      </c>
      <c r="G81" t="s">
        <v>275</v>
      </c>
      <c r="H81">
        <v>1850</v>
      </c>
      <c r="J81">
        <v>1930</v>
      </c>
      <c r="U81">
        <v>6</v>
      </c>
      <c r="W81">
        <v>3</v>
      </c>
      <c r="Y81" s="3" t="str">
        <f t="shared" si="19"/>
        <v/>
      </c>
      <c r="Z81">
        <v>45</v>
      </c>
      <c r="AA81">
        <f t="shared" si="15"/>
        <v>72</v>
      </c>
      <c r="AD81">
        <v>6</v>
      </c>
      <c r="AE81">
        <v>6</v>
      </c>
      <c r="AH81" s="10">
        <v>18</v>
      </c>
      <c r="AI81" t="str">
        <f>CONCATENATE(VLOOKUP(AJ81, 'Voxel Sizes'!$A$2:$B$18,2,FALSE),"x",INT(AF81*15), "x", INT(AG81*15))</f>
        <v>60x0x0</v>
      </c>
      <c r="AJ81">
        <f t="shared" si="20"/>
        <v>4</v>
      </c>
      <c r="AL81" t="str">
        <f>CONCATENATE(VLOOKUP(AJ81,Constants!$A$2:$C$16,IF(AK81&lt;&gt;"", 3, 2), FALSE),IF(AK81&lt;&gt;"",CONCATENATE(",",VLOOKUP(AK81,$B:$AL,37,FALSE)),""))</f>
        <v>1,2,1</v>
      </c>
      <c r="AV81">
        <v>30</v>
      </c>
      <c r="AW81" s="15">
        <f t="shared" si="21"/>
        <v>88</v>
      </c>
      <c r="AZ81">
        <f t="shared" si="22"/>
        <v>9</v>
      </c>
      <c r="BA81">
        <f t="shared" si="23"/>
        <v>0</v>
      </c>
      <c r="BB81">
        <f t="shared" si="24"/>
        <v>0</v>
      </c>
      <c r="BC81" s="3">
        <f t="shared" si="25"/>
        <v>1</v>
      </c>
      <c r="BD81">
        <f t="shared" si="26"/>
        <v>3</v>
      </c>
      <c r="BE81">
        <f>VLOOKUP($F81,Constants!$I:$K, 2, FALSE)</f>
        <v>1</v>
      </c>
      <c r="BF81">
        <f>VLOOKUP($F81,Constants!$I:$K, 3, FALSE)*IF(AND(E81="multiple_unit",Z81&lt;110),0.75,1)</f>
        <v>0.45</v>
      </c>
      <c r="BG81">
        <f>INT(POWER(((Constants!$G$2+$AZ81+$BA81+$BB81+$BD81)*$BC81)*$BF81, 1.05))+$AY81</f>
        <v>8</v>
      </c>
      <c r="BH81">
        <f>INT(POWER((((Constants!$G$1+$AZ81+$BA81+$BB81+$BD81)*($BC81))*$BE81),IF($E81="wagon",1,1.2)))+$AX81</f>
        <v>27</v>
      </c>
      <c r="BI81" s="14">
        <f t="shared" si="27"/>
        <v>500</v>
      </c>
      <c r="BJ81" s="14">
        <f t="shared" si="28"/>
        <v>73.709999999999994</v>
      </c>
      <c r="BQ81">
        <v>1</v>
      </c>
      <c r="BR81">
        <v>185</v>
      </c>
      <c r="BS81" t="s">
        <v>342</v>
      </c>
      <c r="BT81" t="s">
        <v>286</v>
      </c>
      <c r="BU81" t="str">
        <f>VLOOKUP(H81,Eras!$A$2:$C$10, 2, TRUE)</f>
        <v>vct</v>
      </c>
      <c r="BV81" t="s">
        <v>342</v>
      </c>
      <c r="BW81" t="str">
        <f t="shared" si="29"/>
        <v>vct_Van</v>
      </c>
      <c r="BX81" t="str">
        <f t="shared" si="30"/>
        <v>wagon_RAIL</v>
      </c>
      <c r="BY81" t="str">
        <f>VLOOKUP($BX81, Constants!$M:$N, 2, FALSE)</f>
        <v/>
      </c>
      <c r="BZ81" t="str">
        <f t="shared" si="31"/>
        <v/>
      </c>
      <c r="CA81" t="s">
        <v>751</v>
      </c>
      <c r="CB81" t="str">
        <f t="shared" si="32"/>
        <v/>
      </c>
      <c r="CC81" t="str">
        <f t="shared" si="33"/>
        <v>{SILVER}Piece goods were an important source of revenue for early railways, with most building large quantities of covered vans.</v>
      </c>
    </row>
    <row r="82" spans="1:81" x14ac:dyDescent="0.25">
      <c r="A82" t="s">
        <v>414</v>
      </c>
      <c r="B82" t="s">
        <v>415</v>
      </c>
      <c r="C82">
        <v>114</v>
      </c>
      <c r="D82">
        <v>1057</v>
      </c>
      <c r="E82" t="s">
        <v>281</v>
      </c>
      <c r="F82" t="s">
        <v>281</v>
      </c>
      <c r="G82" t="s">
        <v>275</v>
      </c>
      <c r="H82">
        <v>1902</v>
      </c>
      <c r="J82">
        <v>1960</v>
      </c>
      <c r="U82">
        <v>7</v>
      </c>
      <c r="W82">
        <v>3</v>
      </c>
      <c r="Y82" s="3" t="str">
        <f t="shared" si="19"/>
        <v/>
      </c>
      <c r="Z82">
        <v>50</v>
      </c>
      <c r="AA82">
        <f t="shared" si="15"/>
        <v>80</v>
      </c>
      <c r="AD82">
        <v>8</v>
      </c>
      <c r="AE82">
        <v>8</v>
      </c>
      <c r="AH82" s="10">
        <v>24</v>
      </c>
      <c r="AI82" t="str">
        <f>CONCATENATE(VLOOKUP(AJ82, 'Voxel Sizes'!$A$2:$B$18,2,FALSE),"x",INT(AF82*15), "x", INT(AG82*15))</f>
        <v>82x0x0</v>
      </c>
      <c r="AJ82">
        <f t="shared" si="20"/>
        <v>5</v>
      </c>
      <c r="AL82" t="str">
        <f>CONCATENATE(VLOOKUP(AJ82,Constants!$A$2:$C$16,IF(AK82&lt;&gt;"", 3, 2), FALSE),IF(AK82&lt;&gt;"",CONCATENATE(",",VLOOKUP(AK82,$B:$AL,37,FALSE)),""))</f>
        <v>2,1,2</v>
      </c>
      <c r="AV82">
        <v>30</v>
      </c>
      <c r="AW82" s="15">
        <f t="shared" si="21"/>
        <v>66</v>
      </c>
      <c r="AZ82">
        <f t="shared" si="22"/>
        <v>10</v>
      </c>
      <c r="BA82">
        <f t="shared" si="23"/>
        <v>0</v>
      </c>
      <c r="BB82">
        <f t="shared" si="24"/>
        <v>0</v>
      </c>
      <c r="BC82" s="3">
        <f t="shared" si="25"/>
        <v>0.99733333333333329</v>
      </c>
      <c r="BD82">
        <f t="shared" si="26"/>
        <v>4</v>
      </c>
      <c r="BE82">
        <f>VLOOKUP($F82,Constants!$I:$K, 2, FALSE)</f>
        <v>1</v>
      </c>
      <c r="BF82">
        <f>VLOOKUP($F82,Constants!$I:$K, 3, FALSE)*IF(AND(E82="multiple_unit",Z82&lt;110),0.75,1)</f>
        <v>0.45</v>
      </c>
      <c r="BG82">
        <f>INT(POWER(((Constants!$G$2+$AZ82+$BA82+$BB82+$BD82)*$BC82)*$BF82, 1.05))+$AY82</f>
        <v>9</v>
      </c>
      <c r="BH82">
        <f>INT(POWER((((Constants!$G$1+$AZ82+$BA82+$BB82+$BD82)*($BC82))*$BE82),IF($E82="wagon",1,1.2)))+$AX82</f>
        <v>28</v>
      </c>
      <c r="BI82" s="14">
        <f t="shared" si="27"/>
        <v>562.5</v>
      </c>
      <c r="BJ82" s="14">
        <f t="shared" si="28"/>
        <v>76.44</v>
      </c>
      <c r="BQ82">
        <v>1</v>
      </c>
      <c r="BR82">
        <v>185</v>
      </c>
      <c r="BS82" t="s">
        <v>342</v>
      </c>
      <c r="BT82" t="s">
        <v>286</v>
      </c>
      <c r="BU82" t="str">
        <f>VLOOKUP(H82,Eras!$A$2:$C$10, 2, TRUE)</f>
        <v>edw</v>
      </c>
      <c r="BV82" t="s">
        <v>342</v>
      </c>
      <c r="BW82" t="str">
        <f t="shared" si="29"/>
        <v>edw_Van</v>
      </c>
      <c r="BX82" t="str">
        <f t="shared" si="30"/>
        <v>wagon_RAIL</v>
      </c>
      <c r="BY82" t="str">
        <f>VLOOKUP($BX82, Constants!$M:$N, 2, FALSE)</f>
        <v/>
      </c>
      <c r="BZ82" t="str">
        <f t="shared" si="31"/>
        <v/>
      </c>
      <c r="CA82" t="s">
        <v>413</v>
      </c>
      <c r="CB82" t="str">
        <f t="shared" si="32"/>
        <v/>
      </c>
      <c r="CC82" t="str">
        <f t="shared" si="33"/>
        <v>{SILVER}This goods van uses an iron frame with a wooden body, making it stronger than earlier wooden-framed vans.</v>
      </c>
    </row>
    <row r="83" spans="1:81" x14ac:dyDescent="0.25">
      <c r="A83" t="s">
        <v>737</v>
      </c>
      <c r="B83" t="s">
        <v>738</v>
      </c>
      <c r="C83">
        <v>116</v>
      </c>
      <c r="D83">
        <v>1058</v>
      </c>
      <c r="E83" t="s">
        <v>281</v>
      </c>
      <c r="F83" t="s">
        <v>281</v>
      </c>
      <c r="G83" t="s">
        <v>275</v>
      </c>
      <c r="H83">
        <v>1932</v>
      </c>
      <c r="J83">
        <v>1970</v>
      </c>
      <c r="U83">
        <v>8</v>
      </c>
      <c r="W83">
        <v>3</v>
      </c>
      <c r="Y83" s="3" t="str">
        <f t="shared" si="19"/>
        <v/>
      </c>
      <c r="Z83">
        <v>60</v>
      </c>
      <c r="AA83">
        <f t="shared" si="15"/>
        <v>96</v>
      </c>
      <c r="AD83">
        <v>8</v>
      </c>
      <c r="AE83">
        <v>8</v>
      </c>
      <c r="AH83" s="10">
        <v>27</v>
      </c>
      <c r="AI83" t="str">
        <f>CONCATENATE(VLOOKUP(AJ83, 'Voxel Sizes'!$A$2:$B$18,2,FALSE),"x",INT(AF83*15), "x", INT(AG83*15))</f>
        <v>82x0x0</v>
      </c>
      <c r="AJ83">
        <f t="shared" si="20"/>
        <v>5</v>
      </c>
      <c r="AL83" t="str">
        <f>CONCATENATE(VLOOKUP(AJ83,Constants!$A$2:$C$16,IF(AK83&lt;&gt;"", 3, 2), FALSE),IF(AK83&lt;&gt;"",CONCATENATE(",",VLOOKUP(AK83,$B:$AL,37,FALSE)),""))</f>
        <v>2,1,2</v>
      </c>
      <c r="AV83">
        <v>30</v>
      </c>
      <c r="AW83" s="15">
        <f t="shared" si="21"/>
        <v>46</v>
      </c>
      <c r="AZ83">
        <f t="shared" si="22"/>
        <v>12</v>
      </c>
      <c r="BA83">
        <f t="shared" si="23"/>
        <v>0</v>
      </c>
      <c r="BB83">
        <f t="shared" si="24"/>
        <v>0</v>
      </c>
      <c r="BC83" s="3">
        <f t="shared" si="25"/>
        <v>0.95733333333333337</v>
      </c>
      <c r="BD83">
        <f t="shared" si="26"/>
        <v>4.5</v>
      </c>
      <c r="BE83">
        <f>VLOOKUP($F83,Constants!$I:$K, 2, FALSE)</f>
        <v>1</v>
      </c>
      <c r="BF83">
        <f>VLOOKUP($F83,Constants!$I:$K, 3, FALSE)*IF(AND(E83="multiple_unit",Z83&lt;110),0.75,1)</f>
        <v>0.45</v>
      </c>
      <c r="BG83">
        <f>INT(POWER(((Constants!$G$2+$AZ83+$BA83+$BB83+$BD83)*$BC83)*$BF83, 1.05))+$AY83</f>
        <v>10</v>
      </c>
      <c r="BH83">
        <f>INT(POWER((((Constants!$G$1+$AZ83+$BA83+$BB83+$BD83)*($BC83))*$BE83),IF($E83="wagon",1,1.2)))+$AX83</f>
        <v>30</v>
      </c>
      <c r="BI83" s="14">
        <f t="shared" si="27"/>
        <v>625</v>
      </c>
      <c r="BJ83" s="14">
        <f t="shared" si="28"/>
        <v>81.900000000000006</v>
      </c>
      <c r="BQ83">
        <v>1</v>
      </c>
      <c r="BR83">
        <v>185</v>
      </c>
      <c r="BS83" t="s">
        <v>342</v>
      </c>
      <c r="BT83" t="s">
        <v>286</v>
      </c>
      <c r="BU83" t="str">
        <f>VLOOKUP(H83,Eras!$A$2:$C$10, 2, TRUE)</f>
        <v>big4</v>
      </c>
      <c r="BV83" t="s">
        <v>342</v>
      </c>
      <c r="BW83" t="str">
        <f t="shared" si="29"/>
        <v>big4_Van</v>
      </c>
      <c r="BX83" t="str">
        <f t="shared" si="30"/>
        <v>wagon_RAIL</v>
      </c>
      <c r="BY83" t="str">
        <f>VLOOKUP($BX83, Constants!$M:$N, 2, FALSE)</f>
        <v/>
      </c>
      <c r="BZ83" t="str">
        <f t="shared" si="31"/>
        <v/>
      </c>
      <c r="CA83" t="s">
        <v>739</v>
      </c>
      <c r="CB83" t="str">
        <f t="shared" si="32"/>
        <v/>
      </c>
      <c r="CC83" t="str">
        <f t="shared" si="33"/>
        <v>{SILVER}Fitted vans had brakes which could be controlled from the locomotive or a brake van, allowing higher braking force and thus speed. This example is typical of a Southern Railways vacuum-braked model.</v>
      </c>
    </row>
    <row r="84" spans="1:81" x14ac:dyDescent="0.25">
      <c r="A84" t="s">
        <v>740</v>
      </c>
      <c r="B84" t="s">
        <v>741</v>
      </c>
      <c r="C84">
        <v>118</v>
      </c>
      <c r="D84">
        <v>1059</v>
      </c>
      <c r="E84" t="s">
        <v>281</v>
      </c>
      <c r="F84" t="s">
        <v>281</v>
      </c>
      <c r="G84" t="s">
        <v>275</v>
      </c>
      <c r="H84">
        <v>1962</v>
      </c>
      <c r="J84">
        <v>1985</v>
      </c>
      <c r="U84">
        <v>8</v>
      </c>
      <c r="W84">
        <v>4</v>
      </c>
      <c r="Y84" s="3" t="str">
        <f t="shared" si="19"/>
        <v/>
      </c>
      <c r="Z84">
        <v>65</v>
      </c>
      <c r="AA84">
        <f t="shared" si="15"/>
        <v>104</v>
      </c>
      <c r="AD84">
        <v>8</v>
      </c>
      <c r="AE84">
        <v>8</v>
      </c>
      <c r="AH84" s="10">
        <v>27</v>
      </c>
      <c r="AI84" t="str">
        <f>CONCATENATE(VLOOKUP(AJ84, 'Voxel Sizes'!$A$2:$B$18,2,FALSE),"x",INT(AF84*15), "x", INT(AG84*15))</f>
        <v>82x0x0</v>
      </c>
      <c r="AJ84">
        <f t="shared" si="20"/>
        <v>5</v>
      </c>
      <c r="AL84" t="str">
        <f>CONCATENATE(VLOOKUP(AJ84,Constants!$A$2:$C$16,IF(AK84&lt;&gt;"", 3, 2), FALSE),IF(AK84&lt;&gt;"",CONCATENATE(",",VLOOKUP(AK84,$B:$AL,37,FALSE)),""))</f>
        <v>2,1,2</v>
      </c>
      <c r="AV84">
        <v>30</v>
      </c>
      <c r="AW84" s="15">
        <f t="shared" si="21"/>
        <v>31</v>
      </c>
      <c r="AZ84">
        <f t="shared" si="22"/>
        <v>13</v>
      </c>
      <c r="BA84">
        <f t="shared" si="23"/>
        <v>0</v>
      </c>
      <c r="BB84">
        <f t="shared" si="24"/>
        <v>0</v>
      </c>
      <c r="BC84" s="3">
        <f t="shared" si="25"/>
        <v>0.91733333333333333</v>
      </c>
      <c r="BD84">
        <f t="shared" si="26"/>
        <v>4.5</v>
      </c>
      <c r="BE84">
        <f>VLOOKUP($F84,Constants!$I:$K, 2, FALSE)</f>
        <v>1</v>
      </c>
      <c r="BF84">
        <f>VLOOKUP($F84,Constants!$I:$K, 3, FALSE)*IF(AND(E84="multiple_unit",Z84&lt;110),0.75,1)</f>
        <v>0.45</v>
      </c>
      <c r="BG84">
        <f>INT(POWER(((Constants!$G$2+$AZ84+$BA84+$BB84+$BD84)*$BC84)*$BF84, 1.05))+$AY84</f>
        <v>10</v>
      </c>
      <c r="BH84">
        <f>INT(POWER((((Constants!$G$1+$AZ84+$BA84+$BB84+$BD84)*($BC84))*$BE84),IF($E84="wagon",1,1.2)))+$AX84</f>
        <v>29</v>
      </c>
      <c r="BI84" s="14">
        <f t="shared" si="27"/>
        <v>625</v>
      </c>
      <c r="BJ84" s="14">
        <f t="shared" si="28"/>
        <v>79.17</v>
      </c>
      <c r="BQ84">
        <v>1</v>
      </c>
      <c r="BR84">
        <v>185</v>
      </c>
      <c r="BS84" t="s">
        <v>342</v>
      </c>
      <c r="BT84" t="s">
        <v>286</v>
      </c>
      <c r="BU84" t="str">
        <f>VLOOKUP(H84,Eras!$A$2:$C$10, 2, TRUE)</f>
        <v>dsl</v>
      </c>
      <c r="BV84" t="s">
        <v>342</v>
      </c>
      <c r="BW84" t="str">
        <f t="shared" si="29"/>
        <v>dsl_Van</v>
      </c>
      <c r="BX84" t="str">
        <f t="shared" si="30"/>
        <v>wagon_RAIL</v>
      </c>
      <c r="BY84" t="str">
        <f>VLOOKUP($BX84, Constants!$M:$N, 2, FALSE)</f>
        <v/>
      </c>
      <c r="BZ84" t="str">
        <f t="shared" si="31"/>
        <v/>
      </c>
      <c r="CA84" t="s">
        <v>742</v>
      </c>
      <c r="CB84" t="str">
        <f t="shared" si="32"/>
        <v/>
      </c>
      <c r="CC84" t="str">
        <f t="shared" si="33"/>
        <v>{SILVER}The Vanwide was BR's final development of the traditional van design, featuring wider doors for increased loading speed.</v>
      </c>
    </row>
    <row r="85" spans="1:81" x14ac:dyDescent="0.25">
      <c r="A85" t="s">
        <v>801</v>
      </c>
      <c r="B85" t="s">
        <v>211</v>
      </c>
      <c r="C85">
        <v>121</v>
      </c>
      <c r="D85">
        <v>1060</v>
      </c>
      <c r="E85" t="s">
        <v>281</v>
      </c>
      <c r="F85" t="s">
        <v>281</v>
      </c>
      <c r="G85" t="s">
        <v>275</v>
      </c>
      <c r="H85">
        <v>1969</v>
      </c>
      <c r="J85">
        <v>2010</v>
      </c>
      <c r="U85">
        <v>16</v>
      </c>
      <c r="W85">
        <v>4</v>
      </c>
      <c r="Y85" s="3" t="str">
        <f t="shared" si="19"/>
        <v/>
      </c>
      <c r="Z85">
        <v>75</v>
      </c>
      <c r="AA85">
        <f t="shared" si="15"/>
        <v>120</v>
      </c>
      <c r="AD85">
        <v>11.2</v>
      </c>
      <c r="AE85">
        <v>11.2</v>
      </c>
      <c r="AH85" s="10">
        <v>39</v>
      </c>
      <c r="AI85" t="str">
        <f>CONCATENATE(VLOOKUP(AJ85, 'Voxel Sizes'!$A$2:$B$18,2,FALSE),"x",INT(AF85*15), "x", INT(AG85*15))</f>
        <v>120x0x0</v>
      </c>
      <c r="AJ85">
        <f t="shared" si="20"/>
        <v>7</v>
      </c>
      <c r="AL85" t="str">
        <f>CONCATENATE(VLOOKUP(AJ85,Constants!$A$2:$C$16,IF(AK85&lt;&gt;"", 3, 2), FALSE),IF(AK85&lt;&gt;"",CONCATENATE(",",VLOOKUP(AK85,$B:$AL,37,FALSE)),""))</f>
        <v>2,3,2</v>
      </c>
      <c r="AV85">
        <v>30</v>
      </c>
      <c r="AW85" s="15">
        <f t="shared" si="21"/>
        <v>49</v>
      </c>
      <c r="AZ85">
        <f t="shared" si="22"/>
        <v>15</v>
      </c>
      <c r="BA85">
        <f t="shared" si="23"/>
        <v>0</v>
      </c>
      <c r="BB85">
        <f t="shared" si="24"/>
        <v>0</v>
      </c>
      <c r="BC85" s="3">
        <f t="shared" si="25"/>
        <v>0.90800000000000003</v>
      </c>
      <c r="BD85">
        <f t="shared" si="26"/>
        <v>6.5</v>
      </c>
      <c r="BE85">
        <f>VLOOKUP($F85,Constants!$I:$K, 2, FALSE)</f>
        <v>1</v>
      </c>
      <c r="BF85">
        <f>VLOOKUP($F85,Constants!$I:$K, 3, FALSE)*IF(AND(E85="multiple_unit",Z85&lt;110),0.75,1)</f>
        <v>0.45</v>
      </c>
      <c r="BG85">
        <f>INT(POWER(((Constants!$G$2+$AZ85+$BA85+$BB85+$BD85)*$BC85)*$BF85, 1.05))+$AY85</f>
        <v>12</v>
      </c>
      <c r="BH85">
        <f>INT(POWER((((Constants!$G$1+$AZ85+$BA85+$BB85+$BD85)*($BC85))*$BE85),IF($E85="wagon",1,1.2)))+$AX85</f>
        <v>33</v>
      </c>
      <c r="BI85" s="14">
        <f t="shared" si="27"/>
        <v>750</v>
      </c>
      <c r="BJ85" s="14">
        <f t="shared" si="28"/>
        <v>90.09</v>
      </c>
      <c r="BQ85">
        <v>1</v>
      </c>
      <c r="BR85">
        <v>185</v>
      </c>
      <c r="BS85" t="s">
        <v>342</v>
      </c>
      <c r="BT85" t="s">
        <v>286</v>
      </c>
      <c r="BU85" t="str">
        <f>VLOOKUP(H85,Eras!$A$2:$C$10, 2, TRUE)</f>
        <v>dsl</v>
      </c>
      <c r="BV85" t="s">
        <v>342</v>
      </c>
      <c r="BW85" t="str">
        <f t="shared" si="29"/>
        <v>dsl_Van</v>
      </c>
      <c r="BX85" t="str">
        <f t="shared" si="30"/>
        <v>wagon_RAIL</v>
      </c>
      <c r="BY85" t="str">
        <f>VLOOKUP($BX85, Constants!$M:$N, 2, FALSE)</f>
        <v/>
      </c>
      <c r="BZ85" t="str">
        <f t="shared" si="31"/>
        <v/>
      </c>
      <c r="CA85" t="s">
        <v>746</v>
      </c>
      <c r="CB85" t="str">
        <f t="shared" si="32"/>
        <v/>
      </c>
      <c r="CC85" t="str">
        <f t="shared" si="33"/>
        <v>{SILVER}The VDA was BR's first air braked general purpose van, later used for the Speedlink freight network.</v>
      </c>
    </row>
    <row r="86" spans="1:81" x14ac:dyDescent="0.25">
      <c r="A86" t="s">
        <v>743</v>
      </c>
      <c r="B86" t="s">
        <v>744</v>
      </c>
      <c r="C86">
        <v>123</v>
      </c>
      <c r="D86">
        <v>1061</v>
      </c>
      <c r="E86" t="s">
        <v>281</v>
      </c>
      <c r="F86" t="s">
        <v>281</v>
      </c>
      <c r="G86" t="s">
        <v>275</v>
      </c>
      <c r="H86">
        <v>1978</v>
      </c>
      <c r="U86">
        <v>8</v>
      </c>
      <c r="W86">
        <v>4</v>
      </c>
      <c r="Y86" s="3" t="str">
        <f t="shared" si="19"/>
        <v/>
      </c>
      <c r="Z86">
        <v>75</v>
      </c>
      <c r="AA86">
        <f t="shared" si="15"/>
        <v>120</v>
      </c>
      <c r="AD86">
        <v>8</v>
      </c>
      <c r="AE86">
        <v>8</v>
      </c>
      <c r="AH86" s="10">
        <v>27</v>
      </c>
      <c r="AI86" t="str">
        <f>CONCATENATE(VLOOKUP(AJ86, 'Voxel Sizes'!$A$2:$B$18,2,FALSE),"x",INT(AF86*15), "x", INT(AG86*15))</f>
        <v>82x0x0</v>
      </c>
      <c r="AJ86">
        <f t="shared" si="20"/>
        <v>5</v>
      </c>
      <c r="AL86" t="str">
        <f>CONCATENATE(VLOOKUP(AJ86,Constants!$A$2:$C$16,IF(AK86&lt;&gt;"", 3, 2), FALSE),IF(AK86&lt;&gt;"",CONCATENATE(",",VLOOKUP(AK86,$B:$AL,37,FALSE)),""))</f>
        <v>2,1,2</v>
      </c>
      <c r="AV86">
        <v>30</v>
      </c>
      <c r="AW86" s="15" t="str">
        <f t="shared" si="21"/>
        <v/>
      </c>
      <c r="AZ86">
        <f t="shared" si="22"/>
        <v>15</v>
      </c>
      <c r="BA86">
        <f t="shared" si="23"/>
        <v>0</v>
      </c>
      <c r="BB86">
        <f t="shared" si="24"/>
        <v>0</v>
      </c>
      <c r="BC86" s="3">
        <f t="shared" si="25"/>
        <v>0.89600000000000002</v>
      </c>
      <c r="BD86">
        <f t="shared" si="26"/>
        <v>4.5</v>
      </c>
      <c r="BE86">
        <f>VLOOKUP($F86,Constants!$I:$K, 2, FALSE)</f>
        <v>1</v>
      </c>
      <c r="BF86">
        <f>VLOOKUP($F86,Constants!$I:$K, 3, FALSE)*IF(AND(E86="multiple_unit",Z86&lt;110),0.75,1)</f>
        <v>0.45</v>
      </c>
      <c r="BG86">
        <f>INT(POWER(((Constants!$G$2+$AZ86+$BA86+$BB86+$BD86)*$BC86)*$BF86, 1.05))+$AY86</f>
        <v>11</v>
      </c>
      <c r="BH86">
        <f>INT(POWER((((Constants!$G$1+$AZ86+$BA86+$BB86+$BD86)*($BC86))*$BE86),IF($E86="wagon",1,1.2)))+$AX86</f>
        <v>30</v>
      </c>
      <c r="BI86" s="14">
        <f t="shared" si="27"/>
        <v>687.5</v>
      </c>
      <c r="BJ86" s="14">
        <f t="shared" si="28"/>
        <v>81.900000000000006</v>
      </c>
      <c r="BQ86">
        <v>1</v>
      </c>
      <c r="BR86">
        <v>185</v>
      </c>
      <c r="BS86" t="s">
        <v>342</v>
      </c>
      <c r="BT86" t="s">
        <v>286</v>
      </c>
      <c r="BU86" t="str">
        <f>VLOOKUP(H86,Eras!$A$2:$C$10, 2, TRUE)</f>
        <v>lbr</v>
      </c>
      <c r="BV86" t="s">
        <v>342</v>
      </c>
      <c r="BW86" t="str">
        <f t="shared" si="29"/>
        <v>lbr_Van</v>
      </c>
      <c r="BX86" t="str">
        <f t="shared" si="30"/>
        <v>wagon_RAIL</v>
      </c>
      <c r="BY86" t="str">
        <f>VLOOKUP($BX86, Constants!$M:$N, 2, FALSE)</f>
        <v/>
      </c>
      <c r="BZ86" t="str">
        <f t="shared" si="31"/>
        <v/>
      </c>
      <c r="CA86" t="s">
        <v>745</v>
      </c>
      <c r="CB86" t="str">
        <f t="shared" si="32"/>
        <v/>
      </c>
      <c r="CC86" t="str">
        <f t="shared" si="33"/>
        <v>{SILVER}VEA vans were refurbished vans fitted with improved suspension and air brakes, allowing higher speed operation while still being suitable for narrow radius curves in small yards.</v>
      </c>
    </row>
    <row r="87" spans="1:81" x14ac:dyDescent="0.25">
      <c r="A87" t="s">
        <v>802</v>
      </c>
      <c r="B87" t="s">
        <v>747</v>
      </c>
      <c r="C87">
        <v>125</v>
      </c>
      <c r="D87">
        <v>1062</v>
      </c>
      <c r="E87" t="s">
        <v>281</v>
      </c>
      <c r="F87" t="s">
        <v>281</v>
      </c>
      <c r="G87" t="s">
        <v>275</v>
      </c>
      <c r="H87">
        <v>1982</v>
      </c>
      <c r="U87">
        <v>21</v>
      </c>
      <c r="W87">
        <v>6</v>
      </c>
      <c r="Y87" s="3" t="str">
        <f t="shared" si="19"/>
        <v/>
      </c>
      <c r="Z87">
        <v>85</v>
      </c>
      <c r="AA87">
        <f t="shared" si="15"/>
        <v>136</v>
      </c>
      <c r="AD87">
        <v>12.8</v>
      </c>
      <c r="AE87">
        <v>12.8</v>
      </c>
      <c r="AH87" s="10">
        <v>45</v>
      </c>
      <c r="AI87" t="str">
        <f>CONCATENATE(VLOOKUP(AJ87, 'Voxel Sizes'!$A$2:$B$18,2,FALSE),"x",INT(AF87*15), "x", INT(AG87*15))</f>
        <v>136x0x0</v>
      </c>
      <c r="AJ87">
        <f t="shared" si="20"/>
        <v>8</v>
      </c>
      <c r="AL87" t="str">
        <f>CONCATENATE(VLOOKUP(AJ87,Constants!$A$2:$C$16,IF(AK87&lt;&gt;"", 3, 2), FALSE),IF(AK87&lt;&gt;"",CONCATENATE(",",VLOOKUP(AK87,$B:$AL,37,FALSE)),""))</f>
        <v>2,4,2</v>
      </c>
      <c r="AV87">
        <v>30</v>
      </c>
      <c r="AW87" s="15" t="str">
        <f t="shared" si="21"/>
        <v/>
      </c>
      <c r="AZ87">
        <f t="shared" si="22"/>
        <v>17</v>
      </c>
      <c r="BA87">
        <f t="shared" si="23"/>
        <v>0</v>
      </c>
      <c r="BB87">
        <f t="shared" si="24"/>
        <v>0</v>
      </c>
      <c r="BC87" s="3">
        <f t="shared" si="25"/>
        <v>0.89066666666666672</v>
      </c>
      <c r="BD87">
        <f t="shared" si="26"/>
        <v>7.5</v>
      </c>
      <c r="BE87">
        <f>VLOOKUP($F87,Constants!$I:$K, 2, FALSE)</f>
        <v>1</v>
      </c>
      <c r="BF87">
        <f>VLOOKUP($F87,Constants!$I:$K, 3, FALSE)*IF(AND(E87="multiple_unit",Z87&lt;110),0.75,1)</f>
        <v>0.45</v>
      </c>
      <c r="BG87">
        <f>INT(POWER(((Constants!$G$2+$AZ87+$BA87+$BB87+$BD87)*$BC87)*$BF87, 1.05))+$AY87</f>
        <v>13</v>
      </c>
      <c r="BH87">
        <f>INT(POWER((((Constants!$G$1+$AZ87+$BA87+$BB87+$BD87)*($BC87))*$BE87),IF($E87="wagon",1,1.2)))+$AX87</f>
        <v>35</v>
      </c>
      <c r="BI87" s="14">
        <f t="shared" si="27"/>
        <v>812.5</v>
      </c>
      <c r="BJ87" s="14">
        <f t="shared" si="28"/>
        <v>95.55</v>
      </c>
      <c r="BQ87">
        <v>1</v>
      </c>
      <c r="BR87">
        <v>185</v>
      </c>
      <c r="BS87" t="s">
        <v>342</v>
      </c>
      <c r="BT87" t="s">
        <v>286</v>
      </c>
      <c r="BU87" t="str">
        <f>VLOOKUP(H87,Eras!$A$2:$C$10, 2, TRUE)</f>
        <v>lbr</v>
      </c>
      <c r="BV87" t="s">
        <v>342</v>
      </c>
      <c r="BW87" t="str">
        <f t="shared" si="29"/>
        <v>lbr_Van</v>
      </c>
      <c r="BX87" t="str">
        <f t="shared" si="30"/>
        <v>wagon_RAIL</v>
      </c>
      <c r="BY87" t="str">
        <f>VLOOKUP($BX87, Constants!$M:$N, 2, FALSE)</f>
        <v/>
      </c>
      <c r="BZ87" t="str">
        <f t="shared" si="31"/>
        <v/>
      </c>
      <c r="CA87" t="s">
        <v>748</v>
      </c>
      <c r="CB87" t="str">
        <f t="shared" si="32"/>
        <v/>
      </c>
      <c r="CC87" t="str">
        <f t="shared" si="33"/>
        <v>{SILVER}VGA vans followed continental practice with doors extending into the roof panel, providing a larger vertical opening.</v>
      </c>
    </row>
    <row r="88" spans="1:81" x14ac:dyDescent="0.25">
      <c r="A88" t="s">
        <v>809</v>
      </c>
      <c r="B88" t="s">
        <v>808</v>
      </c>
      <c r="C88">
        <v>131</v>
      </c>
      <c r="D88">
        <v>1063</v>
      </c>
      <c r="E88" t="s">
        <v>281</v>
      </c>
      <c r="F88" t="s">
        <v>281</v>
      </c>
      <c r="G88" t="s">
        <v>275</v>
      </c>
      <c r="H88">
        <v>1913</v>
      </c>
      <c r="I88">
        <v>1955</v>
      </c>
      <c r="J88">
        <v>1965</v>
      </c>
      <c r="U88">
        <v>20</v>
      </c>
      <c r="W88">
        <v>4</v>
      </c>
      <c r="Y88" s="3" t="str">
        <f t="shared" si="19"/>
        <v/>
      </c>
      <c r="Z88">
        <v>70</v>
      </c>
      <c r="AA88">
        <f t="shared" si="15"/>
        <v>112</v>
      </c>
      <c r="AD88">
        <v>15</v>
      </c>
      <c r="AE88">
        <v>15</v>
      </c>
      <c r="AH88" s="10">
        <v>60</v>
      </c>
      <c r="AI88" t="str">
        <f>CONCATENATE(VLOOKUP(AJ88, 'Voxel Sizes'!$A$2:$B$18,2,FALSE),"x",INT(AF88*15), "x", INT(AG88*15))</f>
        <v>152x0x0</v>
      </c>
      <c r="AJ88">
        <f t="shared" si="20"/>
        <v>9</v>
      </c>
      <c r="AL88" t="str">
        <f>CONCATENATE(VLOOKUP(AJ88,Constants!$A$2:$C$16,IF(AK88&lt;&gt;"", 3, 2), FALSE),IF(AK88&lt;&gt;"",CONCATENATE(",",VLOOKUP(AK88,$B:$AL,37,FALSE)),""))</f>
        <v>2,5,2</v>
      </c>
      <c r="AV88">
        <v>30</v>
      </c>
      <c r="AW88" s="15">
        <f t="shared" si="21"/>
        <v>60</v>
      </c>
      <c r="AX88">
        <v>25</v>
      </c>
      <c r="AY88">
        <v>8</v>
      </c>
      <c r="AZ88">
        <f t="shared" si="22"/>
        <v>14</v>
      </c>
      <c r="BA88">
        <f t="shared" si="23"/>
        <v>0</v>
      </c>
      <c r="BB88">
        <f t="shared" si="24"/>
        <v>0</v>
      </c>
      <c r="BC88" s="3">
        <f t="shared" si="25"/>
        <v>0.98266666666666669</v>
      </c>
      <c r="BD88">
        <f t="shared" si="26"/>
        <v>10</v>
      </c>
      <c r="BE88">
        <f>VLOOKUP($F88,Constants!$I:$K, 2, FALSE)</f>
        <v>1</v>
      </c>
      <c r="BF88">
        <f>VLOOKUP($F88,Constants!$I:$K, 3, FALSE)*IF(AND(E88="multiple_unit",Z88&lt;110),0.75,1)</f>
        <v>0.45</v>
      </c>
      <c r="BG88">
        <f>INT(POWER(((Constants!$G$2+$AZ88+$BA88+$BB88+$BD88)*$BC88)*$BF88, 1.05))+$AY88</f>
        <v>22</v>
      </c>
      <c r="BH88">
        <f>INT(POWER((((Constants!$G$1+$AZ88+$BA88+$BB88+$BD88)*($BC88))*$BE88),IF($E88="wagon",1,1.2)))+$AX88</f>
        <v>63</v>
      </c>
      <c r="BI88" s="14">
        <f t="shared" si="27"/>
        <v>1375</v>
      </c>
      <c r="BJ88" s="14">
        <f t="shared" si="28"/>
        <v>171.99</v>
      </c>
      <c r="BQ88">
        <v>1</v>
      </c>
      <c r="BR88">
        <v>185</v>
      </c>
      <c r="BS88" t="s">
        <v>1047</v>
      </c>
      <c r="BT88" t="s">
        <v>652</v>
      </c>
      <c r="BU88" t="str">
        <f>VLOOKUP(H88,Eras!$A$2:$C$10, 2, TRUE)</f>
        <v>edw</v>
      </c>
      <c r="BV88" t="s">
        <v>336</v>
      </c>
      <c r="BW88" t="str">
        <f t="shared" si="29"/>
        <v>edw_Mail Carriage</v>
      </c>
      <c r="BX88" t="str">
        <f t="shared" si="30"/>
        <v>wagon_RAIL</v>
      </c>
      <c r="BY88" t="str">
        <f>VLOOKUP($BX88, Constants!$M:$N, 2, FALSE)</f>
        <v/>
      </c>
      <c r="BZ88" t="str">
        <f t="shared" si="31"/>
        <v/>
      </c>
      <c r="CA88" t="s">
        <v>810</v>
      </c>
      <c r="CB88" t="str">
        <f t="shared" si="32"/>
        <v/>
      </c>
      <c r="CC88" t="str">
        <f t="shared" si="33"/>
        <v>{SILVER}GWR's "Siphon" vans were built to carry loads of milk churns at passenger train speeds. They were also used for parcel and newspaper traffic, the basic design being built well into the BR era.</v>
      </c>
    </row>
    <row r="89" spans="1:81" x14ac:dyDescent="0.25">
      <c r="A89" t="s">
        <v>787</v>
      </c>
      <c r="B89" t="s">
        <v>789</v>
      </c>
      <c r="C89">
        <v>133</v>
      </c>
      <c r="D89">
        <v>1064</v>
      </c>
      <c r="E89" t="s">
        <v>281</v>
      </c>
      <c r="F89" t="s">
        <v>281</v>
      </c>
      <c r="G89" t="s">
        <v>275</v>
      </c>
      <c r="H89">
        <v>1950</v>
      </c>
      <c r="J89">
        <v>1975</v>
      </c>
      <c r="U89">
        <v>18</v>
      </c>
      <c r="W89">
        <v>4</v>
      </c>
      <c r="Y89" s="3" t="str">
        <f t="shared" si="19"/>
        <v/>
      </c>
      <c r="Z89">
        <v>80</v>
      </c>
      <c r="AA89">
        <f t="shared" si="15"/>
        <v>128</v>
      </c>
      <c r="AD89">
        <v>11.2</v>
      </c>
      <c r="AE89">
        <v>11.2</v>
      </c>
      <c r="AH89" s="10">
        <v>45</v>
      </c>
      <c r="AI89" t="str">
        <f>CONCATENATE(VLOOKUP(AJ89, 'Voxel Sizes'!$A$2:$B$18,2,FALSE),"x",INT(AF89*15), "x", INT(AG89*15))</f>
        <v>120x0x0</v>
      </c>
      <c r="AJ89">
        <f t="shared" si="20"/>
        <v>7</v>
      </c>
      <c r="AL89" t="str">
        <f>CONCATENATE(VLOOKUP(AJ89,Constants!$A$2:$C$16,IF(AK89&lt;&gt;"", 3, 2), FALSE),IF(AK89&lt;&gt;"",CONCATENATE(",",VLOOKUP(AK89,$B:$AL,37,FALSE)),""))</f>
        <v>2,3,2</v>
      </c>
      <c r="AV89">
        <v>30</v>
      </c>
      <c r="AW89" s="15">
        <f t="shared" si="21"/>
        <v>33</v>
      </c>
      <c r="AX89">
        <v>25</v>
      </c>
      <c r="AY89">
        <v>9</v>
      </c>
      <c r="AZ89">
        <f t="shared" si="22"/>
        <v>16</v>
      </c>
      <c r="BA89">
        <f t="shared" si="23"/>
        <v>0</v>
      </c>
      <c r="BB89">
        <f t="shared" si="24"/>
        <v>0</v>
      </c>
      <c r="BC89" s="3">
        <f t="shared" si="25"/>
        <v>0.93333333333333335</v>
      </c>
      <c r="BD89">
        <f t="shared" si="26"/>
        <v>7.5</v>
      </c>
      <c r="BE89">
        <f>VLOOKUP($F89,Constants!$I:$K, 2, FALSE)</f>
        <v>1</v>
      </c>
      <c r="BF89">
        <f>VLOOKUP($F89,Constants!$I:$K, 3, FALSE)*IF(AND(E89="multiple_unit",Z89&lt;110),0.75,1)</f>
        <v>0.45</v>
      </c>
      <c r="BG89">
        <f>INT(POWER(((Constants!$G$2+$AZ89+$BA89+$BB89+$BD89)*$BC89)*$BF89, 1.05))+$AY89</f>
        <v>22</v>
      </c>
      <c r="BH89">
        <f>INT(POWER((((Constants!$G$1+$AZ89+$BA89+$BB89+$BD89)*($BC89))*$BE89),IF($E89="wagon",1,1.2)))+$AX89</f>
        <v>60</v>
      </c>
      <c r="BI89" s="14">
        <f t="shared" si="27"/>
        <v>1375</v>
      </c>
      <c r="BJ89" s="14">
        <f t="shared" si="28"/>
        <v>163.80000000000001</v>
      </c>
      <c r="BQ89">
        <v>1</v>
      </c>
      <c r="BR89">
        <v>185</v>
      </c>
      <c r="BS89" t="s">
        <v>1045</v>
      </c>
      <c r="BT89" t="s">
        <v>652</v>
      </c>
      <c r="BU89" t="str">
        <f>VLOOKUP(H89,Eras!$A$2:$C$10, 2, TRUE)</f>
        <v>ebr</v>
      </c>
      <c r="BV89" t="s">
        <v>336</v>
      </c>
      <c r="BW89" t="str">
        <f t="shared" si="29"/>
        <v>ebr_Mail Carriage</v>
      </c>
      <c r="BX89" t="str">
        <f t="shared" si="30"/>
        <v>wagon_RAIL</v>
      </c>
      <c r="BY89" t="str">
        <f>VLOOKUP($BX89, Constants!$M:$N, 2, FALSE)</f>
        <v/>
      </c>
      <c r="BZ89" t="str">
        <f t="shared" si="31"/>
        <v/>
      </c>
      <c r="CA89" t="s">
        <v>812</v>
      </c>
      <c r="CB89" t="str">
        <f t="shared" si="32"/>
        <v/>
      </c>
      <c r="CC89" t="str">
        <f t="shared" si="33"/>
        <v>{SILVER}BR built several of these six-wheeled parcels vans in the early 1950s.</v>
      </c>
    </row>
    <row r="90" spans="1:81" x14ac:dyDescent="0.25">
      <c r="A90" t="s">
        <v>1353</v>
      </c>
      <c r="B90" t="s">
        <v>1354</v>
      </c>
      <c r="C90">
        <v>600</v>
      </c>
      <c r="D90">
        <v>1065</v>
      </c>
      <c r="E90" t="s">
        <v>281</v>
      </c>
      <c r="F90" t="s">
        <v>1108</v>
      </c>
      <c r="G90" t="s">
        <v>1381</v>
      </c>
      <c r="H90">
        <v>1700</v>
      </c>
      <c r="J90">
        <v>1860</v>
      </c>
      <c r="U90">
        <v>5</v>
      </c>
      <c r="Y90" s="3" t="str">
        <f>IF(AND(U90&gt;0,X90&gt;0),(X90/((U90+V90)*10)),"")</f>
        <v/>
      </c>
      <c r="Z90">
        <v>39</v>
      </c>
      <c r="AA90">
        <f>ROUND(Z90*1.6, 0)</f>
        <v>62</v>
      </c>
      <c r="AD90">
        <v>6</v>
      </c>
      <c r="AE90">
        <v>6</v>
      </c>
      <c r="AH90" s="10">
        <v>0</v>
      </c>
      <c r="AI90" t="str">
        <f>CONCATENATE(VLOOKUP(AJ90, 'Voxel Sizes'!$A$2:$B$18,2,FALSE),"x",INT(AF90*15), "x", INT(AG90*15))</f>
        <v>60x0x0</v>
      </c>
      <c r="AJ90">
        <f>ROUND(15*((AE90*10)/256),0)</f>
        <v>4</v>
      </c>
      <c r="AL90" t="str">
        <f>CONCATENATE(VLOOKUP(AJ90,Constants!$A$2:$C$16,IF(AK90&lt;&gt;"", 3, 2), FALSE),IF(AK90&lt;&gt;"",CONCATENATE(",",VLOOKUP(AK90,$B:$AL,37,FALSE)),""))</f>
        <v>1,2,1</v>
      </c>
      <c r="AV90">
        <v>30</v>
      </c>
      <c r="AW90" s="15">
        <f>IF(J90&lt;&gt;"",MAX(16,(J90-H90)+8),"")</f>
        <v>168</v>
      </c>
      <c r="AZ90">
        <f>MIN(Z90/150, 1)*30</f>
        <v>7.8000000000000007</v>
      </c>
      <c r="BA90">
        <f>MIN(L90/4000, 1)*20</f>
        <v>0</v>
      </c>
      <c r="BB90">
        <f>MIN(X90/400,1)*20</f>
        <v>0</v>
      </c>
      <c r="BC90" s="3">
        <f>1-(MAX(H90-1900, 0)/750)</f>
        <v>1</v>
      </c>
      <c r="BD90">
        <f>((MAX($K90,1)*MIN($AH90/300,1)))*IF(E90="Wagon",50,10)</f>
        <v>0</v>
      </c>
      <c r="BE90">
        <f>VLOOKUP($F90,Constants!$I:$K, 2, FALSE)</f>
        <v>1</v>
      </c>
      <c r="BF90">
        <f>VLOOKUP($F90,Constants!$I:$K, 3, FALSE)*IF(AND(E90="multiple_unit",Z90&lt;110),0.75,1)</f>
        <v>0.4</v>
      </c>
      <c r="BG90">
        <f>INT(POWER(((Constants!$G$2+$AZ90+$BA90+$BB90+$BD90)*$BC90)*$BF90, 1.05))+$AY90</f>
        <v>5</v>
      </c>
      <c r="BH90">
        <f>INT(POWER((((Constants!$G$1+$AZ90+$BA90+$BB90+$BD90)*($BC90))*$BE90),IF($E90="wagon",1,1.2)))+$AX90</f>
        <v>22</v>
      </c>
      <c r="BI90" s="14">
        <f>BG90*IF($E90="wagon",62.5,781.25)</f>
        <v>312.5</v>
      </c>
      <c r="BJ90" s="14">
        <f>BH90*IF($E90="wagon",2.73,81.25)</f>
        <v>60.06</v>
      </c>
      <c r="BQ90">
        <v>7</v>
      </c>
      <c r="BS90" t="s">
        <v>1046</v>
      </c>
      <c r="BT90" t="s">
        <v>697</v>
      </c>
      <c r="BU90" t="str">
        <f>VLOOKUP(H90,Eras!$A$2:$C$10, 2, TRUE)</f>
        <v>early</v>
      </c>
      <c r="BV90" t="s">
        <v>695</v>
      </c>
      <c r="BW90" t="str">
        <f>CONCATENATE(BU90,"_",BV90)</f>
        <v>early_Extra</v>
      </c>
      <c r="BX90" t="str">
        <f>_xlfn.CONCAT(F90, "_",G90)</f>
        <v>brake_PLATEWAY</v>
      </c>
      <c r="BY90" t="str">
        <f>VLOOKUP($BX90, Constants!$M:$N, 2, FALSE)</f>
        <v/>
      </c>
      <c r="BZ90" t="str">
        <f>IF(K90&gt;1,_xlfn.CONCAT("{BLACK}Cars: {GOLD}", K90),"")</f>
        <v/>
      </c>
      <c r="CA90" t="s">
        <v>1355</v>
      </c>
      <c r="CB90" t="str">
        <f>IF(BT90="BRAKE","{YELLOW}Speed bonus for slow wagons{}",IF(BR90&gt;190,CONCATENATE("{YELLOW}",INT((BR90-185)/1.85),"% Bonus for long distance travel{}"),IF(AND(BR90&lt;180,BR90&lt;&gt;0),CONCATENATE("{YELLOW}",INT((185-BR90)/1.85),"% Penalty for long distance travel{}"),"")))</f>
        <v>{YELLOW}Speed bonus for slow wagons{}</v>
      </c>
      <c r="CC90" t="str">
        <f>_xlfn.CONCAT(BY90,IF(BY90 &lt;&gt; "", " ", ""),BZ90,IF(OR(BZ90&lt;&gt;"", BY90&lt;&gt;""), "{}",""), CB90,"{SILVER}", CA90)</f>
        <v>{YELLOW}Speed bonus for slow wagons{}{SILVER}Early brake wagons were little more than open wagons with basic friction brakes added.</v>
      </c>
    </row>
    <row r="91" spans="1:81" x14ac:dyDescent="0.25">
      <c r="A91" t="s">
        <v>118</v>
      </c>
      <c r="B91" t="s">
        <v>206</v>
      </c>
      <c r="C91">
        <v>601</v>
      </c>
      <c r="D91">
        <v>1066</v>
      </c>
      <c r="E91" t="s">
        <v>281</v>
      </c>
      <c r="F91" t="s">
        <v>1108</v>
      </c>
      <c r="G91" t="s">
        <v>275</v>
      </c>
      <c r="H91">
        <v>1850</v>
      </c>
      <c r="J91">
        <v>1910</v>
      </c>
      <c r="U91">
        <v>10</v>
      </c>
      <c r="Y91" s="3" t="str">
        <f>IF(AND(U91&gt;0,X91&gt;0),(X91/((U91+V91)*10)),"")</f>
        <v/>
      </c>
      <c r="Z91">
        <v>50</v>
      </c>
      <c r="AA91">
        <f>ROUND(Z91*1.6, 0)</f>
        <v>80</v>
      </c>
      <c r="AD91">
        <v>6</v>
      </c>
      <c r="AE91">
        <v>6</v>
      </c>
      <c r="AH91" s="10">
        <v>0</v>
      </c>
      <c r="AI91" t="str">
        <f>CONCATENATE(VLOOKUP(AJ91, 'Voxel Sizes'!$A$2:$B$18,2,FALSE),"x",INT(AF91*15), "x", INT(AG91*15))</f>
        <v>60x0x0</v>
      </c>
      <c r="AJ91">
        <f>ROUND(15*((AE91*10)/256),0)</f>
        <v>4</v>
      </c>
      <c r="AL91" t="str">
        <f>CONCATENATE(VLOOKUP(AJ91,Constants!$A$2:$C$16,IF(AK91&lt;&gt;"", 3, 2), FALSE),IF(AK91&lt;&gt;"",CONCATENATE(",",VLOOKUP(AK91,$B:$AL,37,FALSE)),""))</f>
        <v>1,2,1</v>
      </c>
      <c r="AV91">
        <v>30</v>
      </c>
      <c r="AW91" s="15">
        <f>IF(J91&lt;&gt;"",MAX(16,(J91-H91)+8),"")</f>
        <v>68</v>
      </c>
      <c r="AZ91">
        <f>MIN(Z91/150, 1)*30</f>
        <v>10</v>
      </c>
      <c r="BA91">
        <f>MIN(L91/4000, 1)*20</f>
        <v>0</v>
      </c>
      <c r="BB91">
        <f>MIN(X91/400,1)*20</f>
        <v>0</v>
      </c>
      <c r="BC91" s="3">
        <f>1-(MAX(H91-1900, 0)/750)</f>
        <v>1</v>
      </c>
      <c r="BD91">
        <f>((MAX($K91,1)*MIN($AH91/300,1)))*IF(E91="Wagon",50,10)</f>
        <v>0</v>
      </c>
      <c r="BE91">
        <f>VLOOKUP($F91,Constants!$I:$K, 2, FALSE)</f>
        <v>1</v>
      </c>
      <c r="BF91">
        <f>VLOOKUP($F91,Constants!$I:$K, 3, FALSE)*IF(AND(E91="multiple_unit",Z91&lt;110),0.75,1)</f>
        <v>0.4</v>
      </c>
      <c r="BG91">
        <f>INT(POWER(((Constants!$G$2+$AZ91+$BA91+$BB91+$BD91)*$BC91)*$BF91, 1.05))+$AY91</f>
        <v>6</v>
      </c>
      <c r="BH91">
        <f>INT(POWER((((Constants!$G$1+$AZ91+$BA91+$BB91+$BD91)*($BC91))*$BE91),IF($E91="wagon",1,1.2)))+$AX91</f>
        <v>25</v>
      </c>
      <c r="BI91" s="14">
        <f>BG91*IF($E91="wagon",62.5,781.25)</f>
        <v>375</v>
      </c>
      <c r="BJ91" s="14">
        <f>BH91*IF($E91="wagon",2.73,81.25)</f>
        <v>68.25</v>
      </c>
      <c r="BQ91">
        <v>7</v>
      </c>
      <c r="BS91" t="s">
        <v>1046</v>
      </c>
      <c r="BT91" t="s">
        <v>697</v>
      </c>
      <c r="BU91" t="str">
        <f>VLOOKUP(H91,Eras!$A$2:$C$10, 2, TRUE)</f>
        <v>vct</v>
      </c>
      <c r="BV91" t="s">
        <v>695</v>
      </c>
      <c r="BW91" t="str">
        <f>CONCATENATE(BU91,"_",BV91)</f>
        <v>vct_Extra</v>
      </c>
      <c r="BX91" t="str">
        <f>_xlfn.CONCAT(F91, "_",G91)</f>
        <v>brake_RAIL</v>
      </c>
      <c r="BY91" t="str">
        <f>VLOOKUP($BX91, Constants!$M:$N, 2, FALSE)</f>
        <v/>
      </c>
      <c r="BZ91" t="str">
        <f>IF(K91&gt;1,_xlfn.CONCAT("{BLACK}Cars: {GOLD}", K91),"")</f>
        <v/>
      </c>
      <c r="CA91" t="s">
        <v>1335</v>
      </c>
      <c r="CB91" t="str">
        <f>IF(BT91="BRAKE","{YELLOW}Speed bonus for slow wagons{}",IF(BR91&gt;190,CONCATENATE("{YELLOW}",INT((BR91-185)/1.85),"% Bonus for long distance travel{}"),IF(AND(BR91&lt;180,BR91&lt;&gt;0),CONCATENATE("{YELLOW}",INT((185-BR91)/1.85),"% Penalty for long distance travel{}"),"")))</f>
        <v>{YELLOW}Speed bonus for slow wagons{}</v>
      </c>
      <c r="CC91" t="str">
        <f>_xlfn.CONCAT(BY91,IF(BY91 &lt;&gt; "", " ", ""),BZ91,IF(OR(BZ91&lt;&gt;"", BY91&lt;&gt;""), "{}",""), CB91,"{SILVER}", CA91)</f>
        <v>{YELLOW}Speed bonus for slow wagons{}{SILVER}Brake vans gave extra braking power to allow trains to run at higher speed, and also gave a place for a guard to look after the train from the rear.</v>
      </c>
    </row>
    <row r="92" spans="1:81" x14ac:dyDescent="0.25">
      <c r="A92" t="s">
        <v>116</v>
      </c>
      <c r="B92" t="s">
        <v>204</v>
      </c>
      <c r="C92">
        <v>602</v>
      </c>
      <c r="D92">
        <v>1067</v>
      </c>
      <c r="E92" t="s">
        <v>281</v>
      </c>
      <c r="F92" t="s">
        <v>1108</v>
      </c>
      <c r="G92" t="s">
        <v>275</v>
      </c>
      <c r="H92">
        <v>1894</v>
      </c>
      <c r="J92">
        <v>1970</v>
      </c>
      <c r="U92">
        <v>20</v>
      </c>
      <c r="Y92" s="3" t="str">
        <f>IF(AND(U92&gt;0,X92&gt;0),(X92/((U92+V92)*10)),"")</f>
        <v/>
      </c>
      <c r="Z92">
        <v>70</v>
      </c>
      <c r="AA92">
        <f>ROUND(Z92*1.6, 0)</f>
        <v>112</v>
      </c>
      <c r="AD92">
        <v>7.3</v>
      </c>
      <c r="AE92">
        <v>11</v>
      </c>
      <c r="AH92" s="10">
        <v>0</v>
      </c>
      <c r="AI92" t="str">
        <f>CONCATENATE(VLOOKUP(AJ92, 'Voxel Sizes'!$A$2:$B$18,2,FALSE),"x",INT(AF92*15), "x", INT(AG92*15))</f>
        <v>102x0x0</v>
      </c>
      <c r="AJ92">
        <f>ROUND(15*((AE92*10)/256),0)</f>
        <v>6</v>
      </c>
      <c r="AL92" t="str">
        <f>CONCATENATE(VLOOKUP(AJ92,Constants!$A$2:$C$16,IF(AK92&lt;&gt;"", 3, 2), FALSE),IF(AK92&lt;&gt;"",CONCATENATE(",",VLOOKUP(AK92,$B:$AL,37,FALSE)),""))</f>
        <v>2,2,2</v>
      </c>
      <c r="AV92">
        <v>30</v>
      </c>
      <c r="AW92" s="15">
        <f>IF(J92&lt;&gt;"",MAX(16,(J92-H92)+8),"")</f>
        <v>84</v>
      </c>
      <c r="AZ92">
        <f>MIN(Z92/150, 1)*30</f>
        <v>14</v>
      </c>
      <c r="BA92">
        <f>MIN(L92/4000, 1)*20</f>
        <v>0</v>
      </c>
      <c r="BB92">
        <f>MIN(X92/400,1)*20</f>
        <v>0</v>
      </c>
      <c r="BC92" s="3">
        <f>1-(MAX(H92-1900, 0)/750)</f>
        <v>1</v>
      </c>
      <c r="BD92">
        <f>((MAX($K92,1)*MIN($AH92/300,1)))*IF(E92="Wagon",50,10)</f>
        <v>0</v>
      </c>
      <c r="BE92">
        <f>VLOOKUP($F92,Constants!$I:$K, 2, FALSE)</f>
        <v>1</v>
      </c>
      <c r="BF92">
        <f>VLOOKUP($F92,Constants!$I:$K, 3, FALSE)*IF(AND(E92="multiple_unit",Z92&lt;110),0.75,1)</f>
        <v>0.4</v>
      </c>
      <c r="BG92">
        <f>INT(POWER(((Constants!$G$2+$AZ92+$BA92+$BB92+$BD92)*$BC92)*$BF92, 1.05))+$AY92</f>
        <v>8</v>
      </c>
      <c r="BH92">
        <f>INT(POWER((((Constants!$G$1+$AZ92+$BA92+$BB92+$BD92)*($BC92))*$BE92),IF($E92="wagon",1,1.2)))+$AX92</f>
        <v>29</v>
      </c>
      <c r="BI92" s="14">
        <f>BG92*IF($E92="wagon",62.5,781.25)</f>
        <v>500</v>
      </c>
      <c r="BJ92" s="14">
        <f>BH92*IF($E92="wagon",2.73,81.25)</f>
        <v>79.17</v>
      </c>
      <c r="BQ92">
        <v>7</v>
      </c>
      <c r="BS92" t="s">
        <v>1046</v>
      </c>
      <c r="BT92" t="s">
        <v>697</v>
      </c>
      <c r="BU92" t="str">
        <f>VLOOKUP(H92,Eras!$A$2:$C$10, 2, TRUE)</f>
        <v>vct</v>
      </c>
      <c r="BV92" t="s">
        <v>695</v>
      </c>
      <c r="BW92" t="str">
        <f>CONCATENATE(BU92,"_",BV92)</f>
        <v>vct_Extra</v>
      </c>
      <c r="BX92" t="str">
        <f>_xlfn.CONCAT(F92, "_",G92)</f>
        <v>brake_RAIL</v>
      </c>
      <c r="BY92" t="str">
        <f>VLOOKUP($BX92, Constants!$M:$N, 2, FALSE)</f>
        <v/>
      </c>
      <c r="BZ92" t="str">
        <f>IF(K92&gt;1,_xlfn.CONCAT("{BLACK}Cars: {GOLD}", K92),"")</f>
        <v/>
      </c>
      <c r="CA92" t="s">
        <v>696</v>
      </c>
      <c r="CB92" t="str">
        <f>IF(BT92="BRAKE","{YELLOW}Speed bonus for slow wagons{}",IF(BR92&gt;190,CONCATENATE("{YELLOW}",INT((BR92-185)/1.85),"% Bonus for long distance travel{}"),IF(AND(BR92&lt;180,BR92&lt;&gt;0),CONCATENATE("{YELLOW}",INT((185-BR92)/1.85),"% Penalty for long distance travel{}"),"")))</f>
        <v>{YELLOW}Speed bonus for slow wagons{}</v>
      </c>
      <c r="CC92" t="str">
        <f>_xlfn.CONCAT(BY92,IF(BY92 &lt;&gt; "", " ", ""),BZ92,IF(OR(BZ92&lt;&gt;"", BY92&lt;&gt;""), "{}",""), CB92,"{SILVER}", CA92)</f>
        <v>{YELLOW}Speed bonus for slow wagons{}{SILVER}The Great Western Railway standardised brake van designs from 1894. The distinctive design includes an open "veranda" at the back of the vehicle.</v>
      </c>
    </row>
    <row r="93" spans="1:81" x14ac:dyDescent="0.25">
      <c r="A93" t="s">
        <v>117</v>
      </c>
      <c r="B93" t="s">
        <v>205</v>
      </c>
      <c r="C93">
        <v>604</v>
      </c>
      <c r="D93">
        <v>1068</v>
      </c>
      <c r="E93" t="s">
        <v>281</v>
      </c>
      <c r="F93" t="s">
        <v>1108</v>
      </c>
      <c r="G93" t="s">
        <v>275</v>
      </c>
      <c r="H93">
        <v>1941</v>
      </c>
      <c r="J93">
        <v>1970</v>
      </c>
      <c r="U93">
        <v>20</v>
      </c>
      <c r="Y93" s="3" t="str">
        <f>IF(AND(U93&gt;0,X93&gt;0),(X93/((U93+V93)*10)),"")</f>
        <v/>
      </c>
      <c r="Z93">
        <v>70</v>
      </c>
      <c r="AA93">
        <f>ROUND(Z93*1.6, 0)</f>
        <v>112</v>
      </c>
      <c r="AD93">
        <v>7.3</v>
      </c>
      <c r="AE93">
        <v>11</v>
      </c>
      <c r="AH93" s="10">
        <v>0</v>
      </c>
      <c r="AI93" t="str">
        <f>CONCATENATE(VLOOKUP(AJ93, 'Voxel Sizes'!$A$2:$B$18,2,FALSE),"x",INT(AF93*15), "x", INT(AG93*15))</f>
        <v>102x0x0</v>
      </c>
      <c r="AJ93">
        <f>ROUND(15*((AE93*10)/256),0)</f>
        <v>6</v>
      </c>
      <c r="AL93" t="str">
        <f>CONCATENATE(VLOOKUP(AJ93,Constants!$A$2:$C$16,IF(AK93&lt;&gt;"", 3, 2), FALSE),IF(AK93&lt;&gt;"",CONCATENATE(",",VLOOKUP(AK93,$B:$AL,37,FALSE)),""))</f>
        <v>2,2,2</v>
      </c>
      <c r="AV93">
        <v>30</v>
      </c>
      <c r="AW93" s="15">
        <f>IF(J93&lt;&gt;"",MAX(16,(J93-H93)+8),"")</f>
        <v>37</v>
      </c>
      <c r="AZ93">
        <f>MIN(Z93/150, 1)*30</f>
        <v>14</v>
      </c>
      <c r="BA93">
        <f>MIN(L93/4000, 1)*20</f>
        <v>0</v>
      </c>
      <c r="BB93">
        <f>MIN(X93/400,1)*20</f>
        <v>0</v>
      </c>
      <c r="BC93" s="3">
        <f>1-(MAX(H93-1900, 0)/750)</f>
        <v>0.94533333333333336</v>
      </c>
      <c r="BD93">
        <f>((MAX($K93,1)*MIN($AH93/300,1)))*IF(E93="Wagon",50,10)</f>
        <v>0</v>
      </c>
      <c r="BE93">
        <f>VLOOKUP($F93,Constants!$I:$K, 2, FALSE)</f>
        <v>1</v>
      </c>
      <c r="BF93">
        <f>VLOOKUP($F93,Constants!$I:$K, 3, FALSE)*IF(AND(E93="multiple_unit",Z93&lt;110),0.75,1)</f>
        <v>0.4</v>
      </c>
      <c r="BG93">
        <f>INT(POWER(((Constants!$G$2+$AZ93+$BA93+$BB93+$BD93)*$BC93)*$BF93, 1.05))+$AY93</f>
        <v>7</v>
      </c>
      <c r="BH93">
        <f>INT(POWER((((Constants!$G$1+$AZ93+$BA93+$BB93+$BD93)*($BC93))*$BE93),IF($E93="wagon",1,1.2)))+$AX93</f>
        <v>27</v>
      </c>
      <c r="BI93" s="14">
        <f>BG93*IF($E93="wagon",62.5,781.25)</f>
        <v>437.5</v>
      </c>
      <c r="BJ93" s="14">
        <f>BH93*IF($E93="wagon",2.73,81.25)</f>
        <v>73.709999999999994</v>
      </c>
      <c r="BQ93">
        <v>8</v>
      </c>
      <c r="BS93" t="s">
        <v>1046</v>
      </c>
      <c r="BT93" t="s">
        <v>697</v>
      </c>
      <c r="BU93" t="str">
        <f>VLOOKUP(H93,Eras!$A$2:$C$10, 2, TRUE)</f>
        <v>big4</v>
      </c>
      <c r="BV93" t="s">
        <v>695</v>
      </c>
      <c r="BW93" t="str">
        <f>CONCATENATE(BU93,"_",BV93)</f>
        <v>big4_Extra</v>
      </c>
      <c r="BX93" t="str">
        <f>_xlfn.CONCAT(F93, "_",G93)</f>
        <v>brake_RAIL</v>
      </c>
      <c r="BY93" t="str">
        <f>VLOOKUP($BX93, Constants!$M:$N, 2, FALSE)</f>
        <v/>
      </c>
      <c r="BZ93" t="str">
        <f>IF(K93&gt;1,_xlfn.CONCAT("{BLACK}Cars: {GOLD}", K93),"")</f>
        <v/>
      </c>
      <c r="CA93" t="s">
        <v>708</v>
      </c>
      <c r="CB93" t="str">
        <f>IF(BT93="BRAKE","{YELLOW}Speed bonus for slow wagons{}",IF(BR93&gt;190,CONCATENATE("{YELLOW}",INT((BR93-185)/1.85),"% Bonus for long distance travel{}"),IF(AND(BR93&lt;180,BR93&lt;&gt;0),CONCATENATE("{YELLOW}",INT((185-BR93)/1.85),"% Penalty for long distance travel{}"),"")))</f>
        <v>{YELLOW}Speed bonus for slow wagons{}</v>
      </c>
      <c r="CC93" t="str">
        <f>_xlfn.CONCAT(BY93,IF(BY93 &lt;&gt; "", " ", ""),BZ93,IF(OR(BZ93&lt;&gt;"", BY93&lt;&gt;""), "{}",""), CB93,"{SILVER}", CA93)</f>
        <v>{YELLOW}Speed bonus for slow wagons{}{SILVER}BR inherited a large number of brake vans from the Big Four, but quickly set about introducing their own standard model based on 1940s LNER practice.</v>
      </c>
    </row>
    <row r="94" spans="1:81" x14ac:dyDescent="0.25">
      <c r="A94" t="s">
        <v>1390</v>
      </c>
      <c r="B94" t="s">
        <v>1391</v>
      </c>
      <c r="C94">
        <v>149</v>
      </c>
      <c r="D94">
        <v>1</v>
      </c>
      <c r="E94" t="s">
        <v>1392</v>
      </c>
      <c r="F94" t="s">
        <v>1392</v>
      </c>
      <c r="G94" t="s">
        <v>1381</v>
      </c>
      <c r="H94">
        <v>1700</v>
      </c>
      <c r="J94">
        <v>1870</v>
      </c>
      <c r="L94">
        <v>5</v>
      </c>
      <c r="R94" s="6"/>
      <c r="U94">
        <v>1</v>
      </c>
      <c r="X94">
        <v>3</v>
      </c>
      <c r="Y94" s="3">
        <f t="shared" si="19"/>
        <v>0.3</v>
      </c>
      <c r="Z94">
        <v>18</v>
      </c>
      <c r="AA94">
        <f t="shared" si="15"/>
        <v>29</v>
      </c>
      <c r="AE94">
        <v>6</v>
      </c>
      <c r="AH94" s="10">
        <v>0</v>
      </c>
      <c r="AI94" t="str">
        <f>CONCATENATE(VLOOKUP(AJ94, 'Voxel Sizes'!$A$2:$B$18,2,FALSE),"x",INT(AF94*15), "x", INT(AG94*15))</f>
        <v>60x0x0</v>
      </c>
      <c r="AJ94">
        <f t="shared" si="20"/>
        <v>4</v>
      </c>
      <c r="AL94" t="str">
        <f>CONCATENATE(VLOOKUP(AJ94,Constants!$A$2:$C$16,IF(AK94&lt;&gt;"", 3, 2), FALSE),IF(AK94&lt;&gt;"",CONCATENATE(",",VLOOKUP(AK94,$B:$AL,37,FALSE)),""))</f>
        <v>1,2,1</v>
      </c>
      <c r="AT94">
        <v>1</v>
      </c>
      <c r="AV94">
        <v>12</v>
      </c>
      <c r="AW94" s="15">
        <f t="shared" si="21"/>
        <v>178</v>
      </c>
      <c r="AX94">
        <v>-13</v>
      </c>
      <c r="AY94">
        <v>-3</v>
      </c>
      <c r="AZ94">
        <f t="shared" si="22"/>
        <v>3.5999999999999996</v>
      </c>
      <c r="BA94">
        <f t="shared" si="23"/>
        <v>2.5000000000000001E-2</v>
      </c>
      <c r="BB94">
        <f t="shared" si="24"/>
        <v>0.15</v>
      </c>
      <c r="BC94" s="3">
        <f t="shared" si="25"/>
        <v>1</v>
      </c>
      <c r="BD94">
        <f t="shared" si="26"/>
        <v>0</v>
      </c>
      <c r="BE94">
        <f>VLOOKUP($F94,Constants!$I:$K, 2, FALSE)</f>
        <v>0.5</v>
      </c>
      <c r="BF94">
        <f>VLOOKUP($F94,Constants!$I:$K, 3, FALSE)*IF(AND(E94="multiple_unit",Z94&lt;110),0.75,1)</f>
        <v>0.5</v>
      </c>
      <c r="BG94">
        <f>INT(POWER(((Constants!$G$2+$AZ94+$BA94+$BB94+$BD94)*$BC94)*$BF94, 1.05))+$AY94</f>
        <v>1</v>
      </c>
      <c r="BH94">
        <f>INT(POWER((((Constants!$G$1+$AZ94+$BA94+$BB94+$BD94)*($BC94))*$BE94),IF($E94="wagon",1,1.2)))+$AX94</f>
        <v>1</v>
      </c>
      <c r="BI94" s="14">
        <f t="shared" si="27"/>
        <v>781.25</v>
      </c>
      <c r="BJ94" s="14">
        <f t="shared" si="28"/>
        <v>81.25</v>
      </c>
      <c r="BQ94">
        <v>1</v>
      </c>
      <c r="BU94" t="str">
        <f>VLOOKUP(H94,Eras!$A$2:$C$10, 2, TRUE)</f>
        <v>early</v>
      </c>
      <c r="BV94" t="s">
        <v>327</v>
      </c>
      <c r="BW94" t="str">
        <f t="shared" si="29"/>
        <v>early_Mixed Traffic</v>
      </c>
      <c r="BX94" t="str">
        <f t="shared" si="30"/>
        <v>horses_PLATEWAY</v>
      </c>
      <c r="BY94" t="str">
        <f>VLOOKUP($BX94, Constants!$M:$N, 2, FALSE)</f>
        <v>{BLACK}Powered by: {GOLD}Grass and hay</v>
      </c>
      <c r="BZ94" t="str">
        <f t="shared" si="31"/>
        <v/>
      </c>
      <c r="CA94" t="s">
        <v>1395</v>
      </c>
      <c r="CB94" t="str">
        <f t="shared" si="32"/>
        <v/>
      </c>
      <c r="CC94" t="str">
        <f t="shared" si="33"/>
        <v>{BLACK}Powered by: {GOLD}Grass and hay {}{SILVER}Most early industrial railways used two sources of power: horses and gravity. Often horses would ride downhill in dandy wagons, to save their energy for pulling the train uphill.</v>
      </c>
    </row>
    <row r="95" spans="1:81" x14ac:dyDescent="0.25">
      <c r="A95" t="s">
        <v>1396</v>
      </c>
      <c r="B95" t="s">
        <v>1392</v>
      </c>
      <c r="C95">
        <v>150</v>
      </c>
      <c r="D95">
        <v>2</v>
      </c>
      <c r="E95" t="s">
        <v>1392</v>
      </c>
      <c r="F95" t="s">
        <v>1392</v>
      </c>
      <c r="G95" t="s">
        <v>1381</v>
      </c>
      <c r="H95">
        <v>1700</v>
      </c>
      <c r="J95">
        <v>1870</v>
      </c>
      <c r="L95">
        <v>10</v>
      </c>
      <c r="R95" s="6"/>
      <c r="U95">
        <v>2</v>
      </c>
      <c r="X95">
        <v>6</v>
      </c>
      <c r="Y95" s="3">
        <f t="shared" si="19"/>
        <v>0.3</v>
      </c>
      <c r="Z95">
        <v>18</v>
      </c>
      <c r="AA95">
        <f t="shared" ref="AA95:AA158" si="34">ROUND(Z95*1.6, 0)</f>
        <v>29</v>
      </c>
      <c r="AE95">
        <v>6</v>
      </c>
      <c r="AH95" s="10">
        <v>0</v>
      </c>
      <c r="AI95" t="str">
        <f>CONCATENATE(VLOOKUP(AJ95, 'Voxel Sizes'!$A$2:$B$18,2,FALSE),"x",INT(AF95*15), "x", INT(AG95*15))</f>
        <v>60x0x0</v>
      </c>
      <c r="AJ95">
        <f t="shared" si="20"/>
        <v>4</v>
      </c>
      <c r="AL95" t="str">
        <f>CONCATENATE(VLOOKUP(AJ95,Constants!$A$2:$C$16,IF(AK95&lt;&gt;"", 3, 2), FALSE),IF(AK95&lt;&gt;"",CONCATENATE(",",VLOOKUP(AK95,$B:$AL,37,FALSE)),""))</f>
        <v>1,2,1</v>
      </c>
      <c r="AT95">
        <v>1</v>
      </c>
      <c r="AV95">
        <v>12</v>
      </c>
      <c r="AW95" s="15">
        <f t="shared" si="21"/>
        <v>178</v>
      </c>
      <c r="AX95">
        <v>-12</v>
      </c>
      <c r="AY95">
        <v>-2</v>
      </c>
      <c r="AZ95">
        <f t="shared" si="22"/>
        <v>3.5999999999999996</v>
      </c>
      <c r="BA95">
        <f t="shared" si="23"/>
        <v>0.05</v>
      </c>
      <c r="BB95">
        <f t="shared" si="24"/>
        <v>0.3</v>
      </c>
      <c r="BC95" s="3">
        <f t="shared" si="25"/>
        <v>1</v>
      </c>
      <c r="BD95">
        <f t="shared" si="26"/>
        <v>0</v>
      </c>
      <c r="BE95">
        <f>VLOOKUP($F95,Constants!$I:$K, 2, FALSE)</f>
        <v>0.5</v>
      </c>
      <c r="BF95">
        <f>VLOOKUP($F95,Constants!$I:$K, 3, FALSE)*IF(AND(E95="multiple_unit",Z95&lt;110),0.75,1)</f>
        <v>0.5</v>
      </c>
      <c r="BG95">
        <f>INT(POWER(((Constants!$G$2+$AZ95+$BA95+$BB95+$BD95)*$BC95)*$BF95, 1.05))+$AY95</f>
        <v>2</v>
      </c>
      <c r="BH95">
        <f>INT(POWER((((Constants!$G$1+$AZ95+$BA95+$BB95+$BD95)*($BC95))*$BE95),IF($E95="wagon",1,1.2)))+$AX95</f>
        <v>2</v>
      </c>
      <c r="BI95" s="14">
        <f t="shared" si="27"/>
        <v>1562.5</v>
      </c>
      <c r="BJ95" s="14">
        <f t="shared" si="28"/>
        <v>162.5</v>
      </c>
      <c r="BQ95">
        <v>1</v>
      </c>
      <c r="BU95" t="str">
        <f>VLOOKUP(H95,Eras!$A$2:$C$10, 2, TRUE)</f>
        <v>early</v>
      </c>
      <c r="BV95" t="s">
        <v>327</v>
      </c>
      <c r="BW95" t="str">
        <f t="shared" si="29"/>
        <v>early_Mixed Traffic</v>
      </c>
      <c r="BX95" t="str">
        <f t="shared" si="30"/>
        <v>horses_PLATEWAY</v>
      </c>
      <c r="BY95" t="str">
        <f>VLOOKUP($BX95, Constants!$M:$N, 2, FALSE)</f>
        <v>{BLACK}Powered by: {GOLD}Grass and hay</v>
      </c>
      <c r="BZ95" t="str">
        <f t="shared" si="31"/>
        <v/>
      </c>
      <c r="CA95" t="s">
        <v>1397</v>
      </c>
      <c r="CB95" t="str">
        <f t="shared" si="32"/>
        <v/>
      </c>
      <c r="CC95" t="str">
        <f t="shared" si="33"/>
        <v>{BLACK}Powered by: {GOLD}Grass and hay {}{SILVER}The power of a horse-drawn train can easily be doubled by the expedient addition of a second horse.</v>
      </c>
    </row>
    <row r="96" spans="1:81" x14ac:dyDescent="0.25">
      <c r="A96" t="s">
        <v>1384</v>
      </c>
      <c r="B96" t="s">
        <v>1385</v>
      </c>
      <c r="C96">
        <v>151</v>
      </c>
      <c r="D96">
        <v>3</v>
      </c>
      <c r="E96" t="s">
        <v>263</v>
      </c>
      <c r="F96" t="s">
        <v>272</v>
      </c>
      <c r="G96" t="s">
        <v>1381</v>
      </c>
      <c r="H96">
        <v>1813</v>
      </c>
      <c r="J96">
        <v>1862</v>
      </c>
      <c r="L96">
        <v>15</v>
      </c>
      <c r="N96" s="5">
        <v>9</v>
      </c>
      <c r="O96" s="5">
        <v>36</v>
      </c>
      <c r="P96" s="5">
        <v>2</v>
      </c>
      <c r="Q96" s="5">
        <v>50</v>
      </c>
      <c r="R96" s="6">
        <f>((($Z96/2)/60)*5280)/($S96*3.2*PI())</f>
        <v>60.788346319821144</v>
      </c>
      <c r="S96" s="5">
        <v>1.44</v>
      </c>
      <c r="T96" s="5">
        <f>((($N96*$N96/4)*PI())*($O96/12)*$P96*$Q96*$R96)/(33000*1.1)</f>
        <v>31.96022727272728</v>
      </c>
      <c r="U96">
        <v>4</v>
      </c>
      <c r="V96" s="8">
        <v>3</v>
      </c>
      <c r="X96">
        <v>7</v>
      </c>
      <c r="Y96" s="3">
        <f t="shared" si="19"/>
        <v>0.1</v>
      </c>
      <c r="Z96">
        <v>20</v>
      </c>
      <c r="AA96">
        <f t="shared" si="34"/>
        <v>32</v>
      </c>
      <c r="AE96">
        <v>6</v>
      </c>
      <c r="AH96" s="10">
        <v>0</v>
      </c>
      <c r="AI96" t="str">
        <f>CONCATENATE(VLOOKUP(AJ96, 'Voxel Sizes'!$A$2:$B$18,2,FALSE),"x",INT(AF96*15), "x", INT(AG96*15))</f>
        <v>60x0x0</v>
      </c>
      <c r="AJ96">
        <f t="shared" si="20"/>
        <v>4</v>
      </c>
      <c r="AK96" t="s">
        <v>1383</v>
      </c>
      <c r="AL96" t="str">
        <f>CONCATENATE(VLOOKUP(AJ96,Constants!$A$2:$C$16,IF(AK96&lt;&gt;"", 3, 2), FALSE),IF(AK96&lt;&gt;"",CONCATENATE(",",VLOOKUP(AK96,$B:$AL,37,FALSE)),""))</f>
        <v>1,2,1,1,2,1</v>
      </c>
      <c r="AV96">
        <v>28</v>
      </c>
      <c r="AW96" s="15">
        <f t="shared" si="21"/>
        <v>57</v>
      </c>
      <c r="AX96">
        <v>-35</v>
      </c>
      <c r="AY96">
        <v>-12</v>
      </c>
      <c r="AZ96">
        <f t="shared" si="22"/>
        <v>4</v>
      </c>
      <c r="BA96">
        <f t="shared" si="23"/>
        <v>7.4999999999999997E-2</v>
      </c>
      <c r="BB96">
        <f t="shared" si="24"/>
        <v>0.35000000000000003</v>
      </c>
      <c r="BC96" s="3">
        <f t="shared" si="25"/>
        <v>1</v>
      </c>
      <c r="BD96">
        <f t="shared" si="26"/>
        <v>0</v>
      </c>
      <c r="BE96">
        <f>VLOOKUP($F96,Constants!$I:$K, 2, FALSE)</f>
        <v>1.1499999999999999</v>
      </c>
      <c r="BF96">
        <f>VLOOKUP($F96,Constants!$I:$K, 3, FALSE)*IF(AND(E96="multiple_unit",Z96&lt;110),0.75,1)</f>
        <v>1.7</v>
      </c>
      <c r="BG96">
        <f>INT(POWER(((Constants!$G$2+$AZ96+$BA96+$BB96+$BD96)*$BC96)*$BF96, 1.05))+$AY96</f>
        <v>6</v>
      </c>
      <c r="BH96">
        <f>INT(POWER((((Constants!$G$1+$AZ96+$BA96+$BB96+$BD96)*($BC96))*$BE96),IF($E96="wagon",1,1.2)))+$AX96</f>
        <v>6</v>
      </c>
      <c r="BI96" s="14">
        <f t="shared" si="27"/>
        <v>4687.5</v>
      </c>
      <c r="BJ96" s="14">
        <f t="shared" si="28"/>
        <v>487.5</v>
      </c>
      <c r="BQ96">
        <v>3</v>
      </c>
      <c r="BU96" t="str">
        <f>VLOOKUP(H96,Eras!$A$2:$C$10, 2, TRUE)</f>
        <v>early</v>
      </c>
      <c r="BV96" t="s">
        <v>327</v>
      </c>
      <c r="BW96" t="str">
        <f t="shared" si="29"/>
        <v>early_Mixed Traffic</v>
      </c>
      <c r="BX96" t="str">
        <f t="shared" si="30"/>
        <v>steam_PLATEWAY</v>
      </c>
      <c r="BY96" t="str">
        <f>VLOOKUP($BX96, Constants!$M:$N, 2, FALSE)</f>
        <v>{BLACK}Powered by: {GOLD}Steam</v>
      </c>
      <c r="BZ96" t="str">
        <f t="shared" si="31"/>
        <v/>
      </c>
      <c r="CA96" t="s">
        <v>1388</v>
      </c>
      <c r="CB96" t="str">
        <f t="shared" si="32"/>
        <v/>
      </c>
      <c r="CC96" t="str">
        <f t="shared" si="33"/>
        <v>{BLACK}Powered by: {GOLD}Steam {}{SILVER}Puffing Billy was the first steam locomotive to operate by the adhesion of the wheels alone, all previous locomotives using a rack by the railside. The real version was very slow, capable only of walking speeds.</v>
      </c>
    </row>
    <row r="97" spans="1:81" x14ac:dyDescent="0.25">
      <c r="A97" t="s">
        <v>1398</v>
      </c>
      <c r="B97" t="s">
        <v>1399</v>
      </c>
      <c r="C97">
        <v>152</v>
      </c>
      <c r="D97">
        <v>4</v>
      </c>
      <c r="E97" t="s">
        <v>1399</v>
      </c>
      <c r="F97" t="s">
        <v>1392</v>
      </c>
      <c r="G97" t="s">
        <v>1381</v>
      </c>
      <c r="H97">
        <v>1829</v>
      </c>
      <c r="J97">
        <v>1842</v>
      </c>
      <c r="L97">
        <v>10</v>
      </c>
      <c r="R97" s="6"/>
      <c r="U97">
        <v>3</v>
      </c>
      <c r="X97">
        <v>8</v>
      </c>
      <c r="Y97" s="3">
        <f t="shared" si="19"/>
        <v>0.26666666666666666</v>
      </c>
      <c r="Z97">
        <v>22</v>
      </c>
      <c r="AA97">
        <f t="shared" si="34"/>
        <v>35</v>
      </c>
      <c r="AE97">
        <v>8</v>
      </c>
      <c r="AH97" s="10">
        <v>0</v>
      </c>
      <c r="AI97" t="str">
        <f>CONCATENATE(VLOOKUP(AJ97, 'Voxel Sizes'!$A$2:$B$18,2,FALSE),"x",INT(AF97*15), "x", INT(AG97*15))</f>
        <v>82x0x0</v>
      </c>
      <c r="AJ97">
        <f t="shared" si="20"/>
        <v>5</v>
      </c>
      <c r="AL97" t="str">
        <f>CONCATENATE(VLOOKUP(AJ97,Constants!$A$2:$C$16,IF(AK97&lt;&gt;"", 3, 2), FALSE),IF(AK97&lt;&gt;"",CONCATENATE(",",VLOOKUP(AK97,$B:$AL,37,FALSE)),""))</f>
        <v>2,1,2</v>
      </c>
      <c r="AT97">
        <v>1</v>
      </c>
      <c r="AV97">
        <v>12</v>
      </c>
      <c r="AW97" s="15">
        <f t="shared" si="21"/>
        <v>21</v>
      </c>
      <c r="AX97">
        <v>-13</v>
      </c>
      <c r="AY97">
        <v>-1</v>
      </c>
      <c r="AZ97">
        <f t="shared" si="22"/>
        <v>4.4000000000000004</v>
      </c>
      <c r="BA97">
        <f t="shared" si="23"/>
        <v>0.05</v>
      </c>
      <c r="BB97">
        <f t="shared" si="24"/>
        <v>0.4</v>
      </c>
      <c r="BC97" s="3">
        <f t="shared" si="25"/>
        <v>1</v>
      </c>
      <c r="BD97">
        <f t="shared" si="26"/>
        <v>0</v>
      </c>
      <c r="BE97">
        <f>VLOOKUP($F97,Constants!$I:$K, 2, FALSE)</f>
        <v>0.5</v>
      </c>
      <c r="BF97">
        <f>VLOOKUP($F97,Constants!$I:$K, 3, FALSE)*IF(AND(E97="multiple_unit",Z97&lt;110),0.75,1)</f>
        <v>0.5</v>
      </c>
      <c r="BG97">
        <f>INT(POWER(((Constants!$G$2+$AZ97+$BA97+$BB97+$BD97)*$BC97)*$BF97, 1.05))+$AY97</f>
        <v>4</v>
      </c>
      <c r="BH97">
        <f>INT(POWER((((Constants!$G$1+$AZ97+$BA97+$BB97+$BD97)*($BC97))*$BE97),IF($E97="wagon",1,1.2)))+$AX97</f>
        <v>2</v>
      </c>
      <c r="BI97" s="14">
        <f t="shared" si="27"/>
        <v>3125</v>
      </c>
      <c r="BJ97" s="14">
        <f t="shared" si="28"/>
        <v>162.5</v>
      </c>
      <c r="BQ97">
        <v>3</v>
      </c>
      <c r="BU97" t="str">
        <f>VLOOKUP(H97,Eras!$A$2:$C$10, 2, TRUE)</f>
        <v>early</v>
      </c>
      <c r="BV97" t="s">
        <v>327</v>
      </c>
      <c r="BW97" t="str">
        <f t="shared" si="29"/>
        <v>early_Mixed Traffic</v>
      </c>
      <c r="BX97" t="str">
        <f t="shared" si="30"/>
        <v>horses_PLATEWAY</v>
      </c>
      <c r="BY97" t="str">
        <f>VLOOKUP($BX97, Constants!$M:$N, 2, FALSE)</f>
        <v>{BLACK}Powered by: {GOLD}Grass and hay</v>
      </c>
      <c r="BZ97" t="str">
        <f t="shared" si="31"/>
        <v/>
      </c>
      <c r="CA97" t="s">
        <v>1400</v>
      </c>
      <c r="CB97" t="str">
        <f t="shared" si="32"/>
        <v/>
      </c>
      <c r="CC97" t="str">
        <f t="shared" si="33"/>
        <v>{BLACK}Powered by: {GOLD}Grass and hay {}{SILVER}Brandreth's "Cycloped" was the only entry in the Rainhill Trials not powered by steam. Unfortunately during the trials the horse burst through the floor, withdrawing it from the competition.</v>
      </c>
    </row>
    <row r="98" spans="1:81" x14ac:dyDescent="0.25">
      <c r="A98" t="s">
        <v>1372</v>
      </c>
      <c r="B98" t="s">
        <v>1368</v>
      </c>
      <c r="C98">
        <v>153</v>
      </c>
      <c r="D98">
        <v>5</v>
      </c>
      <c r="E98" t="s">
        <v>263</v>
      </c>
      <c r="F98" t="s">
        <v>272</v>
      </c>
      <c r="G98" t="s">
        <v>1381</v>
      </c>
      <c r="H98">
        <v>1829</v>
      </c>
      <c r="J98">
        <v>1846</v>
      </c>
      <c r="L98">
        <v>30</v>
      </c>
      <c r="N98" s="5">
        <v>8</v>
      </c>
      <c r="O98" s="5">
        <v>17</v>
      </c>
      <c r="P98" s="5">
        <v>2</v>
      </c>
      <c r="Q98" s="5">
        <v>50</v>
      </c>
      <c r="R98" s="6">
        <f t="shared" ref="R98:R119" si="35">((($Z98/2)/60)*5280)/($S98*3.2*PI())</f>
        <v>91.18251947973171</v>
      </c>
      <c r="S98" s="5">
        <v>1.44</v>
      </c>
      <c r="T98" s="5">
        <f t="shared" ref="T98:T119" si="36">((($N98*$N98/4)*PI())*($O98/12)*$P98*$Q98*$R98)/(33000*1.1)</f>
        <v>17.887205387205388</v>
      </c>
      <c r="U98">
        <v>4</v>
      </c>
      <c r="V98" s="8">
        <v>3</v>
      </c>
      <c r="X98">
        <v>8.5</v>
      </c>
      <c r="Y98" s="3">
        <f t="shared" si="19"/>
        <v>0.12142857142857143</v>
      </c>
      <c r="Z98">
        <v>30</v>
      </c>
      <c r="AA98">
        <f t="shared" si="34"/>
        <v>48</v>
      </c>
      <c r="AE98">
        <v>6</v>
      </c>
      <c r="AH98" s="10">
        <v>0</v>
      </c>
      <c r="AI98" t="str">
        <f>CONCATENATE(VLOOKUP(AJ98, 'Voxel Sizes'!$A$2:$B$18,2,FALSE),"x",INT(AF98*15), "x", INT(AG98*15))</f>
        <v>60x0x0</v>
      </c>
      <c r="AJ98">
        <f t="shared" si="20"/>
        <v>4</v>
      </c>
      <c r="AK98" t="s">
        <v>1370</v>
      </c>
      <c r="AL98" t="str">
        <f>CONCATENATE(VLOOKUP(AJ98,Constants!$A$2:$C$16,IF(AK98&lt;&gt;"", 3, 2), FALSE),IF(AK98&lt;&gt;"",CONCATENATE(",",VLOOKUP(AK98,$B:$AL,37,FALSE)),""))</f>
        <v>1,2,1,1,2,1</v>
      </c>
      <c r="AT98">
        <v>1</v>
      </c>
      <c r="AV98">
        <v>22</v>
      </c>
      <c r="AW98" s="15">
        <f t="shared" si="21"/>
        <v>25</v>
      </c>
      <c r="AX98">
        <v>-28</v>
      </c>
      <c r="AY98">
        <v>-12</v>
      </c>
      <c r="AZ98">
        <f t="shared" si="22"/>
        <v>6</v>
      </c>
      <c r="BA98">
        <f t="shared" si="23"/>
        <v>0.15</v>
      </c>
      <c r="BB98">
        <f t="shared" si="24"/>
        <v>0.42500000000000004</v>
      </c>
      <c r="BC98" s="3">
        <f t="shared" si="25"/>
        <v>1</v>
      </c>
      <c r="BD98">
        <f t="shared" si="26"/>
        <v>0</v>
      </c>
      <c r="BE98">
        <f>VLOOKUP($F98,Constants!$I:$K, 2, FALSE)</f>
        <v>1.1499999999999999</v>
      </c>
      <c r="BF98">
        <f>VLOOKUP($F98,Constants!$I:$K, 3, FALSE)*IF(AND(E98="multiple_unit",Z98&lt;110),0.75,1)</f>
        <v>1.7</v>
      </c>
      <c r="BG98">
        <f>INT(POWER(((Constants!$G$2+$AZ98+$BA98+$BB98+$BD98)*$BC98)*$BF98, 1.05))+$AY98</f>
        <v>10</v>
      </c>
      <c r="BH98">
        <f>INT(POWER((((Constants!$G$1+$AZ98+$BA98+$BB98+$BD98)*($BC98))*$BE98),IF($E98="wagon",1,1.2)))+$AX98</f>
        <v>19</v>
      </c>
      <c r="BI98" s="14">
        <f t="shared" si="27"/>
        <v>7812.5</v>
      </c>
      <c r="BJ98" s="14">
        <f t="shared" si="28"/>
        <v>1543.75</v>
      </c>
      <c r="BQ98">
        <v>3</v>
      </c>
      <c r="BU98" t="str">
        <f>VLOOKUP(H98,Eras!$A$2:$C$10, 2, TRUE)</f>
        <v>early</v>
      </c>
      <c r="BV98" t="s">
        <v>327</v>
      </c>
      <c r="BW98" t="str">
        <f t="shared" si="29"/>
        <v>early_Mixed Traffic</v>
      </c>
      <c r="BX98" t="str">
        <f t="shared" si="30"/>
        <v>steam_PLATEWAY</v>
      </c>
      <c r="BY98" t="str">
        <f>VLOOKUP($BX98, Constants!$M:$N, 2, FALSE)</f>
        <v>{BLACK}Powered by: {GOLD}Steam</v>
      </c>
      <c r="BZ98" t="str">
        <f t="shared" si="31"/>
        <v/>
      </c>
      <c r="CA98" t="s">
        <v>1369</v>
      </c>
      <c r="CB98" t="str">
        <f t="shared" si="32"/>
        <v/>
      </c>
      <c r="CC98" t="str">
        <f t="shared" si="33"/>
        <v>{BLACK}Powered by: {GOLD}Steam {}{SILVER}Although not the first steam locomotive, Rocket's advanced design and success in the Rainhill trials made it the pivotal design for steam engines to replace horses on the railway.</v>
      </c>
    </row>
    <row r="99" spans="1:81" x14ac:dyDescent="0.25">
      <c r="A99" t="s">
        <v>1373</v>
      </c>
      <c r="B99" t="s">
        <v>148</v>
      </c>
      <c r="C99">
        <v>154</v>
      </c>
      <c r="D99">
        <v>6</v>
      </c>
      <c r="E99" t="s">
        <v>263</v>
      </c>
      <c r="F99" t="s">
        <v>272</v>
      </c>
      <c r="G99" t="s">
        <v>1381</v>
      </c>
      <c r="H99">
        <v>1830</v>
      </c>
      <c r="J99">
        <v>1850</v>
      </c>
      <c r="L99">
        <v>50</v>
      </c>
      <c r="N99" s="5">
        <v>11</v>
      </c>
      <c r="O99" s="5">
        <v>16</v>
      </c>
      <c r="P99" s="5">
        <v>2</v>
      </c>
      <c r="Q99" s="5">
        <v>50</v>
      </c>
      <c r="R99" s="6">
        <f t="shared" si="35"/>
        <v>100.78067942496661</v>
      </c>
      <c r="S99" s="5">
        <v>1.52</v>
      </c>
      <c r="T99" s="5">
        <f t="shared" si="36"/>
        <v>35.179093567251456</v>
      </c>
      <c r="U99">
        <v>4.3</v>
      </c>
      <c r="V99" s="8">
        <v>3</v>
      </c>
      <c r="X99">
        <v>8.5</v>
      </c>
      <c r="Y99" s="3">
        <f t="shared" si="19"/>
        <v>0.11643835616438356</v>
      </c>
      <c r="Z99">
        <v>35</v>
      </c>
      <c r="AA99">
        <f t="shared" si="34"/>
        <v>56</v>
      </c>
      <c r="AE99">
        <v>6</v>
      </c>
      <c r="AH99" s="10">
        <v>0</v>
      </c>
      <c r="AI99" t="str">
        <f>CONCATENATE(VLOOKUP(AJ99, 'Voxel Sizes'!$A$2:$B$18,2,FALSE),"x",INT(AF99*15), "x", INT(AG99*15))</f>
        <v>60x0x0</v>
      </c>
      <c r="AJ99">
        <f t="shared" si="20"/>
        <v>4</v>
      </c>
      <c r="AK99" t="s">
        <v>1364</v>
      </c>
      <c r="AL99" t="str">
        <f>CONCATENATE(VLOOKUP(AJ99,Constants!$A$2:$C$16,IF(AK99&lt;&gt;"", 3, 2), FALSE),IF(AK99&lt;&gt;"",CONCATENATE(",",VLOOKUP(AK99,$B:$AL,37,FALSE)),""))</f>
        <v>1,2,1,1,2,1</v>
      </c>
      <c r="AV99">
        <v>26</v>
      </c>
      <c r="AW99" s="15">
        <f t="shared" si="21"/>
        <v>28</v>
      </c>
      <c r="AX99">
        <v>-24</v>
      </c>
      <c r="AY99">
        <v>-12</v>
      </c>
      <c r="AZ99">
        <f t="shared" si="22"/>
        <v>7</v>
      </c>
      <c r="BA99">
        <f t="shared" si="23"/>
        <v>0.25</v>
      </c>
      <c r="BB99">
        <f t="shared" si="24"/>
        <v>0.42500000000000004</v>
      </c>
      <c r="BC99" s="3">
        <f t="shared" si="25"/>
        <v>1</v>
      </c>
      <c r="BD99">
        <f t="shared" si="26"/>
        <v>0</v>
      </c>
      <c r="BE99">
        <f>VLOOKUP($F99,Constants!$I:$K, 2, FALSE)</f>
        <v>1.1499999999999999</v>
      </c>
      <c r="BF99">
        <f>VLOOKUP($F99,Constants!$I:$K, 3, FALSE)*IF(AND(E99="multiple_unit",Z99&lt;110),0.75,1)</f>
        <v>1.7</v>
      </c>
      <c r="BG99">
        <f>INT(POWER(((Constants!$G$2+$AZ99+$BA99+$BB99+$BD99)*$BC99)*$BF99, 1.05))+$AY99</f>
        <v>13</v>
      </c>
      <c r="BH99">
        <f>INT(POWER((((Constants!$G$1+$AZ99+$BA99+$BB99+$BD99)*($BC99))*$BE99),IF($E99="wagon",1,1.2)))+$AX99</f>
        <v>26</v>
      </c>
      <c r="BI99" s="14">
        <f t="shared" si="27"/>
        <v>10156.25</v>
      </c>
      <c r="BJ99" s="14">
        <f t="shared" si="28"/>
        <v>2112.5</v>
      </c>
      <c r="BQ99">
        <v>9</v>
      </c>
      <c r="BU99" t="str">
        <f>VLOOKUP(H99,Eras!$A$2:$C$10, 2, TRUE)</f>
        <v>early</v>
      </c>
      <c r="BV99" t="s">
        <v>327</v>
      </c>
      <c r="BW99" t="str">
        <f t="shared" si="29"/>
        <v>early_Mixed Traffic</v>
      </c>
      <c r="BX99" t="str">
        <f t="shared" si="30"/>
        <v>steam_PLATEWAY</v>
      </c>
      <c r="BY99" t="str">
        <f>VLOOKUP($BX99, Constants!$M:$N, 2, FALSE)</f>
        <v>{BLACK}Powered by: {GOLD}Steam</v>
      </c>
      <c r="BZ99" t="str">
        <f t="shared" si="31"/>
        <v/>
      </c>
      <c r="CA99" t="s">
        <v>1365</v>
      </c>
      <c r="CB99" t="str">
        <f t="shared" si="32"/>
        <v/>
      </c>
      <c r="CC99" t="str">
        <f t="shared" si="33"/>
        <v>{BLACK}Powered by: {GOLD}Steam {}{SILVER}Stephenson's "Planet" locomotives made several improvements to the Rocket design, including being the first locomotive to feature cylinders inside the frame.</v>
      </c>
    </row>
    <row r="100" spans="1:81" x14ac:dyDescent="0.25">
      <c r="A100" t="s">
        <v>1374</v>
      </c>
      <c r="B100" t="s">
        <v>1366</v>
      </c>
      <c r="C100">
        <v>155</v>
      </c>
      <c r="D100">
        <v>7</v>
      </c>
      <c r="E100" t="s">
        <v>263</v>
      </c>
      <c r="F100" t="s">
        <v>272</v>
      </c>
      <c r="G100" t="s">
        <v>275</v>
      </c>
      <c r="H100">
        <v>1833</v>
      </c>
      <c r="J100">
        <v>1865</v>
      </c>
      <c r="L100">
        <v>75</v>
      </c>
      <c r="N100" s="5">
        <v>11</v>
      </c>
      <c r="O100" s="5">
        <v>16</v>
      </c>
      <c r="P100" s="5">
        <v>2</v>
      </c>
      <c r="Q100" s="5">
        <v>50</v>
      </c>
      <c r="R100" s="6">
        <f t="shared" si="35"/>
        <v>109.41902337567804</v>
      </c>
      <c r="S100" s="5">
        <v>1.52</v>
      </c>
      <c r="T100" s="5">
        <f t="shared" si="36"/>
        <v>38.194444444444443</v>
      </c>
      <c r="U100">
        <v>5</v>
      </c>
      <c r="V100" s="8">
        <v>3</v>
      </c>
      <c r="X100">
        <v>11</v>
      </c>
      <c r="Y100" s="3">
        <f t="shared" si="19"/>
        <v>0.13750000000000001</v>
      </c>
      <c r="Z100">
        <v>38</v>
      </c>
      <c r="AA100">
        <f t="shared" si="34"/>
        <v>61</v>
      </c>
      <c r="AE100">
        <v>8</v>
      </c>
      <c r="AH100" s="10">
        <v>0</v>
      </c>
      <c r="AI100" t="str">
        <f>CONCATENATE(VLOOKUP(AJ100, 'Voxel Sizes'!$A$2:$B$18,2,FALSE),"x",INT(AF100*15), "x", INT(AG100*15))</f>
        <v>82x0x0</v>
      </c>
      <c r="AJ100">
        <f t="shared" si="20"/>
        <v>5</v>
      </c>
      <c r="AK100" t="s">
        <v>1364</v>
      </c>
      <c r="AL100" t="str">
        <f>CONCATENATE(VLOOKUP(AJ100,Constants!$A$2:$C$16,IF(AK100&lt;&gt;"", 3, 2), FALSE),IF(AK100&lt;&gt;"",CONCATENATE(",",VLOOKUP(AK100,$B:$AL,37,FALSE)),""))</f>
        <v>2,1,2,1,2,1</v>
      </c>
      <c r="AV100">
        <v>28</v>
      </c>
      <c r="AW100" s="15">
        <f t="shared" si="21"/>
        <v>40</v>
      </c>
      <c r="AX100">
        <v>-16</v>
      </c>
      <c r="AY100">
        <v>-10</v>
      </c>
      <c r="AZ100">
        <f t="shared" si="22"/>
        <v>7.6000000000000005</v>
      </c>
      <c r="BA100">
        <f t="shared" si="23"/>
        <v>0.375</v>
      </c>
      <c r="BB100">
        <f t="shared" si="24"/>
        <v>0.55000000000000004</v>
      </c>
      <c r="BC100" s="3">
        <f t="shared" si="25"/>
        <v>1</v>
      </c>
      <c r="BD100">
        <f t="shared" si="26"/>
        <v>0</v>
      </c>
      <c r="BE100">
        <f>VLOOKUP($F100,Constants!$I:$K, 2, FALSE)</f>
        <v>1.1499999999999999</v>
      </c>
      <c r="BF100">
        <f>VLOOKUP($F100,Constants!$I:$K, 3, FALSE)*IF(AND(E100="multiple_unit",Z100&lt;110),0.75,1)</f>
        <v>1.7</v>
      </c>
      <c r="BG100">
        <f>INT(POWER(((Constants!$G$2+$AZ100+$BA100+$BB100+$BD100)*$BC100)*$BF100, 1.05))+$AY100</f>
        <v>16</v>
      </c>
      <c r="BH100">
        <f>INT(POWER((((Constants!$G$1+$AZ100+$BA100+$BB100+$BD100)*($BC100))*$BE100),IF($E100="wagon",1,1.2)))+$AX100</f>
        <v>36</v>
      </c>
      <c r="BI100" s="14">
        <f t="shared" si="27"/>
        <v>12500</v>
      </c>
      <c r="BJ100" s="14">
        <f t="shared" si="28"/>
        <v>2925</v>
      </c>
      <c r="BQ100">
        <v>9</v>
      </c>
      <c r="BU100" t="str">
        <f>VLOOKUP(H100,Eras!$A$2:$C$10, 2, TRUE)</f>
        <v>early</v>
      </c>
      <c r="BV100" t="s">
        <v>327</v>
      </c>
      <c r="BW100" t="str">
        <f t="shared" si="29"/>
        <v>early_Mixed Traffic</v>
      </c>
      <c r="BX100" t="str">
        <f t="shared" si="30"/>
        <v>steam_RAIL</v>
      </c>
      <c r="BY100" t="str">
        <f>VLOOKUP($BX100, Constants!$M:$N, 2, FALSE)</f>
        <v>{BLACK}Powered by: {GOLD}Steam</v>
      </c>
      <c r="BZ100" t="str">
        <f t="shared" si="31"/>
        <v/>
      </c>
      <c r="CA100" t="s">
        <v>1367</v>
      </c>
      <c r="CB100" t="str">
        <f t="shared" si="32"/>
        <v/>
      </c>
      <c r="CC100" t="str">
        <f t="shared" si="33"/>
        <v>{BLACK}Powered by: {GOLD}Steam {}{SILVER}The Patentee was an enlarged version of the Planet type with an additional trailing rear axle, making it more stable and allowing a larger firebox.</v>
      </c>
    </row>
    <row r="101" spans="1:81" x14ac:dyDescent="0.25">
      <c r="A101" t="s">
        <v>124</v>
      </c>
      <c r="B101" t="s">
        <v>212</v>
      </c>
      <c r="C101">
        <v>156</v>
      </c>
      <c r="D101">
        <v>8</v>
      </c>
      <c r="E101" t="s">
        <v>263</v>
      </c>
      <c r="F101" t="s">
        <v>272</v>
      </c>
      <c r="G101" t="s">
        <v>275</v>
      </c>
      <c r="H101">
        <v>1838</v>
      </c>
      <c r="J101">
        <v>1870</v>
      </c>
      <c r="L101">
        <v>100</v>
      </c>
      <c r="N101" s="5">
        <v>14</v>
      </c>
      <c r="O101" s="5">
        <v>18</v>
      </c>
      <c r="P101" s="5">
        <v>2</v>
      </c>
      <c r="Q101" s="5">
        <v>50</v>
      </c>
      <c r="R101" s="6">
        <f t="shared" si="35"/>
        <v>116.71362493405657</v>
      </c>
      <c r="S101" s="5">
        <v>1.5</v>
      </c>
      <c r="T101" s="5">
        <f t="shared" si="36"/>
        <v>74.242424242424235</v>
      </c>
      <c r="U101">
        <v>8</v>
      </c>
      <c r="V101" s="8">
        <v>4</v>
      </c>
      <c r="X101">
        <v>18</v>
      </c>
      <c r="Y101" s="3">
        <f t="shared" si="19"/>
        <v>0.15</v>
      </c>
      <c r="Z101">
        <v>40</v>
      </c>
      <c r="AA101">
        <f t="shared" si="34"/>
        <v>64</v>
      </c>
      <c r="AE101">
        <v>8</v>
      </c>
      <c r="AH101" s="10">
        <v>0</v>
      </c>
      <c r="AI101" t="str">
        <f>CONCATENATE(VLOOKUP(AJ101, 'Voxel Sizes'!$A$2:$B$18,2,FALSE),"x",INT(AF101*15), "x", INT(AG101*15))</f>
        <v>82x0x0</v>
      </c>
      <c r="AJ101">
        <f t="shared" si="20"/>
        <v>5</v>
      </c>
      <c r="AK101" t="s">
        <v>1348</v>
      </c>
      <c r="AL101" t="str">
        <f>CONCATENATE(VLOOKUP(AJ101,Constants!$A$2:$C$16,IF(AK101&lt;&gt;"", 3, 2), FALSE),IF(AK101&lt;&gt;"",CONCATENATE(",",VLOOKUP(AK101,$B:$AL,37,FALSE)),""))</f>
        <v>2,1,2,1,2,1</v>
      </c>
      <c r="AT101">
        <v>1</v>
      </c>
      <c r="AV101">
        <v>32</v>
      </c>
      <c r="AW101" s="15">
        <f t="shared" si="21"/>
        <v>40</v>
      </c>
      <c r="AX101">
        <v>-5</v>
      </c>
      <c r="AY101">
        <v>-8</v>
      </c>
      <c r="AZ101">
        <f t="shared" si="22"/>
        <v>8</v>
      </c>
      <c r="BA101">
        <f t="shared" si="23"/>
        <v>0.5</v>
      </c>
      <c r="BB101">
        <f t="shared" si="24"/>
        <v>0.89999999999999991</v>
      </c>
      <c r="BC101" s="3">
        <f t="shared" si="25"/>
        <v>1</v>
      </c>
      <c r="BD101">
        <f t="shared" si="26"/>
        <v>0</v>
      </c>
      <c r="BE101">
        <f>VLOOKUP($F101,Constants!$I:$K, 2, FALSE)</f>
        <v>1.1499999999999999</v>
      </c>
      <c r="BF101">
        <f>VLOOKUP($F101,Constants!$I:$K, 3, FALSE)*IF(AND(E101="multiple_unit",Z101&lt;110),0.75,1)</f>
        <v>1.7</v>
      </c>
      <c r="BG101">
        <f>INT(POWER(((Constants!$G$2+$AZ101+$BA101+$BB101+$BD101)*$BC101)*$BF101, 1.05))+$AY101</f>
        <v>20</v>
      </c>
      <c r="BH101">
        <f>INT(POWER((((Constants!$G$1+$AZ101+$BA101+$BB101+$BD101)*($BC101))*$BE101),IF($E101="wagon",1,1.2)))+$AX101</f>
        <v>49</v>
      </c>
      <c r="BI101" s="14">
        <f t="shared" si="27"/>
        <v>15625</v>
      </c>
      <c r="BJ101" s="14">
        <f t="shared" si="28"/>
        <v>3981.25</v>
      </c>
      <c r="BQ101">
        <v>5</v>
      </c>
      <c r="BU101" t="str">
        <f>VLOOKUP(H101,Eras!$A$2:$C$10, 2, TRUE)</f>
        <v>early</v>
      </c>
      <c r="BV101" t="s">
        <v>327</v>
      </c>
      <c r="BW101" t="str">
        <f t="shared" si="29"/>
        <v>early_Mixed Traffic</v>
      </c>
      <c r="BX101" t="str">
        <f t="shared" si="30"/>
        <v>steam_RAIL</v>
      </c>
      <c r="BY101" t="str">
        <f>VLOOKUP($BX101, Constants!$M:$N, 2, FALSE)</f>
        <v>{BLACK}Powered by: {GOLD}Steam</v>
      </c>
      <c r="BZ101" t="str">
        <f t="shared" si="31"/>
        <v/>
      </c>
      <c r="CA101" t="s">
        <v>1349</v>
      </c>
      <c r="CB101" t="str">
        <f t="shared" si="32"/>
        <v/>
      </c>
      <c r="CC101" t="str">
        <f t="shared" si="33"/>
        <v>{BLACK}Powered by: {GOLD}Steam {}{SILVER}The Liverpool and Manchester Railway's "Lion" is most famous for its appearance in the 1953 film "The Titfield Thunderbolt", in which it sustained a dent which can still be seen today.</v>
      </c>
    </row>
    <row r="102" spans="1:81" x14ac:dyDescent="0.25">
      <c r="A102" t="s">
        <v>0</v>
      </c>
      <c r="B102" t="s">
        <v>149</v>
      </c>
      <c r="C102">
        <v>160</v>
      </c>
      <c r="D102">
        <v>9</v>
      </c>
      <c r="E102" t="s">
        <v>263</v>
      </c>
      <c r="F102" t="s">
        <v>272</v>
      </c>
      <c r="G102" t="s">
        <v>275</v>
      </c>
      <c r="H102">
        <v>1846</v>
      </c>
      <c r="J102">
        <v>1900</v>
      </c>
      <c r="L102">
        <v>250</v>
      </c>
      <c r="N102" s="5">
        <v>14</v>
      </c>
      <c r="O102" s="5">
        <v>24</v>
      </c>
      <c r="P102" s="5">
        <v>2</v>
      </c>
      <c r="Q102" s="5">
        <v>110</v>
      </c>
      <c r="R102" s="6">
        <f t="shared" si="35"/>
        <v>121.57669263964229</v>
      </c>
      <c r="S102" s="5">
        <v>1.44</v>
      </c>
      <c r="T102" s="5">
        <f t="shared" si="36"/>
        <v>226.85185185185185</v>
      </c>
      <c r="U102">
        <v>19</v>
      </c>
      <c r="V102" s="8">
        <v>11</v>
      </c>
      <c r="X102">
        <v>34</v>
      </c>
      <c r="Y102" s="3">
        <f t="shared" si="19"/>
        <v>0.11333333333333333</v>
      </c>
      <c r="Z102">
        <v>40</v>
      </c>
      <c r="AA102">
        <f t="shared" si="34"/>
        <v>64</v>
      </c>
      <c r="AE102">
        <v>8</v>
      </c>
      <c r="AH102" s="10">
        <v>0</v>
      </c>
      <c r="AI102" t="str">
        <f>CONCATENATE(VLOOKUP(AJ102, 'Voxel Sizes'!$A$2:$B$18,2,FALSE),"x",INT(AF102*15), "x", INT(AG102*15))</f>
        <v>82x0x0</v>
      </c>
      <c r="AJ102">
        <f t="shared" si="20"/>
        <v>5</v>
      </c>
      <c r="AK102" t="s">
        <v>1346</v>
      </c>
      <c r="AL102" t="str">
        <f>CONCATENATE(VLOOKUP(AJ102,Constants!$A$2:$C$16,IF(AK102&lt;&gt;"", 3, 2), FALSE),IF(AK102&lt;&gt;"",CONCATENATE(",",VLOOKUP(AK102,$B:$AL,37,FALSE)),""))</f>
        <v>2,1,2,1,2,1</v>
      </c>
      <c r="AT102">
        <v>1</v>
      </c>
      <c r="AV102">
        <v>30</v>
      </c>
      <c r="AW102" s="15">
        <f t="shared" si="21"/>
        <v>62</v>
      </c>
      <c r="AY102">
        <v>-5</v>
      </c>
      <c r="AZ102">
        <f t="shared" si="22"/>
        <v>8</v>
      </c>
      <c r="BA102">
        <f t="shared" si="23"/>
        <v>1.25</v>
      </c>
      <c r="BB102">
        <f t="shared" si="24"/>
        <v>1.7000000000000002</v>
      </c>
      <c r="BC102" s="3">
        <f t="shared" si="25"/>
        <v>1</v>
      </c>
      <c r="BD102">
        <f t="shared" si="26"/>
        <v>0</v>
      </c>
      <c r="BE102">
        <f>VLOOKUP($F102,Constants!$I:$K, 2, FALSE)</f>
        <v>1.1499999999999999</v>
      </c>
      <c r="BF102">
        <f>VLOOKUP($F102,Constants!$I:$K, 3, FALSE)*IF(AND(E102="multiple_unit",Z102&lt;110),0.75,1)</f>
        <v>1.7</v>
      </c>
      <c r="BG102">
        <f>INT(POWER(((Constants!$G$2+$AZ102+$BA102+$BB102+$BD102)*$BC102)*$BF102, 1.05))+$AY102</f>
        <v>26</v>
      </c>
      <c r="BH102">
        <f>INT(POWER((((Constants!$G$1+$AZ102+$BA102+$BB102+$BD102)*($BC102))*$BE102),IF($E102="wagon",1,1.2)))+$AX102</f>
        <v>58</v>
      </c>
      <c r="BI102" s="14">
        <f t="shared" si="27"/>
        <v>20312.5</v>
      </c>
      <c r="BJ102" s="14">
        <f t="shared" si="28"/>
        <v>4712.5</v>
      </c>
      <c r="BQ102">
        <v>7</v>
      </c>
      <c r="BU102" t="str">
        <f>VLOOKUP(H102,Eras!$A$2:$C$10, 2, TRUE)</f>
        <v>early</v>
      </c>
      <c r="BV102" t="s">
        <v>327</v>
      </c>
      <c r="BW102" t="str">
        <f t="shared" si="29"/>
        <v>early_Mixed Traffic</v>
      </c>
      <c r="BX102" t="str">
        <f t="shared" si="30"/>
        <v>steam_RAIL</v>
      </c>
      <c r="BY102" t="str">
        <f>VLOOKUP($BX102, Constants!$M:$N, 2, FALSE)</f>
        <v>{BLACK}Powered by: {GOLD}Steam</v>
      </c>
      <c r="BZ102" t="str">
        <f t="shared" ref="BZ102:BZ107" si="37">IF(K102&gt;1,_xlfn.CONCAT("{BLACK}Cars: {GOLD}", K102),"")</f>
        <v/>
      </c>
      <c r="CA102" t="s">
        <v>1344</v>
      </c>
      <c r="CB102" t="str">
        <f t="shared" ref="CB102:CB133" si="38">IF(BT102="BRAKE","{YELLOW}Speed bonus for slow wagons{}",IF(BR102&gt;190,CONCATENATE("{YELLOW}",INT((BR102-185)/1.85),"% Bonus for long distance travel{}"),IF(AND(BR102&lt;180,BR102&lt;&gt;0),CONCATENATE("{YELLOW}",INT((185-BR102)/1.85),"% Penalty for long distance travel{}"),"")))</f>
        <v/>
      </c>
      <c r="CC102" t="str">
        <f t="shared" si="33"/>
        <v>{BLACK}Powered by: {GOLD}Steam {}{SILVER}Bury's bar frame locomotives used iron frames between the wheels to reduce weight. The "Coppernob" was named for its copper-plated firebox.</v>
      </c>
    </row>
    <row r="103" spans="1:81" x14ac:dyDescent="0.25">
      <c r="A103" t="s">
        <v>1</v>
      </c>
      <c r="B103" t="s">
        <v>150</v>
      </c>
      <c r="C103">
        <v>164</v>
      </c>
      <c r="D103">
        <v>10</v>
      </c>
      <c r="E103" t="s">
        <v>263</v>
      </c>
      <c r="F103" t="s">
        <v>272</v>
      </c>
      <c r="G103" t="s">
        <v>275</v>
      </c>
      <c r="H103">
        <v>1847</v>
      </c>
      <c r="J103">
        <v>1885</v>
      </c>
      <c r="L103">
        <v>300</v>
      </c>
      <c r="N103" s="5">
        <v>14</v>
      </c>
      <c r="O103" s="5">
        <v>24</v>
      </c>
      <c r="P103" s="5">
        <v>2</v>
      </c>
      <c r="Q103" s="5">
        <v>130</v>
      </c>
      <c r="R103" s="6">
        <f t="shared" si="35"/>
        <v>131.30282805081364</v>
      </c>
      <c r="S103" s="5">
        <v>2</v>
      </c>
      <c r="T103" s="5">
        <f t="shared" si="36"/>
        <v>289.5454545454545</v>
      </c>
      <c r="U103">
        <v>21</v>
      </c>
      <c r="V103" s="8">
        <v>11</v>
      </c>
      <c r="X103">
        <v>28</v>
      </c>
      <c r="Y103" s="3">
        <f t="shared" si="19"/>
        <v>8.7499999999999994E-2</v>
      </c>
      <c r="Z103">
        <v>60</v>
      </c>
      <c r="AA103">
        <f t="shared" si="34"/>
        <v>96</v>
      </c>
      <c r="AD103">
        <v>8</v>
      </c>
      <c r="AE103">
        <v>8</v>
      </c>
      <c r="AH103" s="10">
        <v>0</v>
      </c>
      <c r="AI103" t="str">
        <f>CONCATENATE(VLOOKUP(AJ103, 'Voxel Sizes'!$A$2:$B$18,2,FALSE),"x",INT(AF103*15), "x", INT(AG103*15))</f>
        <v>82x0x0</v>
      </c>
      <c r="AJ103">
        <f t="shared" si="20"/>
        <v>5</v>
      </c>
      <c r="AK103" t="s">
        <v>1348</v>
      </c>
      <c r="AL103" t="str">
        <f>CONCATENATE(VLOOKUP(AJ103,Constants!$A$2:$C$16,IF(AK103&lt;&gt;"", 3, 2), FALSE),IF(AK103&lt;&gt;"",CONCATENATE(",",VLOOKUP(AK103,$B:$AL,37,FALSE)),""))</f>
        <v>2,1,2,1,2,1</v>
      </c>
      <c r="AT103">
        <v>1</v>
      </c>
      <c r="AV103">
        <v>28</v>
      </c>
      <c r="AW103" s="15">
        <f t="shared" si="21"/>
        <v>46</v>
      </c>
      <c r="AY103">
        <v>-5</v>
      </c>
      <c r="AZ103">
        <f t="shared" si="22"/>
        <v>12</v>
      </c>
      <c r="BA103">
        <f t="shared" si="23"/>
        <v>1.5</v>
      </c>
      <c r="BB103">
        <f t="shared" si="24"/>
        <v>1.4000000000000001</v>
      </c>
      <c r="BC103" s="3">
        <f t="shared" si="25"/>
        <v>1</v>
      </c>
      <c r="BD103">
        <f t="shared" si="26"/>
        <v>0</v>
      </c>
      <c r="BE103">
        <f>VLOOKUP($F103,Constants!$I:$K, 2, FALSE)</f>
        <v>1.1499999999999999</v>
      </c>
      <c r="BF103">
        <f>VLOOKUP($F103,Constants!$I:$K, 3, FALSE)*IF(AND(E103="multiple_unit",Z103&lt;110),0.75,1)</f>
        <v>1.7</v>
      </c>
      <c r="BG103">
        <f>INT(POWER(((Constants!$G$2+$AZ103+$BA103+$BB103+$BD103)*$BC103)*$BF103, 1.05))+$AY103</f>
        <v>35</v>
      </c>
      <c r="BH103">
        <f>INT(POWER((((Constants!$G$1+$AZ103+$BA103+$BB103+$BD103)*($BC103))*$BE103),IF($E103="wagon",1,1.2)))+$AX103</f>
        <v>69</v>
      </c>
      <c r="BI103" s="14">
        <f t="shared" si="27"/>
        <v>27343.75</v>
      </c>
      <c r="BJ103" s="14">
        <f t="shared" si="28"/>
        <v>5606.25</v>
      </c>
      <c r="BQ103">
        <v>9</v>
      </c>
      <c r="BU103" t="str">
        <f>VLOOKUP(H103,Eras!$A$2:$C$10, 2, TRUE)</f>
        <v>early</v>
      </c>
      <c r="BV103" t="s">
        <v>328</v>
      </c>
      <c r="BW103" t="str">
        <f t="shared" si="29"/>
        <v>early_Express</v>
      </c>
      <c r="BX103" t="str">
        <f t="shared" si="30"/>
        <v>steam_RAIL</v>
      </c>
      <c r="BY103" t="str">
        <f>VLOOKUP($BX103, Constants!$M:$N, 2, FALSE)</f>
        <v>{BLACK}Powered by: {GOLD}Steam</v>
      </c>
      <c r="BZ103" t="str">
        <f t="shared" si="37"/>
        <v/>
      </c>
      <c r="CA103" t="s">
        <v>1341</v>
      </c>
      <c r="CB103" t="str">
        <f t="shared" si="38"/>
        <v/>
      </c>
      <c r="CC103" t="str">
        <f t="shared" si="33"/>
        <v>{BLACK}Powered by: {GOLD}Steam {}{SILVER}Crampton locomotives were designed for a low centre of gravity, to run at higher speeds on standard gauge track. Features included large driving wheels and an oval boiler.</v>
      </c>
    </row>
    <row r="104" spans="1:81" x14ac:dyDescent="0.25">
      <c r="A104" t="s">
        <v>2</v>
      </c>
      <c r="B104" t="s">
        <v>151</v>
      </c>
      <c r="C104">
        <v>166</v>
      </c>
      <c r="D104">
        <v>11</v>
      </c>
      <c r="E104" t="s">
        <v>263</v>
      </c>
      <c r="F104" t="s">
        <v>272</v>
      </c>
      <c r="G104" t="s">
        <v>275</v>
      </c>
      <c r="H104">
        <v>1852</v>
      </c>
      <c r="J104">
        <v>1923</v>
      </c>
      <c r="L104">
        <v>500</v>
      </c>
      <c r="N104" s="5">
        <v>17</v>
      </c>
      <c r="O104" s="5">
        <v>26</v>
      </c>
      <c r="P104" s="5">
        <v>2</v>
      </c>
      <c r="Q104" s="5">
        <v>140</v>
      </c>
      <c r="R104" s="6">
        <f t="shared" si="35"/>
        <v>145.89203116757071</v>
      </c>
      <c r="S104" s="5">
        <v>1.5</v>
      </c>
      <c r="T104" s="5">
        <f t="shared" si="36"/>
        <v>553.43013468013453</v>
      </c>
      <c r="U104">
        <v>36</v>
      </c>
      <c r="V104" s="8">
        <v>22.5</v>
      </c>
      <c r="X104">
        <v>65</v>
      </c>
      <c r="Y104" s="3">
        <f t="shared" si="19"/>
        <v>0.1111111111111111</v>
      </c>
      <c r="Z104">
        <v>50</v>
      </c>
      <c r="AA104">
        <f t="shared" si="34"/>
        <v>80</v>
      </c>
      <c r="AE104">
        <v>10</v>
      </c>
      <c r="AH104" s="10">
        <v>0</v>
      </c>
      <c r="AI104" t="str">
        <f>CONCATENATE(VLOOKUP(AJ104, 'Voxel Sizes'!$A$2:$B$18,2,FALSE),"x",INT(AF104*15), "x", INT(AG104*15))</f>
        <v>102x0x0</v>
      </c>
      <c r="AJ104">
        <f t="shared" si="20"/>
        <v>6</v>
      </c>
      <c r="AK104" t="s">
        <v>1343</v>
      </c>
      <c r="AL104" t="str">
        <f>CONCATENATE(VLOOKUP(AJ104,Constants!$A$2:$C$16,IF(AK104&lt;&gt;"", 3, 2), FALSE),IF(AK104&lt;&gt;"",CONCATENATE(",",VLOOKUP(AK104,$B:$AL,37,FALSE)),""))</f>
        <v>2,2,2,1,2,1</v>
      </c>
      <c r="AT104">
        <v>1</v>
      </c>
      <c r="AV104">
        <v>30</v>
      </c>
      <c r="AW104" s="15">
        <f t="shared" si="21"/>
        <v>79</v>
      </c>
      <c r="AZ104">
        <f t="shared" si="22"/>
        <v>10</v>
      </c>
      <c r="BA104">
        <f t="shared" si="23"/>
        <v>2.5</v>
      </c>
      <c r="BB104">
        <f t="shared" si="24"/>
        <v>3.25</v>
      </c>
      <c r="BC104" s="3">
        <f t="shared" si="25"/>
        <v>1</v>
      </c>
      <c r="BD104">
        <f t="shared" si="26"/>
        <v>0</v>
      </c>
      <c r="BE104">
        <f>VLOOKUP($F104,Constants!$I:$K, 2, FALSE)</f>
        <v>1.1499999999999999</v>
      </c>
      <c r="BF104">
        <f>VLOOKUP($F104,Constants!$I:$K, 3, FALSE)*IF(AND(E104="multiple_unit",Z104&lt;110),0.75,1)</f>
        <v>1.7</v>
      </c>
      <c r="BG104">
        <f>INT(POWER(((Constants!$G$2+$AZ104+$BA104+$BB104+$BD104)*$BC104)*$BF104, 1.05))+$AY104</f>
        <v>42</v>
      </c>
      <c r="BH104">
        <f>INT(POWER((((Constants!$G$1+$AZ104+$BA104+$BB104+$BD104)*($BC104))*$BE104),IF($E104="wagon",1,1.2)))+$AX104</f>
        <v>72</v>
      </c>
      <c r="BI104" s="14">
        <f t="shared" si="27"/>
        <v>32812.5</v>
      </c>
      <c r="BJ104" s="14">
        <f t="shared" si="28"/>
        <v>5850</v>
      </c>
      <c r="BQ104">
        <v>10</v>
      </c>
      <c r="BU104" t="str">
        <f>VLOOKUP(H104,Eras!$A$2:$C$10, 2, TRUE)</f>
        <v>vct</v>
      </c>
      <c r="BV104" t="s">
        <v>329</v>
      </c>
      <c r="BW104" t="str">
        <f t="shared" si="29"/>
        <v>vct_Freight</v>
      </c>
      <c r="BX104" t="str">
        <f t="shared" si="30"/>
        <v>steam_RAIL</v>
      </c>
      <c r="BY104" t="str">
        <f>VLOOKUP($BX104, Constants!$M:$N, 2, FALSE)</f>
        <v>{BLACK}Powered by: {GOLD}Steam</v>
      </c>
      <c r="BZ104" t="str">
        <f t="shared" si="37"/>
        <v/>
      </c>
      <c r="CA104" t="s">
        <v>1340</v>
      </c>
      <c r="CB104" t="str">
        <f t="shared" si="38"/>
        <v/>
      </c>
      <c r="CC104" t="str">
        <f t="shared" si="33"/>
        <v>{BLACK}Powered by: {GOLD}Steam {}{SILVER}The NER 1001 Class is typical of a "long boiler" freight engine, with a small firebox mounted behind the rear axle.</v>
      </c>
    </row>
    <row r="105" spans="1:81" x14ac:dyDescent="0.25">
      <c r="A105" t="s">
        <v>1474</v>
      </c>
      <c r="B105" t="s">
        <v>1475</v>
      </c>
      <c r="C105">
        <v>167</v>
      </c>
      <c r="D105">
        <v>12</v>
      </c>
      <c r="E105" t="s">
        <v>263</v>
      </c>
      <c r="F105" t="s">
        <v>272</v>
      </c>
      <c r="G105" t="s">
        <v>275</v>
      </c>
      <c r="H105">
        <v>1858</v>
      </c>
      <c r="J105">
        <v>1930</v>
      </c>
      <c r="L105">
        <v>450</v>
      </c>
      <c r="N105" s="5">
        <v>17</v>
      </c>
      <c r="O105" s="5">
        <v>24</v>
      </c>
      <c r="P105" s="5">
        <v>2</v>
      </c>
      <c r="Q105" s="5">
        <v>120</v>
      </c>
      <c r="R105" s="6">
        <f t="shared" si="35"/>
        <v>111.15583327053008</v>
      </c>
      <c r="S105" s="5">
        <v>1.575</v>
      </c>
      <c r="T105" s="5">
        <f t="shared" si="36"/>
        <v>333.62193362193369</v>
      </c>
      <c r="U105">
        <v>19</v>
      </c>
      <c r="V105" s="8">
        <v>10</v>
      </c>
      <c r="X105">
        <v>51</v>
      </c>
      <c r="Y105" s="3">
        <f t="shared" si="19"/>
        <v>0.17586206896551723</v>
      </c>
      <c r="Z105">
        <v>40</v>
      </c>
      <c r="AA105">
        <f t="shared" si="34"/>
        <v>64</v>
      </c>
      <c r="AE105">
        <v>10</v>
      </c>
      <c r="AH105" s="10">
        <v>0</v>
      </c>
      <c r="AI105" t="str">
        <f>CONCATENATE(VLOOKUP(AJ105, 'Voxel Sizes'!$A$2:$B$18,2,FALSE),"x",INT(AF105*15), "x", INT(AG105*15))</f>
        <v>102x0x0</v>
      </c>
      <c r="AJ105">
        <f t="shared" si="20"/>
        <v>6</v>
      </c>
      <c r="AK105" t="s">
        <v>1477</v>
      </c>
      <c r="AL105" t="str">
        <f>CONCATENATE(VLOOKUP(AJ105,Constants!$A$2:$C$16,IF(AK105&lt;&gt;"", 3, 2), FALSE),IF(AK105&lt;&gt;"",CONCATENATE(",",VLOOKUP(AK105,$B:$AL,37,FALSE)),""))</f>
        <v>2,2,2,1,2,1</v>
      </c>
      <c r="AT105">
        <v>1</v>
      </c>
      <c r="AV105">
        <v>31</v>
      </c>
      <c r="AW105" s="15">
        <f t="shared" si="21"/>
        <v>80</v>
      </c>
      <c r="AZ105">
        <f t="shared" si="22"/>
        <v>8</v>
      </c>
      <c r="BA105">
        <f t="shared" si="23"/>
        <v>2.25</v>
      </c>
      <c r="BB105">
        <f t="shared" si="24"/>
        <v>2.5499999999999998</v>
      </c>
      <c r="BC105" s="3">
        <f t="shared" si="25"/>
        <v>1</v>
      </c>
      <c r="BD105">
        <f t="shared" si="26"/>
        <v>0</v>
      </c>
      <c r="BE105">
        <f>VLOOKUP($F105,Constants!$I:$K, 2, FALSE)</f>
        <v>1.1499999999999999</v>
      </c>
      <c r="BF105">
        <f>VLOOKUP($F105,Constants!$I:$K, 3, FALSE)*IF(AND(E105="multiple_unit",Z105&lt;110),0.75,1)</f>
        <v>1.7</v>
      </c>
      <c r="BG105">
        <f>INT(POWER(((Constants!$G$2+$AZ105+$BA105+$BB105+$BD105)*$BC105)*$BF105, 1.05))+$AY105</f>
        <v>35</v>
      </c>
      <c r="BH105">
        <f>INT(POWER((((Constants!$G$1+$AZ105+$BA105+$BB105+$BD105)*($BC105))*$BE105),IF($E105="wagon",1,1.2)))+$AX105</f>
        <v>63</v>
      </c>
      <c r="BI105" s="14">
        <f t="shared" si="27"/>
        <v>27343.75</v>
      </c>
      <c r="BJ105" s="14">
        <f t="shared" si="28"/>
        <v>5118.75</v>
      </c>
      <c r="BQ105">
        <v>9</v>
      </c>
      <c r="BU105" t="str">
        <f>VLOOKUP(H105,Eras!$A$2:$C$10, 2, TRUE)</f>
        <v>vct</v>
      </c>
      <c r="BV105" t="s">
        <v>328</v>
      </c>
      <c r="BW105" t="str">
        <f t="shared" si="29"/>
        <v>vct_Express</v>
      </c>
      <c r="BX105" t="str">
        <f t="shared" si="30"/>
        <v>steam_RAIL</v>
      </c>
      <c r="BY105" t="str">
        <f>VLOOKUP($BX105, Constants!$M:$N, 2, FALSE)</f>
        <v>{BLACK}Powered by: {GOLD}Steam</v>
      </c>
      <c r="BZ105" t="str">
        <f t="shared" si="37"/>
        <v/>
      </c>
      <c r="CA105" t="s">
        <v>1476</v>
      </c>
      <c r="CB105" t="str">
        <f t="shared" si="38"/>
        <v/>
      </c>
      <c r="CC105" t="str">
        <f t="shared" si="33"/>
        <v>{BLACK}Powered by: {GOLD}Steam {}{SILVER}More LNWR DX Goods locomotives were produced than any other steam locomotive class: 943 in total.</v>
      </c>
    </row>
    <row r="106" spans="1:81" x14ac:dyDescent="0.25">
      <c r="A106" t="s">
        <v>3</v>
      </c>
      <c r="B106" t="s">
        <v>213</v>
      </c>
      <c r="C106">
        <v>168</v>
      </c>
      <c r="D106">
        <v>13</v>
      </c>
      <c r="E106" t="s">
        <v>263</v>
      </c>
      <c r="F106" t="s">
        <v>272</v>
      </c>
      <c r="G106" t="s">
        <v>275</v>
      </c>
      <c r="H106">
        <v>1859</v>
      </c>
      <c r="J106">
        <v>1907</v>
      </c>
      <c r="L106">
        <v>400</v>
      </c>
      <c r="N106" s="5">
        <v>16</v>
      </c>
      <c r="O106" s="5">
        <v>24</v>
      </c>
      <c r="P106" s="5">
        <v>2</v>
      </c>
      <c r="Q106" s="5">
        <v>120</v>
      </c>
      <c r="R106" s="6">
        <f t="shared" si="35"/>
        <v>134.37423923328885</v>
      </c>
      <c r="S106" s="5">
        <v>2.2799999999999998</v>
      </c>
      <c r="T106" s="5">
        <f t="shared" si="36"/>
        <v>357.25677830940992</v>
      </c>
      <c r="U106">
        <v>27.4</v>
      </c>
      <c r="V106" s="8">
        <v>15</v>
      </c>
      <c r="X106">
        <v>31</v>
      </c>
      <c r="Y106" s="3">
        <f t="shared" si="19"/>
        <v>7.3113207547169809E-2</v>
      </c>
      <c r="Z106">
        <v>70</v>
      </c>
      <c r="AA106">
        <f t="shared" si="34"/>
        <v>112</v>
      </c>
      <c r="AE106">
        <v>8</v>
      </c>
      <c r="AH106" s="10">
        <v>0</v>
      </c>
      <c r="AI106" t="str">
        <f>CONCATENATE(VLOOKUP(AJ106, 'Voxel Sizes'!$A$2:$B$18,2,FALSE),"x",INT(AF106*15), "x", INT(AG106*15))</f>
        <v>82x0x0</v>
      </c>
      <c r="AJ106">
        <f t="shared" si="20"/>
        <v>5</v>
      </c>
      <c r="AK106" t="s">
        <v>1348</v>
      </c>
      <c r="AL106" t="str">
        <f>CONCATENATE(VLOOKUP(AJ106,Constants!$A$2:$C$16,IF(AK106&lt;&gt;"", 3, 2), FALSE),IF(AK106&lt;&gt;"",CONCATENATE(",",VLOOKUP(AK106,$B:$AL,37,FALSE)),""))</f>
        <v>2,1,2,1,2,1</v>
      </c>
      <c r="AT106">
        <v>1</v>
      </c>
      <c r="AV106">
        <v>30</v>
      </c>
      <c r="AW106" s="15">
        <f t="shared" si="21"/>
        <v>56</v>
      </c>
      <c r="AX106">
        <v>5</v>
      </c>
      <c r="AY106">
        <v>6</v>
      </c>
      <c r="AZ106">
        <f t="shared" si="22"/>
        <v>14</v>
      </c>
      <c r="BA106">
        <f t="shared" si="23"/>
        <v>2</v>
      </c>
      <c r="BB106">
        <f t="shared" si="24"/>
        <v>1.55</v>
      </c>
      <c r="BC106" s="3">
        <f t="shared" si="25"/>
        <v>1</v>
      </c>
      <c r="BD106">
        <f t="shared" si="26"/>
        <v>0</v>
      </c>
      <c r="BE106">
        <f>VLOOKUP($F106,Constants!$I:$K, 2, FALSE)</f>
        <v>1.1499999999999999</v>
      </c>
      <c r="BF106">
        <f>VLOOKUP($F106,Constants!$I:$K, 3, FALSE)*IF(AND(E106="multiple_unit",Z106&lt;110),0.75,1)</f>
        <v>1.7</v>
      </c>
      <c r="BG106">
        <f>INT(POWER(((Constants!$G$2+$AZ106+$BA106+$BB106+$BD106)*$BC106)*$BF106, 1.05))+$AY106</f>
        <v>52</v>
      </c>
      <c r="BH106">
        <f>INT(POWER((((Constants!$G$1+$AZ106+$BA106+$BB106+$BD106)*($BC106))*$BE106),IF($E106="wagon",1,1.2)))+$AX106</f>
        <v>82</v>
      </c>
      <c r="BI106" s="14">
        <f t="shared" si="27"/>
        <v>40625</v>
      </c>
      <c r="BJ106" s="14">
        <f t="shared" si="28"/>
        <v>6662.5</v>
      </c>
      <c r="BQ106">
        <v>11</v>
      </c>
      <c r="BU106" t="str">
        <f>VLOOKUP(H106,Eras!$A$2:$C$10, 2, TRUE)</f>
        <v>vct</v>
      </c>
      <c r="BV106" t="s">
        <v>328</v>
      </c>
      <c r="BW106" t="str">
        <f t="shared" si="29"/>
        <v>vct_Express</v>
      </c>
      <c r="BX106" t="str">
        <f t="shared" si="30"/>
        <v>steam_RAIL</v>
      </c>
      <c r="BY106" t="str">
        <f>VLOOKUP($BX106, Constants!$M:$N, 2, FALSE)</f>
        <v>{BLACK}Powered by: {GOLD}Steam</v>
      </c>
      <c r="BZ106" t="str">
        <f t="shared" si="37"/>
        <v/>
      </c>
      <c r="CA106" t="s">
        <v>1401</v>
      </c>
      <c r="CB106" t="str">
        <f t="shared" si="38"/>
        <v/>
      </c>
      <c r="CC106" t="str">
        <f t="shared" si="33"/>
        <v>{BLACK}Powered by: {GOLD}Steam {}{SILVER}Cast iron coupling rods could not withstand high speeds, so early express locomotives used a large single driving wheel to reduce valve gear speeds.</v>
      </c>
    </row>
    <row r="107" spans="1:81" x14ac:dyDescent="0.25">
      <c r="A107" t="s">
        <v>10</v>
      </c>
      <c r="B107" t="s">
        <v>152</v>
      </c>
      <c r="C107">
        <v>170</v>
      </c>
      <c r="D107">
        <v>14</v>
      </c>
      <c r="E107" t="s">
        <v>263</v>
      </c>
      <c r="F107" t="s">
        <v>272</v>
      </c>
      <c r="G107" t="s">
        <v>275</v>
      </c>
      <c r="H107">
        <v>1868</v>
      </c>
      <c r="J107">
        <v>1945</v>
      </c>
      <c r="L107">
        <v>350</v>
      </c>
      <c r="N107" s="5">
        <v>15</v>
      </c>
      <c r="O107" s="5">
        <v>24</v>
      </c>
      <c r="P107" s="5">
        <v>2</v>
      </c>
      <c r="Q107" s="5">
        <v>150</v>
      </c>
      <c r="R107" s="6">
        <f t="shared" si="35"/>
        <v>116.71362493405657</v>
      </c>
      <c r="S107" s="5">
        <v>1.5</v>
      </c>
      <c r="T107" s="5">
        <f t="shared" si="36"/>
        <v>340.90909090909088</v>
      </c>
      <c r="U107">
        <v>35.799999999999997</v>
      </c>
      <c r="X107">
        <v>65</v>
      </c>
      <c r="Y107" s="3">
        <f t="shared" si="19"/>
        <v>0.18156424581005587</v>
      </c>
      <c r="Z107">
        <v>40</v>
      </c>
      <c r="AA107">
        <f t="shared" si="34"/>
        <v>64</v>
      </c>
      <c r="AD107">
        <v>8.65</v>
      </c>
      <c r="AE107">
        <v>8.65</v>
      </c>
      <c r="AG107">
        <v>3.7</v>
      </c>
      <c r="AH107" s="10">
        <v>0</v>
      </c>
      <c r="AI107" t="str">
        <f>CONCATENATE(VLOOKUP(AJ107, 'Voxel Sizes'!$A$2:$B$18,2,FALSE),"x",INT(AF107*15), "x", INT(AG107*15))</f>
        <v>82x0x55</v>
      </c>
      <c r="AJ107">
        <f t="shared" si="20"/>
        <v>5</v>
      </c>
      <c r="AL107" t="str">
        <f>CONCATENATE(VLOOKUP(AJ107,Constants!$A$2:$C$16,IF(AK107&lt;&gt;"", 3, 2), FALSE),IF(AK107&lt;&gt;"",CONCATENATE(",",VLOOKUP(AK107,$B:$AL,37,FALSE)),""))</f>
        <v>2,1,2</v>
      </c>
      <c r="AT107">
        <v>1</v>
      </c>
      <c r="AV107">
        <v>30</v>
      </c>
      <c r="AW107" s="15">
        <f t="shared" si="21"/>
        <v>85</v>
      </c>
      <c r="AZ107">
        <f t="shared" si="22"/>
        <v>8</v>
      </c>
      <c r="BA107">
        <f t="shared" si="23"/>
        <v>1.75</v>
      </c>
      <c r="BB107">
        <f t="shared" si="24"/>
        <v>3.25</v>
      </c>
      <c r="BC107" s="3">
        <f t="shared" si="25"/>
        <v>1</v>
      </c>
      <c r="BD107">
        <f t="shared" si="26"/>
        <v>0</v>
      </c>
      <c r="BE107">
        <f>VLOOKUP($F107,Constants!$I:$K, 2, FALSE)</f>
        <v>1.1499999999999999</v>
      </c>
      <c r="BF107">
        <f>VLOOKUP($F107,Constants!$I:$K, 3, FALSE)*IF(AND(E107="multiple_unit",Z107&lt;110),0.75,1)</f>
        <v>1.7</v>
      </c>
      <c r="BG107">
        <f>INT(POWER(((Constants!$G$2+$AZ107+$BA107+$BB107+$BD107)*$BC107)*$BF107, 1.05))+$AY107</f>
        <v>36</v>
      </c>
      <c r="BH107">
        <f>INT(POWER((((Constants!$G$1+$AZ107+$BA107+$BB107+$BD107)*($BC107))*$BE107),IF($E107="wagon",1,1.2)))+$AX107</f>
        <v>64</v>
      </c>
      <c r="BI107" s="14">
        <f t="shared" si="27"/>
        <v>28125</v>
      </c>
      <c r="BJ107" s="14">
        <f t="shared" si="28"/>
        <v>5200</v>
      </c>
      <c r="BQ107">
        <v>12</v>
      </c>
      <c r="BU107" t="str">
        <f>VLOOKUP(H107,Eras!$A$2:$C$10, 2, TRUE)</f>
        <v>vct</v>
      </c>
      <c r="BV107" t="s">
        <v>327</v>
      </c>
      <c r="BW107" t="str">
        <f t="shared" si="29"/>
        <v>vct_Mixed Traffic</v>
      </c>
      <c r="BX107" t="str">
        <f t="shared" si="30"/>
        <v>steam_RAIL</v>
      </c>
      <c r="BY107" t="str">
        <f>VLOOKUP($BX107, Constants!$M:$N, 2, FALSE)</f>
        <v>{BLACK}Powered by: {GOLD}Steam</v>
      </c>
      <c r="BZ107" t="str">
        <f t="shared" si="37"/>
        <v/>
      </c>
      <c r="CA107" t="s">
        <v>1339</v>
      </c>
      <c r="CB107" t="str">
        <f t="shared" si="38"/>
        <v/>
      </c>
      <c r="CC107" t="str">
        <f t="shared" si="33"/>
        <v>{BLACK}Powered by: {GOLD}Steam {}{SILVER}The GWR 517 class encompassed a variety of 0-4-2 side tank engines, some having been rebuilt from existing saddle tanks.</v>
      </c>
    </row>
    <row r="108" spans="1:81" x14ac:dyDescent="0.25">
      <c r="A108" t="s">
        <v>1471</v>
      </c>
      <c r="B108" t="s">
        <v>1472</v>
      </c>
      <c r="C108">
        <v>171</v>
      </c>
      <c r="D108">
        <v>15</v>
      </c>
      <c r="E108" t="s">
        <v>263</v>
      </c>
      <c r="F108" t="s">
        <v>272</v>
      </c>
      <c r="G108" t="s">
        <v>275</v>
      </c>
      <c r="H108">
        <v>1869</v>
      </c>
      <c r="J108">
        <v>1951</v>
      </c>
      <c r="L108">
        <v>480</v>
      </c>
      <c r="N108" s="5">
        <v>17</v>
      </c>
      <c r="O108" s="5">
        <v>24</v>
      </c>
      <c r="P108" s="5">
        <v>2</v>
      </c>
      <c r="Q108" s="5">
        <v>140</v>
      </c>
      <c r="R108" s="6">
        <f t="shared" si="35"/>
        <v>138.5050928806051</v>
      </c>
      <c r="S108" s="5">
        <v>1.58</v>
      </c>
      <c r="T108" s="5">
        <f t="shared" si="36"/>
        <v>484.99232834675865</v>
      </c>
      <c r="U108">
        <v>36.6</v>
      </c>
      <c r="V108" s="8">
        <v>16</v>
      </c>
      <c r="X108">
        <v>72</v>
      </c>
      <c r="Y108" s="3">
        <f t="shared" si="19"/>
        <v>0.13688212927756654</v>
      </c>
      <c r="Z108">
        <v>50</v>
      </c>
      <c r="AA108">
        <f t="shared" si="34"/>
        <v>80</v>
      </c>
      <c r="AE108">
        <v>10</v>
      </c>
      <c r="AH108" s="10">
        <v>0</v>
      </c>
      <c r="AI108" t="str">
        <f>CONCATENATE(VLOOKUP(AJ108, 'Voxel Sizes'!$A$2:$B$18,2,FALSE),"x",INT(AF108*15), "x", INT(AG108*15))</f>
        <v>102x0x0</v>
      </c>
      <c r="AJ108">
        <f t="shared" si="20"/>
        <v>6</v>
      </c>
      <c r="AK108" t="s">
        <v>1343</v>
      </c>
      <c r="AL108" t="str">
        <f>CONCATENATE(VLOOKUP(AJ108,Constants!$A$2:$C$16,IF(AK108&lt;&gt;"", 3, 2), FALSE),IF(AK108&lt;&gt;"",CONCATENATE(",",VLOOKUP(AK108,$B:$AL,37,FALSE)),""))</f>
        <v>2,2,2,1,2,1</v>
      </c>
      <c r="AT108">
        <v>1</v>
      </c>
      <c r="AV108">
        <v>33</v>
      </c>
      <c r="AW108" s="15">
        <f t="shared" si="21"/>
        <v>90</v>
      </c>
      <c r="AX108">
        <v>2</v>
      </c>
      <c r="AY108">
        <v>-2</v>
      </c>
      <c r="AZ108">
        <f t="shared" si="22"/>
        <v>10</v>
      </c>
      <c r="BA108">
        <f t="shared" si="23"/>
        <v>2.4</v>
      </c>
      <c r="BB108">
        <f t="shared" si="24"/>
        <v>3.5999999999999996</v>
      </c>
      <c r="BC108" s="3">
        <f t="shared" si="25"/>
        <v>1</v>
      </c>
      <c r="BD108">
        <f t="shared" si="26"/>
        <v>0</v>
      </c>
      <c r="BE108">
        <f>VLOOKUP($F108,Constants!$I:$K, 2, FALSE)</f>
        <v>1.1499999999999999</v>
      </c>
      <c r="BF108">
        <f>VLOOKUP($F108,Constants!$I:$K, 3, FALSE)*IF(AND(E108="multiple_unit",Z108&lt;110),0.75,1)</f>
        <v>1.7</v>
      </c>
      <c r="BG108">
        <f>INT(POWER(((Constants!$G$2+$AZ108+$BA108+$BB108+$BD108)*$BC108)*$BF108, 1.05))+$AY108</f>
        <v>40</v>
      </c>
      <c r="BH108">
        <f>INT(POWER((((Constants!$G$1+$AZ108+$BA108+$BB108+$BD108)*($BC108))*$BE108),IF($E108="wagon",1,1.2)))+$AX108</f>
        <v>74</v>
      </c>
      <c r="BI108" s="14">
        <f t="shared" si="27"/>
        <v>31250</v>
      </c>
      <c r="BJ108" s="14">
        <f t="shared" si="28"/>
        <v>6012.5</v>
      </c>
      <c r="BQ108">
        <v>5</v>
      </c>
      <c r="BU108" t="s">
        <v>384</v>
      </c>
      <c r="BV108" t="s">
        <v>329</v>
      </c>
      <c r="BW108" t="str">
        <f t="shared" si="29"/>
        <v>vct_Freight</v>
      </c>
      <c r="BX108" t="str">
        <f t="shared" si="30"/>
        <v>steam_RAIL</v>
      </c>
      <c r="BY108" t="str">
        <f>VLOOKUP($BX108, Constants!$M:$N, 2, FALSE)</f>
        <v>{BLACK}Powered by: {GOLD}Steam</v>
      </c>
      <c r="CA108" t="s">
        <v>1473</v>
      </c>
      <c r="CB108" t="str">
        <f t="shared" si="38"/>
        <v/>
      </c>
      <c r="CC108" t="str">
        <f t="shared" si="33"/>
        <v>{BLACK}Powered by: {GOLD}Steam {}{SILVER}The 700 class was a widely-produced freight engine. In its later years a sixth of the originally produced locomotives were sold to the Italian State Railway.</v>
      </c>
    </row>
    <row r="109" spans="1:81" x14ac:dyDescent="0.25">
      <c r="A109" t="s">
        <v>31</v>
      </c>
      <c r="B109" t="s">
        <v>214</v>
      </c>
      <c r="C109">
        <v>172</v>
      </c>
      <c r="D109">
        <v>16</v>
      </c>
      <c r="E109" t="s">
        <v>263</v>
      </c>
      <c r="F109" t="s">
        <v>272</v>
      </c>
      <c r="G109" t="s">
        <v>275</v>
      </c>
      <c r="H109">
        <v>1872</v>
      </c>
      <c r="I109">
        <v>1880</v>
      </c>
      <c r="J109">
        <v>1963</v>
      </c>
      <c r="L109">
        <v>300</v>
      </c>
      <c r="N109" s="5">
        <v>12</v>
      </c>
      <c r="O109" s="5">
        <v>20</v>
      </c>
      <c r="P109" s="5">
        <v>2</v>
      </c>
      <c r="Q109" s="5">
        <v>150</v>
      </c>
      <c r="R109" s="6">
        <f t="shared" si="35"/>
        <v>164.12853506351709</v>
      </c>
      <c r="S109" s="5">
        <v>1.2</v>
      </c>
      <c r="T109" s="5">
        <f t="shared" si="36"/>
        <v>255.68181818181824</v>
      </c>
      <c r="U109">
        <v>28</v>
      </c>
      <c r="X109">
        <v>34</v>
      </c>
      <c r="Y109" s="3">
        <f t="shared" si="19"/>
        <v>0.12142857142857143</v>
      </c>
      <c r="Z109">
        <v>45</v>
      </c>
      <c r="AA109">
        <f t="shared" si="34"/>
        <v>72</v>
      </c>
      <c r="AD109">
        <v>7.94</v>
      </c>
      <c r="AE109">
        <v>8</v>
      </c>
      <c r="AH109" s="10">
        <v>0</v>
      </c>
      <c r="AI109" t="str">
        <f>CONCATENATE(VLOOKUP(AJ109, 'Voxel Sizes'!$A$2:$B$18,2,FALSE),"x",INT(AF109*15), "x", INT(AG109*15))</f>
        <v>82x0x0</v>
      </c>
      <c r="AJ109">
        <f t="shared" si="20"/>
        <v>5</v>
      </c>
      <c r="AL109" t="str">
        <f>CONCATENATE(VLOOKUP(AJ109,Constants!$A$2:$C$16,IF(AK109&lt;&gt;"", 3, 2), FALSE),IF(AK109&lt;&gt;"",CONCATENATE(",",VLOOKUP(AK109,$B:$AL,37,FALSE)),""))</f>
        <v>2,1,2</v>
      </c>
      <c r="AT109">
        <v>1</v>
      </c>
      <c r="AV109">
        <v>35</v>
      </c>
      <c r="AW109" s="15">
        <f t="shared" si="21"/>
        <v>99</v>
      </c>
      <c r="AZ109">
        <f t="shared" si="22"/>
        <v>9</v>
      </c>
      <c r="BA109">
        <f t="shared" si="23"/>
        <v>1.5</v>
      </c>
      <c r="BB109">
        <f t="shared" si="24"/>
        <v>1.7000000000000002</v>
      </c>
      <c r="BC109" s="3">
        <f t="shared" si="25"/>
        <v>1</v>
      </c>
      <c r="BD109">
        <f t="shared" si="26"/>
        <v>0</v>
      </c>
      <c r="BE109">
        <f>VLOOKUP($F109,Constants!$I:$K, 2, FALSE)</f>
        <v>1.1499999999999999</v>
      </c>
      <c r="BF109">
        <f>VLOOKUP($F109,Constants!$I:$K, 3, FALSE)*IF(AND(E109="multiple_unit",Z109&lt;110),0.75,1)</f>
        <v>1.7</v>
      </c>
      <c r="BG109">
        <f>INT(POWER(((Constants!$G$2+$AZ109+$BA109+$BB109+$BD109)*$BC109)*$BF109, 1.05))+$AY109</f>
        <v>34</v>
      </c>
      <c r="BH109">
        <f>INT(POWER((((Constants!$G$1+$AZ109+$BA109+$BB109+$BD109)*($BC109))*$BE109),IF($E109="wagon",1,1.2)))+$AX109</f>
        <v>62</v>
      </c>
      <c r="BI109" s="14">
        <f t="shared" si="27"/>
        <v>26562.5</v>
      </c>
      <c r="BJ109" s="14">
        <f t="shared" si="28"/>
        <v>5037.5</v>
      </c>
      <c r="BQ109">
        <v>1</v>
      </c>
      <c r="BU109" t="str">
        <f>VLOOKUP(H109,Eras!$A$2:$C$10, 2, TRUE)</f>
        <v>vct</v>
      </c>
      <c r="BW109" t="str">
        <f t="shared" si="29"/>
        <v>vct_</v>
      </c>
      <c r="BX109" t="str">
        <f t="shared" si="30"/>
        <v>steam_RAIL</v>
      </c>
      <c r="BY109" t="str">
        <f>VLOOKUP($BX109, Constants!$M:$N, 2, FALSE)</f>
        <v>{BLACK}Powered by: {GOLD}Steam</v>
      </c>
      <c r="BZ109" t="str">
        <f t="shared" ref="BZ109:BZ140" si="39">IF(K109&gt;1,_xlfn.CONCAT("{BLACK}Cars: {GOLD}", K109),"")</f>
        <v/>
      </c>
      <c r="CA109" t="s">
        <v>1334</v>
      </c>
      <c r="CB109" t="str">
        <f t="shared" si="38"/>
        <v/>
      </c>
      <c r="CC109" t="str">
        <f t="shared" si="33"/>
        <v>{BLACK}Powered by: {GOLD}Steam {}{SILVER}Originally designed to operate commuter services, the small A1 tank locomotives were still used into the 1960s on the Hayling Island branch line.</v>
      </c>
    </row>
    <row r="110" spans="1:81" x14ac:dyDescent="0.25">
      <c r="A110" t="s">
        <v>1323</v>
      </c>
      <c r="B110" t="s">
        <v>1326</v>
      </c>
      <c r="C110">
        <v>173</v>
      </c>
      <c r="D110">
        <v>17</v>
      </c>
      <c r="E110" t="s">
        <v>263</v>
      </c>
      <c r="F110" t="s">
        <v>272</v>
      </c>
      <c r="G110" t="s">
        <v>275</v>
      </c>
      <c r="H110">
        <v>1876</v>
      </c>
      <c r="J110">
        <v>1925</v>
      </c>
      <c r="L110">
        <v>750</v>
      </c>
      <c r="N110" s="5">
        <v>18</v>
      </c>
      <c r="O110" s="5">
        <v>26</v>
      </c>
      <c r="P110" s="5">
        <v>2</v>
      </c>
      <c r="Q110" s="5">
        <v>165</v>
      </c>
      <c r="R110" s="6">
        <f t="shared" si="35"/>
        <v>163.39907490767919</v>
      </c>
      <c r="S110" s="5">
        <v>1.5</v>
      </c>
      <c r="T110" s="5">
        <f t="shared" si="36"/>
        <v>818.99999999999966</v>
      </c>
      <c r="U110">
        <v>41</v>
      </c>
      <c r="V110" s="8">
        <v>40</v>
      </c>
      <c r="X110">
        <v>86</v>
      </c>
      <c r="Y110" s="3">
        <f t="shared" si="19"/>
        <v>0.10617283950617284</v>
      </c>
      <c r="Z110">
        <v>56</v>
      </c>
      <c r="AA110">
        <f t="shared" si="34"/>
        <v>90</v>
      </c>
      <c r="AD110">
        <v>14.99</v>
      </c>
      <c r="AE110">
        <v>10</v>
      </c>
      <c r="AH110" s="10">
        <v>0</v>
      </c>
      <c r="AI110" t="str">
        <f>CONCATENATE(VLOOKUP(AJ110, 'Voxel Sizes'!$A$2:$B$18,2,FALSE),"x",INT(AF110*15), "x", INT(AG110*15))</f>
        <v>102x0x0</v>
      </c>
      <c r="AJ110">
        <f t="shared" si="20"/>
        <v>6</v>
      </c>
      <c r="AK110" t="s">
        <v>1322</v>
      </c>
      <c r="AL110" t="str">
        <f>CONCATENATE(VLOOKUP(AJ110,Constants!$A$2:$C$16,IF(AK110&lt;&gt;"", 3, 2), FALSE),IF(AK110&lt;&gt;"",CONCATENATE(",",VLOOKUP(AK110,$B:$AL,37,FALSE)),""))</f>
        <v>2,2,2,2,1,2</v>
      </c>
      <c r="AT110">
        <v>1</v>
      </c>
      <c r="AV110">
        <v>32</v>
      </c>
      <c r="AW110" s="15">
        <f t="shared" si="21"/>
        <v>57</v>
      </c>
      <c r="AZ110">
        <f t="shared" si="22"/>
        <v>11.200000000000001</v>
      </c>
      <c r="BA110">
        <f t="shared" si="23"/>
        <v>3.75</v>
      </c>
      <c r="BB110">
        <f t="shared" si="24"/>
        <v>4.3</v>
      </c>
      <c r="BC110" s="3">
        <f t="shared" si="25"/>
        <v>1</v>
      </c>
      <c r="BD110">
        <f t="shared" si="26"/>
        <v>0</v>
      </c>
      <c r="BE110">
        <f>VLOOKUP($F110,Constants!$I:$K, 2, FALSE)</f>
        <v>1.1499999999999999</v>
      </c>
      <c r="BF110">
        <f>VLOOKUP($F110,Constants!$I:$K, 3, FALSE)*IF(AND(E110="multiple_unit",Z110&lt;110),0.75,1)</f>
        <v>1.7</v>
      </c>
      <c r="BG110">
        <f>INT(POWER(((Constants!$G$2+$AZ110+$BA110+$BB110+$BD110)*$BC110)*$BF110, 1.05))+$AY110</f>
        <v>49</v>
      </c>
      <c r="BH110">
        <f>INT(POWER((((Constants!$G$1+$AZ110+$BA110+$BB110+$BD110)*($BC110))*$BE110),IF($E110="wagon",1,1.2)))+$AX110</f>
        <v>82</v>
      </c>
      <c r="BI110" s="14">
        <f t="shared" si="27"/>
        <v>38281.25</v>
      </c>
      <c r="BJ110" s="14">
        <f t="shared" si="28"/>
        <v>6662.5</v>
      </c>
      <c r="BQ110">
        <v>4</v>
      </c>
      <c r="BU110" t="str">
        <f>VLOOKUP(H110,Eras!$A$2:$C$10, 2, TRUE)</f>
        <v>vct</v>
      </c>
      <c r="BV110" t="s">
        <v>327</v>
      </c>
      <c r="BW110" t="str">
        <f t="shared" si="29"/>
        <v>vct_Mixed Traffic</v>
      </c>
      <c r="BX110" t="str">
        <f t="shared" si="30"/>
        <v>steam_RAIL</v>
      </c>
      <c r="BY110" t="str">
        <f>VLOOKUP($BX110, Constants!$M:$N, 2, FALSE)</f>
        <v>{BLACK}Powered by: {GOLD}Steam</v>
      </c>
      <c r="BZ110" t="str">
        <f t="shared" si="39"/>
        <v/>
      </c>
      <c r="CA110" t="s">
        <v>1325</v>
      </c>
      <c r="CB110" t="str">
        <f t="shared" si="38"/>
        <v/>
      </c>
      <c r="CC110" t="str">
        <f t="shared" si="33"/>
        <v>{BLACK}Powered by: {GOLD}Steam {}{SILVER}Dugald Drummond's C Class used large (for the time) 18 inch cylinders. They survived into LNER ownership as class J32, although rebuilt to Holmes' later design by that point.</v>
      </c>
    </row>
    <row r="111" spans="1:81" x14ac:dyDescent="0.25">
      <c r="A111" t="s">
        <v>4</v>
      </c>
      <c r="B111" t="s">
        <v>153</v>
      </c>
      <c r="C111">
        <v>174</v>
      </c>
      <c r="D111">
        <v>18</v>
      </c>
      <c r="E111" t="s">
        <v>263</v>
      </c>
      <c r="F111" t="s">
        <v>272</v>
      </c>
      <c r="G111" t="s">
        <v>275</v>
      </c>
      <c r="H111">
        <v>1883</v>
      </c>
      <c r="J111">
        <v>1957</v>
      </c>
      <c r="L111">
        <v>800</v>
      </c>
      <c r="N111" s="5">
        <v>17.5</v>
      </c>
      <c r="O111" s="5">
        <v>24</v>
      </c>
      <c r="P111" s="5">
        <v>2</v>
      </c>
      <c r="Q111" s="5">
        <v>160</v>
      </c>
      <c r="R111" s="6">
        <f t="shared" si="35"/>
        <v>189.65964051784192</v>
      </c>
      <c r="S111" s="5">
        <v>1.5</v>
      </c>
      <c r="T111" s="5">
        <f t="shared" si="36"/>
        <v>804.2929292929291</v>
      </c>
      <c r="U111">
        <f>41.6+34.3</f>
        <v>75.900000000000006</v>
      </c>
      <c r="V111" s="8">
        <v>30</v>
      </c>
      <c r="X111">
        <v>75.400000000000006</v>
      </c>
      <c r="Y111" s="3">
        <f t="shared" si="19"/>
        <v>7.1199244570349388E-2</v>
      </c>
      <c r="Z111">
        <v>65</v>
      </c>
      <c r="AA111">
        <f t="shared" si="34"/>
        <v>104</v>
      </c>
      <c r="AD111">
        <v>14.4</v>
      </c>
      <c r="AE111">
        <v>10</v>
      </c>
      <c r="AH111" s="10">
        <v>0</v>
      </c>
      <c r="AI111" t="str">
        <f>CONCATENATE(VLOOKUP(AJ111, 'Voxel Sizes'!$A$2:$B$18,2,FALSE),"x",INT(AF111*15), "x", INT(AG111*15))</f>
        <v>102x0x0</v>
      </c>
      <c r="AJ111">
        <f t="shared" si="20"/>
        <v>6</v>
      </c>
      <c r="AK111" t="s">
        <v>1322</v>
      </c>
      <c r="AL111" t="str">
        <f>CONCATENATE(VLOOKUP(AJ111,Constants!$A$2:$C$16,IF(AK111&lt;&gt;"", 3, 2), FALSE),IF(AK111&lt;&gt;"",CONCATENATE(",",VLOOKUP(AK111,$B:$AL,37,FALSE)),""))</f>
        <v>2,2,2,2,1,2</v>
      </c>
      <c r="AT111">
        <v>1</v>
      </c>
      <c r="AV111">
        <v>38</v>
      </c>
      <c r="AW111" s="15">
        <f t="shared" si="21"/>
        <v>82</v>
      </c>
      <c r="AZ111">
        <f t="shared" si="22"/>
        <v>13</v>
      </c>
      <c r="BA111">
        <f t="shared" si="23"/>
        <v>4</v>
      </c>
      <c r="BB111">
        <f t="shared" si="24"/>
        <v>3.77</v>
      </c>
      <c r="BC111" s="3">
        <f t="shared" si="25"/>
        <v>1</v>
      </c>
      <c r="BD111">
        <f t="shared" si="26"/>
        <v>0</v>
      </c>
      <c r="BE111">
        <f>VLOOKUP($F111,Constants!$I:$K, 2, FALSE)</f>
        <v>1.1499999999999999</v>
      </c>
      <c r="BF111">
        <f>VLOOKUP($F111,Constants!$I:$K, 3, FALSE)*IF(AND(E111="multiple_unit",Z111&lt;110),0.75,1)</f>
        <v>1.7</v>
      </c>
      <c r="BG111">
        <f>INT(POWER(((Constants!$G$2+$AZ111+$BA111+$BB111+$BD111)*$BC111)*$BF111, 1.05))+$AY111</f>
        <v>52</v>
      </c>
      <c r="BH111">
        <f>INT(POWER((((Constants!$G$1+$AZ111+$BA111+$BB111+$BD111)*($BC111))*$BE111),IF($E111="wagon",1,1.2)))+$AX111</f>
        <v>86</v>
      </c>
      <c r="BI111" s="14">
        <f t="shared" si="27"/>
        <v>40625</v>
      </c>
      <c r="BJ111" s="14">
        <f t="shared" si="28"/>
        <v>6987.5</v>
      </c>
      <c r="BQ111">
        <v>2</v>
      </c>
      <c r="BU111" t="str">
        <f>VLOOKUP(H111,Eras!$A$2:$C$10, 2, TRUE)</f>
        <v>vct</v>
      </c>
      <c r="BV111" t="s">
        <v>327</v>
      </c>
      <c r="BW111" t="str">
        <f t="shared" si="29"/>
        <v>vct_Mixed Traffic</v>
      </c>
      <c r="BX111" t="str">
        <f t="shared" si="30"/>
        <v>steam_RAIL</v>
      </c>
      <c r="BY111" t="str">
        <f>VLOOKUP($BX111, Constants!$M:$N, 2, FALSE)</f>
        <v>{BLACK}Powered by: {GOLD}Steam</v>
      </c>
      <c r="BZ111" t="str">
        <f t="shared" si="39"/>
        <v/>
      </c>
      <c r="CA111" t="s">
        <v>1481</v>
      </c>
      <c r="CB111" t="str">
        <f t="shared" si="38"/>
        <v/>
      </c>
      <c r="CC111" t="str">
        <f t="shared" si="33"/>
        <v>{BLACK}Powered by: {GOLD}Steam {}{SILVER}GER's Y14 was a highly successful design, being built in much the same form through to 1913. One was built by the Stratford works in under 10 hours.</v>
      </c>
    </row>
    <row r="112" spans="1:81" x14ac:dyDescent="0.25">
      <c r="A112" t="s">
        <v>125</v>
      </c>
      <c r="B112" t="s">
        <v>1338</v>
      </c>
      <c r="C112">
        <v>176</v>
      </c>
      <c r="D112">
        <v>19</v>
      </c>
      <c r="E112" t="s">
        <v>263</v>
      </c>
      <c r="F112" t="s">
        <v>272</v>
      </c>
      <c r="G112" t="s">
        <v>275</v>
      </c>
      <c r="H112">
        <v>1883</v>
      </c>
      <c r="J112">
        <v>1957</v>
      </c>
      <c r="L112">
        <v>825</v>
      </c>
      <c r="N112" s="5">
        <v>17</v>
      </c>
      <c r="O112" s="5">
        <v>24</v>
      </c>
      <c r="P112" s="5">
        <v>2</v>
      </c>
      <c r="Q112" s="5">
        <v>180</v>
      </c>
      <c r="R112" s="6">
        <f t="shared" si="35"/>
        <v>183.64031895218693</v>
      </c>
      <c r="S112" s="5">
        <v>1.43</v>
      </c>
      <c r="T112" s="5">
        <f t="shared" si="36"/>
        <v>826.76414494596304</v>
      </c>
      <c r="U112">
        <v>41.2</v>
      </c>
      <c r="V112" s="8">
        <v>34</v>
      </c>
      <c r="X112">
        <v>80</v>
      </c>
      <c r="Y112" s="3">
        <f t="shared" si="19"/>
        <v>0.10638297872340426</v>
      </c>
      <c r="Z112">
        <v>60</v>
      </c>
      <c r="AA112">
        <f t="shared" si="34"/>
        <v>96</v>
      </c>
      <c r="AD112">
        <v>14.4</v>
      </c>
      <c r="AE112">
        <v>10</v>
      </c>
      <c r="AH112" s="10">
        <v>0</v>
      </c>
      <c r="AI112" t="str">
        <f>CONCATENATE(VLOOKUP(AJ112, 'Voxel Sizes'!$A$2:$B$18,2,FALSE),"x",INT(AF112*15), "x", INT(AG112*15))</f>
        <v>102x0x0</v>
      </c>
      <c r="AJ112">
        <f t="shared" si="20"/>
        <v>6</v>
      </c>
      <c r="AK112" t="s">
        <v>1201</v>
      </c>
      <c r="AL112" t="str">
        <f>CONCATENATE(VLOOKUP(AJ112,Constants!$A$2:$C$16,IF(AK112&lt;&gt;"", 3, 2), FALSE),IF(AK112&lt;&gt;"",CONCATENATE(",",VLOOKUP(AK112,$B:$AL,37,FALSE)),""))</f>
        <v>2,2,2,2,1,2</v>
      </c>
      <c r="AT112">
        <v>1</v>
      </c>
      <c r="AV112">
        <v>34</v>
      </c>
      <c r="AW112" s="15">
        <f t="shared" si="21"/>
        <v>82</v>
      </c>
      <c r="AY112">
        <v>-2</v>
      </c>
      <c r="AZ112">
        <f t="shared" si="22"/>
        <v>12</v>
      </c>
      <c r="BA112">
        <f t="shared" si="23"/>
        <v>4.125</v>
      </c>
      <c r="BB112">
        <f t="shared" si="24"/>
        <v>4</v>
      </c>
      <c r="BC112" s="3">
        <f t="shared" si="25"/>
        <v>1</v>
      </c>
      <c r="BD112">
        <f t="shared" si="26"/>
        <v>0</v>
      </c>
      <c r="BE112">
        <f>VLOOKUP($F112,Constants!$I:$K, 2, FALSE)</f>
        <v>1.1499999999999999</v>
      </c>
      <c r="BF112">
        <f>VLOOKUP($F112,Constants!$I:$K, 3, FALSE)*IF(AND(E112="multiple_unit",Z112&lt;110),0.75,1)</f>
        <v>1.7</v>
      </c>
      <c r="BG112">
        <f>INT(POWER(((Constants!$G$2+$AZ112+$BA112+$BB112+$BD112)*$BC112)*$BF112, 1.05))+$AY112</f>
        <v>49</v>
      </c>
      <c r="BH112">
        <f>INT(POWER((((Constants!$G$1+$AZ112+$BA112+$BB112+$BD112)*($BC112))*$BE112),IF($E112="wagon",1,1.2)))+$AX112</f>
        <v>84</v>
      </c>
      <c r="BI112" s="14">
        <f t="shared" si="27"/>
        <v>38281.25</v>
      </c>
      <c r="BJ112" s="14">
        <f t="shared" si="28"/>
        <v>6825</v>
      </c>
      <c r="BQ112">
        <v>3</v>
      </c>
      <c r="BU112" t="str">
        <f>VLOOKUP(H112,Eras!$A$2:$C$10, 2, TRUE)</f>
        <v>vct</v>
      </c>
      <c r="BV112" t="s">
        <v>329</v>
      </c>
      <c r="BW112" t="str">
        <f t="shared" si="29"/>
        <v>vct_Freight</v>
      </c>
      <c r="BX112" t="str">
        <f t="shared" si="30"/>
        <v>steam_RAIL</v>
      </c>
      <c r="BY112" t="str">
        <f>VLOOKUP($BX112, Constants!$M:$N, 2, FALSE)</f>
        <v>{BLACK}Powered by: {GOLD}Steam</v>
      </c>
      <c r="BZ112" t="str">
        <f t="shared" si="39"/>
        <v/>
      </c>
      <c r="CA112" t="s">
        <v>1337</v>
      </c>
      <c r="CB112" t="str">
        <f t="shared" si="38"/>
        <v/>
      </c>
      <c r="CC112" t="str">
        <f t="shared" si="33"/>
        <v>{BLACK}Powered by: {GOLD}Steam {}{SILVER}William Dean's 2301 class was the first GWR locomotive to have no outside frame. The light weight made them suited to branch lines.</v>
      </c>
    </row>
    <row r="113" spans="1:81" x14ac:dyDescent="0.25">
      <c r="A113" t="s">
        <v>1324</v>
      </c>
      <c r="B113" t="s">
        <v>1320</v>
      </c>
      <c r="C113">
        <v>178</v>
      </c>
      <c r="D113">
        <v>20</v>
      </c>
      <c r="E113" t="s">
        <v>263</v>
      </c>
      <c r="F113" t="s">
        <v>272</v>
      </c>
      <c r="G113" t="s">
        <v>275</v>
      </c>
      <c r="H113">
        <v>1888</v>
      </c>
      <c r="J113">
        <v>1967</v>
      </c>
      <c r="L113">
        <v>850</v>
      </c>
      <c r="N113" s="5">
        <v>18</v>
      </c>
      <c r="O113" s="5">
        <v>26</v>
      </c>
      <c r="P113" s="5">
        <v>2</v>
      </c>
      <c r="Q113" s="5">
        <v>165</v>
      </c>
      <c r="R113" s="6">
        <f t="shared" si="35"/>
        <v>175.07043740108486</v>
      </c>
      <c r="S113" s="5">
        <v>1.5</v>
      </c>
      <c r="T113" s="5">
        <f t="shared" si="36"/>
        <v>877.49999999999966</v>
      </c>
      <c r="U113">
        <v>42.6</v>
      </c>
      <c r="V113" s="8">
        <v>40</v>
      </c>
      <c r="X113">
        <v>88</v>
      </c>
      <c r="Y113" s="3">
        <f t="shared" si="19"/>
        <v>0.10653753026634383</v>
      </c>
      <c r="Z113">
        <v>60</v>
      </c>
      <c r="AA113">
        <f t="shared" si="34"/>
        <v>96</v>
      </c>
      <c r="AD113">
        <v>14.99</v>
      </c>
      <c r="AE113">
        <v>10</v>
      </c>
      <c r="AH113" s="10">
        <v>0</v>
      </c>
      <c r="AI113" t="str">
        <f>CONCATENATE(VLOOKUP(AJ113, 'Voxel Sizes'!$A$2:$B$18,2,FALSE),"x",INT(AF113*15), "x", INT(AG113*15))</f>
        <v>102x0x0</v>
      </c>
      <c r="AJ113">
        <f t="shared" si="20"/>
        <v>6</v>
      </c>
      <c r="AK113" t="s">
        <v>1322</v>
      </c>
      <c r="AL113" t="str">
        <f>CONCATENATE(VLOOKUP(AJ113,Constants!$A$2:$C$16,IF(AK113&lt;&gt;"", 3, 2), FALSE),IF(AK113&lt;&gt;"",CONCATENATE(",",VLOOKUP(AK113,$B:$AL,37,FALSE)),""))</f>
        <v>2,2,2,2,1,2</v>
      </c>
      <c r="AT113">
        <v>1</v>
      </c>
      <c r="AV113">
        <v>36</v>
      </c>
      <c r="AW113" s="15">
        <f t="shared" si="21"/>
        <v>87</v>
      </c>
      <c r="AZ113">
        <f t="shared" si="22"/>
        <v>12</v>
      </c>
      <c r="BA113">
        <f t="shared" si="23"/>
        <v>4.25</v>
      </c>
      <c r="BB113">
        <f t="shared" si="24"/>
        <v>4.4000000000000004</v>
      </c>
      <c r="BC113" s="3">
        <f t="shared" si="25"/>
        <v>1</v>
      </c>
      <c r="BD113">
        <f t="shared" si="26"/>
        <v>0</v>
      </c>
      <c r="BE113">
        <f>VLOOKUP($F113,Constants!$I:$K, 2, FALSE)</f>
        <v>1.1499999999999999</v>
      </c>
      <c r="BF113">
        <f>VLOOKUP($F113,Constants!$I:$K, 3, FALSE)*IF(AND(E113="multiple_unit",Z113&lt;110),0.75,1)</f>
        <v>1.7</v>
      </c>
      <c r="BG113">
        <f>INT(POWER(((Constants!$G$2+$AZ113+$BA113+$BB113+$BD113)*$BC113)*$BF113, 1.05))+$AY113</f>
        <v>52</v>
      </c>
      <c r="BH113">
        <f>INT(POWER((((Constants!$G$1+$AZ113+$BA113+$BB113+$BD113)*($BC113))*$BE113),IF($E113="wagon",1,1.2)))+$AX113</f>
        <v>86</v>
      </c>
      <c r="BI113" s="14">
        <f t="shared" si="27"/>
        <v>40625</v>
      </c>
      <c r="BJ113" s="14">
        <f t="shared" si="28"/>
        <v>6987.5</v>
      </c>
      <c r="BQ113">
        <v>4</v>
      </c>
      <c r="BU113" t="str">
        <f>VLOOKUP(H113,Eras!$A$2:$C$10, 2, TRUE)</f>
        <v>vct</v>
      </c>
      <c r="BV113" t="s">
        <v>327</v>
      </c>
      <c r="BW113" t="str">
        <f t="shared" si="29"/>
        <v>vct_Mixed Traffic</v>
      </c>
      <c r="BX113" t="str">
        <f t="shared" si="30"/>
        <v>steam_RAIL</v>
      </c>
      <c r="BY113" t="str">
        <f>VLOOKUP($BX113, Constants!$M:$N, 2, FALSE)</f>
        <v>{BLACK}Powered by: {GOLD}Steam</v>
      </c>
      <c r="BZ113" t="str">
        <f t="shared" si="39"/>
        <v/>
      </c>
      <c r="CA113" t="s">
        <v>1327</v>
      </c>
      <c r="CB113" t="str">
        <f t="shared" si="38"/>
        <v/>
      </c>
      <c r="CC113" t="str">
        <f t="shared" si="33"/>
        <v>{BLACK}Powered by: {GOLD}Steam {}{SILVER}Matthew Holmes' Class C was an evolution of Drummond's design. They had a long career, becoming LNER class J36 and surviving to the last days of steam on British railways.</v>
      </c>
    </row>
    <row r="114" spans="1:81" x14ac:dyDescent="0.25">
      <c r="A114" t="s">
        <v>1318</v>
      </c>
      <c r="B114" t="s">
        <v>241</v>
      </c>
      <c r="C114">
        <v>182</v>
      </c>
      <c r="D114">
        <v>21</v>
      </c>
      <c r="E114" t="s">
        <v>263</v>
      </c>
      <c r="F114" t="s">
        <v>272</v>
      </c>
      <c r="G114" t="s">
        <v>275</v>
      </c>
      <c r="H114">
        <v>1896</v>
      </c>
      <c r="J114">
        <v>1928</v>
      </c>
      <c r="L114">
        <v>850</v>
      </c>
      <c r="N114" s="5">
        <v>19.5</v>
      </c>
      <c r="O114" s="5">
        <v>26</v>
      </c>
      <c r="P114" s="5">
        <v>2</v>
      </c>
      <c r="Q114" s="5">
        <v>170</v>
      </c>
      <c r="R114" s="6">
        <f t="shared" si="35"/>
        <v>166.20611145672612</v>
      </c>
      <c r="S114" s="5">
        <v>2.37</v>
      </c>
      <c r="T114" s="5">
        <f t="shared" si="36"/>
        <v>1007.3270281933254</v>
      </c>
      <c r="U114">
        <v>48</v>
      </c>
      <c r="V114" s="8">
        <v>42</v>
      </c>
      <c r="X114">
        <v>68</v>
      </c>
      <c r="Y114" s="3">
        <f t="shared" si="19"/>
        <v>7.5555555555555556E-2</v>
      </c>
      <c r="Z114">
        <v>90</v>
      </c>
      <c r="AA114">
        <f t="shared" si="34"/>
        <v>144</v>
      </c>
      <c r="AD114">
        <v>11</v>
      </c>
      <c r="AE114">
        <v>11</v>
      </c>
      <c r="AH114" s="10">
        <v>0</v>
      </c>
      <c r="AI114" t="str">
        <f>CONCATENATE(VLOOKUP(AJ114, 'Voxel Sizes'!$A$2:$B$18,2,FALSE),"x",INT(AF114*15), "x", INT(AG114*15))</f>
        <v>102x0x0</v>
      </c>
      <c r="AJ114">
        <f t="shared" si="20"/>
        <v>6</v>
      </c>
      <c r="AK114" t="s">
        <v>309</v>
      </c>
      <c r="AL114" t="str">
        <f>CONCATENATE(VLOOKUP(AJ114,Constants!$A$2:$C$16,IF(AK114&lt;&gt;"", 3, 2), FALSE),IF(AK114&lt;&gt;"",CONCATENATE(",",VLOOKUP(AK114,$B:$AL,37,FALSE)),""))</f>
        <v>2,2,2,2,1,2</v>
      </c>
      <c r="AV114">
        <v>30</v>
      </c>
      <c r="AW114" s="15">
        <f t="shared" si="21"/>
        <v>40</v>
      </c>
      <c r="AZ114">
        <f t="shared" si="22"/>
        <v>18</v>
      </c>
      <c r="BA114">
        <f t="shared" si="23"/>
        <v>4.25</v>
      </c>
      <c r="BB114">
        <f t="shared" si="24"/>
        <v>3.4000000000000004</v>
      </c>
      <c r="BC114" s="3">
        <f t="shared" si="25"/>
        <v>1</v>
      </c>
      <c r="BD114">
        <f t="shared" si="26"/>
        <v>0</v>
      </c>
      <c r="BE114">
        <f>VLOOKUP($F114,Constants!$I:$K, 2, FALSE)</f>
        <v>1.1499999999999999</v>
      </c>
      <c r="BF114">
        <f>VLOOKUP($F114,Constants!$I:$K, 3, FALSE)*IF(AND(E114="multiple_unit",Z114&lt;110),0.75,1)</f>
        <v>1.7</v>
      </c>
      <c r="BG114">
        <f>INT(POWER(((Constants!$G$2+$AZ114+$BA114+$BB114+$BD114)*$BC114)*$BF114, 1.05))+$AY114</f>
        <v>63</v>
      </c>
      <c r="BH114">
        <f>INT(POWER((((Constants!$G$1+$AZ114+$BA114+$BB114+$BD114)*($BC114))*$BE114),IF($E114="wagon",1,1.2)))+$AX114</f>
        <v>100</v>
      </c>
      <c r="BI114" s="14">
        <f t="shared" si="27"/>
        <v>49218.75</v>
      </c>
      <c r="BJ114" s="14">
        <f t="shared" si="28"/>
        <v>8125</v>
      </c>
      <c r="BQ114">
        <v>6</v>
      </c>
      <c r="BU114" t="str">
        <f>VLOOKUP(H114,Eras!$A$2:$C$10, 2, TRUE)</f>
        <v>vct</v>
      </c>
      <c r="BV114" t="s">
        <v>328</v>
      </c>
      <c r="BW114" t="str">
        <f t="shared" si="29"/>
        <v>vct_Express</v>
      </c>
      <c r="BX114" t="str">
        <f t="shared" si="30"/>
        <v>steam_RAIL</v>
      </c>
      <c r="BY114" t="str">
        <f>VLOOKUP($BX114, Constants!$M:$N, 2, FALSE)</f>
        <v>{BLACK}Powered by: {GOLD}Steam</v>
      </c>
      <c r="BZ114" t="str">
        <f t="shared" si="39"/>
        <v/>
      </c>
      <c r="CA114" t="s">
        <v>1319</v>
      </c>
      <c r="CB114" t="str">
        <f t="shared" si="38"/>
        <v/>
      </c>
      <c r="CC114" t="str">
        <f t="shared" si="33"/>
        <v>{BLACK}Powered by: {GOLD}Steam {}{SILVER}The Midland 115 class gained the nickname "Spinner" due to the large single driving wheel. The Midland Railway compensated for the low tractive effort of the 4-2-2 layout by double-heading the trains on heavy loads.</v>
      </c>
    </row>
    <row r="115" spans="1:81" x14ac:dyDescent="0.25">
      <c r="A115" t="s">
        <v>131</v>
      </c>
      <c r="B115" t="s">
        <v>1317</v>
      </c>
      <c r="C115">
        <v>184</v>
      </c>
      <c r="D115">
        <v>22</v>
      </c>
      <c r="E115" t="s">
        <v>263</v>
      </c>
      <c r="F115" t="s">
        <v>272</v>
      </c>
      <c r="G115" t="s">
        <v>275</v>
      </c>
      <c r="H115">
        <v>1897</v>
      </c>
      <c r="I115">
        <v>1911</v>
      </c>
      <c r="J115">
        <v>1957</v>
      </c>
      <c r="L115">
        <v>500</v>
      </c>
      <c r="N115" s="5">
        <v>18.5</v>
      </c>
      <c r="O115" s="5">
        <v>26</v>
      </c>
      <c r="P115" s="5">
        <v>2</v>
      </c>
      <c r="Q115" s="5">
        <v>175</v>
      </c>
      <c r="R115" s="6">
        <f t="shared" si="35"/>
        <v>90.109783956440737</v>
      </c>
      <c r="S115" s="5">
        <v>1.7</v>
      </c>
      <c r="T115" s="5">
        <f t="shared" si="36"/>
        <v>506.00966001931067</v>
      </c>
      <c r="U115">
        <v>61.2</v>
      </c>
      <c r="X115">
        <v>87</v>
      </c>
      <c r="Y115" s="3">
        <f t="shared" si="19"/>
        <v>0.14215686274509803</v>
      </c>
      <c r="Z115">
        <v>35</v>
      </c>
      <c r="AA115">
        <f t="shared" si="34"/>
        <v>56</v>
      </c>
      <c r="AD115">
        <v>10.5</v>
      </c>
      <c r="AE115">
        <v>10.5</v>
      </c>
      <c r="AH115" s="10">
        <v>0</v>
      </c>
      <c r="AI115" t="str">
        <f>CONCATENATE(VLOOKUP(AJ115, 'Voxel Sizes'!$A$2:$B$18,2,FALSE),"x",INT(AF115*15), "x", INT(AG115*15))</f>
        <v>102x0x0</v>
      </c>
      <c r="AJ115">
        <f t="shared" si="20"/>
        <v>6</v>
      </c>
      <c r="AL115" t="str">
        <f>CONCATENATE(VLOOKUP(AJ115,Constants!$A$2:$C$16,IF(AK115&lt;&gt;"", 3, 2), FALSE),IF(AK115&lt;&gt;"",CONCATENATE(",",VLOOKUP(AK115,$B:$AL,37,FALSE)),""))</f>
        <v>2,2,2</v>
      </c>
      <c r="AT115">
        <v>1</v>
      </c>
      <c r="AV115">
        <v>34</v>
      </c>
      <c r="AW115" s="15">
        <f t="shared" si="21"/>
        <v>68</v>
      </c>
      <c r="AZ115">
        <f t="shared" si="22"/>
        <v>7</v>
      </c>
      <c r="BA115">
        <f t="shared" si="23"/>
        <v>2.5</v>
      </c>
      <c r="BB115">
        <f t="shared" si="24"/>
        <v>4.3499999999999996</v>
      </c>
      <c r="BC115" s="3">
        <f t="shared" si="25"/>
        <v>1</v>
      </c>
      <c r="BD115">
        <f t="shared" si="26"/>
        <v>0</v>
      </c>
      <c r="BE115">
        <f>VLOOKUP($F115,Constants!$I:$K, 2, FALSE)</f>
        <v>1.1499999999999999</v>
      </c>
      <c r="BF115">
        <f>VLOOKUP($F115,Constants!$I:$K, 3, FALSE)*IF(AND(E115="multiple_unit",Z115&lt;110),0.75,1)</f>
        <v>1.7</v>
      </c>
      <c r="BG115">
        <f>INT(POWER(((Constants!$G$2+$AZ115+$BA115+$BB115+$BD115)*$BC115)*$BF115, 1.05))+$AY115</f>
        <v>38</v>
      </c>
      <c r="BH115">
        <f>INT(POWER((((Constants!$G$1+$AZ115+$BA115+$BB115+$BD115)*($BC115))*$BE115),IF($E115="wagon",1,1.2)))+$AX115</f>
        <v>66</v>
      </c>
      <c r="BI115" s="14">
        <f t="shared" si="27"/>
        <v>29687.5</v>
      </c>
      <c r="BJ115" s="14">
        <f t="shared" si="28"/>
        <v>5362.5</v>
      </c>
      <c r="BQ115">
        <v>7</v>
      </c>
      <c r="BU115" t="str">
        <f>VLOOKUP(H115,Eras!$A$2:$C$10, 2, TRUE)</f>
        <v>vct</v>
      </c>
      <c r="BV115" t="s">
        <v>326</v>
      </c>
      <c r="BW115" t="str">
        <f t="shared" si="29"/>
        <v>vct_Cheap</v>
      </c>
      <c r="BX115" t="str">
        <f t="shared" si="30"/>
        <v>steam_RAIL</v>
      </c>
      <c r="BY115" t="str">
        <f>VLOOKUP($BX115, Constants!$M:$N, 2, FALSE)</f>
        <v>{BLACK}Powered by: {GOLD}Steam</v>
      </c>
      <c r="BZ115" t="str">
        <f t="shared" si="39"/>
        <v/>
      </c>
      <c r="CA115" t="s">
        <v>1316</v>
      </c>
      <c r="CB115" t="str">
        <f t="shared" si="38"/>
        <v/>
      </c>
      <c r="CC115" t="str">
        <f t="shared" si="33"/>
        <v>{BLACK}Powered by: {GOLD}Steam {}{SILVER}The Drummond M7 was built for the London &amp; South Western railway. Its usefulness saw it survive in operation until well into the BR era.</v>
      </c>
    </row>
    <row r="116" spans="1:81" x14ac:dyDescent="0.25">
      <c r="A116" t="s">
        <v>129</v>
      </c>
      <c r="B116" t="s">
        <v>239</v>
      </c>
      <c r="C116">
        <v>188</v>
      </c>
      <c r="D116">
        <v>23</v>
      </c>
      <c r="E116" t="s">
        <v>263</v>
      </c>
      <c r="F116" t="s">
        <v>272</v>
      </c>
      <c r="G116" t="s">
        <v>275</v>
      </c>
      <c r="H116">
        <v>1899</v>
      </c>
      <c r="I116">
        <v>1902</v>
      </c>
      <c r="J116">
        <v>1954</v>
      </c>
      <c r="L116">
        <v>600</v>
      </c>
      <c r="N116" s="5">
        <v>18</v>
      </c>
      <c r="O116" s="5">
        <v>26</v>
      </c>
      <c r="P116" s="5">
        <v>2</v>
      </c>
      <c r="Q116" s="5">
        <v>160</v>
      </c>
      <c r="R116" s="6">
        <f t="shared" si="35"/>
        <v>125.05031242934635</v>
      </c>
      <c r="S116" s="5">
        <v>1.4</v>
      </c>
      <c r="T116" s="5">
        <f t="shared" si="36"/>
        <v>607.79220779220771</v>
      </c>
      <c r="U116">
        <v>49.5</v>
      </c>
      <c r="X116">
        <v>92</v>
      </c>
      <c r="Y116" s="3">
        <f t="shared" si="19"/>
        <v>0.18585858585858586</v>
      </c>
      <c r="Z116">
        <v>40</v>
      </c>
      <c r="AA116">
        <f t="shared" si="34"/>
        <v>64</v>
      </c>
      <c r="AD116">
        <v>9.57</v>
      </c>
      <c r="AE116">
        <v>9.57</v>
      </c>
      <c r="AH116" s="10">
        <v>0</v>
      </c>
      <c r="AI116" t="str">
        <f>CONCATENATE(VLOOKUP(AJ116, 'Voxel Sizes'!$A$2:$B$18,2,FALSE),"x",INT(AF116*15), "x", INT(AG116*15))</f>
        <v>102x0x0</v>
      </c>
      <c r="AJ116">
        <f t="shared" si="20"/>
        <v>6</v>
      </c>
      <c r="AL116" t="str">
        <f>CONCATENATE(VLOOKUP(AJ116,Constants!$A$2:$C$16,IF(AK116&lt;&gt;"", 3, 2), FALSE),IF(AK116&lt;&gt;"",CONCATENATE(",",VLOOKUP(AK116,$B:$AL,37,FALSE)),""))</f>
        <v>2,2,2</v>
      </c>
      <c r="AT116">
        <v>1</v>
      </c>
      <c r="AV116">
        <v>30</v>
      </c>
      <c r="AW116" s="15">
        <f t="shared" si="21"/>
        <v>63</v>
      </c>
      <c r="AZ116">
        <f t="shared" si="22"/>
        <v>8</v>
      </c>
      <c r="BA116">
        <f t="shared" si="23"/>
        <v>3</v>
      </c>
      <c r="BB116">
        <f t="shared" si="24"/>
        <v>4.6000000000000005</v>
      </c>
      <c r="BC116" s="3">
        <f t="shared" si="25"/>
        <v>1</v>
      </c>
      <c r="BD116">
        <f t="shared" si="26"/>
        <v>0</v>
      </c>
      <c r="BE116">
        <f>VLOOKUP($F116,Constants!$I:$K, 2, FALSE)</f>
        <v>1.1499999999999999</v>
      </c>
      <c r="BF116">
        <f>VLOOKUP($F116,Constants!$I:$K, 3, FALSE)*IF(AND(E116="multiple_unit",Z116&lt;110),0.75,1)</f>
        <v>1.7</v>
      </c>
      <c r="BG116">
        <f>INT(POWER(((Constants!$G$2+$AZ116+$BA116+$BB116+$BD116)*$BC116)*$BF116, 1.05))+$AY116</f>
        <v>41</v>
      </c>
      <c r="BH116">
        <f>INT(POWER((((Constants!$G$1+$AZ116+$BA116+$BB116+$BD116)*($BC116))*$BE116),IF($E116="wagon",1,1.2)))+$AX116</f>
        <v>71</v>
      </c>
      <c r="BI116" s="14">
        <f t="shared" si="27"/>
        <v>32031.25</v>
      </c>
      <c r="BJ116" s="14">
        <f t="shared" si="28"/>
        <v>5768.75</v>
      </c>
      <c r="BQ116">
        <v>9</v>
      </c>
      <c r="BU116" t="str">
        <f>VLOOKUP(H116,Eras!$A$2:$C$10, 2, TRUE)</f>
        <v>vct</v>
      </c>
      <c r="BV116" t="s">
        <v>326</v>
      </c>
      <c r="BW116" t="str">
        <f t="shared" si="29"/>
        <v>vct_Cheap</v>
      </c>
      <c r="BX116" t="str">
        <f t="shared" si="30"/>
        <v>steam_RAIL</v>
      </c>
      <c r="BY116" t="str">
        <f>VLOOKUP($BX116, Constants!$M:$N, 2, FALSE)</f>
        <v>{BLACK}Powered by: {GOLD}Steam</v>
      </c>
      <c r="BZ116" t="str">
        <f t="shared" si="39"/>
        <v/>
      </c>
      <c r="CA116" t="s">
        <v>1151</v>
      </c>
      <c r="CB116" t="str">
        <f t="shared" si="38"/>
        <v/>
      </c>
      <c r="CC116" t="str">
        <f t="shared" si="33"/>
        <v>{BLACK}Powered by: {GOLD}Steam {}{SILVER}Samuel Johnson's tank engine design were rebuilt later in life by Henry Fowler, providing the inspiration for Fowler's own 3F "Jinty" design.</v>
      </c>
    </row>
    <row r="117" spans="1:81" x14ac:dyDescent="0.25">
      <c r="A117" t="s">
        <v>1480</v>
      </c>
      <c r="B117" t="s">
        <v>1479</v>
      </c>
      <c r="C117">
        <v>190</v>
      </c>
      <c r="D117">
        <v>24</v>
      </c>
      <c r="E117" t="s">
        <v>263</v>
      </c>
      <c r="F117" t="s">
        <v>272</v>
      </c>
      <c r="G117" t="s">
        <v>275</v>
      </c>
      <c r="H117">
        <v>1900</v>
      </c>
      <c r="J117">
        <v>1954</v>
      </c>
      <c r="L117">
        <v>1100</v>
      </c>
      <c r="N117" s="5">
        <v>19</v>
      </c>
      <c r="O117" s="5">
        <v>26</v>
      </c>
      <c r="P117" s="5">
        <v>2</v>
      </c>
      <c r="Q117" s="5">
        <v>180</v>
      </c>
      <c r="R117" s="6">
        <f t="shared" si="35"/>
        <v>175.07043740108486</v>
      </c>
      <c r="S117" s="5">
        <v>1.5</v>
      </c>
      <c r="T117" s="5">
        <f t="shared" si="36"/>
        <v>1066.5909090909088</v>
      </c>
      <c r="U117">
        <v>45.3</v>
      </c>
      <c r="V117" s="8">
        <v>38.9</v>
      </c>
      <c r="X117">
        <v>109</v>
      </c>
      <c r="Y117" s="3">
        <f t="shared" si="19"/>
        <v>0.12945368171021379</v>
      </c>
      <c r="Z117">
        <v>60</v>
      </c>
      <c r="AA117">
        <f t="shared" si="34"/>
        <v>96</v>
      </c>
      <c r="AD117">
        <v>14.4</v>
      </c>
      <c r="AE117">
        <v>10</v>
      </c>
      <c r="AH117" s="10">
        <v>0</v>
      </c>
      <c r="AI117" t="str">
        <f>CONCATENATE(VLOOKUP(AJ117, 'Voxel Sizes'!$A$2:$B$18,2,FALSE),"x",INT(AF117*15), "x", INT(AG117*15))</f>
        <v>102x0x0</v>
      </c>
      <c r="AJ117">
        <f t="shared" si="20"/>
        <v>6</v>
      </c>
      <c r="AK117" t="s">
        <v>1322</v>
      </c>
      <c r="AL117" t="str">
        <f>CONCATENATE(VLOOKUP(AJ117,Constants!$A$2:$C$16,IF(AK117&lt;&gt;"", 3, 2), FALSE),IF(AK117&lt;&gt;"",CONCATENATE(",",VLOOKUP(AK117,$B:$AL,37,FALSE)),""))</f>
        <v>2,2,2,2,1,2</v>
      </c>
      <c r="AT117">
        <v>1</v>
      </c>
      <c r="AV117">
        <v>32</v>
      </c>
      <c r="AW117" s="15">
        <f t="shared" si="21"/>
        <v>62</v>
      </c>
      <c r="AX117">
        <v>2</v>
      </c>
      <c r="AY117">
        <v>2</v>
      </c>
      <c r="AZ117">
        <f t="shared" si="22"/>
        <v>12</v>
      </c>
      <c r="BA117">
        <f t="shared" si="23"/>
        <v>5.5</v>
      </c>
      <c r="BB117">
        <f t="shared" si="24"/>
        <v>5.45</v>
      </c>
      <c r="BC117" s="3">
        <f t="shared" si="25"/>
        <v>1</v>
      </c>
      <c r="BD117">
        <f t="shared" si="26"/>
        <v>0</v>
      </c>
      <c r="BE117">
        <f>VLOOKUP($F117,Constants!$I:$K, 2, FALSE)</f>
        <v>1.1499999999999999</v>
      </c>
      <c r="BF117">
        <f>VLOOKUP($F117,Constants!$I:$K, 3, FALSE)*IF(AND(E117="multiple_unit",Z117&lt;110),0.75,1)</f>
        <v>1.7</v>
      </c>
      <c r="BG117">
        <f>INT(POWER(((Constants!$G$2+$AZ117+$BA117+$BB117+$BD117)*$BC117)*$BF117, 1.05))+$AY117</f>
        <v>59</v>
      </c>
      <c r="BH117">
        <f>INT(POWER((((Constants!$G$1+$AZ117+$BA117+$BB117+$BD117)*($BC117))*$BE117),IF($E117="wagon",1,1.2)))+$AX117</f>
        <v>94</v>
      </c>
      <c r="BI117" s="14">
        <f t="shared" si="27"/>
        <v>46093.75</v>
      </c>
      <c r="BJ117" s="14">
        <f t="shared" si="28"/>
        <v>7637.5</v>
      </c>
      <c r="BQ117">
        <v>2</v>
      </c>
      <c r="BU117" t="str">
        <f>VLOOKUP(H117,Eras!$A$2:$C$10, 2, TRUE)</f>
        <v>edw</v>
      </c>
      <c r="BV117" t="s">
        <v>327</v>
      </c>
      <c r="BW117" t="str">
        <f t="shared" si="29"/>
        <v>edw_Mixed Traffic</v>
      </c>
      <c r="BX117" t="str">
        <f t="shared" si="30"/>
        <v>steam_RAIL</v>
      </c>
      <c r="BY117" t="str">
        <f>VLOOKUP($BX117, Constants!$M:$N, 2, FALSE)</f>
        <v>{BLACK}Powered by: {GOLD}Steam</v>
      </c>
      <c r="BZ117" t="str">
        <f t="shared" si="39"/>
        <v/>
      </c>
      <c r="CA117" t="s">
        <v>1483</v>
      </c>
      <c r="CB117" t="str">
        <f t="shared" si="38"/>
        <v/>
      </c>
      <c r="CC117" t="str">
        <f t="shared" si="33"/>
        <v>{BLACK}Powered by: {GOLD}Steam {}{SILVER}On introduction the GER F48 was nominally the most powerful 0-6-0 tender locomotive in Britain. Numerous variations of firebox were tried over the production run.</v>
      </c>
    </row>
    <row r="118" spans="1:81" x14ac:dyDescent="0.25">
      <c r="A118" t="s">
        <v>398</v>
      </c>
      <c r="B118" t="s">
        <v>399</v>
      </c>
      <c r="C118">
        <v>194</v>
      </c>
      <c r="D118">
        <v>25</v>
      </c>
      <c r="E118" t="s">
        <v>263</v>
      </c>
      <c r="F118" t="s">
        <v>272</v>
      </c>
      <c r="G118" t="s">
        <v>275</v>
      </c>
      <c r="H118">
        <v>1901</v>
      </c>
      <c r="I118">
        <v>1914</v>
      </c>
      <c r="J118">
        <v>1955</v>
      </c>
      <c r="L118">
        <v>350</v>
      </c>
      <c r="N118" s="5">
        <v>14</v>
      </c>
      <c r="O118" s="5">
        <v>20</v>
      </c>
      <c r="P118" s="5">
        <v>2</v>
      </c>
      <c r="Q118" s="5">
        <v>160</v>
      </c>
      <c r="R118" s="6">
        <f t="shared" si="35"/>
        <v>145.89203116757074</v>
      </c>
      <c r="S118" s="5">
        <v>0.9</v>
      </c>
      <c r="T118" s="5">
        <f t="shared" si="36"/>
        <v>329.96632996632997</v>
      </c>
      <c r="U118">
        <v>23</v>
      </c>
      <c r="X118">
        <v>49</v>
      </c>
      <c r="Y118" s="3">
        <f t="shared" si="19"/>
        <v>0.21304347826086956</v>
      </c>
      <c r="Z118">
        <v>30</v>
      </c>
      <c r="AA118">
        <f t="shared" si="34"/>
        <v>48</v>
      </c>
      <c r="AD118">
        <v>6.12</v>
      </c>
      <c r="AE118">
        <v>6.12</v>
      </c>
      <c r="AH118" s="10">
        <v>0</v>
      </c>
      <c r="AI118" t="str">
        <f>CONCATENATE(VLOOKUP(AJ118, 'Voxel Sizes'!$A$2:$B$18,2,FALSE),"x",INT(AF118*15), "x", INT(AG118*15))</f>
        <v>60x0x0</v>
      </c>
      <c r="AJ118">
        <f t="shared" si="20"/>
        <v>4</v>
      </c>
      <c r="AL118" t="str">
        <f>CONCATENATE(VLOOKUP(AJ118,Constants!$A$2:$C$16,IF(AK118&lt;&gt;"", 3, 2), FALSE),IF(AK118&lt;&gt;"",CONCATENATE(",",VLOOKUP(AK118,$B:$AL,37,FALSE)),""))</f>
        <v>1,2,1</v>
      </c>
      <c r="AT118">
        <v>1</v>
      </c>
      <c r="AV118">
        <v>30</v>
      </c>
      <c r="AW118" s="15">
        <f t="shared" si="21"/>
        <v>62</v>
      </c>
      <c r="AZ118">
        <f t="shared" si="22"/>
        <v>6</v>
      </c>
      <c r="BA118">
        <f t="shared" si="23"/>
        <v>1.75</v>
      </c>
      <c r="BB118">
        <f t="shared" si="24"/>
        <v>2.4500000000000002</v>
      </c>
      <c r="BC118" s="3">
        <f t="shared" si="25"/>
        <v>0.9986666666666667</v>
      </c>
      <c r="BD118">
        <f t="shared" si="26"/>
        <v>0</v>
      </c>
      <c r="BE118">
        <f>VLOOKUP($F118,Constants!$I:$K, 2, FALSE)</f>
        <v>1.1499999999999999</v>
      </c>
      <c r="BF118">
        <f>VLOOKUP($F118,Constants!$I:$K, 3, FALSE)*IF(AND(E118="multiple_unit",Z118&lt;110),0.75,1)</f>
        <v>1.7</v>
      </c>
      <c r="BG118">
        <f>INT(POWER(((Constants!$G$2+$AZ118+$BA118+$BB118+$BD118)*$BC118)*$BF118, 1.05))+$AY118</f>
        <v>30</v>
      </c>
      <c r="BH118">
        <f>INT(POWER((((Constants!$G$1+$AZ118+$BA118+$BB118+$BD118)*($BC118))*$BE118),IF($E118="wagon",1,1.2)))+$AX118</f>
        <v>56</v>
      </c>
      <c r="BI118" s="14">
        <f t="shared" si="27"/>
        <v>23437.5</v>
      </c>
      <c r="BJ118" s="14">
        <f t="shared" si="28"/>
        <v>4550</v>
      </c>
      <c r="BQ118">
        <v>10</v>
      </c>
      <c r="BU118" t="str">
        <f>VLOOKUP(H118,Eras!$A$2:$C$10, 2, TRUE)</f>
        <v>edw</v>
      </c>
      <c r="BV118" t="s">
        <v>326</v>
      </c>
      <c r="BW118" t="str">
        <f t="shared" si="29"/>
        <v>edw_Cheap</v>
      </c>
      <c r="BX118" t="str">
        <f t="shared" si="30"/>
        <v>steam_RAIL</v>
      </c>
      <c r="BY118" t="str">
        <f>VLOOKUP($BX118, Constants!$M:$N, 2, FALSE)</f>
        <v>{BLACK}Powered by: {GOLD}Steam</v>
      </c>
      <c r="BZ118" t="str">
        <f t="shared" si="39"/>
        <v/>
      </c>
      <c r="CA118" t="s">
        <v>400</v>
      </c>
      <c r="CB118" t="str">
        <f t="shared" si="38"/>
        <v/>
      </c>
      <c r="CC118" t="str">
        <f t="shared" si="33"/>
        <v>{BLACK}Powered by: {GOLD}Steam {}{SILVER}This 0-4-0 saddle tank engine is typical of the many acquired by the GWR from smaller railways during the 1923 grouping of railway companies into the Big Four.</v>
      </c>
    </row>
    <row r="119" spans="1:81" x14ac:dyDescent="0.25">
      <c r="A119" t="s">
        <v>8</v>
      </c>
      <c r="B119" t="s">
        <v>240</v>
      </c>
      <c r="C119">
        <v>196</v>
      </c>
      <c r="D119">
        <v>26</v>
      </c>
      <c r="E119" t="s">
        <v>263</v>
      </c>
      <c r="F119" t="s">
        <v>272</v>
      </c>
      <c r="G119" t="s">
        <v>275</v>
      </c>
      <c r="H119">
        <v>1902</v>
      </c>
      <c r="J119">
        <v>1935</v>
      </c>
      <c r="L119">
        <v>950</v>
      </c>
      <c r="N119" s="5">
        <v>20.3</v>
      </c>
      <c r="O119" s="5">
        <v>26</v>
      </c>
      <c r="P119" s="5">
        <v>3</v>
      </c>
      <c r="Q119" s="5">
        <f>220*0.5</f>
        <v>110</v>
      </c>
      <c r="R119" s="6">
        <f t="shared" si="35"/>
        <v>166.73374990579512</v>
      </c>
      <c r="S119" s="5">
        <v>2.1</v>
      </c>
      <c r="T119" s="5">
        <f t="shared" si="36"/>
        <v>1062.9305555555557</v>
      </c>
      <c r="U119">
        <v>62</v>
      </c>
      <c r="V119" s="8">
        <v>42</v>
      </c>
      <c r="X119">
        <v>97</v>
      </c>
      <c r="Y119" s="3">
        <f t="shared" si="19"/>
        <v>9.3269230769230771E-2</v>
      </c>
      <c r="Z119">
        <v>80</v>
      </c>
      <c r="AA119">
        <f t="shared" si="34"/>
        <v>128</v>
      </c>
      <c r="AD119">
        <v>17.268999999999998</v>
      </c>
      <c r="AE119">
        <f>AD119-7.5</f>
        <v>9.7689999999999984</v>
      </c>
      <c r="AH119" s="10">
        <v>0</v>
      </c>
      <c r="AI119" t="str">
        <f>CONCATENATE(VLOOKUP(AJ119, 'Voxel Sizes'!$A$2:$B$18,2,FALSE),"x",INT(AF119*15), "x", INT(AG119*15))</f>
        <v>102x0x0</v>
      </c>
      <c r="AJ119">
        <f t="shared" si="20"/>
        <v>6</v>
      </c>
      <c r="AK119" t="s">
        <v>309</v>
      </c>
      <c r="AL119" t="str">
        <f>CONCATENATE(VLOOKUP(AJ119,Constants!$A$2:$C$16,IF(AK119&lt;&gt;"", 3, 2), FALSE),IF(AK119&lt;&gt;"",CONCATENATE(",",VLOOKUP(AK119,$B:$AL,37,FALSE)),""))</f>
        <v>2,2,2,2,1,2</v>
      </c>
      <c r="AT119">
        <v>1</v>
      </c>
      <c r="AV119">
        <v>30</v>
      </c>
      <c r="AW119" s="15">
        <f t="shared" si="21"/>
        <v>41</v>
      </c>
      <c r="AZ119">
        <f t="shared" si="22"/>
        <v>16</v>
      </c>
      <c r="BA119">
        <f t="shared" si="23"/>
        <v>4.75</v>
      </c>
      <c r="BB119">
        <f t="shared" si="24"/>
        <v>4.8499999999999996</v>
      </c>
      <c r="BC119" s="3">
        <f t="shared" si="25"/>
        <v>0.99733333333333329</v>
      </c>
      <c r="BD119">
        <f t="shared" si="26"/>
        <v>0</v>
      </c>
      <c r="BE119">
        <f>VLOOKUP($F119,Constants!$I:$K, 2, FALSE)</f>
        <v>1.1499999999999999</v>
      </c>
      <c r="BF119">
        <f>VLOOKUP($F119,Constants!$I:$K, 3, FALSE)*IF(AND(E119="multiple_unit",Z119&lt;110),0.75,1)</f>
        <v>1.7</v>
      </c>
      <c r="BG119">
        <f>INT(POWER(((Constants!$G$2+$AZ119+$BA119+$BB119+$BD119)*$BC119)*$BF119, 1.05))+$AY119</f>
        <v>63</v>
      </c>
      <c r="BH119">
        <f>INT(POWER((((Constants!$G$1+$AZ119+$BA119+$BB119+$BD119)*($BC119))*$BE119),IF($E119="wagon",1,1.2)))+$AX119</f>
        <v>100</v>
      </c>
      <c r="BI119" s="14">
        <f t="shared" si="27"/>
        <v>49218.75</v>
      </c>
      <c r="BJ119" s="14">
        <f t="shared" si="28"/>
        <v>8125</v>
      </c>
      <c r="BQ119">
        <v>11</v>
      </c>
      <c r="BU119" t="str">
        <f>VLOOKUP(H119,Eras!$A$2:$C$10, 2, TRUE)</f>
        <v>edw</v>
      </c>
      <c r="BV119" t="s">
        <v>328</v>
      </c>
      <c r="BW119" t="str">
        <f t="shared" si="29"/>
        <v>edw_Express</v>
      </c>
      <c r="BX119" t="str">
        <f t="shared" si="30"/>
        <v>steam_RAIL</v>
      </c>
      <c r="BY119" t="str">
        <f>VLOOKUP($BX119, Constants!$M:$N, 2, FALSE)</f>
        <v>{BLACK}Powered by: {GOLD}Steam</v>
      </c>
      <c r="BZ119" t="str">
        <f t="shared" si="39"/>
        <v/>
      </c>
      <c r="CA119" t="s">
        <v>348</v>
      </c>
      <c r="CB119" t="str">
        <f t="shared" si="38"/>
        <v/>
      </c>
      <c r="CC119" t="str">
        <f t="shared" si="33"/>
        <v>{BLACK}Powered by: {GOLD}Steam {}{SILVER}The 1000 class is an express locomotive with a three-cylinder arrangement, using a high pressure cylinder inside the frame and two low pressure cylinders on the outside.</v>
      </c>
    </row>
    <row r="120" spans="1:81" x14ac:dyDescent="0.25">
      <c r="A120" t="s">
        <v>55</v>
      </c>
      <c r="B120" t="s">
        <v>154</v>
      </c>
      <c r="C120">
        <v>198</v>
      </c>
      <c r="D120">
        <v>27</v>
      </c>
      <c r="E120" t="s">
        <v>263</v>
      </c>
      <c r="F120" t="s">
        <v>296</v>
      </c>
      <c r="G120" t="s">
        <v>297</v>
      </c>
      <c r="H120">
        <v>1903</v>
      </c>
      <c r="I120">
        <v>1904</v>
      </c>
      <c r="J120">
        <v>1927</v>
      </c>
      <c r="L120">
        <v>640</v>
      </c>
      <c r="U120">
        <v>57</v>
      </c>
      <c r="X120">
        <v>111</v>
      </c>
      <c r="Y120" s="3">
        <f t="shared" si="19"/>
        <v>0.19473684210526315</v>
      </c>
      <c r="Z120">
        <v>27</v>
      </c>
      <c r="AA120">
        <f t="shared" si="34"/>
        <v>43</v>
      </c>
      <c r="AD120">
        <v>11.56</v>
      </c>
      <c r="AE120">
        <v>11.56</v>
      </c>
      <c r="AG120">
        <v>3.93</v>
      </c>
      <c r="AH120" s="10">
        <v>0</v>
      </c>
      <c r="AI120" t="str">
        <f>CONCATENATE(VLOOKUP(AJ120, 'Voxel Sizes'!$A$2:$B$18,2,FALSE),"x",INT(AF120*15), "x", INT(AG120*15))</f>
        <v>120x0x58</v>
      </c>
      <c r="AJ120">
        <f t="shared" si="20"/>
        <v>7</v>
      </c>
      <c r="AL120" t="str">
        <f>CONCATENATE(VLOOKUP(AJ120,Constants!$A$2:$C$16,IF(AK120&lt;&gt;"", 3, 2), FALSE),IF(AK120&lt;&gt;"",CONCATENATE(",",VLOOKUP(AK120,$B:$AL,37,FALSE)),""))</f>
        <v>2,3,2</v>
      </c>
      <c r="AV120">
        <v>30</v>
      </c>
      <c r="AW120" s="15">
        <f t="shared" si="21"/>
        <v>32</v>
      </c>
      <c r="AZ120">
        <f t="shared" si="22"/>
        <v>5.3999999999999995</v>
      </c>
      <c r="BA120">
        <f t="shared" si="23"/>
        <v>3.2</v>
      </c>
      <c r="BB120">
        <f t="shared" si="24"/>
        <v>5.5500000000000007</v>
      </c>
      <c r="BC120" s="3">
        <f t="shared" si="25"/>
        <v>0.996</v>
      </c>
      <c r="BD120">
        <f t="shared" si="26"/>
        <v>0</v>
      </c>
      <c r="BE120">
        <f>VLOOKUP($F120,Constants!$I:$K, 2, FALSE)</f>
        <v>0.85</v>
      </c>
      <c r="BF120">
        <f>VLOOKUP($F120,Constants!$I:$K, 3, FALSE)*IF(AND(E120="multiple_unit",Z120&lt;110),0.75,1)</f>
        <v>2.2999999999999998</v>
      </c>
      <c r="BG120">
        <f>INT(POWER(((Constants!$G$2+$AZ120+$BA120+$BB120+$BD120)*$BC120)*$BF120, 1.05))+$AY120</f>
        <v>52</v>
      </c>
      <c r="BH120">
        <f>INT(POWER((((Constants!$G$1+$AZ120+$BA120+$BB120+$BD120)*($BC120))*$BE120),IF($E120="wagon",1,1.2)))+$AX120</f>
        <v>46</v>
      </c>
      <c r="BI120" s="14">
        <f t="shared" si="27"/>
        <v>40625</v>
      </c>
      <c r="BJ120" s="14">
        <f t="shared" si="28"/>
        <v>3737.5</v>
      </c>
      <c r="BQ120">
        <v>12</v>
      </c>
      <c r="BU120" t="str">
        <f>VLOOKUP(H120,Eras!$A$2:$C$10, 2, TRUE)</f>
        <v>edw</v>
      </c>
      <c r="BV120" t="s">
        <v>339</v>
      </c>
      <c r="BW120" t="str">
        <f t="shared" si="29"/>
        <v>edw_Freight (Electric)</v>
      </c>
      <c r="BX120" t="str">
        <f t="shared" si="30"/>
        <v>electric_ELRL</v>
      </c>
      <c r="BY120" t="str">
        <f>VLOOKUP($BX120, Constants!$M:$N, 2, FALSE)</f>
        <v>{BLACK}Powered by: {GOLD}25kV AC</v>
      </c>
      <c r="BZ120" t="str">
        <f t="shared" si="39"/>
        <v/>
      </c>
      <c r="CA120" t="s">
        <v>350</v>
      </c>
      <c r="CB120" t="str">
        <f t="shared" si="38"/>
        <v/>
      </c>
      <c r="CC120" t="str">
        <f t="shared" si="33"/>
        <v>{BLACK}Powered by: {GOLD}25kV AC {}{SILVER}The LNER ES1 (ES for Electric Shunter) is designed for hauling heavy freight trains on steep inclines.</v>
      </c>
    </row>
    <row r="121" spans="1:81" ht="14.25" customHeight="1" x14ac:dyDescent="0.25">
      <c r="A121" t="s">
        <v>9</v>
      </c>
      <c r="B121" t="s">
        <v>156</v>
      </c>
      <c r="C121">
        <v>202</v>
      </c>
      <c r="D121">
        <v>28</v>
      </c>
      <c r="E121" t="s">
        <v>263</v>
      </c>
      <c r="F121" t="s">
        <v>272</v>
      </c>
      <c r="G121" t="s">
        <v>275</v>
      </c>
      <c r="H121">
        <v>1904</v>
      </c>
      <c r="J121">
        <v>1962</v>
      </c>
      <c r="L121">
        <v>730</v>
      </c>
      <c r="N121" s="5">
        <v>18</v>
      </c>
      <c r="O121" s="5">
        <v>26</v>
      </c>
      <c r="P121" s="5">
        <v>2</v>
      </c>
      <c r="Q121" s="5">
        <v>160</v>
      </c>
      <c r="R121" s="6">
        <f t="shared" ref="R121:R128" si="40">((($Z121/2)/60)*5280)/($S121*3.2*PI())</f>
        <v>150.4511571415573</v>
      </c>
      <c r="S121" s="5">
        <v>1.6</v>
      </c>
      <c r="T121" s="5">
        <f t="shared" ref="T121:T128" si="41">((($N121*$N121/4)*PI())*($O121/12)*$P121*$Q121*$R121)/(33000*1.1)</f>
        <v>731.24999999999977</v>
      </c>
      <c r="U121">
        <v>55</v>
      </c>
      <c r="X121">
        <v>77</v>
      </c>
      <c r="Y121" s="3">
        <f t="shared" si="19"/>
        <v>0.14000000000000001</v>
      </c>
      <c r="Z121">
        <v>55</v>
      </c>
      <c r="AA121">
        <f t="shared" si="34"/>
        <v>88</v>
      </c>
      <c r="AD121">
        <v>10.02</v>
      </c>
      <c r="AE121">
        <v>10.02</v>
      </c>
      <c r="AH121" s="10">
        <v>0</v>
      </c>
      <c r="AI121" t="str">
        <f>CONCATENATE(VLOOKUP(AJ121, 'Voxel Sizes'!$A$2:$B$18,2,FALSE),"x",INT(AF121*15), "x", INT(AG121*15))</f>
        <v>102x0x0</v>
      </c>
      <c r="AJ121">
        <f t="shared" si="20"/>
        <v>6</v>
      </c>
      <c r="AL121" t="str">
        <f>CONCATENATE(VLOOKUP(AJ121,Constants!$A$2:$C$16,IF(AK121&lt;&gt;"", 3, 2), FALSE),IF(AK121&lt;&gt;"",CONCATENATE(",",VLOOKUP(AK121,$B:$AL,37,FALSE)),""))</f>
        <v>2,2,2</v>
      </c>
      <c r="AT121">
        <v>1</v>
      </c>
      <c r="AV121">
        <v>30</v>
      </c>
      <c r="AW121" s="15">
        <f t="shared" si="21"/>
        <v>66</v>
      </c>
      <c r="AZ121">
        <f t="shared" si="22"/>
        <v>11</v>
      </c>
      <c r="BA121">
        <f t="shared" si="23"/>
        <v>3.65</v>
      </c>
      <c r="BB121">
        <f t="shared" si="24"/>
        <v>3.85</v>
      </c>
      <c r="BC121" s="3">
        <f t="shared" si="25"/>
        <v>0.9946666666666667</v>
      </c>
      <c r="BD121">
        <f t="shared" si="26"/>
        <v>0</v>
      </c>
      <c r="BE121">
        <f>VLOOKUP($F121,Constants!$I:$K, 2, FALSE)</f>
        <v>1.1499999999999999</v>
      </c>
      <c r="BF121">
        <f>VLOOKUP($F121,Constants!$I:$K, 3, FALSE)*IF(AND(E121="multiple_unit",Z121&lt;110),0.75,1)</f>
        <v>1.7</v>
      </c>
      <c r="BG121">
        <f>INT(POWER(((Constants!$G$2+$AZ121+$BA121+$BB121+$BD121)*$BC121)*$BF121, 1.05))+$AY121</f>
        <v>47</v>
      </c>
      <c r="BH121">
        <f>INT(POWER((((Constants!$G$1+$AZ121+$BA121+$BB121+$BD121)*($BC121))*$BE121),IF($E121="wagon",1,1.2)))+$AX121</f>
        <v>79</v>
      </c>
      <c r="BI121" s="14">
        <f t="shared" si="27"/>
        <v>36718.75</v>
      </c>
      <c r="BJ121" s="14">
        <f t="shared" si="28"/>
        <v>6418.75</v>
      </c>
      <c r="BQ121">
        <v>1</v>
      </c>
      <c r="BU121" t="str">
        <f>VLOOKUP(H121,Eras!$A$2:$C$10, 2, TRUE)</f>
        <v>edw</v>
      </c>
      <c r="BV121" t="s">
        <v>377</v>
      </c>
      <c r="BW121" t="str">
        <f t="shared" si="29"/>
        <v>edw_Passenger</v>
      </c>
      <c r="BX121" t="str">
        <f t="shared" si="30"/>
        <v>steam_RAIL</v>
      </c>
      <c r="BY121" t="str">
        <f>VLOOKUP($BX121, Constants!$M:$N, 2, FALSE)</f>
        <v>{BLACK}Powered by: {GOLD}Steam</v>
      </c>
      <c r="BZ121" t="str">
        <f t="shared" si="39"/>
        <v/>
      </c>
      <c r="CA121" t="s">
        <v>369</v>
      </c>
      <c r="CB121" t="str">
        <f t="shared" si="38"/>
        <v/>
      </c>
      <c r="CC121" t="str">
        <f t="shared" si="33"/>
        <v>{BLACK}Powered by: {GOLD}Steam {}{SILVER}The South Eastern and Chatham Railway H Class is an 0-4-4T tank engine designed for suburban passenger routes. It was in use until the 1960s.</v>
      </c>
    </row>
    <row r="122" spans="1:81" ht="14.25" customHeight="1" x14ac:dyDescent="0.25">
      <c r="A122" t="s">
        <v>11</v>
      </c>
      <c r="B122" t="s">
        <v>379</v>
      </c>
      <c r="C122">
        <v>204</v>
      </c>
      <c r="D122">
        <v>29</v>
      </c>
      <c r="E122" t="s">
        <v>263</v>
      </c>
      <c r="F122" t="s">
        <v>272</v>
      </c>
      <c r="G122" t="s">
        <v>275</v>
      </c>
      <c r="H122">
        <v>1904</v>
      </c>
      <c r="I122">
        <v>1914</v>
      </c>
      <c r="J122">
        <v>1955</v>
      </c>
      <c r="L122">
        <v>850</v>
      </c>
      <c r="N122" s="5">
        <v>17</v>
      </c>
      <c r="O122" s="5">
        <v>24</v>
      </c>
      <c r="P122" s="5">
        <v>2</v>
      </c>
      <c r="Q122" s="5">
        <v>180</v>
      </c>
      <c r="R122" s="6">
        <f t="shared" si="40"/>
        <v>192.57748114119337</v>
      </c>
      <c r="S122" s="5">
        <v>1.25</v>
      </c>
      <c r="T122" s="5">
        <f t="shared" si="41"/>
        <v>867</v>
      </c>
      <c r="U122">
        <v>63.4</v>
      </c>
      <c r="X122">
        <v>95</v>
      </c>
      <c r="Y122" s="3">
        <f t="shared" si="19"/>
        <v>0.14984227129337541</v>
      </c>
      <c r="Z122">
        <v>55</v>
      </c>
      <c r="AA122">
        <f t="shared" si="34"/>
        <v>88</v>
      </c>
      <c r="AD122">
        <v>11.5</v>
      </c>
      <c r="AE122">
        <v>11.5</v>
      </c>
      <c r="AH122" s="10">
        <v>0</v>
      </c>
      <c r="AI122" t="str">
        <f>CONCATENATE(VLOOKUP(AJ122, 'Voxel Sizes'!$A$2:$B$18,2,FALSE),"x",INT(AF122*15), "x", INT(AG122*15))</f>
        <v>120x0x0</v>
      </c>
      <c r="AJ122">
        <f t="shared" si="20"/>
        <v>7</v>
      </c>
      <c r="AL122" t="str">
        <f>CONCATENATE(VLOOKUP(AJ122,Constants!$A$2:$C$16,IF(AK122&lt;&gt;"", 3, 2), FALSE),IF(AK122&lt;&gt;"",CONCATENATE(",",VLOOKUP(AK122,$B:$AL,37,FALSE)),""))</f>
        <v>2,3,2</v>
      </c>
      <c r="AT122">
        <v>1</v>
      </c>
      <c r="AV122">
        <v>38</v>
      </c>
      <c r="AW122" s="15">
        <f t="shared" si="21"/>
        <v>59</v>
      </c>
      <c r="AZ122">
        <f t="shared" si="22"/>
        <v>11</v>
      </c>
      <c r="BA122">
        <f t="shared" si="23"/>
        <v>4.25</v>
      </c>
      <c r="BB122">
        <f t="shared" si="24"/>
        <v>4.75</v>
      </c>
      <c r="BC122" s="3">
        <f t="shared" si="25"/>
        <v>0.9946666666666667</v>
      </c>
      <c r="BD122">
        <f t="shared" si="26"/>
        <v>0</v>
      </c>
      <c r="BE122">
        <f>VLOOKUP($F122,Constants!$I:$K, 2, FALSE)</f>
        <v>1.1499999999999999</v>
      </c>
      <c r="BF122">
        <f>VLOOKUP($F122,Constants!$I:$K, 3, FALSE)*IF(AND(E122="multiple_unit",Z122&lt;110),0.75,1)</f>
        <v>1.7</v>
      </c>
      <c r="BG122">
        <f>INT(POWER(((Constants!$G$2+$AZ122+$BA122+$BB122+$BD122)*$BC122)*$BF122, 1.05))+$AY122</f>
        <v>50</v>
      </c>
      <c r="BH122">
        <f>INT(POWER((((Constants!$G$1+$AZ122+$BA122+$BB122+$BD122)*($BC122))*$BE122),IF($E122="wagon",1,1.2)))+$AX122</f>
        <v>83</v>
      </c>
      <c r="BI122" s="14">
        <f t="shared" si="27"/>
        <v>39062.5</v>
      </c>
      <c r="BJ122" s="14">
        <f t="shared" si="28"/>
        <v>6743.75</v>
      </c>
      <c r="BQ122">
        <v>2</v>
      </c>
      <c r="BU122" t="str">
        <f>VLOOKUP(H122,Eras!$A$2:$C$10, 2, TRUE)</f>
        <v>edw</v>
      </c>
      <c r="BV122" t="s">
        <v>327</v>
      </c>
      <c r="BW122" t="str">
        <f t="shared" si="29"/>
        <v>edw_Mixed Traffic</v>
      </c>
      <c r="BX122" t="str">
        <f t="shared" si="30"/>
        <v>steam_RAIL</v>
      </c>
      <c r="BY122" t="str">
        <f>VLOOKUP($BX122, Constants!$M:$N, 2, FALSE)</f>
        <v>{BLACK}Powered by: {GOLD}Steam</v>
      </c>
      <c r="BZ122" t="str">
        <f t="shared" si="39"/>
        <v/>
      </c>
      <c r="CA122" t="s">
        <v>378</v>
      </c>
      <c r="CB122" t="str">
        <f t="shared" si="38"/>
        <v/>
      </c>
      <c r="CC122" t="str">
        <f t="shared" si="33"/>
        <v>{BLACK}Powered by: {GOLD}Steam {}{SILVER}The GWR "Small Prairie" tank engines were designed for operating branch lines.</v>
      </c>
    </row>
    <row r="123" spans="1:81" x14ac:dyDescent="0.25">
      <c r="A123" t="s">
        <v>1197</v>
      </c>
      <c r="B123" t="s">
        <v>1198</v>
      </c>
      <c r="C123">
        <v>205</v>
      </c>
      <c r="D123">
        <v>30</v>
      </c>
      <c r="E123" t="s">
        <v>263</v>
      </c>
      <c r="F123" t="s">
        <v>272</v>
      </c>
      <c r="G123" t="s">
        <v>275</v>
      </c>
      <c r="H123">
        <v>1906</v>
      </c>
      <c r="I123">
        <v>1923</v>
      </c>
      <c r="J123">
        <v>1957</v>
      </c>
      <c r="L123">
        <v>1200</v>
      </c>
      <c r="N123" s="5">
        <v>14.25</v>
      </c>
      <c r="O123" s="5">
        <v>26</v>
      </c>
      <c r="P123" s="5">
        <v>4</v>
      </c>
      <c r="Q123" s="5">
        <v>225</v>
      </c>
      <c r="R123" s="6">
        <f t="shared" si="40"/>
        <v>181.47545340356362</v>
      </c>
      <c r="S123" s="5">
        <v>2.0499999999999998</v>
      </c>
      <c r="T123" s="5">
        <f t="shared" si="41"/>
        <v>1554.7676171008873</v>
      </c>
      <c r="U123">
        <v>77</v>
      </c>
      <c r="V123" s="8">
        <v>40</v>
      </c>
      <c r="X123">
        <v>111</v>
      </c>
      <c r="Y123" s="3">
        <f t="shared" si="19"/>
        <v>9.4871794871794868E-2</v>
      </c>
      <c r="Z123">
        <v>85</v>
      </c>
      <c r="AA123">
        <f t="shared" si="34"/>
        <v>136</v>
      </c>
      <c r="AE123">
        <v>12</v>
      </c>
      <c r="AH123" s="10">
        <v>0</v>
      </c>
      <c r="AI123" t="str">
        <f>CONCATENATE(VLOOKUP(AJ123, 'Voxel Sizes'!$A$2:$B$18,2,FALSE),"x",INT(AF123*15), "x", INT(AG123*15))</f>
        <v>120x0x0</v>
      </c>
      <c r="AJ123">
        <f t="shared" si="20"/>
        <v>7</v>
      </c>
      <c r="AK123" t="s">
        <v>1201</v>
      </c>
      <c r="AL123" t="str">
        <f>CONCATENATE(VLOOKUP(AJ123,Constants!$A$2:$C$16,IF(AK123&lt;&gt;"", 3, 2), FALSE),IF(AK123&lt;&gt;"",CONCATENATE(",",VLOOKUP(AK123,$B:$AL,37,FALSE)),""))</f>
        <v>2,3,2,2,1,2</v>
      </c>
      <c r="AT123">
        <v>1</v>
      </c>
      <c r="AV123">
        <v>29</v>
      </c>
      <c r="AW123" s="15">
        <f t="shared" si="21"/>
        <v>59</v>
      </c>
      <c r="AX123">
        <v>12</v>
      </c>
      <c r="AY123">
        <v>10</v>
      </c>
      <c r="AZ123">
        <f t="shared" si="22"/>
        <v>17</v>
      </c>
      <c r="BA123">
        <f t="shared" si="23"/>
        <v>6</v>
      </c>
      <c r="BB123">
        <f t="shared" si="24"/>
        <v>5.5500000000000007</v>
      </c>
      <c r="BC123" s="3">
        <f t="shared" si="25"/>
        <v>0.99199999999999999</v>
      </c>
      <c r="BD123">
        <f t="shared" si="26"/>
        <v>0</v>
      </c>
      <c r="BE123">
        <f>VLOOKUP($F123,Constants!$I:$K, 2, FALSE)</f>
        <v>1.1499999999999999</v>
      </c>
      <c r="BF123">
        <f>VLOOKUP($F123,Constants!$I:$K, 3, FALSE)*IF(AND(E123="multiple_unit",Z123&lt;110),0.75,1)</f>
        <v>1.7</v>
      </c>
      <c r="BG123">
        <f>INT(POWER(((Constants!$G$2+$AZ123+$BA123+$BB123+$BD123)*$BC123)*$BF123, 1.05))+$AY123</f>
        <v>79</v>
      </c>
      <c r="BH123">
        <f>INT(POWER((((Constants!$G$1+$AZ123+$BA123+$BB123+$BD123)*($BC123))*$BE123),IF($E123="wagon",1,1.2)))+$AX123</f>
        <v>120</v>
      </c>
      <c r="BI123" s="14">
        <f t="shared" si="27"/>
        <v>61718.75</v>
      </c>
      <c r="BJ123" s="14">
        <f t="shared" si="28"/>
        <v>9750</v>
      </c>
      <c r="BQ123">
        <v>1</v>
      </c>
      <c r="BU123" t="str">
        <f>VLOOKUP(H123,Eras!$A$2:$C$10, 2, TRUE)</f>
        <v>edw</v>
      </c>
      <c r="BV123" t="s">
        <v>328</v>
      </c>
      <c r="BW123" t="str">
        <f t="shared" si="29"/>
        <v>edw_Express</v>
      </c>
      <c r="BX123" t="str">
        <f t="shared" si="30"/>
        <v>steam_RAIL</v>
      </c>
      <c r="BY123" t="str">
        <f>VLOOKUP($BX123, Constants!$M:$N, 2, FALSE)</f>
        <v>{BLACK}Powered by: {GOLD}Steam</v>
      </c>
      <c r="BZ123" t="str">
        <f t="shared" si="39"/>
        <v/>
      </c>
      <c r="CA123" t="s">
        <v>1199</v>
      </c>
      <c r="CB123" t="str">
        <f t="shared" si="38"/>
        <v/>
      </c>
      <c r="CC123" t="str">
        <f t="shared" si="33"/>
        <v>{BLACK}Powered by: {GOLD}Steam {}{SILVER}The Star class was the first in a string of successful four cylinder express locomotives built by the GWR.</v>
      </c>
    </row>
    <row r="124" spans="1:81" x14ac:dyDescent="0.25">
      <c r="A124" t="s">
        <v>18</v>
      </c>
      <c r="B124" t="s">
        <v>157</v>
      </c>
      <c r="C124">
        <v>206</v>
      </c>
      <c r="D124">
        <v>31</v>
      </c>
      <c r="E124" t="s">
        <v>263</v>
      </c>
      <c r="F124" t="s">
        <v>272</v>
      </c>
      <c r="G124" t="s">
        <v>275</v>
      </c>
      <c r="H124">
        <v>1911</v>
      </c>
      <c r="I124">
        <v>1926</v>
      </c>
      <c r="J124">
        <v>1960</v>
      </c>
      <c r="L124">
        <v>850</v>
      </c>
      <c r="N124" s="5">
        <v>20</v>
      </c>
      <c r="O124" s="5">
        <v>26</v>
      </c>
      <c r="P124" s="5">
        <v>2</v>
      </c>
      <c r="Q124" s="5">
        <v>180</v>
      </c>
      <c r="R124" s="6">
        <f t="shared" si="40"/>
        <v>128.72826279491534</v>
      </c>
      <c r="S124" s="5">
        <v>1.7</v>
      </c>
      <c r="T124" s="5">
        <f t="shared" si="41"/>
        <v>868.98395721925135</v>
      </c>
      <c r="U124">
        <v>87</v>
      </c>
      <c r="X124">
        <v>106</v>
      </c>
      <c r="Y124" s="3">
        <f t="shared" si="19"/>
        <v>0.12183908045977011</v>
      </c>
      <c r="Z124">
        <v>50</v>
      </c>
      <c r="AA124">
        <f t="shared" si="34"/>
        <v>80</v>
      </c>
      <c r="AD124">
        <v>13.1</v>
      </c>
      <c r="AE124">
        <v>13.1</v>
      </c>
      <c r="AH124" s="10">
        <v>0</v>
      </c>
      <c r="AI124" t="str">
        <f>CONCATENATE(VLOOKUP(AJ124, 'Voxel Sizes'!$A$2:$B$18,2,FALSE),"x",INT(AF124*15), "x", INT(AG124*15))</f>
        <v>136x0x0</v>
      </c>
      <c r="AJ124">
        <f t="shared" si="20"/>
        <v>8</v>
      </c>
      <c r="AL124" t="str">
        <f>CONCATENATE(VLOOKUP(AJ124,Constants!$A$2:$C$16,IF(AK124&lt;&gt;"", 3, 2), FALSE),IF(AK124&lt;&gt;"",CONCATENATE(",",VLOOKUP(AK124,$B:$AL,37,FALSE)),""))</f>
        <v>2,4,2</v>
      </c>
      <c r="AT124">
        <v>1</v>
      </c>
      <c r="AV124">
        <v>32</v>
      </c>
      <c r="AW124" s="15">
        <f t="shared" si="21"/>
        <v>57</v>
      </c>
      <c r="AZ124">
        <f t="shared" si="22"/>
        <v>10</v>
      </c>
      <c r="BA124">
        <f t="shared" si="23"/>
        <v>4.25</v>
      </c>
      <c r="BB124">
        <f t="shared" si="24"/>
        <v>5.3000000000000007</v>
      </c>
      <c r="BC124" s="3">
        <f t="shared" si="25"/>
        <v>0.98533333333333328</v>
      </c>
      <c r="BD124">
        <f t="shared" si="26"/>
        <v>0</v>
      </c>
      <c r="BE124">
        <f>VLOOKUP($F124,Constants!$I:$K, 2, FALSE)</f>
        <v>1.1499999999999999</v>
      </c>
      <c r="BF124">
        <f>VLOOKUP($F124,Constants!$I:$K, 3, FALSE)*IF(AND(E124="multiple_unit",Z124&lt;110),0.75,1)</f>
        <v>1.7</v>
      </c>
      <c r="BG124">
        <f>INT(POWER(((Constants!$G$2+$AZ124+$BA124+$BB124+$BD124)*$BC124)*$BF124, 1.05))+$AY124</f>
        <v>49</v>
      </c>
      <c r="BH124">
        <f>INT(POWER((((Constants!$G$1+$AZ124+$BA124+$BB124+$BD124)*($BC124))*$BE124),IF($E124="wagon",1,1.2)))+$AX124</f>
        <v>81</v>
      </c>
      <c r="BI124" s="14">
        <f t="shared" si="27"/>
        <v>38281.25</v>
      </c>
      <c r="BJ124" s="14">
        <f t="shared" si="28"/>
        <v>6581.25</v>
      </c>
      <c r="BQ124">
        <v>3</v>
      </c>
      <c r="BU124" t="str">
        <f>VLOOKUP(H124,Eras!$A$2:$C$10, 2, TRUE)</f>
        <v>edw</v>
      </c>
      <c r="BV124" t="s">
        <v>377</v>
      </c>
      <c r="BW124" t="str">
        <f t="shared" si="29"/>
        <v>edw_Passenger</v>
      </c>
      <c r="BX124" t="str">
        <f t="shared" si="30"/>
        <v>steam_RAIL</v>
      </c>
      <c r="BY124" t="str">
        <f>VLOOKUP($BX124, Constants!$M:$N, 2, FALSE)</f>
        <v>{BLACK}Powered by: {GOLD}Steam</v>
      </c>
      <c r="BZ124" t="str">
        <f t="shared" si="39"/>
        <v/>
      </c>
      <c r="CA124" t="s">
        <v>381</v>
      </c>
      <c r="CB124" t="str">
        <f t="shared" si="38"/>
        <v/>
      </c>
      <c r="CC124" t="str">
        <f t="shared" si="33"/>
        <v>{BLACK}Powered by: {GOLD}Steam {}{SILVER}The GCR 9N (later LNER A5) is a 4-6-2 tank locomotive designed for suburban passenger services.</v>
      </c>
    </row>
    <row r="125" spans="1:81" x14ac:dyDescent="0.25">
      <c r="A125" t="s">
        <v>19</v>
      </c>
      <c r="B125" t="s">
        <v>385</v>
      </c>
      <c r="C125">
        <v>208</v>
      </c>
      <c r="D125">
        <v>32</v>
      </c>
      <c r="E125" t="s">
        <v>263</v>
      </c>
      <c r="F125" t="s">
        <v>272</v>
      </c>
      <c r="G125" t="s">
        <v>275</v>
      </c>
      <c r="H125">
        <v>1911</v>
      </c>
      <c r="I125">
        <v>1914</v>
      </c>
      <c r="J125">
        <v>1966</v>
      </c>
      <c r="L125">
        <v>1250</v>
      </c>
      <c r="N125" s="5">
        <v>21</v>
      </c>
      <c r="O125" s="5">
        <v>26</v>
      </c>
      <c r="P125" s="5">
        <v>2</v>
      </c>
      <c r="Q125" s="5">
        <v>180</v>
      </c>
      <c r="R125" s="6">
        <f t="shared" si="40"/>
        <v>123.28904042329923</v>
      </c>
      <c r="S125" s="5">
        <v>1.42</v>
      </c>
      <c r="T125" s="5">
        <f t="shared" si="41"/>
        <v>917.57362355953899</v>
      </c>
      <c r="U125">
        <v>75</v>
      </c>
      <c r="V125" s="8">
        <v>42</v>
      </c>
      <c r="X125">
        <v>139</v>
      </c>
      <c r="Y125" s="3">
        <f t="shared" si="19"/>
        <v>0.1188034188034188</v>
      </c>
      <c r="Z125">
        <v>40</v>
      </c>
      <c r="AA125">
        <f t="shared" si="34"/>
        <v>64</v>
      </c>
      <c r="AD125">
        <v>18.809999999999999</v>
      </c>
      <c r="AE125">
        <v>11.31</v>
      </c>
      <c r="AH125" s="10">
        <v>0</v>
      </c>
      <c r="AI125" t="str">
        <f>CONCATENATE(VLOOKUP(AJ125, 'Voxel Sizes'!$A$2:$B$18,2,FALSE),"x",INT(AF125*15), "x", INT(AG125*15))</f>
        <v>120x0x0</v>
      </c>
      <c r="AJ125">
        <f t="shared" si="20"/>
        <v>7</v>
      </c>
      <c r="AK125" t="s">
        <v>309</v>
      </c>
      <c r="AL125" t="str">
        <f>CONCATENATE(VLOOKUP(AJ125,Constants!$A$2:$C$16,IF(AK125&lt;&gt;"", 3, 2), FALSE),IF(AK125&lt;&gt;"",CONCATENATE(",",VLOOKUP(AK125,$B:$AL,37,FALSE)),""))</f>
        <v>2,3,2,2,1,2</v>
      </c>
      <c r="AT125">
        <v>1</v>
      </c>
      <c r="AV125">
        <v>34</v>
      </c>
      <c r="AW125" s="15">
        <f t="shared" si="21"/>
        <v>63</v>
      </c>
      <c r="AZ125">
        <f t="shared" si="22"/>
        <v>8</v>
      </c>
      <c r="BA125">
        <f t="shared" si="23"/>
        <v>6.25</v>
      </c>
      <c r="BB125">
        <f t="shared" si="24"/>
        <v>6.9499999999999993</v>
      </c>
      <c r="BC125" s="3">
        <f t="shared" si="25"/>
        <v>0.98533333333333328</v>
      </c>
      <c r="BD125">
        <f t="shared" si="26"/>
        <v>0</v>
      </c>
      <c r="BE125">
        <f>VLOOKUP($F125,Constants!$I:$K, 2, FALSE)</f>
        <v>1.1499999999999999</v>
      </c>
      <c r="BF125">
        <f>VLOOKUP($F125,Constants!$I:$K, 3, FALSE)*IF(AND(E125="multiple_unit",Z125&lt;110),0.75,1)</f>
        <v>1.7</v>
      </c>
      <c r="BG125">
        <f>INT(POWER(((Constants!$G$2+$AZ125+$BA125+$BB125+$BD125)*$BC125)*$BF125, 1.05))+$AY125</f>
        <v>53</v>
      </c>
      <c r="BH125">
        <f>INT(POWER((((Constants!$G$1+$AZ125+$BA125+$BB125+$BD125)*($BC125))*$BE125),IF($E125="wagon",1,1.2)))+$AX125</f>
        <v>86</v>
      </c>
      <c r="BI125" s="14">
        <f t="shared" si="27"/>
        <v>41406.25</v>
      </c>
      <c r="BJ125" s="14">
        <f t="shared" si="28"/>
        <v>6987.5</v>
      </c>
      <c r="BQ125">
        <v>4</v>
      </c>
      <c r="BU125" t="str">
        <f>VLOOKUP(H125,Eras!$A$2:$C$10, 2, TRUE)</f>
        <v>edw</v>
      </c>
      <c r="BV125" t="s">
        <v>329</v>
      </c>
      <c r="BW125" t="str">
        <f t="shared" si="29"/>
        <v>edw_Freight</v>
      </c>
      <c r="BX125" t="str">
        <f t="shared" si="30"/>
        <v>steam_RAIL</v>
      </c>
      <c r="BY125" t="str">
        <f>VLOOKUP($BX125, Constants!$M:$N, 2, FALSE)</f>
        <v>{BLACK}Powered by: {GOLD}Steam</v>
      </c>
      <c r="BZ125" t="str">
        <f t="shared" si="39"/>
        <v/>
      </c>
      <c r="CA125" t="s">
        <v>1196</v>
      </c>
      <c r="CB125" t="str">
        <f t="shared" si="38"/>
        <v/>
      </c>
      <c r="CC125" t="str">
        <f t="shared" si="33"/>
        <v>{BLACK}Powered by: {GOLD}Steam {}{SILVER}The Robinson 8K is a heavy freight engine based on earlier 0-8-0 designs, with a front pony truck to improve the ride and axle loads at the front of the locomotive.</v>
      </c>
    </row>
    <row r="126" spans="1:81" x14ac:dyDescent="0.25">
      <c r="A126" t="s">
        <v>1173</v>
      </c>
      <c r="B126" t="s">
        <v>1172</v>
      </c>
      <c r="C126">
        <v>209</v>
      </c>
      <c r="D126">
        <v>33</v>
      </c>
      <c r="E126" t="s">
        <v>263</v>
      </c>
      <c r="F126" t="s">
        <v>272</v>
      </c>
      <c r="G126" t="s">
        <v>275</v>
      </c>
      <c r="H126">
        <v>1919</v>
      </c>
      <c r="J126">
        <v>1956</v>
      </c>
      <c r="L126">
        <v>1400</v>
      </c>
      <c r="N126" s="5">
        <v>16.75</v>
      </c>
      <c r="O126" s="5">
        <v>28</v>
      </c>
      <c r="P126" s="5">
        <v>4</v>
      </c>
      <c r="Q126" s="5">
        <v>180</v>
      </c>
      <c r="R126" s="6">
        <f t="shared" si="40"/>
        <v>125.05031242934635</v>
      </c>
      <c r="S126" s="5">
        <v>1.4</v>
      </c>
      <c r="T126" s="5">
        <f t="shared" si="41"/>
        <v>1275.2840909090912</v>
      </c>
      <c r="U126">
        <v>74.8</v>
      </c>
      <c r="V126" s="8">
        <f>106.7-74.8</f>
        <v>31.900000000000006</v>
      </c>
      <c r="X126">
        <v>193</v>
      </c>
      <c r="Y126" s="3">
        <f t="shared" si="19"/>
        <v>0.18088097469540768</v>
      </c>
      <c r="Z126">
        <v>40</v>
      </c>
      <c r="AA126">
        <f t="shared" si="34"/>
        <v>64</v>
      </c>
      <c r="AE126">
        <v>13</v>
      </c>
      <c r="AH126" s="10">
        <v>0</v>
      </c>
      <c r="AI126" t="str">
        <f>CONCATENATE(VLOOKUP(AJ126, 'Voxel Sizes'!$A$2:$B$18,2,FALSE),"x",INT(AF126*15), "x", INT(AG126*15))</f>
        <v>136x0x0</v>
      </c>
      <c r="AJ126">
        <f t="shared" si="20"/>
        <v>8</v>
      </c>
      <c r="AK126" t="s">
        <v>1190</v>
      </c>
      <c r="AL126" t="str">
        <f>CONCATENATE(VLOOKUP(AJ126,Constants!$A$2:$C$16,IF(AK126&lt;&gt;"", 3, 2), FALSE),IF(AK126&lt;&gt;"",CONCATENATE(",",VLOOKUP(AK126,$B:$AL,37,FALSE)),""))</f>
        <v>2,4,2,2,1,2</v>
      </c>
      <c r="AT126">
        <v>1</v>
      </c>
      <c r="AV126">
        <v>31</v>
      </c>
      <c r="AW126" s="15">
        <f t="shared" si="21"/>
        <v>45</v>
      </c>
      <c r="AY126">
        <v>4</v>
      </c>
      <c r="AZ126">
        <f t="shared" si="22"/>
        <v>8</v>
      </c>
      <c r="BA126">
        <f t="shared" si="23"/>
        <v>7</v>
      </c>
      <c r="BB126">
        <f t="shared" si="24"/>
        <v>9.65</v>
      </c>
      <c r="BC126" s="3">
        <f t="shared" si="25"/>
        <v>0.97466666666666668</v>
      </c>
      <c r="BD126">
        <f t="shared" si="26"/>
        <v>0</v>
      </c>
      <c r="BE126">
        <f>VLOOKUP($F126,Constants!$I:$K, 2, FALSE)</f>
        <v>1.1499999999999999</v>
      </c>
      <c r="BF126">
        <f>VLOOKUP($F126,Constants!$I:$K, 3, FALSE)*IF(AND(E126="multiple_unit",Z126&lt;110),0.75,1)</f>
        <v>1.7</v>
      </c>
      <c r="BG126">
        <f>INT(POWER(((Constants!$G$2+$AZ126+$BA126+$BB126+$BD126)*$BC126)*$BF126, 1.05))+$AY126</f>
        <v>63</v>
      </c>
      <c r="BH126">
        <f>INT(POWER((((Constants!$G$1+$AZ126+$BA126+$BB126+$BD126)*($BC126))*$BE126),IF($E126="wagon",1,1.2)))+$AX126</f>
        <v>94</v>
      </c>
      <c r="BI126" s="14">
        <f t="shared" si="27"/>
        <v>49218.75</v>
      </c>
      <c r="BJ126" s="14">
        <f t="shared" si="28"/>
        <v>7637.5</v>
      </c>
      <c r="BQ126">
        <v>3</v>
      </c>
      <c r="BU126" t="str">
        <f>VLOOKUP(H126,Eras!$A$2:$C$10, 2, TRUE)</f>
        <v>edw</v>
      </c>
      <c r="BV126" t="s">
        <v>329</v>
      </c>
      <c r="BW126" t="str">
        <f t="shared" si="29"/>
        <v>edw_Freight</v>
      </c>
      <c r="BX126" t="str">
        <f t="shared" si="30"/>
        <v>steam_RAIL</v>
      </c>
      <c r="BY126" t="str">
        <f>VLOOKUP($BX126, Constants!$M:$N, 2, FALSE)</f>
        <v>{BLACK}Powered by: {GOLD}Steam</v>
      </c>
      <c r="BZ126" t="str">
        <f t="shared" si="39"/>
        <v/>
      </c>
      <c r="CA126" t="s">
        <v>1184</v>
      </c>
      <c r="CB126" t="str">
        <f t="shared" si="38"/>
        <v/>
      </c>
      <c r="CC126" t="str">
        <f t="shared" si="33"/>
        <v>{BLACK}Powered by: {GOLD}Steam {}{SILVER}The "Lickey Banker" was a single 0-10-0 engine built to help add power and tractive effort to trains climbing the 1 in 37 Lickey Incline.</v>
      </c>
    </row>
    <row r="127" spans="1:81" x14ac:dyDescent="0.25">
      <c r="A127" t="s">
        <v>387</v>
      </c>
      <c r="B127" t="s">
        <v>388</v>
      </c>
      <c r="C127">
        <v>210</v>
      </c>
      <c r="D127">
        <v>34</v>
      </c>
      <c r="E127" t="s">
        <v>263</v>
      </c>
      <c r="F127" t="s">
        <v>272</v>
      </c>
      <c r="G127" t="s">
        <v>275</v>
      </c>
      <c r="H127">
        <v>1912</v>
      </c>
      <c r="J127">
        <v>1962</v>
      </c>
      <c r="L127">
        <v>1050</v>
      </c>
      <c r="N127" s="5">
        <v>20</v>
      </c>
      <c r="O127" s="5">
        <v>26</v>
      </c>
      <c r="P127" s="5">
        <v>2</v>
      </c>
      <c r="Q127" s="5">
        <v>180</v>
      </c>
      <c r="R127" s="6">
        <f t="shared" si="40"/>
        <v>141.60108907440687</v>
      </c>
      <c r="S127" s="5">
        <v>1.7</v>
      </c>
      <c r="T127" s="5">
        <f t="shared" si="41"/>
        <v>955.88235294117646</v>
      </c>
      <c r="U127">
        <v>61</v>
      </c>
      <c r="X127">
        <v>104</v>
      </c>
      <c r="Y127" s="3">
        <f t="shared" si="19"/>
        <v>0.17049180327868851</v>
      </c>
      <c r="Z127">
        <v>55</v>
      </c>
      <c r="AA127">
        <f t="shared" si="34"/>
        <v>88</v>
      </c>
      <c r="AD127">
        <v>14.4</v>
      </c>
      <c r="AE127">
        <v>10</v>
      </c>
      <c r="AH127" s="10">
        <v>0</v>
      </c>
      <c r="AI127" t="str">
        <f>CONCATENATE(VLOOKUP(AJ127, 'Voxel Sizes'!$A$2:$B$18,2,FALSE),"x",INT(AF127*15), "x", INT(AG127*15))</f>
        <v>102x0x0</v>
      </c>
      <c r="AJ127">
        <f t="shared" si="20"/>
        <v>6</v>
      </c>
      <c r="AK127" t="s">
        <v>390</v>
      </c>
      <c r="AL127" t="str">
        <f>CONCATENATE(VLOOKUP(AJ127,Constants!$A$2:$C$16,IF(AK127&lt;&gt;"", 3, 2), FALSE),IF(AK127&lt;&gt;"",CONCATENATE(",",VLOOKUP(AK127,$B:$AL,37,FALSE)),""))</f>
        <v>2,2,2,2,1,2</v>
      </c>
      <c r="AT127">
        <v>1</v>
      </c>
      <c r="AV127">
        <v>30</v>
      </c>
      <c r="AW127" s="15">
        <f t="shared" si="21"/>
        <v>58</v>
      </c>
      <c r="AX127">
        <v>5</v>
      </c>
      <c r="AZ127">
        <f t="shared" si="22"/>
        <v>11</v>
      </c>
      <c r="BA127">
        <f t="shared" si="23"/>
        <v>5.25</v>
      </c>
      <c r="BB127">
        <f t="shared" si="24"/>
        <v>5.2</v>
      </c>
      <c r="BC127" s="3">
        <f t="shared" si="25"/>
        <v>0.98399999999999999</v>
      </c>
      <c r="BD127">
        <f t="shared" si="26"/>
        <v>0</v>
      </c>
      <c r="BE127">
        <f>VLOOKUP($F127,Constants!$I:$K, 2, FALSE)</f>
        <v>1.1499999999999999</v>
      </c>
      <c r="BF127">
        <f>VLOOKUP($F127,Constants!$I:$K, 3, FALSE)*IF(AND(E127="multiple_unit",Z127&lt;110),0.75,1)</f>
        <v>1.7</v>
      </c>
      <c r="BG127">
        <f>INT(POWER(((Constants!$G$2+$AZ127+$BA127+$BB127+$BD127)*$BC127)*$BF127, 1.05))+$AY127</f>
        <v>53</v>
      </c>
      <c r="BH127">
        <f>INT(POWER((((Constants!$G$1+$AZ127+$BA127+$BB127+$BD127)*($BC127))*$BE127),IF($E127="wagon",1,1.2)))+$AX127</f>
        <v>91</v>
      </c>
      <c r="BI127" s="14">
        <f t="shared" si="27"/>
        <v>41406.25</v>
      </c>
      <c r="BJ127" s="14">
        <f t="shared" si="28"/>
        <v>7393.75</v>
      </c>
      <c r="BQ127">
        <v>5</v>
      </c>
      <c r="BU127" t="str">
        <f>VLOOKUP(H127,Eras!$A$2:$C$10, 2, TRUE)</f>
        <v>edw</v>
      </c>
      <c r="BV127" t="s">
        <v>329</v>
      </c>
      <c r="BW127" t="str">
        <f t="shared" si="29"/>
        <v>edw_Freight</v>
      </c>
      <c r="BX127" t="str">
        <f t="shared" si="30"/>
        <v>steam_RAIL</v>
      </c>
      <c r="BY127" t="str">
        <f>VLOOKUP($BX127, Constants!$M:$N, 2, FALSE)</f>
        <v>{BLACK}Powered by: {GOLD}Steam</v>
      </c>
      <c r="BZ127" t="str">
        <f t="shared" si="39"/>
        <v/>
      </c>
      <c r="CA127" t="s">
        <v>386</v>
      </c>
      <c r="CB127" t="str">
        <f t="shared" si="38"/>
        <v/>
      </c>
      <c r="CC127" t="str">
        <f t="shared" si="33"/>
        <v>{BLACK}Powered by: {GOLD}Steam {}{SILVER}The Gresley K2 is a freight engine, designed for the GNR which had been using passenger engines to haul goods trains.</v>
      </c>
    </row>
    <row r="128" spans="1:81" x14ac:dyDescent="0.25">
      <c r="A128" t="s">
        <v>1180</v>
      </c>
      <c r="B128" t="s">
        <v>1181</v>
      </c>
      <c r="C128">
        <v>211</v>
      </c>
      <c r="D128">
        <v>35</v>
      </c>
      <c r="E128" t="s">
        <v>263</v>
      </c>
      <c r="F128" t="s">
        <v>272</v>
      </c>
      <c r="G128" t="s">
        <v>275</v>
      </c>
      <c r="H128">
        <v>1920</v>
      </c>
      <c r="J128">
        <v>1960</v>
      </c>
      <c r="L128">
        <v>1250</v>
      </c>
      <c r="N128" s="5">
        <v>20</v>
      </c>
      <c r="O128" s="5">
        <v>28</v>
      </c>
      <c r="P128" s="5">
        <v>2</v>
      </c>
      <c r="Q128" s="5">
        <v>180</v>
      </c>
      <c r="R128" s="6">
        <f t="shared" si="40"/>
        <v>175.07043740108486</v>
      </c>
      <c r="S128" s="5">
        <v>1.5</v>
      </c>
      <c r="T128" s="5">
        <f t="shared" si="41"/>
        <v>1272.727272727273</v>
      </c>
      <c r="U128">
        <v>55.6</v>
      </c>
      <c r="V128" s="8">
        <v>32</v>
      </c>
      <c r="X128">
        <v>129</v>
      </c>
      <c r="Y128" s="3">
        <f t="shared" si="19"/>
        <v>0.14726027397260275</v>
      </c>
      <c r="Z128">
        <v>60</v>
      </c>
      <c r="AA128">
        <f t="shared" si="34"/>
        <v>96</v>
      </c>
      <c r="AD128">
        <v>16.61</v>
      </c>
      <c r="AE128">
        <v>10</v>
      </c>
      <c r="AH128" s="10">
        <v>0</v>
      </c>
      <c r="AI128" t="str">
        <f>CONCATENATE(VLOOKUP(AJ128, 'Voxel Sizes'!$A$2:$B$18,2,FALSE),"x",INT(AF128*15), "x", INT(AG128*15))</f>
        <v>102x0x0</v>
      </c>
      <c r="AJ128">
        <f t="shared" si="20"/>
        <v>6</v>
      </c>
      <c r="AK128" t="s">
        <v>390</v>
      </c>
      <c r="AL128" t="str">
        <f>CONCATENATE(VLOOKUP(AJ128,Constants!$A$2:$C$16,IF(AK128&lt;&gt;"", 3, 2), FALSE),IF(AK128&lt;&gt;"",CONCATENATE(",",VLOOKUP(AK128,$B:$AL,37,FALSE)),""))</f>
        <v>2,2,2,2,1,2</v>
      </c>
      <c r="AT128">
        <v>1</v>
      </c>
      <c r="AV128">
        <v>30</v>
      </c>
      <c r="AW128" s="15">
        <f t="shared" si="21"/>
        <v>48</v>
      </c>
      <c r="AZ128">
        <f t="shared" si="22"/>
        <v>12</v>
      </c>
      <c r="BA128">
        <f t="shared" si="23"/>
        <v>6.25</v>
      </c>
      <c r="BB128">
        <f t="shared" si="24"/>
        <v>6.45</v>
      </c>
      <c r="BC128" s="3">
        <f t="shared" si="25"/>
        <v>0.97333333333333338</v>
      </c>
      <c r="BD128">
        <f t="shared" si="26"/>
        <v>0</v>
      </c>
      <c r="BE128">
        <f>VLOOKUP($F128,Constants!$I:$K, 2, FALSE)</f>
        <v>1.1499999999999999</v>
      </c>
      <c r="BF128">
        <f>VLOOKUP($F128,Constants!$I:$K, 3, FALSE)*IF(AND(E128="multiple_unit",Z128&lt;110),0.75,1)</f>
        <v>1.7</v>
      </c>
      <c r="BG128">
        <f>INT(POWER(((Constants!$G$2+$AZ128+$BA128+$BB128+$BD128)*$BC128)*$BF128, 1.05))+$AY128</f>
        <v>59</v>
      </c>
      <c r="BH128">
        <f>INT(POWER((((Constants!$G$1+$AZ128+$BA128+$BB128+$BD128)*($BC128))*$BE128),IF($E128="wagon",1,1.2)))+$AX128</f>
        <v>94</v>
      </c>
      <c r="BI128" s="14">
        <f t="shared" si="27"/>
        <v>46093.75</v>
      </c>
      <c r="BJ128" s="14">
        <f t="shared" si="28"/>
        <v>7637.5</v>
      </c>
      <c r="BQ128">
        <v>4</v>
      </c>
      <c r="BU128" t="str">
        <f>VLOOKUP(H128,Eras!$A$2:$C$10, 2, TRUE)</f>
        <v>edw</v>
      </c>
      <c r="BV128" t="s">
        <v>329</v>
      </c>
      <c r="BW128" t="str">
        <f t="shared" si="29"/>
        <v>edw_Freight</v>
      </c>
      <c r="BX128" t="str">
        <f t="shared" si="30"/>
        <v>steam_RAIL</v>
      </c>
      <c r="BY128" t="str">
        <f>VLOOKUP($BX128, Constants!$M:$N, 2, FALSE)</f>
        <v>{BLACK}Powered by: {GOLD}Steam</v>
      </c>
      <c r="BZ128" t="str">
        <f t="shared" si="39"/>
        <v/>
      </c>
      <c r="CA128" t="s">
        <v>1482</v>
      </c>
      <c r="CB128" t="str">
        <f t="shared" si="38"/>
        <v/>
      </c>
      <c r="CC128" t="str">
        <f t="shared" si="33"/>
        <v>{BLACK}Powered by: {GOLD}Steam {}{SILVER}The D81 (later LNER J20 Class) continued the GER's habit of building powerful 0-6-0s, and remained the most powerful British 0-6-0 tender locomotive for over twenty years.</v>
      </c>
    </row>
    <row r="129" spans="1:81" x14ac:dyDescent="0.25">
      <c r="A129" t="s">
        <v>56</v>
      </c>
      <c r="B129" t="s">
        <v>158</v>
      </c>
      <c r="C129">
        <v>212</v>
      </c>
      <c r="D129">
        <v>36</v>
      </c>
      <c r="E129" t="s">
        <v>263</v>
      </c>
      <c r="F129" t="s">
        <v>296</v>
      </c>
      <c r="G129" t="s">
        <v>297</v>
      </c>
      <c r="H129">
        <v>1914</v>
      </c>
      <c r="I129">
        <v>1919</v>
      </c>
      <c r="J129">
        <v>1950</v>
      </c>
      <c r="L129">
        <v>1100</v>
      </c>
      <c r="U129">
        <v>76</v>
      </c>
      <c r="X129">
        <v>140</v>
      </c>
      <c r="Y129" s="3">
        <f t="shared" si="19"/>
        <v>0.18421052631578946</v>
      </c>
      <c r="Z129">
        <v>35</v>
      </c>
      <c r="AA129">
        <f t="shared" si="34"/>
        <v>56</v>
      </c>
      <c r="AD129">
        <v>12</v>
      </c>
      <c r="AE129">
        <v>12</v>
      </c>
      <c r="AH129" s="10">
        <v>0</v>
      </c>
      <c r="AI129" t="str">
        <f>CONCATENATE(VLOOKUP(AJ129, 'Voxel Sizes'!$A$2:$B$18,2,FALSE),"x",INT(AF129*15), "x", INT(AG129*15))</f>
        <v>120x0x0</v>
      </c>
      <c r="AJ129">
        <f t="shared" si="20"/>
        <v>7</v>
      </c>
      <c r="AL129" t="str">
        <f>CONCATENATE(VLOOKUP(AJ129,Constants!$A$2:$C$16,IF(AK129&lt;&gt;"", 3, 2), FALSE),IF(AK129&lt;&gt;"",CONCATENATE(",",VLOOKUP(AK129,$B:$AL,37,FALSE)),""))</f>
        <v>2,3,2</v>
      </c>
      <c r="AV129">
        <v>16</v>
      </c>
      <c r="AW129" s="15">
        <f t="shared" si="21"/>
        <v>44</v>
      </c>
      <c r="AY129">
        <v>8</v>
      </c>
      <c r="AZ129">
        <f t="shared" si="22"/>
        <v>7</v>
      </c>
      <c r="BA129">
        <f t="shared" si="23"/>
        <v>5.5</v>
      </c>
      <c r="BB129">
        <f t="shared" si="24"/>
        <v>7</v>
      </c>
      <c r="BC129" s="3">
        <f t="shared" si="25"/>
        <v>0.98133333333333328</v>
      </c>
      <c r="BD129">
        <f t="shared" si="26"/>
        <v>0</v>
      </c>
      <c r="BE129">
        <f>VLOOKUP($F129,Constants!$I:$K, 2, FALSE)</f>
        <v>0.85</v>
      </c>
      <c r="BF129">
        <f>VLOOKUP($F129,Constants!$I:$K, 3, FALSE)*IF(AND(E129="multiple_unit",Z129&lt;110),0.75,1)</f>
        <v>2.2999999999999998</v>
      </c>
      <c r="BG129">
        <f>INT(POWER(((Constants!$G$2+$AZ129+$BA129+$BB129+$BD129)*$BC129)*$BF129, 1.05))+$AY129</f>
        <v>75</v>
      </c>
      <c r="BH129">
        <f>INT(POWER((((Constants!$G$1+$AZ129+$BA129+$BB129+$BD129)*($BC129))*$BE129),IF($E129="wagon",1,1.2)))+$AX129</f>
        <v>56</v>
      </c>
      <c r="BI129" s="14">
        <f t="shared" si="27"/>
        <v>58593.75</v>
      </c>
      <c r="BJ129" s="14">
        <f t="shared" si="28"/>
        <v>4550</v>
      </c>
      <c r="BQ129">
        <v>6</v>
      </c>
      <c r="BU129" t="str">
        <f>VLOOKUP(H129,Eras!$A$2:$C$10, 2, TRUE)</f>
        <v>edw</v>
      </c>
      <c r="BV129" t="s">
        <v>339</v>
      </c>
      <c r="BW129" t="str">
        <f t="shared" si="29"/>
        <v>edw_Freight (Electric)</v>
      </c>
      <c r="BX129" t="str">
        <f t="shared" si="30"/>
        <v>electric_ELRL</v>
      </c>
      <c r="BY129" t="str">
        <f>VLOOKUP($BX129, Constants!$M:$N, 2, FALSE)</f>
        <v>{BLACK}Powered by: {GOLD}25kV AC</v>
      </c>
      <c r="BZ129" t="str">
        <f t="shared" si="39"/>
        <v/>
      </c>
      <c r="CA129" t="s">
        <v>391</v>
      </c>
      <c r="CB129" t="str">
        <f t="shared" si="38"/>
        <v/>
      </c>
      <c r="CC129" t="str">
        <f t="shared" si="33"/>
        <v>{BLACK}Powered by: {GOLD}25kV AC {}{SILVER}The LNER EF1 is an early electric freight engine designed for hauling heavy coal trains.</v>
      </c>
    </row>
    <row r="130" spans="1:81" x14ac:dyDescent="0.25">
      <c r="A130" t="s">
        <v>6</v>
      </c>
      <c r="B130" t="s">
        <v>159</v>
      </c>
      <c r="C130">
        <v>214</v>
      </c>
      <c r="D130">
        <v>37</v>
      </c>
      <c r="E130" t="s">
        <v>263</v>
      </c>
      <c r="F130" t="s">
        <v>272</v>
      </c>
      <c r="G130" t="s">
        <v>275</v>
      </c>
      <c r="H130">
        <v>1923</v>
      </c>
      <c r="J130">
        <v>1966</v>
      </c>
      <c r="L130">
        <v>950</v>
      </c>
      <c r="N130" s="5">
        <v>20</v>
      </c>
      <c r="O130" s="5">
        <v>26</v>
      </c>
      <c r="P130" s="5">
        <v>2</v>
      </c>
      <c r="Q130" s="5">
        <v>175</v>
      </c>
      <c r="R130" s="6">
        <f t="shared" ref="R130:R135" si="42">((($Z130/2)/60)*5280)/($S130*3.2*PI())</f>
        <v>150.4511571415573</v>
      </c>
      <c r="S130" s="5">
        <v>1.6</v>
      </c>
      <c r="T130" s="5">
        <f t="shared" ref="T130:T135" si="43">((($N130*$N130/4)*PI())*($O130/12)*$P130*$Q130*$R130)/(33000*1.1)</f>
        <v>987.41319444444446</v>
      </c>
      <c r="U130">
        <f>49.5+41.8</f>
        <v>91.3</v>
      </c>
      <c r="X130">
        <v>109</v>
      </c>
      <c r="Y130" s="3">
        <f t="shared" si="19"/>
        <v>0.11938663745892661</v>
      </c>
      <c r="Z130">
        <v>55</v>
      </c>
      <c r="AA130">
        <f t="shared" si="34"/>
        <v>88</v>
      </c>
      <c r="AD130">
        <v>15.8</v>
      </c>
      <c r="AE130">
        <v>10</v>
      </c>
      <c r="AH130" s="10">
        <v>0</v>
      </c>
      <c r="AI130" t="str">
        <f>CONCATENATE(VLOOKUP(AJ130, 'Voxel Sizes'!$A$2:$B$18,2,FALSE),"x",INT(AF130*15), "x", INT(AG130*15))</f>
        <v>102x0x0</v>
      </c>
      <c r="AJ130">
        <f t="shared" si="20"/>
        <v>6</v>
      </c>
      <c r="AK130" t="s">
        <v>309</v>
      </c>
      <c r="AL130" t="str">
        <f>CONCATENATE(VLOOKUP(AJ130,Constants!$A$2:$C$16,IF(AK130&lt;&gt;"", 3, 2), FALSE),IF(AK130&lt;&gt;"",CONCATENATE(",",VLOOKUP(AK130,$B:$AL,37,FALSE)),""))</f>
        <v>2,2,2,2,1,2</v>
      </c>
      <c r="AT130">
        <v>1</v>
      </c>
      <c r="AV130">
        <v>36</v>
      </c>
      <c r="AW130" s="15">
        <f t="shared" si="21"/>
        <v>51</v>
      </c>
      <c r="AZ130">
        <f t="shared" si="22"/>
        <v>11</v>
      </c>
      <c r="BA130">
        <f t="shared" si="23"/>
        <v>4.75</v>
      </c>
      <c r="BB130">
        <f t="shared" si="24"/>
        <v>5.45</v>
      </c>
      <c r="BC130" s="3">
        <f t="shared" si="25"/>
        <v>0.96933333333333338</v>
      </c>
      <c r="BD130">
        <f t="shared" si="26"/>
        <v>0</v>
      </c>
      <c r="BE130">
        <f>VLOOKUP($F130,Constants!$I:$K, 2, FALSE)</f>
        <v>1.1499999999999999</v>
      </c>
      <c r="BF130">
        <f>VLOOKUP($F130,Constants!$I:$K, 3, FALSE)*IF(AND(E130="multiple_unit",Z130&lt;110),0.75,1)</f>
        <v>1.7</v>
      </c>
      <c r="BG130">
        <f>INT(POWER(((Constants!$G$2+$AZ130+$BA130+$BB130+$BD130)*$BC130)*$BF130, 1.05))+$AY130</f>
        <v>52</v>
      </c>
      <c r="BH130">
        <f>INT(POWER((((Constants!$G$1+$AZ130+$BA130+$BB130+$BD130)*($BC130))*$BE130),IF($E130="wagon",1,1.2)))+$AX130</f>
        <v>84</v>
      </c>
      <c r="BI130" s="14">
        <f t="shared" si="27"/>
        <v>40625</v>
      </c>
      <c r="BJ130" s="14">
        <f t="shared" si="28"/>
        <v>6825</v>
      </c>
      <c r="BQ130">
        <v>9</v>
      </c>
      <c r="BU130" t="str">
        <f>VLOOKUP(H130,Eras!$A$2:$C$10, 2, TRUE)</f>
        <v>big4</v>
      </c>
      <c r="BV130" t="s">
        <v>327</v>
      </c>
      <c r="BW130" t="str">
        <f t="shared" si="29"/>
        <v>big4_Mixed Traffic</v>
      </c>
      <c r="BX130" t="str">
        <f t="shared" si="30"/>
        <v>steam_RAIL</v>
      </c>
      <c r="BY130" t="str">
        <f>VLOOKUP($BX130, Constants!$M:$N, 2, FALSE)</f>
        <v>{BLACK}Powered by: {GOLD}Steam</v>
      </c>
      <c r="BZ130" t="str">
        <f t="shared" si="39"/>
        <v/>
      </c>
      <c r="CA130" t="s">
        <v>417</v>
      </c>
      <c r="CB130" t="str">
        <f t="shared" si="38"/>
        <v/>
      </c>
      <c r="CC130" t="str">
        <f t="shared" si="33"/>
        <v>{BLACK}Powered by: {GOLD}Steam {}{SILVER}The Fowler 4F is a development of the earlier Midland 3835 class.</v>
      </c>
    </row>
    <row r="131" spans="1:81" x14ac:dyDescent="0.25">
      <c r="A131" t="s">
        <v>1174</v>
      </c>
      <c r="B131" t="s">
        <v>1176</v>
      </c>
      <c r="C131">
        <v>215</v>
      </c>
      <c r="D131">
        <v>38</v>
      </c>
      <c r="E131" t="s">
        <v>263</v>
      </c>
      <c r="F131" t="s">
        <v>272</v>
      </c>
      <c r="G131" t="s">
        <v>275</v>
      </c>
      <c r="H131">
        <v>1921</v>
      </c>
      <c r="J131">
        <v>1962</v>
      </c>
      <c r="L131">
        <v>450</v>
      </c>
      <c r="N131" s="5">
        <v>15</v>
      </c>
      <c r="O131" s="5">
        <v>22</v>
      </c>
      <c r="P131" s="5">
        <v>2</v>
      </c>
      <c r="Q131" s="5">
        <v>160</v>
      </c>
      <c r="R131" s="6">
        <f t="shared" si="42"/>
        <v>159.15494309189532</v>
      </c>
      <c r="S131" s="5">
        <v>1.1000000000000001</v>
      </c>
      <c r="T131" s="5">
        <f t="shared" si="43"/>
        <v>454.54545454545445</v>
      </c>
      <c r="U131">
        <v>33.299999999999997</v>
      </c>
      <c r="X131">
        <v>65</v>
      </c>
      <c r="Y131" s="3">
        <f t="shared" si="19"/>
        <v>0.19519519519519518</v>
      </c>
      <c r="Z131">
        <v>40</v>
      </c>
      <c r="AA131">
        <f t="shared" si="34"/>
        <v>64</v>
      </c>
      <c r="AE131">
        <v>8</v>
      </c>
      <c r="AH131" s="10">
        <v>0</v>
      </c>
      <c r="AI131" t="str">
        <f>CONCATENATE(VLOOKUP(AJ131, 'Voxel Sizes'!$A$2:$B$18,2,FALSE),"x",INT(AF131*15), "x", INT(AG131*15))</f>
        <v>82x0x0</v>
      </c>
      <c r="AJ131">
        <f t="shared" si="20"/>
        <v>5</v>
      </c>
      <c r="AL131" t="str">
        <f>CONCATENATE(VLOOKUP(AJ131,Constants!$A$2:$C$16,IF(AK131&lt;&gt;"", 3, 2), FALSE),IF(AK131&lt;&gt;"",CONCATENATE(",",VLOOKUP(AK131,$B:$AL,37,FALSE)),""))</f>
        <v>2,1,2</v>
      </c>
      <c r="AT131">
        <v>1</v>
      </c>
      <c r="AV131">
        <v>33</v>
      </c>
      <c r="AW131" s="15">
        <f t="shared" si="21"/>
        <v>49</v>
      </c>
      <c r="AX131">
        <v>-15</v>
      </c>
      <c r="AY131">
        <v>-9</v>
      </c>
      <c r="AZ131">
        <f t="shared" si="22"/>
        <v>8</v>
      </c>
      <c r="BA131">
        <f t="shared" si="23"/>
        <v>2.25</v>
      </c>
      <c r="BB131">
        <f t="shared" si="24"/>
        <v>3.25</v>
      </c>
      <c r="BC131" s="3">
        <f t="shared" si="25"/>
        <v>0.97199999999999998</v>
      </c>
      <c r="BD131">
        <f t="shared" si="26"/>
        <v>0</v>
      </c>
      <c r="BE131">
        <f>VLOOKUP($F131,Constants!$I:$K, 2, FALSE)</f>
        <v>1.1499999999999999</v>
      </c>
      <c r="BF131">
        <f>VLOOKUP($F131,Constants!$I:$K, 3, FALSE)*IF(AND(E131="multiple_unit",Z131&lt;110),0.75,1)</f>
        <v>1.7</v>
      </c>
      <c r="BG131">
        <f>INT(POWER(((Constants!$G$2+$AZ131+$BA131+$BB131+$BD131)*$BC131)*$BF131, 1.05))+$AY131</f>
        <v>27</v>
      </c>
      <c r="BH131">
        <f>INT(POWER((((Constants!$G$1+$AZ131+$BA131+$BB131+$BD131)*($BC131))*$BE131),IF($E131="wagon",1,1.2)))+$AX131</f>
        <v>48</v>
      </c>
      <c r="BI131" s="14">
        <f t="shared" si="27"/>
        <v>21093.75</v>
      </c>
      <c r="BJ131" s="14">
        <f t="shared" si="28"/>
        <v>3900</v>
      </c>
      <c r="BQ131">
        <v>6</v>
      </c>
      <c r="BU131" t="str">
        <f>VLOOKUP(H131,Eras!$A$2:$C$10, 2, TRUE)</f>
        <v>edw</v>
      </c>
      <c r="BV131" t="s">
        <v>326</v>
      </c>
      <c r="BW131" t="str">
        <f t="shared" si="29"/>
        <v>edw_Cheap</v>
      </c>
      <c r="BX131" t="str">
        <f t="shared" si="30"/>
        <v>steam_RAIL</v>
      </c>
      <c r="BY131" t="str">
        <f>VLOOKUP($BX131, Constants!$M:$N, 2, FALSE)</f>
        <v>{BLACK}Powered by: {GOLD}Steam</v>
      </c>
      <c r="BZ131" t="str">
        <f t="shared" si="39"/>
        <v/>
      </c>
      <c r="CA131" t="s">
        <v>1192</v>
      </c>
      <c r="CB131" t="str">
        <f t="shared" si="38"/>
        <v/>
      </c>
      <c r="CC131" t="str">
        <f t="shared" si="33"/>
        <v>{BLACK}Powered by: {GOLD}Steam {}{SILVER}The 1528 class is a small 0-4-0 tank engine. Designed for shunting, it was built in two batches, the first in 1907 and the second (as here) with minor detail changes in 1921</v>
      </c>
    </row>
    <row r="132" spans="1:81" x14ac:dyDescent="0.25">
      <c r="A132" t="s">
        <v>418</v>
      </c>
      <c r="B132" t="s">
        <v>419</v>
      </c>
      <c r="C132">
        <v>216</v>
      </c>
      <c r="D132">
        <v>39</v>
      </c>
      <c r="E132" t="s">
        <v>263</v>
      </c>
      <c r="F132" t="s">
        <v>272</v>
      </c>
      <c r="G132" t="s">
        <v>275</v>
      </c>
      <c r="H132">
        <v>1923</v>
      </c>
      <c r="I132">
        <v>1950</v>
      </c>
      <c r="J132">
        <v>1950</v>
      </c>
      <c r="L132">
        <v>1900</v>
      </c>
      <c r="N132" s="5">
        <v>16</v>
      </c>
      <c r="O132" s="5">
        <v>26</v>
      </c>
      <c r="P132" s="5">
        <v>4</v>
      </c>
      <c r="Q132" s="5">
        <v>225</v>
      </c>
      <c r="R132" s="6">
        <f t="shared" si="42"/>
        <v>223.21480768638321</v>
      </c>
      <c r="S132" s="5">
        <v>2</v>
      </c>
      <c r="T132" s="5">
        <f t="shared" si="43"/>
        <v>2410.9090909090905</v>
      </c>
      <c r="U132">
        <v>81.099999999999994</v>
      </c>
      <c r="V132" s="8">
        <v>48</v>
      </c>
      <c r="X132">
        <v>141</v>
      </c>
      <c r="Y132" s="3">
        <f t="shared" si="19"/>
        <v>0.10921766072811774</v>
      </c>
      <c r="Z132">
        <v>102</v>
      </c>
      <c r="AA132">
        <f t="shared" si="34"/>
        <v>163</v>
      </c>
      <c r="AC132">
        <v>1</v>
      </c>
      <c r="AD132">
        <v>19.86</v>
      </c>
      <c r="AE132">
        <f>AD132-7.64</f>
        <v>12.219999999999999</v>
      </c>
      <c r="AG132">
        <v>4.07</v>
      </c>
      <c r="AH132" s="10">
        <v>0</v>
      </c>
      <c r="AI132" t="str">
        <f>CONCATENATE(VLOOKUP(AJ132, 'Voxel Sizes'!$A$2:$B$18,2,FALSE),"x",INT(AF132*15), "x", INT(AG132*15))</f>
        <v>120x0x61</v>
      </c>
      <c r="AJ132">
        <f t="shared" si="20"/>
        <v>7</v>
      </c>
      <c r="AK132" t="s">
        <v>421</v>
      </c>
      <c r="AL132" t="str">
        <f>CONCATENATE(VLOOKUP(AJ132,Constants!$A$2:$C$16,IF(AK132&lt;&gt;"", 3, 2), FALSE),IF(AK132&lt;&gt;"",CONCATENATE(",",VLOOKUP(AK132,$B:$AL,37,FALSE)),""))</f>
        <v>2,3,2,2,1,2</v>
      </c>
      <c r="AT132">
        <v>1</v>
      </c>
      <c r="AV132">
        <v>30</v>
      </c>
      <c r="AW132" s="15">
        <f t="shared" si="21"/>
        <v>35</v>
      </c>
      <c r="AZ132">
        <f t="shared" si="22"/>
        <v>20.400000000000002</v>
      </c>
      <c r="BA132">
        <f t="shared" si="23"/>
        <v>9.5</v>
      </c>
      <c r="BB132">
        <f t="shared" si="24"/>
        <v>7.05</v>
      </c>
      <c r="BC132" s="3">
        <f t="shared" si="25"/>
        <v>0.96933333333333338</v>
      </c>
      <c r="BD132">
        <f t="shared" si="26"/>
        <v>0</v>
      </c>
      <c r="BE132">
        <f>VLOOKUP($F132,Constants!$I:$K, 2, FALSE)</f>
        <v>1.1499999999999999</v>
      </c>
      <c r="BF132">
        <f>VLOOKUP($F132,Constants!$I:$K, 3, FALSE)*IF(AND(E132="multiple_unit",Z132&lt;110),0.75,1)</f>
        <v>1.7</v>
      </c>
      <c r="BG132">
        <f>INT(POWER(((Constants!$G$2+$AZ132+$BA132+$BB132+$BD132)*$BC132)*$BF132, 1.05))+$AY132</f>
        <v>85</v>
      </c>
      <c r="BH132">
        <f>INT(POWER((((Constants!$G$1+$AZ132+$BA132+$BB132+$BD132)*($BC132))*$BE132),IF($E132="wagon",1,1.2)))+$AX132</f>
        <v>130</v>
      </c>
      <c r="BI132" s="14">
        <f t="shared" si="27"/>
        <v>66406.25</v>
      </c>
      <c r="BJ132" s="14">
        <f t="shared" si="28"/>
        <v>10562.5</v>
      </c>
      <c r="BQ132">
        <v>10</v>
      </c>
      <c r="BU132" t="str">
        <f>VLOOKUP(H132,Eras!$A$2:$C$10, 2, TRUE)</f>
        <v>big4</v>
      </c>
      <c r="BV132" t="s">
        <v>328</v>
      </c>
      <c r="BW132" t="str">
        <f t="shared" si="29"/>
        <v>big4_Express</v>
      </c>
      <c r="BX132" t="str">
        <f t="shared" si="30"/>
        <v>steam_RAIL</v>
      </c>
      <c r="BY132" t="str">
        <f>VLOOKUP($BX132, Constants!$M:$N, 2, FALSE)</f>
        <v>{BLACK}Powered by: {GOLD}Steam</v>
      </c>
      <c r="BZ132" t="str">
        <f t="shared" si="39"/>
        <v/>
      </c>
      <c r="CA132" t="s">
        <v>422</v>
      </c>
      <c r="CB132" t="str">
        <f t="shared" si="38"/>
        <v/>
      </c>
      <c r="CC132" t="str">
        <f t="shared" si="33"/>
        <v>{BLACK}Powered by: {GOLD}Steam {}{SILVER}The Castle Class is a large, powerful express locomotive designed by GWR Chief Mechanical Engineer Charles Collett</v>
      </c>
    </row>
    <row r="133" spans="1:81" x14ac:dyDescent="0.25">
      <c r="A133" t="s">
        <v>1175</v>
      </c>
      <c r="B133" t="s">
        <v>1179</v>
      </c>
      <c r="C133">
        <v>217</v>
      </c>
      <c r="D133">
        <v>40</v>
      </c>
      <c r="E133" t="s">
        <v>263</v>
      </c>
      <c r="F133" t="s">
        <v>272</v>
      </c>
      <c r="G133" t="s">
        <v>275</v>
      </c>
      <c r="H133">
        <v>1921</v>
      </c>
      <c r="I133">
        <v>1922</v>
      </c>
      <c r="J133">
        <v>1964</v>
      </c>
      <c r="L133">
        <v>1000</v>
      </c>
      <c r="N133" s="5">
        <v>20.5</v>
      </c>
      <c r="O133" s="5">
        <v>24</v>
      </c>
      <c r="P133" s="5">
        <v>2</v>
      </c>
      <c r="Q133" s="5">
        <v>175</v>
      </c>
      <c r="R133" s="6">
        <f t="shared" si="42"/>
        <v>157.43744370601161</v>
      </c>
      <c r="S133" s="5">
        <v>1.39</v>
      </c>
      <c r="T133" s="5">
        <f t="shared" si="43"/>
        <v>1002.0676640505778</v>
      </c>
      <c r="U133">
        <v>63</v>
      </c>
      <c r="V133" s="8">
        <f>104.4-63</f>
        <v>41.400000000000006</v>
      </c>
      <c r="X133">
        <v>125</v>
      </c>
      <c r="Y133" s="3">
        <f t="shared" ref="Y133:Y196" si="44">IF(AND(U133&gt;0,X133&gt;0),(X133/((U133+V133)*10)),"")</f>
        <v>0.11973180076628352</v>
      </c>
      <c r="Z133">
        <v>50</v>
      </c>
      <c r="AA133">
        <f t="shared" si="34"/>
        <v>80</v>
      </c>
      <c r="AE133">
        <v>10</v>
      </c>
      <c r="AH133" s="10">
        <v>0</v>
      </c>
      <c r="AI133" t="str">
        <f>CONCATENATE(VLOOKUP(AJ133, 'Voxel Sizes'!$A$2:$B$18,2,FALSE),"x",INT(AF133*15), "x", INT(AG133*15))</f>
        <v>102x0x0</v>
      </c>
      <c r="AJ133">
        <f t="shared" si="20"/>
        <v>6</v>
      </c>
      <c r="AK133" t="s">
        <v>1185</v>
      </c>
      <c r="AL133" t="str">
        <f>CONCATENATE(VLOOKUP(AJ133,Constants!$A$2:$C$16,IF(AK133&lt;&gt;"", 3, 2), FALSE),IF(AK133&lt;&gt;"",CONCATENATE(",",VLOOKUP(AK133,$B:$AL,37,FALSE)),""))</f>
        <v>2,2,2,2,1,2</v>
      </c>
      <c r="AT133">
        <v>1</v>
      </c>
      <c r="AV133">
        <v>30</v>
      </c>
      <c r="AW133" s="15">
        <f t="shared" si="21"/>
        <v>51</v>
      </c>
      <c r="AZ133">
        <f t="shared" si="22"/>
        <v>10</v>
      </c>
      <c r="BA133">
        <f t="shared" si="23"/>
        <v>5</v>
      </c>
      <c r="BB133">
        <f t="shared" si="24"/>
        <v>6.25</v>
      </c>
      <c r="BC133" s="3">
        <f t="shared" si="25"/>
        <v>0.97199999999999998</v>
      </c>
      <c r="BD133">
        <f t="shared" si="26"/>
        <v>0</v>
      </c>
      <c r="BE133">
        <f>VLOOKUP($F133,Constants!$I:$K, 2, FALSE)</f>
        <v>1.1499999999999999</v>
      </c>
      <c r="BF133">
        <f>VLOOKUP($F133,Constants!$I:$K, 3, FALSE)*IF(AND(E133="multiple_unit",Z133&lt;110),0.75,1)</f>
        <v>1.7</v>
      </c>
      <c r="BG133">
        <f>INT(POWER(((Constants!$G$2+$AZ133+$BA133+$BB133+$BD133)*$BC133)*$BF133, 1.05))+$AY133</f>
        <v>52</v>
      </c>
      <c r="BH133">
        <f>INT(POWER((((Constants!$G$1+$AZ133+$BA133+$BB133+$BD133)*($BC133))*$BE133),IF($E133="wagon",1,1.2)))+$AX133</f>
        <v>84</v>
      </c>
      <c r="BI133" s="14">
        <f t="shared" si="27"/>
        <v>40625</v>
      </c>
      <c r="BJ133" s="14">
        <f t="shared" si="28"/>
        <v>6825</v>
      </c>
      <c r="BQ133">
        <v>7</v>
      </c>
      <c r="BU133" t="str">
        <f>VLOOKUP(H133,Eras!$A$2:$C$10, 2, TRUE)</f>
        <v>edw</v>
      </c>
      <c r="BV133" t="s">
        <v>329</v>
      </c>
      <c r="BW133" t="str">
        <f t="shared" si="29"/>
        <v>edw_Freight</v>
      </c>
      <c r="BX133" t="str">
        <f t="shared" si="30"/>
        <v>steam_RAIL</v>
      </c>
      <c r="BY133" t="str">
        <f>VLOOKUP($BX133, Constants!$M:$N, 2, FALSE)</f>
        <v>{BLACK}Powered by: {GOLD}Steam</v>
      </c>
      <c r="BZ133" t="str">
        <f t="shared" si="39"/>
        <v/>
      </c>
      <c r="CA133" t="s">
        <v>1187</v>
      </c>
      <c r="CB133" t="str">
        <f t="shared" si="38"/>
        <v/>
      </c>
      <c r="CC133" t="str">
        <f t="shared" si="33"/>
        <v>{BLACK}Powered by: {GOLD}Steam {}{SILVER}The LNWR G2 is an 0-8-0 freight locomotive, built from scratch as a new class and never rebuilt instead of the usual LNWR practice of rebuilding existing 8-coupled locomotives.</v>
      </c>
    </row>
    <row r="134" spans="1:81" x14ac:dyDescent="0.25">
      <c r="A134" t="s">
        <v>5</v>
      </c>
      <c r="B134" t="s">
        <v>160</v>
      </c>
      <c r="C134">
        <v>218</v>
      </c>
      <c r="D134">
        <v>41</v>
      </c>
      <c r="E134" t="s">
        <v>263</v>
      </c>
      <c r="F134" t="s">
        <v>272</v>
      </c>
      <c r="G134" t="s">
        <v>275</v>
      </c>
      <c r="H134">
        <v>1924</v>
      </c>
      <c r="J134">
        <v>1967</v>
      </c>
      <c r="L134">
        <v>650</v>
      </c>
      <c r="N134" s="5">
        <v>18</v>
      </c>
      <c r="O134" s="5">
        <v>26</v>
      </c>
      <c r="P134" s="5">
        <v>2</v>
      </c>
      <c r="Q134" s="5">
        <v>160</v>
      </c>
      <c r="R134" s="6">
        <f t="shared" si="42"/>
        <v>140.68160148301465</v>
      </c>
      <c r="S134" s="5">
        <v>1.4</v>
      </c>
      <c r="T134" s="5">
        <f t="shared" si="43"/>
        <v>683.76623376623365</v>
      </c>
      <c r="U134">
        <v>50.2</v>
      </c>
      <c r="X134">
        <v>93</v>
      </c>
      <c r="Y134" s="3">
        <f t="shared" si="44"/>
        <v>0.1852589641434263</v>
      </c>
      <c r="Z134">
        <v>45</v>
      </c>
      <c r="AA134">
        <f t="shared" si="34"/>
        <v>72</v>
      </c>
      <c r="AD134">
        <v>9.57</v>
      </c>
      <c r="AE134">
        <v>9.57</v>
      </c>
      <c r="AH134" s="10">
        <v>0</v>
      </c>
      <c r="AI134" t="str">
        <f>CONCATENATE(VLOOKUP(AJ134, 'Voxel Sizes'!$A$2:$B$18,2,FALSE),"x",INT(AF134*15), "x", INT(AG134*15))</f>
        <v>102x0x0</v>
      </c>
      <c r="AJ134">
        <f t="shared" ref="AJ134:AJ197" si="45">ROUND(15*((AE134*10)/256),0)</f>
        <v>6</v>
      </c>
      <c r="AL134" t="str">
        <f>CONCATENATE(VLOOKUP(AJ134,Constants!$A$2:$C$16,IF(AK134&lt;&gt;"", 3, 2), FALSE),IF(AK134&lt;&gt;"",CONCATENATE(",",VLOOKUP(AK134,$B:$AL,37,FALSE)),""))</f>
        <v>2,2,2</v>
      </c>
      <c r="AT134">
        <v>1</v>
      </c>
      <c r="AV134">
        <v>48</v>
      </c>
      <c r="AW134" s="15">
        <f t="shared" ref="AW134:AW197" si="46">IF(J134&lt;&gt;"",MAX(16,(J134-H134)+8),"")</f>
        <v>51</v>
      </c>
      <c r="AZ134">
        <f t="shared" ref="AZ134:AZ197" si="47">MIN(Z134/150, 1)*30</f>
        <v>9</v>
      </c>
      <c r="BA134">
        <f t="shared" ref="BA134:BA197" si="48">MIN(L134/4000, 1)*20</f>
        <v>3.25</v>
      </c>
      <c r="BB134">
        <f t="shared" ref="BB134:BB197" si="49">MIN(X134/400,1)*20</f>
        <v>4.6500000000000004</v>
      </c>
      <c r="BC134" s="3">
        <f t="shared" ref="BC134:BC197" si="50">1-(MAX(H134-1900, 0)/750)</f>
        <v>0.96799999999999997</v>
      </c>
      <c r="BD134">
        <f t="shared" ref="BD134:BD197" si="51">((MAX($K134,1)*MIN($AH134/300,1)))*IF(E134="Wagon",50,10)</f>
        <v>0</v>
      </c>
      <c r="BE134">
        <f>VLOOKUP($F134,Constants!$I:$K, 2, FALSE)</f>
        <v>1.1499999999999999</v>
      </c>
      <c r="BF134">
        <f>VLOOKUP($F134,Constants!$I:$K, 3, FALSE)*IF(AND(E134="multiple_unit",Z134&lt;110),0.75,1)</f>
        <v>1.7</v>
      </c>
      <c r="BG134">
        <f>INT(POWER(((Constants!$G$2+$AZ134+$BA134+$BB134+$BD134)*$BC134)*$BF134, 1.05))+$AY134</f>
        <v>43</v>
      </c>
      <c r="BH134">
        <f>INT(POWER((((Constants!$G$1+$AZ134+$BA134+$BB134+$BD134)*($BC134))*$BE134),IF($E134="wagon",1,1.2)))+$AX134</f>
        <v>72</v>
      </c>
      <c r="BI134" s="14">
        <f t="shared" ref="BI134:BI197" si="52">BG134*IF($E134="wagon",62.5,781.25)</f>
        <v>33593.75</v>
      </c>
      <c r="BJ134" s="14">
        <f t="shared" ref="BJ134:BJ197" si="53">BH134*IF($E134="wagon",2.73,81.25)</f>
        <v>5850</v>
      </c>
      <c r="BQ134">
        <v>11</v>
      </c>
      <c r="BU134" t="str">
        <f>VLOOKUP(H134,Eras!$A$2:$C$10, 2, TRUE)</f>
        <v>big4</v>
      </c>
      <c r="BV134" t="s">
        <v>326</v>
      </c>
      <c r="BW134" t="str">
        <f t="shared" ref="BW134:BW197" si="54">CONCATENATE(BU134,"_",BV134)</f>
        <v>big4_Cheap</v>
      </c>
      <c r="BX134" t="str">
        <f t="shared" ref="BX134:BX197" si="55">_xlfn.CONCAT(F134, "_",G134)</f>
        <v>steam_RAIL</v>
      </c>
      <c r="BY134" t="str">
        <f>VLOOKUP($BX134, Constants!$M:$N, 2, FALSE)</f>
        <v>{BLACK}Powered by: {GOLD}Steam</v>
      </c>
      <c r="BZ134" t="str">
        <f t="shared" si="39"/>
        <v/>
      </c>
      <c r="CA134" t="s">
        <v>351</v>
      </c>
      <c r="CB134" t="str">
        <f t="shared" ref="CB134:CB165" si="56">IF(BT134="BRAKE","{YELLOW}Speed bonus for slow wagons{}",IF(BR134&gt;190,CONCATENATE("{YELLOW}",INT((BR134-185)/1.85),"% Bonus for long distance travel{}"),IF(AND(BR134&lt;180,BR134&lt;&gt;0),CONCATENATE("{YELLOW}",INT((185-BR134)/1.85),"% Penalty for long distance travel{}"),"")))</f>
        <v/>
      </c>
      <c r="CC134" t="str">
        <f t="shared" ref="CC134:CC197" si="57">_xlfn.CONCAT(BY134,IF(BY134 &lt;&gt; "", " ", ""),BZ134,IF(OR(BZ134&lt;&gt;"", BY134&lt;&gt;""), "{}",""), CB134,"{SILVER}", CA134)</f>
        <v>{BLACK}Powered by: {GOLD}Steam {}{SILVER}The Jinty is a popular tank engine that was built in large quantities. Although small and low powered it is reliable and cheap to run. Jinties were sometimes run in pairs (or more) for working on steep inclines.</v>
      </c>
    </row>
    <row r="135" spans="1:81" x14ac:dyDescent="0.25">
      <c r="A135" t="s">
        <v>1182</v>
      </c>
      <c r="B135" t="s">
        <v>1183</v>
      </c>
      <c r="C135">
        <v>219</v>
      </c>
      <c r="D135">
        <v>42</v>
      </c>
      <c r="E135" t="s">
        <v>263</v>
      </c>
      <c r="F135" t="s">
        <v>272</v>
      </c>
      <c r="G135" t="s">
        <v>275</v>
      </c>
      <c r="H135">
        <v>1921</v>
      </c>
      <c r="I135">
        <v>1922</v>
      </c>
      <c r="J135">
        <v>1959</v>
      </c>
      <c r="L135">
        <v>1350</v>
      </c>
      <c r="N135" s="5">
        <v>20.5</v>
      </c>
      <c r="O135" s="5">
        <v>26</v>
      </c>
      <c r="P135" s="5">
        <v>2</v>
      </c>
      <c r="Q135" s="5">
        <v>180</v>
      </c>
      <c r="R135" s="6">
        <f t="shared" si="42"/>
        <v>195.8024628827923</v>
      </c>
      <c r="S135" s="5">
        <v>1.9</v>
      </c>
      <c r="T135" s="5">
        <f t="shared" si="43"/>
        <v>1388.6849581339709</v>
      </c>
      <c r="U135">
        <v>62.2</v>
      </c>
      <c r="V135" s="8">
        <v>40</v>
      </c>
      <c r="X135">
        <v>95</v>
      </c>
      <c r="Y135" s="3">
        <f t="shared" si="44"/>
        <v>9.2954990215264183E-2</v>
      </c>
      <c r="Z135">
        <v>85</v>
      </c>
      <c r="AA135">
        <f t="shared" si="34"/>
        <v>136</v>
      </c>
      <c r="AE135">
        <v>10</v>
      </c>
      <c r="AH135" s="10">
        <v>0</v>
      </c>
      <c r="AI135" t="str">
        <f>CONCATENATE(VLOOKUP(AJ135, 'Voxel Sizes'!$A$2:$B$18,2,FALSE),"x",INT(AF135*15), "x", INT(AG135*15))</f>
        <v>102x0x0</v>
      </c>
      <c r="AJ135">
        <f t="shared" si="45"/>
        <v>6</v>
      </c>
      <c r="AK135" t="s">
        <v>1185</v>
      </c>
      <c r="AL135" t="str">
        <f>CONCATENATE(VLOOKUP(AJ135,Constants!$A$2:$C$16,IF(AK135&lt;&gt;"", 3, 2), FALSE),IF(AK135&lt;&gt;"",CONCATENATE(",",VLOOKUP(AK135,$B:$AL,37,FALSE)),""))</f>
        <v>2,2,2,2,1,2</v>
      </c>
      <c r="AV135">
        <v>31</v>
      </c>
      <c r="AW135" s="15">
        <f t="shared" si="46"/>
        <v>46</v>
      </c>
      <c r="AZ135">
        <f t="shared" si="47"/>
        <v>17</v>
      </c>
      <c r="BA135">
        <f t="shared" si="48"/>
        <v>6.75</v>
      </c>
      <c r="BB135">
        <f t="shared" si="49"/>
        <v>4.75</v>
      </c>
      <c r="BC135" s="3">
        <f t="shared" si="50"/>
        <v>0.97199999999999998</v>
      </c>
      <c r="BD135">
        <f t="shared" si="51"/>
        <v>0</v>
      </c>
      <c r="BE135">
        <f>VLOOKUP($F135,Constants!$I:$K, 2, FALSE)</f>
        <v>1.1499999999999999</v>
      </c>
      <c r="BF135">
        <f>VLOOKUP($F135,Constants!$I:$K, 3, FALSE)*IF(AND(E135="multiple_unit",Z135&lt;110),0.75,1)</f>
        <v>1.7</v>
      </c>
      <c r="BG135">
        <f>INT(POWER(((Constants!$G$2+$AZ135+$BA135+$BB135+$BD135)*$BC135)*$BF135, 1.05))+$AY135</f>
        <v>67</v>
      </c>
      <c r="BH135">
        <f>INT(POWER((((Constants!$G$1+$AZ135+$BA135+$BB135+$BD135)*($BC135))*$BE135),IF($E135="wagon",1,1.2)))+$AX135</f>
        <v>105</v>
      </c>
      <c r="BI135" s="14">
        <f t="shared" si="52"/>
        <v>52343.75</v>
      </c>
      <c r="BJ135" s="14">
        <f t="shared" si="53"/>
        <v>8531.25</v>
      </c>
      <c r="BQ135">
        <v>8</v>
      </c>
      <c r="BU135" t="str">
        <f>VLOOKUP(H135,Eras!$A$2:$C$10, 2, TRUE)</f>
        <v>edw</v>
      </c>
      <c r="BV135" t="s">
        <v>328</v>
      </c>
      <c r="BW135" t="str">
        <f t="shared" si="54"/>
        <v>edw_Express</v>
      </c>
      <c r="BX135" t="str">
        <f t="shared" si="55"/>
        <v>steam_RAIL</v>
      </c>
      <c r="BY135" t="str">
        <f>VLOOKUP($BX135, Constants!$M:$N, 2, FALSE)</f>
        <v>{BLACK}Powered by: {GOLD}Steam</v>
      </c>
      <c r="BZ135" t="str">
        <f t="shared" si="39"/>
        <v/>
      </c>
      <c r="CA135" t="s">
        <v>1188</v>
      </c>
      <c r="CB135" t="str">
        <f t="shared" si="56"/>
        <v/>
      </c>
      <c r="CC135" t="str">
        <f t="shared" si="57"/>
        <v>{BLACK}Powered by: {GOLD}Steam {}{SILVER}The Caledonian 72 class was a 4-4-0 express locomotive, later inherited by the LMS after grouping.</v>
      </c>
    </row>
    <row r="136" spans="1:81" x14ac:dyDescent="0.25">
      <c r="A136" t="s">
        <v>12</v>
      </c>
      <c r="B136" t="s">
        <v>161</v>
      </c>
      <c r="C136">
        <v>220</v>
      </c>
      <c r="D136">
        <v>43</v>
      </c>
      <c r="E136" t="s">
        <v>263</v>
      </c>
      <c r="F136" t="s">
        <v>272</v>
      </c>
      <c r="G136" t="s">
        <v>275</v>
      </c>
      <c r="H136">
        <v>1924</v>
      </c>
      <c r="I136">
        <v>1928</v>
      </c>
      <c r="J136">
        <v>1965</v>
      </c>
      <c r="L136">
        <v>900</v>
      </c>
      <c r="U136">
        <v>62</v>
      </c>
      <c r="X136">
        <v>115</v>
      </c>
      <c r="Y136" s="3">
        <f t="shared" si="44"/>
        <v>0.18548387096774194</v>
      </c>
      <c r="Z136">
        <v>50</v>
      </c>
      <c r="AA136">
        <f t="shared" si="34"/>
        <v>80</v>
      </c>
      <c r="AD136">
        <v>11.43</v>
      </c>
      <c r="AE136">
        <v>11.43</v>
      </c>
      <c r="AH136" s="10">
        <v>0</v>
      </c>
      <c r="AI136" t="str">
        <f>CONCATENATE(VLOOKUP(AJ136, 'Voxel Sizes'!$A$2:$B$18,2,FALSE),"x",INT(AF136*15), "x", INT(AG136*15))</f>
        <v>120x0x0</v>
      </c>
      <c r="AJ136">
        <f t="shared" si="45"/>
        <v>7</v>
      </c>
      <c r="AL136" t="str">
        <f>CONCATENATE(VLOOKUP(AJ136,Constants!$A$2:$C$16,IF(AK136&lt;&gt;"", 3, 2), FALSE),IF(AK136&lt;&gt;"",CONCATENATE(",",VLOOKUP(AK136,$B:$AL,37,FALSE)),""))</f>
        <v>2,3,2</v>
      </c>
      <c r="AT136">
        <v>1</v>
      </c>
      <c r="AV136">
        <v>33</v>
      </c>
      <c r="AW136" s="15">
        <f t="shared" si="46"/>
        <v>49</v>
      </c>
      <c r="AZ136">
        <f t="shared" si="47"/>
        <v>10</v>
      </c>
      <c r="BA136">
        <f t="shared" si="48"/>
        <v>4.5</v>
      </c>
      <c r="BB136">
        <f t="shared" si="49"/>
        <v>5.75</v>
      </c>
      <c r="BC136" s="3">
        <f t="shared" si="50"/>
        <v>0.96799999999999997</v>
      </c>
      <c r="BD136">
        <f t="shared" si="51"/>
        <v>0</v>
      </c>
      <c r="BE136">
        <f>VLOOKUP($F136,Constants!$I:$K, 2, FALSE)</f>
        <v>1.1499999999999999</v>
      </c>
      <c r="BF136">
        <f>VLOOKUP($F136,Constants!$I:$K, 3, FALSE)*IF(AND(E136="multiple_unit",Z136&lt;110),0.75,1)</f>
        <v>1.7</v>
      </c>
      <c r="BG136">
        <f>INT(POWER(((Constants!$G$2+$AZ136+$BA136+$BB136+$BD136)*$BC136)*$BF136, 1.05))+$AY136</f>
        <v>50</v>
      </c>
      <c r="BH136">
        <f>INT(POWER((((Constants!$G$1+$AZ136+$BA136+$BB136+$BD136)*($BC136))*$BE136),IF($E136="wagon",1,1.2)))+$AX136</f>
        <v>81</v>
      </c>
      <c r="BI136" s="14">
        <f t="shared" si="52"/>
        <v>39062.5</v>
      </c>
      <c r="BJ136" s="14">
        <f t="shared" si="53"/>
        <v>6581.25</v>
      </c>
      <c r="BQ136">
        <v>12</v>
      </c>
      <c r="BU136" t="str">
        <f>VLOOKUP(H136,Eras!$A$2:$C$10, 2, TRUE)</f>
        <v>big4</v>
      </c>
      <c r="BV136" t="s">
        <v>327</v>
      </c>
      <c r="BW136" t="str">
        <f t="shared" si="54"/>
        <v>big4_Mixed Traffic</v>
      </c>
      <c r="BX136" t="str">
        <f t="shared" si="55"/>
        <v>steam_RAIL</v>
      </c>
      <c r="BY136" t="str">
        <f>VLOOKUP($BX136, Constants!$M:$N, 2, FALSE)</f>
        <v>{BLACK}Powered by: {GOLD}Steam</v>
      </c>
      <c r="BZ136" t="str">
        <f t="shared" si="39"/>
        <v/>
      </c>
      <c r="CA136" t="s">
        <v>352</v>
      </c>
      <c r="CB136" t="str">
        <f t="shared" si="56"/>
        <v/>
      </c>
      <c r="CC136" t="str">
        <f t="shared" si="57"/>
        <v>{BLACK}Powered by: {GOLD}Steam {}{SILVER}The 5600 Class is a large tank engine that offers more power and tractive effort than smaller 0-6-0 tank engines, at the expense of greater weight and higher running costs.</v>
      </c>
    </row>
    <row r="137" spans="1:81" x14ac:dyDescent="0.25">
      <c r="A137" t="s">
        <v>1177</v>
      </c>
      <c r="B137" t="s">
        <v>1178</v>
      </c>
      <c r="C137">
        <v>221</v>
      </c>
      <c r="D137">
        <v>44</v>
      </c>
      <c r="E137" t="s">
        <v>263</v>
      </c>
      <c r="F137" t="s">
        <v>272</v>
      </c>
      <c r="G137" t="s">
        <v>275</v>
      </c>
      <c r="H137">
        <v>1923</v>
      </c>
      <c r="J137">
        <v>1951</v>
      </c>
      <c r="L137">
        <v>1000</v>
      </c>
      <c r="N137" s="5">
        <v>20</v>
      </c>
      <c r="O137" s="5">
        <v>26</v>
      </c>
      <c r="P137" s="5">
        <v>2</v>
      </c>
      <c r="Q137" s="5">
        <v>185</v>
      </c>
      <c r="R137" s="6">
        <f t="shared" ref="R137:R143" si="58">((($Z137/2)/60)*5280)/($S137*3.2*PI())</f>
        <v>144.81929564427978</v>
      </c>
      <c r="S137" s="5">
        <v>1.36</v>
      </c>
      <c r="T137" s="5">
        <f t="shared" ref="T137:T143" si="59">((($N137*$N137/4)*PI())*($O137/12)*$P137*$Q137*$R137)/(33000*1.1)</f>
        <v>1004.7627005347595</v>
      </c>
      <c r="U137">
        <v>61</v>
      </c>
      <c r="X137">
        <v>133</v>
      </c>
      <c r="Y137" s="3">
        <f t="shared" si="44"/>
        <v>0.21803278688524591</v>
      </c>
      <c r="Z137">
        <v>45</v>
      </c>
      <c r="AA137">
        <f t="shared" si="34"/>
        <v>72</v>
      </c>
      <c r="AE137">
        <v>14</v>
      </c>
      <c r="AH137" s="10">
        <v>0</v>
      </c>
      <c r="AI137" t="str">
        <f>CONCATENATE(VLOOKUP(AJ137, 'Voxel Sizes'!$A$2:$B$18,2,FALSE),"x",INT(AF137*15), "x", INT(AG137*15))</f>
        <v>136x0x0</v>
      </c>
      <c r="AJ137">
        <f t="shared" si="45"/>
        <v>8</v>
      </c>
      <c r="AL137" t="str">
        <f>CONCATENATE(VLOOKUP(AJ137,Constants!$A$2:$C$16,IF(AK137&lt;&gt;"", 3, 2), FALSE),IF(AK137&lt;&gt;"",CONCATENATE(",",VLOOKUP(AK137,$B:$AL,37,FALSE)),""))</f>
        <v>2,4,2</v>
      </c>
      <c r="AT137">
        <v>1</v>
      </c>
      <c r="AV137">
        <v>30</v>
      </c>
      <c r="AW137" s="15">
        <f t="shared" si="46"/>
        <v>36</v>
      </c>
      <c r="AZ137">
        <f t="shared" si="47"/>
        <v>9</v>
      </c>
      <c r="BA137">
        <f t="shared" si="48"/>
        <v>5</v>
      </c>
      <c r="BB137">
        <f t="shared" si="49"/>
        <v>6.65</v>
      </c>
      <c r="BC137" s="3">
        <f t="shared" si="50"/>
        <v>0.96933333333333338</v>
      </c>
      <c r="BD137">
        <f t="shared" si="51"/>
        <v>0</v>
      </c>
      <c r="BE137">
        <f>VLOOKUP($F137,Constants!$I:$K, 2, FALSE)</f>
        <v>1.1499999999999999</v>
      </c>
      <c r="BF137">
        <f>VLOOKUP($F137,Constants!$I:$K, 3, FALSE)*IF(AND(E137="multiple_unit",Z137&lt;110),0.75,1)</f>
        <v>1.7</v>
      </c>
      <c r="BG137">
        <f>INT(POWER(((Constants!$G$2+$AZ137+$BA137+$BB137+$BD137)*$BC137)*$BF137, 1.05))+$AY137</f>
        <v>50</v>
      </c>
      <c r="BH137">
        <f>INT(POWER((((Constants!$G$1+$AZ137+$BA137+$BB137+$BD137)*($BC137))*$BE137),IF($E137="wagon",1,1.2)))+$AX137</f>
        <v>82</v>
      </c>
      <c r="BI137" s="14">
        <f t="shared" si="52"/>
        <v>39062.5</v>
      </c>
      <c r="BJ137" s="14">
        <f t="shared" si="53"/>
        <v>6662.5</v>
      </c>
      <c r="BQ137">
        <v>5</v>
      </c>
      <c r="BU137" t="str">
        <f>VLOOKUP(H137,Eras!$A$2:$C$10, 2, TRUE)</f>
        <v>big4</v>
      </c>
      <c r="BV137" t="s">
        <v>329</v>
      </c>
      <c r="BW137" t="str">
        <f t="shared" si="54"/>
        <v>big4_Freight</v>
      </c>
      <c r="BX137" t="str">
        <f t="shared" si="55"/>
        <v>steam_RAIL</v>
      </c>
      <c r="BY137" t="str">
        <f>VLOOKUP($BX137, Constants!$M:$N, 2, FALSE)</f>
        <v>{BLACK}Powered by: {GOLD}Steam</v>
      </c>
      <c r="BZ137" t="str">
        <f t="shared" si="39"/>
        <v/>
      </c>
      <c r="CA137" t="s">
        <v>1189</v>
      </c>
      <c r="CB137" t="str">
        <f t="shared" si="56"/>
        <v/>
      </c>
      <c r="CC137" t="str">
        <f t="shared" si="57"/>
        <v>{BLACK}Powered by: {GOLD}Steam {}{SILVER}The LNWR 380 class is a large tank locomotive with an 0-8-4T chassis. It was derived from the LNWR's 0-8-0 tender engines and similar 0-8-2T tanks.</v>
      </c>
    </row>
    <row r="138" spans="1:81" x14ac:dyDescent="0.25">
      <c r="A138" t="s">
        <v>21</v>
      </c>
      <c r="B138" t="s">
        <v>295</v>
      </c>
      <c r="C138">
        <v>222</v>
      </c>
      <c r="D138">
        <v>45</v>
      </c>
      <c r="E138" t="s">
        <v>263</v>
      </c>
      <c r="F138" t="s">
        <v>272</v>
      </c>
      <c r="G138" t="s">
        <v>275</v>
      </c>
      <c r="H138">
        <v>1926</v>
      </c>
      <c r="I138">
        <v>1932</v>
      </c>
      <c r="J138">
        <v>1967</v>
      </c>
      <c r="L138">
        <v>1400</v>
      </c>
      <c r="N138" s="5">
        <v>21</v>
      </c>
      <c r="O138" s="5">
        <v>26</v>
      </c>
      <c r="P138" s="5">
        <v>2</v>
      </c>
      <c r="Q138" s="5">
        <v>180</v>
      </c>
      <c r="R138" s="6">
        <f t="shared" si="58"/>
        <v>191.48329090743655</v>
      </c>
      <c r="S138" s="5">
        <v>1.6</v>
      </c>
      <c r="T138" s="5">
        <f t="shared" si="59"/>
        <v>1425.1065340909088</v>
      </c>
      <c r="U138">
        <v>67</v>
      </c>
      <c r="V138" s="8">
        <v>46</v>
      </c>
      <c r="X138">
        <v>118</v>
      </c>
      <c r="Y138" s="3">
        <f t="shared" si="44"/>
        <v>0.10442477876106195</v>
      </c>
      <c r="Z138">
        <v>70</v>
      </c>
      <c r="AA138">
        <f t="shared" si="34"/>
        <v>112</v>
      </c>
      <c r="AD138">
        <v>10.44</v>
      </c>
      <c r="AE138">
        <v>10.44</v>
      </c>
      <c r="AH138" s="10">
        <v>0</v>
      </c>
      <c r="AI138" t="str">
        <f>CONCATENATE(VLOOKUP(AJ138, 'Voxel Sizes'!$A$2:$B$18,2,FALSE),"x",INT(AF138*15), "x", INT(AG138*15))</f>
        <v>102x0x0</v>
      </c>
      <c r="AJ138">
        <f t="shared" si="45"/>
        <v>6</v>
      </c>
      <c r="AK138" t="s">
        <v>289</v>
      </c>
      <c r="AL138" t="str">
        <f>CONCATENATE(VLOOKUP(AJ138,Constants!$A$2:$C$16,IF(AK138&lt;&gt;"", 3, 2), FALSE),IF(AK138&lt;&gt;"",CONCATENATE(",",VLOOKUP(AK138,$B:$AL,37,FALSE)),""))</f>
        <v>2,2,2,2,1,2</v>
      </c>
      <c r="AT138">
        <v>1</v>
      </c>
      <c r="AV138">
        <v>28</v>
      </c>
      <c r="AW138" s="15">
        <f t="shared" si="46"/>
        <v>49</v>
      </c>
      <c r="AZ138">
        <f t="shared" si="47"/>
        <v>14</v>
      </c>
      <c r="BA138">
        <f t="shared" si="48"/>
        <v>7</v>
      </c>
      <c r="BB138">
        <f t="shared" si="49"/>
        <v>5.8999999999999995</v>
      </c>
      <c r="BC138" s="3">
        <f t="shared" si="50"/>
        <v>0.96533333333333338</v>
      </c>
      <c r="BD138">
        <f t="shared" si="51"/>
        <v>0</v>
      </c>
      <c r="BE138">
        <f>VLOOKUP($F138,Constants!$I:$K, 2, FALSE)</f>
        <v>1.1499999999999999</v>
      </c>
      <c r="BF138">
        <f>VLOOKUP($F138,Constants!$I:$K, 3, FALSE)*IF(AND(E138="multiple_unit",Z138&lt;110),0.75,1)</f>
        <v>1.7</v>
      </c>
      <c r="BG138">
        <f>INT(POWER(((Constants!$G$2+$AZ138+$BA138+$BB138+$BD138)*$BC138)*$BF138, 1.05))+$AY138</f>
        <v>63</v>
      </c>
      <c r="BH138">
        <f>INT(POWER((((Constants!$G$1+$AZ138+$BA138+$BB138+$BD138)*($BC138))*$BE138),IF($E138="wagon",1,1.2)))+$AX138</f>
        <v>100</v>
      </c>
      <c r="BI138" s="14">
        <f t="shared" si="52"/>
        <v>49218.75</v>
      </c>
      <c r="BJ138" s="14">
        <f t="shared" si="53"/>
        <v>8125</v>
      </c>
      <c r="BQ138">
        <v>1</v>
      </c>
      <c r="BU138" t="str">
        <f>VLOOKUP(H138,Eras!$A$2:$C$10, 2, TRUE)</f>
        <v>big4</v>
      </c>
      <c r="BV138" t="s">
        <v>328</v>
      </c>
      <c r="BW138" t="str">
        <f t="shared" si="54"/>
        <v>big4_Express</v>
      </c>
      <c r="BX138" t="str">
        <f t="shared" si="55"/>
        <v>steam_RAIL</v>
      </c>
      <c r="BY138" t="str">
        <f>VLOOKUP($BX138, Constants!$M:$N, 2, FALSE)</f>
        <v>{BLACK}Powered by: {GOLD}Steam</v>
      </c>
      <c r="BZ138" t="str">
        <f t="shared" si="39"/>
        <v/>
      </c>
      <c r="CA138" t="s">
        <v>353</v>
      </c>
      <c r="CB138" t="str">
        <f t="shared" si="56"/>
        <v/>
      </c>
      <c r="CC138" t="str">
        <f t="shared" si="57"/>
        <v>{BLACK}Powered by: {GOLD}Steam {}{SILVER}The Hughes Crab was named for its distinctive "scuttling" motion, caused by the inclined cylinders.</v>
      </c>
    </row>
    <row r="139" spans="1:81" x14ac:dyDescent="0.25">
      <c r="A139" t="s">
        <v>127</v>
      </c>
      <c r="B139" t="s">
        <v>424</v>
      </c>
      <c r="C139">
        <v>224</v>
      </c>
      <c r="D139">
        <v>46</v>
      </c>
      <c r="E139" t="s">
        <v>263</v>
      </c>
      <c r="F139" t="s">
        <v>272</v>
      </c>
      <c r="G139" t="s">
        <v>275</v>
      </c>
      <c r="H139">
        <v>1927</v>
      </c>
      <c r="J139">
        <v>1961</v>
      </c>
      <c r="L139">
        <v>1200</v>
      </c>
      <c r="N139" s="5">
        <v>17</v>
      </c>
      <c r="O139" s="5">
        <v>26</v>
      </c>
      <c r="P139" s="5">
        <v>3</v>
      </c>
      <c r="Q139" s="5">
        <v>180</v>
      </c>
      <c r="R139" s="6">
        <f t="shared" si="58"/>
        <v>164.12853506351706</v>
      </c>
      <c r="S139" s="5">
        <v>2</v>
      </c>
      <c r="T139" s="5">
        <f t="shared" si="59"/>
        <v>1200.7457386363637</v>
      </c>
      <c r="U139">
        <v>66</v>
      </c>
      <c r="V139" s="8">
        <v>53</v>
      </c>
      <c r="X139">
        <v>96</v>
      </c>
      <c r="Y139" s="3">
        <f t="shared" si="44"/>
        <v>8.067226890756303E-2</v>
      </c>
      <c r="Z139">
        <v>75</v>
      </c>
      <c r="AA139">
        <f t="shared" si="34"/>
        <v>120</v>
      </c>
      <c r="AD139">
        <v>17.899999999999999</v>
      </c>
      <c r="AE139">
        <f>AD139-7.5</f>
        <v>10.399999999999999</v>
      </c>
      <c r="AH139" s="10">
        <v>0</v>
      </c>
      <c r="AI139" t="str">
        <f>CONCATENATE(VLOOKUP(AJ139, 'Voxel Sizes'!$A$2:$B$18,2,FALSE),"x",INT(AF139*15), "x", INT(AG139*15))</f>
        <v>102x0x0</v>
      </c>
      <c r="AJ139">
        <f t="shared" si="45"/>
        <v>6</v>
      </c>
      <c r="AK139" t="s">
        <v>390</v>
      </c>
      <c r="AL139" t="str">
        <f>CONCATENATE(VLOOKUP(AJ139,Constants!$A$2:$C$16,IF(AK139&lt;&gt;"", 3, 2), FALSE),IF(AK139&lt;&gt;"",CONCATENATE(",",VLOOKUP(AK139,$B:$AL,37,FALSE)),""))</f>
        <v>2,2,2,2,1,2</v>
      </c>
      <c r="AT139">
        <v>1</v>
      </c>
      <c r="AV139">
        <v>30</v>
      </c>
      <c r="AW139" s="15">
        <f t="shared" si="46"/>
        <v>42</v>
      </c>
      <c r="AZ139">
        <f t="shared" si="47"/>
        <v>15</v>
      </c>
      <c r="BA139">
        <f t="shared" si="48"/>
        <v>6</v>
      </c>
      <c r="BB139">
        <f t="shared" si="49"/>
        <v>4.8</v>
      </c>
      <c r="BC139" s="3">
        <f t="shared" si="50"/>
        <v>0.96399999999999997</v>
      </c>
      <c r="BD139">
        <f t="shared" si="51"/>
        <v>0</v>
      </c>
      <c r="BE139">
        <f>VLOOKUP($F139,Constants!$I:$K, 2, FALSE)</f>
        <v>1.1499999999999999</v>
      </c>
      <c r="BF139">
        <f>VLOOKUP($F139,Constants!$I:$K, 3, FALSE)*IF(AND(E139="multiple_unit",Z139&lt;110),0.75,1)</f>
        <v>1.7</v>
      </c>
      <c r="BG139">
        <f>INT(POWER(((Constants!$G$2+$AZ139+$BA139+$BB139+$BD139)*$BC139)*$BF139, 1.05))+$AY139</f>
        <v>61</v>
      </c>
      <c r="BH139">
        <f>INT(POWER((((Constants!$G$1+$AZ139+$BA139+$BB139+$BD139)*($BC139))*$BE139),IF($E139="wagon",1,1.2)))+$AX139</f>
        <v>96</v>
      </c>
      <c r="BI139" s="14">
        <f t="shared" si="52"/>
        <v>47656.25</v>
      </c>
      <c r="BJ139" s="14">
        <f t="shared" si="53"/>
        <v>7800</v>
      </c>
      <c r="BQ139">
        <v>2</v>
      </c>
      <c r="BU139" t="str">
        <f>VLOOKUP(H139,Eras!$A$2:$C$10, 2, TRUE)</f>
        <v>big4</v>
      </c>
      <c r="BV139" t="s">
        <v>377</v>
      </c>
      <c r="BW139" t="str">
        <f t="shared" si="54"/>
        <v>big4_Passenger</v>
      </c>
      <c r="BX139" t="str">
        <f t="shared" si="55"/>
        <v>steam_RAIL</v>
      </c>
      <c r="BY139" t="str">
        <f>VLOOKUP($BX139, Constants!$M:$N, 2, FALSE)</f>
        <v>{BLACK}Powered by: {GOLD}Steam</v>
      </c>
      <c r="BZ139" t="str">
        <f t="shared" si="39"/>
        <v/>
      </c>
      <c r="CA139" t="s">
        <v>423</v>
      </c>
      <c r="CB139" t="str">
        <f t="shared" si="56"/>
        <v/>
      </c>
      <c r="CC139" t="str">
        <f t="shared" si="57"/>
        <v>{BLACK}Powered by: {GOLD}Steam {}{SILVER}The D49 is a Nigel Gresley designed 4-4-0 locomotive for passenger traffic.</v>
      </c>
    </row>
    <row r="140" spans="1:81" x14ac:dyDescent="0.25">
      <c r="A140" t="s">
        <v>426</v>
      </c>
      <c r="B140" t="s">
        <v>425</v>
      </c>
      <c r="C140">
        <v>226</v>
      </c>
      <c r="D140">
        <v>47</v>
      </c>
      <c r="E140" t="s">
        <v>263</v>
      </c>
      <c r="F140" t="s">
        <v>272</v>
      </c>
      <c r="G140" t="s">
        <v>275</v>
      </c>
      <c r="H140">
        <v>1927</v>
      </c>
      <c r="I140">
        <v>1936</v>
      </c>
      <c r="J140">
        <v>1962</v>
      </c>
      <c r="L140">
        <v>2300</v>
      </c>
      <c r="N140" s="5">
        <v>16.25</v>
      </c>
      <c r="O140" s="5">
        <v>28</v>
      </c>
      <c r="P140" s="5">
        <v>4</v>
      </c>
      <c r="Q140" s="5">
        <v>250</v>
      </c>
      <c r="R140" s="6">
        <f t="shared" si="58"/>
        <v>232.10095867568069</v>
      </c>
      <c r="S140" s="5">
        <v>1.98</v>
      </c>
      <c r="T140" s="5">
        <f t="shared" si="59"/>
        <v>3094.166690580043</v>
      </c>
      <c r="U140">
        <v>90.4</v>
      </c>
      <c r="V140" s="8">
        <v>47</v>
      </c>
      <c r="X140">
        <v>179</v>
      </c>
      <c r="Y140" s="3">
        <f t="shared" si="44"/>
        <v>0.13027656477438138</v>
      </c>
      <c r="Z140">
        <v>105</v>
      </c>
      <c r="AA140">
        <f t="shared" si="34"/>
        <v>168</v>
      </c>
      <c r="AD140">
        <v>20.78</v>
      </c>
      <c r="AE140">
        <f>AD140-7.5</f>
        <v>13.280000000000001</v>
      </c>
      <c r="AG140">
        <v>4.08</v>
      </c>
      <c r="AH140" s="10">
        <v>0</v>
      </c>
      <c r="AI140" t="str">
        <f>CONCATENATE(VLOOKUP(AJ140, 'Voxel Sizes'!$A$2:$B$18,2,FALSE),"x",INT(AF140*15), "x", INT(AG140*15))</f>
        <v>136x0x61</v>
      </c>
      <c r="AJ140">
        <f t="shared" si="45"/>
        <v>8</v>
      </c>
      <c r="AK140" t="s">
        <v>421</v>
      </c>
      <c r="AL140" t="str">
        <f>CONCATENATE(VLOOKUP(AJ140,Constants!$A$2:$C$16,IF(AK140&lt;&gt;"", 3, 2), FALSE),IF(AK140&lt;&gt;"",CONCATENATE(",",VLOOKUP(AK140,$B:$AL,37,FALSE)),""))</f>
        <v>2,4,2,2,1,2</v>
      </c>
      <c r="AT140">
        <v>1</v>
      </c>
      <c r="AV140">
        <v>30</v>
      </c>
      <c r="AW140" s="15">
        <f t="shared" si="46"/>
        <v>43</v>
      </c>
      <c r="AZ140">
        <f t="shared" si="47"/>
        <v>21</v>
      </c>
      <c r="BA140">
        <f t="shared" si="48"/>
        <v>11.5</v>
      </c>
      <c r="BB140">
        <f t="shared" si="49"/>
        <v>8.9499999999999993</v>
      </c>
      <c r="BC140" s="3">
        <f t="shared" si="50"/>
        <v>0.96399999999999997</v>
      </c>
      <c r="BD140">
        <f t="shared" si="51"/>
        <v>0</v>
      </c>
      <c r="BE140">
        <f>VLOOKUP($F140,Constants!$I:$K, 2, FALSE)</f>
        <v>1.1499999999999999</v>
      </c>
      <c r="BF140">
        <f>VLOOKUP($F140,Constants!$I:$K, 3, FALSE)*IF(AND(E140="multiple_unit",Z140&lt;110),0.75,1)</f>
        <v>1.7</v>
      </c>
      <c r="BG140">
        <f>INT(POWER(((Constants!$G$2+$AZ140+$BA140+$BB140+$BD140)*$BC140)*$BF140, 1.05))+$AY140</f>
        <v>94</v>
      </c>
      <c r="BH140">
        <f>INT(POWER((((Constants!$G$1+$AZ140+$BA140+$BB140+$BD140)*($BC140))*$BE140),IF($E140="wagon",1,1.2)))+$AX140</f>
        <v>143</v>
      </c>
      <c r="BI140" s="14">
        <f t="shared" si="52"/>
        <v>73437.5</v>
      </c>
      <c r="BJ140" s="14">
        <f t="shared" si="53"/>
        <v>11618.75</v>
      </c>
      <c r="BQ140">
        <v>3</v>
      </c>
      <c r="BU140" t="str">
        <f>VLOOKUP(H140,Eras!$A$2:$C$10, 2, TRUE)</f>
        <v>big4</v>
      </c>
      <c r="BV140" t="s">
        <v>328</v>
      </c>
      <c r="BW140" t="str">
        <f t="shared" si="54"/>
        <v>big4_Express</v>
      </c>
      <c r="BX140" t="str">
        <f t="shared" si="55"/>
        <v>steam_RAIL</v>
      </c>
      <c r="BY140" t="str">
        <f>VLOOKUP($BX140, Constants!$M:$N, 2, FALSE)</f>
        <v>{BLACK}Powered by: {GOLD}Steam</v>
      </c>
      <c r="BZ140" t="str">
        <f t="shared" si="39"/>
        <v/>
      </c>
      <c r="CA140" t="s">
        <v>427</v>
      </c>
      <c r="CB140" t="str">
        <f t="shared" si="56"/>
        <v/>
      </c>
      <c r="CC140" t="str">
        <f t="shared" si="57"/>
        <v>{BLACK}Powered by: {GOLD}Steam {}{SILVER}The King Class is a larger and more powerful development of the Castle Class, designed for even higher sustained speeds.</v>
      </c>
    </row>
    <row r="141" spans="1:81" x14ac:dyDescent="0.25">
      <c r="A141" t="s">
        <v>24</v>
      </c>
      <c r="B141" t="s">
        <v>429</v>
      </c>
      <c r="C141">
        <v>228</v>
      </c>
      <c r="D141">
        <v>48</v>
      </c>
      <c r="E141" t="s">
        <v>263</v>
      </c>
      <c r="F141" t="s">
        <v>272</v>
      </c>
      <c r="G141" t="s">
        <v>275</v>
      </c>
      <c r="H141">
        <v>1927</v>
      </c>
      <c r="I141">
        <v>1934</v>
      </c>
      <c r="J141">
        <v>1966</v>
      </c>
      <c r="L141">
        <v>950</v>
      </c>
      <c r="N141" s="5">
        <v>19</v>
      </c>
      <c r="O141" s="5">
        <v>26</v>
      </c>
      <c r="P141" s="5">
        <v>2</v>
      </c>
      <c r="Q141" s="5">
        <v>200</v>
      </c>
      <c r="R141" s="6">
        <f t="shared" si="58"/>
        <v>205.96522047186451</v>
      </c>
      <c r="S141" s="5">
        <v>1.7</v>
      </c>
      <c r="T141" s="5">
        <f t="shared" si="59"/>
        <v>1394.2364824717758</v>
      </c>
      <c r="U141">
        <v>87.6</v>
      </c>
      <c r="X141">
        <v>102</v>
      </c>
      <c r="Y141" s="3">
        <f t="shared" si="44"/>
        <v>0.11643835616438356</v>
      </c>
      <c r="Z141">
        <v>80</v>
      </c>
      <c r="AA141">
        <f t="shared" si="34"/>
        <v>128</v>
      </c>
      <c r="AD141">
        <v>14.4</v>
      </c>
      <c r="AE141">
        <v>14.4</v>
      </c>
      <c r="AH141" s="10">
        <v>0</v>
      </c>
      <c r="AI141" t="str">
        <f>CONCATENATE(VLOOKUP(AJ141, 'Voxel Sizes'!$A$2:$B$18,2,FALSE),"x",INT(AF141*15), "x", INT(AG141*15))</f>
        <v>136x0x0</v>
      </c>
      <c r="AJ141">
        <f t="shared" si="45"/>
        <v>8</v>
      </c>
      <c r="AL141" t="str">
        <f>CONCATENATE(VLOOKUP(AJ141,Constants!$A$2:$C$16,IF(AK141&lt;&gt;"", 3, 2), FALSE),IF(AK141&lt;&gt;"",CONCATENATE(",",VLOOKUP(AK141,$B:$AL,37,FALSE)),""))</f>
        <v>2,4,2</v>
      </c>
      <c r="AT141">
        <v>1</v>
      </c>
      <c r="AV141">
        <v>30</v>
      </c>
      <c r="AW141" s="15">
        <f t="shared" si="46"/>
        <v>47</v>
      </c>
      <c r="AZ141">
        <f t="shared" si="47"/>
        <v>16</v>
      </c>
      <c r="BA141">
        <f t="shared" si="48"/>
        <v>4.75</v>
      </c>
      <c r="BB141">
        <f t="shared" si="49"/>
        <v>5.0999999999999996</v>
      </c>
      <c r="BC141" s="3">
        <f t="shared" si="50"/>
        <v>0.96399999999999997</v>
      </c>
      <c r="BD141">
        <f t="shared" si="51"/>
        <v>0</v>
      </c>
      <c r="BE141">
        <f>VLOOKUP($F141,Constants!$I:$K, 2, FALSE)</f>
        <v>1.1499999999999999</v>
      </c>
      <c r="BF141">
        <f>VLOOKUP($F141,Constants!$I:$K, 3, FALSE)*IF(AND(E141="multiple_unit",Z141&lt;110),0.75,1)</f>
        <v>1.7</v>
      </c>
      <c r="BG141">
        <f>INT(POWER(((Constants!$G$2+$AZ141+$BA141+$BB141+$BD141)*$BC141)*$BF141, 1.05))+$AY141</f>
        <v>61</v>
      </c>
      <c r="BH141">
        <f>INT(POWER((((Constants!$G$1+$AZ141+$BA141+$BB141+$BD141)*($BC141))*$BE141),IF($E141="wagon",1,1.2)))+$AX141</f>
        <v>97</v>
      </c>
      <c r="BI141" s="14">
        <f t="shared" si="52"/>
        <v>47656.25</v>
      </c>
      <c r="BJ141" s="14">
        <f t="shared" si="53"/>
        <v>7881.25</v>
      </c>
      <c r="BQ141">
        <v>4</v>
      </c>
      <c r="BU141" t="str">
        <f>VLOOKUP(H141,Eras!$A$2:$C$10, 2, TRUE)</f>
        <v>big4</v>
      </c>
      <c r="BV141" t="s">
        <v>327</v>
      </c>
      <c r="BW141" t="str">
        <f t="shared" si="54"/>
        <v>big4_Mixed Traffic</v>
      </c>
      <c r="BX141" t="str">
        <f t="shared" si="55"/>
        <v>steam_RAIL</v>
      </c>
      <c r="BY141" t="str">
        <f>VLOOKUP($BX141, Constants!$M:$N, 2, FALSE)</f>
        <v>{BLACK}Powered by: {GOLD}Steam</v>
      </c>
      <c r="BZ141" t="str">
        <f t="shared" ref="BZ141:BZ172" si="60">IF(K141&gt;1,_xlfn.CONCAT("{BLACK}Cars: {GOLD}", K141),"")</f>
        <v/>
      </c>
      <c r="CA141" t="s">
        <v>428</v>
      </c>
      <c r="CB141" t="str">
        <f t="shared" si="56"/>
        <v/>
      </c>
      <c r="CC141" t="str">
        <f t="shared" si="57"/>
        <v>{BLACK}Powered by: {GOLD}Steam {}{SILVER}Fowler's 2-6-4T achieved high speeds for a tank engine, and was typically used on longer distance services.</v>
      </c>
    </row>
    <row r="142" spans="1:81" x14ac:dyDescent="0.25">
      <c r="A142" t="s">
        <v>430</v>
      </c>
      <c r="B142" t="s">
        <v>432</v>
      </c>
      <c r="C142">
        <v>230</v>
      </c>
      <c r="D142">
        <v>49</v>
      </c>
      <c r="E142" t="s">
        <v>263</v>
      </c>
      <c r="F142" t="s">
        <v>272</v>
      </c>
      <c r="G142" t="s">
        <v>275</v>
      </c>
      <c r="H142">
        <v>1928</v>
      </c>
      <c r="I142">
        <v>1943</v>
      </c>
      <c r="J142">
        <v>1965</v>
      </c>
      <c r="L142">
        <v>1600</v>
      </c>
      <c r="N142" s="5">
        <v>18.5</v>
      </c>
      <c r="O142" s="5">
        <v>30</v>
      </c>
      <c r="P142" s="5">
        <v>2</v>
      </c>
      <c r="Q142" s="5">
        <v>225</v>
      </c>
      <c r="R142" s="6">
        <f t="shared" si="58"/>
        <v>194.52270822342763</v>
      </c>
      <c r="S142" s="5">
        <v>1.8</v>
      </c>
      <c r="T142" s="5">
        <f t="shared" si="59"/>
        <v>1620.501893939394</v>
      </c>
      <c r="U142">
        <v>76.2</v>
      </c>
      <c r="V142" s="8">
        <v>47</v>
      </c>
      <c r="X142">
        <v>121</v>
      </c>
      <c r="Y142" s="3">
        <f t="shared" si="44"/>
        <v>9.8214285714285712E-2</v>
      </c>
      <c r="Z142">
        <v>80</v>
      </c>
      <c r="AA142">
        <f t="shared" si="34"/>
        <v>128</v>
      </c>
      <c r="AD142">
        <v>19.2</v>
      </c>
      <c r="AE142">
        <f>AD142-7.5</f>
        <v>11.7</v>
      </c>
      <c r="AG142">
        <v>4.04</v>
      </c>
      <c r="AH142" s="10">
        <v>0</v>
      </c>
      <c r="AI142" t="str">
        <f>CONCATENATE(VLOOKUP(AJ142, 'Voxel Sizes'!$A$2:$B$18,2,FALSE),"x",INT(AF142*15), "x", INT(AG142*15))</f>
        <v>120x0x60</v>
      </c>
      <c r="AJ142">
        <f t="shared" si="45"/>
        <v>7</v>
      </c>
      <c r="AK142" t="s">
        <v>421</v>
      </c>
      <c r="AL142" t="str">
        <f>CONCATENATE(VLOOKUP(AJ142,Constants!$A$2:$C$16,IF(AK142&lt;&gt;"", 3, 2), FALSE),IF(AK142&lt;&gt;"",CONCATENATE(",",VLOOKUP(AK142,$B:$AL,37,FALSE)),""))</f>
        <v>2,3,2,2,1,2</v>
      </c>
      <c r="AT142">
        <v>1</v>
      </c>
      <c r="AV142">
        <v>30</v>
      </c>
      <c r="AW142" s="15">
        <f t="shared" si="46"/>
        <v>45</v>
      </c>
      <c r="AZ142">
        <f t="shared" si="47"/>
        <v>16</v>
      </c>
      <c r="BA142">
        <f t="shared" si="48"/>
        <v>8</v>
      </c>
      <c r="BB142">
        <f t="shared" si="49"/>
        <v>6.05</v>
      </c>
      <c r="BC142" s="3">
        <f t="shared" si="50"/>
        <v>0.96266666666666667</v>
      </c>
      <c r="BD142">
        <f t="shared" si="51"/>
        <v>0</v>
      </c>
      <c r="BE142">
        <f>VLOOKUP($F142,Constants!$I:$K, 2, FALSE)</f>
        <v>1.1499999999999999</v>
      </c>
      <c r="BF142">
        <f>VLOOKUP($F142,Constants!$I:$K, 3, FALSE)*IF(AND(E142="multiple_unit",Z142&lt;110),0.75,1)</f>
        <v>1.7</v>
      </c>
      <c r="BG142">
        <f>INT(POWER(((Constants!$G$2+$AZ142+$BA142+$BB142+$BD142)*$BC142)*$BF142, 1.05))+$AY142</f>
        <v>70</v>
      </c>
      <c r="BH142">
        <f>INT(POWER((((Constants!$G$1+$AZ142+$BA142+$BB142+$BD142)*($BC142))*$BE142),IF($E142="wagon",1,1.2)))+$AX142</f>
        <v>109</v>
      </c>
      <c r="BI142" s="14">
        <f t="shared" si="52"/>
        <v>54687.5</v>
      </c>
      <c r="BJ142" s="14">
        <f t="shared" si="53"/>
        <v>8856.25</v>
      </c>
      <c r="BQ142">
        <v>5</v>
      </c>
      <c r="BU142" t="str">
        <f>VLOOKUP(H142,Eras!$A$2:$C$10, 2, TRUE)</f>
        <v>big4</v>
      </c>
      <c r="BV142" t="s">
        <v>327</v>
      </c>
      <c r="BW142" t="str">
        <f t="shared" si="54"/>
        <v>big4_Mixed Traffic</v>
      </c>
      <c r="BX142" t="str">
        <f t="shared" si="55"/>
        <v>steam_RAIL</v>
      </c>
      <c r="BY142" t="str">
        <f>VLOOKUP($BX142, Constants!$M:$N, 2, FALSE)</f>
        <v>{BLACK}Powered by: {GOLD}Steam</v>
      </c>
      <c r="BZ142" t="str">
        <f t="shared" si="60"/>
        <v/>
      </c>
      <c r="CA142" t="s">
        <v>431</v>
      </c>
      <c r="CB142" t="str">
        <f t="shared" si="56"/>
        <v/>
      </c>
      <c r="CC142" t="str">
        <f t="shared" si="57"/>
        <v>{BLACK}Powered by: {GOLD}Steam {}{SILVER}The GWR 4900 Hall Class set the template for the 4-6-0 mixed traffic locomotive, fast enough for express passenger services with enough tractive effort for freight.</v>
      </c>
    </row>
    <row r="143" spans="1:81" x14ac:dyDescent="0.25">
      <c r="A143" t="s">
        <v>16</v>
      </c>
      <c r="B143" t="s">
        <v>434</v>
      </c>
      <c r="C143">
        <v>232</v>
      </c>
      <c r="D143">
        <v>50</v>
      </c>
      <c r="E143" t="s">
        <v>263</v>
      </c>
      <c r="F143" t="s">
        <v>272</v>
      </c>
      <c r="G143" t="s">
        <v>275</v>
      </c>
      <c r="H143">
        <v>1928</v>
      </c>
      <c r="I143">
        <v>1935</v>
      </c>
      <c r="J143">
        <v>1966</v>
      </c>
      <c r="L143">
        <v>2100</v>
      </c>
      <c r="N143" s="5">
        <v>19</v>
      </c>
      <c r="O143" s="5">
        <v>26</v>
      </c>
      <c r="P143" s="5">
        <v>3</v>
      </c>
      <c r="Q143" s="5">
        <v>220</v>
      </c>
      <c r="R143" s="6">
        <f t="shared" si="58"/>
        <v>236.34509049146459</v>
      </c>
      <c r="S143" s="5">
        <v>2</v>
      </c>
      <c r="T143" s="5">
        <f t="shared" si="59"/>
        <v>2639.8124999999995</v>
      </c>
      <c r="U143">
        <v>92.8</v>
      </c>
      <c r="V143" s="8">
        <v>54</v>
      </c>
      <c r="X143">
        <v>146</v>
      </c>
      <c r="Y143" s="3">
        <f t="shared" si="44"/>
        <v>9.9455040871934602E-2</v>
      </c>
      <c r="Z143">
        <v>108</v>
      </c>
      <c r="AA143">
        <f t="shared" si="34"/>
        <v>173</v>
      </c>
      <c r="AC143">
        <v>1</v>
      </c>
      <c r="AD143">
        <v>21.46</v>
      </c>
      <c r="AE143">
        <f>AD143-7.5</f>
        <v>13.96</v>
      </c>
      <c r="AH143" s="10">
        <v>0</v>
      </c>
      <c r="AI143" t="str">
        <f>CONCATENATE(VLOOKUP(AJ143, 'Voxel Sizes'!$A$2:$B$18,2,FALSE),"x",INT(AF143*15), "x", INT(AG143*15))</f>
        <v>136x0x0</v>
      </c>
      <c r="AJ143">
        <f t="shared" si="45"/>
        <v>8</v>
      </c>
      <c r="AK143" t="s">
        <v>436</v>
      </c>
      <c r="AL143" t="str">
        <f>CONCATENATE(VLOOKUP(AJ143,Constants!$A$2:$C$16,IF(AK143&lt;&gt;"", 3, 2), FALSE),IF(AK143&lt;&gt;"",CONCATENATE(",",VLOOKUP(AK143,$B:$AL,37,FALSE)),""))</f>
        <v>2,4,2,2,1,2</v>
      </c>
      <c r="AT143">
        <v>1</v>
      </c>
      <c r="AV143">
        <v>32</v>
      </c>
      <c r="AW143" s="15">
        <f t="shared" si="46"/>
        <v>46</v>
      </c>
      <c r="AZ143">
        <f t="shared" si="47"/>
        <v>21.599999999999998</v>
      </c>
      <c r="BA143">
        <f t="shared" si="48"/>
        <v>10.5</v>
      </c>
      <c r="BB143">
        <f t="shared" si="49"/>
        <v>7.3</v>
      </c>
      <c r="BC143" s="3">
        <f t="shared" si="50"/>
        <v>0.96266666666666667</v>
      </c>
      <c r="BD143">
        <f t="shared" si="51"/>
        <v>0</v>
      </c>
      <c r="BE143">
        <f>VLOOKUP($F143,Constants!$I:$K, 2, FALSE)</f>
        <v>1.1499999999999999</v>
      </c>
      <c r="BF143">
        <f>VLOOKUP($F143,Constants!$I:$K, 3, FALSE)*IF(AND(E143="multiple_unit",Z143&lt;110),0.75,1)</f>
        <v>1.7</v>
      </c>
      <c r="BG143">
        <f>INT(POWER(((Constants!$G$2+$AZ143+$BA143+$BB143+$BD143)*$BC143)*$BF143, 1.05))+$AY143</f>
        <v>90</v>
      </c>
      <c r="BH143">
        <f>INT(POWER((((Constants!$G$1+$AZ143+$BA143+$BB143+$BD143)*($BC143))*$BE143),IF($E143="wagon",1,1.2)))+$AX143</f>
        <v>136</v>
      </c>
      <c r="BI143" s="14">
        <f t="shared" si="52"/>
        <v>70312.5</v>
      </c>
      <c r="BJ143" s="14">
        <f t="shared" si="53"/>
        <v>11050</v>
      </c>
      <c r="BQ143">
        <v>6</v>
      </c>
      <c r="BU143" t="str">
        <f>VLOOKUP(H143,Eras!$A$2:$C$10, 2, TRUE)</f>
        <v>big4</v>
      </c>
      <c r="BV143" t="s">
        <v>328</v>
      </c>
      <c r="BW143" t="str">
        <f t="shared" si="54"/>
        <v>big4_Express</v>
      </c>
      <c r="BX143" t="str">
        <f t="shared" si="55"/>
        <v>steam_RAIL</v>
      </c>
      <c r="BY143" t="str">
        <f>VLOOKUP($BX143, Constants!$M:$N, 2, FALSE)</f>
        <v>{BLACK}Powered by: {GOLD}Steam</v>
      </c>
      <c r="BZ143" t="str">
        <f t="shared" si="60"/>
        <v/>
      </c>
      <c r="CA143" t="s">
        <v>433</v>
      </c>
      <c r="CB143" t="str">
        <f t="shared" si="56"/>
        <v/>
      </c>
      <c r="CC143" t="str">
        <f t="shared" si="57"/>
        <v>{BLACK}Powered by: {GOLD}Steam {}{SILVER}The Gresley A3 is a Pacific (4-6-2) locomotive famed for its 100mph+ performance hauling LNER's Flying Scotsman service.</v>
      </c>
    </row>
    <row r="144" spans="1:81" x14ac:dyDescent="0.25">
      <c r="A144" t="s">
        <v>1402</v>
      </c>
      <c r="B144" t="s">
        <v>1403</v>
      </c>
      <c r="C144">
        <v>233</v>
      </c>
      <c r="D144">
        <v>51</v>
      </c>
      <c r="E144" t="s">
        <v>263</v>
      </c>
      <c r="F144" t="s">
        <v>272</v>
      </c>
      <c r="G144" t="s">
        <v>275</v>
      </c>
      <c r="H144">
        <v>1930</v>
      </c>
      <c r="I144">
        <v>1934</v>
      </c>
      <c r="J144">
        <v>1965</v>
      </c>
      <c r="L144">
        <v>1200</v>
      </c>
      <c r="U144">
        <v>82</v>
      </c>
      <c r="V144" s="8">
        <v>44</v>
      </c>
      <c r="X144">
        <v>118</v>
      </c>
      <c r="Y144" s="3">
        <f t="shared" si="44"/>
        <v>9.3650793650793651E-2</v>
      </c>
      <c r="Z144">
        <v>90</v>
      </c>
      <c r="AA144">
        <f t="shared" si="34"/>
        <v>144</v>
      </c>
      <c r="AC144">
        <v>1</v>
      </c>
      <c r="AD144">
        <v>11.76</v>
      </c>
      <c r="AE144">
        <v>11.76</v>
      </c>
      <c r="AH144" s="10">
        <v>0</v>
      </c>
      <c r="AI144" t="str">
        <f>CONCATENATE(VLOOKUP(AJ144, 'Voxel Sizes'!$A$2:$B$18,2,FALSE),"x",INT(AF144*15), "x", INT(AG144*15))</f>
        <v>120x0x0</v>
      </c>
      <c r="AJ144">
        <f t="shared" si="45"/>
        <v>7</v>
      </c>
      <c r="AK144" t="s">
        <v>289</v>
      </c>
      <c r="AL144" t="str">
        <f>CONCATENATE(VLOOKUP(AJ144,Constants!$A$2:$C$16,IF(AK144&lt;&gt;"", 3, 2), FALSE),IF(AK144&lt;&gt;"",CONCATENATE(",",VLOOKUP(AK144,$B:$AL,37,FALSE)),""))</f>
        <v>2,3,2,2,1,2</v>
      </c>
      <c r="AT144">
        <v>1</v>
      </c>
      <c r="AV144">
        <v>34</v>
      </c>
      <c r="AW144" s="15">
        <f t="shared" si="46"/>
        <v>43</v>
      </c>
      <c r="AZ144">
        <f t="shared" si="47"/>
        <v>18</v>
      </c>
      <c r="BA144">
        <f t="shared" si="48"/>
        <v>6</v>
      </c>
      <c r="BB144">
        <f t="shared" si="49"/>
        <v>5.8999999999999995</v>
      </c>
      <c r="BC144" s="3">
        <f t="shared" si="50"/>
        <v>0.96</v>
      </c>
      <c r="BD144">
        <f t="shared" si="51"/>
        <v>0</v>
      </c>
      <c r="BE144">
        <f>VLOOKUP($F144,Constants!$I:$K, 2, FALSE)</f>
        <v>1.1499999999999999</v>
      </c>
      <c r="BF144">
        <f>VLOOKUP($F144,Constants!$I:$K, 3, FALSE)*IF(AND(E144="multiple_unit",Z144&lt;110),0.75,1)</f>
        <v>1.7</v>
      </c>
      <c r="BG144">
        <f>INT(POWER(((Constants!$G$2+$AZ144+$BA144+$BB144+$BD144)*$BC144)*$BF144, 1.05))+$AY144</f>
        <v>69</v>
      </c>
      <c r="BH144">
        <f>INT(POWER((((Constants!$G$1+$AZ144+$BA144+$BB144+$BD144)*($BC144))*$BE144),IF($E144="wagon",1,1.2)))+$AX144</f>
        <v>108</v>
      </c>
      <c r="BI144" s="14">
        <f t="shared" si="52"/>
        <v>53906.25</v>
      </c>
      <c r="BJ144" s="14">
        <f t="shared" si="53"/>
        <v>8775</v>
      </c>
      <c r="BQ144">
        <v>11</v>
      </c>
      <c r="BU144" t="str">
        <f>VLOOKUP(H144,Eras!$A$2:$C$10, 2, TRUE)</f>
        <v>big4</v>
      </c>
      <c r="BV144" t="s">
        <v>328</v>
      </c>
      <c r="BW144" t="str">
        <f t="shared" si="54"/>
        <v>big4_Express</v>
      </c>
      <c r="BX144" t="str">
        <f t="shared" si="55"/>
        <v>steam_RAIL</v>
      </c>
      <c r="BY144" t="str">
        <f>VLOOKUP($BX144, Constants!$M:$N, 2, FALSE)</f>
        <v>{BLACK}Powered by: {GOLD}Steam</v>
      </c>
      <c r="BZ144" t="str">
        <f t="shared" si="60"/>
        <v/>
      </c>
      <c r="CA144" t="s">
        <v>1404</v>
      </c>
      <c r="CB144" t="str">
        <f t="shared" si="56"/>
        <v/>
      </c>
      <c r="CC144" t="str">
        <f t="shared" si="57"/>
        <v>{BLACK}Powered by: {GOLD}Steam {}{SILVER}The Patriot class combined the Royal Scot chassis with boilers from the LNWR's Large Claughton class. Although none were preserved, there is a project to build a new Patriot-class locomotive.</v>
      </c>
    </row>
    <row r="145" spans="1:81" x14ac:dyDescent="0.25">
      <c r="A145" t="s">
        <v>13</v>
      </c>
      <c r="B145" t="s">
        <v>438</v>
      </c>
      <c r="C145">
        <v>234</v>
      </c>
      <c r="D145">
        <v>52</v>
      </c>
      <c r="E145" t="s">
        <v>263</v>
      </c>
      <c r="F145" t="s">
        <v>272</v>
      </c>
      <c r="G145" t="s">
        <v>275</v>
      </c>
      <c r="H145">
        <v>1929</v>
      </c>
      <c r="I145">
        <v>1950</v>
      </c>
      <c r="J145">
        <v>1971</v>
      </c>
      <c r="L145">
        <v>750</v>
      </c>
      <c r="N145" s="5">
        <v>17.5</v>
      </c>
      <c r="O145" s="5">
        <v>24</v>
      </c>
      <c r="P145" s="5">
        <v>2</v>
      </c>
      <c r="Q145" s="5">
        <v>200</v>
      </c>
      <c r="R145" s="6">
        <f>((($Z145/2)/60)*5280)/($S145*3.2*PI())</f>
        <v>187.57546864401954</v>
      </c>
      <c r="S145" s="5">
        <v>1.4</v>
      </c>
      <c r="T145" s="5">
        <f>((($N145*$N145/4)*PI())*($O145/12)*$P145*$Q145*$R145)/(33000*1.1)</f>
        <v>994.31818181818198</v>
      </c>
      <c r="U145">
        <v>48.3</v>
      </c>
      <c r="X145">
        <v>100</v>
      </c>
      <c r="Y145" s="3">
        <f t="shared" si="44"/>
        <v>0.20703933747412009</v>
      </c>
      <c r="Z145">
        <v>60</v>
      </c>
      <c r="AA145">
        <f t="shared" si="34"/>
        <v>96</v>
      </c>
      <c r="AC145">
        <v>1</v>
      </c>
      <c r="AD145">
        <v>9.5</v>
      </c>
      <c r="AE145">
        <v>9.5</v>
      </c>
      <c r="AG145">
        <v>3.7349999999999999</v>
      </c>
      <c r="AH145" s="10">
        <v>0</v>
      </c>
      <c r="AI145" t="str">
        <f>CONCATENATE(VLOOKUP(AJ145, 'Voxel Sizes'!$A$2:$B$18,2,FALSE),"x",INT(AF145*15), "x", INT(AG145*15))</f>
        <v>102x0x56</v>
      </c>
      <c r="AJ145">
        <f t="shared" si="45"/>
        <v>6</v>
      </c>
      <c r="AL145" t="str">
        <f>CONCATENATE(VLOOKUP(AJ145,Constants!$A$2:$C$16,IF(AK145&lt;&gt;"", 3, 2), FALSE),IF(AK145&lt;&gt;"",CONCATENATE(",",VLOOKUP(AK145,$B:$AL,37,FALSE)),""))</f>
        <v>2,2,2</v>
      </c>
      <c r="AT145">
        <v>1</v>
      </c>
      <c r="AV145">
        <v>37</v>
      </c>
      <c r="AW145" s="15">
        <f t="shared" si="46"/>
        <v>50</v>
      </c>
      <c r="AZ145">
        <f t="shared" si="47"/>
        <v>12</v>
      </c>
      <c r="BA145">
        <f t="shared" si="48"/>
        <v>3.75</v>
      </c>
      <c r="BB145">
        <f t="shared" si="49"/>
        <v>5</v>
      </c>
      <c r="BC145" s="3">
        <f t="shared" si="50"/>
        <v>0.96133333333333337</v>
      </c>
      <c r="BD145">
        <f t="shared" si="51"/>
        <v>0</v>
      </c>
      <c r="BE145">
        <f>VLOOKUP($F145,Constants!$I:$K, 2, FALSE)</f>
        <v>1.1499999999999999</v>
      </c>
      <c r="BF145">
        <f>VLOOKUP($F145,Constants!$I:$K, 3, FALSE)*IF(AND(E145="multiple_unit",Z145&lt;110),0.75,1)</f>
        <v>1.7</v>
      </c>
      <c r="BG145">
        <f>INT(POWER(((Constants!$G$2+$AZ145+$BA145+$BB145+$BD145)*$BC145)*$BF145, 1.05))+$AY145</f>
        <v>50</v>
      </c>
      <c r="BH145">
        <f>INT(POWER((((Constants!$G$1+$AZ145+$BA145+$BB145+$BD145)*($BC145))*$BE145),IF($E145="wagon",1,1.2)))+$AX145</f>
        <v>82</v>
      </c>
      <c r="BI145" s="14">
        <f t="shared" si="52"/>
        <v>39062.5</v>
      </c>
      <c r="BJ145" s="14">
        <f t="shared" si="53"/>
        <v>6662.5</v>
      </c>
      <c r="BQ145">
        <v>7</v>
      </c>
      <c r="BU145" t="str">
        <f>VLOOKUP(H145,Eras!$A$2:$C$10, 2, TRUE)</f>
        <v>big4</v>
      </c>
      <c r="BV145" t="s">
        <v>326</v>
      </c>
      <c r="BW145" t="str">
        <f t="shared" si="54"/>
        <v>big4_Cheap</v>
      </c>
      <c r="BX145" t="str">
        <f t="shared" si="55"/>
        <v>steam_RAIL</v>
      </c>
      <c r="BY145" t="str">
        <f>VLOOKUP($BX145, Constants!$M:$N, 2, FALSE)</f>
        <v>{BLACK}Powered by: {GOLD}Steam</v>
      </c>
      <c r="BZ145" t="str">
        <f t="shared" si="60"/>
        <v/>
      </c>
      <c r="CA145" t="s">
        <v>437</v>
      </c>
      <c r="CB145" t="str">
        <f t="shared" si="56"/>
        <v/>
      </c>
      <c r="CC145" t="str">
        <f t="shared" si="57"/>
        <v>{BLACK}Powered by: {GOLD}Steam {}{SILVER}The 5700 class numbered 863 locomotives, and was ubiquitous across the GWR network.</v>
      </c>
    </row>
    <row r="146" spans="1:81" ht="14.25" customHeight="1" x14ac:dyDescent="0.25">
      <c r="A146" t="s">
        <v>25</v>
      </c>
      <c r="B146" t="s">
        <v>162</v>
      </c>
      <c r="C146">
        <v>235</v>
      </c>
      <c r="D146">
        <v>53</v>
      </c>
      <c r="E146" t="s">
        <v>263</v>
      </c>
      <c r="F146" t="s">
        <v>272</v>
      </c>
      <c r="G146" t="s">
        <v>275</v>
      </c>
      <c r="H146">
        <v>1930</v>
      </c>
      <c r="I146">
        <v>1935</v>
      </c>
      <c r="J146">
        <v>1961</v>
      </c>
      <c r="L146">
        <v>1750</v>
      </c>
      <c r="N146" s="5">
        <v>16.5</v>
      </c>
      <c r="O146" s="5">
        <v>26</v>
      </c>
      <c r="P146" s="5">
        <v>3</v>
      </c>
      <c r="Q146" s="5">
        <v>220</v>
      </c>
      <c r="R146" s="6">
        <f>((($Z146/2)/60)*5280)/($S146*3.2*PI())</f>
        <v>207.89614441378828</v>
      </c>
      <c r="S146" s="5">
        <v>2</v>
      </c>
      <c r="T146" s="5">
        <f>((($N146*$N146/4)*PI())*($O146/12)*$P146*$Q146*$R146)/(33000*1.1)</f>
        <v>1751.19140625</v>
      </c>
      <c r="U146">
        <v>68.2</v>
      </c>
      <c r="V146" s="8">
        <v>43.1</v>
      </c>
      <c r="X146">
        <v>111</v>
      </c>
      <c r="Y146" s="3">
        <f t="shared" si="44"/>
        <v>9.9730458221024262E-2</v>
      </c>
      <c r="Z146">
        <v>95</v>
      </c>
      <c r="AA146">
        <f t="shared" si="34"/>
        <v>152</v>
      </c>
      <c r="AD146">
        <v>17.93</v>
      </c>
      <c r="AE146">
        <f>AD146-7.5</f>
        <v>10.43</v>
      </c>
      <c r="AG146">
        <v>3.96</v>
      </c>
      <c r="AH146" s="10">
        <v>0</v>
      </c>
      <c r="AI146" t="str">
        <f>CONCATENATE(VLOOKUP(AJ146, 'Voxel Sizes'!$A$2:$B$18,2,FALSE),"x",INT(AF146*15), "x", INT(AG146*15))</f>
        <v>102x0x59</v>
      </c>
      <c r="AJ146">
        <f t="shared" si="45"/>
        <v>6</v>
      </c>
      <c r="AK146" t="s">
        <v>441</v>
      </c>
      <c r="AL146" t="str">
        <f>CONCATENATE(VLOOKUP(AJ146,Constants!$A$2:$C$16,IF(AK146&lt;&gt;"", 3, 2), FALSE),IF(AK146&lt;&gt;"",CONCATENATE(",",VLOOKUP(AK146,$B:$AL,37,FALSE)),""))</f>
        <v>2,2,2,2,1,2</v>
      </c>
      <c r="AT146">
        <v>1</v>
      </c>
      <c r="AV146">
        <v>29</v>
      </c>
      <c r="AW146" s="15">
        <f t="shared" si="46"/>
        <v>39</v>
      </c>
      <c r="AZ146">
        <f t="shared" si="47"/>
        <v>19</v>
      </c>
      <c r="BA146">
        <f t="shared" si="48"/>
        <v>8.75</v>
      </c>
      <c r="BB146">
        <f t="shared" si="49"/>
        <v>5.5500000000000007</v>
      </c>
      <c r="BC146" s="3">
        <f t="shared" si="50"/>
        <v>0.96</v>
      </c>
      <c r="BD146">
        <f t="shared" si="51"/>
        <v>0</v>
      </c>
      <c r="BE146">
        <f>VLOOKUP($F146,Constants!$I:$K, 2, FALSE)</f>
        <v>1.1499999999999999</v>
      </c>
      <c r="BF146">
        <f>VLOOKUP($F146,Constants!$I:$K, 3, FALSE)*IF(AND(E146="multiple_unit",Z146&lt;110),0.75,1)</f>
        <v>1.7</v>
      </c>
      <c r="BG146">
        <f>INT(POWER(((Constants!$G$2+$AZ146+$BA146+$BB146+$BD146)*$BC146)*$BF146, 1.05))+$AY146</f>
        <v>76</v>
      </c>
      <c r="BH146">
        <f>INT(POWER((((Constants!$G$1+$AZ146+$BA146+$BB146+$BD146)*($BC146))*$BE146),IF($E146="wagon",1,1.2)))+$AX146</f>
        <v>118</v>
      </c>
      <c r="BI146" s="14">
        <f t="shared" si="52"/>
        <v>59375</v>
      </c>
      <c r="BJ146" s="14">
        <f t="shared" si="53"/>
        <v>9587.5</v>
      </c>
      <c r="BQ146">
        <v>8</v>
      </c>
      <c r="BU146" t="str">
        <f>VLOOKUP(H146,Eras!$A$2:$C$10, 2, TRUE)</f>
        <v>big4</v>
      </c>
      <c r="BV146" t="s">
        <v>328</v>
      </c>
      <c r="BW146" t="str">
        <f t="shared" si="54"/>
        <v>big4_Express</v>
      </c>
      <c r="BX146" t="str">
        <f t="shared" si="55"/>
        <v>steam_RAIL</v>
      </c>
      <c r="BY146" t="str">
        <f>VLOOKUP($BX146, Constants!$M:$N, 2, FALSE)</f>
        <v>{BLACK}Powered by: {GOLD}Steam</v>
      </c>
      <c r="BZ146" t="str">
        <f t="shared" si="60"/>
        <v/>
      </c>
      <c r="CA146" t="s">
        <v>439</v>
      </c>
      <c r="CB146" t="str">
        <f t="shared" si="56"/>
        <v/>
      </c>
      <c r="CC146" t="str">
        <f t="shared" si="57"/>
        <v>{BLACK}Powered by: {GOLD}Steam {}{SILVER}The Schools class was the most powerful 4-4-0 locomotive produced in  Europe, and the last British locomotive with such a wheel layout.</v>
      </c>
    </row>
    <row r="147" spans="1:81" x14ac:dyDescent="0.25">
      <c r="A147" t="s">
        <v>67</v>
      </c>
      <c r="B147" t="s">
        <v>182</v>
      </c>
      <c r="C147">
        <v>236</v>
      </c>
      <c r="D147">
        <v>54</v>
      </c>
      <c r="E147" t="s">
        <v>404</v>
      </c>
      <c r="F147" t="s">
        <v>273</v>
      </c>
      <c r="G147" t="s">
        <v>275</v>
      </c>
      <c r="H147">
        <v>1933</v>
      </c>
      <c r="I147">
        <v>1942</v>
      </c>
      <c r="J147">
        <v>1962</v>
      </c>
      <c r="K147">
        <v>1</v>
      </c>
      <c r="L147">
        <v>260</v>
      </c>
      <c r="U147">
        <v>35</v>
      </c>
      <c r="W147">
        <v>5</v>
      </c>
      <c r="X147">
        <v>55</v>
      </c>
      <c r="Y147" s="3">
        <f t="shared" si="44"/>
        <v>0.15714285714285714</v>
      </c>
      <c r="Z147">
        <v>63</v>
      </c>
      <c r="AA147">
        <f t="shared" si="34"/>
        <v>101</v>
      </c>
      <c r="AD147">
        <v>18.399999999999999</v>
      </c>
      <c r="AE147">
        <v>17</v>
      </c>
      <c r="AH147" s="10">
        <v>69</v>
      </c>
      <c r="AI147" t="str">
        <f>CONCATENATE(VLOOKUP(AJ147, 'Voxel Sizes'!$A$2:$B$18,2,FALSE),"x",INT(AF147*15), "x", INT(AG147*15))</f>
        <v>164x0x0</v>
      </c>
      <c r="AJ147">
        <f t="shared" si="45"/>
        <v>10</v>
      </c>
      <c r="AL147" t="str">
        <f>CONCATENATE(VLOOKUP(AJ147,Constants!$A$2:$C$16,IF(AK147&lt;&gt;"", 3, 2), FALSE),IF(AK147&lt;&gt;"",CONCATENATE(",",VLOOKUP(AK147,$B:$AL,37,FALSE)),""))</f>
        <v>4,2,4</v>
      </c>
      <c r="AP147" t="s">
        <v>182</v>
      </c>
      <c r="AR147">
        <v>1</v>
      </c>
      <c r="AV147">
        <v>16</v>
      </c>
      <c r="AW147" s="15">
        <f t="shared" si="46"/>
        <v>37</v>
      </c>
      <c r="AZ147">
        <f t="shared" si="47"/>
        <v>12.6</v>
      </c>
      <c r="BA147">
        <f t="shared" si="48"/>
        <v>1.3</v>
      </c>
      <c r="BB147">
        <f t="shared" si="49"/>
        <v>2.75</v>
      </c>
      <c r="BC147" s="3">
        <f t="shared" si="50"/>
        <v>0.95599999999999996</v>
      </c>
      <c r="BD147">
        <f t="shared" si="51"/>
        <v>2.3000000000000003</v>
      </c>
      <c r="BE147">
        <f>VLOOKUP($F147,Constants!$I:$K, 2, FALSE)</f>
        <v>1</v>
      </c>
      <c r="BF147">
        <f>VLOOKUP($F147,Constants!$I:$K, 3, FALSE)*IF(AND(E147="multiple_unit",Z147&lt;110),0.75,1)</f>
        <v>1.5</v>
      </c>
      <c r="BG147">
        <f>INT(POWER(((Constants!$G$2+$AZ147+$BA147+$BB147+$BD147)*$BC147)*$BF147, 1.05))+$AY147</f>
        <v>40</v>
      </c>
      <c r="BH147">
        <f>INT(POWER((((Constants!$G$1+$AZ147+$BA147+$BB147+$BD147)*($BC147))*$BE147),IF($E147="wagon",1,1.2)))+$AX147</f>
        <v>65</v>
      </c>
      <c r="BI147" s="14">
        <f t="shared" si="52"/>
        <v>31250</v>
      </c>
      <c r="BJ147" s="14">
        <f t="shared" si="53"/>
        <v>5281.25</v>
      </c>
      <c r="BQ147">
        <v>9</v>
      </c>
      <c r="BT147" t="s">
        <v>283</v>
      </c>
      <c r="BU147" t="str">
        <f>VLOOKUP(H147,Eras!$A$2:$C$10, 2, TRUE)</f>
        <v>big4</v>
      </c>
      <c r="BV147" t="s">
        <v>330</v>
      </c>
      <c r="BW147" t="str">
        <f t="shared" si="54"/>
        <v>big4_DMU (Cheap)</v>
      </c>
      <c r="BX147" t="str">
        <f t="shared" si="55"/>
        <v>diesel_RAIL</v>
      </c>
      <c r="BY147" t="str">
        <f>VLOOKUP($BX147, Constants!$M:$N, 2, FALSE)</f>
        <v>{BLACK}Powered by: {GOLD}Diesel</v>
      </c>
      <c r="BZ147" t="str">
        <f t="shared" si="60"/>
        <v/>
      </c>
      <c r="CA147" t="s">
        <v>449</v>
      </c>
      <c r="CB147" t="str">
        <f t="shared" si="56"/>
        <v/>
      </c>
      <c r="CC147" t="str">
        <f t="shared" si="57"/>
        <v>{BLACK}Powered by: {GOLD}Diesel {}{SILVER}The GWR Railcars used AEC bus hardware in a lightweight streamlined body.</v>
      </c>
    </row>
    <row r="148" spans="1:81" x14ac:dyDescent="0.25">
      <c r="A148" t="s">
        <v>442</v>
      </c>
      <c r="B148" t="s">
        <v>444</v>
      </c>
      <c r="C148">
        <v>237</v>
      </c>
      <c r="D148">
        <v>55</v>
      </c>
      <c r="E148" t="s">
        <v>263</v>
      </c>
      <c r="F148" t="s">
        <v>272</v>
      </c>
      <c r="G148" t="s">
        <v>275</v>
      </c>
      <c r="H148">
        <v>1932</v>
      </c>
      <c r="I148">
        <v>1936</v>
      </c>
      <c r="J148">
        <v>1965</v>
      </c>
      <c r="L148">
        <v>600</v>
      </c>
      <c r="N148" s="5">
        <v>16</v>
      </c>
      <c r="O148" s="5">
        <v>24</v>
      </c>
      <c r="P148" s="5">
        <v>2</v>
      </c>
      <c r="Q148" s="5">
        <v>165</v>
      </c>
      <c r="R148" s="6">
        <f>((($Z148/2)/60)*5280)/($S148*3.2*PI())</f>
        <v>218.83804675135607</v>
      </c>
      <c r="S148" s="5">
        <v>1.6</v>
      </c>
      <c r="T148" s="5">
        <f>((($N148*$N148/4)*PI())*($O148/12)*$P148*$Q148*$R148)/(33000*1.1)</f>
        <v>799.99999999999977</v>
      </c>
      <c r="U148">
        <v>43</v>
      </c>
      <c r="X148">
        <v>62</v>
      </c>
      <c r="Y148" s="3">
        <f t="shared" si="44"/>
        <v>0.14418604651162792</v>
      </c>
      <c r="Z148">
        <v>80</v>
      </c>
      <c r="AA148">
        <f t="shared" si="34"/>
        <v>128</v>
      </c>
      <c r="AD148">
        <v>9.1199999999999992</v>
      </c>
      <c r="AE148">
        <v>9.1199999999999992</v>
      </c>
      <c r="AG148">
        <v>3.82</v>
      </c>
      <c r="AH148" s="10">
        <v>0</v>
      </c>
      <c r="AI148" t="str">
        <f>CONCATENATE(VLOOKUP(AJ148, 'Voxel Sizes'!$A$2:$B$18,2,FALSE),"x",INT(AF148*15), "x", INT(AG148*15))</f>
        <v>82x0x57</v>
      </c>
      <c r="AJ148">
        <f t="shared" si="45"/>
        <v>5</v>
      </c>
      <c r="AL148" t="str">
        <f>CONCATENATE(VLOOKUP(AJ148,Constants!$A$2:$C$16,IF(AK148&lt;&gt;"", 3, 2), FALSE),IF(AK148&lt;&gt;"",CONCATENATE(",",VLOOKUP(AK148,$B:$AL,37,FALSE)),""))</f>
        <v>2,1,2</v>
      </c>
      <c r="AT148">
        <v>1</v>
      </c>
      <c r="AV148">
        <v>36</v>
      </c>
      <c r="AW148" s="15">
        <f t="shared" si="46"/>
        <v>41</v>
      </c>
      <c r="AZ148">
        <f t="shared" si="47"/>
        <v>16</v>
      </c>
      <c r="BA148">
        <f t="shared" si="48"/>
        <v>3</v>
      </c>
      <c r="BB148">
        <f t="shared" si="49"/>
        <v>3.1</v>
      </c>
      <c r="BC148" s="3">
        <f t="shared" si="50"/>
        <v>0.95733333333333337</v>
      </c>
      <c r="BD148">
        <f t="shared" si="51"/>
        <v>0</v>
      </c>
      <c r="BE148">
        <f>VLOOKUP($F148,Constants!$I:$K, 2, FALSE)</f>
        <v>1.1499999999999999</v>
      </c>
      <c r="BF148">
        <f>VLOOKUP($F148,Constants!$I:$K, 3, FALSE)*IF(AND(E148="multiple_unit",Z148&lt;110),0.75,1)</f>
        <v>1.7</v>
      </c>
      <c r="BG148">
        <f>INT(POWER(((Constants!$G$2+$AZ148+$BA148+$BB148+$BD148)*$BC148)*$BF148, 1.05))+$AY148</f>
        <v>53</v>
      </c>
      <c r="BH148">
        <f>INT(POWER((((Constants!$G$1+$AZ148+$BA148+$BB148+$BD148)*($BC148))*$BE148),IF($E148="wagon",1,1.2)))+$AX148</f>
        <v>85</v>
      </c>
      <c r="BI148" s="14">
        <f t="shared" si="52"/>
        <v>41406.25</v>
      </c>
      <c r="BJ148" s="14">
        <f t="shared" si="53"/>
        <v>6906.25</v>
      </c>
      <c r="BQ148">
        <v>10</v>
      </c>
      <c r="BU148" t="str">
        <f>VLOOKUP(H148,Eras!$A$2:$C$10, 2, TRUE)</f>
        <v>big4</v>
      </c>
      <c r="BV148" t="s">
        <v>326</v>
      </c>
      <c r="BW148" t="str">
        <f t="shared" si="54"/>
        <v>big4_Cheap</v>
      </c>
      <c r="BX148" t="str">
        <f t="shared" si="55"/>
        <v>steam_RAIL</v>
      </c>
      <c r="BY148" t="str">
        <f>VLOOKUP($BX148, Constants!$M:$N, 2, FALSE)</f>
        <v>{BLACK}Powered by: {GOLD}Steam</v>
      </c>
      <c r="BZ148" t="str">
        <f t="shared" si="60"/>
        <v/>
      </c>
      <c r="CA148" t="s">
        <v>443</v>
      </c>
      <c r="CB148" t="str">
        <f t="shared" si="56"/>
        <v/>
      </c>
      <c r="CC148" t="str">
        <f t="shared" si="57"/>
        <v>{BLACK}Powered by: {GOLD}Steam {}{SILVER}The 1400 class (originally the 4800 class) is an update of an 1868 design with more modern features. Although small, it is capable of high speed.</v>
      </c>
    </row>
    <row r="149" spans="1:81" x14ac:dyDescent="0.25">
      <c r="A149" t="s">
        <v>20</v>
      </c>
      <c r="B149" t="s">
        <v>288</v>
      </c>
      <c r="C149">
        <v>238</v>
      </c>
      <c r="D149">
        <v>56</v>
      </c>
      <c r="E149" t="s">
        <v>263</v>
      </c>
      <c r="F149" t="s">
        <v>272</v>
      </c>
      <c r="G149" t="s">
        <v>275</v>
      </c>
      <c r="H149">
        <v>1934</v>
      </c>
      <c r="I149">
        <v>1951</v>
      </c>
      <c r="J149">
        <v>1967</v>
      </c>
      <c r="L149">
        <v>1250</v>
      </c>
      <c r="U149">
        <v>73.400000000000006</v>
      </c>
      <c r="V149" s="8">
        <v>46</v>
      </c>
      <c r="X149">
        <v>113</v>
      </c>
      <c r="Y149" s="3">
        <f t="shared" si="44"/>
        <v>9.4639865996649919E-2</v>
      </c>
      <c r="Z149">
        <v>92</v>
      </c>
      <c r="AA149">
        <f t="shared" si="34"/>
        <v>147</v>
      </c>
      <c r="AC149">
        <v>1</v>
      </c>
      <c r="AD149">
        <v>11.76</v>
      </c>
      <c r="AE149">
        <v>11.76</v>
      </c>
      <c r="AH149" s="10">
        <v>0</v>
      </c>
      <c r="AI149" t="str">
        <f>CONCATENATE(VLOOKUP(AJ149, 'Voxel Sizes'!$A$2:$B$18,2,FALSE),"x",INT(AF149*15), "x", INT(AG149*15))</f>
        <v>120x0x0</v>
      </c>
      <c r="AJ149">
        <f t="shared" si="45"/>
        <v>7</v>
      </c>
      <c r="AK149" t="s">
        <v>294</v>
      </c>
      <c r="AL149" t="str">
        <f>CONCATENATE(VLOOKUP(AJ149,Constants!$A$2:$C$16,IF(AK149&lt;&gt;"", 3, 2), FALSE),IF(AK149&lt;&gt;"",CONCATENATE(",",VLOOKUP(AK149,$B:$AL,37,FALSE)),""))</f>
        <v>2,3,2,2,1,2</v>
      </c>
      <c r="AT149">
        <v>1</v>
      </c>
      <c r="AV149">
        <v>34</v>
      </c>
      <c r="AW149" s="15">
        <f t="shared" si="46"/>
        <v>41</v>
      </c>
      <c r="AZ149">
        <f t="shared" si="47"/>
        <v>18.399999999999999</v>
      </c>
      <c r="BA149">
        <f t="shared" si="48"/>
        <v>6.25</v>
      </c>
      <c r="BB149">
        <f t="shared" si="49"/>
        <v>5.6499999999999995</v>
      </c>
      <c r="BC149" s="3">
        <f t="shared" si="50"/>
        <v>0.95466666666666666</v>
      </c>
      <c r="BD149">
        <f t="shared" si="51"/>
        <v>0</v>
      </c>
      <c r="BE149">
        <f>VLOOKUP($F149,Constants!$I:$K, 2, FALSE)</f>
        <v>1.1499999999999999</v>
      </c>
      <c r="BF149">
        <f>VLOOKUP($F149,Constants!$I:$K, 3, FALSE)*IF(AND(E149="multiple_unit",Z149&lt;110),0.75,1)</f>
        <v>1.7</v>
      </c>
      <c r="BG149">
        <f>INT(POWER(((Constants!$G$2+$AZ149+$BA149+$BB149+$BD149)*$BC149)*$BF149, 1.05))+$AY149</f>
        <v>70</v>
      </c>
      <c r="BH149">
        <f>INT(POWER((((Constants!$G$1+$AZ149+$BA149+$BB149+$BD149)*($BC149))*$BE149),IF($E149="wagon",1,1.2)))+$AX149</f>
        <v>108</v>
      </c>
      <c r="BI149" s="14">
        <f t="shared" si="52"/>
        <v>54687.5</v>
      </c>
      <c r="BJ149" s="14">
        <f t="shared" si="53"/>
        <v>8775</v>
      </c>
      <c r="BQ149">
        <v>11</v>
      </c>
      <c r="BU149" t="str">
        <f>VLOOKUP(H149,Eras!$A$2:$C$10, 2, TRUE)</f>
        <v>big4</v>
      </c>
      <c r="BV149" t="s">
        <v>327</v>
      </c>
      <c r="BW149" t="str">
        <f t="shared" si="54"/>
        <v>big4_Mixed Traffic</v>
      </c>
      <c r="BX149" t="str">
        <f t="shared" si="55"/>
        <v>steam_RAIL</v>
      </c>
      <c r="BY149" t="str">
        <f>VLOOKUP($BX149, Constants!$M:$N, 2, FALSE)</f>
        <v>{BLACK}Powered by: {GOLD}Steam</v>
      </c>
      <c r="BZ149" t="str">
        <f t="shared" si="60"/>
        <v/>
      </c>
      <c r="CA149" t="s">
        <v>368</v>
      </c>
      <c r="CB149" t="str">
        <f t="shared" si="56"/>
        <v/>
      </c>
      <c r="CC149" t="str">
        <f t="shared" si="57"/>
        <v>{BLACK}Powered by: {GOLD}Steam {}{SILVER}The Stanier Class 5, commonly known as the "Black 5", was a workhorse for the LMS and into the British Rail era. Although intended as a mixed traffic locomotive it was capable of high top speeds.</v>
      </c>
    </row>
    <row r="150" spans="1:81" x14ac:dyDescent="0.25">
      <c r="A150" t="s">
        <v>22</v>
      </c>
      <c r="B150" t="s">
        <v>287</v>
      </c>
      <c r="C150">
        <v>240</v>
      </c>
      <c r="D150">
        <v>57</v>
      </c>
      <c r="E150" t="s">
        <v>263</v>
      </c>
      <c r="F150" t="s">
        <v>272</v>
      </c>
      <c r="G150" t="s">
        <v>275</v>
      </c>
      <c r="H150">
        <v>1934</v>
      </c>
      <c r="I150">
        <v>1936</v>
      </c>
      <c r="J150">
        <v>1967</v>
      </c>
      <c r="L150">
        <v>1375</v>
      </c>
      <c r="U150">
        <v>80.8</v>
      </c>
      <c r="V150" s="8">
        <v>52</v>
      </c>
      <c r="X150">
        <v>118</v>
      </c>
      <c r="Y150" s="3">
        <f t="shared" si="44"/>
        <v>8.8855421686746983E-2</v>
      </c>
      <c r="Z150">
        <v>95</v>
      </c>
      <c r="AA150">
        <f t="shared" si="34"/>
        <v>152</v>
      </c>
      <c r="AC150">
        <v>1</v>
      </c>
      <c r="AD150">
        <v>12.09</v>
      </c>
      <c r="AE150">
        <v>12.09</v>
      </c>
      <c r="AH150" s="10">
        <v>0</v>
      </c>
      <c r="AI150" t="str">
        <f>CONCATENATE(VLOOKUP(AJ150, 'Voxel Sizes'!$A$2:$B$18,2,FALSE),"x",INT(AF150*15), "x", INT(AG150*15))</f>
        <v>120x0x0</v>
      </c>
      <c r="AJ150">
        <f t="shared" si="45"/>
        <v>7</v>
      </c>
      <c r="AK150" t="s">
        <v>289</v>
      </c>
      <c r="AL150" t="str">
        <f>CONCATENATE(VLOOKUP(AJ150,Constants!$A$2:$C$16,IF(AK150&lt;&gt;"", 3, 2), FALSE),IF(AK150&lt;&gt;"",CONCATENATE(",",VLOOKUP(AK150,$B:$AL,37,FALSE)),""))</f>
        <v>2,3,2,2,1,2</v>
      </c>
      <c r="AT150">
        <v>1</v>
      </c>
      <c r="AV150">
        <v>34</v>
      </c>
      <c r="AW150" s="15">
        <f t="shared" si="46"/>
        <v>41</v>
      </c>
      <c r="AZ150">
        <f t="shared" si="47"/>
        <v>19</v>
      </c>
      <c r="BA150">
        <f t="shared" si="48"/>
        <v>6.875</v>
      </c>
      <c r="BB150">
        <f t="shared" si="49"/>
        <v>5.8999999999999995</v>
      </c>
      <c r="BC150" s="3">
        <f t="shared" si="50"/>
        <v>0.95466666666666666</v>
      </c>
      <c r="BD150">
        <f t="shared" si="51"/>
        <v>0</v>
      </c>
      <c r="BE150">
        <f>VLOOKUP($F150,Constants!$I:$K, 2, FALSE)</f>
        <v>1.1499999999999999</v>
      </c>
      <c r="BF150">
        <f>VLOOKUP($F150,Constants!$I:$K, 3, FALSE)*IF(AND(E150="multiple_unit",Z150&lt;110),0.75,1)</f>
        <v>1.7</v>
      </c>
      <c r="BG150">
        <f>INT(POWER(((Constants!$G$2+$AZ150+$BA150+$BB150+$BD150)*$BC150)*$BF150, 1.05))+$AY150</f>
        <v>73</v>
      </c>
      <c r="BH150">
        <f>INT(POWER((((Constants!$G$1+$AZ150+$BA150+$BB150+$BD150)*($BC150))*$BE150),IF($E150="wagon",1,1.2)))+$AX150</f>
        <v>112</v>
      </c>
      <c r="BI150" s="14">
        <f t="shared" si="52"/>
        <v>57031.25</v>
      </c>
      <c r="BJ150" s="14">
        <f t="shared" si="53"/>
        <v>9100</v>
      </c>
      <c r="BQ150">
        <v>12</v>
      </c>
      <c r="BU150" t="str">
        <f>VLOOKUP(H150,Eras!$A$2:$C$10, 2, TRUE)</f>
        <v>big4</v>
      </c>
      <c r="BV150" t="s">
        <v>328</v>
      </c>
      <c r="BW150" t="str">
        <f t="shared" si="54"/>
        <v>big4_Express</v>
      </c>
      <c r="BX150" t="str">
        <f t="shared" si="55"/>
        <v>steam_RAIL</v>
      </c>
      <c r="BY150" t="str">
        <f>VLOOKUP($BX150, Constants!$M:$N, 2, FALSE)</f>
        <v>{BLACK}Powered by: {GOLD}Steam</v>
      </c>
      <c r="BZ150" t="str">
        <f t="shared" si="60"/>
        <v/>
      </c>
      <c r="CA150" t="s">
        <v>354</v>
      </c>
      <c r="CB150" t="str">
        <f t="shared" si="56"/>
        <v/>
      </c>
      <c r="CC150" t="str">
        <f t="shared" si="57"/>
        <v>{BLACK}Powered by: {GOLD}Steam {}{SILVER}The Jubilee is the counterpart to the Class 5, often called the "Red Stanier" due to its red LMS livery. It was intended for passenger work, with slightly larger diameter driving wheels giving a higher top speed.</v>
      </c>
    </row>
    <row r="151" spans="1:81" x14ac:dyDescent="0.25">
      <c r="A151" t="s">
        <v>450</v>
      </c>
      <c r="B151" t="s">
        <v>163</v>
      </c>
      <c r="C151">
        <v>242</v>
      </c>
      <c r="D151">
        <v>58</v>
      </c>
      <c r="E151" t="s">
        <v>263</v>
      </c>
      <c r="F151" t="s">
        <v>272</v>
      </c>
      <c r="G151" t="s">
        <v>275</v>
      </c>
      <c r="H151">
        <v>1935</v>
      </c>
      <c r="J151">
        <v>1968</v>
      </c>
      <c r="L151">
        <v>1300</v>
      </c>
      <c r="U151">
        <v>73</v>
      </c>
      <c r="V151" s="8">
        <v>46</v>
      </c>
      <c r="X151">
        <v>144</v>
      </c>
      <c r="Y151" s="3">
        <f t="shared" si="44"/>
        <v>0.12100840336134454</v>
      </c>
      <c r="Z151">
        <v>70</v>
      </c>
      <c r="AA151">
        <f t="shared" si="34"/>
        <v>112</v>
      </c>
      <c r="AD151">
        <v>19.22</v>
      </c>
      <c r="AE151">
        <f>19.22-7.46</f>
        <v>11.759999999999998</v>
      </c>
      <c r="AH151" s="10">
        <v>0</v>
      </c>
      <c r="AI151" t="str">
        <f>CONCATENATE(VLOOKUP(AJ151, 'Voxel Sizes'!$A$2:$B$18,2,FALSE),"x",INT(AF151*15), "x", INT(AG151*15))</f>
        <v>120x0x0</v>
      </c>
      <c r="AJ151">
        <f t="shared" si="45"/>
        <v>7</v>
      </c>
      <c r="AK151" t="s">
        <v>294</v>
      </c>
      <c r="AL151" t="str">
        <f>CONCATENATE(VLOOKUP(AJ151,Constants!$A$2:$C$16,IF(AK151&lt;&gt;"", 3, 2), FALSE),IF(AK151&lt;&gt;"",CONCATENATE(",",VLOOKUP(AK151,$B:$AL,37,FALSE)),""))</f>
        <v>2,3,2,2,1,2</v>
      </c>
      <c r="AT151">
        <v>1</v>
      </c>
      <c r="AV151">
        <v>34</v>
      </c>
      <c r="AW151" s="15">
        <f t="shared" si="46"/>
        <v>41</v>
      </c>
      <c r="AZ151">
        <f t="shared" si="47"/>
        <v>14</v>
      </c>
      <c r="BA151">
        <f t="shared" si="48"/>
        <v>6.5</v>
      </c>
      <c r="BB151">
        <f t="shared" si="49"/>
        <v>7.1999999999999993</v>
      </c>
      <c r="BC151" s="3">
        <f t="shared" si="50"/>
        <v>0.95333333333333337</v>
      </c>
      <c r="BD151">
        <f t="shared" si="51"/>
        <v>0</v>
      </c>
      <c r="BE151">
        <f>VLOOKUP($F151,Constants!$I:$K, 2, FALSE)</f>
        <v>1.1499999999999999</v>
      </c>
      <c r="BF151">
        <f>VLOOKUP($F151,Constants!$I:$K, 3, FALSE)*IF(AND(E151="multiple_unit",Z151&lt;110),0.75,1)</f>
        <v>1.7</v>
      </c>
      <c r="BG151">
        <f>INT(POWER(((Constants!$G$2+$AZ151+$BA151+$BB151+$BD151)*$BC151)*$BF151, 1.05))+$AY151</f>
        <v>64</v>
      </c>
      <c r="BH151">
        <f>INT(POWER((((Constants!$G$1+$AZ151+$BA151+$BB151+$BD151)*($BC151))*$BE151),IF($E151="wagon",1,1.2)))+$AX151</f>
        <v>101</v>
      </c>
      <c r="BI151" s="14">
        <f t="shared" si="52"/>
        <v>50000</v>
      </c>
      <c r="BJ151" s="14">
        <f t="shared" si="53"/>
        <v>8206.25</v>
      </c>
      <c r="BQ151">
        <v>1</v>
      </c>
      <c r="BU151" t="str">
        <f>VLOOKUP(H151,Eras!$A$2:$C$10, 2, TRUE)</f>
        <v>big4</v>
      </c>
      <c r="BV151" t="s">
        <v>329</v>
      </c>
      <c r="BW151" t="str">
        <f t="shared" si="54"/>
        <v>big4_Freight</v>
      </c>
      <c r="BX151" t="str">
        <f t="shared" si="55"/>
        <v>steam_RAIL</v>
      </c>
      <c r="BY151" t="str">
        <f>VLOOKUP($BX151, Constants!$M:$N, 2, FALSE)</f>
        <v>{BLACK}Powered by: {GOLD}Steam</v>
      </c>
      <c r="BZ151" t="str">
        <f t="shared" si="60"/>
        <v/>
      </c>
      <c r="CA151" t="s">
        <v>451</v>
      </c>
      <c r="CB151" t="str">
        <f t="shared" si="56"/>
        <v/>
      </c>
      <c r="CC151" t="str">
        <f t="shared" si="57"/>
        <v>{BLACK}Powered by: {GOLD}Steam {}{SILVER}The Stanier 8F is a further development of the Class 5, specialised for freight traffic with a 2-8-0 layout.</v>
      </c>
    </row>
    <row r="152" spans="1:81" x14ac:dyDescent="0.25">
      <c r="A152" t="s">
        <v>17</v>
      </c>
      <c r="B152" t="s">
        <v>453</v>
      </c>
      <c r="C152">
        <v>244</v>
      </c>
      <c r="D152">
        <v>59</v>
      </c>
      <c r="E152" t="s">
        <v>263</v>
      </c>
      <c r="F152" t="s">
        <v>272</v>
      </c>
      <c r="G152" t="s">
        <v>275</v>
      </c>
      <c r="H152">
        <v>1935</v>
      </c>
      <c r="I152">
        <v>1938</v>
      </c>
      <c r="J152">
        <v>1966</v>
      </c>
      <c r="L152">
        <v>2450</v>
      </c>
      <c r="U152">
        <v>104.6</v>
      </c>
      <c r="V152" s="8">
        <v>64</v>
      </c>
      <c r="X152">
        <v>157</v>
      </c>
      <c r="Y152" s="3">
        <f t="shared" si="44"/>
        <v>9.3119810201660741E-2</v>
      </c>
      <c r="Z152">
        <v>126</v>
      </c>
      <c r="AA152">
        <f t="shared" si="34"/>
        <v>202</v>
      </c>
      <c r="AC152">
        <v>1</v>
      </c>
      <c r="AD152">
        <v>21.65</v>
      </c>
      <c r="AE152">
        <f>AD152-7.5</f>
        <v>14.149999999999999</v>
      </c>
      <c r="AG152">
        <v>3.99</v>
      </c>
      <c r="AH152" s="10">
        <v>0</v>
      </c>
      <c r="AI152" t="str">
        <f>CONCATENATE(VLOOKUP(AJ152, 'Voxel Sizes'!$A$2:$B$18,2,FALSE),"x",INT(AF152*15), "x", INT(AG152*15))</f>
        <v>136x0x59</v>
      </c>
      <c r="AJ152">
        <f t="shared" si="45"/>
        <v>8</v>
      </c>
      <c r="AK152" t="s">
        <v>436</v>
      </c>
      <c r="AL152" t="str">
        <f>CONCATENATE(VLOOKUP(AJ152,Constants!$A$2:$C$16,IF(AK152&lt;&gt;"", 3, 2), FALSE),IF(AK152&lt;&gt;"",CONCATENATE(",",VLOOKUP(AK152,$B:$AL,37,FALSE)),""))</f>
        <v>2,4,2,2,1,2</v>
      </c>
      <c r="AT152">
        <v>1</v>
      </c>
      <c r="AV152">
        <v>28</v>
      </c>
      <c r="AW152" s="15">
        <f t="shared" si="46"/>
        <v>39</v>
      </c>
      <c r="AZ152">
        <f t="shared" si="47"/>
        <v>25.2</v>
      </c>
      <c r="BA152">
        <f t="shared" si="48"/>
        <v>12.25</v>
      </c>
      <c r="BB152">
        <f t="shared" si="49"/>
        <v>7.8500000000000005</v>
      </c>
      <c r="BC152" s="3">
        <f t="shared" si="50"/>
        <v>0.95333333333333337</v>
      </c>
      <c r="BD152">
        <f t="shared" si="51"/>
        <v>0</v>
      </c>
      <c r="BE152">
        <f>VLOOKUP($F152,Constants!$I:$K, 2, FALSE)</f>
        <v>1.1499999999999999</v>
      </c>
      <c r="BF152">
        <f>VLOOKUP($F152,Constants!$I:$K, 3, FALSE)*IF(AND(E152="multiple_unit",Z152&lt;110),0.75,1)</f>
        <v>1.7</v>
      </c>
      <c r="BG152">
        <f>INT(POWER(((Constants!$G$2+$AZ152+$BA152+$BB152+$BD152)*$BC152)*$BF152, 1.05))+$AY152</f>
        <v>101</v>
      </c>
      <c r="BH152">
        <f>INT(POWER((((Constants!$G$1+$AZ152+$BA152+$BB152+$BD152)*($BC152))*$BE152),IF($E152="wagon",1,1.2)))+$AX152</f>
        <v>152</v>
      </c>
      <c r="BI152" s="14">
        <f t="shared" si="52"/>
        <v>78906.25</v>
      </c>
      <c r="BJ152" s="14">
        <f t="shared" si="53"/>
        <v>12350</v>
      </c>
      <c r="BQ152">
        <v>2</v>
      </c>
      <c r="BU152" t="str">
        <f>VLOOKUP(H152,Eras!$A$2:$C$10, 2, TRUE)</f>
        <v>big4</v>
      </c>
      <c r="BV152" t="s">
        <v>328</v>
      </c>
      <c r="BW152" t="str">
        <f t="shared" si="54"/>
        <v>big4_Express</v>
      </c>
      <c r="BX152" t="str">
        <f t="shared" si="55"/>
        <v>steam_RAIL</v>
      </c>
      <c r="BY152" t="str">
        <f>VLOOKUP($BX152, Constants!$M:$N, 2, FALSE)</f>
        <v>{BLACK}Powered by: {GOLD}Steam</v>
      </c>
      <c r="BZ152" t="str">
        <f t="shared" si="60"/>
        <v/>
      </c>
      <c r="CA152" t="s">
        <v>452</v>
      </c>
      <c r="CB152" t="str">
        <f t="shared" si="56"/>
        <v/>
      </c>
      <c r="CC152" t="str">
        <f t="shared" si="57"/>
        <v>{BLACK}Powered by: {GOLD}Steam {}{SILVER}The Gresley A4 is the iconic pinnacle of high-speed British steam, holding numerous speed and power records.</v>
      </c>
    </row>
    <row r="153" spans="1:81" x14ac:dyDescent="0.25">
      <c r="A153" t="s">
        <v>7</v>
      </c>
      <c r="B153" t="s">
        <v>454</v>
      </c>
      <c r="C153">
        <v>246</v>
      </c>
      <c r="D153">
        <v>60</v>
      </c>
      <c r="E153" t="s">
        <v>263</v>
      </c>
      <c r="F153" t="s">
        <v>272</v>
      </c>
      <c r="G153" t="s">
        <v>275</v>
      </c>
      <c r="H153">
        <v>1936</v>
      </c>
      <c r="I153">
        <v>1944</v>
      </c>
      <c r="J153">
        <v>1966</v>
      </c>
      <c r="L153">
        <v>1900</v>
      </c>
      <c r="N153" s="5">
        <v>18.5</v>
      </c>
      <c r="O153" s="5">
        <v>26</v>
      </c>
      <c r="P153" s="5">
        <v>3</v>
      </c>
      <c r="Q153" s="5">
        <v>220</v>
      </c>
      <c r="R153" s="6">
        <f>((($Z153/2)/60)*5280)/($S153*3.2*PI())</f>
        <v>216.509982424214</v>
      </c>
      <c r="S153" s="5">
        <v>1.88</v>
      </c>
      <c r="T153" s="5">
        <f>((($N153*$N153/4)*PI())*($O153/12)*$P153*$Q153*$R153)/(33000*1.1)</f>
        <v>2292.6653922872338</v>
      </c>
      <c r="U153">
        <v>91</v>
      </c>
      <c r="V153" s="8">
        <v>54</v>
      </c>
      <c r="X153">
        <v>150</v>
      </c>
      <c r="Y153" s="3">
        <f t="shared" si="44"/>
        <v>0.10344827586206896</v>
      </c>
      <c r="Z153">
        <v>93</v>
      </c>
      <c r="AA153">
        <f t="shared" si="34"/>
        <v>149</v>
      </c>
      <c r="AC153">
        <v>1</v>
      </c>
      <c r="AD153">
        <v>20.239999999999998</v>
      </c>
      <c r="AE153">
        <f>AD153-7.5</f>
        <v>12.739999999999998</v>
      </c>
      <c r="AH153" s="10">
        <v>0</v>
      </c>
      <c r="AI153" t="str">
        <f>CONCATENATE(VLOOKUP(AJ153, 'Voxel Sizes'!$A$2:$B$18,2,FALSE),"x",INT(AF153*15), "x", INT(AG153*15))</f>
        <v>120x0x0</v>
      </c>
      <c r="AJ153">
        <f t="shared" si="45"/>
        <v>7</v>
      </c>
      <c r="AK153" t="s">
        <v>436</v>
      </c>
      <c r="AL153" t="str">
        <f>CONCATENATE(VLOOKUP(AJ153,Constants!$A$2:$C$16,IF(AK153&lt;&gt;"", 3, 2), FALSE),IF(AK153&lt;&gt;"",CONCATENATE(",",VLOOKUP(AK153,$B:$AL,37,FALSE)),""))</f>
        <v>2,3,2,2,1,2</v>
      </c>
      <c r="AT153">
        <v>1</v>
      </c>
      <c r="AV153">
        <v>32</v>
      </c>
      <c r="AW153" s="15">
        <f t="shared" si="46"/>
        <v>38</v>
      </c>
      <c r="AZ153">
        <f t="shared" si="47"/>
        <v>18.600000000000001</v>
      </c>
      <c r="BA153">
        <f t="shared" si="48"/>
        <v>9.5</v>
      </c>
      <c r="BB153">
        <f t="shared" si="49"/>
        <v>7.5</v>
      </c>
      <c r="BC153" s="3">
        <f t="shared" si="50"/>
        <v>0.95199999999999996</v>
      </c>
      <c r="BD153">
        <f t="shared" si="51"/>
        <v>0</v>
      </c>
      <c r="BE153">
        <f>VLOOKUP($F153,Constants!$I:$K, 2, FALSE)</f>
        <v>1.1499999999999999</v>
      </c>
      <c r="BF153">
        <f>VLOOKUP($F153,Constants!$I:$K, 3, FALSE)*IF(AND(E153="multiple_unit",Z153&lt;110),0.75,1)</f>
        <v>1.7</v>
      </c>
      <c r="BG153">
        <f>INT(POWER(((Constants!$G$2+$AZ153+$BA153+$BB153+$BD153)*$BC153)*$BF153, 1.05))+$AY153</f>
        <v>81</v>
      </c>
      <c r="BH153">
        <f>INT(POWER((((Constants!$G$1+$AZ153+$BA153+$BB153+$BD153)*($BC153))*$BE153),IF($E153="wagon",1,1.2)))+$AX153</f>
        <v>123</v>
      </c>
      <c r="BI153" s="14">
        <f t="shared" si="52"/>
        <v>63281.25</v>
      </c>
      <c r="BJ153" s="14">
        <f t="shared" si="53"/>
        <v>9993.75</v>
      </c>
      <c r="BQ153">
        <v>3</v>
      </c>
      <c r="BU153" t="str">
        <f>VLOOKUP(H153,Eras!$A$2:$C$10, 2, TRUE)</f>
        <v>big4</v>
      </c>
      <c r="BV153" t="s">
        <v>327</v>
      </c>
      <c r="BW153" t="str">
        <f t="shared" si="54"/>
        <v>big4_Mixed Traffic</v>
      </c>
      <c r="BX153" t="str">
        <f t="shared" si="55"/>
        <v>steam_RAIL</v>
      </c>
      <c r="BY153" t="str">
        <f>VLOOKUP($BX153, Constants!$M:$N, 2, FALSE)</f>
        <v>{BLACK}Powered by: {GOLD}Steam</v>
      </c>
      <c r="BZ153" t="str">
        <f t="shared" si="60"/>
        <v/>
      </c>
      <c r="CA153" t="s">
        <v>455</v>
      </c>
      <c r="CB153" t="str">
        <f t="shared" si="56"/>
        <v/>
      </c>
      <c r="CC153" t="str">
        <f t="shared" si="57"/>
        <v>{BLACK}Powered by: {GOLD}Steam {}{SILVER}The Gresley V2 is derived from the A3 type, adapted to mixed traffic with a shorter boiler, smaller driving wheels and a 2-6-2 layout.</v>
      </c>
    </row>
    <row r="154" spans="1:81" x14ac:dyDescent="0.25">
      <c r="A154" t="s">
        <v>14</v>
      </c>
      <c r="B154" t="s">
        <v>456</v>
      </c>
      <c r="C154">
        <v>248</v>
      </c>
      <c r="D154">
        <v>61</v>
      </c>
      <c r="E154" t="s">
        <v>263</v>
      </c>
      <c r="F154" t="s">
        <v>272</v>
      </c>
      <c r="G154" t="s">
        <v>275</v>
      </c>
      <c r="H154">
        <v>1936</v>
      </c>
      <c r="I154">
        <v>1939</v>
      </c>
      <c r="J154">
        <v>1965</v>
      </c>
      <c r="L154">
        <v>1600</v>
      </c>
      <c r="N154" s="5">
        <v>18.5</v>
      </c>
      <c r="O154" s="5">
        <v>30</v>
      </c>
      <c r="P154" s="5">
        <v>2</v>
      </c>
      <c r="Q154" s="5">
        <v>225</v>
      </c>
      <c r="R154" s="6">
        <f>((($Z154/2)/60)*5280)/($S154*3.2*PI())</f>
        <v>193.09239419237301</v>
      </c>
      <c r="S154" s="5">
        <v>1.7</v>
      </c>
      <c r="T154" s="5">
        <f>((($N154*$N154/4)*PI())*($O154/12)*$P154*$Q154*$R154)/(33000*1.1)</f>
        <v>1608.5864388368984</v>
      </c>
      <c r="U154">
        <v>75.2</v>
      </c>
      <c r="V154" s="8">
        <v>48</v>
      </c>
      <c r="X154">
        <v>128</v>
      </c>
      <c r="Y154" s="3">
        <f t="shared" si="44"/>
        <v>0.1038961038961039</v>
      </c>
      <c r="Z154">
        <v>75</v>
      </c>
      <c r="AA154">
        <f t="shared" si="34"/>
        <v>120</v>
      </c>
      <c r="AD154">
        <v>19.21</v>
      </c>
      <c r="AE154">
        <f>AD154-7.5</f>
        <v>11.71</v>
      </c>
      <c r="AG154">
        <v>3.96</v>
      </c>
      <c r="AH154" s="10">
        <v>0</v>
      </c>
      <c r="AI154" t="str">
        <f>CONCATENATE(VLOOKUP(AJ154, 'Voxel Sizes'!$A$2:$B$18,2,FALSE),"x",INT(AF154*15), "x", INT(AG154*15))</f>
        <v>120x0x59</v>
      </c>
      <c r="AJ154">
        <f t="shared" si="45"/>
        <v>7</v>
      </c>
      <c r="AK154" t="s">
        <v>421</v>
      </c>
      <c r="AL154" t="str">
        <f>CONCATENATE(VLOOKUP(AJ154,Constants!$A$2:$C$16,IF(AK154&lt;&gt;"", 3, 2), FALSE),IF(AK154&lt;&gt;"",CONCATENATE(",",VLOOKUP(AK154,$B:$AL,37,FALSE)),""))</f>
        <v>2,3,2,2,1,2</v>
      </c>
      <c r="AT154">
        <v>1</v>
      </c>
      <c r="AV154">
        <v>30</v>
      </c>
      <c r="AW154" s="15">
        <f t="shared" si="46"/>
        <v>37</v>
      </c>
      <c r="AZ154">
        <f t="shared" si="47"/>
        <v>15</v>
      </c>
      <c r="BA154">
        <f t="shared" si="48"/>
        <v>8</v>
      </c>
      <c r="BB154">
        <f t="shared" si="49"/>
        <v>6.4</v>
      </c>
      <c r="BC154" s="3">
        <f t="shared" si="50"/>
        <v>0.95199999999999996</v>
      </c>
      <c r="BD154">
        <f t="shared" si="51"/>
        <v>0</v>
      </c>
      <c r="BE154">
        <f>VLOOKUP($F154,Constants!$I:$K, 2, FALSE)</f>
        <v>1.1499999999999999</v>
      </c>
      <c r="BF154">
        <f>VLOOKUP($F154,Constants!$I:$K, 3, FALSE)*IF(AND(E154="multiple_unit",Z154&lt;110),0.75,1)</f>
        <v>1.7</v>
      </c>
      <c r="BG154">
        <f>INT(POWER(((Constants!$G$2+$AZ154+$BA154+$BB154+$BD154)*$BC154)*$BF154, 1.05))+$AY154</f>
        <v>68</v>
      </c>
      <c r="BH154">
        <f>INT(POWER((((Constants!$G$1+$AZ154+$BA154+$BB154+$BD154)*($BC154))*$BE154),IF($E154="wagon",1,1.2)))+$AX154</f>
        <v>105</v>
      </c>
      <c r="BI154" s="14">
        <f t="shared" si="52"/>
        <v>53125</v>
      </c>
      <c r="BJ154" s="14">
        <f t="shared" si="53"/>
        <v>8531.25</v>
      </c>
      <c r="BQ154">
        <v>4</v>
      </c>
      <c r="BU154" t="str">
        <f>VLOOKUP(H154,Eras!$A$2:$C$10, 2, TRUE)</f>
        <v>big4</v>
      </c>
      <c r="BV154" t="s">
        <v>327</v>
      </c>
      <c r="BW154" t="str">
        <f t="shared" si="54"/>
        <v>big4_Mixed Traffic</v>
      </c>
      <c r="BX154" t="str">
        <f t="shared" si="55"/>
        <v>steam_RAIL</v>
      </c>
      <c r="BY154" t="str">
        <f>VLOOKUP($BX154, Constants!$M:$N, 2, FALSE)</f>
        <v>{BLACK}Powered by: {GOLD}Steam</v>
      </c>
      <c r="BZ154" t="str">
        <f t="shared" si="60"/>
        <v/>
      </c>
      <c r="CA154" t="s">
        <v>458</v>
      </c>
      <c r="CB154" t="str">
        <f t="shared" si="56"/>
        <v/>
      </c>
      <c r="CC154" t="str">
        <f t="shared" si="57"/>
        <v>{BLACK}Powered by: {GOLD}Steam {}{SILVER}The Grange class is a conservative design similar to the Hall class with smaller driving wheels, but proved to be reliable in service.</v>
      </c>
    </row>
    <row r="155" spans="1:81" x14ac:dyDescent="0.25">
      <c r="A155" t="s">
        <v>23</v>
      </c>
      <c r="B155" t="s">
        <v>457</v>
      </c>
      <c r="C155">
        <v>250</v>
      </c>
      <c r="D155">
        <v>62</v>
      </c>
      <c r="E155" t="s">
        <v>263</v>
      </c>
      <c r="F155" t="s">
        <v>272</v>
      </c>
      <c r="G155" t="s">
        <v>275</v>
      </c>
      <c r="H155">
        <v>1937</v>
      </c>
      <c r="I155">
        <v>1948</v>
      </c>
      <c r="J155">
        <v>1964</v>
      </c>
      <c r="L155">
        <v>2500</v>
      </c>
      <c r="U155">
        <v>110</v>
      </c>
      <c r="V155" s="8">
        <v>57</v>
      </c>
      <c r="X155">
        <v>180</v>
      </c>
      <c r="Y155" s="3">
        <f t="shared" si="44"/>
        <v>0.10778443113772455</v>
      </c>
      <c r="Z155">
        <v>115</v>
      </c>
      <c r="AA155">
        <f t="shared" si="34"/>
        <v>184</v>
      </c>
      <c r="AC155">
        <v>1</v>
      </c>
      <c r="AD155">
        <v>22.49</v>
      </c>
      <c r="AE155">
        <f>AD155-7.5</f>
        <v>14.989999999999998</v>
      </c>
      <c r="AG155">
        <v>4.0389999999999997</v>
      </c>
      <c r="AH155" s="10">
        <v>0</v>
      </c>
      <c r="AI155" t="str">
        <f>CONCATENATE(VLOOKUP(AJ155, 'Voxel Sizes'!$A$2:$B$18,2,FALSE),"x",INT(AF155*15), "x", INT(AG155*15))</f>
        <v>152x0x60</v>
      </c>
      <c r="AJ155">
        <f t="shared" si="45"/>
        <v>9</v>
      </c>
      <c r="AK155" t="s">
        <v>460</v>
      </c>
      <c r="AL155" t="str">
        <f>CONCATENATE(VLOOKUP(AJ155,Constants!$A$2:$C$16,IF(AK155&lt;&gt;"", 3, 2), FALSE),IF(AK155&lt;&gt;"",CONCATENATE(",",VLOOKUP(AK155,$B:$AL,37,FALSE)),""))</f>
        <v>2,5,2,2,1,2</v>
      </c>
      <c r="AT155">
        <v>1</v>
      </c>
      <c r="AV155">
        <v>35</v>
      </c>
      <c r="AW155" s="15">
        <f t="shared" si="46"/>
        <v>35</v>
      </c>
      <c r="AZ155">
        <f t="shared" si="47"/>
        <v>23</v>
      </c>
      <c r="BA155">
        <f t="shared" si="48"/>
        <v>12.5</v>
      </c>
      <c r="BB155">
        <f t="shared" si="49"/>
        <v>9</v>
      </c>
      <c r="BC155" s="3">
        <f t="shared" si="50"/>
        <v>0.95066666666666666</v>
      </c>
      <c r="BD155">
        <f t="shared" si="51"/>
        <v>0</v>
      </c>
      <c r="BE155">
        <f>VLOOKUP($F155,Constants!$I:$K, 2, FALSE)</f>
        <v>1.1499999999999999</v>
      </c>
      <c r="BF155">
        <f>VLOOKUP($F155,Constants!$I:$K, 3, FALSE)*IF(AND(E155="multiple_unit",Z155&lt;110),0.75,1)</f>
        <v>1.7</v>
      </c>
      <c r="BG155">
        <f>INT(POWER(((Constants!$G$2+$AZ155+$BA155+$BB155+$BD155)*$BC155)*$BF155, 1.05))+$AY155</f>
        <v>99</v>
      </c>
      <c r="BH155">
        <f>INT(POWER((((Constants!$G$1+$AZ155+$BA155+$BB155+$BD155)*($BC155))*$BE155),IF($E155="wagon",1,1.2)))+$AX155</f>
        <v>149</v>
      </c>
      <c r="BI155" s="14">
        <f t="shared" si="52"/>
        <v>77343.75</v>
      </c>
      <c r="BJ155" s="14">
        <f t="shared" si="53"/>
        <v>12106.25</v>
      </c>
      <c r="BQ155">
        <v>5</v>
      </c>
      <c r="BU155" t="str">
        <f>VLOOKUP(H155,Eras!$A$2:$C$10, 2, TRUE)</f>
        <v>big4</v>
      </c>
      <c r="BV155" t="s">
        <v>328</v>
      </c>
      <c r="BW155" t="str">
        <f t="shared" si="54"/>
        <v>big4_Express</v>
      </c>
      <c r="BX155" t="str">
        <f t="shared" si="55"/>
        <v>steam_RAIL</v>
      </c>
      <c r="BY155" t="str">
        <f>VLOOKUP($BX155, Constants!$M:$N, 2, FALSE)</f>
        <v>{BLACK}Powered by: {GOLD}Steam</v>
      </c>
      <c r="BZ155" t="str">
        <f t="shared" si="60"/>
        <v/>
      </c>
      <c r="CA155" t="s">
        <v>459</v>
      </c>
      <c r="CB155" t="str">
        <f t="shared" si="56"/>
        <v/>
      </c>
      <c r="CC155" t="str">
        <f t="shared" si="57"/>
        <v>{BLACK}Powered by: {GOLD}Steam {}{SILVER}The Stanier Coronation briefly held the British speed record for a steam locomotive. In real life, the streamlined casing was only fitted to early examples.</v>
      </c>
    </row>
    <row r="156" spans="1:81" x14ac:dyDescent="0.25">
      <c r="A156" t="s">
        <v>26</v>
      </c>
      <c r="B156" t="s">
        <v>470</v>
      </c>
      <c r="C156">
        <v>252</v>
      </c>
      <c r="D156">
        <v>63</v>
      </c>
      <c r="E156" t="s">
        <v>263</v>
      </c>
      <c r="F156" t="s">
        <v>272</v>
      </c>
      <c r="G156" t="s">
        <v>275</v>
      </c>
      <c r="H156">
        <v>1941</v>
      </c>
      <c r="I156">
        <v>1949</v>
      </c>
      <c r="J156">
        <v>1967</v>
      </c>
      <c r="L156">
        <v>2100</v>
      </c>
      <c r="N156" s="5">
        <v>18</v>
      </c>
      <c r="O156" s="5">
        <v>24</v>
      </c>
      <c r="P156" s="5">
        <v>3</v>
      </c>
      <c r="Q156" s="5">
        <v>250</v>
      </c>
      <c r="R156" s="6">
        <f>((($Z156/2)/60)*5280)/($S156*3.2*PI())</f>
        <v>241.87363061991991</v>
      </c>
      <c r="S156" s="5">
        <v>1.9</v>
      </c>
      <c r="T156" s="5">
        <f>((($N156*$N156/4)*PI())*($O156/12)*$P156*$Q156*$R156)/(33000*1.1)</f>
        <v>2543.3612440191391</v>
      </c>
      <c r="U156">
        <v>96.3</v>
      </c>
      <c r="V156" s="8">
        <v>52</v>
      </c>
      <c r="X156">
        <v>167</v>
      </c>
      <c r="Y156" s="3">
        <f t="shared" si="44"/>
        <v>0.11260957518543493</v>
      </c>
      <c r="Z156">
        <v>105</v>
      </c>
      <c r="AA156">
        <f t="shared" si="34"/>
        <v>168</v>
      </c>
      <c r="AC156">
        <v>1</v>
      </c>
      <c r="AD156">
        <v>21.23</v>
      </c>
      <c r="AE156">
        <f>AD156-7.5</f>
        <v>13.73</v>
      </c>
      <c r="AH156" s="10">
        <v>0</v>
      </c>
      <c r="AI156" t="str">
        <f>CONCATENATE(VLOOKUP(AJ156, 'Voxel Sizes'!$A$2:$B$18,2,FALSE),"x",INT(AF156*15), "x", INT(AG156*15))</f>
        <v>136x0x0</v>
      </c>
      <c r="AJ156">
        <f t="shared" si="45"/>
        <v>8</v>
      </c>
      <c r="AK156" t="s">
        <v>469</v>
      </c>
      <c r="AL156" t="str">
        <f>CONCATENATE(VLOOKUP(AJ156,Constants!$A$2:$C$16,IF(AK156&lt;&gt;"", 3, 2), FALSE),IF(AK156&lt;&gt;"",CONCATENATE(",",VLOOKUP(AK156,$B:$AL,37,FALSE)),""))</f>
        <v>2,4,2,2,1,2</v>
      </c>
      <c r="AT156">
        <v>1</v>
      </c>
      <c r="AV156">
        <v>32</v>
      </c>
      <c r="AW156" s="15">
        <f t="shared" si="46"/>
        <v>34</v>
      </c>
      <c r="AZ156">
        <f t="shared" si="47"/>
        <v>21</v>
      </c>
      <c r="BA156">
        <f t="shared" si="48"/>
        <v>10.5</v>
      </c>
      <c r="BB156">
        <f t="shared" si="49"/>
        <v>8.35</v>
      </c>
      <c r="BC156" s="3">
        <f t="shared" si="50"/>
        <v>0.94533333333333336</v>
      </c>
      <c r="BD156">
        <f t="shared" si="51"/>
        <v>0</v>
      </c>
      <c r="BE156">
        <f>VLOOKUP($F156,Constants!$I:$K, 2, FALSE)</f>
        <v>1.1499999999999999</v>
      </c>
      <c r="BF156">
        <f>VLOOKUP($F156,Constants!$I:$K, 3, FALSE)*IF(AND(E156="multiple_unit",Z156&lt;110),0.75,1)</f>
        <v>1.7</v>
      </c>
      <c r="BG156">
        <f>INT(POWER(((Constants!$G$2+$AZ156+$BA156+$BB156+$BD156)*$BC156)*$BF156, 1.05))+$AY156</f>
        <v>89</v>
      </c>
      <c r="BH156">
        <f>INT(POWER((((Constants!$G$1+$AZ156+$BA156+$BB156+$BD156)*($BC156))*$BE156),IF($E156="wagon",1,1.2)))+$AX156</f>
        <v>135</v>
      </c>
      <c r="BI156" s="14">
        <f t="shared" si="52"/>
        <v>69531.25</v>
      </c>
      <c r="BJ156" s="14">
        <f t="shared" si="53"/>
        <v>10968.75</v>
      </c>
      <c r="BQ156">
        <v>6</v>
      </c>
      <c r="BU156" t="str">
        <f>VLOOKUP(H156,Eras!$A$2:$C$10, 2, TRUE)</f>
        <v>big4</v>
      </c>
      <c r="BV156" t="s">
        <v>328</v>
      </c>
      <c r="BW156" t="str">
        <f t="shared" si="54"/>
        <v>big4_Express</v>
      </c>
      <c r="BX156" t="str">
        <f t="shared" si="55"/>
        <v>steam_RAIL</v>
      </c>
      <c r="BY156" t="str">
        <f>VLOOKUP($BX156, Constants!$M:$N, 2, FALSE)</f>
        <v>{BLACK}Powered by: {GOLD}Steam</v>
      </c>
      <c r="BZ156" t="str">
        <f t="shared" si="60"/>
        <v/>
      </c>
      <c r="CA156" t="s">
        <v>471</v>
      </c>
      <c r="CB156" t="str">
        <f t="shared" si="56"/>
        <v/>
      </c>
      <c r="CC156" t="str">
        <f t="shared" si="57"/>
        <v>{BLACK}Powered by: {GOLD}Steam {}{SILVER}The SR Merchant Navy is a large, powerful locomotive with an air-smoothed casing. Bulleid's novel design features proved to be troublesome, and the class was later rebuilt.</v>
      </c>
    </row>
    <row r="157" spans="1:81" x14ac:dyDescent="0.25">
      <c r="A157" t="s">
        <v>57</v>
      </c>
      <c r="B157" t="s">
        <v>164</v>
      </c>
      <c r="C157">
        <v>256</v>
      </c>
      <c r="D157">
        <v>64</v>
      </c>
      <c r="E157" t="s">
        <v>263</v>
      </c>
      <c r="F157" t="s">
        <v>296</v>
      </c>
      <c r="G157" t="s">
        <v>303</v>
      </c>
      <c r="H157">
        <v>1941</v>
      </c>
      <c r="I157">
        <v>1948</v>
      </c>
      <c r="J157">
        <v>1968</v>
      </c>
      <c r="L157">
        <v>1470</v>
      </c>
      <c r="U157">
        <v>101</v>
      </c>
      <c r="X157">
        <v>178</v>
      </c>
      <c r="Y157" s="3">
        <f t="shared" si="44"/>
        <v>0.17623762376237623</v>
      </c>
      <c r="Z157">
        <v>75</v>
      </c>
      <c r="AA157">
        <f t="shared" si="34"/>
        <v>120</v>
      </c>
      <c r="AC157">
        <v>1</v>
      </c>
      <c r="AD157">
        <v>17</v>
      </c>
      <c r="AE157">
        <v>17</v>
      </c>
      <c r="AH157" s="10">
        <v>0</v>
      </c>
      <c r="AI157" t="str">
        <f>CONCATENATE(VLOOKUP(AJ157, 'Voxel Sizes'!$A$2:$B$18,2,FALSE),"x",INT(AF157*15), "x", INT(AG157*15))</f>
        <v>164x0x0</v>
      </c>
      <c r="AJ157">
        <f t="shared" si="45"/>
        <v>10</v>
      </c>
      <c r="AL157" t="str">
        <f>CONCATENATE(VLOOKUP(AJ157,Constants!$A$2:$C$16,IF(AK157&lt;&gt;"", 3, 2), FALSE),IF(AK157&lt;&gt;"",CONCATENATE(",",VLOOKUP(AK157,$B:$AL,37,FALSE)),""))</f>
        <v>4,2,4</v>
      </c>
      <c r="AV157">
        <v>31</v>
      </c>
      <c r="AW157" s="15">
        <f t="shared" si="46"/>
        <v>35</v>
      </c>
      <c r="AZ157">
        <f t="shared" si="47"/>
        <v>15</v>
      </c>
      <c r="BA157">
        <f t="shared" si="48"/>
        <v>7.35</v>
      </c>
      <c r="BB157">
        <f t="shared" si="49"/>
        <v>8.9</v>
      </c>
      <c r="BC157" s="3">
        <f t="shared" si="50"/>
        <v>0.94533333333333336</v>
      </c>
      <c r="BD157">
        <f t="shared" si="51"/>
        <v>0</v>
      </c>
      <c r="BE157">
        <f>VLOOKUP($F157,Constants!$I:$K, 2, FALSE)</f>
        <v>0.85</v>
      </c>
      <c r="BF157">
        <f>VLOOKUP($F157,Constants!$I:$K, 3, FALSE)*IF(AND(E157="multiple_unit",Z157&lt;110),0.75,1)</f>
        <v>2.2999999999999998</v>
      </c>
      <c r="BG157">
        <f>INT(POWER(((Constants!$G$2+$AZ157+$BA157+$BB157+$BD157)*$BC157)*$BF157, 1.05))+$AY157</f>
        <v>98</v>
      </c>
      <c r="BH157">
        <f>INT(POWER((((Constants!$G$1+$AZ157+$BA157+$BB157+$BD157)*($BC157))*$BE157),IF($E157="wagon",1,1.2)))+$AX157</f>
        <v>76</v>
      </c>
      <c r="BI157" s="14">
        <f t="shared" si="52"/>
        <v>76562.5</v>
      </c>
      <c r="BJ157" s="14">
        <f t="shared" si="53"/>
        <v>6175</v>
      </c>
      <c r="BQ157">
        <v>8</v>
      </c>
      <c r="BU157" t="str">
        <f>VLOOKUP(H157,Eras!$A$2:$C$10, 2, TRUE)</f>
        <v>big4</v>
      </c>
      <c r="BV157" t="s">
        <v>337</v>
      </c>
      <c r="BW157" t="str">
        <f t="shared" si="54"/>
        <v>big4_MT (Electric)</v>
      </c>
      <c r="BX157" t="str">
        <f t="shared" si="55"/>
        <v>electric_THIRD_RAIL</v>
      </c>
      <c r="BY157" t="str">
        <f>VLOOKUP($BX157, Constants!$M:$N, 2, FALSE)</f>
        <v>{BLACK}Powered by: {GOLD}750V DC</v>
      </c>
      <c r="BZ157" t="str">
        <f t="shared" si="60"/>
        <v/>
      </c>
      <c r="CA157" t="s">
        <v>472</v>
      </c>
      <c r="CB157" t="str">
        <f t="shared" si="56"/>
        <v/>
      </c>
      <c r="CC157" t="str">
        <f t="shared" si="57"/>
        <v>{BLACK}Powered by: {GOLD}750V DC {}{SILVER}With six traction motors, the CC is adept at handling both heavy freight and long passenger trains.</v>
      </c>
    </row>
    <row r="158" spans="1:81" x14ac:dyDescent="0.25">
      <c r="A158" t="s">
        <v>29</v>
      </c>
      <c r="B158" t="s">
        <v>473</v>
      </c>
      <c r="C158">
        <v>258</v>
      </c>
      <c r="D158">
        <v>65</v>
      </c>
      <c r="E158" t="s">
        <v>263</v>
      </c>
      <c r="F158" t="s">
        <v>272</v>
      </c>
      <c r="G158" t="s">
        <v>275</v>
      </c>
      <c r="H158">
        <v>1942</v>
      </c>
      <c r="I158">
        <v>1942</v>
      </c>
      <c r="J158">
        <v>1966</v>
      </c>
      <c r="L158">
        <v>1600</v>
      </c>
      <c r="N158" s="5">
        <v>19</v>
      </c>
      <c r="O158" s="5">
        <v>26</v>
      </c>
      <c r="P158" s="5">
        <v>2</v>
      </c>
      <c r="Q158" s="5">
        <v>230</v>
      </c>
      <c r="R158" s="6">
        <f t="shared" ref="R158:R165" si="61">((($Z158/2)/60)*5280)/($S158*3.2*PI())</f>
        <v>218.83804675135607</v>
      </c>
      <c r="S158" s="5">
        <v>1.5</v>
      </c>
      <c r="T158" s="5">
        <f t="shared" ref="T158:T165" si="62">((($N158*$N158/4)*PI())*($O158/12)*$P158*$Q158*$R158)/(33000*1.1)</f>
        <v>1703.5827020202014</v>
      </c>
      <c r="U158">
        <v>50.3</v>
      </c>
      <c r="V158" s="8">
        <f>90.7-U158</f>
        <v>40.400000000000006</v>
      </c>
      <c r="X158">
        <v>134</v>
      </c>
      <c r="Y158" s="3">
        <f t="shared" si="44"/>
        <v>0.14773980154355015</v>
      </c>
      <c r="Z158">
        <v>75</v>
      </c>
      <c r="AA158">
        <f t="shared" si="34"/>
        <v>120</v>
      </c>
      <c r="AC158">
        <v>1</v>
      </c>
      <c r="AD158">
        <v>16.73</v>
      </c>
      <c r="AE158">
        <v>10</v>
      </c>
      <c r="AH158" s="10">
        <v>0</v>
      </c>
      <c r="AI158" t="str">
        <f>CONCATENATE(VLOOKUP(AJ158, 'Voxel Sizes'!$A$2:$B$18,2,FALSE),"x",INT(AF158*15), "x", INT(AG158*15))</f>
        <v>102x0x0</v>
      </c>
      <c r="AJ158">
        <f t="shared" si="45"/>
        <v>6</v>
      </c>
      <c r="AK158" t="s">
        <v>475</v>
      </c>
      <c r="AL158" t="str">
        <f>CONCATENATE(VLOOKUP(AJ158,Constants!$A$2:$C$16,IF(AK158&lt;&gt;"", 3, 2), FALSE),IF(AK158&lt;&gt;"",CONCATENATE(",",VLOOKUP(AK158,$B:$AL,37,FALSE)),""))</f>
        <v>2,2,2,1,2,1</v>
      </c>
      <c r="AT158">
        <v>1</v>
      </c>
      <c r="AV158">
        <v>25</v>
      </c>
      <c r="AW158" s="15">
        <f t="shared" si="46"/>
        <v>32</v>
      </c>
      <c r="AZ158">
        <f t="shared" si="47"/>
        <v>15</v>
      </c>
      <c r="BA158">
        <f t="shared" si="48"/>
        <v>8</v>
      </c>
      <c r="BB158">
        <f t="shared" si="49"/>
        <v>6.7</v>
      </c>
      <c r="BC158" s="3">
        <f t="shared" si="50"/>
        <v>0.94399999999999995</v>
      </c>
      <c r="BD158">
        <f t="shared" si="51"/>
        <v>0</v>
      </c>
      <c r="BE158">
        <f>VLOOKUP($F158,Constants!$I:$K, 2, FALSE)</f>
        <v>1.1499999999999999</v>
      </c>
      <c r="BF158">
        <f>VLOOKUP($F158,Constants!$I:$K, 3, FALSE)*IF(AND(E158="multiple_unit",Z158&lt;110),0.75,1)</f>
        <v>1.7</v>
      </c>
      <c r="BG158">
        <f>INT(POWER(((Constants!$G$2+$AZ158+$BA158+$BB158+$BD158)*$BC158)*$BF158, 1.05))+$AY158</f>
        <v>68</v>
      </c>
      <c r="BH158">
        <f>INT(POWER((((Constants!$G$1+$AZ158+$BA158+$BB158+$BD158)*($BC158))*$BE158),IF($E158="wagon",1,1.2)))+$AX158</f>
        <v>105</v>
      </c>
      <c r="BI158" s="14">
        <f t="shared" si="52"/>
        <v>53125</v>
      </c>
      <c r="BJ158" s="14">
        <f t="shared" si="53"/>
        <v>8531.25</v>
      </c>
      <c r="BQ158">
        <v>9</v>
      </c>
      <c r="BU158" t="str">
        <f>VLOOKUP(H158,Eras!$A$2:$C$10, 2, TRUE)</f>
        <v>big4</v>
      </c>
      <c r="BV158" t="s">
        <v>326</v>
      </c>
      <c r="BW158" t="str">
        <f t="shared" si="54"/>
        <v>big4_Cheap</v>
      </c>
      <c r="BX158" t="str">
        <f t="shared" si="55"/>
        <v>steam_RAIL</v>
      </c>
      <c r="BY158" t="str">
        <f>VLOOKUP($BX158, Constants!$M:$N, 2, FALSE)</f>
        <v>{BLACK}Powered by: {GOLD}Steam</v>
      </c>
      <c r="BZ158" t="str">
        <f t="shared" si="60"/>
        <v/>
      </c>
      <c r="CA158" t="s">
        <v>474</v>
      </c>
      <c r="CB158" t="str">
        <f t="shared" si="56"/>
        <v/>
      </c>
      <c r="CC158" t="str">
        <f t="shared" si="57"/>
        <v>{BLACK}Powered by: {GOLD}Steam {}{SILVER}The Q1 was designed for function over form and the most efficient possible use of materials.</v>
      </c>
    </row>
    <row r="159" spans="1:81" x14ac:dyDescent="0.25">
      <c r="A159" t="s">
        <v>477</v>
      </c>
      <c r="B159" t="s">
        <v>215</v>
      </c>
      <c r="C159">
        <v>260</v>
      </c>
      <c r="D159">
        <v>66</v>
      </c>
      <c r="E159" t="s">
        <v>263</v>
      </c>
      <c r="F159" t="s">
        <v>272</v>
      </c>
      <c r="G159" t="s">
        <v>275</v>
      </c>
      <c r="H159">
        <v>1943</v>
      </c>
      <c r="I159">
        <v>1964</v>
      </c>
      <c r="J159">
        <v>1967</v>
      </c>
      <c r="L159">
        <v>500</v>
      </c>
      <c r="N159" s="5">
        <v>18</v>
      </c>
      <c r="O159" s="5">
        <v>26</v>
      </c>
      <c r="P159" s="5">
        <v>2</v>
      </c>
      <c r="Q159" s="5">
        <v>170</v>
      </c>
      <c r="R159" s="6">
        <f t="shared" si="61"/>
        <v>94.268697062122627</v>
      </c>
      <c r="S159" s="5">
        <v>1.3</v>
      </c>
      <c r="T159" s="5">
        <f t="shared" si="62"/>
        <v>486.8181818181817</v>
      </c>
      <c r="U159">
        <v>49</v>
      </c>
      <c r="X159">
        <v>106</v>
      </c>
      <c r="Y159" s="3">
        <f t="shared" si="44"/>
        <v>0.21632653061224491</v>
      </c>
      <c r="Z159">
        <v>28</v>
      </c>
      <c r="AA159">
        <f t="shared" ref="AA159:AA222" si="63">ROUND(Z159*1.6, 0)</f>
        <v>45</v>
      </c>
      <c r="AC159">
        <v>1</v>
      </c>
      <c r="AD159">
        <v>9.25</v>
      </c>
      <c r="AE159">
        <v>9.25</v>
      </c>
      <c r="AH159" s="10">
        <v>0</v>
      </c>
      <c r="AI159" t="str">
        <f>CONCATENATE(VLOOKUP(AJ159, 'Voxel Sizes'!$A$2:$B$18,2,FALSE),"x",INT(AF159*15), "x", INT(AG159*15))</f>
        <v>82x0x0</v>
      </c>
      <c r="AJ159">
        <f t="shared" si="45"/>
        <v>5</v>
      </c>
      <c r="AL159" t="str">
        <f>CONCATENATE(VLOOKUP(AJ159,Constants!$A$2:$C$16,IF(AK159&lt;&gt;"", 3, 2), FALSE),IF(AK159&lt;&gt;"",CONCATENATE(",",VLOOKUP(AK159,$B:$AL,37,FALSE)),""))</f>
        <v>2,1,2</v>
      </c>
      <c r="AT159">
        <v>1</v>
      </c>
      <c r="AV159">
        <v>23</v>
      </c>
      <c r="AW159" s="15">
        <f t="shared" si="46"/>
        <v>32</v>
      </c>
      <c r="AZ159">
        <f t="shared" si="47"/>
        <v>5.6000000000000005</v>
      </c>
      <c r="BA159">
        <f t="shared" si="48"/>
        <v>2.5</v>
      </c>
      <c r="BB159">
        <f t="shared" si="49"/>
        <v>5.3000000000000007</v>
      </c>
      <c r="BC159" s="3">
        <f t="shared" si="50"/>
        <v>0.94266666666666665</v>
      </c>
      <c r="BD159">
        <f t="shared" si="51"/>
        <v>0</v>
      </c>
      <c r="BE159">
        <f>VLOOKUP($F159,Constants!$I:$K, 2, FALSE)</f>
        <v>1.1499999999999999</v>
      </c>
      <c r="BF159">
        <f>VLOOKUP($F159,Constants!$I:$K, 3, FALSE)*IF(AND(E159="multiple_unit",Z159&lt;110),0.75,1)</f>
        <v>1.7</v>
      </c>
      <c r="BG159">
        <f>INT(POWER(((Constants!$G$2+$AZ159+$BA159+$BB159+$BD159)*$BC159)*$BF159, 1.05))+$AY159</f>
        <v>34</v>
      </c>
      <c r="BH159">
        <f>INT(POWER((((Constants!$G$1+$AZ159+$BA159+$BB159+$BD159)*($BC159))*$BE159),IF($E159="wagon",1,1.2)))+$AX159</f>
        <v>61</v>
      </c>
      <c r="BI159" s="14">
        <f t="shared" si="52"/>
        <v>26562.5</v>
      </c>
      <c r="BJ159" s="14">
        <f t="shared" si="53"/>
        <v>4956.25</v>
      </c>
      <c r="BQ159">
        <v>10</v>
      </c>
      <c r="BU159" t="str">
        <f>VLOOKUP(H159,Eras!$A$2:$C$10, 2, TRUE)</f>
        <v>big4</v>
      </c>
      <c r="BV159" t="s">
        <v>326</v>
      </c>
      <c r="BW159" t="str">
        <f t="shared" si="54"/>
        <v>big4_Cheap</v>
      </c>
      <c r="BX159" t="str">
        <f t="shared" si="55"/>
        <v>steam_RAIL</v>
      </c>
      <c r="BY159" t="str">
        <f>VLOOKUP($BX159, Constants!$M:$N, 2, FALSE)</f>
        <v>{BLACK}Powered by: {GOLD}Steam</v>
      </c>
      <c r="BZ159" t="str">
        <f t="shared" si="60"/>
        <v/>
      </c>
      <c r="CA159" t="s">
        <v>478</v>
      </c>
      <c r="CB159" t="str">
        <f t="shared" si="56"/>
        <v/>
      </c>
      <c r="CC159" t="str">
        <f t="shared" si="57"/>
        <v>{BLACK}Powered by: {GOLD}Steam {}{SILVER}Hunslet's Austerity was designed for shunting duties. It's powerful for its size with good adhesion, but does not run well at higher speeds.</v>
      </c>
    </row>
    <row r="160" spans="1:81" x14ac:dyDescent="0.25">
      <c r="A160" t="s">
        <v>28</v>
      </c>
      <c r="B160" t="s">
        <v>480</v>
      </c>
      <c r="C160">
        <v>262</v>
      </c>
      <c r="D160">
        <v>67</v>
      </c>
      <c r="E160" t="s">
        <v>263</v>
      </c>
      <c r="F160" t="s">
        <v>272</v>
      </c>
      <c r="G160" t="s">
        <v>275</v>
      </c>
      <c r="H160">
        <v>1943</v>
      </c>
      <c r="I160">
        <v>1945</v>
      </c>
      <c r="J160">
        <v>1962</v>
      </c>
      <c r="L160">
        <v>1200</v>
      </c>
      <c r="N160" s="5">
        <v>19</v>
      </c>
      <c r="O160" s="5">
        <v>28</v>
      </c>
      <c r="P160" s="5">
        <v>2</v>
      </c>
      <c r="Q160" s="5">
        <v>225</v>
      </c>
      <c r="R160" s="6">
        <f t="shared" si="61"/>
        <v>212.58553112988881</v>
      </c>
      <c r="S160" s="5">
        <v>1.4</v>
      </c>
      <c r="T160" s="5">
        <f t="shared" si="62"/>
        <v>1743.4659090909092</v>
      </c>
      <c r="U160">
        <v>71.400000000000006</v>
      </c>
      <c r="V160" s="8">
        <v>56.4</v>
      </c>
      <c r="X160">
        <v>152</v>
      </c>
      <c r="Y160" s="3">
        <f t="shared" si="44"/>
        <v>0.1189358372456964</v>
      </c>
      <c r="Z160">
        <v>68</v>
      </c>
      <c r="AA160">
        <f t="shared" si="63"/>
        <v>109</v>
      </c>
      <c r="AD160">
        <v>19.350000000000001</v>
      </c>
      <c r="AE160">
        <v>11.7</v>
      </c>
      <c r="AH160" s="10">
        <v>0</v>
      </c>
      <c r="AI160" t="str">
        <f>CONCATENATE(VLOOKUP(AJ160, 'Voxel Sizes'!$A$2:$B$18,2,FALSE),"x",INT(AF160*15), "x", INT(AG160*15))</f>
        <v>120x0x0</v>
      </c>
      <c r="AJ160">
        <f t="shared" si="45"/>
        <v>7</v>
      </c>
      <c r="AK160" t="s">
        <v>482</v>
      </c>
      <c r="AL160" t="str">
        <f>CONCATENATE(VLOOKUP(AJ160,Constants!$A$2:$C$16,IF(AK160&lt;&gt;"", 3, 2), FALSE),IF(AK160&lt;&gt;"",CONCATENATE(",",VLOOKUP(AK160,$B:$AL,37,FALSE)),""))</f>
        <v>2,3,2,1,2,1</v>
      </c>
      <c r="AT160">
        <v>1</v>
      </c>
      <c r="AV160">
        <v>26</v>
      </c>
      <c r="AW160" s="15">
        <f t="shared" si="46"/>
        <v>27</v>
      </c>
      <c r="AZ160">
        <f t="shared" si="47"/>
        <v>13.6</v>
      </c>
      <c r="BA160">
        <f t="shared" si="48"/>
        <v>6</v>
      </c>
      <c r="BB160">
        <f t="shared" si="49"/>
        <v>7.6</v>
      </c>
      <c r="BC160" s="3">
        <f t="shared" si="50"/>
        <v>0.94266666666666665</v>
      </c>
      <c r="BD160">
        <f t="shared" si="51"/>
        <v>0</v>
      </c>
      <c r="BE160">
        <f>VLOOKUP($F160,Constants!$I:$K, 2, FALSE)</f>
        <v>1.1499999999999999</v>
      </c>
      <c r="BF160">
        <f>VLOOKUP($F160,Constants!$I:$K, 3, FALSE)*IF(AND(E160="multiple_unit",Z160&lt;110),0.75,1)</f>
        <v>1.7</v>
      </c>
      <c r="BG160">
        <f>INT(POWER(((Constants!$G$2+$AZ160+$BA160+$BB160+$BD160)*$BC160)*$BF160, 1.05))+$AY160</f>
        <v>62</v>
      </c>
      <c r="BH160">
        <f>INT(POWER((((Constants!$G$1+$AZ160+$BA160+$BB160+$BD160)*($BC160))*$BE160),IF($E160="wagon",1,1.2)))+$AX160</f>
        <v>98</v>
      </c>
      <c r="BI160" s="14">
        <f t="shared" si="52"/>
        <v>48437.5</v>
      </c>
      <c r="BJ160" s="14">
        <f t="shared" si="53"/>
        <v>7962.5</v>
      </c>
      <c r="BQ160">
        <v>11</v>
      </c>
      <c r="BU160" t="str">
        <f>VLOOKUP(H160,Eras!$A$2:$C$10, 2, TRUE)</f>
        <v>big4</v>
      </c>
      <c r="BV160" t="s">
        <v>329</v>
      </c>
      <c r="BW160" t="str">
        <f t="shared" si="54"/>
        <v>big4_Freight</v>
      </c>
      <c r="BX160" t="str">
        <f t="shared" si="55"/>
        <v>steam_RAIL</v>
      </c>
      <c r="BY160" t="str">
        <f>VLOOKUP($BX160, Constants!$M:$N, 2, FALSE)</f>
        <v>{BLACK}Powered by: {GOLD}Steam</v>
      </c>
      <c r="BZ160" t="str">
        <f t="shared" si="60"/>
        <v/>
      </c>
      <c r="CA160" t="s">
        <v>479</v>
      </c>
      <c r="CB160" t="str">
        <f t="shared" si="56"/>
        <v/>
      </c>
      <c r="CC160" t="str">
        <f t="shared" si="57"/>
        <v>{BLACK}Powered by: {GOLD}Steam {}{SILVER}Robert Riddles adapted the LMS 8F for low cost and simple construction, resulting in this "austerity" freight locomotive.</v>
      </c>
    </row>
    <row r="161" spans="1:81" x14ac:dyDescent="0.25">
      <c r="A161" t="s">
        <v>485</v>
      </c>
      <c r="B161" t="s">
        <v>238</v>
      </c>
      <c r="C161">
        <v>264</v>
      </c>
      <c r="D161">
        <v>68</v>
      </c>
      <c r="E161" t="s">
        <v>263</v>
      </c>
      <c r="F161" t="s">
        <v>272</v>
      </c>
      <c r="G161" t="s">
        <v>275</v>
      </c>
      <c r="H161">
        <v>1944</v>
      </c>
      <c r="I161">
        <v>1950</v>
      </c>
      <c r="J161">
        <v>1965</v>
      </c>
      <c r="L161">
        <v>1700</v>
      </c>
      <c r="N161" s="5">
        <v>18.5</v>
      </c>
      <c r="O161" s="5">
        <v>30</v>
      </c>
      <c r="P161" s="5">
        <v>2</v>
      </c>
      <c r="Q161" s="5">
        <v>225</v>
      </c>
      <c r="R161" s="6">
        <f t="shared" si="61"/>
        <v>206.68037748739187</v>
      </c>
      <c r="S161" s="5">
        <v>1.8</v>
      </c>
      <c r="T161" s="5">
        <f t="shared" si="62"/>
        <v>1721.7832623106062</v>
      </c>
      <c r="U161">
        <v>77</v>
      </c>
      <c r="V161" s="8">
        <v>48</v>
      </c>
      <c r="X161">
        <v>121</v>
      </c>
      <c r="Y161" s="3">
        <f t="shared" si="44"/>
        <v>9.6799999999999997E-2</v>
      </c>
      <c r="Z161">
        <v>85</v>
      </c>
      <c r="AA161">
        <f t="shared" si="63"/>
        <v>136</v>
      </c>
      <c r="AD161">
        <v>19.2</v>
      </c>
      <c r="AE161">
        <v>11.7</v>
      </c>
      <c r="AG161">
        <v>4.01</v>
      </c>
      <c r="AH161" s="10">
        <v>0</v>
      </c>
      <c r="AI161" t="str">
        <f>CONCATENATE(VLOOKUP(AJ161, 'Voxel Sizes'!$A$2:$B$18,2,FALSE),"x",INT(AF161*15), "x", INT(AG161*15))</f>
        <v>120x0x60</v>
      </c>
      <c r="AJ161">
        <f t="shared" si="45"/>
        <v>7</v>
      </c>
      <c r="AK161" t="s">
        <v>421</v>
      </c>
      <c r="AL161" t="str">
        <f>CONCATENATE(VLOOKUP(AJ161,Constants!$A$2:$C$16,IF(AK161&lt;&gt;"", 3, 2), FALSE),IF(AK161&lt;&gt;"",CONCATENATE(",",VLOOKUP(AK161,$B:$AL,37,FALSE)),""))</f>
        <v>2,3,2,2,1,2</v>
      </c>
      <c r="AS161" t="s">
        <v>432</v>
      </c>
      <c r="AT161">
        <v>1</v>
      </c>
      <c r="AV161">
        <v>31</v>
      </c>
      <c r="AW161" s="15">
        <f t="shared" si="46"/>
        <v>29</v>
      </c>
      <c r="AZ161">
        <f t="shared" si="47"/>
        <v>17</v>
      </c>
      <c r="BA161">
        <f t="shared" si="48"/>
        <v>8.5</v>
      </c>
      <c r="BB161">
        <f t="shared" si="49"/>
        <v>6.05</v>
      </c>
      <c r="BC161" s="3">
        <f t="shared" si="50"/>
        <v>0.94133333333333336</v>
      </c>
      <c r="BD161">
        <f t="shared" si="51"/>
        <v>0</v>
      </c>
      <c r="BE161">
        <f>VLOOKUP($F161,Constants!$I:$K, 2, FALSE)</f>
        <v>1.1499999999999999</v>
      </c>
      <c r="BF161">
        <f>VLOOKUP($F161,Constants!$I:$K, 3, FALSE)*IF(AND(E161="multiple_unit",Z161&lt;110),0.75,1)</f>
        <v>1.7</v>
      </c>
      <c r="BG161">
        <f>INT(POWER(((Constants!$G$2+$AZ161+$BA161+$BB161+$BD161)*$BC161)*$BF161, 1.05))+$AY161</f>
        <v>71</v>
      </c>
      <c r="BH161">
        <f>INT(POWER((((Constants!$G$1+$AZ161+$BA161+$BB161+$BD161)*($BC161))*$BE161),IF($E161="wagon",1,1.2)))+$AX161</f>
        <v>110</v>
      </c>
      <c r="BI161" s="14">
        <f t="shared" si="52"/>
        <v>55468.75</v>
      </c>
      <c r="BJ161" s="14">
        <f t="shared" si="53"/>
        <v>8937.5</v>
      </c>
      <c r="BQ161">
        <v>12</v>
      </c>
      <c r="BU161" t="str">
        <f>VLOOKUP(H161,Eras!$A$2:$C$10, 2, TRUE)</f>
        <v>big4</v>
      </c>
      <c r="BV161" t="s">
        <v>327</v>
      </c>
      <c r="BW161" t="str">
        <f t="shared" si="54"/>
        <v>big4_Mixed Traffic</v>
      </c>
      <c r="BX161" t="str">
        <f t="shared" si="55"/>
        <v>steam_RAIL</v>
      </c>
      <c r="BY161" t="str">
        <f>VLOOKUP($BX161, Constants!$M:$N, 2, FALSE)</f>
        <v>{BLACK}Powered by: {GOLD}Steam</v>
      </c>
      <c r="BZ161" t="str">
        <f t="shared" si="60"/>
        <v/>
      </c>
      <c r="CA161" t="s">
        <v>484</v>
      </c>
      <c r="CB161" t="str">
        <f t="shared" si="56"/>
        <v/>
      </c>
      <c r="CC161" t="str">
        <f t="shared" si="57"/>
        <v>{BLACK}Powered by: {GOLD}Steam {}{SILVER}While externally identical to the original Hall class, the Modified Hall was completely new on the inside with many design innovations.</v>
      </c>
    </row>
    <row r="162" spans="1:81" x14ac:dyDescent="0.25">
      <c r="A162" t="s">
        <v>486</v>
      </c>
      <c r="B162" t="s">
        <v>487</v>
      </c>
      <c r="C162">
        <v>266</v>
      </c>
      <c r="D162">
        <v>69</v>
      </c>
      <c r="E162" t="s">
        <v>263</v>
      </c>
      <c r="F162" t="s">
        <v>272</v>
      </c>
      <c r="G162" t="s">
        <v>275</v>
      </c>
      <c r="H162">
        <v>1945</v>
      </c>
      <c r="I162">
        <v>1947</v>
      </c>
      <c r="J162">
        <v>1964</v>
      </c>
      <c r="L162">
        <v>2200</v>
      </c>
      <c r="N162" s="5">
        <v>18.5</v>
      </c>
      <c r="O162" s="5">
        <v>30</v>
      </c>
      <c r="P162" s="5">
        <v>2</v>
      </c>
      <c r="Q162" s="5">
        <v>280</v>
      </c>
      <c r="R162" s="6">
        <f t="shared" si="61"/>
        <v>230.35583868563802</v>
      </c>
      <c r="S162" s="5">
        <v>1.9</v>
      </c>
      <c r="T162" s="5">
        <f t="shared" si="62"/>
        <v>2388.1080542264754</v>
      </c>
      <c r="U162">
        <v>78.099999999999994</v>
      </c>
      <c r="V162" s="8">
        <v>49.8</v>
      </c>
      <c r="X162">
        <v>145</v>
      </c>
      <c r="Y162" s="3">
        <f t="shared" si="44"/>
        <v>0.11336982017200939</v>
      </c>
      <c r="Z162">
        <v>100</v>
      </c>
      <c r="AA162">
        <f t="shared" si="63"/>
        <v>160</v>
      </c>
      <c r="AD162">
        <v>19.21</v>
      </c>
      <c r="AE162">
        <v>11.7</v>
      </c>
      <c r="AG162">
        <v>4.08</v>
      </c>
      <c r="AH162" s="10">
        <v>0</v>
      </c>
      <c r="AI162" t="str">
        <f>CONCATENATE(VLOOKUP(AJ162, 'Voxel Sizes'!$A$2:$B$18,2,FALSE),"x",INT(AF162*15), "x", INT(AG162*15))</f>
        <v>120x0x61</v>
      </c>
      <c r="AJ162">
        <f t="shared" si="45"/>
        <v>7</v>
      </c>
      <c r="AK162" t="s">
        <v>421</v>
      </c>
      <c r="AL162" t="str">
        <f>CONCATENATE(VLOOKUP(AJ162,Constants!$A$2:$C$16,IF(AK162&lt;&gt;"", 3, 2), FALSE),IF(AK162&lt;&gt;"",CONCATENATE(",",VLOOKUP(AK162,$B:$AL,37,FALSE)),""))</f>
        <v>2,3,2,2,1,2</v>
      </c>
      <c r="AT162">
        <v>1</v>
      </c>
      <c r="AV162">
        <v>30</v>
      </c>
      <c r="AW162" s="15">
        <f t="shared" si="46"/>
        <v>27</v>
      </c>
      <c r="AZ162">
        <f t="shared" si="47"/>
        <v>20</v>
      </c>
      <c r="BA162">
        <f t="shared" si="48"/>
        <v>11</v>
      </c>
      <c r="BB162">
        <f t="shared" si="49"/>
        <v>7.25</v>
      </c>
      <c r="BC162" s="3">
        <f t="shared" si="50"/>
        <v>0.94</v>
      </c>
      <c r="BD162">
        <f t="shared" si="51"/>
        <v>0</v>
      </c>
      <c r="BE162">
        <f>VLOOKUP($F162,Constants!$I:$K, 2, FALSE)</f>
        <v>1.1499999999999999</v>
      </c>
      <c r="BF162">
        <f>VLOOKUP($F162,Constants!$I:$K, 3, FALSE)*IF(AND(E162="multiple_unit",Z162&lt;110),0.75,1)</f>
        <v>1.7</v>
      </c>
      <c r="BG162">
        <f>INT(POWER(((Constants!$G$2+$AZ162+$BA162+$BB162+$BD162)*$BC162)*$BF162, 1.05))+$AY162</f>
        <v>85</v>
      </c>
      <c r="BH162">
        <f>INT(POWER((((Constants!$G$1+$AZ162+$BA162+$BB162+$BD162)*($BC162))*$BE162),IF($E162="wagon",1,1.2)))+$AX162</f>
        <v>129</v>
      </c>
      <c r="BI162" s="14">
        <f t="shared" si="52"/>
        <v>66406.25</v>
      </c>
      <c r="BJ162" s="14">
        <f t="shared" si="53"/>
        <v>10481.25</v>
      </c>
      <c r="BQ162">
        <v>1</v>
      </c>
      <c r="BU162" t="str">
        <f>VLOOKUP(H162,Eras!$A$2:$C$10, 2, TRUE)</f>
        <v>big4</v>
      </c>
      <c r="BV162" t="s">
        <v>328</v>
      </c>
      <c r="BW162" t="str">
        <f t="shared" si="54"/>
        <v>big4_Express</v>
      </c>
      <c r="BX162" t="str">
        <f t="shared" si="55"/>
        <v>steam_RAIL</v>
      </c>
      <c r="BY162" t="str">
        <f>VLOOKUP($BX162, Constants!$M:$N, 2, FALSE)</f>
        <v>{BLACK}Powered by: {GOLD}Steam</v>
      </c>
      <c r="BZ162" t="str">
        <f t="shared" si="60"/>
        <v/>
      </c>
      <c r="CA162" t="s">
        <v>488</v>
      </c>
      <c r="CB162" t="str">
        <f t="shared" si="56"/>
        <v/>
      </c>
      <c r="CC162" t="str">
        <f t="shared" si="57"/>
        <v>{BLACK}Powered by: {GOLD}Steam {}{SILVER}The County Class was  Frederick Hawksworth's test of design ideas for a new Pacific. Sadly there was not enough demand for express steam locomotives in the late 1940s.</v>
      </c>
    </row>
    <row r="163" spans="1:81" x14ac:dyDescent="0.25">
      <c r="A163" t="s">
        <v>27</v>
      </c>
      <c r="B163" t="s">
        <v>490</v>
      </c>
      <c r="C163">
        <v>268</v>
      </c>
      <c r="D163">
        <v>70</v>
      </c>
      <c r="E163" t="s">
        <v>263</v>
      </c>
      <c r="F163" t="s">
        <v>272</v>
      </c>
      <c r="G163" t="s">
        <v>275</v>
      </c>
      <c r="H163">
        <v>1945</v>
      </c>
      <c r="I163">
        <v>1951</v>
      </c>
      <c r="J163">
        <v>1967</v>
      </c>
      <c r="L163">
        <v>1800</v>
      </c>
      <c r="N163" s="5">
        <v>16.375</v>
      </c>
      <c r="O163" s="5">
        <v>24</v>
      </c>
      <c r="P163" s="5">
        <v>3</v>
      </c>
      <c r="Q163" s="5">
        <v>280</v>
      </c>
      <c r="R163" s="6">
        <f t="shared" si="61"/>
        <v>234.96295545935078</v>
      </c>
      <c r="S163" s="5">
        <v>1.9</v>
      </c>
      <c r="T163" s="5">
        <f t="shared" si="62"/>
        <v>2290.1005532296649</v>
      </c>
      <c r="U163">
        <v>87.4</v>
      </c>
      <c r="V163" s="8">
        <v>48</v>
      </c>
      <c r="X163">
        <v>138</v>
      </c>
      <c r="Y163" s="3">
        <f t="shared" si="44"/>
        <v>0.10192023633677991</v>
      </c>
      <c r="Z163">
        <v>102</v>
      </c>
      <c r="AA163">
        <f t="shared" si="63"/>
        <v>163</v>
      </c>
      <c r="AD163">
        <v>20.54</v>
      </c>
      <c r="AE163">
        <v>13</v>
      </c>
      <c r="AH163" s="10">
        <v>0</v>
      </c>
      <c r="AI163" t="str">
        <f>CONCATENATE(VLOOKUP(AJ163, 'Voxel Sizes'!$A$2:$B$18,2,FALSE),"x",INT(AF163*15), "x", INT(AG163*15))</f>
        <v>136x0x0</v>
      </c>
      <c r="AJ163">
        <f t="shared" si="45"/>
        <v>8</v>
      </c>
      <c r="AK163" t="s">
        <v>469</v>
      </c>
      <c r="AL163" t="str">
        <f>CONCATENATE(VLOOKUP(AJ163,Constants!$A$2:$C$16,IF(AK163&lt;&gt;"", 3, 2), FALSE),IF(AK163&lt;&gt;"",CONCATENATE(",",VLOOKUP(AK163,$B:$AL,37,FALSE)),""))</f>
        <v>2,4,2,2,1,2</v>
      </c>
      <c r="AT163">
        <v>1</v>
      </c>
      <c r="AV163">
        <v>30</v>
      </c>
      <c r="AW163" s="15">
        <f t="shared" si="46"/>
        <v>30</v>
      </c>
      <c r="AZ163">
        <f t="shared" si="47"/>
        <v>20.400000000000002</v>
      </c>
      <c r="BA163">
        <f t="shared" si="48"/>
        <v>9</v>
      </c>
      <c r="BB163">
        <f t="shared" si="49"/>
        <v>6.8999999999999995</v>
      </c>
      <c r="BC163" s="3">
        <f t="shared" si="50"/>
        <v>0.94</v>
      </c>
      <c r="BD163">
        <f t="shared" si="51"/>
        <v>0</v>
      </c>
      <c r="BE163">
        <f>VLOOKUP($F163,Constants!$I:$K, 2, FALSE)</f>
        <v>1.1499999999999999</v>
      </c>
      <c r="BF163">
        <f>VLOOKUP($F163,Constants!$I:$K, 3, FALSE)*IF(AND(E163="multiple_unit",Z163&lt;110),0.75,1)</f>
        <v>1.7</v>
      </c>
      <c r="BG163">
        <f>INT(POWER(((Constants!$G$2+$AZ163+$BA163+$BB163+$BD163)*$BC163)*$BF163, 1.05))+$AY163</f>
        <v>81</v>
      </c>
      <c r="BH163">
        <f>INT(POWER((((Constants!$G$1+$AZ163+$BA163+$BB163+$BD163)*($BC163))*$BE163),IF($E163="wagon",1,1.2)))+$AX163</f>
        <v>123</v>
      </c>
      <c r="BI163" s="14">
        <f t="shared" si="52"/>
        <v>63281.25</v>
      </c>
      <c r="BJ163" s="14">
        <f t="shared" si="53"/>
        <v>9993.75</v>
      </c>
      <c r="BQ163">
        <v>2</v>
      </c>
      <c r="BU163" t="str">
        <f>VLOOKUP(H163,Eras!$A$2:$C$10, 2, TRUE)</f>
        <v>big4</v>
      </c>
      <c r="BV163" t="s">
        <v>327</v>
      </c>
      <c r="BW163" t="str">
        <f t="shared" si="54"/>
        <v>big4_Mixed Traffic</v>
      </c>
      <c r="BX163" t="str">
        <f t="shared" si="55"/>
        <v>steam_RAIL</v>
      </c>
      <c r="BY163" t="str">
        <f>VLOOKUP($BX163, Constants!$M:$N, 2, FALSE)</f>
        <v>{BLACK}Powered by: {GOLD}Steam</v>
      </c>
      <c r="BZ163" t="str">
        <f t="shared" si="60"/>
        <v/>
      </c>
      <c r="CA163" t="s">
        <v>489</v>
      </c>
      <c r="CB163" t="str">
        <f t="shared" si="56"/>
        <v/>
      </c>
      <c r="CC163" t="str">
        <f t="shared" si="57"/>
        <v>{BLACK}Powered by: {GOLD}Steam {}{SILVER}Bulleid's "Light Pacific" is a smaller and lighter version of the Merchant Navy, capable of operating on more routes.</v>
      </c>
    </row>
    <row r="164" spans="1:81" x14ac:dyDescent="0.25">
      <c r="A164" t="s">
        <v>30</v>
      </c>
      <c r="B164" t="s">
        <v>492</v>
      </c>
      <c r="C164">
        <v>270</v>
      </c>
      <c r="D164">
        <v>71</v>
      </c>
      <c r="E164" t="s">
        <v>263</v>
      </c>
      <c r="F164" t="s">
        <v>272</v>
      </c>
      <c r="G164" t="s">
        <v>275</v>
      </c>
      <c r="H164">
        <v>1946</v>
      </c>
      <c r="I164">
        <v>1949</v>
      </c>
      <c r="J164">
        <v>1951</v>
      </c>
      <c r="L164">
        <v>1800</v>
      </c>
      <c r="N164" s="5">
        <v>12.25</v>
      </c>
      <c r="O164" s="5">
        <v>15</v>
      </c>
      <c r="P164" s="5">
        <v>6</v>
      </c>
      <c r="Q164" s="5">
        <v>280</v>
      </c>
      <c r="R164" s="6">
        <f t="shared" si="61"/>
        <v>262.60565610162729</v>
      </c>
      <c r="S164" s="5">
        <v>1.5</v>
      </c>
      <c r="T164" s="5">
        <f t="shared" si="62"/>
        <v>1790.518465909091</v>
      </c>
      <c r="U164">
        <v>152</v>
      </c>
      <c r="X164">
        <v>117</v>
      </c>
      <c r="Y164" s="3">
        <f t="shared" si="44"/>
        <v>7.6973684210526319E-2</v>
      </c>
      <c r="Z164">
        <v>90</v>
      </c>
      <c r="AA164">
        <f t="shared" si="63"/>
        <v>144</v>
      </c>
      <c r="AC164">
        <v>1</v>
      </c>
      <c r="AD164">
        <v>20.420000000000002</v>
      </c>
      <c r="AE164">
        <v>20.420000000000002</v>
      </c>
      <c r="AH164" s="10">
        <v>0</v>
      </c>
      <c r="AI164" t="str">
        <f>CONCATENATE(VLOOKUP(AJ164, 'Voxel Sizes'!$A$2:$B$18,2,FALSE),"x",INT(AF164*15), "x", INT(AG164*15))</f>
        <v>198x0x0</v>
      </c>
      <c r="AJ164">
        <f t="shared" si="45"/>
        <v>12</v>
      </c>
      <c r="AL164" t="str">
        <f>CONCATENATE(VLOOKUP(AJ164,Constants!$A$2:$C$16,IF(AK164&lt;&gt;"", 3, 2), FALSE),IF(AK164&lt;&gt;"",CONCATENATE(",",VLOOKUP(AK164,$B:$AL,37,FALSE)),""))</f>
        <v>4,4,4</v>
      </c>
      <c r="AV164">
        <v>19</v>
      </c>
      <c r="AW164" s="15">
        <f t="shared" si="46"/>
        <v>16</v>
      </c>
      <c r="AZ164">
        <f t="shared" si="47"/>
        <v>18</v>
      </c>
      <c r="BA164">
        <f t="shared" si="48"/>
        <v>9</v>
      </c>
      <c r="BB164">
        <f t="shared" si="49"/>
        <v>5.85</v>
      </c>
      <c r="BC164" s="3">
        <f t="shared" si="50"/>
        <v>0.93866666666666665</v>
      </c>
      <c r="BD164">
        <f t="shared" si="51"/>
        <v>0</v>
      </c>
      <c r="BE164">
        <f>VLOOKUP($F164,Constants!$I:$K, 2, FALSE)</f>
        <v>1.1499999999999999</v>
      </c>
      <c r="BF164">
        <f>VLOOKUP($F164,Constants!$I:$K, 3, FALSE)*IF(AND(E164="multiple_unit",Z164&lt;110),0.75,1)</f>
        <v>1.7</v>
      </c>
      <c r="BG164">
        <f>INT(POWER(((Constants!$G$2+$AZ164+$BA164+$BB164+$BD164)*$BC164)*$BF164, 1.05))+$AY164</f>
        <v>74</v>
      </c>
      <c r="BH164">
        <f>INT(POWER((((Constants!$G$1+$AZ164+$BA164+$BB164+$BD164)*($BC164))*$BE164),IF($E164="wagon",1,1.2)))+$AX164</f>
        <v>113</v>
      </c>
      <c r="BI164" s="14">
        <f t="shared" si="52"/>
        <v>57812.5</v>
      </c>
      <c r="BJ164" s="14">
        <f t="shared" si="53"/>
        <v>9181.25</v>
      </c>
      <c r="BQ164">
        <v>3</v>
      </c>
      <c r="BU164" t="str">
        <f>VLOOKUP(H164,Eras!$A$2:$C$10, 2, TRUE)</f>
        <v>big4</v>
      </c>
      <c r="BV164" t="s">
        <v>327</v>
      </c>
      <c r="BW164" t="str">
        <f t="shared" si="54"/>
        <v>big4_Mixed Traffic</v>
      </c>
      <c r="BX164" t="str">
        <f t="shared" si="55"/>
        <v>steam_RAIL</v>
      </c>
      <c r="BY164" t="str">
        <f>VLOOKUP($BX164, Constants!$M:$N, 2, FALSE)</f>
        <v>{BLACK}Powered by: {GOLD}Steam</v>
      </c>
      <c r="BZ164" t="str">
        <f t="shared" si="60"/>
        <v/>
      </c>
      <c r="CA164" t="s">
        <v>491</v>
      </c>
      <c r="CB164" t="str">
        <f t="shared" si="56"/>
        <v/>
      </c>
      <c r="CC164" t="str">
        <f t="shared" si="57"/>
        <v>{BLACK}Powered by: {GOLD}Steam {}{SILVER}The Leader was an attempt to make a steam locomotive as easy to operate as a diesel or electric. Complexity, poor reliability and uncomfortably hot cabs caused the project to be scrapped by 1951.</v>
      </c>
    </row>
    <row r="165" spans="1:81" x14ac:dyDescent="0.25">
      <c r="A165" t="s">
        <v>493</v>
      </c>
      <c r="B165" t="s">
        <v>494</v>
      </c>
      <c r="C165">
        <v>272</v>
      </c>
      <c r="D165">
        <v>72</v>
      </c>
      <c r="E165" t="s">
        <v>263</v>
      </c>
      <c r="F165" t="s">
        <v>272</v>
      </c>
      <c r="G165" t="s">
        <v>275</v>
      </c>
      <c r="H165">
        <v>1946</v>
      </c>
      <c r="I165">
        <v>1953</v>
      </c>
      <c r="J165">
        <v>1967</v>
      </c>
      <c r="L165">
        <v>1000</v>
      </c>
      <c r="N165" s="5">
        <v>16</v>
      </c>
      <c r="O165" s="5">
        <v>24</v>
      </c>
      <c r="P165" s="5">
        <v>2</v>
      </c>
      <c r="Q165" s="5">
        <v>200</v>
      </c>
      <c r="R165" s="6">
        <f t="shared" si="61"/>
        <v>233.42724986811314</v>
      </c>
      <c r="S165" s="5">
        <v>1.5</v>
      </c>
      <c r="T165" s="5">
        <f t="shared" si="62"/>
        <v>1034.3434343434342</v>
      </c>
      <c r="U165">
        <v>47.9</v>
      </c>
      <c r="V165" s="8">
        <v>37.700000000000003</v>
      </c>
      <c r="X165">
        <v>77</v>
      </c>
      <c r="Y165" s="3">
        <f t="shared" si="44"/>
        <v>8.9953271028037379E-2</v>
      </c>
      <c r="Z165">
        <v>80</v>
      </c>
      <c r="AA165">
        <f t="shared" si="63"/>
        <v>128</v>
      </c>
      <c r="AD165">
        <v>16.2</v>
      </c>
      <c r="AE165">
        <f>AD165-6</f>
        <v>10.199999999999999</v>
      </c>
      <c r="AH165" s="10">
        <v>0</v>
      </c>
      <c r="AI165" t="str">
        <f>CONCATENATE(VLOOKUP(AJ165, 'Voxel Sizes'!$A$2:$B$18,2,FALSE),"x",INT(AF165*15), "x", INT(AG165*15))</f>
        <v>102x0x0</v>
      </c>
      <c r="AJ165">
        <f t="shared" si="45"/>
        <v>6</v>
      </c>
      <c r="AK165" t="s">
        <v>495</v>
      </c>
      <c r="AL165" t="str">
        <f>CONCATENATE(VLOOKUP(AJ165,Constants!$A$2:$C$16,IF(AK165&lt;&gt;"", 3, 2), FALSE),IF(AK165&lt;&gt;"",CONCATENATE(",",VLOOKUP(AK165,$B:$AL,37,FALSE)),""))</f>
        <v>2,2,2,1,2,1</v>
      </c>
      <c r="AT165">
        <v>1</v>
      </c>
      <c r="AV165">
        <v>30</v>
      </c>
      <c r="AW165" s="15">
        <f t="shared" si="46"/>
        <v>29</v>
      </c>
      <c r="AZ165">
        <f t="shared" si="47"/>
        <v>16</v>
      </c>
      <c r="BA165">
        <f t="shared" si="48"/>
        <v>5</v>
      </c>
      <c r="BB165">
        <f t="shared" si="49"/>
        <v>3.85</v>
      </c>
      <c r="BC165" s="3">
        <f t="shared" si="50"/>
        <v>0.93866666666666665</v>
      </c>
      <c r="BD165">
        <f t="shared" si="51"/>
        <v>0</v>
      </c>
      <c r="BE165">
        <f>VLOOKUP($F165,Constants!$I:$K, 2, FALSE)</f>
        <v>1.1499999999999999</v>
      </c>
      <c r="BF165">
        <f>VLOOKUP($F165,Constants!$I:$K, 3, FALSE)*IF(AND(E165="multiple_unit",Z165&lt;110),0.75,1)</f>
        <v>1.7</v>
      </c>
      <c r="BG165">
        <f>INT(POWER(((Constants!$G$2+$AZ165+$BA165+$BB165+$BD165)*$BC165)*$BF165, 1.05))+$AY165</f>
        <v>57</v>
      </c>
      <c r="BH165">
        <f>INT(POWER((((Constants!$G$1+$AZ165+$BA165+$BB165+$BD165)*($BC165))*$BE165),IF($E165="wagon",1,1.2)))+$AX165</f>
        <v>91</v>
      </c>
      <c r="BI165" s="14">
        <f t="shared" si="52"/>
        <v>44531.25</v>
      </c>
      <c r="BJ165" s="14">
        <f t="shared" si="53"/>
        <v>7393.75</v>
      </c>
      <c r="BQ165">
        <v>4</v>
      </c>
      <c r="BU165" t="str">
        <f>VLOOKUP(H165,Eras!$A$2:$C$10, 2, TRUE)</f>
        <v>big4</v>
      </c>
      <c r="BV165" t="s">
        <v>326</v>
      </c>
      <c r="BW165" t="str">
        <f t="shared" si="54"/>
        <v>big4_Cheap</v>
      </c>
      <c r="BX165" t="str">
        <f t="shared" si="55"/>
        <v>steam_RAIL</v>
      </c>
      <c r="BY165" t="str">
        <f>VLOOKUP($BX165, Constants!$M:$N, 2, FALSE)</f>
        <v>{BLACK}Powered by: {GOLD}Steam</v>
      </c>
      <c r="BZ165" t="str">
        <f t="shared" si="60"/>
        <v/>
      </c>
      <c r="CA165" t="s">
        <v>497</v>
      </c>
      <c r="CB165" t="str">
        <f t="shared" si="56"/>
        <v/>
      </c>
      <c r="CC165" t="str">
        <f t="shared" si="57"/>
        <v>{BLACK}Powered by: {GOLD}Steam {}{SILVER}The Ivatt Class 2 is a light, low-powered Mogul designed to replace the LMS fleet of 0-6-0 engines.</v>
      </c>
    </row>
    <row r="166" spans="1:81" x14ac:dyDescent="0.25">
      <c r="A166" t="s">
        <v>58</v>
      </c>
      <c r="B166" t="s">
        <v>165</v>
      </c>
      <c r="C166">
        <v>274</v>
      </c>
      <c r="D166">
        <v>73</v>
      </c>
      <c r="E166" t="s">
        <v>263</v>
      </c>
      <c r="F166" t="s">
        <v>273</v>
      </c>
      <c r="G166" t="s">
        <v>275</v>
      </c>
      <c r="H166">
        <v>1947</v>
      </c>
      <c r="I166">
        <v>1948</v>
      </c>
      <c r="J166">
        <v>1966</v>
      </c>
      <c r="L166">
        <v>1600</v>
      </c>
      <c r="U166">
        <v>129.69999999999999</v>
      </c>
      <c r="X166">
        <v>184</v>
      </c>
      <c r="Y166" s="3">
        <f t="shared" si="44"/>
        <v>0.14186584425597532</v>
      </c>
      <c r="Z166">
        <v>93</v>
      </c>
      <c r="AA166">
        <f t="shared" si="63"/>
        <v>149</v>
      </c>
      <c r="AD166">
        <v>18.64</v>
      </c>
      <c r="AE166">
        <v>18.64</v>
      </c>
      <c r="AG166">
        <v>3.95</v>
      </c>
      <c r="AH166" s="10">
        <v>0</v>
      </c>
      <c r="AI166" t="str">
        <f>CONCATENATE(VLOOKUP(AJ166, 'Voxel Sizes'!$A$2:$B$18,2,FALSE),"x",INT(AF166*15), "x", INT(AG166*15))</f>
        <v>186x0x59</v>
      </c>
      <c r="AJ166">
        <f t="shared" si="45"/>
        <v>11</v>
      </c>
      <c r="AL166" t="str">
        <f>CONCATENATE(VLOOKUP(AJ166,Constants!$A$2:$C$16,IF(AK166&lt;&gt;"", 3, 2), FALSE),IF(AK166&lt;&gt;"",CONCATENATE(",",VLOOKUP(AK166,$B:$AL,37,FALSE)),""))</f>
        <v>4,3,4</v>
      </c>
      <c r="AV166">
        <v>26</v>
      </c>
      <c r="AW166" s="15">
        <f t="shared" si="46"/>
        <v>27</v>
      </c>
      <c r="AZ166">
        <f t="shared" si="47"/>
        <v>18.600000000000001</v>
      </c>
      <c r="BA166">
        <f t="shared" si="48"/>
        <v>8</v>
      </c>
      <c r="BB166">
        <f t="shared" si="49"/>
        <v>9.2000000000000011</v>
      </c>
      <c r="BC166" s="3">
        <f t="shared" si="50"/>
        <v>0.93733333333333335</v>
      </c>
      <c r="BD166">
        <f t="shared" si="51"/>
        <v>0</v>
      </c>
      <c r="BE166">
        <f>VLOOKUP($F166,Constants!$I:$K, 2, FALSE)</f>
        <v>1</v>
      </c>
      <c r="BF166">
        <f>VLOOKUP($F166,Constants!$I:$K, 3, FALSE)*IF(AND(E166="multiple_unit",Z166&lt;110),0.75,1)</f>
        <v>2</v>
      </c>
      <c r="BG166">
        <f>INT(POWER(((Constants!$G$2+$AZ166+$BA166+$BB166+$BD166)*$BC166)*$BF166, 1.05))+$AY166</f>
        <v>95</v>
      </c>
      <c r="BH166">
        <f>INT(POWER((((Constants!$G$1+$AZ166+$BA166+$BB166+$BD166)*($BC166))*$BE166),IF($E166="wagon",1,1.2)))+$AX166</f>
        <v>103</v>
      </c>
      <c r="BI166" s="14">
        <f t="shared" si="52"/>
        <v>74218.75</v>
      </c>
      <c r="BJ166" s="14">
        <f t="shared" si="53"/>
        <v>8368.75</v>
      </c>
      <c r="BQ166">
        <v>5</v>
      </c>
      <c r="BU166" t="str">
        <f>VLOOKUP(H166,Eras!$A$2:$C$10, 2, TRUE)</f>
        <v>big4</v>
      </c>
      <c r="BV166" t="s">
        <v>327</v>
      </c>
      <c r="BW166" t="str">
        <f t="shared" si="54"/>
        <v>big4_Mixed Traffic</v>
      </c>
      <c r="BX166" t="str">
        <f t="shared" si="55"/>
        <v>diesel_RAIL</v>
      </c>
      <c r="BY166" t="str">
        <f>VLOOKUP($BX166, Constants!$M:$N, 2, FALSE)</f>
        <v>{BLACK}Powered by: {GOLD}Diesel</v>
      </c>
      <c r="BZ166" t="str">
        <f t="shared" si="60"/>
        <v/>
      </c>
      <c r="CA166" t="s">
        <v>498</v>
      </c>
      <c r="CB166" t="str">
        <f t="shared" ref="CB166:CB202" si="64">IF(BT166="BRAKE","{YELLOW}Speed bonus for slow wagons{}",IF(BR166&gt;190,CONCATENATE("{YELLOW}",INT((BR166-185)/1.85),"% Bonus for long distance travel{}"),IF(AND(BR166&lt;180,BR166&lt;&gt;0),CONCATENATE("{YELLOW}",INT((185-BR166)/1.85),"% Penalty for long distance travel{}"),"")))</f>
        <v/>
      </c>
      <c r="CC166" t="str">
        <f t="shared" si="57"/>
        <v>{BLACK}Powered by: {GOLD}Diesel {}{SILVER}The EE 10000 is the first mainline diesel locomotive built in the UK. Two were built for the LMS.</v>
      </c>
    </row>
    <row r="167" spans="1:81" x14ac:dyDescent="0.25">
      <c r="A167" t="s">
        <v>15</v>
      </c>
      <c r="B167" t="s">
        <v>500</v>
      </c>
      <c r="C167">
        <v>276</v>
      </c>
      <c r="D167">
        <v>74</v>
      </c>
      <c r="E167" t="s">
        <v>263</v>
      </c>
      <c r="F167" t="s">
        <v>272</v>
      </c>
      <c r="G167" t="s">
        <v>275</v>
      </c>
      <c r="H167">
        <v>1948</v>
      </c>
      <c r="I167">
        <v>1949</v>
      </c>
      <c r="J167">
        <v>1966</v>
      </c>
      <c r="L167">
        <v>2700</v>
      </c>
      <c r="N167" s="5">
        <v>19</v>
      </c>
      <c r="O167" s="5">
        <v>26</v>
      </c>
      <c r="P167" s="5">
        <v>3</v>
      </c>
      <c r="Q167" s="5">
        <v>250</v>
      </c>
      <c r="R167" s="6">
        <f>((($Z167/2)/60)*5280)/($S167*3.2*PI())</f>
        <v>215.60398694714888</v>
      </c>
      <c r="S167" s="5">
        <v>2.0299999999999998</v>
      </c>
      <c r="T167" s="5">
        <f>((($N167*$N167/4)*PI())*($O167/12)*$P167*$Q167*$R167)/(33000*1.1)</f>
        <v>2736.5325048514705</v>
      </c>
      <c r="U167">
        <v>106.9</v>
      </c>
      <c r="V167" s="8">
        <v>61.9</v>
      </c>
      <c r="X167">
        <v>166</v>
      </c>
      <c r="Y167" s="3">
        <f t="shared" si="44"/>
        <v>9.8341232227488154E-2</v>
      </c>
      <c r="Z167">
        <v>100</v>
      </c>
      <c r="AA167">
        <f t="shared" si="63"/>
        <v>160</v>
      </c>
      <c r="AD167">
        <v>22.24</v>
      </c>
      <c r="AE167">
        <f>AD167-7.5</f>
        <v>14.739999999999998</v>
      </c>
      <c r="AG167">
        <v>3.99</v>
      </c>
      <c r="AH167" s="10">
        <v>0</v>
      </c>
      <c r="AI167" t="str">
        <f>CONCATENATE(VLOOKUP(AJ167, 'Voxel Sizes'!$A$2:$B$18,2,FALSE),"x",INT(AF167*15), "x", INT(AG167*15))</f>
        <v>152x0x59</v>
      </c>
      <c r="AJ167">
        <f t="shared" si="45"/>
        <v>9</v>
      </c>
      <c r="AK167" t="s">
        <v>436</v>
      </c>
      <c r="AL167" t="str">
        <f>CONCATENATE(VLOOKUP(AJ167,Constants!$A$2:$C$16,IF(AK167&lt;&gt;"", 3, 2), FALSE),IF(AK167&lt;&gt;"",CONCATENATE(",",VLOOKUP(AK167,$B:$AL,37,FALSE)),""))</f>
        <v>2,5,2,2,1,2</v>
      </c>
      <c r="AT167">
        <v>1</v>
      </c>
      <c r="AV167">
        <v>32</v>
      </c>
      <c r="AW167" s="15">
        <f t="shared" si="46"/>
        <v>26</v>
      </c>
      <c r="AZ167">
        <f t="shared" si="47"/>
        <v>20</v>
      </c>
      <c r="BA167">
        <f t="shared" si="48"/>
        <v>13.5</v>
      </c>
      <c r="BB167">
        <f t="shared" si="49"/>
        <v>8.2999999999999989</v>
      </c>
      <c r="BC167" s="3">
        <f t="shared" si="50"/>
        <v>0.93599999999999994</v>
      </c>
      <c r="BD167">
        <f t="shared" si="51"/>
        <v>0</v>
      </c>
      <c r="BE167">
        <f>VLOOKUP($F167,Constants!$I:$K, 2, FALSE)</f>
        <v>1.1499999999999999</v>
      </c>
      <c r="BF167">
        <f>VLOOKUP($F167,Constants!$I:$K, 3, FALSE)*IF(AND(E167="multiple_unit",Z167&lt;110),0.75,1)</f>
        <v>1.7</v>
      </c>
      <c r="BG167">
        <f>INT(POWER(((Constants!$G$2+$AZ167+$BA167+$BB167+$BD167)*$BC167)*$BF167, 1.05))+$AY167</f>
        <v>92</v>
      </c>
      <c r="BH167">
        <f>INT(POWER((((Constants!$G$1+$AZ167+$BA167+$BB167+$BD167)*($BC167))*$BE167),IF($E167="wagon",1,1.2)))+$AX167</f>
        <v>139</v>
      </c>
      <c r="BI167" s="14">
        <f t="shared" si="52"/>
        <v>71875</v>
      </c>
      <c r="BJ167" s="14">
        <f t="shared" si="53"/>
        <v>11293.75</v>
      </c>
      <c r="BQ167">
        <v>6</v>
      </c>
      <c r="BU167" t="str">
        <f>VLOOKUP(H167,Eras!$A$2:$C$10, 2, TRUE)</f>
        <v>ebr</v>
      </c>
      <c r="BV167" t="s">
        <v>328</v>
      </c>
      <c r="BW167" t="str">
        <f t="shared" si="54"/>
        <v>ebr_Express</v>
      </c>
      <c r="BX167" t="str">
        <f t="shared" si="55"/>
        <v>steam_RAIL</v>
      </c>
      <c r="BY167" t="str">
        <f>VLOOKUP($BX167, Constants!$M:$N, 2, FALSE)</f>
        <v>{BLACK}Powered by: {GOLD}Steam</v>
      </c>
      <c r="BZ167" t="str">
        <f t="shared" si="60"/>
        <v/>
      </c>
      <c r="CA167" t="s">
        <v>499</v>
      </c>
      <c r="CB167" t="str">
        <f t="shared" si="64"/>
        <v/>
      </c>
      <c r="CC167" t="str">
        <f t="shared" si="57"/>
        <v>{BLACK}Powered by: {GOLD}Steam {}{SILVER}The Peppercorn A1 is designed for hauling heavy passenger trains of 12 or more carriages. A continuation of the series, 'Tornado', was built in 2008.</v>
      </c>
    </row>
    <row r="168" spans="1:81" x14ac:dyDescent="0.25">
      <c r="A168" t="s">
        <v>62</v>
      </c>
      <c r="B168" t="s">
        <v>248</v>
      </c>
      <c r="C168">
        <v>278</v>
      </c>
      <c r="D168">
        <v>75</v>
      </c>
      <c r="E168" t="s">
        <v>263</v>
      </c>
      <c r="F168" t="s">
        <v>296</v>
      </c>
      <c r="G168" t="s">
        <v>297</v>
      </c>
      <c r="H168">
        <v>1950</v>
      </c>
      <c r="I168">
        <v>1953</v>
      </c>
      <c r="J168">
        <v>1981</v>
      </c>
      <c r="L168">
        <v>1300</v>
      </c>
      <c r="U168">
        <v>89.3</v>
      </c>
      <c r="X168">
        <v>200</v>
      </c>
      <c r="Y168" s="3">
        <f t="shared" si="44"/>
        <v>0.22396416573348266</v>
      </c>
      <c r="Z168">
        <v>65</v>
      </c>
      <c r="AA168">
        <f t="shared" si="63"/>
        <v>104</v>
      </c>
      <c r="AD168">
        <v>15.34</v>
      </c>
      <c r="AE168">
        <v>15.34</v>
      </c>
      <c r="AH168" s="10">
        <v>0</v>
      </c>
      <c r="AI168" t="str">
        <f>CONCATENATE(VLOOKUP(AJ168, 'Voxel Sizes'!$A$2:$B$18,2,FALSE),"x",INT(AF168*15), "x", INT(AG168*15))</f>
        <v>152x0x0</v>
      </c>
      <c r="AJ168">
        <f t="shared" si="45"/>
        <v>9</v>
      </c>
      <c r="AL168" t="str">
        <f>CONCATENATE(VLOOKUP(AJ168,Constants!$A$2:$C$16,IF(AK168&lt;&gt;"", 3, 2), FALSE),IF(AK168&lt;&gt;"",CONCATENATE(",",VLOOKUP(AK168,$B:$AL,37,FALSE)),""))</f>
        <v>2,5,2</v>
      </c>
      <c r="AV168">
        <v>30</v>
      </c>
      <c r="AW168" s="15">
        <f t="shared" si="46"/>
        <v>39</v>
      </c>
      <c r="AZ168">
        <f t="shared" si="47"/>
        <v>13</v>
      </c>
      <c r="BA168">
        <f t="shared" si="48"/>
        <v>6.5</v>
      </c>
      <c r="BB168">
        <f t="shared" si="49"/>
        <v>10</v>
      </c>
      <c r="BC168" s="3">
        <f t="shared" si="50"/>
        <v>0.93333333333333335</v>
      </c>
      <c r="BD168">
        <f t="shared" si="51"/>
        <v>0</v>
      </c>
      <c r="BE168">
        <f>VLOOKUP($F168,Constants!$I:$K, 2, FALSE)</f>
        <v>0.85</v>
      </c>
      <c r="BF168">
        <f>VLOOKUP($F168,Constants!$I:$K, 3, FALSE)*IF(AND(E168="multiple_unit",Z168&lt;110),0.75,1)</f>
        <v>2.2999999999999998</v>
      </c>
      <c r="BG168">
        <f>INT(POWER(((Constants!$G$2+$AZ168+$BA168+$BB168+$BD168)*$BC168)*$BF168, 1.05))+$AY168</f>
        <v>91</v>
      </c>
      <c r="BH168">
        <f>INT(POWER((((Constants!$G$1+$AZ168+$BA168+$BB168+$BD168)*($BC168))*$BE168),IF($E168="wagon",1,1.2)))+$AX168</f>
        <v>72</v>
      </c>
      <c r="BI168" s="14">
        <f t="shared" si="52"/>
        <v>71093.75</v>
      </c>
      <c r="BJ168" s="14">
        <f t="shared" si="53"/>
        <v>5850</v>
      </c>
      <c r="BQ168">
        <v>7</v>
      </c>
      <c r="BU168" t="str">
        <f>VLOOKUP(H168,Eras!$A$2:$C$10, 2, TRUE)</f>
        <v>ebr</v>
      </c>
      <c r="BV168" t="s">
        <v>339</v>
      </c>
      <c r="BW168" t="str">
        <f t="shared" si="54"/>
        <v>ebr_Freight (Electric)</v>
      </c>
      <c r="BX168" t="str">
        <f t="shared" si="55"/>
        <v>electric_ELRL</v>
      </c>
      <c r="BY168" t="str">
        <f>VLOOKUP($BX168, Constants!$M:$N, 2, FALSE)</f>
        <v>{BLACK}Powered by: {GOLD}25kV AC</v>
      </c>
      <c r="BZ168" t="str">
        <f t="shared" si="60"/>
        <v/>
      </c>
      <c r="CA168" t="s">
        <v>355</v>
      </c>
      <c r="CB168" t="str">
        <f t="shared" si="64"/>
        <v/>
      </c>
      <c r="CC168" t="str">
        <f t="shared" si="57"/>
        <v>{BLACK}Powered by: {GOLD}25kV AC {}{SILVER}The Class 76 is an electric freight locomotive designed for the Woodhead Line in the northern Peak District. With high tractive effort, electric traction lent itself to the steep gradients and many tunnels of the line.</v>
      </c>
    </row>
    <row r="169" spans="1:81" x14ac:dyDescent="0.25">
      <c r="A169" t="s">
        <v>509</v>
      </c>
      <c r="B169" t="s">
        <v>503</v>
      </c>
      <c r="C169">
        <v>280</v>
      </c>
      <c r="D169">
        <v>76</v>
      </c>
      <c r="E169" t="s">
        <v>263</v>
      </c>
      <c r="F169" t="s">
        <v>272</v>
      </c>
      <c r="G169" t="s">
        <v>275</v>
      </c>
      <c r="H169">
        <v>1951</v>
      </c>
      <c r="I169">
        <v>1952</v>
      </c>
      <c r="J169">
        <v>1966</v>
      </c>
      <c r="L169">
        <v>1500</v>
      </c>
      <c r="N169" s="5">
        <v>19.5</v>
      </c>
      <c r="O169" s="5">
        <v>28</v>
      </c>
      <c r="P169" s="5">
        <v>2</v>
      </c>
      <c r="Q169" s="5">
        <v>225</v>
      </c>
      <c r="R169" s="6">
        <f>((($Z169/2)/60)*5280)/($S169*3.2*PI())</f>
        <v>184.28467094851041</v>
      </c>
      <c r="S169" s="5">
        <v>1.9</v>
      </c>
      <c r="T169" s="5">
        <f>((($N169*$N169/4)*PI())*($O169/12)*$P169*$Q169*$R169)/(33000*1.1)</f>
        <v>1591.9557416267944</v>
      </c>
      <c r="U169">
        <v>89.92</v>
      </c>
      <c r="V169" s="8">
        <v>14.38</v>
      </c>
      <c r="X169">
        <v>122</v>
      </c>
      <c r="Y169" s="3">
        <f t="shared" si="44"/>
        <v>0.11697027804410355</v>
      </c>
      <c r="Z169">
        <v>80</v>
      </c>
      <c r="AA169">
        <f t="shared" si="63"/>
        <v>128</v>
      </c>
      <c r="AD169">
        <v>20.96</v>
      </c>
      <c r="AE169">
        <f>AD169-7.5</f>
        <v>13.46</v>
      </c>
      <c r="AG169">
        <v>3.98</v>
      </c>
      <c r="AH169" s="10">
        <v>0</v>
      </c>
      <c r="AI169" t="str">
        <f>CONCATENATE(VLOOKUP(AJ169, 'Voxel Sizes'!$A$2:$B$18,2,FALSE),"x",INT(AF169*15), "x", INT(AG169*15))</f>
        <v>136x0x59</v>
      </c>
      <c r="AJ169">
        <f t="shared" si="45"/>
        <v>8</v>
      </c>
      <c r="AK169" t="s">
        <v>441</v>
      </c>
      <c r="AL169" t="str">
        <f>CONCATENATE(VLOOKUP(AJ169,Constants!$A$2:$C$16,IF(AK169&lt;&gt;"", 3, 2), FALSE),IF(AK169&lt;&gt;"",CONCATENATE(",",VLOOKUP(AK169,$B:$AL,37,FALSE)),""))</f>
        <v>2,4,2,2,1,2</v>
      </c>
      <c r="AT169">
        <v>1</v>
      </c>
      <c r="AV169">
        <v>30</v>
      </c>
      <c r="AW169" s="15">
        <f t="shared" si="46"/>
        <v>23</v>
      </c>
      <c r="AZ169">
        <f t="shared" si="47"/>
        <v>16</v>
      </c>
      <c r="BA169">
        <f t="shared" si="48"/>
        <v>7.5</v>
      </c>
      <c r="BB169">
        <f t="shared" si="49"/>
        <v>6.1</v>
      </c>
      <c r="BC169" s="3">
        <f t="shared" si="50"/>
        <v>0.93199999999999994</v>
      </c>
      <c r="BD169">
        <f t="shared" si="51"/>
        <v>0</v>
      </c>
      <c r="BE169">
        <f>VLOOKUP($F169,Constants!$I:$K, 2, FALSE)</f>
        <v>1.1499999999999999</v>
      </c>
      <c r="BF169">
        <f>VLOOKUP($F169,Constants!$I:$K, 3, FALSE)*IF(AND(E169="multiple_unit",Z169&lt;110),0.75,1)</f>
        <v>1.7</v>
      </c>
      <c r="BG169">
        <f>INT(POWER(((Constants!$G$2+$AZ169+$BA169+$BB169+$BD169)*$BC169)*$BF169, 1.05))+$AY169</f>
        <v>66</v>
      </c>
      <c r="BH169">
        <f>INT(POWER((((Constants!$G$1+$AZ169+$BA169+$BB169+$BD169)*($BC169))*$BE169),IF($E169="wagon",1,1.2)))+$AX169</f>
        <v>103</v>
      </c>
      <c r="BI169" s="14">
        <f t="shared" si="52"/>
        <v>51562.5</v>
      </c>
      <c r="BJ169" s="14">
        <f t="shared" si="53"/>
        <v>8368.75</v>
      </c>
      <c r="BQ169">
        <v>8</v>
      </c>
      <c r="BU169" t="str">
        <f>VLOOKUP(H169,Eras!$A$2:$C$10, 2, TRUE)</f>
        <v>ebr</v>
      </c>
      <c r="BV169" t="s">
        <v>327</v>
      </c>
      <c r="BW169" t="str">
        <f t="shared" si="54"/>
        <v>ebr_Mixed Traffic</v>
      </c>
      <c r="BX169" t="str">
        <f t="shared" si="55"/>
        <v>steam_RAIL</v>
      </c>
      <c r="BY169" t="str">
        <f>VLOOKUP($BX169, Constants!$M:$N, 2, FALSE)</f>
        <v>{BLACK}Powered by: {GOLD}Steam</v>
      </c>
      <c r="BZ169" t="str">
        <f t="shared" si="60"/>
        <v/>
      </c>
      <c r="CA169" t="s">
        <v>507</v>
      </c>
      <c r="CB169" t="str">
        <f t="shared" si="64"/>
        <v/>
      </c>
      <c r="CC169" t="str">
        <f t="shared" si="57"/>
        <v>{BLACK}Powered by: {GOLD}Steam {}{SILVER}The Class 6 is a lighter version of the Class 7 "Britannia", with a smaller boiler. Only 10 were produced due to steel shortages.</v>
      </c>
    </row>
    <row r="170" spans="1:81" x14ac:dyDescent="0.25">
      <c r="A170" t="s">
        <v>510</v>
      </c>
      <c r="B170" t="s">
        <v>504</v>
      </c>
      <c r="C170">
        <v>282</v>
      </c>
      <c r="D170">
        <v>77</v>
      </c>
      <c r="E170" t="s">
        <v>263</v>
      </c>
      <c r="F170" t="s">
        <v>272</v>
      </c>
      <c r="G170" t="s">
        <v>275</v>
      </c>
      <c r="H170">
        <v>1951</v>
      </c>
      <c r="I170">
        <v>1954</v>
      </c>
      <c r="J170">
        <v>1968</v>
      </c>
      <c r="L170">
        <v>2000</v>
      </c>
      <c r="N170" s="5">
        <v>20</v>
      </c>
      <c r="O170" s="5">
        <v>28</v>
      </c>
      <c r="P170" s="5">
        <v>2</v>
      </c>
      <c r="Q170" s="5">
        <v>250</v>
      </c>
      <c r="R170" s="6">
        <f>((($Z170/2)/60)*5280)/($S170*3.2*PI())</f>
        <v>207.32025481707421</v>
      </c>
      <c r="S170" s="5">
        <v>1.9</v>
      </c>
      <c r="T170" s="5">
        <f>((($N170*$N170/4)*PI())*($O170/12)*$P170*$Q170*$R170)/(33000*1.1)</f>
        <v>2093.3014354066986</v>
      </c>
      <c r="U170">
        <v>95.5</v>
      </c>
      <c r="V170" s="8">
        <v>50</v>
      </c>
      <c r="X170">
        <v>143</v>
      </c>
      <c r="Y170" s="3">
        <f t="shared" si="44"/>
        <v>9.8281786941580754E-2</v>
      </c>
      <c r="Z170">
        <v>90</v>
      </c>
      <c r="AA170">
        <f t="shared" si="63"/>
        <v>144</v>
      </c>
      <c r="AD170">
        <v>20.96</v>
      </c>
      <c r="AE170">
        <f>AD170-7.5</f>
        <v>13.46</v>
      </c>
      <c r="AG170">
        <v>3.98</v>
      </c>
      <c r="AH170" s="10">
        <v>0</v>
      </c>
      <c r="AI170" t="str">
        <f>CONCATENATE(VLOOKUP(AJ170, 'Voxel Sizes'!$A$2:$B$18,2,FALSE),"x",INT(AF170*15), "x", INT(AG170*15))</f>
        <v>136x0x59</v>
      </c>
      <c r="AJ170">
        <f t="shared" si="45"/>
        <v>8</v>
      </c>
      <c r="AK170" t="s">
        <v>441</v>
      </c>
      <c r="AL170" t="str">
        <f>CONCATENATE(VLOOKUP(AJ170,Constants!$A$2:$C$16,IF(AK170&lt;&gt;"", 3, 2), FALSE),IF(AK170&lt;&gt;"",CONCATENATE(",",VLOOKUP(AK170,$B:$AL,37,FALSE)),""))</f>
        <v>2,4,2,2,1,2</v>
      </c>
      <c r="AT170">
        <v>1</v>
      </c>
      <c r="AV170">
        <v>30</v>
      </c>
      <c r="AW170" s="15">
        <f t="shared" si="46"/>
        <v>25</v>
      </c>
      <c r="AZ170">
        <f t="shared" si="47"/>
        <v>18</v>
      </c>
      <c r="BA170">
        <f t="shared" si="48"/>
        <v>10</v>
      </c>
      <c r="BB170">
        <f t="shared" si="49"/>
        <v>7.1499999999999995</v>
      </c>
      <c r="BC170" s="3">
        <f t="shared" si="50"/>
        <v>0.93199999999999994</v>
      </c>
      <c r="BD170">
        <f t="shared" si="51"/>
        <v>0</v>
      </c>
      <c r="BE170">
        <f>VLOOKUP($F170,Constants!$I:$K, 2, FALSE)</f>
        <v>1.1499999999999999</v>
      </c>
      <c r="BF170">
        <f>VLOOKUP($F170,Constants!$I:$K, 3, FALSE)*IF(AND(E170="multiple_unit",Z170&lt;110),0.75,1)</f>
        <v>1.7</v>
      </c>
      <c r="BG170">
        <f>INT(POWER(((Constants!$G$2+$AZ170+$BA170+$BB170+$BD170)*$BC170)*$BF170, 1.05))+$AY170</f>
        <v>78</v>
      </c>
      <c r="BH170">
        <f>INT(POWER((((Constants!$G$1+$AZ170+$BA170+$BB170+$BD170)*($BC170))*$BE170),IF($E170="wagon",1,1.2)))+$AX170</f>
        <v>119</v>
      </c>
      <c r="BI170" s="14">
        <f t="shared" si="52"/>
        <v>60937.5</v>
      </c>
      <c r="BJ170" s="14">
        <f t="shared" si="53"/>
        <v>9668.75</v>
      </c>
      <c r="BQ170">
        <v>9</v>
      </c>
      <c r="BU170" t="str">
        <f>VLOOKUP(H170,Eras!$A$2:$C$10, 2, TRUE)</f>
        <v>ebr</v>
      </c>
      <c r="BV170" t="s">
        <v>327</v>
      </c>
      <c r="BW170" t="str">
        <f t="shared" si="54"/>
        <v>ebr_Mixed Traffic</v>
      </c>
      <c r="BX170" t="str">
        <f t="shared" si="55"/>
        <v>steam_RAIL</v>
      </c>
      <c r="BY170" t="str">
        <f>VLOOKUP($BX170, Constants!$M:$N, 2, FALSE)</f>
        <v>{BLACK}Powered by: {GOLD}Steam</v>
      </c>
      <c r="BZ170" t="str">
        <f t="shared" si="60"/>
        <v/>
      </c>
      <c r="CA170" t="s">
        <v>506</v>
      </c>
      <c r="CB170" t="str">
        <f t="shared" si="64"/>
        <v/>
      </c>
      <c r="CC170" t="str">
        <f t="shared" si="57"/>
        <v>{BLACK}Powered by: {GOLD}Steam {}{SILVER}The Class 7 combines the best features of pre-BR designs from the Big Four, with the aim of reducing maintenance costs.</v>
      </c>
    </row>
    <row r="171" spans="1:81" x14ac:dyDescent="0.25">
      <c r="A171" t="s">
        <v>66</v>
      </c>
      <c r="B171" t="s">
        <v>166</v>
      </c>
      <c r="C171">
        <v>284</v>
      </c>
      <c r="D171">
        <v>78</v>
      </c>
      <c r="E171" t="s">
        <v>263</v>
      </c>
      <c r="F171" t="s">
        <v>273</v>
      </c>
      <c r="G171" t="s">
        <v>275</v>
      </c>
      <c r="H171">
        <v>1952</v>
      </c>
      <c r="I171">
        <v>1962</v>
      </c>
      <c r="L171">
        <v>350</v>
      </c>
      <c r="U171">
        <v>49.8</v>
      </c>
      <c r="X171">
        <v>160</v>
      </c>
      <c r="Y171" s="3">
        <f t="shared" si="44"/>
        <v>0.32128514056224899</v>
      </c>
      <c r="Z171">
        <v>20</v>
      </c>
      <c r="AA171">
        <f t="shared" si="63"/>
        <v>32</v>
      </c>
      <c r="AD171">
        <v>8.92</v>
      </c>
      <c r="AE171">
        <v>9.5</v>
      </c>
      <c r="AF171">
        <v>2.59</v>
      </c>
      <c r="AG171">
        <v>3.87</v>
      </c>
      <c r="AH171" s="10">
        <v>0</v>
      </c>
      <c r="AI171" t="str">
        <f>CONCATENATE(VLOOKUP(AJ171, 'Voxel Sizes'!$A$2:$B$18,2,FALSE),"x",INT(AF171*15), "x", INT(AG171*15))</f>
        <v>102x38x58</v>
      </c>
      <c r="AJ171">
        <f t="shared" si="45"/>
        <v>6</v>
      </c>
      <c r="AL171" t="str">
        <f>CONCATENATE(VLOOKUP(AJ171,Constants!$A$2:$C$16,IF(AK171&lt;&gt;"", 3, 2), FALSE),IF(AK171&lt;&gt;"",CONCATENATE(",",VLOOKUP(AK171,$B:$AL,37,FALSE)),""))</f>
        <v>2,2,2</v>
      </c>
      <c r="AT171">
        <v>1</v>
      </c>
      <c r="AV171">
        <v>42</v>
      </c>
      <c r="AW171" s="15" t="str">
        <f t="shared" si="46"/>
        <v/>
      </c>
      <c r="AY171">
        <v>-10</v>
      </c>
      <c r="AZ171">
        <f t="shared" si="47"/>
        <v>4</v>
      </c>
      <c r="BA171">
        <f t="shared" si="48"/>
        <v>1.75</v>
      </c>
      <c r="BB171">
        <f t="shared" si="49"/>
        <v>8</v>
      </c>
      <c r="BC171" s="3">
        <f t="shared" si="50"/>
        <v>0.93066666666666664</v>
      </c>
      <c r="BD171">
        <f t="shared" si="51"/>
        <v>0</v>
      </c>
      <c r="BE171">
        <f>VLOOKUP($F171,Constants!$I:$K, 2, FALSE)</f>
        <v>1</v>
      </c>
      <c r="BF171">
        <f>VLOOKUP($F171,Constants!$I:$K, 3, FALSE)*IF(AND(E171="multiple_unit",Z171&lt;110),0.75,1)</f>
        <v>2</v>
      </c>
      <c r="BG171">
        <f>INT(POWER(((Constants!$G$2+$AZ171+$BA171+$BB171+$BD171)*$BC171)*$BF171, 1.05))+$AY171</f>
        <v>31</v>
      </c>
      <c r="BH171">
        <f>INT(POWER((((Constants!$G$1+$AZ171+$BA171+$BB171+$BD171)*($BC171))*$BE171),IF($E171="wagon",1,1.2)))+$AX171</f>
        <v>51</v>
      </c>
      <c r="BI171" s="14">
        <f t="shared" si="52"/>
        <v>24218.75</v>
      </c>
      <c r="BJ171" s="14">
        <f t="shared" si="53"/>
        <v>4143.75</v>
      </c>
      <c r="BQ171">
        <v>10</v>
      </c>
      <c r="BU171" t="str">
        <f>VLOOKUP(H171,Eras!$A$2:$C$10, 2, TRUE)</f>
        <v>ebr</v>
      </c>
      <c r="BV171" t="s">
        <v>326</v>
      </c>
      <c r="BW171" t="str">
        <f t="shared" si="54"/>
        <v>ebr_Cheap</v>
      </c>
      <c r="BX171" t="str">
        <f t="shared" si="55"/>
        <v>diesel_RAIL</v>
      </c>
      <c r="BY171" t="str">
        <f>VLOOKUP($BX171, Constants!$M:$N, 2, FALSE)</f>
        <v>{BLACK}Powered by: {GOLD}Diesel</v>
      </c>
      <c r="BZ171" t="str">
        <f t="shared" si="60"/>
        <v/>
      </c>
      <c r="CA171" t="s">
        <v>356</v>
      </c>
      <c r="CB171" t="str">
        <f t="shared" si="64"/>
        <v/>
      </c>
      <c r="CC171" t="str">
        <f t="shared" si="57"/>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2" spans="1:81" x14ac:dyDescent="0.25">
      <c r="A172" t="s">
        <v>63</v>
      </c>
      <c r="B172" t="s">
        <v>249</v>
      </c>
      <c r="C172">
        <v>286</v>
      </c>
      <c r="D172">
        <v>79</v>
      </c>
      <c r="E172" t="s">
        <v>263</v>
      </c>
      <c r="F172" t="s">
        <v>296</v>
      </c>
      <c r="G172" t="s">
        <v>297</v>
      </c>
      <c r="H172">
        <v>1953</v>
      </c>
      <c r="I172">
        <v>1954</v>
      </c>
      <c r="J172">
        <v>1968</v>
      </c>
      <c r="L172">
        <v>2490</v>
      </c>
      <c r="U172">
        <v>104.1</v>
      </c>
      <c r="X172">
        <v>200</v>
      </c>
      <c r="Y172" s="3">
        <f t="shared" si="44"/>
        <v>0.19212295869356388</v>
      </c>
      <c r="Z172">
        <v>90</v>
      </c>
      <c r="AA172">
        <f t="shared" si="63"/>
        <v>144</v>
      </c>
      <c r="AD172">
        <v>17.98</v>
      </c>
      <c r="AE172">
        <v>17.98</v>
      </c>
      <c r="AH172" s="10">
        <v>0</v>
      </c>
      <c r="AI172" t="str">
        <f>CONCATENATE(VLOOKUP(AJ172, 'Voxel Sizes'!$A$2:$B$18,2,FALSE),"x",INT(AF172*15), "x", INT(AG172*15))</f>
        <v>186x0x0</v>
      </c>
      <c r="AJ172">
        <f t="shared" si="45"/>
        <v>11</v>
      </c>
      <c r="AL172" t="str">
        <f>CONCATENATE(VLOOKUP(AJ172,Constants!$A$2:$C$16,IF(AK172&lt;&gt;"", 3, 2), FALSE),IF(AK172&lt;&gt;"",CONCATENATE(",",VLOOKUP(AK172,$B:$AL,37,FALSE)),""))</f>
        <v>4,3,4</v>
      </c>
      <c r="AV172">
        <v>25</v>
      </c>
      <c r="AW172" s="15">
        <f t="shared" si="46"/>
        <v>23</v>
      </c>
      <c r="AZ172">
        <f t="shared" si="47"/>
        <v>18</v>
      </c>
      <c r="BA172">
        <f t="shared" si="48"/>
        <v>12.450000000000001</v>
      </c>
      <c r="BB172">
        <f t="shared" si="49"/>
        <v>10</v>
      </c>
      <c r="BC172" s="3">
        <f t="shared" si="50"/>
        <v>0.92933333333333334</v>
      </c>
      <c r="BD172">
        <f t="shared" si="51"/>
        <v>0</v>
      </c>
      <c r="BE172">
        <f>VLOOKUP($F172,Constants!$I:$K, 2, FALSE)</f>
        <v>0.85</v>
      </c>
      <c r="BF172">
        <f>VLOOKUP($F172,Constants!$I:$K, 3, FALSE)*IF(AND(E172="multiple_unit",Z172&lt;110),0.75,1)</f>
        <v>2.2999999999999998</v>
      </c>
      <c r="BG172">
        <f>INT(POWER(((Constants!$G$2+$AZ172+$BA172+$BB172+$BD172)*$BC172)*$BF172, 1.05))+$AY172</f>
        <v>122</v>
      </c>
      <c r="BH172">
        <f>INT(POWER((((Constants!$G$1+$AZ172+$BA172+$BB172+$BD172)*($BC172))*$BE172),IF($E172="wagon",1,1.2)))+$AX172</f>
        <v>93</v>
      </c>
      <c r="BI172" s="14">
        <f t="shared" si="52"/>
        <v>95312.5</v>
      </c>
      <c r="BJ172" s="14">
        <f t="shared" si="53"/>
        <v>7556.25</v>
      </c>
      <c r="BQ172">
        <v>11</v>
      </c>
      <c r="BU172" t="str">
        <f>VLOOKUP(H172,Eras!$A$2:$C$10, 2, TRUE)</f>
        <v>ebr</v>
      </c>
      <c r="BV172" t="s">
        <v>338</v>
      </c>
      <c r="BW172" t="str">
        <f t="shared" si="54"/>
        <v>ebr_Express (Electric)</v>
      </c>
      <c r="BX172" t="str">
        <f t="shared" si="55"/>
        <v>electric_ELRL</v>
      </c>
      <c r="BY172" t="str">
        <f>VLOOKUP($BX172, Constants!$M:$N, 2, FALSE)</f>
        <v>{BLACK}Powered by: {GOLD}25kV AC</v>
      </c>
      <c r="BZ172" t="str">
        <f t="shared" si="60"/>
        <v/>
      </c>
      <c r="CA172" t="s">
        <v>508</v>
      </c>
      <c r="CB172" t="str">
        <f t="shared" si="64"/>
        <v/>
      </c>
      <c r="CC172" t="str">
        <f t="shared" si="57"/>
        <v>{BLACK}Powered by: {GOLD}25kV AC {}{SILVER}The Class 77  is a larger version of the earlier Class 76, designed to haul passenger services on the Woodhead Line.</v>
      </c>
    </row>
    <row r="173" spans="1:81" x14ac:dyDescent="0.25">
      <c r="A173" t="s">
        <v>502</v>
      </c>
      <c r="B173" t="s">
        <v>505</v>
      </c>
      <c r="C173">
        <v>288</v>
      </c>
      <c r="D173">
        <v>80</v>
      </c>
      <c r="E173" t="s">
        <v>263</v>
      </c>
      <c r="F173" t="s">
        <v>272</v>
      </c>
      <c r="G173" t="s">
        <v>275</v>
      </c>
      <c r="H173">
        <v>1954</v>
      </c>
      <c r="I173">
        <v>1960</v>
      </c>
      <c r="J173">
        <v>1968</v>
      </c>
      <c r="L173">
        <v>2500</v>
      </c>
      <c r="N173" s="5">
        <v>20</v>
      </c>
      <c r="O173" s="5">
        <v>28</v>
      </c>
      <c r="P173" s="5">
        <v>2</v>
      </c>
      <c r="Q173" s="5">
        <v>250</v>
      </c>
      <c r="R173" s="6">
        <f>((($Z173/2)/60)*5280)/($S173*3.2*PI())</f>
        <v>262.60565610162729</v>
      </c>
      <c r="S173" s="5">
        <v>1.5</v>
      </c>
      <c r="T173" s="5">
        <f>((($N173*$N173/4)*PI())*($O173/12)*$P173*$Q173*$R173)/(33000*1.1)</f>
        <v>2651.515151515151</v>
      </c>
      <c r="U173">
        <v>90</v>
      </c>
      <c r="V173" s="8">
        <v>51</v>
      </c>
      <c r="X173">
        <v>176</v>
      </c>
      <c r="Y173" s="3">
        <f t="shared" si="44"/>
        <v>0.12482269503546099</v>
      </c>
      <c r="Z173">
        <v>90</v>
      </c>
      <c r="AA173">
        <f t="shared" si="63"/>
        <v>144</v>
      </c>
      <c r="AD173">
        <v>20.170000000000002</v>
      </c>
      <c r="AE173">
        <v>15</v>
      </c>
      <c r="AH173" s="10">
        <v>0</v>
      </c>
      <c r="AI173" t="str">
        <f>CONCATENATE(VLOOKUP(AJ173, 'Voxel Sizes'!$A$2:$B$18,2,FALSE),"x",INT(AF173*15), "x", INT(AG173*15))</f>
        <v>152x0x0</v>
      </c>
      <c r="AJ173">
        <f t="shared" si="45"/>
        <v>9</v>
      </c>
      <c r="AK173" t="s">
        <v>441</v>
      </c>
      <c r="AL173" t="str">
        <f>CONCATENATE(VLOOKUP(AJ173,Constants!$A$2:$C$16,IF(AK173&lt;&gt;"", 3, 2), FALSE),IF(AK173&lt;&gt;"",CONCATENATE(",",VLOOKUP(AK173,$B:$AL,37,FALSE)),""))</f>
        <v>2,5,2,2,1,2</v>
      </c>
      <c r="AT173">
        <v>1</v>
      </c>
      <c r="AV173">
        <v>33</v>
      </c>
      <c r="AW173" s="15">
        <f t="shared" si="46"/>
        <v>22</v>
      </c>
      <c r="AZ173">
        <f t="shared" si="47"/>
        <v>18</v>
      </c>
      <c r="BA173">
        <f t="shared" si="48"/>
        <v>12.5</v>
      </c>
      <c r="BB173">
        <f t="shared" si="49"/>
        <v>8.8000000000000007</v>
      </c>
      <c r="BC173" s="3">
        <f t="shared" si="50"/>
        <v>0.92800000000000005</v>
      </c>
      <c r="BD173">
        <f t="shared" si="51"/>
        <v>0</v>
      </c>
      <c r="BE173">
        <f>VLOOKUP($F173,Constants!$I:$K, 2, FALSE)</f>
        <v>1.1499999999999999</v>
      </c>
      <c r="BF173">
        <f>VLOOKUP($F173,Constants!$I:$K, 3, FALSE)*IF(AND(E173="multiple_unit",Z173&lt;110),0.75,1)</f>
        <v>1.7</v>
      </c>
      <c r="BG173">
        <f>INT(POWER(((Constants!$G$2+$AZ173+$BA173+$BB173+$BD173)*$BC173)*$BF173, 1.05))+$AY173</f>
        <v>86</v>
      </c>
      <c r="BH173">
        <f>INT(POWER((((Constants!$G$1+$AZ173+$BA173+$BB173+$BD173)*($BC173))*$BE173),IF($E173="wagon",1,1.2)))+$AX173</f>
        <v>130</v>
      </c>
      <c r="BI173" s="14">
        <f t="shared" si="52"/>
        <v>67187.5</v>
      </c>
      <c r="BJ173" s="14">
        <f t="shared" si="53"/>
        <v>10562.5</v>
      </c>
      <c r="BQ173">
        <v>12</v>
      </c>
      <c r="BU173" t="str">
        <f>VLOOKUP(H173,Eras!$A$2:$C$10, 2, TRUE)</f>
        <v>ebr</v>
      </c>
      <c r="BV173" t="s">
        <v>329</v>
      </c>
      <c r="BW173" t="str">
        <f t="shared" si="54"/>
        <v>ebr_Freight</v>
      </c>
      <c r="BX173" t="str">
        <f t="shared" si="55"/>
        <v>steam_RAIL</v>
      </c>
      <c r="BY173" t="str">
        <f>VLOOKUP($BX173, Constants!$M:$N, 2, FALSE)</f>
        <v>{BLACK}Powered by: {GOLD}Steam</v>
      </c>
      <c r="BZ173" t="str">
        <f t="shared" ref="BZ173:BZ207" si="65">IF(K173&gt;1,_xlfn.CONCAT("{BLACK}Cars: {GOLD}", K173),"")</f>
        <v/>
      </c>
      <c r="CA173" t="s">
        <v>511</v>
      </c>
      <c r="CB173" t="str">
        <f t="shared" si="64"/>
        <v/>
      </c>
      <c r="CC173" t="str">
        <f t="shared" si="57"/>
        <v>{BLACK}Powered by: {GOLD}Steam {}{SILVER}The 9F class included the last steam locomotive ever to be built by British Railways, "Evening Star"</v>
      </c>
    </row>
    <row r="174" spans="1:81" x14ac:dyDescent="0.25">
      <c r="A174" t="s">
        <v>38</v>
      </c>
      <c r="B174" t="s">
        <v>268</v>
      </c>
      <c r="C174">
        <v>290</v>
      </c>
      <c r="D174">
        <v>81</v>
      </c>
      <c r="E174" t="s">
        <v>263</v>
      </c>
      <c r="F174" t="s">
        <v>273</v>
      </c>
      <c r="G174" t="s">
        <v>275</v>
      </c>
      <c r="H174">
        <v>1955</v>
      </c>
      <c r="I174">
        <v>1962</v>
      </c>
      <c r="J174">
        <v>1982</v>
      </c>
      <c r="L174">
        <v>3300</v>
      </c>
      <c r="U174">
        <v>108</v>
      </c>
      <c r="X174">
        <v>233</v>
      </c>
      <c r="Y174" s="3">
        <f t="shared" si="44"/>
        <v>0.21574074074074073</v>
      </c>
      <c r="Z174">
        <v>106</v>
      </c>
      <c r="AA174">
        <f t="shared" si="63"/>
        <v>170</v>
      </c>
      <c r="AD174">
        <v>21.18</v>
      </c>
      <c r="AE174">
        <v>21.18</v>
      </c>
      <c r="AG174">
        <v>3.91</v>
      </c>
      <c r="AH174" s="10">
        <v>0</v>
      </c>
      <c r="AI174" t="str">
        <f>CONCATENATE(VLOOKUP(AJ174, 'Voxel Sizes'!$A$2:$B$18,2,FALSE),"x",INT(AF174*15), "x", INT(AG174*15))</f>
        <v>198x0x58</v>
      </c>
      <c r="AJ174">
        <f t="shared" si="45"/>
        <v>12</v>
      </c>
      <c r="AL174" t="str">
        <f>CONCATENATE(VLOOKUP(AJ174,Constants!$A$2:$C$16,IF(AK174&lt;&gt;"", 3, 2), FALSE),IF(AK174&lt;&gt;"",CONCATENATE(",",VLOOKUP(AK174,$B:$AL,37,FALSE)),""))</f>
        <v>4,4,4</v>
      </c>
      <c r="AV174">
        <v>26</v>
      </c>
      <c r="AW174" s="15">
        <f t="shared" si="46"/>
        <v>35</v>
      </c>
      <c r="AZ174">
        <f t="shared" si="47"/>
        <v>21.2</v>
      </c>
      <c r="BA174">
        <f t="shared" si="48"/>
        <v>16.5</v>
      </c>
      <c r="BB174">
        <f t="shared" si="49"/>
        <v>11.65</v>
      </c>
      <c r="BC174" s="3">
        <f t="shared" si="50"/>
        <v>0.92666666666666664</v>
      </c>
      <c r="BD174">
        <f t="shared" si="51"/>
        <v>0</v>
      </c>
      <c r="BE174">
        <f>VLOOKUP($F174,Constants!$I:$K, 2, FALSE)</f>
        <v>1</v>
      </c>
      <c r="BF174">
        <f>VLOOKUP($F174,Constants!$I:$K, 3, FALSE)*IF(AND(E174="multiple_unit",Z174&lt;110),0.75,1)</f>
        <v>2</v>
      </c>
      <c r="BG174">
        <f>INT(POWER(((Constants!$G$2+$AZ174+$BA174+$BB174+$BD174)*$BC174)*$BF174, 1.05))+$AY174</f>
        <v>126</v>
      </c>
      <c r="BH174">
        <f>INT(POWER((((Constants!$G$1+$AZ174+$BA174+$BB174+$BD174)*($BC174))*$BE174),IF($E174="wagon",1,1.2)))+$AX174</f>
        <v>135</v>
      </c>
      <c r="BI174" s="14">
        <f t="shared" si="52"/>
        <v>98437.5</v>
      </c>
      <c r="BJ174" s="14">
        <f t="shared" si="53"/>
        <v>10968.75</v>
      </c>
      <c r="BQ174">
        <v>1</v>
      </c>
      <c r="BU174" t="str">
        <f>VLOOKUP(H174,Eras!$A$2:$C$10, 2, TRUE)</f>
        <v>dsl</v>
      </c>
      <c r="BV174" t="s">
        <v>328</v>
      </c>
      <c r="BW174" t="str">
        <f t="shared" si="54"/>
        <v>dsl_Express</v>
      </c>
      <c r="BX174" t="str">
        <f t="shared" si="55"/>
        <v>diesel_RAIL</v>
      </c>
      <c r="BY174" t="str">
        <f>VLOOKUP($BX174, Constants!$M:$N, 2, FALSE)</f>
        <v>{BLACK}Powered by: {GOLD}Diesel</v>
      </c>
      <c r="BZ174" t="str">
        <f t="shared" si="65"/>
        <v/>
      </c>
      <c r="CA174" t="s">
        <v>512</v>
      </c>
      <c r="CB174" t="str">
        <f t="shared" si="64"/>
        <v/>
      </c>
      <c r="CC174" t="str">
        <f t="shared" si="57"/>
        <v>{BLACK}Powered by: {GOLD}Diesel {}{SILVER}The Class 55 uses two Napier Deltic marine engines to create a high speed express diesel locomotive.</v>
      </c>
    </row>
    <row r="175" spans="1:81" x14ac:dyDescent="0.25">
      <c r="A175" t="s">
        <v>71</v>
      </c>
      <c r="B175" t="s">
        <v>234</v>
      </c>
      <c r="C175">
        <v>292</v>
      </c>
      <c r="D175">
        <v>82</v>
      </c>
      <c r="E175" t="s">
        <v>404</v>
      </c>
      <c r="F175" t="s">
        <v>273</v>
      </c>
      <c r="G175" t="s">
        <v>275</v>
      </c>
      <c r="H175">
        <v>1956</v>
      </c>
      <c r="I175">
        <v>1960</v>
      </c>
      <c r="J175">
        <v>2003</v>
      </c>
      <c r="K175">
        <v>2</v>
      </c>
      <c r="L175">
        <v>600</v>
      </c>
      <c r="U175">
        <f>32.5+25</f>
        <v>57.5</v>
      </c>
      <c r="W175">
        <v>5</v>
      </c>
      <c r="X175">
        <v>85</v>
      </c>
      <c r="Y175" s="3">
        <f t="shared" si="44"/>
        <v>0.14782608695652175</v>
      </c>
      <c r="Z175">
        <v>70</v>
      </c>
      <c r="AA175">
        <f t="shared" si="63"/>
        <v>112</v>
      </c>
      <c r="AD175">
        <v>17.37</v>
      </c>
      <c r="AE175">
        <v>17.37</v>
      </c>
      <c r="AG175">
        <v>3.77</v>
      </c>
      <c r="AH175" s="10">
        <v>51</v>
      </c>
      <c r="AI175" t="str">
        <f>CONCATENATE(VLOOKUP(AJ175, 'Voxel Sizes'!$A$2:$B$18,2,FALSE),"x",INT(AF175*15), "x", INT(AG175*15))</f>
        <v>164x0x56</v>
      </c>
      <c r="AJ175">
        <f t="shared" si="45"/>
        <v>10</v>
      </c>
      <c r="AL175" t="str">
        <f>CONCATENATE(VLOOKUP(AJ175,Constants!$A$2:$C$16,IF(AK175&lt;&gt;"", 3, 2), FALSE),IF(AK175&lt;&gt;"",CONCATENATE(",",VLOOKUP(AK175,$B:$AL,37,FALSE)),""))</f>
        <v>4,2,4</v>
      </c>
      <c r="AP175" t="s">
        <v>514</v>
      </c>
      <c r="AR175" t="s">
        <v>467</v>
      </c>
      <c r="AV175">
        <v>45</v>
      </c>
      <c r="AW175" s="15">
        <f t="shared" si="46"/>
        <v>55</v>
      </c>
      <c r="AX175">
        <v>-10</v>
      </c>
      <c r="AY175">
        <v>-15</v>
      </c>
      <c r="AZ175">
        <f t="shared" si="47"/>
        <v>14</v>
      </c>
      <c r="BA175">
        <f t="shared" si="48"/>
        <v>3</v>
      </c>
      <c r="BB175">
        <f t="shared" si="49"/>
        <v>4.25</v>
      </c>
      <c r="BC175" s="3">
        <f t="shared" si="50"/>
        <v>0.92533333333333334</v>
      </c>
      <c r="BD175">
        <f t="shared" si="51"/>
        <v>3.4000000000000004</v>
      </c>
      <c r="BE175">
        <f>VLOOKUP($F175,Constants!$I:$K, 2, FALSE)</f>
        <v>1</v>
      </c>
      <c r="BF175">
        <f>VLOOKUP($F175,Constants!$I:$K, 3, FALSE)*IF(AND(E175="multiple_unit",Z175&lt;110),0.75,1)</f>
        <v>1.5</v>
      </c>
      <c r="BG175">
        <f>INT(POWER(((Constants!$G$2+$AZ175+$BA175+$BB175+$BD175)*$BC175)*$BF175, 1.05))+$AY175</f>
        <v>34</v>
      </c>
      <c r="BH175">
        <f>INT(POWER((((Constants!$G$1+$AZ175+$BA175+$BB175+$BD175)*($BC175))*$BE175),IF($E175="wagon",1,1.2)))+$AX175</f>
        <v>65</v>
      </c>
      <c r="BI175" s="14">
        <f t="shared" si="52"/>
        <v>26562.5</v>
      </c>
      <c r="BJ175" s="14">
        <f t="shared" si="53"/>
        <v>5281.25</v>
      </c>
      <c r="BQ175">
        <v>2</v>
      </c>
      <c r="BT175" t="s">
        <v>283</v>
      </c>
      <c r="BU175" t="str">
        <f>VLOOKUP(H175,Eras!$A$2:$C$10, 2, TRUE)</f>
        <v>dsl</v>
      </c>
      <c r="BV175" t="s">
        <v>331</v>
      </c>
      <c r="BW175" t="str">
        <f t="shared" si="54"/>
        <v>dsl_DMU</v>
      </c>
      <c r="BX175" t="str">
        <f t="shared" si="55"/>
        <v>diesel_RAIL</v>
      </c>
      <c r="BY175" t="str">
        <f>VLOOKUP($BX175, Constants!$M:$N, 2, FALSE)</f>
        <v>{BLACK}Powered by: {GOLD}Diesel</v>
      </c>
      <c r="BZ175" t="str">
        <f t="shared" si="65"/>
        <v>{BLACK}Cars: {GOLD}2</v>
      </c>
      <c r="CA175" t="s">
        <v>513</v>
      </c>
      <c r="CB175" t="str">
        <f t="shared" si="64"/>
        <v/>
      </c>
      <c r="CC175" t="str">
        <f t="shared" si="57"/>
        <v>{BLACK}Powered by: {GOLD}Diesel {BLACK}Cars: {GOLD}2{}{SILVER}The Class 101 has a four speed gearbox with a manual shift. It was exceptionally long-lived, the final examples being retired in December 2003.</v>
      </c>
    </row>
    <row r="176" spans="1:81" x14ac:dyDescent="0.25">
      <c r="A176" t="s">
        <v>516</v>
      </c>
      <c r="B176" t="s">
        <v>167</v>
      </c>
      <c r="C176">
        <v>294</v>
      </c>
      <c r="D176">
        <v>83</v>
      </c>
      <c r="E176" t="s">
        <v>263</v>
      </c>
      <c r="F176" t="s">
        <v>273</v>
      </c>
      <c r="G176" t="s">
        <v>275</v>
      </c>
      <c r="H176">
        <v>1957</v>
      </c>
      <c r="I176">
        <v>1962</v>
      </c>
      <c r="J176">
        <v>2017</v>
      </c>
      <c r="L176">
        <v>1250</v>
      </c>
      <c r="U176">
        <v>108.4</v>
      </c>
      <c r="X176">
        <v>160</v>
      </c>
      <c r="Y176" s="3">
        <f t="shared" si="44"/>
        <v>0.14760147601476015</v>
      </c>
      <c r="Z176">
        <v>80</v>
      </c>
      <c r="AA176">
        <f t="shared" si="63"/>
        <v>128</v>
      </c>
      <c r="AD176">
        <v>17.3</v>
      </c>
      <c r="AE176">
        <v>17.3</v>
      </c>
      <c r="AG176">
        <v>3.84</v>
      </c>
      <c r="AH176" s="10">
        <v>0</v>
      </c>
      <c r="AI176" t="str">
        <f>CONCATENATE(VLOOKUP(AJ176, 'Voxel Sizes'!$A$2:$B$18,2,FALSE),"x",INT(AF176*15), "x", INT(AG176*15))</f>
        <v>164x0x57</v>
      </c>
      <c r="AJ176">
        <f t="shared" si="45"/>
        <v>10</v>
      </c>
      <c r="AL176" t="str">
        <f>CONCATENATE(VLOOKUP(AJ176,Constants!$A$2:$C$16,IF(AK176&lt;&gt;"", 3, 2), FALSE),IF(AK176&lt;&gt;"",CONCATENATE(",",VLOOKUP(AK176,$B:$AL,37,FALSE)),""))</f>
        <v>4,2,4</v>
      </c>
      <c r="AV176">
        <v>30</v>
      </c>
      <c r="AW176" s="15">
        <f t="shared" si="46"/>
        <v>68</v>
      </c>
      <c r="AZ176">
        <f t="shared" si="47"/>
        <v>16</v>
      </c>
      <c r="BA176">
        <f t="shared" si="48"/>
        <v>6.25</v>
      </c>
      <c r="BB176">
        <f t="shared" si="49"/>
        <v>8</v>
      </c>
      <c r="BC176" s="3">
        <f t="shared" si="50"/>
        <v>0.92400000000000004</v>
      </c>
      <c r="BD176">
        <f t="shared" si="51"/>
        <v>0</v>
      </c>
      <c r="BE176">
        <f>VLOOKUP($F176,Constants!$I:$K, 2, FALSE)</f>
        <v>1</v>
      </c>
      <c r="BF176">
        <f>VLOOKUP($F176,Constants!$I:$K, 3, FALSE)*IF(AND(E176="multiple_unit",Z176&lt;110),0.75,1)</f>
        <v>2</v>
      </c>
      <c r="BG176">
        <f>INT(POWER(((Constants!$G$2+$AZ176+$BA176+$BB176+$BD176)*$BC176)*$BF176, 1.05))+$AY176</f>
        <v>80</v>
      </c>
      <c r="BH176">
        <f>INT(POWER((((Constants!$G$1+$AZ176+$BA176+$BB176+$BD176)*($BC176))*$BE176),IF($E176="wagon",1,1.2)))+$AX176</f>
        <v>88</v>
      </c>
      <c r="BI176" s="14">
        <f t="shared" si="52"/>
        <v>62500</v>
      </c>
      <c r="BJ176" s="14">
        <f t="shared" si="53"/>
        <v>7150</v>
      </c>
      <c r="BQ176">
        <v>3</v>
      </c>
      <c r="BU176" t="str">
        <f>VLOOKUP(H176,Eras!$A$2:$C$10, 2, TRUE)</f>
        <v>dsl</v>
      </c>
      <c r="BV176" t="s">
        <v>329</v>
      </c>
      <c r="BW176" t="str">
        <f t="shared" si="54"/>
        <v>dsl_Freight</v>
      </c>
      <c r="BX176" t="str">
        <f t="shared" si="55"/>
        <v>diesel_RAIL</v>
      </c>
      <c r="BY176" t="str">
        <f>VLOOKUP($BX176, Constants!$M:$N, 2, FALSE)</f>
        <v>{BLACK}Powered by: {GOLD}Diesel</v>
      </c>
      <c r="BZ176" t="str">
        <f t="shared" si="65"/>
        <v/>
      </c>
      <c r="CA176" t="s">
        <v>1408</v>
      </c>
      <c r="CB176" t="str">
        <f t="shared" si="64"/>
        <v/>
      </c>
      <c r="CC176" t="str">
        <f t="shared" si="57"/>
        <v>{BLACK}Powered by: {GOLD}Diesel {}{SILVER}The Class 31 (Brush Type 2) was part of BR's pilot scheme to test replacing steam locomotives with diesel traction. It had many nicknames including "Ped", "Gargoyle" and "Gurgler"</v>
      </c>
    </row>
    <row r="177" spans="1:81" x14ac:dyDescent="0.25">
      <c r="A177" t="s">
        <v>46</v>
      </c>
      <c r="B177" t="s">
        <v>266</v>
      </c>
      <c r="C177">
        <v>296</v>
      </c>
      <c r="D177">
        <v>84</v>
      </c>
      <c r="E177" t="s">
        <v>263</v>
      </c>
      <c r="F177" t="s">
        <v>273</v>
      </c>
      <c r="G177" t="s">
        <v>275</v>
      </c>
      <c r="H177">
        <v>1957</v>
      </c>
      <c r="I177">
        <v>1968</v>
      </c>
      <c r="L177">
        <v>1000</v>
      </c>
      <c r="U177">
        <v>73</v>
      </c>
      <c r="X177">
        <v>186</v>
      </c>
      <c r="Y177" s="3">
        <f t="shared" si="44"/>
        <v>0.25479452054794521</v>
      </c>
      <c r="Z177">
        <v>75</v>
      </c>
      <c r="AA177">
        <f t="shared" si="63"/>
        <v>120</v>
      </c>
      <c r="AD177">
        <v>14.25</v>
      </c>
      <c r="AE177">
        <v>14.25</v>
      </c>
      <c r="AF177">
        <v>2.67</v>
      </c>
      <c r="AG177">
        <v>3.85</v>
      </c>
      <c r="AH177" s="10">
        <v>0</v>
      </c>
      <c r="AI177" t="str">
        <f>CONCATENATE(VLOOKUP(AJ177, 'Voxel Sizes'!$A$2:$B$18,2,FALSE),"x",INT(AF177*15), "x", INT(AG177*15))</f>
        <v>136x40x57</v>
      </c>
      <c r="AJ177">
        <f t="shared" si="45"/>
        <v>8</v>
      </c>
      <c r="AL177" t="str">
        <f>CONCATENATE(VLOOKUP(AJ177,Constants!$A$2:$C$16,IF(AK177&lt;&gt;"", 3, 2), FALSE),IF(AK177&lt;&gt;"",CONCATENATE(",",VLOOKUP(AK177,$B:$AL,37,FALSE)),""))</f>
        <v>2,4,2</v>
      </c>
      <c r="AV177">
        <v>33</v>
      </c>
      <c r="AW177" s="15" t="str">
        <f t="shared" si="46"/>
        <v/>
      </c>
      <c r="AZ177">
        <f t="shared" si="47"/>
        <v>15</v>
      </c>
      <c r="BA177">
        <f t="shared" si="48"/>
        <v>5</v>
      </c>
      <c r="BB177">
        <f t="shared" si="49"/>
        <v>9.3000000000000007</v>
      </c>
      <c r="BC177" s="3">
        <f t="shared" si="50"/>
        <v>0.92400000000000004</v>
      </c>
      <c r="BD177">
        <f t="shared" si="51"/>
        <v>0</v>
      </c>
      <c r="BE177">
        <f>VLOOKUP($F177,Constants!$I:$K, 2, FALSE)</f>
        <v>1</v>
      </c>
      <c r="BF177">
        <f>VLOOKUP($F177,Constants!$I:$K, 3, FALSE)*IF(AND(E177="multiple_unit",Z177&lt;110),0.75,1)</f>
        <v>2</v>
      </c>
      <c r="BG177">
        <f>INT(POWER(((Constants!$G$2+$AZ177+$BA177+$BB177+$BD177)*$BC177)*$BF177, 1.05))+$AY177</f>
        <v>78</v>
      </c>
      <c r="BH177">
        <f>INT(POWER((((Constants!$G$1+$AZ177+$BA177+$BB177+$BD177)*($BC177))*$BE177),IF($E177="wagon",1,1.2)))+$AX177</f>
        <v>85</v>
      </c>
      <c r="BI177" s="14">
        <f t="shared" si="52"/>
        <v>60937.5</v>
      </c>
      <c r="BJ177" s="14">
        <f t="shared" si="53"/>
        <v>6906.25</v>
      </c>
      <c r="BK177">
        <v>2</v>
      </c>
      <c r="BQ177">
        <v>4</v>
      </c>
      <c r="BU177" t="str">
        <f>VLOOKUP(H177,Eras!$A$2:$C$10, 2, TRUE)</f>
        <v>dsl</v>
      </c>
      <c r="BV177" t="s">
        <v>327</v>
      </c>
      <c r="BW177" t="str">
        <f t="shared" si="54"/>
        <v>dsl_Mixed Traffic</v>
      </c>
      <c r="BX177" t="str">
        <f t="shared" si="55"/>
        <v>diesel_RAIL</v>
      </c>
      <c r="BY177" t="str">
        <f>VLOOKUP($BX177, Constants!$M:$N, 2, FALSE)</f>
        <v>{BLACK}Powered by: {GOLD}Diesel</v>
      </c>
      <c r="BZ177" t="str">
        <f t="shared" si="65"/>
        <v/>
      </c>
      <c r="CA177" t="s">
        <v>357</v>
      </c>
      <c r="CB177" t="str">
        <f t="shared" si="64"/>
        <v/>
      </c>
      <c r="CC177" t="str">
        <f t="shared" si="57"/>
        <v>{BLACK}Powered by: {GOLD}Diesel {}{SILVER}The Class 20 (English Electric Type 1) is a diesel-electric locomotive designed for light freight duties. Due to its simple design it was more reliable than many contemporary locomotives, leading to a large number being built.</v>
      </c>
    </row>
    <row r="178" spans="1:81" x14ac:dyDescent="0.25">
      <c r="A178" t="s">
        <v>32</v>
      </c>
      <c r="B178" t="s">
        <v>168</v>
      </c>
      <c r="C178">
        <v>298</v>
      </c>
      <c r="D178">
        <v>85</v>
      </c>
      <c r="E178" t="s">
        <v>263</v>
      </c>
      <c r="F178" t="s">
        <v>1487</v>
      </c>
      <c r="G178" t="s">
        <v>275</v>
      </c>
      <c r="H178">
        <v>1958</v>
      </c>
      <c r="I178">
        <v>1961</v>
      </c>
      <c r="J178">
        <v>1966</v>
      </c>
      <c r="L178">
        <v>2750</v>
      </c>
      <c r="U178">
        <v>81</v>
      </c>
      <c r="V178" s="8">
        <v>45</v>
      </c>
      <c r="X178">
        <v>169</v>
      </c>
      <c r="Y178" s="3">
        <f t="shared" si="44"/>
        <v>0.13412698412698412</v>
      </c>
      <c r="Z178">
        <v>90</v>
      </c>
      <c r="AA178">
        <f t="shared" si="63"/>
        <v>144</v>
      </c>
      <c r="AD178">
        <v>20.74</v>
      </c>
      <c r="AE178">
        <v>14</v>
      </c>
      <c r="AH178" s="10">
        <v>0</v>
      </c>
      <c r="AI178" t="str">
        <f>CONCATENATE(VLOOKUP(AJ178, 'Voxel Sizes'!$A$2:$B$18,2,FALSE),"x",INT(AF178*15), "x", INT(AG178*15))</f>
        <v>136x0x0</v>
      </c>
      <c r="AJ178">
        <f t="shared" si="45"/>
        <v>8</v>
      </c>
      <c r="AK178" t="s">
        <v>636</v>
      </c>
      <c r="AL178" t="str">
        <f>CONCATENATE(VLOOKUP(AJ178,Constants!$A$2:$C$16,IF(AK178&lt;&gt;"", 3, 2), FALSE),IF(AK178&lt;&gt;"",CONCATENATE(",",VLOOKUP(AK178,$B:$AL,37,FALSE)),""))</f>
        <v>2,4,2,2,1,2</v>
      </c>
      <c r="AT178">
        <v>1</v>
      </c>
      <c r="AV178">
        <v>9</v>
      </c>
      <c r="AW178" s="15">
        <f t="shared" si="46"/>
        <v>16</v>
      </c>
      <c r="AZ178">
        <f t="shared" si="47"/>
        <v>18</v>
      </c>
      <c r="BA178">
        <f t="shared" si="48"/>
        <v>13.75</v>
      </c>
      <c r="BB178">
        <f t="shared" si="49"/>
        <v>8.4499999999999993</v>
      </c>
      <c r="BC178" s="3">
        <f t="shared" si="50"/>
        <v>0.92266666666666663</v>
      </c>
      <c r="BD178">
        <f t="shared" si="51"/>
        <v>0</v>
      </c>
      <c r="BE178">
        <f>VLOOKUP($F178,Constants!$I:$K, 2, FALSE)</f>
        <v>1</v>
      </c>
      <c r="BF178">
        <f>VLOOKUP($F178,Constants!$I:$K, 3, FALSE)*IF(AND(E178="multiple_unit",Z178&lt;110),0.75,1)</f>
        <v>2</v>
      </c>
      <c r="BG178">
        <f>INT(POWER(((Constants!$G$2+$AZ178+$BA178+$BB178+$BD178)*$BC178)*$BF178, 1.05))+$AY178</f>
        <v>104</v>
      </c>
      <c r="BH178">
        <f>INT(POWER((((Constants!$G$1+$AZ178+$BA178+$BB178+$BD178)*($BC178))*$BE178),IF($E178="wagon",1,1.2)))+$AX178</f>
        <v>111</v>
      </c>
      <c r="BI178" s="14">
        <f t="shared" si="52"/>
        <v>81250</v>
      </c>
      <c r="BJ178" s="14">
        <f t="shared" si="53"/>
        <v>9018.75</v>
      </c>
      <c r="BQ178">
        <v>5</v>
      </c>
      <c r="BU178" t="str">
        <f>VLOOKUP(H178,Eras!$A$2:$C$10, 2, TRUE)</f>
        <v>dsl</v>
      </c>
      <c r="BV178" t="s">
        <v>328</v>
      </c>
      <c r="BW178" t="str">
        <f t="shared" si="54"/>
        <v>dsl_Express</v>
      </c>
      <c r="BX178" t="str">
        <f t="shared" si="55"/>
        <v>gas_turbine_RAIL</v>
      </c>
      <c r="BY178" t="str">
        <f>VLOOKUP($BX178, Constants!$M:$N, 2, FALSE)</f>
        <v>{BLACK}Powered by: {GOLD}Gas Turbine</v>
      </c>
      <c r="BZ178" t="str">
        <f t="shared" si="65"/>
        <v/>
      </c>
      <c r="CA178" t="s">
        <v>515</v>
      </c>
      <c r="CB178" t="str">
        <f t="shared" si="64"/>
        <v/>
      </c>
      <c r="CC178" t="str">
        <f t="shared" si="57"/>
        <v>{BLACK}Powered by: {GOLD}Gas Turbine {}{SILVER}The GT3 was part of a programme to test gas turbine locomotives. It used a conventional steam driving wheel arrangement to keep the design simple.</v>
      </c>
    </row>
    <row r="179" spans="1:81" x14ac:dyDescent="0.25">
      <c r="A179" t="s">
        <v>36</v>
      </c>
      <c r="B179" t="s">
        <v>169</v>
      </c>
      <c r="C179">
        <v>300</v>
      </c>
      <c r="D179">
        <v>86</v>
      </c>
      <c r="E179" t="s">
        <v>263</v>
      </c>
      <c r="F179" t="s">
        <v>273</v>
      </c>
      <c r="G179" t="s">
        <v>275</v>
      </c>
      <c r="H179">
        <v>1958</v>
      </c>
      <c r="I179">
        <v>1961</v>
      </c>
      <c r="J179">
        <v>1972</v>
      </c>
      <c r="L179">
        <f>1035*2</f>
        <v>2070</v>
      </c>
      <c r="U179">
        <v>79.3</v>
      </c>
      <c r="X179">
        <v>214</v>
      </c>
      <c r="Y179" s="3">
        <f t="shared" si="44"/>
        <v>0.26986128625472888</v>
      </c>
      <c r="Z179">
        <v>90</v>
      </c>
      <c r="AA179">
        <f t="shared" si="63"/>
        <v>144</v>
      </c>
      <c r="AD179">
        <v>18.29</v>
      </c>
      <c r="AE179">
        <v>18.29</v>
      </c>
      <c r="AG179">
        <v>3.67</v>
      </c>
      <c r="AH179" s="10">
        <v>0</v>
      </c>
      <c r="AI179" t="str">
        <f>CONCATENATE(VLOOKUP(AJ179, 'Voxel Sizes'!$A$2:$B$18,2,FALSE),"x",INT(AF179*15), "x", INT(AG179*15))</f>
        <v>186x0x55</v>
      </c>
      <c r="AJ179">
        <f t="shared" si="45"/>
        <v>11</v>
      </c>
      <c r="AL179" t="str">
        <f>CONCATENATE(VLOOKUP(AJ179,Constants!$A$2:$C$16,IF(AK179&lt;&gt;"", 3, 2), FALSE),IF(AK179&lt;&gt;"",CONCATENATE(",",VLOOKUP(AK179,$B:$AL,37,FALSE)),""))</f>
        <v>4,3,4</v>
      </c>
      <c r="AV179">
        <v>32</v>
      </c>
      <c r="AW179" s="15">
        <f t="shared" si="46"/>
        <v>22</v>
      </c>
      <c r="AZ179">
        <f t="shared" si="47"/>
        <v>18</v>
      </c>
      <c r="BA179">
        <f t="shared" si="48"/>
        <v>10.35</v>
      </c>
      <c r="BB179">
        <f t="shared" si="49"/>
        <v>10.700000000000001</v>
      </c>
      <c r="BC179" s="3">
        <f t="shared" si="50"/>
        <v>0.92266666666666663</v>
      </c>
      <c r="BD179">
        <f t="shared" si="51"/>
        <v>0</v>
      </c>
      <c r="BE179">
        <f>VLOOKUP($F179,Constants!$I:$K, 2, FALSE)</f>
        <v>1</v>
      </c>
      <c r="BF179">
        <f>VLOOKUP($F179,Constants!$I:$K, 3, FALSE)*IF(AND(E179="multiple_unit",Z179&lt;110),0.75,1)</f>
        <v>2</v>
      </c>
      <c r="BG179">
        <f>INT(POWER(((Constants!$G$2+$AZ179+$BA179+$BB179+$BD179)*$BC179)*$BF179, 1.05))+$AY179</f>
        <v>101</v>
      </c>
      <c r="BH179">
        <f>INT(POWER((((Constants!$G$1+$AZ179+$BA179+$BB179+$BD179)*($BC179))*$BE179),IF($E179="wagon",1,1.2)))+$AX179</f>
        <v>108</v>
      </c>
      <c r="BI179" s="14">
        <f t="shared" si="52"/>
        <v>78906.25</v>
      </c>
      <c r="BJ179" s="14">
        <f t="shared" si="53"/>
        <v>8775</v>
      </c>
      <c r="BQ179">
        <v>6</v>
      </c>
      <c r="BU179" t="str">
        <f>VLOOKUP(H179,Eras!$A$2:$C$10, 2, TRUE)</f>
        <v>dsl</v>
      </c>
      <c r="BV179" t="s">
        <v>377</v>
      </c>
      <c r="BW179" t="str">
        <f t="shared" si="54"/>
        <v>dsl_Passenger</v>
      </c>
      <c r="BX179" t="str">
        <f t="shared" si="55"/>
        <v>diesel_RAIL</v>
      </c>
      <c r="BY179" t="str">
        <f>VLOOKUP($BX179, Constants!$M:$N, 2, FALSE)</f>
        <v>{BLACK}Powered by: {GOLD}Diesel</v>
      </c>
      <c r="BZ179" t="str">
        <f t="shared" si="65"/>
        <v/>
      </c>
      <c r="CA179" t="s">
        <v>517</v>
      </c>
      <c r="CB179" t="str">
        <f t="shared" si="64"/>
        <v/>
      </c>
      <c r="CC179" t="str">
        <f t="shared" si="57"/>
        <v>{BLACK}Powered by: {GOLD}Diesel {}{SILVER}The Class 42 is based on the German V200 design, scaled down to fit the smaller British loading gauge and built under licence by British manufacturers.</v>
      </c>
    </row>
    <row r="180" spans="1:81" x14ac:dyDescent="0.25">
      <c r="A180" t="s">
        <v>41</v>
      </c>
      <c r="B180" t="s">
        <v>519</v>
      </c>
      <c r="C180">
        <v>302</v>
      </c>
      <c r="D180">
        <v>87</v>
      </c>
      <c r="E180" t="s">
        <v>263</v>
      </c>
      <c r="F180" t="s">
        <v>273</v>
      </c>
      <c r="G180" t="s">
        <v>275</v>
      </c>
      <c r="H180">
        <v>1958</v>
      </c>
      <c r="I180">
        <v>1962</v>
      </c>
      <c r="J180">
        <v>1985</v>
      </c>
      <c r="L180">
        <v>2000</v>
      </c>
      <c r="U180">
        <v>135</v>
      </c>
      <c r="X180">
        <v>231</v>
      </c>
      <c r="Y180" s="3">
        <f t="shared" si="44"/>
        <v>0.1711111111111111</v>
      </c>
      <c r="Z180">
        <v>90</v>
      </c>
      <c r="AA180">
        <f t="shared" si="63"/>
        <v>144</v>
      </c>
      <c r="AD180">
        <v>21.18</v>
      </c>
      <c r="AE180">
        <v>21.18</v>
      </c>
      <c r="AG180">
        <v>3.91</v>
      </c>
      <c r="AH180" s="10">
        <v>0</v>
      </c>
      <c r="AI180" t="str">
        <f>CONCATENATE(VLOOKUP(AJ180, 'Voxel Sizes'!$A$2:$B$18,2,FALSE),"x",INT(AF180*15), "x", INT(AG180*15))</f>
        <v>198x0x58</v>
      </c>
      <c r="AJ180">
        <f t="shared" si="45"/>
        <v>12</v>
      </c>
      <c r="AL180" t="str">
        <f>CONCATENATE(VLOOKUP(AJ180,Constants!$A$2:$C$16,IF(AK180&lt;&gt;"", 3, 2), FALSE),IF(AK180&lt;&gt;"",CONCATENATE(",",VLOOKUP(AK180,$B:$AL,37,FALSE)),""))</f>
        <v>4,4,4</v>
      </c>
      <c r="AV180">
        <v>29</v>
      </c>
      <c r="AW180" s="15">
        <f t="shared" si="46"/>
        <v>35</v>
      </c>
      <c r="AZ180">
        <f t="shared" si="47"/>
        <v>18</v>
      </c>
      <c r="BA180">
        <f t="shared" si="48"/>
        <v>10</v>
      </c>
      <c r="BB180">
        <f t="shared" si="49"/>
        <v>11.55</v>
      </c>
      <c r="BC180" s="3">
        <f t="shared" si="50"/>
        <v>0.92266666666666663</v>
      </c>
      <c r="BD180">
        <f t="shared" si="51"/>
        <v>0</v>
      </c>
      <c r="BE180">
        <f>VLOOKUP($F180,Constants!$I:$K, 2, FALSE)</f>
        <v>1</v>
      </c>
      <c r="BF180">
        <f>VLOOKUP($F180,Constants!$I:$K, 3, FALSE)*IF(AND(E180="multiple_unit",Z180&lt;110),0.75,1)</f>
        <v>2</v>
      </c>
      <c r="BG180">
        <f>INT(POWER(((Constants!$G$2+$AZ180+$BA180+$BB180+$BD180)*$BC180)*$BF180, 1.05))+$AY180</f>
        <v>102</v>
      </c>
      <c r="BH180">
        <f>INT(POWER((((Constants!$G$1+$AZ180+$BA180+$BB180+$BD180)*($BC180))*$BE180),IF($E180="wagon",1,1.2)))+$AX180</f>
        <v>110</v>
      </c>
      <c r="BI180" s="14">
        <f t="shared" si="52"/>
        <v>79687.5</v>
      </c>
      <c r="BJ180" s="14">
        <f t="shared" si="53"/>
        <v>8937.5</v>
      </c>
      <c r="BQ180">
        <v>7</v>
      </c>
      <c r="BU180" t="str">
        <f>VLOOKUP(H180,Eras!$A$2:$C$10, 2, TRUE)</f>
        <v>dsl</v>
      </c>
      <c r="BV180" t="s">
        <v>328</v>
      </c>
      <c r="BW180" t="str">
        <f t="shared" si="54"/>
        <v>dsl_Express</v>
      </c>
      <c r="BX180" t="str">
        <f t="shared" si="55"/>
        <v>diesel_RAIL</v>
      </c>
      <c r="BY180" t="str">
        <f>VLOOKUP($BX180, Constants!$M:$N, 2, FALSE)</f>
        <v>{BLACK}Powered by: {GOLD}Diesel</v>
      </c>
      <c r="BZ180" t="str">
        <f t="shared" si="65"/>
        <v/>
      </c>
      <c r="CA180" t="s">
        <v>518</v>
      </c>
      <c r="CB180" t="str">
        <f t="shared" si="64"/>
        <v/>
      </c>
      <c r="CC180" t="str">
        <f t="shared" si="57"/>
        <v>{BLACK}Powered by: {GOLD}Diesel {}{SILVER}Initially unwanted due to the small improvement in performance over the Class 7 Britannia, the Class 40 (English Electric Type 4) found its home on the West Coast Main Line.</v>
      </c>
    </row>
    <row r="181" spans="1:81" x14ac:dyDescent="0.25">
      <c r="A181" t="s">
        <v>42</v>
      </c>
      <c r="B181" t="s">
        <v>298</v>
      </c>
      <c r="C181">
        <v>304</v>
      </c>
      <c r="D181">
        <v>88</v>
      </c>
      <c r="E181" t="s">
        <v>263</v>
      </c>
      <c r="F181" t="s">
        <v>273</v>
      </c>
      <c r="G181" t="s">
        <v>275</v>
      </c>
      <c r="H181">
        <v>1958</v>
      </c>
      <c r="I181">
        <v>1959</v>
      </c>
      <c r="J181">
        <v>1968</v>
      </c>
      <c r="L181">
        <v>1200</v>
      </c>
      <c r="U181">
        <v>98.6</v>
      </c>
      <c r="X181">
        <v>222</v>
      </c>
      <c r="Y181" s="3">
        <f t="shared" si="44"/>
        <v>0.22515212981744423</v>
      </c>
      <c r="Z181">
        <v>75</v>
      </c>
      <c r="AA181">
        <f t="shared" si="63"/>
        <v>120</v>
      </c>
      <c r="AD181">
        <v>17.260000000000002</v>
      </c>
      <c r="AE181">
        <v>17.260000000000002</v>
      </c>
      <c r="AG181">
        <v>3.7</v>
      </c>
      <c r="AH181" s="10">
        <v>0</v>
      </c>
      <c r="AI181" t="str">
        <f>CONCATENATE(VLOOKUP(AJ181, 'Voxel Sizes'!$A$2:$B$18,2,FALSE),"x",INT(AF181*15), "x", INT(AG181*15))</f>
        <v>164x0x55</v>
      </c>
      <c r="AJ181">
        <f t="shared" si="45"/>
        <v>10</v>
      </c>
      <c r="AL181" t="str">
        <f>CONCATENATE(VLOOKUP(AJ181,Constants!$A$2:$C$16,IF(AK181&lt;&gt;"", 3, 2), FALSE),IF(AK181&lt;&gt;"",CONCATENATE(",",VLOOKUP(AK181,$B:$AL,37,FALSE)),""))</f>
        <v>4,2,4</v>
      </c>
      <c r="AV181">
        <v>21</v>
      </c>
      <c r="AW181" s="15">
        <f t="shared" si="46"/>
        <v>18</v>
      </c>
      <c r="AZ181">
        <f t="shared" si="47"/>
        <v>15</v>
      </c>
      <c r="BA181">
        <f t="shared" si="48"/>
        <v>6</v>
      </c>
      <c r="BB181">
        <f t="shared" si="49"/>
        <v>11.100000000000001</v>
      </c>
      <c r="BC181" s="3">
        <f t="shared" si="50"/>
        <v>0.92266666666666663</v>
      </c>
      <c r="BD181">
        <f t="shared" si="51"/>
        <v>0</v>
      </c>
      <c r="BE181">
        <f>VLOOKUP($F181,Constants!$I:$K, 2, FALSE)</f>
        <v>1</v>
      </c>
      <c r="BF181">
        <f>VLOOKUP($F181,Constants!$I:$K, 3, FALSE)*IF(AND(E181="multiple_unit",Z181&lt;110),0.75,1)</f>
        <v>2</v>
      </c>
      <c r="BG181">
        <f>INT(POWER(((Constants!$G$2+$AZ181+$BA181+$BB181+$BD181)*$BC181)*$BF181, 1.05))+$AY181</f>
        <v>84</v>
      </c>
      <c r="BH181">
        <f>INT(POWER((((Constants!$G$1+$AZ181+$BA181+$BB181+$BD181)*($BC181))*$BE181),IF($E181="wagon",1,1.2)))+$AX181</f>
        <v>92</v>
      </c>
      <c r="BI181" s="14">
        <f t="shared" si="52"/>
        <v>65625</v>
      </c>
      <c r="BJ181" s="14">
        <f t="shared" si="53"/>
        <v>7475</v>
      </c>
      <c r="BQ181">
        <v>8</v>
      </c>
      <c r="BU181" t="str">
        <f>VLOOKUP(H181,Eras!$A$2:$C$10, 2, TRUE)</f>
        <v>dsl</v>
      </c>
      <c r="BV181" t="s">
        <v>327</v>
      </c>
      <c r="BW181" t="str">
        <f t="shared" si="54"/>
        <v>dsl_Mixed Traffic</v>
      </c>
      <c r="BX181" t="str">
        <f t="shared" si="55"/>
        <v>diesel_RAIL</v>
      </c>
      <c r="BY181" t="str">
        <f>VLOOKUP($BX181, Constants!$M:$N, 2, FALSE)</f>
        <v>{BLACK}Powered by: {GOLD}Diesel</v>
      </c>
      <c r="BZ181" t="str">
        <f t="shared" si="65"/>
        <v/>
      </c>
      <c r="CA181" t="s">
        <v>358</v>
      </c>
      <c r="CB181" t="str">
        <f t="shared" si="64"/>
        <v/>
      </c>
      <c r="CC181" t="str">
        <f t="shared" si="57"/>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1" x14ac:dyDescent="0.25">
      <c r="A182" t="s">
        <v>64</v>
      </c>
      <c r="B182" t="s">
        <v>216</v>
      </c>
      <c r="C182">
        <v>306</v>
      </c>
      <c r="D182">
        <v>89</v>
      </c>
      <c r="E182" t="s">
        <v>263</v>
      </c>
      <c r="F182" t="s">
        <v>296</v>
      </c>
      <c r="G182" t="s">
        <v>303</v>
      </c>
      <c r="H182">
        <v>1958</v>
      </c>
      <c r="I182">
        <v>1960</v>
      </c>
      <c r="J182">
        <v>1977</v>
      </c>
      <c r="L182">
        <v>2300</v>
      </c>
      <c r="U182">
        <v>78.239999999999995</v>
      </c>
      <c r="X182">
        <v>195</v>
      </c>
      <c r="Y182" s="3">
        <f t="shared" si="44"/>
        <v>0.24923312883435583</v>
      </c>
      <c r="Z182">
        <v>90</v>
      </c>
      <c r="AA182">
        <f t="shared" si="63"/>
        <v>144</v>
      </c>
      <c r="AD182">
        <v>16.36</v>
      </c>
      <c r="AE182">
        <v>16.36</v>
      </c>
      <c r="AH182" s="10">
        <v>0</v>
      </c>
      <c r="AI182" t="str">
        <f>CONCATENATE(VLOOKUP(AJ182, 'Voxel Sizes'!$A$2:$B$18,2,FALSE),"x",INT(AF182*15), "x", INT(AG182*15))</f>
        <v>164x0x0</v>
      </c>
      <c r="AJ182">
        <f t="shared" si="45"/>
        <v>10</v>
      </c>
      <c r="AL182" t="str">
        <f>CONCATENATE(VLOOKUP(AJ182,Constants!$A$2:$C$16,IF(AK182&lt;&gt;"", 3, 2), FALSE),IF(AK182&lt;&gt;"",CONCATENATE(",",VLOOKUP(AK182,$B:$AL,37,FALSE)),""))</f>
        <v>4,2,4</v>
      </c>
      <c r="AV182">
        <v>32</v>
      </c>
      <c r="AW182" s="15">
        <f t="shared" si="46"/>
        <v>27</v>
      </c>
      <c r="AZ182">
        <f t="shared" si="47"/>
        <v>18</v>
      </c>
      <c r="BA182">
        <f t="shared" si="48"/>
        <v>11.5</v>
      </c>
      <c r="BB182">
        <f t="shared" si="49"/>
        <v>9.75</v>
      </c>
      <c r="BC182" s="3">
        <f t="shared" si="50"/>
        <v>0.92266666666666663</v>
      </c>
      <c r="BD182">
        <f t="shared" si="51"/>
        <v>0</v>
      </c>
      <c r="BE182">
        <f>VLOOKUP($F182,Constants!$I:$K, 2, FALSE)</f>
        <v>0.85</v>
      </c>
      <c r="BF182">
        <f>VLOOKUP($F182,Constants!$I:$K, 3, FALSE)*IF(AND(E182="multiple_unit",Z182&lt;110),0.75,1)</f>
        <v>2.2999999999999998</v>
      </c>
      <c r="BG182">
        <f>INT(POWER(((Constants!$G$2+$AZ182+$BA182+$BB182+$BD182)*$BC182)*$BF182, 1.05))+$AY182</f>
        <v>117</v>
      </c>
      <c r="BH182">
        <f>INT(POWER((((Constants!$G$1+$AZ182+$BA182+$BB182+$BD182)*($BC182))*$BE182),IF($E182="wagon",1,1.2)))+$AX182</f>
        <v>90</v>
      </c>
      <c r="BI182" s="14">
        <f t="shared" si="52"/>
        <v>91406.25</v>
      </c>
      <c r="BJ182" s="14">
        <f t="shared" si="53"/>
        <v>7312.5</v>
      </c>
      <c r="BQ182">
        <v>9</v>
      </c>
      <c r="BU182" t="str">
        <f>VLOOKUP(H182,Eras!$A$2:$C$10, 2, TRUE)</f>
        <v>dsl</v>
      </c>
      <c r="BV182" t="s">
        <v>337</v>
      </c>
      <c r="BW182" t="str">
        <f t="shared" si="54"/>
        <v>dsl_MT (Electric)</v>
      </c>
      <c r="BX182" t="str">
        <f t="shared" si="55"/>
        <v>electric_THIRD_RAIL</v>
      </c>
      <c r="BY182" t="str">
        <f>VLOOKUP($BX182, Constants!$M:$N, 2, FALSE)</f>
        <v>{BLACK}Powered by: {GOLD}750V DC</v>
      </c>
      <c r="BZ182" t="str">
        <f t="shared" si="65"/>
        <v/>
      </c>
      <c r="CA182" t="s">
        <v>359</v>
      </c>
      <c r="CB182" t="str">
        <f t="shared" si="64"/>
        <v/>
      </c>
      <c r="CC182" t="str">
        <f t="shared" si="57"/>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1" x14ac:dyDescent="0.25">
      <c r="A183" t="s">
        <v>533</v>
      </c>
      <c r="B183" t="s">
        <v>535</v>
      </c>
      <c r="C183">
        <v>308</v>
      </c>
      <c r="D183">
        <v>90</v>
      </c>
      <c r="E183" t="s">
        <v>263</v>
      </c>
      <c r="F183" t="s">
        <v>273</v>
      </c>
      <c r="G183" t="s">
        <v>275</v>
      </c>
      <c r="H183">
        <v>1958</v>
      </c>
      <c r="I183">
        <v>1959</v>
      </c>
      <c r="J183">
        <v>1994</v>
      </c>
      <c r="L183">
        <v>1160</v>
      </c>
      <c r="U183">
        <v>78.7</v>
      </c>
      <c r="X183">
        <v>187</v>
      </c>
      <c r="Y183" s="3">
        <f t="shared" si="44"/>
        <v>0.23761118170266837</v>
      </c>
      <c r="Z183">
        <v>80</v>
      </c>
      <c r="AA183">
        <f t="shared" si="63"/>
        <v>128</v>
      </c>
      <c r="AD183">
        <v>15.47</v>
      </c>
      <c r="AE183">
        <v>15.47</v>
      </c>
      <c r="AG183">
        <v>3.86</v>
      </c>
      <c r="AH183" s="10">
        <v>0</v>
      </c>
      <c r="AI183" t="str">
        <f>CONCATENATE(VLOOKUP(AJ183, 'Voxel Sizes'!$A$2:$B$18,2,FALSE),"x",INT(AF183*15), "x", INT(AG183*15))</f>
        <v>152x0x57</v>
      </c>
      <c r="AJ183">
        <f t="shared" si="45"/>
        <v>9</v>
      </c>
      <c r="AL183" t="str">
        <f>CONCATENATE(VLOOKUP(AJ183,Constants!$A$2:$C$16,IF(AK183&lt;&gt;"", 3, 2), FALSE),IF(AK183&lt;&gt;"",CONCATENATE(",",VLOOKUP(AK183,$B:$AL,37,FALSE)),""))</f>
        <v>2,5,2</v>
      </c>
      <c r="AV183">
        <v>30</v>
      </c>
      <c r="AW183" s="15">
        <f t="shared" si="46"/>
        <v>44</v>
      </c>
      <c r="AZ183">
        <f t="shared" si="47"/>
        <v>16</v>
      </c>
      <c r="BA183">
        <f t="shared" si="48"/>
        <v>5.8</v>
      </c>
      <c r="BB183">
        <f t="shared" si="49"/>
        <v>9.3500000000000014</v>
      </c>
      <c r="BC183" s="3">
        <f t="shared" si="50"/>
        <v>0.92266666666666663</v>
      </c>
      <c r="BD183">
        <f t="shared" si="51"/>
        <v>0</v>
      </c>
      <c r="BE183">
        <f>VLOOKUP($F183,Constants!$I:$K, 2, FALSE)</f>
        <v>1</v>
      </c>
      <c r="BF183">
        <f>VLOOKUP($F183,Constants!$I:$K, 3, FALSE)*IF(AND(E183="multiple_unit",Z183&lt;110),0.75,1)</f>
        <v>2</v>
      </c>
      <c r="BG183">
        <f>INT(POWER(((Constants!$G$2+$AZ183+$BA183+$BB183+$BD183)*$BC183)*$BF183, 1.05))+$AY183</f>
        <v>82</v>
      </c>
      <c r="BH183">
        <f>INT(POWER((((Constants!$G$1+$AZ183+$BA183+$BB183+$BD183)*($BC183))*$BE183),IF($E183="wagon",1,1.2)))+$AX183</f>
        <v>90</v>
      </c>
      <c r="BI183" s="14">
        <f t="shared" si="52"/>
        <v>64062.5</v>
      </c>
      <c r="BJ183" s="14">
        <f t="shared" si="53"/>
        <v>7312.5</v>
      </c>
      <c r="BQ183">
        <v>10</v>
      </c>
      <c r="BU183" t="str">
        <f>VLOOKUP(H183,Eras!$A$2:$C$10, 2, TRUE)</f>
        <v>dsl</v>
      </c>
      <c r="BV183" t="s">
        <v>327</v>
      </c>
      <c r="BW183" t="str">
        <f t="shared" si="54"/>
        <v>dsl_Mixed Traffic</v>
      </c>
      <c r="BX183" t="str">
        <f t="shared" si="55"/>
        <v>diesel_RAIL</v>
      </c>
      <c r="BY183" t="str">
        <f>VLOOKUP($BX183, Constants!$M:$N, 2, FALSE)</f>
        <v>{BLACK}Powered by: {GOLD}Diesel</v>
      </c>
      <c r="BZ183" t="str">
        <f t="shared" si="65"/>
        <v/>
      </c>
      <c r="CA183" t="s">
        <v>534</v>
      </c>
      <c r="CB183" t="str">
        <f t="shared" si="64"/>
        <v/>
      </c>
      <c r="CC183" t="str">
        <f t="shared" si="57"/>
        <v>{BLACK}Powered by: {GOLD}Diesel {}{SILVER}The Class 26 "Teacup" (so named for its idling sound) was an early Type 2 locomotive, small diesels with engine output between 800 and 1,250 hp.</v>
      </c>
    </row>
    <row r="184" spans="1:81" x14ac:dyDescent="0.25">
      <c r="A184" t="s">
        <v>39</v>
      </c>
      <c r="B184" t="s">
        <v>267</v>
      </c>
      <c r="C184">
        <v>310</v>
      </c>
      <c r="D184">
        <v>91</v>
      </c>
      <c r="E184" t="s">
        <v>263</v>
      </c>
      <c r="F184" t="s">
        <v>273</v>
      </c>
      <c r="G184" t="s">
        <v>275</v>
      </c>
      <c r="H184">
        <v>1959</v>
      </c>
      <c r="I184">
        <v>1959</v>
      </c>
      <c r="J184">
        <v>1971</v>
      </c>
      <c r="L184">
        <v>1100</v>
      </c>
      <c r="U184">
        <v>75.2</v>
      </c>
      <c r="X184">
        <v>209</v>
      </c>
      <c r="Y184" s="3">
        <f t="shared" si="44"/>
        <v>0.27792553191489361</v>
      </c>
      <c r="Z184">
        <v>75</v>
      </c>
      <c r="AA184">
        <f t="shared" si="63"/>
        <v>120</v>
      </c>
      <c r="AD184">
        <v>16</v>
      </c>
      <c r="AE184">
        <v>16</v>
      </c>
      <c r="AG184">
        <v>3.86</v>
      </c>
      <c r="AH184" s="10">
        <v>0</v>
      </c>
      <c r="AI184" t="str">
        <f>CONCATENATE(VLOOKUP(AJ184, 'Voxel Sizes'!$A$2:$B$18,2,FALSE),"x",INT(AF184*15), "x", INT(AG184*15))</f>
        <v>152x0x57</v>
      </c>
      <c r="AJ184">
        <f t="shared" si="45"/>
        <v>9</v>
      </c>
      <c r="AL184" t="str">
        <f>CONCATENATE(VLOOKUP(AJ184,Constants!$A$2:$C$16,IF(AK184&lt;&gt;"", 3, 2), FALSE),IF(AK184&lt;&gt;"",CONCATENATE(",",VLOOKUP(AK184,$B:$AL,37,FALSE)),""))</f>
        <v>2,5,2</v>
      </c>
      <c r="AV184">
        <v>26</v>
      </c>
      <c r="AW184" s="15">
        <f t="shared" si="46"/>
        <v>20</v>
      </c>
      <c r="AZ184">
        <f t="shared" si="47"/>
        <v>15</v>
      </c>
      <c r="BA184">
        <f t="shared" si="48"/>
        <v>5.5</v>
      </c>
      <c r="BB184">
        <f t="shared" si="49"/>
        <v>10.45</v>
      </c>
      <c r="BC184" s="3">
        <f t="shared" si="50"/>
        <v>0.92133333333333334</v>
      </c>
      <c r="BD184">
        <f t="shared" si="51"/>
        <v>0</v>
      </c>
      <c r="BE184">
        <f>VLOOKUP($F184,Constants!$I:$K, 2, FALSE)</f>
        <v>1</v>
      </c>
      <c r="BF184">
        <f>VLOOKUP($F184,Constants!$I:$K, 3, FALSE)*IF(AND(E184="multiple_unit",Z184&lt;110),0.75,1)</f>
        <v>2</v>
      </c>
      <c r="BG184">
        <f>INT(POWER(((Constants!$G$2+$AZ184+$BA184+$BB184+$BD184)*$BC184)*$BF184, 1.05))+$AY184</f>
        <v>81</v>
      </c>
      <c r="BH184">
        <f>INT(POWER((((Constants!$G$1+$AZ184+$BA184+$BB184+$BD184)*($BC184))*$BE184),IF($E184="wagon",1,1.2)))+$AX184</f>
        <v>89</v>
      </c>
      <c r="BI184" s="14">
        <f t="shared" si="52"/>
        <v>63281.25</v>
      </c>
      <c r="BJ184" s="14">
        <f t="shared" si="53"/>
        <v>7231.25</v>
      </c>
      <c r="BQ184">
        <v>11</v>
      </c>
      <c r="BU184" t="str">
        <f>VLOOKUP(H184,Eras!$A$2:$C$10, 2, TRUE)</f>
        <v>dsl</v>
      </c>
      <c r="BV184" t="s">
        <v>327</v>
      </c>
      <c r="BW184" t="str">
        <f t="shared" si="54"/>
        <v>dsl_Mixed Traffic</v>
      </c>
      <c r="BX184" t="str">
        <f t="shared" si="55"/>
        <v>diesel_RAIL</v>
      </c>
      <c r="BY184" t="str">
        <f>VLOOKUP($BX184, Constants!$M:$N, 2, FALSE)</f>
        <v>{BLACK}Powered by: {GOLD}Diesel</v>
      </c>
      <c r="BZ184" t="str">
        <f t="shared" si="65"/>
        <v/>
      </c>
      <c r="CA184" t="s">
        <v>367</v>
      </c>
      <c r="CB184" t="str">
        <f t="shared" si="64"/>
        <v/>
      </c>
      <c r="CC184" t="str">
        <f t="shared" si="57"/>
        <v>{BLACK}Powered by: {GOLD}Diesel {}{SILVER}The Class 23 uses a smaller version of the Napier Deltic engine fitted to the Class 55, leading to its nickname of "Baby Deltic".</v>
      </c>
    </row>
    <row r="185" spans="1:81" x14ac:dyDescent="0.25">
      <c r="A185" t="s">
        <v>59</v>
      </c>
      <c r="B185" t="s">
        <v>217</v>
      </c>
      <c r="C185">
        <v>312</v>
      </c>
      <c r="D185">
        <v>92</v>
      </c>
      <c r="E185" t="s">
        <v>263</v>
      </c>
      <c r="F185" t="s">
        <v>296</v>
      </c>
      <c r="G185" t="s">
        <v>297</v>
      </c>
      <c r="H185">
        <v>1959</v>
      </c>
      <c r="I185">
        <v>1964</v>
      </c>
      <c r="J185">
        <v>1991</v>
      </c>
      <c r="L185">
        <f>4*847</f>
        <v>3388</v>
      </c>
      <c r="U185">
        <v>80.900000000000006</v>
      </c>
      <c r="X185">
        <v>222</v>
      </c>
      <c r="Y185" s="3">
        <f t="shared" si="44"/>
        <v>0.27441285537700866</v>
      </c>
      <c r="Z185">
        <v>100</v>
      </c>
      <c r="AA185">
        <f t="shared" si="63"/>
        <v>160</v>
      </c>
      <c r="AD185">
        <v>17.22</v>
      </c>
      <c r="AE185">
        <v>17.22</v>
      </c>
      <c r="AG185">
        <v>3.77</v>
      </c>
      <c r="AH185" s="10">
        <v>0</v>
      </c>
      <c r="AI185" t="str">
        <f>CONCATENATE(VLOOKUP(AJ185, 'Voxel Sizes'!$A$2:$B$18,2,FALSE),"x",INT(AF185*15), "x", INT(AG185*15))</f>
        <v>164x0x56</v>
      </c>
      <c r="AJ185">
        <f t="shared" si="45"/>
        <v>10</v>
      </c>
      <c r="AL185" t="str">
        <f>CONCATENATE(VLOOKUP(AJ185,Constants!$A$2:$C$16,IF(AK185&lt;&gt;"", 3, 2), FALSE),IF(AK185&lt;&gt;"",CONCATENATE(",",VLOOKUP(AK185,$B:$AL,37,FALSE)),""))</f>
        <v>4,2,4</v>
      </c>
      <c r="AV185">
        <v>27</v>
      </c>
      <c r="AW185" s="15">
        <f t="shared" si="46"/>
        <v>40</v>
      </c>
      <c r="AZ185">
        <f t="shared" si="47"/>
        <v>20</v>
      </c>
      <c r="BA185">
        <f t="shared" si="48"/>
        <v>16.939999999999998</v>
      </c>
      <c r="BB185">
        <f t="shared" si="49"/>
        <v>11.100000000000001</v>
      </c>
      <c r="BC185" s="3">
        <f t="shared" si="50"/>
        <v>0.92133333333333334</v>
      </c>
      <c r="BD185">
        <f t="shared" si="51"/>
        <v>0</v>
      </c>
      <c r="BE185">
        <f>VLOOKUP($F185,Constants!$I:$K, 2, FALSE)</f>
        <v>0.85</v>
      </c>
      <c r="BF185">
        <f>VLOOKUP($F185,Constants!$I:$K, 3, FALSE)*IF(AND(E185="multiple_unit",Z185&lt;110),0.75,1)</f>
        <v>2.2999999999999998</v>
      </c>
      <c r="BG185">
        <f>INT(POWER(((Constants!$G$2+$AZ185+$BA185+$BB185+$BD185)*$BC185)*$BF185, 1.05))+$AY185</f>
        <v>142</v>
      </c>
      <c r="BH185">
        <f>INT(POWER((((Constants!$G$1+$AZ185+$BA185+$BB185+$BD185)*($BC185))*$BE185),IF($E185="wagon",1,1.2)))+$AX185</f>
        <v>107</v>
      </c>
      <c r="BI185" s="14">
        <f t="shared" si="52"/>
        <v>110937.5</v>
      </c>
      <c r="BJ185" s="14">
        <f t="shared" si="53"/>
        <v>8693.75</v>
      </c>
      <c r="BQ185">
        <v>12</v>
      </c>
      <c r="BU185" t="str">
        <f>VLOOKUP(H185,Eras!$A$2:$C$10, 2, TRUE)</f>
        <v>dsl</v>
      </c>
      <c r="BV185" t="s">
        <v>338</v>
      </c>
      <c r="BW185" t="str">
        <f t="shared" si="54"/>
        <v>dsl_Express (Electric)</v>
      </c>
      <c r="BX185" t="str">
        <f t="shared" si="55"/>
        <v>electric_ELRL</v>
      </c>
      <c r="BY185" t="str">
        <f>VLOOKUP($BX185, Constants!$M:$N, 2, FALSE)</f>
        <v>{BLACK}Powered by: {GOLD}25kV AC</v>
      </c>
      <c r="BZ185" t="str">
        <f t="shared" si="65"/>
        <v/>
      </c>
      <c r="CA185" t="s">
        <v>520</v>
      </c>
      <c r="CB185" t="str">
        <f t="shared" si="64"/>
        <v/>
      </c>
      <c r="CC185" t="str">
        <f t="shared" si="57"/>
        <v>{BLACK}Powered by: {GOLD}25kV AC {}{SILVER}Built by Associated Electrical Industries, the Class 81 was British Railways' first AC electric locomotive. Two types were envisioned, but all delivered were geared for 100mph passenger and express freight usage.</v>
      </c>
    </row>
    <row r="186" spans="1:81" x14ac:dyDescent="0.25">
      <c r="A186" t="s">
        <v>40</v>
      </c>
      <c r="B186" t="s">
        <v>262</v>
      </c>
      <c r="C186">
        <v>314</v>
      </c>
      <c r="D186">
        <v>93</v>
      </c>
      <c r="E186" t="s">
        <v>263</v>
      </c>
      <c r="F186" t="s">
        <v>273</v>
      </c>
      <c r="G186" t="s">
        <v>275</v>
      </c>
      <c r="H186">
        <v>1960</v>
      </c>
      <c r="I186">
        <v>1965</v>
      </c>
      <c r="L186">
        <v>1750</v>
      </c>
      <c r="U186">
        <v>102</v>
      </c>
      <c r="X186">
        <v>247</v>
      </c>
      <c r="Y186" s="3">
        <f t="shared" si="44"/>
        <v>0.24215686274509804</v>
      </c>
      <c r="Z186">
        <v>90</v>
      </c>
      <c r="AA186">
        <f t="shared" si="63"/>
        <v>144</v>
      </c>
      <c r="AD186">
        <v>18.75</v>
      </c>
      <c r="AE186">
        <v>18.75</v>
      </c>
      <c r="AF186">
        <v>2.71</v>
      </c>
      <c r="AG186">
        <v>3.89</v>
      </c>
      <c r="AH186" s="10">
        <v>0</v>
      </c>
      <c r="AI186" t="str">
        <f>CONCATENATE(VLOOKUP(AJ186, 'Voxel Sizes'!$A$2:$B$18,2,FALSE),"x",INT(AF186*15), "x", INT(AG186*15))</f>
        <v>186x40x58</v>
      </c>
      <c r="AJ186">
        <f t="shared" si="45"/>
        <v>11</v>
      </c>
      <c r="AL186" t="str">
        <f>CONCATENATE(VLOOKUP(AJ186,Constants!$A$2:$C$16,IF(AK186&lt;&gt;"", 3, 2), FALSE),IF(AK186&lt;&gt;"",CONCATENATE(",",VLOOKUP(AK186,$B:$AL,37,FALSE)),""))</f>
        <v>4,3,4</v>
      </c>
      <c r="AV186">
        <v>42</v>
      </c>
      <c r="AW186" s="15" t="str">
        <f t="shared" si="46"/>
        <v/>
      </c>
      <c r="AZ186">
        <f t="shared" si="47"/>
        <v>18</v>
      </c>
      <c r="BA186">
        <f t="shared" si="48"/>
        <v>8.75</v>
      </c>
      <c r="BB186">
        <f t="shared" si="49"/>
        <v>12.350000000000001</v>
      </c>
      <c r="BC186" s="3">
        <f t="shared" si="50"/>
        <v>0.92</v>
      </c>
      <c r="BD186">
        <f t="shared" si="51"/>
        <v>0</v>
      </c>
      <c r="BE186">
        <f>VLOOKUP($F186,Constants!$I:$K, 2, FALSE)</f>
        <v>1</v>
      </c>
      <c r="BF186">
        <f>VLOOKUP($F186,Constants!$I:$K, 3, FALSE)*IF(AND(E186="multiple_unit",Z186&lt;110),0.75,1)</f>
        <v>2</v>
      </c>
      <c r="BG186">
        <f>INT(POWER(((Constants!$G$2+$AZ186+$BA186+$BB186+$BD186)*$BC186)*$BF186, 1.05))+$AY186</f>
        <v>101</v>
      </c>
      <c r="BH186">
        <f>INT(POWER((((Constants!$G$1+$AZ186+$BA186+$BB186+$BD186)*($BC186))*$BE186),IF($E186="wagon",1,1.2)))+$AX186</f>
        <v>108</v>
      </c>
      <c r="BI186" s="14">
        <f t="shared" si="52"/>
        <v>78906.25</v>
      </c>
      <c r="BJ186" s="14">
        <f t="shared" si="53"/>
        <v>8775</v>
      </c>
      <c r="BQ186">
        <v>1</v>
      </c>
      <c r="BU186" t="str">
        <f>VLOOKUP(H186,Eras!$A$2:$C$10, 2, TRUE)</f>
        <v>dsl</v>
      </c>
      <c r="BV186" t="s">
        <v>329</v>
      </c>
      <c r="BW186" t="str">
        <f t="shared" si="54"/>
        <v>dsl_Freight</v>
      </c>
      <c r="BX186" t="str">
        <f t="shared" si="55"/>
        <v>diesel_RAIL</v>
      </c>
      <c r="BY186" t="str">
        <f>VLOOKUP($BX186, Constants!$M:$N, 2, FALSE)</f>
        <v>{BLACK}Powered by: {GOLD}Diesel</v>
      </c>
      <c r="BZ186" t="str">
        <f t="shared" si="65"/>
        <v/>
      </c>
      <c r="CA186" t="s">
        <v>360</v>
      </c>
      <c r="CB186" t="str">
        <f t="shared" si="64"/>
        <v/>
      </c>
      <c r="CC186" t="str">
        <f t="shared" si="57"/>
        <v>{BLACK}Powered by: {GOLD}Diesel {}{SILVER}The Class 37 (English Electric Type 3) is widely used, especially in Scotland where the high power, low axle load and lack of need for electrification make it ideal for hauling long trains in the Highlands.</v>
      </c>
    </row>
    <row r="187" spans="1:81" x14ac:dyDescent="0.25">
      <c r="A187" t="s">
        <v>48</v>
      </c>
      <c r="B187" t="s">
        <v>523</v>
      </c>
      <c r="C187">
        <v>316</v>
      </c>
      <c r="D187">
        <v>94</v>
      </c>
      <c r="E187" t="s">
        <v>263</v>
      </c>
      <c r="F187" t="s">
        <v>273</v>
      </c>
      <c r="G187" t="s">
        <v>275</v>
      </c>
      <c r="H187">
        <v>1960</v>
      </c>
      <c r="I187">
        <v>1962</v>
      </c>
      <c r="J187">
        <v>1989</v>
      </c>
      <c r="L187">
        <v>2500</v>
      </c>
      <c r="U187">
        <v>135</v>
      </c>
      <c r="X187">
        <v>245</v>
      </c>
      <c r="Y187" s="3">
        <f t="shared" si="44"/>
        <v>0.18148148148148149</v>
      </c>
      <c r="Z187">
        <v>90</v>
      </c>
      <c r="AA187">
        <f t="shared" si="63"/>
        <v>144</v>
      </c>
      <c r="AD187">
        <v>20.7</v>
      </c>
      <c r="AE187">
        <v>20.7</v>
      </c>
      <c r="AG187">
        <v>3.91</v>
      </c>
      <c r="AH187" s="10">
        <v>0</v>
      </c>
      <c r="AI187" t="str">
        <f>CONCATENATE(VLOOKUP(AJ187, 'Voxel Sizes'!$A$2:$B$18,2,FALSE),"x",INT(AF187*15), "x", INT(AG187*15))</f>
        <v>198x0x58</v>
      </c>
      <c r="AJ187">
        <f t="shared" si="45"/>
        <v>12</v>
      </c>
      <c r="AL187" t="str">
        <f>CONCATENATE(VLOOKUP(AJ187,Constants!$A$2:$C$16,IF(AK187&lt;&gt;"", 3, 2), FALSE),IF(AK187&lt;&gt;"",CONCATENATE(",",VLOOKUP(AK187,$B:$AL,37,FALSE)),""))</f>
        <v>4,4,4</v>
      </c>
      <c r="AV187">
        <v>30</v>
      </c>
      <c r="AW187" s="15">
        <f t="shared" si="46"/>
        <v>37</v>
      </c>
      <c r="AZ187">
        <f t="shared" si="47"/>
        <v>18</v>
      </c>
      <c r="BA187">
        <f t="shared" si="48"/>
        <v>12.5</v>
      </c>
      <c r="BB187">
        <f t="shared" si="49"/>
        <v>12.25</v>
      </c>
      <c r="BC187" s="3">
        <f t="shared" si="50"/>
        <v>0.92</v>
      </c>
      <c r="BD187">
        <f t="shared" si="51"/>
        <v>0</v>
      </c>
      <c r="BE187">
        <f>VLOOKUP($F187,Constants!$I:$K, 2, FALSE)</f>
        <v>1</v>
      </c>
      <c r="BF187">
        <f>VLOOKUP($F187,Constants!$I:$K, 3, FALSE)*IF(AND(E187="multiple_unit",Z187&lt;110),0.75,1)</f>
        <v>2</v>
      </c>
      <c r="BG187">
        <f>INT(POWER(((Constants!$G$2+$AZ187+$BA187+$BB187+$BD187)*$BC187)*$BF187, 1.05))+$AY187</f>
        <v>109</v>
      </c>
      <c r="BH187">
        <f>INT(POWER((((Constants!$G$1+$AZ187+$BA187+$BB187+$BD187)*($BC187))*$BE187),IF($E187="wagon",1,1.2)))+$AX187</f>
        <v>117</v>
      </c>
      <c r="BI187" s="14">
        <f t="shared" si="52"/>
        <v>85156.25</v>
      </c>
      <c r="BJ187" s="14">
        <f t="shared" si="53"/>
        <v>9506.25</v>
      </c>
      <c r="BQ187">
        <v>2</v>
      </c>
      <c r="BU187" t="str">
        <f>VLOOKUP(H187,Eras!$A$2:$C$10, 2, TRUE)</f>
        <v>dsl</v>
      </c>
      <c r="BV187" t="s">
        <v>328</v>
      </c>
      <c r="BW187" t="str">
        <f t="shared" si="54"/>
        <v>dsl_Express</v>
      </c>
      <c r="BX187" t="str">
        <f t="shared" si="55"/>
        <v>diesel_RAIL</v>
      </c>
      <c r="BY187" t="str">
        <f>VLOOKUP($BX187, Constants!$M:$N, 2, FALSE)</f>
        <v>{BLACK}Powered by: {GOLD}Diesel</v>
      </c>
      <c r="BZ187" t="str">
        <f t="shared" si="65"/>
        <v/>
      </c>
      <c r="CA187" t="s">
        <v>522</v>
      </c>
      <c r="CB187" t="str">
        <f t="shared" si="64"/>
        <v/>
      </c>
      <c r="CC187" t="str">
        <f t="shared" si="57"/>
        <v>{BLACK}Powered by: {GOLD}Diesel {}{SILVER}The Sulzer Peaks served express passenger trains on the Midland Main Line until the introduction of the HST.</v>
      </c>
    </row>
    <row r="188" spans="1:81" x14ac:dyDescent="0.25">
      <c r="A188" t="s">
        <v>49</v>
      </c>
      <c r="B188" t="s">
        <v>525</v>
      </c>
      <c r="C188">
        <v>318</v>
      </c>
      <c r="D188">
        <v>95</v>
      </c>
      <c r="E188" t="s">
        <v>263</v>
      </c>
      <c r="F188" t="s">
        <v>273</v>
      </c>
      <c r="G188" t="s">
        <v>275</v>
      </c>
      <c r="H188">
        <v>1960</v>
      </c>
      <c r="I188">
        <v>1962</v>
      </c>
      <c r="L188">
        <v>1550</v>
      </c>
      <c r="U188">
        <v>74.2</v>
      </c>
      <c r="X188">
        <v>200</v>
      </c>
      <c r="Y188" s="3">
        <f t="shared" si="44"/>
        <v>0.26954177897574122</v>
      </c>
      <c r="Z188">
        <v>85</v>
      </c>
      <c r="AA188">
        <f t="shared" si="63"/>
        <v>136</v>
      </c>
      <c r="AD188">
        <v>15.47</v>
      </c>
      <c r="AE188">
        <v>15.47</v>
      </c>
      <c r="AG188">
        <v>3.86</v>
      </c>
      <c r="AH188" s="10">
        <v>0</v>
      </c>
      <c r="AI188" t="str">
        <f>CONCATENATE(VLOOKUP(AJ188, 'Voxel Sizes'!$A$2:$B$18,2,FALSE),"x",INT(AF188*15), "x", INT(AG188*15))</f>
        <v>152x0x57</v>
      </c>
      <c r="AJ188">
        <f t="shared" si="45"/>
        <v>9</v>
      </c>
      <c r="AL188" t="str">
        <f>CONCATENATE(VLOOKUP(AJ188,Constants!$A$2:$C$16,IF(AK188&lt;&gt;"", 3, 2), FALSE),IF(AK188&lt;&gt;"",CONCATENATE(",",VLOOKUP(AK188,$B:$AL,37,FALSE)),""))</f>
        <v>2,5,2</v>
      </c>
      <c r="AV188">
        <v>30</v>
      </c>
      <c r="AW188" s="15" t="str">
        <f t="shared" si="46"/>
        <v/>
      </c>
      <c r="AZ188">
        <f t="shared" si="47"/>
        <v>17</v>
      </c>
      <c r="BA188">
        <f t="shared" si="48"/>
        <v>7.75</v>
      </c>
      <c r="BB188">
        <f t="shared" si="49"/>
        <v>10</v>
      </c>
      <c r="BC188" s="3">
        <f t="shared" si="50"/>
        <v>0.92</v>
      </c>
      <c r="BD188">
        <f t="shared" si="51"/>
        <v>0</v>
      </c>
      <c r="BE188">
        <f>VLOOKUP($F188,Constants!$I:$K, 2, FALSE)</f>
        <v>1</v>
      </c>
      <c r="BF188">
        <f>VLOOKUP($F188,Constants!$I:$K, 3, FALSE)*IF(AND(E188="multiple_unit",Z188&lt;110),0.75,1)</f>
        <v>2</v>
      </c>
      <c r="BG188">
        <f>INT(POWER(((Constants!$G$2+$AZ188+$BA188+$BB188+$BD188)*$BC188)*$BF188, 1.05))+$AY188</f>
        <v>90</v>
      </c>
      <c r="BH188">
        <f>INT(POWER((((Constants!$G$1+$AZ188+$BA188+$BB188+$BD188)*($BC188))*$BE188),IF($E188="wagon",1,1.2)))+$AX188</f>
        <v>98</v>
      </c>
      <c r="BI188" s="14">
        <f t="shared" si="52"/>
        <v>70312.5</v>
      </c>
      <c r="BJ188" s="14">
        <f t="shared" si="53"/>
        <v>7962.5</v>
      </c>
      <c r="BQ188">
        <v>3</v>
      </c>
      <c r="BU188" t="str">
        <f>VLOOKUP(H188,Eras!$A$2:$C$10, 2, TRUE)</f>
        <v>dsl</v>
      </c>
      <c r="BV188" t="s">
        <v>327</v>
      </c>
      <c r="BW188" t="str">
        <f t="shared" si="54"/>
        <v>dsl_Mixed Traffic</v>
      </c>
      <c r="BX188" t="str">
        <f t="shared" si="55"/>
        <v>diesel_RAIL</v>
      </c>
      <c r="BY188" t="str">
        <f>VLOOKUP($BX188, Constants!$M:$N, 2, FALSE)</f>
        <v>{BLACK}Powered by: {GOLD}Diesel</v>
      </c>
      <c r="BZ188" t="str">
        <f t="shared" si="65"/>
        <v/>
      </c>
      <c r="CA188" t="s">
        <v>524</v>
      </c>
      <c r="CB188" t="str">
        <f t="shared" si="64"/>
        <v/>
      </c>
      <c r="CC188" t="str">
        <f t="shared" si="57"/>
        <v>{BLACK}Powered by: {GOLD}Diesel {}{SILVER}The Class 33 was built without carriage heating, using the space for an 8 cylinder engine. This meant it was used for tourist-loaded passenger trains in summer, and freight in winter.</v>
      </c>
    </row>
    <row r="189" spans="1:81" x14ac:dyDescent="0.25">
      <c r="A189" t="s">
        <v>35</v>
      </c>
      <c r="B189" t="s">
        <v>170</v>
      </c>
      <c r="C189">
        <v>320</v>
      </c>
      <c r="D189">
        <v>96</v>
      </c>
      <c r="E189" t="s">
        <v>263</v>
      </c>
      <c r="F189" t="s">
        <v>273</v>
      </c>
      <c r="G189" t="s">
        <v>275</v>
      </c>
      <c r="H189">
        <v>1961</v>
      </c>
      <c r="I189">
        <v>1964</v>
      </c>
      <c r="J189">
        <v>1975</v>
      </c>
      <c r="L189">
        <v>1700</v>
      </c>
      <c r="U189">
        <v>76.2</v>
      </c>
      <c r="X189">
        <v>207</v>
      </c>
      <c r="Y189" s="3">
        <f t="shared" si="44"/>
        <v>0.27165354330708663</v>
      </c>
      <c r="Z189">
        <v>90</v>
      </c>
      <c r="AA189">
        <f t="shared" si="63"/>
        <v>144</v>
      </c>
      <c r="AD189">
        <v>15.76</v>
      </c>
      <c r="AE189">
        <v>15.76</v>
      </c>
      <c r="AG189">
        <v>3.91</v>
      </c>
      <c r="AH189" s="10">
        <v>0</v>
      </c>
      <c r="AI189" t="str">
        <f>CONCATENATE(VLOOKUP(AJ189, 'Voxel Sizes'!$A$2:$B$18,2,FALSE),"x",INT(AF189*15), "x", INT(AG189*15))</f>
        <v>152x0x58</v>
      </c>
      <c r="AJ189">
        <f t="shared" si="45"/>
        <v>9</v>
      </c>
      <c r="AL189" t="str">
        <f>CONCATENATE(VLOOKUP(AJ189,Constants!$A$2:$C$16,IF(AK189&lt;&gt;"", 3, 2), FALSE),IF(AK189&lt;&gt;"",CONCATENATE(",",VLOOKUP(AK189,$B:$AL,37,FALSE)),""))</f>
        <v>2,5,2</v>
      </c>
      <c r="AV189">
        <v>30</v>
      </c>
      <c r="AW189" s="15">
        <f t="shared" si="46"/>
        <v>22</v>
      </c>
      <c r="AZ189">
        <f t="shared" si="47"/>
        <v>18</v>
      </c>
      <c r="BA189">
        <f t="shared" si="48"/>
        <v>8.5</v>
      </c>
      <c r="BB189">
        <f t="shared" si="49"/>
        <v>10.35</v>
      </c>
      <c r="BC189" s="3">
        <f t="shared" si="50"/>
        <v>0.91866666666666663</v>
      </c>
      <c r="BD189">
        <f t="shared" si="51"/>
        <v>0</v>
      </c>
      <c r="BE189">
        <f>VLOOKUP($F189,Constants!$I:$K, 2, FALSE)</f>
        <v>1</v>
      </c>
      <c r="BF189">
        <f>VLOOKUP($F189,Constants!$I:$K, 3, FALSE)*IF(AND(E189="multiple_unit",Z189&lt;110),0.75,1)</f>
        <v>2</v>
      </c>
      <c r="BG189">
        <f>INT(POWER(((Constants!$G$2+$AZ189+$BA189+$BB189+$BD189)*$BC189)*$BF189, 1.05))+$AY189</f>
        <v>95</v>
      </c>
      <c r="BH189">
        <f>INT(POWER((((Constants!$G$1+$AZ189+$BA189+$BB189+$BD189)*($BC189))*$BE189),IF($E189="wagon",1,1.2)))+$AX189</f>
        <v>103</v>
      </c>
      <c r="BI189" s="14">
        <f t="shared" si="52"/>
        <v>74218.75</v>
      </c>
      <c r="BJ189" s="14">
        <f t="shared" si="53"/>
        <v>8368.75</v>
      </c>
      <c r="BQ189">
        <v>4</v>
      </c>
      <c r="BU189" t="str">
        <f>VLOOKUP(H189,Eras!$A$2:$C$10, 2, TRUE)</f>
        <v>dsl</v>
      </c>
      <c r="BV189" t="s">
        <v>327</v>
      </c>
      <c r="BW189" t="str">
        <f t="shared" si="54"/>
        <v>dsl_Mixed Traffic</v>
      </c>
      <c r="BX189" t="str">
        <f t="shared" si="55"/>
        <v>diesel_RAIL</v>
      </c>
      <c r="BY189" t="str">
        <f>VLOOKUP($BX189, Constants!$M:$N, 2, FALSE)</f>
        <v>{BLACK}Powered by: {GOLD}Diesel</v>
      </c>
      <c r="BZ189" t="str">
        <f t="shared" si="65"/>
        <v/>
      </c>
      <c r="CA189" t="s">
        <v>530</v>
      </c>
      <c r="CB189" t="str">
        <f t="shared" si="64"/>
        <v/>
      </c>
      <c r="CC189" t="str">
        <f t="shared" si="57"/>
        <v>{BLACK}Powered by: {GOLD}Diesel {}{SILVER}The Hymeks were named for their hydraulic transmission. Sadly this also caused their early withdrawal, with BR viewing diesel-hydraulics as non-standard.</v>
      </c>
    </row>
    <row r="190" spans="1:81" x14ac:dyDescent="0.25">
      <c r="A190" t="s">
        <v>37</v>
      </c>
      <c r="B190" t="s">
        <v>171</v>
      </c>
      <c r="C190">
        <v>322</v>
      </c>
      <c r="D190">
        <v>97</v>
      </c>
      <c r="E190" t="s">
        <v>263</v>
      </c>
      <c r="F190" t="s">
        <v>273</v>
      </c>
      <c r="G190" t="s">
        <v>275</v>
      </c>
      <c r="H190">
        <v>1961</v>
      </c>
      <c r="I190">
        <v>1964</v>
      </c>
      <c r="J190">
        <v>1977</v>
      </c>
      <c r="L190">
        <v>2000</v>
      </c>
      <c r="U190">
        <v>110</v>
      </c>
      <c r="X190">
        <v>297</v>
      </c>
      <c r="Y190" s="3">
        <f t="shared" si="44"/>
        <v>0.27</v>
      </c>
      <c r="Z190">
        <v>90</v>
      </c>
      <c r="AA190">
        <f t="shared" si="63"/>
        <v>144</v>
      </c>
      <c r="AD190">
        <v>20.73</v>
      </c>
      <c r="AE190">
        <v>20.73</v>
      </c>
      <c r="AG190">
        <v>3.96</v>
      </c>
      <c r="AH190" s="10">
        <v>0</v>
      </c>
      <c r="AI190" t="str">
        <f>CONCATENATE(VLOOKUP(AJ190, 'Voxel Sizes'!$A$2:$B$18,2,FALSE),"x",INT(AF190*15), "x", INT(AG190*15))</f>
        <v>198x0x59</v>
      </c>
      <c r="AJ190">
        <f t="shared" si="45"/>
        <v>12</v>
      </c>
      <c r="AL190" t="str">
        <f>CONCATENATE(VLOOKUP(AJ190,Constants!$A$2:$C$16,IF(AK190&lt;&gt;"", 3, 2), FALSE),IF(AK190&lt;&gt;"",CONCATENATE(",",VLOOKUP(AK190,$B:$AL,37,FALSE)),""))</f>
        <v>4,4,4</v>
      </c>
      <c r="AV190">
        <v>30</v>
      </c>
      <c r="AW190" s="15">
        <f t="shared" si="46"/>
        <v>24</v>
      </c>
      <c r="AZ190">
        <f t="shared" si="47"/>
        <v>18</v>
      </c>
      <c r="BA190">
        <f t="shared" si="48"/>
        <v>10</v>
      </c>
      <c r="BB190">
        <f t="shared" si="49"/>
        <v>14.850000000000001</v>
      </c>
      <c r="BC190" s="3">
        <f t="shared" si="50"/>
        <v>0.91866666666666663</v>
      </c>
      <c r="BD190">
        <f t="shared" si="51"/>
        <v>0</v>
      </c>
      <c r="BE190">
        <f>VLOOKUP($F190,Constants!$I:$K, 2, FALSE)</f>
        <v>1</v>
      </c>
      <c r="BF190">
        <f>VLOOKUP($F190,Constants!$I:$K, 3, FALSE)*IF(AND(E190="multiple_unit",Z190&lt;110),0.75,1)</f>
        <v>2</v>
      </c>
      <c r="BG190">
        <f>INT(POWER(((Constants!$G$2+$AZ190+$BA190+$BB190+$BD190)*$BC190)*$BF190, 1.05))+$AY190</f>
        <v>109</v>
      </c>
      <c r="BH190">
        <f>INT(POWER((((Constants!$G$1+$AZ190+$BA190+$BB190+$BD190)*($BC190))*$BE190),IF($E190="wagon",1,1.2)))+$AX190</f>
        <v>117</v>
      </c>
      <c r="BI190" s="14">
        <f t="shared" si="52"/>
        <v>85156.25</v>
      </c>
      <c r="BJ190" s="14">
        <f t="shared" si="53"/>
        <v>9506.25</v>
      </c>
      <c r="BQ190">
        <v>5</v>
      </c>
      <c r="BU190" t="str">
        <f>VLOOKUP(H190,Eras!$A$2:$C$10, 2, TRUE)</f>
        <v>dsl</v>
      </c>
      <c r="BV190" t="s">
        <v>327</v>
      </c>
      <c r="BW190" t="str">
        <f t="shared" si="54"/>
        <v>dsl_Mixed Traffic</v>
      </c>
      <c r="BX190" t="str">
        <f t="shared" si="55"/>
        <v>diesel_RAIL</v>
      </c>
      <c r="BY190" t="str">
        <f>VLOOKUP($BX190, Constants!$M:$N, 2, FALSE)</f>
        <v>{BLACK}Powered by: {GOLD}Diesel</v>
      </c>
      <c r="BZ190" t="str">
        <f t="shared" si="65"/>
        <v/>
      </c>
      <c r="CA190" t="s">
        <v>531</v>
      </c>
      <c r="CB190" t="str">
        <f t="shared" si="64"/>
        <v/>
      </c>
      <c r="CC190" t="str">
        <f t="shared" si="57"/>
        <v>{BLACK}Powered by: {GOLD}Diesel {}{SILVER}The Class 52 was the most powerful of the Western Region's diesel-hydraulic locomotives, pushing the limits of what 1960s transmission technology could achieve.</v>
      </c>
    </row>
    <row r="191" spans="1:81" x14ac:dyDescent="0.25">
      <c r="A191" t="s">
        <v>47</v>
      </c>
      <c r="B191" t="s">
        <v>305</v>
      </c>
      <c r="C191">
        <v>324</v>
      </c>
      <c r="D191">
        <v>98</v>
      </c>
      <c r="E191" t="s">
        <v>263</v>
      </c>
      <c r="F191" t="s">
        <v>273</v>
      </c>
      <c r="G191" t="s">
        <v>275</v>
      </c>
      <c r="H191">
        <v>1961</v>
      </c>
      <c r="I191">
        <v>1967</v>
      </c>
      <c r="J191">
        <v>1987</v>
      </c>
      <c r="L191">
        <v>1250</v>
      </c>
      <c r="U191">
        <v>74.2</v>
      </c>
      <c r="X191">
        <v>170</v>
      </c>
      <c r="Y191" s="3">
        <f t="shared" si="44"/>
        <v>0.22911051212938005</v>
      </c>
      <c r="Z191">
        <v>90</v>
      </c>
      <c r="AA191">
        <f t="shared" si="63"/>
        <v>144</v>
      </c>
      <c r="AD191">
        <v>15.39</v>
      </c>
      <c r="AE191">
        <v>15.39</v>
      </c>
      <c r="AG191">
        <v>3.86</v>
      </c>
      <c r="AH191" s="10">
        <v>0</v>
      </c>
      <c r="AI191" t="str">
        <f>CONCATENATE(VLOOKUP(AJ191, 'Voxel Sizes'!$A$2:$B$18,2,FALSE),"x",INT(AF191*15), "x", INT(AG191*15))</f>
        <v>152x0x57</v>
      </c>
      <c r="AJ191">
        <f t="shared" si="45"/>
        <v>9</v>
      </c>
      <c r="AL191" t="str">
        <f>CONCATENATE(VLOOKUP(AJ191,Constants!$A$2:$C$16,IF(AK191&lt;&gt;"", 3, 2), FALSE),IF(AK191&lt;&gt;"",CONCATENATE(",",VLOOKUP(AK191,$B:$AL,37,FALSE)),""))</f>
        <v>2,5,2</v>
      </c>
      <c r="AV191">
        <v>40</v>
      </c>
      <c r="AW191" s="15">
        <f t="shared" si="46"/>
        <v>34</v>
      </c>
      <c r="AZ191">
        <f t="shared" si="47"/>
        <v>18</v>
      </c>
      <c r="BA191">
        <f t="shared" si="48"/>
        <v>6.25</v>
      </c>
      <c r="BB191">
        <f t="shared" si="49"/>
        <v>8.5</v>
      </c>
      <c r="BC191" s="3">
        <f t="shared" si="50"/>
        <v>0.91866666666666663</v>
      </c>
      <c r="BD191">
        <f t="shared" si="51"/>
        <v>0</v>
      </c>
      <c r="BE191">
        <f>VLOOKUP($F191,Constants!$I:$K, 2, FALSE)</f>
        <v>1</v>
      </c>
      <c r="BF191">
        <f>VLOOKUP($F191,Constants!$I:$K, 3, FALSE)*IF(AND(E191="multiple_unit",Z191&lt;110),0.75,1)</f>
        <v>2</v>
      </c>
      <c r="BG191">
        <f>INT(POWER(((Constants!$G$2+$AZ191+$BA191+$BB191+$BD191)*$BC191)*$BF191, 1.05))+$AY191</f>
        <v>85</v>
      </c>
      <c r="BH191">
        <f>INT(POWER((((Constants!$G$1+$AZ191+$BA191+$BB191+$BD191)*($BC191))*$BE191),IF($E191="wagon",1,1.2)))+$AX191</f>
        <v>93</v>
      </c>
      <c r="BI191" s="14">
        <f t="shared" si="52"/>
        <v>66406.25</v>
      </c>
      <c r="BJ191" s="14">
        <f t="shared" si="53"/>
        <v>7556.25</v>
      </c>
      <c r="BQ191">
        <v>6</v>
      </c>
      <c r="BU191" t="str">
        <f>VLOOKUP(H191,Eras!$A$2:$C$10, 2, TRUE)</f>
        <v>dsl</v>
      </c>
      <c r="BV191" t="s">
        <v>329</v>
      </c>
      <c r="BW191" t="str">
        <f t="shared" si="54"/>
        <v>dsl_Freight</v>
      </c>
      <c r="BX191" t="str">
        <f t="shared" si="55"/>
        <v>diesel_RAIL</v>
      </c>
      <c r="BY191" t="str">
        <f>VLOOKUP($BX191, Constants!$M:$N, 2, FALSE)</f>
        <v>{BLACK}Powered by: {GOLD}Diesel</v>
      </c>
      <c r="BZ191" t="str">
        <f t="shared" si="65"/>
        <v/>
      </c>
      <c r="CA191" t="s">
        <v>532</v>
      </c>
      <c r="CB191" t="str">
        <f t="shared" si="64"/>
        <v/>
      </c>
      <c r="CC191" t="str">
        <f t="shared" si="57"/>
        <v>{BLACK}Powered by: {GOLD}Diesel {}{SILVER}The Class 25 locomotives became known as "Rats" because they were found all over the British Rail network.</v>
      </c>
    </row>
    <row r="192" spans="1:81" x14ac:dyDescent="0.25">
      <c r="A192" t="s">
        <v>537</v>
      </c>
      <c r="B192" t="s">
        <v>172</v>
      </c>
      <c r="C192">
        <v>326</v>
      </c>
      <c r="D192">
        <v>99</v>
      </c>
      <c r="E192" t="s">
        <v>263</v>
      </c>
      <c r="F192" t="s">
        <v>273</v>
      </c>
      <c r="G192" t="s">
        <v>275</v>
      </c>
      <c r="H192">
        <v>1962</v>
      </c>
      <c r="I192">
        <v>1968</v>
      </c>
      <c r="L192">
        <v>2750</v>
      </c>
      <c r="U192">
        <v>114</v>
      </c>
      <c r="X192">
        <v>245</v>
      </c>
      <c r="Y192" s="3">
        <f t="shared" si="44"/>
        <v>0.21491228070175439</v>
      </c>
      <c r="Z192">
        <v>95</v>
      </c>
      <c r="AA192">
        <f t="shared" si="63"/>
        <v>152</v>
      </c>
      <c r="AD192">
        <v>19.38</v>
      </c>
      <c r="AE192">
        <v>19.38</v>
      </c>
      <c r="AG192">
        <v>3.9</v>
      </c>
      <c r="AH192" s="10">
        <v>0</v>
      </c>
      <c r="AI192" t="str">
        <f>CONCATENATE(VLOOKUP(AJ192, 'Voxel Sizes'!$A$2:$B$18,2,FALSE),"x",INT(AF192*15), "x", INT(AG192*15))</f>
        <v>186x0x58</v>
      </c>
      <c r="AJ192">
        <f t="shared" si="45"/>
        <v>11</v>
      </c>
      <c r="AL192" t="str">
        <f>CONCATENATE(VLOOKUP(AJ192,Constants!$A$2:$C$16,IF(AK192&lt;&gt;"", 3, 2), FALSE),IF(AK192&lt;&gt;"",CONCATENATE(",",VLOOKUP(AK192,$B:$AL,37,FALSE)),""))</f>
        <v>4,3,4</v>
      </c>
      <c r="AV192">
        <v>33</v>
      </c>
      <c r="AW192" s="15" t="str">
        <f t="shared" si="46"/>
        <v/>
      </c>
      <c r="AZ192">
        <f t="shared" si="47"/>
        <v>19</v>
      </c>
      <c r="BA192">
        <f t="shared" si="48"/>
        <v>13.75</v>
      </c>
      <c r="BB192">
        <f t="shared" si="49"/>
        <v>12.25</v>
      </c>
      <c r="BC192" s="3">
        <f t="shared" si="50"/>
        <v>0.91733333333333333</v>
      </c>
      <c r="BD192">
        <f t="shared" si="51"/>
        <v>0</v>
      </c>
      <c r="BE192">
        <f>VLOOKUP($F192,Constants!$I:$K, 2, FALSE)</f>
        <v>1</v>
      </c>
      <c r="BF192">
        <f>VLOOKUP($F192,Constants!$I:$K, 3, FALSE)*IF(AND(E192="multiple_unit",Z192&lt;110),0.75,1)</f>
        <v>2</v>
      </c>
      <c r="BG192">
        <f>INT(POWER(((Constants!$G$2+$AZ192+$BA192+$BB192+$BD192)*$BC192)*$BF192, 1.05))+$AY192</f>
        <v>114</v>
      </c>
      <c r="BH192">
        <f>INT(POWER((((Constants!$G$1+$AZ192+$BA192+$BB192+$BD192)*($BC192))*$BE192),IF($E192="wagon",1,1.2)))+$AX192</f>
        <v>122</v>
      </c>
      <c r="BI192" s="14">
        <f t="shared" si="52"/>
        <v>89062.5</v>
      </c>
      <c r="BJ192" s="14">
        <f t="shared" si="53"/>
        <v>9912.5</v>
      </c>
      <c r="BQ192">
        <v>7</v>
      </c>
      <c r="BU192" t="str">
        <f>VLOOKUP(H192,Eras!$A$2:$C$10, 2, TRUE)</f>
        <v>dsl</v>
      </c>
      <c r="BV192" t="s">
        <v>329</v>
      </c>
      <c r="BW192" t="str">
        <f t="shared" si="54"/>
        <v>dsl_Freight</v>
      </c>
      <c r="BX192" t="str">
        <f t="shared" si="55"/>
        <v>diesel_RAIL</v>
      </c>
      <c r="BY192" t="str">
        <f>VLOOKUP($BX192, Constants!$M:$N, 2, FALSE)</f>
        <v>{BLACK}Powered by: {GOLD}Diesel</v>
      </c>
      <c r="BZ192" t="str">
        <f t="shared" si="65"/>
        <v/>
      </c>
      <c r="CA192" t="s">
        <v>536</v>
      </c>
      <c r="CB192" t="str">
        <f t="shared" si="64"/>
        <v/>
      </c>
      <c r="CC192" t="str">
        <f t="shared" si="57"/>
        <v>{BLACK}Powered by: {GOLD}Diesel {}{SILVER}The Class 47 diesel-electric arose from BR's desire for a lighter Type 4 (over 2000hp) locomotive, without using the diesel-hydraulic technology favoured by the Western Region.</v>
      </c>
    </row>
    <row r="193" spans="1:81" x14ac:dyDescent="0.25">
      <c r="A193" t="s">
        <v>52</v>
      </c>
      <c r="B193" t="s">
        <v>173</v>
      </c>
      <c r="C193">
        <v>328</v>
      </c>
      <c r="D193">
        <v>100</v>
      </c>
      <c r="E193" t="s">
        <v>263</v>
      </c>
      <c r="F193" t="s">
        <v>273</v>
      </c>
      <c r="G193" t="s">
        <v>275</v>
      </c>
      <c r="H193">
        <v>1962</v>
      </c>
      <c r="I193">
        <v>1965</v>
      </c>
      <c r="J193">
        <v>1971</v>
      </c>
      <c r="L193">
        <v>900</v>
      </c>
      <c r="U193">
        <v>69</v>
      </c>
      <c r="X193">
        <v>178</v>
      </c>
      <c r="Y193" s="3">
        <f t="shared" si="44"/>
        <v>0.25797101449275361</v>
      </c>
      <c r="Z193">
        <v>60</v>
      </c>
      <c r="AA193">
        <f t="shared" si="63"/>
        <v>96</v>
      </c>
      <c r="AD193">
        <v>15.4</v>
      </c>
      <c r="AE193">
        <v>15.4</v>
      </c>
      <c r="AG193">
        <v>3.86</v>
      </c>
      <c r="AH193" s="10">
        <v>0</v>
      </c>
      <c r="AI193" t="str">
        <f>CONCATENATE(VLOOKUP(AJ193, 'Voxel Sizes'!$A$2:$B$18,2,FALSE),"x",INT(AF193*15), "x", INT(AG193*15))</f>
        <v>152x0x57</v>
      </c>
      <c r="AJ193">
        <f t="shared" si="45"/>
        <v>9</v>
      </c>
      <c r="AL193" t="str">
        <f>CONCATENATE(VLOOKUP(AJ193,Constants!$A$2:$C$16,IF(AK193&lt;&gt;"", 3, 2), FALSE),IF(AK193&lt;&gt;"",CONCATENATE(",",VLOOKUP(AK193,$B:$AL,37,FALSE)),""))</f>
        <v>2,5,2</v>
      </c>
      <c r="AV193">
        <v>14</v>
      </c>
      <c r="AW193" s="15">
        <f t="shared" si="46"/>
        <v>17</v>
      </c>
      <c r="AZ193">
        <f t="shared" si="47"/>
        <v>12</v>
      </c>
      <c r="BA193">
        <f t="shared" si="48"/>
        <v>4.5</v>
      </c>
      <c r="BB193">
        <f t="shared" si="49"/>
        <v>8.9</v>
      </c>
      <c r="BC193" s="3">
        <f t="shared" si="50"/>
        <v>0.91733333333333333</v>
      </c>
      <c r="BD193">
        <f t="shared" si="51"/>
        <v>0</v>
      </c>
      <c r="BE193">
        <f>VLOOKUP($F193,Constants!$I:$K, 2, FALSE)</f>
        <v>1</v>
      </c>
      <c r="BF193">
        <f>VLOOKUP($F193,Constants!$I:$K, 3, FALSE)*IF(AND(E193="multiple_unit",Z193&lt;110),0.75,1)</f>
        <v>2</v>
      </c>
      <c r="BG193">
        <f>INT(POWER(((Constants!$G$2+$AZ193+$BA193+$BB193+$BD193)*$BC193)*$BF193, 1.05))+$AY193</f>
        <v>68</v>
      </c>
      <c r="BH193">
        <f>INT(POWER((((Constants!$G$1+$AZ193+$BA193+$BB193+$BD193)*($BC193))*$BE193),IF($E193="wagon",1,1.2)))+$AX193</f>
        <v>76</v>
      </c>
      <c r="BI193" s="14">
        <f t="shared" si="52"/>
        <v>53125</v>
      </c>
      <c r="BJ193" s="14">
        <f t="shared" si="53"/>
        <v>6175</v>
      </c>
      <c r="BQ193">
        <v>8</v>
      </c>
      <c r="BU193" t="str">
        <f>VLOOKUP(H193,Eras!$A$2:$C$10, 2, TRUE)</f>
        <v>dsl</v>
      </c>
      <c r="BV193" t="s">
        <v>326</v>
      </c>
      <c r="BW193" t="str">
        <f t="shared" si="54"/>
        <v>dsl_Cheap</v>
      </c>
      <c r="BX193" t="str">
        <f t="shared" si="55"/>
        <v>diesel_RAIL</v>
      </c>
      <c r="BY193" t="str">
        <f>VLOOKUP($BX193, Constants!$M:$N, 2, FALSE)</f>
        <v>{BLACK}Powered by: {GOLD}Diesel</v>
      </c>
      <c r="BZ193" t="str">
        <f t="shared" si="65"/>
        <v/>
      </c>
      <c r="CA193" t="s">
        <v>538</v>
      </c>
      <c r="CB193" t="str">
        <f t="shared" si="64"/>
        <v/>
      </c>
      <c r="CC193" t="str">
        <f t="shared" si="57"/>
        <v>{BLACK}Powered by: {GOLD}Diesel {}{SILVER}The Class 17 attempted to solve the problems of visibility from a single cab. It had an unsuccessful life beset by engine reliability problems, and all examples were withdrawn early.</v>
      </c>
    </row>
    <row r="194" spans="1:81" x14ac:dyDescent="0.25">
      <c r="A194" t="s">
        <v>51</v>
      </c>
      <c r="B194" t="s">
        <v>539</v>
      </c>
      <c r="C194">
        <v>330</v>
      </c>
      <c r="D194">
        <v>101</v>
      </c>
      <c r="E194" t="s">
        <v>263</v>
      </c>
      <c r="F194" t="s">
        <v>273</v>
      </c>
      <c r="G194" t="s">
        <v>275</v>
      </c>
      <c r="H194">
        <v>1964</v>
      </c>
      <c r="I194">
        <v>1965</v>
      </c>
      <c r="J194">
        <v>1984</v>
      </c>
      <c r="L194">
        <v>650</v>
      </c>
      <c r="U194">
        <v>48.5</v>
      </c>
      <c r="X194">
        <v>137</v>
      </c>
      <c r="Y194" s="3">
        <f t="shared" si="44"/>
        <v>0.28247422680412371</v>
      </c>
      <c r="Z194">
        <v>40</v>
      </c>
      <c r="AA194">
        <f t="shared" si="63"/>
        <v>64</v>
      </c>
      <c r="AD194">
        <v>10.3</v>
      </c>
      <c r="AE194">
        <v>10.3</v>
      </c>
      <c r="AH194" s="10">
        <v>0</v>
      </c>
      <c r="AI194" t="str">
        <f>CONCATENATE(VLOOKUP(AJ194, 'Voxel Sizes'!$A$2:$B$18,2,FALSE),"x",INT(AF194*15), "x", INT(AG194*15))</f>
        <v>102x0x0</v>
      </c>
      <c r="AJ194">
        <f t="shared" si="45"/>
        <v>6</v>
      </c>
      <c r="AL194" t="str">
        <f>CONCATENATE(VLOOKUP(AJ194,Constants!$A$2:$C$16,IF(AK194&lt;&gt;"", 3, 2), FALSE),IF(AK194&lt;&gt;"",CONCATENATE(",",VLOOKUP(AK194,$B:$AL,37,FALSE)),""))</f>
        <v>2,2,2</v>
      </c>
      <c r="AT194">
        <v>1</v>
      </c>
      <c r="AV194">
        <v>18</v>
      </c>
      <c r="AW194" s="15">
        <f t="shared" si="46"/>
        <v>28</v>
      </c>
      <c r="AZ194">
        <f t="shared" si="47"/>
        <v>8</v>
      </c>
      <c r="BA194">
        <f t="shared" si="48"/>
        <v>3.25</v>
      </c>
      <c r="BB194">
        <f t="shared" si="49"/>
        <v>6.8500000000000005</v>
      </c>
      <c r="BC194" s="3">
        <f t="shared" si="50"/>
        <v>0.91466666666666663</v>
      </c>
      <c r="BD194">
        <f t="shared" si="51"/>
        <v>0</v>
      </c>
      <c r="BE194">
        <f>VLOOKUP($F194,Constants!$I:$K, 2, FALSE)</f>
        <v>1</v>
      </c>
      <c r="BF194">
        <f>VLOOKUP($F194,Constants!$I:$K, 3, FALSE)*IF(AND(E194="multiple_unit",Z194&lt;110),0.75,1)</f>
        <v>2</v>
      </c>
      <c r="BG194">
        <f>INT(POWER(((Constants!$G$2+$AZ194+$BA194+$BB194+$BD194)*$BC194)*$BF194, 1.05))+$AY194</f>
        <v>50</v>
      </c>
      <c r="BH194">
        <f>INT(POWER((((Constants!$G$1+$AZ194+$BA194+$BB194+$BD194)*($BC194))*$BE194),IF($E194="wagon",1,1.2)))+$AX194</f>
        <v>59</v>
      </c>
      <c r="BI194" s="14">
        <f t="shared" si="52"/>
        <v>39062.5</v>
      </c>
      <c r="BJ194" s="14">
        <f t="shared" si="53"/>
        <v>4793.75</v>
      </c>
      <c r="BQ194">
        <v>9</v>
      </c>
      <c r="BU194" t="str">
        <f>VLOOKUP(H194,Eras!$A$2:$C$10, 2, TRUE)</f>
        <v>dsl</v>
      </c>
      <c r="BV194" t="s">
        <v>326</v>
      </c>
      <c r="BW194" t="str">
        <f t="shared" si="54"/>
        <v>dsl_Cheap</v>
      </c>
      <c r="BX194" t="str">
        <f t="shared" si="55"/>
        <v>diesel_RAIL</v>
      </c>
      <c r="BY194" t="str">
        <f>VLOOKUP($BX194, Constants!$M:$N, 2, FALSE)</f>
        <v>{BLACK}Powered by: {GOLD}Diesel</v>
      </c>
      <c r="BZ194" t="str">
        <f t="shared" si="65"/>
        <v/>
      </c>
      <c r="CA194" t="s">
        <v>540</v>
      </c>
      <c r="CB194" t="str">
        <f t="shared" si="64"/>
        <v/>
      </c>
      <c r="CC194" t="str">
        <f t="shared" si="57"/>
        <v>{BLACK}Powered by: {GOLD}Diesel {}{SILVER}BR envisaged a need  for small diesel locomotives to run short-distance freight trains, but by the end of the 1960s this need had evaporated. The Class 14s were sold to industry, and saw continued use on private railways.</v>
      </c>
    </row>
    <row r="195" spans="1:81" x14ac:dyDescent="0.25">
      <c r="A195" t="s">
        <v>53</v>
      </c>
      <c r="B195" t="s">
        <v>250</v>
      </c>
      <c r="C195">
        <v>332</v>
      </c>
      <c r="D195">
        <v>102</v>
      </c>
      <c r="E195" t="s">
        <v>263</v>
      </c>
      <c r="F195" t="s">
        <v>541</v>
      </c>
      <c r="G195" t="s">
        <v>275</v>
      </c>
      <c r="H195">
        <v>1965</v>
      </c>
      <c r="I195">
        <v>1967</v>
      </c>
      <c r="L195">
        <v>1420</v>
      </c>
      <c r="M195" s="8">
        <v>600</v>
      </c>
      <c r="U195">
        <v>76.3</v>
      </c>
      <c r="X195">
        <v>186</v>
      </c>
      <c r="Y195" s="3">
        <f t="shared" si="44"/>
        <v>0.24377457404980341</v>
      </c>
      <c r="Z195">
        <v>80</v>
      </c>
      <c r="AA195">
        <f t="shared" si="63"/>
        <v>128</v>
      </c>
      <c r="AD195">
        <v>16.36</v>
      </c>
      <c r="AE195">
        <v>16.36</v>
      </c>
      <c r="AH195" s="10">
        <v>0</v>
      </c>
      <c r="AI195" t="str">
        <f>CONCATENATE(VLOOKUP(AJ195, 'Voxel Sizes'!$A$2:$B$18,2,FALSE),"x",INT(AF195*15), "x", INT(AG195*15))</f>
        <v>164x0x0</v>
      </c>
      <c r="AJ195">
        <f t="shared" si="45"/>
        <v>10</v>
      </c>
      <c r="AL195" t="str">
        <f>CONCATENATE(VLOOKUP(AJ195,Constants!$A$2:$C$16,IF(AK195&lt;&gt;"", 3, 2), FALSE),IF(AK195&lt;&gt;"",CONCATENATE(",",VLOOKUP(AK195,$B:$AL,37,FALSE)),""))</f>
        <v>4,2,4</v>
      </c>
      <c r="AV195">
        <v>33</v>
      </c>
      <c r="AW195" s="15" t="str">
        <f t="shared" si="46"/>
        <v/>
      </c>
      <c r="AZ195">
        <f t="shared" si="47"/>
        <v>16</v>
      </c>
      <c r="BA195">
        <f t="shared" si="48"/>
        <v>7.1</v>
      </c>
      <c r="BB195">
        <f t="shared" si="49"/>
        <v>9.3000000000000007</v>
      </c>
      <c r="BC195" s="3">
        <f t="shared" si="50"/>
        <v>0.91333333333333333</v>
      </c>
      <c r="BD195">
        <f t="shared" si="51"/>
        <v>0</v>
      </c>
      <c r="BE195">
        <f>VLOOKUP($F195,Constants!$I:$K, 2, FALSE)</f>
        <v>0.9</v>
      </c>
      <c r="BF195">
        <f>VLOOKUP($F195,Constants!$I:$K, 3, FALSE)*IF(AND(E195="multiple_unit",Z195&lt;110),0.75,1)</f>
        <v>2.5</v>
      </c>
      <c r="BG195">
        <f>INT(POWER(((Constants!$G$2+$AZ195+$BA195+$BB195+$BD195)*$BC195)*$BF195, 1.05))+$AY195</f>
        <v>106</v>
      </c>
      <c r="BH195">
        <f>INT(POWER((((Constants!$G$1+$AZ195+$BA195+$BB195+$BD195)*($BC195))*$BE195),IF($E195="wagon",1,1.2)))+$AX195</f>
        <v>81</v>
      </c>
      <c r="BI195" s="14">
        <f t="shared" si="52"/>
        <v>82812.5</v>
      </c>
      <c r="BJ195" s="14">
        <f t="shared" si="53"/>
        <v>6581.25</v>
      </c>
      <c r="BQ195">
        <v>10</v>
      </c>
      <c r="BU195" t="str">
        <f>VLOOKUP(H195,Eras!$A$2:$C$10, 2, TRUE)</f>
        <v>dsl</v>
      </c>
      <c r="BW195" t="str">
        <f t="shared" si="54"/>
        <v>dsl_</v>
      </c>
      <c r="BX195" t="str">
        <f t="shared" si="55"/>
        <v>dual_power_RAIL</v>
      </c>
      <c r="BY195" t="str">
        <f>VLOOKUP($BX195, Constants!$M:$N, 2, FALSE)</f>
        <v>{BLACK}Powered by: {GOLD}750V DC / Diesel</v>
      </c>
      <c r="BZ195" t="str">
        <f t="shared" si="65"/>
        <v/>
      </c>
      <c r="CA195" t="s">
        <v>543</v>
      </c>
      <c r="CB195" t="str">
        <f t="shared" si="64"/>
        <v/>
      </c>
      <c r="CC195" t="str">
        <f t="shared" si="57"/>
        <v>{BLACK}Powered by: {GOLD}750V DC / Diesel {}{SILVER}The Class 73 is a dual-power locomotive, running at full power when connected to a third rail supply but carrying a small diesel engine for running on non-electrified track.</v>
      </c>
    </row>
    <row r="196" spans="1:81" x14ac:dyDescent="0.25">
      <c r="A196" t="s">
        <v>60</v>
      </c>
      <c r="B196" t="s">
        <v>251</v>
      </c>
      <c r="C196">
        <v>334</v>
      </c>
      <c r="D196">
        <v>103</v>
      </c>
      <c r="E196" t="s">
        <v>263</v>
      </c>
      <c r="F196" t="s">
        <v>296</v>
      </c>
      <c r="G196" t="s">
        <v>297</v>
      </c>
      <c r="H196">
        <v>1965</v>
      </c>
      <c r="I196">
        <v>1966</v>
      </c>
      <c r="L196">
        <v>3600</v>
      </c>
      <c r="U196">
        <v>82</v>
      </c>
      <c r="X196">
        <v>267</v>
      </c>
      <c r="Y196" s="3">
        <f t="shared" si="44"/>
        <v>0.32560975609756099</v>
      </c>
      <c r="Z196">
        <v>100</v>
      </c>
      <c r="AA196">
        <f t="shared" si="63"/>
        <v>160</v>
      </c>
      <c r="AD196">
        <v>17.829999999999998</v>
      </c>
      <c r="AE196">
        <v>17.829999999999998</v>
      </c>
      <c r="AG196">
        <v>3.77</v>
      </c>
      <c r="AH196" s="10">
        <v>0</v>
      </c>
      <c r="AI196" t="str">
        <f>CONCATENATE(VLOOKUP(AJ196, 'Voxel Sizes'!$A$2:$B$18,2,FALSE),"x",INT(AF196*15), "x", INT(AG196*15))</f>
        <v>164x0x56</v>
      </c>
      <c r="AJ196">
        <f t="shared" si="45"/>
        <v>10</v>
      </c>
      <c r="AL196" t="str">
        <f>CONCATENATE(VLOOKUP(AJ196,Constants!$A$2:$C$16,IF(AK196&lt;&gt;"", 3, 2), FALSE),IF(AK196&lt;&gt;"",CONCATENATE(",",VLOOKUP(AK196,$B:$AL,37,FALSE)),""))</f>
        <v>4,2,4</v>
      </c>
      <c r="AV196">
        <v>37</v>
      </c>
      <c r="AW196" s="15" t="str">
        <f t="shared" si="46"/>
        <v/>
      </c>
      <c r="AZ196">
        <f t="shared" si="47"/>
        <v>20</v>
      </c>
      <c r="BA196">
        <f t="shared" si="48"/>
        <v>18</v>
      </c>
      <c r="BB196">
        <f t="shared" si="49"/>
        <v>13.35</v>
      </c>
      <c r="BC196" s="3">
        <f t="shared" si="50"/>
        <v>0.91333333333333333</v>
      </c>
      <c r="BD196">
        <f t="shared" si="51"/>
        <v>0</v>
      </c>
      <c r="BE196">
        <f>VLOOKUP($F196,Constants!$I:$K, 2, FALSE)</f>
        <v>0.85</v>
      </c>
      <c r="BF196">
        <f>VLOOKUP($F196,Constants!$I:$K, 3, FALSE)*IF(AND(E196="multiple_unit",Z196&lt;110),0.75,1)</f>
        <v>2.2999999999999998</v>
      </c>
      <c r="BG196">
        <f>INT(POWER(((Constants!$G$2+$AZ196+$BA196+$BB196+$BD196)*$BC196)*$BF196, 1.05))+$AY196</f>
        <v>150</v>
      </c>
      <c r="BH196">
        <f>INT(POWER((((Constants!$G$1+$AZ196+$BA196+$BB196+$BD196)*($BC196))*$BE196),IF($E196="wagon",1,1.2)))+$AX196</f>
        <v>113</v>
      </c>
      <c r="BI196" s="14">
        <f t="shared" si="52"/>
        <v>117187.5</v>
      </c>
      <c r="BJ196" s="14">
        <f t="shared" si="53"/>
        <v>9181.25</v>
      </c>
      <c r="BQ196">
        <v>11</v>
      </c>
      <c r="BU196" t="str">
        <f>VLOOKUP(H196,Eras!$A$2:$C$10, 2, TRUE)</f>
        <v>dsl</v>
      </c>
      <c r="BV196" t="s">
        <v>338</v>
      </c>
      <c r="BW196" t="str">
        <f t="shared" si="54"/>
        <v>dsl_Express (Electric)</v>
      </c>
      <c r="BX196" t="str">
        <f t="shared" si="55"/>
        <v>electric_ELRL</v>
      </c>
      <c r="BY196" t="str">
        <f>VLOOKUP($BX196, Constants!$M:$N, 2, FALSE)</f>
        <v>{BLACK}Powered by: {GOLD}25kV AC</v>
      </c>
      <c r="BZ196" t="str">
        <f t="shared" si="65"/>
        <v/>
      </c>
      <c r="CA196" t="s">
        <v>521</v>
      </c>
      <c r="CB196" t="str">
        <f t="shared" si="64"/>
        <v/>
      </c>
      <c r="CC196" t="str">
        <f t="shared" si="57"/>
        <v>{BLACK}Powered by: {GOLD}25kV AC {}{SILVER}The Class 86 (originally AL6) was BR's first standard electric locomotive, incorporating experience from prototypes such as the Class 81.</v>
      </c>
    </row>
    <row r="197" spans="1:81" x14ac:dyDescent="0.25">
      <c r="A197" t="s">
        <v>43</v>
      </c>
      <c r="B197" t="s">
        <v>174</v>
      </c>
      <c r="C197">
        <v>336</v>
      </c>
      <c r="D197">
        <v>104</v>
      </c>
      <c r="E197" t="s">
        <v>263</v>
      </c>
      <c r="F197" t="s">
        <v>273</v>
      </c>
      <c r="G197" t="s">
        <v>275</v>
      </c>
      <c r="H197">
        <v>1967</v>
      </c>
      <c r="I197">
        <v>1968</v>
      </c>
      <c r="J197">
        <v>1994</v>
      </c>
      <c r="L197">
        <v>2700</v>
      </c>
      <c r="U197">
        <v>117</v>
      </c>
      <c r="X197">
        <v>216</v>
      </c>
      <c r="Y197" s="3">
        <f t="shared" ref="Y197:Y260" si="66">IF(AND(U197&gt;0,X197&gt;0),(X197/((U197+V197)*10)),"")</f>
        <v>0.18461538461538463</v>
      </c>
      <c r="Z197">
        <v>100</v>
      </c>
      <c r="AA197">
        <f t="shared" si="63"/>
        <v>160</v>
      </c>
      <c r="AD197">
        <v>20.88</v>
      </c>
      <c r="AE197">
        <v>20.88</v>
      </c>
      <c r="AG197">
        <v>3.89</v>
      </c>
      <c r="AH197" s="10">
        <v>0</v>
      </c>
      <c r="AI197" t="str">
        <f>CONCATENATE(VLOOKUP(AJ197, 'Voxel Sizes'!$A$2:$B$18,2,FALSE),"x",INT(AF197*15), "x", INT(AG197*15))</f>
        <v>198x0x58</v>
      </c>
      <c r="AJ197">
        <f t="shared" si="45"/>
        <v>12</v>
      </c>
      <c r="AL197" t="str">
        <f>CONCATENATE(VLOOKUP(AJ197,Constants!$A$2:$C$16,IF(AK197&lt;&gt;"", 3, 2), FALSE),IF(AK197&lt;&gt;"",CONCATENATE(",",VLOOKUP(AK197,$B:$AL,37,FALSE)),""))</f>
        <v>4,4,4</v>
      </c>
      <c r="AV197">
        <v>30</v>
      </c>
      <c r="AW197" s="15">
        <f t="shared" si="46"/>
        <v>35</v>
      </c>
      <c r="AZ197">
        <f t="shared" si="47"/>
        <v>20</v>
      </c>
      <c r="BA197">
        <f t="shared" si="48"/>
        <v>13.5</v>
      </c>
      <c r="BB197">
        <f t="shared" si="49"/>
        <v>10.8</v>
      </c>
      <c r="BC197" s="3">
        <f t="shared" si="50"/>
        <v>0.91066666666666662</v>
      </c>
      <c r="BD197">
        <f t="shared" si="51"/>
        <v>0</v>
      </c>
      <c r="BE197">
        <f>VLOOKUP($F197,Constants!$I:$K, 2, FALSE)</f>
        <v>1</v>
      </c>
      <c r="BF197">
        <f>VLOOKUP($F197,Constants!$I:$K, 3, FALSE)*IF(AND(E197="multiple_unit",Z197&lt;110),0.75,1)</f>
        <v>2</v>
      </c>
      <c r="BG197">
        <f>INT(POWER(((Constants!$G$2+$AZ197+$BA197+$BB197+$BD197)*$BC197)*$BF197, 1.05))+$AY197</f>
        <v>112</v>
      </c>
      <c r="BH197">
        <f>INT(POWER((((Constants!$G$1+$AZ197+$BA197+$BB197+$BD197)*($BC197))*$BE197),IF($E197="wagon",1,1.2)))+$AX197</f>
        <v>119</v>
      </c>
      <c r="BI197" s="14">
        <f t="shared" si="52"/>
        <v>87500</v>
      </c>
      <c r="BJ197" s="14">
        <f t="shared" si="53"/>
        <v>9668.75</v>
      </c>
      <c r="BQ197">
        <v>12</v>
      </c>
      <c r="BU197" t="str">
        <f>VLOOKUP(H197,Eras!$A$2:$C$10, 2, TRUE)</f>
        <v>dsl</v>
      </c>
      <c r="BV197" t="s">
        <v>328</v>
      </c>
      <c r="BW197" t="str">
        <f t="shared" si="54"/>
        <v>dsl_Express</v>
      </c>
      <c r="BX197" t="str">
        <f t="shared" si="55"/>
        <v>diesel_RAIL</v>
      </c>
      <c r="BY197" t="str">
        <f>VLOOKUP($BX197, Constants!$M:$N, 2, FALSE)</f>
        <v>{BLACK}Powered by: {GOLD}Diesel</v>
      </c>
      <c r="BZ197" t="str">
        <f t="shared" si="65"/>
        <v/>
      </c>
      <c r="CA197" t="s">
        <v>544</v>
      </c>
      <c r="CB197" t="str">
        <f t="shared" si="64"/>
        <v/>
      </c>
      <c r="CC197" t="str">
        <f t="shared" si="57"/>
        <v>{BLACK}Powered by: {GOLD}Diesel {}{SILVER}The Class 50 hauled express services on the West Coast Main Line until electrification, at which point they were used to replace diesel-hydraulic engines in the Western Region.</v>
      </c>
    </row>
    <row r="198" spans="1:81" x14ac:dyDescent="0.25">
      <c r="A198" t="s">
        <v>61</v>
      </c>
      <c r="B198" t="s">
        <v>175</v>
      </c>
      <c r="C198">
        <v>338</v>
      </c>
      <c r="D198">
        <v>105</v>
      </c>
      <c r="E198" t="s">
        <v>263</v>
      </c>
      <c r="F198" t="s">
        <v>296</v>
      </c>
      <c r="G198" t="s">
        <v>297</v>
      </c>
      <c r="H198">
        <v>1973</v>
      </c>
      <c r="I198">
        <v>1975</v>
      </c>
      <c r="J198">
        <v>2006</v>
      </c>
      <c r="L198">
        <v>5000</v>
      </c>
      <c r="U198">
        <v>81</v>
      </c>
      <c r="X198">
        <v>258</v>
      </c>
      <c r="Y198" s="3">
        <f t="shared" si="66"/>
        <v>0.31851851851851853</v>
      </c>
      <c r="Z198">
        <v>110</v>
      </c>
      <c r="AA198">
        <f t="shared" si="63"/>
        <v>176</v>
      </c>
      <c r="AD198">
        <v>17.829999999999998</v>
      </c>
      <c r="AE198">
        <v>17.829999999999998</v>
      </c>
      <c r="AG198">
        <v>3.77</v>
      </c>
      <c r="AH198" s="10">
        <v>0</v>
      </c>
      <c r="AI198" t="str">
        <f>CONCATENATE(VLOOKUP(AJ198, 'Voxel Sizes'!$A$2:$B$18,2,FALSE),"x",INT(AF198*15), "x", INT(AG198*15))</f>
        <v>164x0x56</v>
      </c>
      <c r="AJ198">
        <f t="shared" ref="AJ198:AJ261" si="67">ROUND(15*((AE198*10)/256),0)</f>
        <v>10</v>
      </c>
      <c r="AL198" t="str">
        <f>CONCATENATE(VLOOKUP(AJ198,Constants!$A$2:$C$16,IF(AK198&lt;&gt;"", 3, 2), FALSE),IF(AK198&lt;&gt;"",CONCATENATE(",",VLOOKUP(AK198,$B:$AL,37,FALSE)),""))</f>
        <v>4,2,4</v>
      </c>
      <c r="AV198">
        <v>30</v>
      </c>
      <c r="AW198" s="15">
        <f t="shared" ref="AW198:AW261" si="68">IF(J198&lt;&gt;"",MAX(16,(J198-H198)+8),"")</f>
        <v>41</v>
      </c>
      <c r="AZ198">
        <f t="shared" ref="AZ198:AZ261" si="69">MIN(Z198/150, 1)*30</f>
        <v>22</v>
      </c>
      <c r="BA198">
        <f t="shared" ref="BA198:BA261" si="70">MIN(L198/4000, 1)*20</f>
        <v>20</v>
      </c>
      <c r="BB198">
        <f t="shared" ref="BB198:BB261" si="71">MIN(X198/400,1)*20</f>
        <v>12.9</v>
      </c>
      <c r="BC198" s="3">
        <f t="shared" ref="BC198:BC261" si="72">1-(MAX(H198-1900, 0)/750)</f>
        <v>0.90266666666666673</v>
      </c>
      <c r="BD198">
        <f t="shared" ref="BD198:BD261" si="73">((MAX($K198,1)*MIN($AH198/300,1)))*IF(E198="Wagon",50,10)</f>
        <v>0</v>
      </c>
      <c r="BE198">
        <f>VLOOKUP($F198,Constants!$I:$K, 2, FALSE)</f>
        <v>0.85</v>
      </c>
      <c r="BF198">
        <f>VLOOKUP($F198,Constants!$I:$K, 3, FALSE)*IF(AND(E198="multiple_unit",Z198&lt;110),0.75,1)</f>
        <v>2.2999999999999998</v>
      </c>
      <c r="BG198">
        <f>INT(POWER(((Constants!$G$2+$AZ198+$BA198+$BB198+$BD198)*$BC198)*$BF198, 1.05))+$AY198</f>
        <v>158</v>
      </c>
      <c r="BH198">
        <f>INT(POWER((((Constants!$G$1+$AZ198+$BA198+$BB198+$BD198)*($BC198))*$BE198),IF($E198="wagon",1,1.2)))+$AX198</f>
        <v>118</v>
      </c>
      <c r="BI198" s="14">
        <f t="shared" ref="BI198:BI261" si="74">BG198*IF($E198="wagon",62.5,781.25)</f>
        <v>123437.5</v>
      </c>
      <c r="BJ198" s="14">
        <f t="shared" ref="BJ198:BJ261" si="75">BH198*IF($E198="wagon",2.73,81.25)</f>
        <v>9587.5</v>
      </c>
      <c r="BQ198">
        <v>1</v>
      </c>
      <c r="BU198" t="str">
        <f>VLOOKUP(H198,Eras!$A$2:$C$10, 2, TRUE)</f>
        <v>lbr</v>
      </c>
      <c r="BV198" t="s">
        <v>338</v>
      </c>
      <c r="BW198" t="str">
        <f t="shared" ref="BW198:BW261" si="76">CONCATENATE(BU198,"_",BV198)</f>
        <v>lbr_Express (Electric)</v>
      </c>
      <c r="BX198" t="str">
        <f t="shared" ref="BX198:BX261" si="77">_xlfn.CONCAT(F198, "_",G198)</f>
        <v>electric_ELRL</v>
      </c>
      <c r="BY198" t="str">
        <f>VLOOKUP($BX198, Constants!$M:$N, 2, FALSE)</f>
        <v>{BLACK}Powered by: {GOLD}25kV AC</v>
      </c>
      <c r="BZ198" t="str">
        <f t="shared" si="65"/>
        <v/>
      </c>
      <c r="CA198" t="s">
        <v>545</v>
      </c>
      <c r="CB198" t="str">
        <f t="shared" si="64"/>
        <v/>
      </c>
      <c r="CC198" t="str">
        <f t="shared" ref="CC198:CC261" si="78">_xlfn.CONCAT(BY198,IF(BY198 &lt;&gt; "", " ", ""),BZ198,IF(OR(BZ198&lt;&gt;"", BY198&lt;&gt;""), "{}",""), CB198,"{SILVER}", CA198)</f>
        <v>{BLACK}Powered by: {GOLD}25kV AC {}{SILVER}The Class 87 was a further development of the Class 86 with even more power and performance, serving as the flagship of the British Rail electric fleet.</v>
      </c>
    </row>
    <row r="199" spans="1:81" x14ac:dyDescent="0.25">
      <c r="A199" t="s">
        <v>34</v>
      </c>
      <c r="B199" t="s">
        <v>306</v>
      </c>
      <c r="C199">
        <v>340</v>
      </c>
      <c r="D199">
        <v>106</v>
      </c>
      <c r="E199" t="s">
        <v>263</v>
      </c>
      <c r="F199" t="s">
        <v>273</v>
      </c>
      <c r="G199" t="s">
        <v>275</v>
      </c>
      <c r="H199">
        <v>1975</v>
      </c>
      <c r="I199">
        <v>1982</v>
      </c>
      <c r="J199">
        <v>2021</v>
      </c>
      <c r="L199">
        <v>1770</v>
      </c>
      <c r="U199">
        <v>70.25</v>
      </c>
      <c r="X199">
        <v>160</v>
      </c>
      <c r="Y199" s="3">
        <f t="shared" si="66"/>
        <v>0.22775800711743771</v>
      </c>
      <c r="Z199">
        <v>125</v>
      </c>
      <c r="AA199">
        <f t="shared" si="63"/>
        <v>200</v>
      </c>
      <c r="AD199">
        <v>17.79</v>
      </c>
      <c r="AE199">
        <v>17.79</v>
      </c>
      <c r="AH199" s="10">
        <v>0</v>
      </c>
      <c r="AI199" t="str">
        <f>CONCATENATE(VLOOKUP(AJ199, 'Voxel Sizes'!$A$2:$B$18,2,FALSE),"x",INT(AF199*15), "x", INT(AG199*15))</f>
        <v>164x0x0</v>
      </c>
      <c r="AJ199">
        <f t="shared" si="67"/>
        <v>10</v>
      </c>
      <c r="AL199" t="str">
        <f>CONCATENATE(VLOOKUP(AJ199,Constants!$A$2:$C$16,IF(AK199&lt;&gt;"", 3, 2), FALSE),IF(AK199&lt;&gt;"",CONCATENATE(",",VLOOKUP(AK199,$B:$AL,37,FALSE)),""))</f>
        <v>4,2,4</v>
      </c>
      <c r="AV199">
        <v>35</v>
      </c>
      <c r="AW199" s="15">
        <f t="shared" si="68"/>
        <v>54</v>
      </c>
      <c r="AZ199">
        <f t="shared" si="69"/>
        <v>25</v>
      </c>
      <c r="BA199">
        <f t="shared" si="70"/>
        <v>8.85</v>
      </c>
      <c r="BB199">
        <f t="shared" si="71"/>
        <v>8</v>
      </c>
      <c r="BC199" s="3">
        <f t="shared" si="72"/>
        <v>0.9</v>
      </c>
      <c r="BD199">
        <f t="shared" si="73"/>
        <v>0</v>
      </c>
      <c r="BE199">
        <f>VLOOKUP($F199,Constants!$I:$K, 2, FALSE)</f>
        <v>1</v>
      </c>
      <c r="BF199">
        <f>VLOOKUP($F199,Constants!$I:$K, 3, FALSE)*IF(AND(E199="multiple_unit",Z199&lt;110),0.75,1)</f>
        <v>2</v>
      </c>
      <c r="BG199">
        <f>INT(POWER(((Constants!$G$2+$AZ199+$BA199+$BB199+$BD199)*$BC199)*$BF199, 1.05))+$AY199</f>
        <v>105</v>
      </c>
      <c r="BH199">
        <f>INT(POWER((((Constants!$G$1+$AZ199+$BA199+$BB199+$BD199)*($BC199))*$BE199),IF($E199="wagon",1,1.2)))+$AX199</f>
        <v>112</v>
      </c>
      <c r="BI199" s="14">
        <f t="shared" si="74"/>
        <v>82031.25</v>
      </c>
      <c r="BJ199" s="14">
        <f t="shared" si="75"/>
        <v>9100</v>
      </c>
      <c r="BK199">
        <v>1</v>
      </c>
      <c r="BO199">
        <v>1</v>
      </c>
      <c r="BQ199">
        <v>2</v>
      </c>
      <c r="BU199" t="str">
        <f>VLOOKUP(H199,Eras!$A$2:$C$10, 2, TRUE)</f>
        <v>lbr</v>
      </c>
      <c r="BV199" t="s">
        <v>328</v>
      </c>
      <c r="BW199" t="str">
        <f t="shared" si="76"/>
        <v>lbr_Express</v>
      </c>
      <c r="BX199" t="str">
        <f t="shared" si="77"/>
        <v>diesel_RAIL</v>
      </c>
      <c r="BY199" t="str">
        <f>VLOOKUP($BX199, Constants!$M:$N, 2, FALSE)</f>
        <v>{BLACK}Powered by: {GOLD}Diesel</v>
      </c>
      <c r="BZ199" t="str">
        <f t="shared" si="65"/>
        <v/>
      </c>
      <c r="CA199" t="s">
        <v>366</v>
      </c>
      <c r="CB199" t="str">
        <f t="shared" si="64"/>
        <v/>
      </c>
      <c r="CC199" t="str">
        <f t="shared" si="78"/>
        <v>{BLACK}Powered by: {GOLD}Diesel {}{SILVER}The Class 43 HST is a high-speed diesel-electric locomotive, also known as the Intercity 125 for its 125mph service speed and intended use on long routes between cities.</v>
      </c>
    </row>
    <row r="200" spans="1:81" x14ac:dyDescent="0.25">
      <c r="A200" t="s">
        <v>546</v>
      </c>
      <c r="B200" t="s">
        <v>548</v>
      </c>
      <c r="C200">
        <v>342</v>
      </c>
      <c r="D200">
        <v>107</v>
      </c>
      <c r="E200" t="s">
        <v>263</v>
      </c>
      <c r="F200" t="s">
        <v>273</v>
      </c>
      <c r="G200" t="s">
        <v>275</v>
      </c>
      <c r="H200">
        <v>1976</v>
      </c>
      <c r="I200">
        <v>1984</v>
      </c>
      <c r="L200">
        <v>3250</v>
      </c>
      <c r="U200">
        <v>125</v>
      </c>
      <c r="X200">
        <v>275</v>
      </c>
      <c r="Y200" s="3">
        <f t="shared" si="66"/>
        <v>0.22</v>
      </c>
      <c r="Z200">
        <v>80</v>
      </c>
      <c r="AA200">
        <f t="shared" si="63"/>
        <v>128</v>
      </c>
      <c r="AD200">
        <v>19.350000000000001</v>
      </c>
      <c r="AE200">
        <v>19.350000000000001</v>
      </c>
      <c r="AG200">
        <v>3.89</v>
      </c>
      <c r="AH200" s="10">
        <v>0</v>
      </c>
      <c r="AI200" t="str">
        <f>CONCATENATE(VLOOKUP(AJ200, 'Voxel Sizes'!$A$2:$B$18,2,FALSE),"x",INT(AF200*15), "x", INT(AG200*15))</f>
        <v>186x0x58</v>
      </c>
      <c r="AJ200">
        <f t="shared" si="67"/>
        <v>11</v>
      </c>
      <c r="AL200" t="str">
        <f>CONCATENATE(VLOOKUP(AJ200,Constants!$A$2:$C$16,IF(AK200&lt;&gt;"", 3, 2), FALSE),IF(AK200&lt;&gt;"",CONCATENATE(",",VLOOKUP(AK200,$B:$AL,37,FALSE)),""))</f>
        <v>4,3,4</v>
      </c>
      <c r="AV200">
        <v>30</v>
      </c>
      <c r="AW200" s="15" t="str">
        <f t="shared" si="68"/>
        <v/>
      </c>
      <c r="AZ200">
        <f t="shared" si="69"/>
        <v>16</v>
      </c>
      <c r="BA200">
        <f t="shared" si="70"/>
        <v>16.25</v>
      </c>
      <c r="BB200">
        <f t="shared" si="71"/>
        <v>13.75</v>
      </c>
      <c r="BC200" s="3">
        <f t="shared" si="72"/>
        <v>0.89866666666666672</v>
      </c>
      <c r="BD200">
        <f t="shared" si="73"/>
        <v>0</v>
      </c>
      <c r="BE200">
        <f>VLOOKUP($F200,Constants!$I:$K, 2, FALSE)</f>
        <v>1</v>
      </c>
      <c r="BF200">
        <f>VLOOKUP($F200,Constants!$I:$K, 3, FALSE)*IF(AND(E200="multiple_unit",Z200&lt;110),0.75,1)</f>
        <v>2</v>
      </c>
      <c r="BG200">
        <f>INT(POWER(((Constants!$G$2+$AZ200+$BA200+$BB200+$BD200)*$BC200)*$BF200, 1.05))+$AY200</f>
        <v>114</v>
      </c>
      <c r="BH200">
        <f>INT(POWER((((Constants!$G$1+$AZ200+$BA200+$BB200+$BD200)*($BC200))*$BE200),IF($E200="wagon",1,1.2)))+$AX200</f>
        <v>122</v>
      </c>
      <c r="BI200" s="14">
        <f t="shared" si="74"/>
        <v>89062.5</v>
      </c>
      <c r="BJ200" s="14">
        <f t="shared" si="75"/>
        <v>9912.5</v>
      </c>
      <c r="BQ200">
        <v>3</v>
      </c>
      <c r="BU200" t="str">
        <f>VLOOKUP(H200,Eras!$A$2:$C$10, 2, TRUE)</f>
        <v>lbr</v>
      </c>
      <c r="BV200" t="s">
        <v>329</v>
      </c>
      <c r="BW200" t="str">
        <f t="shared" si="76"/>
        <v>lbr_Freight</v>
      </c>
      <c r="BX200" t="str">
        <f t="shared" si="77"/>
        <v>diesel_RAIL</v>
      </c>
      <c r="BY200" t="str">
        <f>VLOOKUP($BX200, Constants!$M:$N, 2, FALSE)</f>
        <v>{BLACK}Powered by: {GOLD}Diesel</v>
      </c>
      <c r="BZ200" t="str">
        <f t="shared" si="65"/>
        <v/>
      </c>
      <c r="CA200" t="s">
        <v>547</v>
      </c>
      <c r="CB200" t="str">
        <f t="shared" si="64"/>
        <v/>
      </c>
      <c r="CC200" t="str">
        <f t="shared" si="78"/>
        <v>{BLACK}Powered by: {GOLD}Diesel {}{SILVER}The Class 56 is designed for heavy freight work. It contains many improvements to the electric drivetrain compared to earlier diesel-electric locomotives, making it more reliable and easier to operate.</v>
      </c>
    </row>
    <row r="201" spans="1:81" x14ac:dyDescent="0.25">
      <c r="A201" t="s">
        <v>44</v>
      </c>
      <c r="B201" t="s">
        <v>559</v>
      </c>
      <c r="C201">
        <v>344</v>
      </c>
      <c r="D201">
        <v>108</v>
      </c>
      <c r="E201" t="s">
        <v>263</v>
      </c>
      <c r="F201" t="s">
        <v>273</v>
      </c>
      <c r="G201" t="s">
        <v>275</v>
      </c>
      <c r="H201">
        <v>1983</v>
      </c>
      <c r="I201">
        <v>1987</v>
      </c>
      <c r="L201">
        <v>3300</v>
      </c>
      <c r="U201">
        <v>130</v>
      </c>
      <c r="X201">
        <v>267</v>
      </c>
      <c r="Y201" s="3">
        <f t="shared" si="66"/>
        <v>0.20538461538461539</v>
      </c>
      <c r="Z201">
        <v>80</v>
      </c>
      <c r="AA201">
        <f t="shared" si="63"/>
        <v>128</v>
      </c>
      <c r="AD201">
        <v>19.13</v>
      </c>
      <c r="AE201">
        <v>19.13</v>
      </c>
      <c r="AG201">
        <v>3.91</v>
      </c>
      <c r="AH201" s="10">
        <v>0</v>
      </c>
      <c r="AI201" t="str">
        <f>CONCATENATE(VLOOKUP(AJ201, 'Voxel Sizes'!$A$2:$B$18,2,FALSE),"x",INT(AF201*15), "x", INT(AG201*15))</f>
        <v>186x0x58</v>
      </c>
      <c r="AJ201">
        <f t="shared" si="67"/>
        <v>11</v>
      </c>
      <c r="AL201" t="str">
        <f>CONCATENATE(VLOOKUP(AJ201,Constants!$A$2:$C$16,IF(AK201&lt;&gt;"", 3, 2), FALSE),IF(AK201&lt;&gt;"",CONCATENATE(",",VLOOKUP(AK201,$B:$AL,37,FALSE)),""))</f>
        <v>4,3,4</v>
      </c>
      <c r="AV201">
        <v>30</v>
      </c>
      <c r="AW201" s="15" t="str">
        <f t="shared" si="68"/>
        <v/>
      </c>
      <c r="AZ201">
        <f t="shared" si="69"/>
        <v>16</v>
      </c>
      <c r="BA201">
        <f t="shared" si="70"/>
        <v>16.5</v>
      </c>
      <c r="BB201">
        <f t="shared" si="71"/>
        <v>13.35</v>
      </c>
      <c r="BC201" s="3">
        <f t="shared" si="72"/>
        <v>0.88933333333333331</v>
      </c>
      <c r="BD201">
        <f t="shared" si="73"/>
        <v>0</v>
      </c>
      <c r="BE201">
        <f>VLOOKUP($F201,Constants!$I:$K, 2, FALSE)</f>
        <v>1</v>
      </c>
      <c r="BF201">
        <f>VLOOKUP($F201,Constants!$I:$K, 3, FALSE)*IF(AND(E201="multiple_unit",Z201&lt;110),0.75,1)</f>
        <v>2</v>
      </c>
      <c r="BG201">
        <f>INT(POWER(((Constants!$G$2+$AZ201+$BA201+$BB201+$BD201)*$BC201)*$BF201, 1.05))+$AY201</f>
        <v>113</v>
      </c>
      <c r="BH201">
        <f>INT(POWER((((Constants!$G$1+$AZ201+$BA201+$BB201+$BD201)*($BC201))*$BE201),IF($E201="wagon",1,1.2)))+$AX201</f>
        <v>120</v>
      </c>
      <c r="BI201" s="14">
        <f t="shared" si="74"/>
        <v>88281.25</v>
      </c>
      <c r="BJ201" s="14">
        <f t="shared" si="75"/>
        <v>9750</v>
      </c>
      <c r="BQ201">
        <v>4</v>
      </c>
      <c r="BU201" t="str">
        <f>VLOOKUP(H201,Eras!$A$2:$C$10, 2, TRUE)</f>
        <v>lbr</v>
      </c>
      <c r="BV201" t="s">
        <v>329</v>
      </c>
      <c r="BW201" t="str">
        <f t="shared" si="76"/>
        <v>lbr_Freight</v>
      </c>
      <c r="BX201" t="str">
        <f t="shared" si="77"/>
        <v>diesel_RAIL</v>
      </c>
      <c r="BY201" t="str">
        <f>VLOOKUP($BX201, Constants!$M:$N, 2, FALSE)</f>
        <v>{BLACK}Powered by: {GOLD}Diesel</v>
      </c>
      <c r="BZ201" t="str">
        <f t="shared" si="65"/>
        <v/>
      </c>
      <c r="CA201" t="s">
        <v>558</v>
      </c>
      <c r="CB201" t="str">
        <f t="shared" si="64"/>
        <v/>
      </c>
      <c r="CC201" t="str">
        <f t="shared" si="78"/>
        <v>{BLACK}Powered by: {GOLD}Diesel {}{SILVER}The Class 58 used a modular design with replaceable modules mounted to an underframe. It was nicknamed "Bone" after the narrow central section.</v>
      </c>
    </row>
    <row r="202" spans="1:81" x14ac:dyDescent="0.25">
      <c r="A202" t="s">
        <v>33</v>
      </c>
      <c r="B202" t="s">
        <v>176</v>
      </c>
      <c r="C202">
        <v>346</v>
      </c>
      <c r="D202">
        <v>109</v>
      </c>
      <c r="E202" t="s">
        <v>263</v>
      </c>
      <c r="F202" t="s">
        <v>273</v>
      </c>
      <c r="G202" t="s">
        <v>275</v>
      </c>
      <c r="H202">
        <v>1985</v>
      </c>
      <c r="I202">
        <v>1995</v>
      </c>
      <c r="L202">
        <v>3300</v>
      </c>
      <c r="U202">
        <v>126</v>
      </c>
      <c r="X202">
        <v>290</v>
      </c>
      <c r="Y202" s="3">
        <f t="shared" si="66"/>
        <v>0.23015873015873015</v>
      </c>
      <c r="Z202">
        <v>75</v>
      </c>
      <c r="AA202">
        <f t="shared" si="63"/>
        <v>120</v>
      </c>
      <c r="AD202">
        <v>21.4</v>
      </c>
      <c r="AE202">
        <v>21.4</v>
      </c>
      <c r="AG202">
        <v>3.91</v>
      </c>
      <c r="AH202" s="10">
        <v>0</v>
      </c>
      <c r="AI202" t="str">
        <f>CONCATENATE(VLOOKUP(AJ202, 'Voxel Sizes'!$A$2:$B$18,2,FALSE),"x",INT(AF202*15), "x", INT(AG202*15))</f>
        <v>214x0x58</v>
      </c>
      <c r="AJ202">
        <f t="shared" si="67"/>
        <v>13</v>
      </c>
      <c r="AL202" t="str">
        <f>CONCATENATE(VLOOKUP(AJ202,Constants!$A$2:$C$16,IF(AK202&lt;&gt;"", 3, 2), FALSE),IF(AK202&lt;&gt;"",CONCATENATE(",",VLOOKUP(AK202,$B:$AL,37,FALSE)),""))</f>
        <v>4,5,4</v>
      </c>
      <c r="AV202">
        <v>30</v>
      </c>
      <c r="AW202" s="15" t="str">
        <f t="shared" si="68"/>
        <v/>
      </c>
      <c r="AZ202">
        <f t="shared" si="69"/>
        <v>15</v>
      </c>
      <c r="BA202">
        <f t="shared" si="70"/>
        <v>16.5</v>
      </c>
      <c r="BB202">
        <f t="shared" si="71"/>
        <v>14.5</v>
      </c>
      <c r="BC202" s="3">
        <f t="shared" si="72"/>
        <v>0.88666666666666671</v>
      </c>
      <c r="BD202">
        <f t="shared" si="73"/>
        <v>0</v>
      </c>
      <c r="BE202">
        <f>VLOOKUP($F202,Constants!$I:$K, 2, FALSE)</f>
        <v>1</v>
      </c>
      <c r="BF202">
        <f>VLOOKUP($F202,Constants!$I:$K, 3, FALSE)*IF(AND(E202="multiple_unit",Z202&lt;110),0.75,1)</f>
        <v>2</v>
      </c>
      <c r="BG202">
        <f>INT(POWER(((Constants!$G$2+$AZ202+$BA202+$BB202+$BD202)*$BC202)*$BF202, 1.05))+$AY202</f>
        <v>113</v>
      </c>
      <c r="BH202">
        <f>INT(POWER((((Constants!$G$1+$AZ202+$BA202+$BB202+$BD202)*($BC202))*$BE202),IF($E202="wagon",1,1.2)))+$AX202</f>
        <v>120</v>
      </c>
      <c r="BI202" s="14">
        <f t="shared" si="74"/>
        <v>88281.25</v>
      </c>
      <c r="BJ202" s="14">
        <f t="shared" si="75"/>
        <v>9750</v>
      </c>
      <c r="BQ202">
        <v>5</v>
      </c>
      <c r="BU202" t="str">
        <f>VLOOKUP(H202,Eras!$A$2:$C$10, 2, TRUE)</f>
        <v>lbr</v>
      </c>
      <c r="BV202" t="s">
        <v>329</v>
      </c>
      <c r="BW202" t="str">
        <f t="shared" si="76"/>
        <v>lbr_Freight</v>
      </c>
      <c r="BX202" t="str">
        <f t="shared" si="77"/>
        <v>diesel_RAIL</v>
      </c>
      <c r="BY202" t="str">
        <f>VLOOKUP($BX202, Constants!$M:$N, 2, FALSE)</f>
        <v>{BLACK}Powered by: {GOLD}Diesel</v>
      </c>
      <c r="BZ202" t="str">
        <f t="shared" si="65"/>
        <v/>
      </c>
      <c r="CA202" t="s">
        <v>560</v>
      </c>
      <c r="CB202" t="str">
        <f t="shared" si="64"/>
        <v/>
      </c>
      <c r="CC202" t="str">
        <f t="shared" si="78"/>
        <v>{BLACK}Powered by: {GOLD}Diesel {}{SILVER}The Class 59 is the first US-built locomotive to operate in mainland Great Britain. It is derived from the SD40, with a British cab layout.</v>
      </c>
    </row>
    <row r="203" spans="1:81" x14ac:dyDescent="0.25">
      <c r="A203" t="s">
        <v>1193</v>
      </c>
      <c r="B203" t="s">
        <v>1194</v>
      </c>
      <c r="C203">
        <v>347</v>
      </c>
      <c r="D203">
        <v>110</v>
      </c>
      <c r="E203" t="s">
        <v>263</v>
      </c>
      <c r="F203" t="s">
        <v>296</v>
      </c>
      <c r="G203" t="s">
        <v>297</v>
      </c>
      <c r="H203">
        <v>1986</v>
      </c>
      <c r="J203">
        <v>2001</v>
      </c>
      <c r="L203">
        <v>5850</v>
      </c>
      <c r="U203">
        <v>105</v>
      </c>
      <c r="X203">
        <v>209</v>
      </c>
      <c r="Y203" s="3">
        <f t="shared" si="66"/>
        <v>0.19904761904761906</v>
      </c>
      <c r="Z203">
        <v>125</v>
      </c>
      <c r="AA203">
        <f t="shared" si="63"/>
        <v>200</v>
      </c>
      <c r="AD203">
        <v>19.79</v>
      </c>
      <c r="AE203">
        <v>19.79</v>
      </c>
      <c r="AF203">
        <v>2.73</v>
      </c>
      <c r="AG203">
        <v>3.8</v>
      </c>
      <c r="AI203" t="str">
        <f>CONCATENATE(VLOOKUP(AJ203, 'Voxel Sizes'!$A$2:$B$18,2,FALSE),"x",INT(AF203*15), "x", INT(AG203*15))</f>
        <v>198x40x57</v>
      </c>
      <c r="AJ203">
        <f t="shared" si="67"/>
        <v>12</v>
      </c>
      <c r="AL203" t="str">
        <f>CONCATENATE(VLOOKUP(AJ203,Constants!$A$2:$C$16,IF(AK203&lt;&gt;"", 3, 2), FALSE),IF(AK203&lt;&gt;"",CONCATENATE(",",VLOOKUP(AK203,$B:$AL,37,FALSE)),""))</f>
        <v>4,4,4</v>
      </c>
      <c r="AV203">
        <v>24</v>
      </c>
      <c r="AW203" s="15">
        <f t="shared" si="68"/>
        <v>23</v>
      </c>
      <c r="AX203">
        <v>15</v>
      </c>
      <c r="AY203">
        <v>-30</v>
      </c>
      <c r="AZ203">
        <f t="shared" si="69"/>
        <v>25</v>
      </c>
      <c r="BA203">
        <f t="shared" si="70"/>
        <v>20</v>
      </c>
      <c r="BB203">
        <f t="shared" si="71"/>
        <v>10.45</v>
      </c>
      <c r="BC203" s="3">
        <f t="shared" si="72"/>
        <v>0.88533333333333331</v>
      </c>
      <c r="BD203">
        <f t="shared" si="73"/>
        <v>0</v>
      </c>
      <c r="BE203">
        <f>VLOOKUP($F203,Constants!$I:$K, 2, FALSE)</f>
        <v>0.85</v>
      </c>
      <c r="BF203">
        <f>VLOOKUP($F203,Constants!$I:$K, 3, FALSE)*IF(AND(E203="multiple_unit",Z203&lt;110),0.75,1)</f>
        <v>2.2999999999999998</v>
      </c>
      <c r="BG203">
        <f>INT(POWER(((Constants!$G$2+$AZ203+$BA203+$BB203+$BD203)*$BC203)*$BF203, 1.05))+$AY203</f>
        <v>126</v>
      </c>
      <c r="BH203">
        <f>INT(POWER((((Constants!$G$1+$AZ203+$BA203+$BB203+$BD203)*($BC203))*$BE203),IF($E203="wagon",1,1.2)))+$AX203</f>
        <v>132</v>
      </c>
      <c r="BI203" s="14">
        <f t="shared" si="74"/>
        <v>98437.5</v>
      </c>
      <c r="BJ203" s="14">
        <f t="shared" si="75"/>
        <v>10725</v>
      </c>
      <c r="BQ203">
        <v>5</v>
      </c>
      <c r="BU203" t="str">
        <f>VLOOKUP(H203,Eras!$A$2:$C$10, 2, TRUE)</f>
        <v>lbr</v>
      </c>
      <c r="BV203" t="s">
        <v>328</v>
      </c>
      <c r="BW203" t="str">
        <f t="shared" si="76"/>
        <v>lbr_Express</v>
      </c>
      <c r="BX203" t="str">
        <f t="shared" si="77"/>
        <v>electric_ELRL</v>
      </c>
      <c r="BY203" t="str">
        <f>VLOOKUP($BX203, Constants!$M:$N, 2, FALSE)</f>
        <v>{BLACK}Powered by: {GOLD}25kV AC</v>
      </c>
      <c r="BZ203" t="str">
        <f t="shared" si="65"/>
        <v/>
      </c>
      <c r="CA203" t="s">
        <v>1228</v>
      </c>
      <c r="CC203" t="str">
        <f t="shared" si="78"/>
        <v>{BLACK}Powered by: {GOLD}25kV AC {}{SILVER}The Class 89 was a prototype express locomotive; unfortunately the specification changed after the prototype was built, and only a single example was completed. It was withdrawn from service twice after major breakdowns.</v>
      </c>
    </row>
    <row r="204" spans="1:81" x14ac:dyDescent="0.25">
      <c r="A204" t="s">
        <v>65</v>
      </c>
      <c r="B204" t="s">
        <v>177</v>
      </c>
      <c r="C204">
        <v>348</v>
      </c>
      <c r="D204">
        <v>111</v>
      </c>
      <c r="E204" t="s">
        <v>263</v>
      </c>
      <c r="F204" t="s">
        <v>296</v>
      </c>
      <c r="G204" t="s">
        <v>297</v>
      </c>
      <c r="H204">
        <v>1987</v>
      </c>
      <c r="I204">
        <v>1990</v>
      </c>
      <c r="L204">
        <v>5000</v>
      </c>
      <c r="U204">
        <v>84.5</v>
      </c>
      <c r="X204">
        <v>258</v>
      </c>
      <c r="Y204" s="3">
        <f t="shared" si="66"/>
        <v>0.30532544378698223</v>
      </c>
      <c r="Z204">
        <v>110</v>
      </c>
      <c r="AA204">
        <f t="shared" si="63"/>
        <v>176</v>
      </c>
      <c r="AD204">
        <v>18.75</v>
      </c>
      <c r="AE204">
        <v>18.75</v>
      </c>
      <c r="AG204">
        <v>3.96</v>
      </c>
      <c r="AH204" s="10">
        <v>0</v>
      </c>
      <c r="AI204" t="str">
        <f>CONCATENATE(VLOOKUP(AJ204, 'Voxel Sizes'!$A$2:$B$18,2,FALSE),"x",INT(AF204*15), "x", INT(AG204*15))</f>
        <v>186x0x59</v>
      </c>
      <c r="AJ204">
        <f t="shared" si="67"/>
        <v>11</v>
      </c>
      <c r="AL204" t="str">
        <f>CONCATENATE(VLOOKUP(AJ204,Constants!$A$2:$C$16,IF(AK204&lt;&gt;"", 3, 2), FALSE),IF(AK204&lt;&gt;"",CONCATENATE(",",VLOOKUP(AK204,$B:$AL,37,FALSE)),""))</f>
        <v>4,3,4</v>
      </c>
      <c r="AV204">
        <v>30</v>
      </c>
      <c r="AW204" s="15" t="str">
        <f t="shared" si="68"/>
        <v/>
      </c>
      <c r="AZ204">
        <f t="shared" si="69"/>
        <v>22</v>
      </c>
      <c r="BA204">
        <f t="shared" si="70"/>
        <v>20</v>
      </c>
      <c r="BB204">
        <f t="shared" si="71"/>
        <v>12.9</v>
      </c>
      <c r="BC204" s="3">
        <f t="shared" si="72"/>
        <v>0.88400000000000001</v>
      </c>
      <c r="BD204">
        <f t="shared" si="73"/>
        <v>0</v>
      </c>
      <c r="BE204">
        <f>VLOOKUP($F204,Constants!$I:$K, 2, FALSE)</f>
        <v>0.85</v>
      </c>
      <c r="BF204">
        <f>VLOOKUP($F204,Constants!$I:$K, 3, FALSE)*IF(AND(E204="multiple_unit",Z204&lt;110),0.75,1)</f>
        <v>2.2999999999999998</v>
      </c>
      <c r="BG204">
        <f>INT(POWER(((Constants!$G$2+$AZ204+$BA204+$BB204+$BD204)*$BC204)*$BF204, 1.05))+$AY204</f>
        <v>154</v>
      </c>
      <c r="BH204">
        <f>INT(POWER((((Constants!$G$1+$AZ204+$BA204+$BB204+$BD204)*($BC204))*$BE204),IF($E204="wagon",1,1.2)))+$AX204</f>
        <v>115</v>
      </c>
      <c r="BI204" s="14">
        <f t="shared" si="74"/>
        <v>120312.5</v>
      </c>
      <c r="BJ204" s="14">
        <f t="shared" si="75"/>
        <v>9343.75</v>
      </c>
      <c r="BQ204">
        <v>6</v>
      </c>
      <c r="BU204" t="str">
        <f>VLOOKUP(H204,Eras!$A$2:$C$10, 2, TRUE)</f>
        <v>lbr</v>
      </c>
      <c r="BV204" t="s">
        <v>328</v>
      </c>
      <c r="BW204" t="str">
        <f t="shared" si="76"/>
        <v>lbr_Express</v>
      </c>
      <c r="BX204" t="str">
        <f t="shared" si="77"/>
        <v>electric_ELRL</v>
      </c>
      <c r="BY204" t="str">
        <f>VLOOKUP($BX204, Constants!$M:$N, 2, FALSE)</f>
        <v>{BLACK}Powered by: {GOLD}25kV AC</v>
      </c>
      <c r="BZ204" t="str">
        <f t="shared" si="65"/>
        <v/>
      </c>
      <c r="CA204" t="s">
        <v>563</v>
      </c>
      <c r="CB204" t="str">
        <f>IF(BT204="BRAKE","{YELLOW}Speed bonus for slow wagons{}",IF(BR204&gt;190,CONCATENATE("{YELLOW}",INT((BR204-185)/1.85),"% Bonus for long distance travel{}"),IF(AND(BR204&lt;180,BR204&lt;&gt;0),CONCATENATE("{YELLOW}",INT((185-BR204)/1.85),"% Penalty for long distance travel{}"),"")))</f>
        <v/>
      </c>
      <c r="CC204" t="str">
        <f t="shared" si="78"/>
        <v>{BLACK}Powered by: {GOLD}25kV AC {}{SILVER}The Class 90 is a powerful electric locomotive. Initially used for Intercity express services, several were also used for freight.</v>
      </c>
    </row>
    <row r="205" spans="1:81" x14ac:dyDescent="0.25">
      <c r="A205" t="s">
        <v>569</v>
      </c>
      <c r="B205" t="s">
        <v>236</v>
      </c>
      <c r="C205">
        <v>350</v>
      </c>
      <c r="D205">
        <v>112</v>
      </c>
      <c r="E205" t="s">
        <v>263</v>
      </c>
      <c r="F205" t="s">
        <v>296</v>
      </c>
      <c r="G205" t="s">
        <v>297</v>
      </c>
      <c r="H205">
        <v>1988</v>
      </c>
      <c r="I205">
        <v>1991</v>
      </c>
      <c r="L205">
        <v>6480</v>
      </c>
      <c r="U205">
        <v>81.5</v>
      </c>
      <c r="X205">
        <v>190</v>
      </c>
      <c r="Y205" s="3">
        <f t="shared" si="66"/>
        <v>0.23312883435582821</v>
      </c>
      <c r="Z205">
        <v>140</v>
      </c>
      <c r="AA205">
        <f t="shared" si="63"/>
        <v>224</v>
      </c>
      <c r="AD205">
        <v>19.399999999999999</v>
      </c>
      <c r="AE205">
        <v>19.399999999999999</v>
      </c>
      <c r="AH205" s="10">
        <v>0</v>
      </c>
      <c r="AI205" t="str">
        <f>CONCATENATE(VLOOKUP(AJ205, 'Voxel Sizes'!$A$2:$B$18,2,FALSE),"x",INT(AF205*15), "x", INT(AG205*15))</f>
        <v>186x0x0</v>
      </c>
      <c r="AJ205">
        <f t="shared" si="67"/>
        <v>11</v>
      </c>
      <c r="AL205" t="str">
        <f>CONCATENATE(VLOOKUP(AJ205,Constants!$A$2:$C$16,IF(AK205&lt;&gt;"", 3, 2), FALSE),IF(AK205&lt;&gt;"",CONCATENATE(",",VLOOKUP(AK205,$B:$AL,37,FALSE)),""))</f>
        <v>4,3,4</v>
      </c>
      <c r="AV205">
        <v>27</v>
      </c>
      <c r="AW205" s="15" t="str">
        <f t="shared" si="68"/>
        <v/>
      </c>
      <c r="AZ205">
        <f t="shared" si="69"/>
        <v>28</v>
      </c>
      <c r="BA205">
        <f t="shared" si="70"/>
        <v>20</v>
      </c>
      <c r="BB205">
        <f t="shared" si="71"/>
        <v>9.5</v>
      </c>
      <c r="BC205" s="3">
        <f t="shared" si="72"/>
        <v>0.88266666666666671</v>
      </c>
      <c r="BD205">
        <f t="shared" si="73"/>
        <v>0</v>
      </c>
      <c r="BE205">
        <f>VLOOKUP($F205,Constants!$I:$K, 2, FALSE)</f>
        <v>0.85</v>
      </c>
      <c r="BF205">
        <f>VLOOKUP($F205,Constants!$I:$K, 3, FALSE)*IF(AND(E205="multiple_unit",Z205&lt;110),0.75,1)</f>
        <v>2.2999999999999998</v>
      </c>
      <c r="BG205">
        <f>INT(POWER(((Constants!$G$2+$AZ205+$BA205+$BB205+$BD205)*$BC205)*$BF205, 1.05))+$AY205</f>
        <v>161</v>
      </c>
      <c r="BH205">
        <f>INT(POWER((((Constants!$G$1+$AZ205+$BA205+$BB205+$BD205)*($BC205))*$BE205),IF($E205="wagon",1,1.2)))+$AX205</f>
        <v>120</v>
      </c>
      <c r="BI205" s="14">
        <f t="shared" si="74"/>
        <v>125781.25</v>
      </c>
      <c r="BJ205" s="14">
        <f t="shared" si="75"/>
        <v>9750</v>
      </c>
      <c r="BQ205">
        <v>7</v>
      </c>
      <c r="BU205" t="str">
        <f>VLOOKUP(H205,Eras!$A$2:$C$10, 2, TRUE)</f>
        <v>lbr</v>
      </c>
      <c r="BV205" t="s">
        <v>338</v>
      </c>
      <c r="BW205" t="str">
        <f t="shared" si="76"/>
        <v>lbr_Express (Electric)</v>
      </c>
      <c r="BX205" t="str">
        <f t="shared" si="77"/>
        <v>electric_ELRL</v>
      </c>
      <c r="BY205" t="str">
        <f>VLOOKUP($BX205, Constants!$M:$N, 2, FALSE)</f>
        <v>{BLACK}Powered by: {GOLD}25kV AC</v>
      </c>
      <c r="BZ205" t="str">
        <f t="shared" si="65"/>
        <v/>
      </c>
      <c r="CA205" t="s">
        <v>568</v>
      </c>
      <c r="CB205" t="str">
        <f>IF(BT205="BRAKE","{YELLOW}Speed bonus for slow wagons{}",IF(BR205&gt;190,CONCATENATE("{YELLOW}",INT((BR205-185)/1.85),"% Bonus for long distance travel{}"),IF(AND(BR205&lt;180,BR205&lt;&gt;0),CONCATENATE("{YELLOW}",INT((185-BR205)/1.85),"% Penalty for long distance travel{}"),"")))</f>
        <v/>
      </c>
      <c r="CC205" t="str">
        <f t="shared" si="78"/>
        <v>{BLACK}Powered by: {GOLD}25kV AC {}{SILVER}The Class 91 is a high speed electric locomotive, designed for Intercity 225 services.</v>
      </c>
    </row>
    <row r="206" spans="1:81" x14ac:dyDescent="0.25">
      <c r="A206" t="s">
        <v>570</v>
      </c>
      <c r="B206" t="s">
        <v>571</v>
      </c>
      <c r="C206">
        <v>352</v>
      </c>
      <c r="D206">
        <v>113</v>
      </c>
      <c r="E206" t="s">
        <v>263</v>
      </c>
      <c r="F206" t="s">
        <v>1484</v>
      </c>
      <c r="G206" t="s">
        <v>275</v>
      </c>
      <c r="H206">
        <v>1988</v>
      </c>
      <c r="I206">
        <v>1991</v>
      </c>
      <c r="L206">
        <v>100</v>
      </c>
      <c r="U206">
        <v>40</v>
      </c>
      <c r="X206">
        <v>5</v>
      </c>
      <c r="Y206" s="3">
        <f t="shared" si="66"/>
        <v>1.2500000000000001E-2</v>
      </c>
      <c r="Z206">
        <v>140</v>
      </c>
      <c r="AA206">
        <f t="shared" si="63"/>
        <v>224</v>
      </c>
      <c r="AD206">
        <v>19.399999999999999</v>
      </c>
      <c r="AE206">
        <v>19.399999999999999</v>
      </c>
      <c r="AH206" s="10">
        <v>36</v>
      </c>
      <c r="AI206" t="str">
        <f>CONCATENATE(VLOOKUP(AJ206, 'Voxel Sizes'!$A$2:$B$18,2,FALSE),"x",INT(AF206*15), "x", INT(AG206*15))</f>
        <v>186x0x0</v>
      </c>
      <c r="AJ206">
        <f t="shared" si="67"/>
        <v>11</v>
      </c>
      <c r="AL206" t="str">
        <f>CONCATENATE(VLOOKUP(AJ206,Constants!$A$2:$C$16,IF(AK206&lt;&gt;"", 3, 2), FALSE),IF(AK206&lt;&gt;"",CONCATENATE(",",VLOOKUP(AK206,$B:$AL,37,FALSE)),""))</f>
        <v>4,3,4</v>
      </c>
      <c r="AV206">
        <v>27</v>
      </c>
      <c r="AW206" s="15" t="str">
        <f t="shared" si="68"/>
        <v/>
      </c>
      <c r="AX206">
        <v>-35</v>
      </c>
      <c r="AY206">
        <v>-60</v>
      </c>
      <c r="AZ206">
        <f t="shared" si="69"/>
        <v>28</v>
      </c>
      <c r="BA206">
        <f t="shared" si="70"/>
        <v>0.5</v>
      </c>
      <c r="BB206">
        <f t="shared" si="71"/>
        <v>0.25</v>
      </c>
      <c r="BC206" s="3">
        <f t="shared" si="72"/>
        <v>0.88266666666666671</v>
      </c>
      <c r="BD206">
        <f t="shared" si="73"/>
        <v>1.2</v>
      </c>
      <c r="BE206">
        <f>VLOOKUP($F206,Constants!$I:$K, 2, FALSE)</f>
        <v>0.85</v>
      </c>
      <c r="BF206">
        <f>VLOOKUP($F206,Constants!$I:$K, 3, FALSE)*IF(AND(E206="multiple_unit",Z206&lt;110),0.75,1)</f>
        <v>2.2999999999999998</v>
      </c>
      <c r="BG206">
        <f>INT(POWER(((Constants!$G$2+$AZ206+$BA206+$BB206+$BD206)*$BC206)*$BF206, 1.05))+$AY206</f>
        <v>27</v>
      </c>
      <c r="BH206">
        <f>INT(POWER((((Constants!$G$1+$AZ206+$BA206+$BB206+$BD206)*($BC206))*$BE206),IF($E206="wagon",1,1.2)))+$AX206</f>
        <v>33</v>
      </c>
      <c r="BI206" s="14">
        <f t="shared" si="74"/>
        <v>21093.75</v>
      </c>
      <c r="BJ206" s="14">
        <f t="shared" si="75"/>
        <v>2681.25</v>
      </c>
      <c r="BK206">
        <v>1</v>
      </c>
      <c r="BL206">
        <v>1</v>
      </c>
      <c r="BQ206">
        <v>7</v>
      </c>
      <c r="BT206" t="s">
        <v>652</v>
      </c>
      <c r="BU206" t="str">
        <f>VLOOKUP(H206,Eras!$A$2:$C$10, 2, TRUE)</f>
        <v>lbr</v>
      </c>
      <c r="BV206" t="s">
        <v>338</v>
      </c>
      <c r="BW206" t="str">
        <f t="shared" si="76"/>
        <v>lbr_Express (Electric)</v>
      </c>
      <c r="BX206" t="str">
        <f t="shared" si="77"/>
        <v>none_RAIL</v>
      </c>
      <c r="BY206" t="str">
        <f>VLOOKUP($BX206, Constants!$M:$N, 2, FALSE)</f>
        <v/>
      </c>
      <c r="BZ206" t="str">
        <f t="shared" si="65"/>
        <v/>
      </c>
      <c r="CA206" t="s">
        <v>1486</v>
      </c>
      <c r="CB206" t="str">
        <f>IF(BT206="BRAKE","{YELLOW}Speed bonus for slow wagons{}",IF(BR206&gt;190,CONCATENATE("{YELLOW}",INT((BR206-185)/1.85),"% Bonus for long distance travel{}"),IF(AND(BR206&lt;180,BR206&lt;&gt;0),CONCATENATE("{YELLOW}",INT((185-BR206)/1.85),"% Penalty for long distance travel{}"),"")))</f>
        <v/>
      </c>
      <c r="CC206" t="str">
        <f t="shared" si="78"/>
        <v>{SILVER}This driving van trailer can be used with diesel and electric locomotives, either as a leading or trailing vehicle. It is recommended for use with the Class 91.</v>
      </c>
    </row>
    <row r="207" spans="1:81" x14ac:dyDescent="0.25">
      <c r="A207" t="s">
        <v>611</v>
      </c>
      <c r="B207" t="s">
        <v>575</v>
      </c>
      <c r="C207">
        <v>354</v>
      </c>
      <c r="D207">
        <v>114</v>
      </c>
      <c r="E207" t="s">
        <v>263</v>
      </c>
      <c r="F207" t="s">
        <v>273</v>
      </c>
      <c r="G207" t="s">
        <v>275</v>
      </c>
      <c r="H207">
        <v>1989</v>
      </c>
      <c r="L207">
        <v>3100</v>
      </c>
      <c r="U207">
        <v>129</v>
      </c>
      <c r="X207">
        <v>474</v>
      </c>
      <c r="Y207" s="3">
        <f t="shared" si="66"/>
        <v>0.36744186046511629</v>
      </c>
      <c r="Z207">
        <v>60</v>
      </c>
      <c r="AA207">
        <f t="shared" si="63"/>
        <v>96</v>
      </c>
      <c r="AD207">
        <v>21.34</v>
      </c>
      <c r="AE207">
        <v>21.34</v>
      </c>
      <c r="AF207">
        <v>2.64</v>
      </c>
      <c r="AG207">
        <v>3.95</v>
      </c>
      <c r="AH207" s="10">
        <v>0</v>
      </c>
      <c r="AI207" t="str">
        <f>CONCATENATE(VLOOKUP(AJ207, 'Voxel Sizes'!$A$2:$B$18,2,FALSE),"x",INT(AF207*15), "x", INT(AG207*15))</f>
        <v>214x39x59</v>
      </c>
      <c r="AJ207">
        <f t="shared" si="67"/>
        <v>13</v>
      </c>
      <c r="AL207" t="str">
        <f>CONCATENATE(VLOOKUP(AJ207,Constants!$A$2:$C$16,IF(AK207&lt;&gt;"", 3, 2), FALSE),IF(AK207&lt;&gt;"",CONCATENATE(",",VLOOKUP(AK207,$B:$AL,37,FALSE)),""))</f>
        <v>4,5,4</v>
      </c>
      <c r="AV207">
        <v>30</v>
      </c>
      <c r="AW207" s="15" t="str">
        <f t="shared" si="68"/>
        <v/>
      </c>
      <c r="AZ207">
        <f t="shared" si="69"/>
        <v>12</v>
      </c>
      <c r="BA207">
        <f t="shared" si="70"/>
        <v>15.5</v>
      </c>
      <c r="BB207">
        <f t="shared" si="71"/>
        <v>20</v>
      </c>
      <c r="BC207" s="3">
        <f t="shared" si="72"/>
        <v>0.8813333333333333</v>
      </c>
      <c r="BD207">
        <f t="shared" si="73"/>
        <v>0</v>
      </c>
      <c r="BE207">
        <f>VLOOKUP($F207,Constants!$I:$K, 2, FALSE)</f>
        <v>1</v>
      </c>
      <c r="BF207">
        <f>VLOOKUP($F207,Constants!$I:$K, 3, FALSE)*IF(AND(E207="multiple_unit",Z207&lt;110),0.75,1)</f>
        <v>2</v>
      </c>
      <c r="BG207">
        <f>INT(POWER(((Constants!$G$2+$AZ207+$BA207+$BB207+$BD207)*$BC207)*$BF207, 1.05))+$AY207</f>
        <v>116</v>
      </c>
      <c r="BH207">
        <f>INT(POWER((((Constants!$G$1+$AZ207+$BA207+$BB207+$BD207)*($BC207))*$BE207),IF($E207="wagon",1,1.2)))+$AX207</f>
        <v>122</v>
      </c>
      <c r="BI207" s="14">
        <f t="shared" si="74"/>
        <v>90625</v>
      </c>
      <c r="BJ207" s="14">
        <f t="shared" si="75"/>
        <v>9912.5</v>
      </c>
      <c r="BQ207">
        <v>9</v>
      </c>
      <c r="BU207" t="str">
        <f>VLOOKUP(H207,Eras!$A$2:$C$10, 2, TRUE)</f>
        <v>lbr</v>
      </c>
      <c r="BV207" t="s">
        <v>329</v>
      </c>
      <c r="BW207" t="str">
        <f t="shared" si="76"/>
        <v>lbr_Freight</v>
      </c>
      <c r="BX207" t="str">
        <f t="shared" si="77"/>
        <v>diesel_RAIL</v>
      </c>
      <c r="BY207" t="str">
        <f>VLOOKUP($BX207, Constants!$M:$N, 2, FALSE)</f>
        <v>{BLACK}Powered by: {GOLD}Diesel</v>
      </c>
      <c r="BZ207" t="str">
        <f t="shared" si="65"/>
        <v/>
      </c>
      <c r="CA207" t="s">
        <v>612</v>
      </c>
      <c r="CB207" t="str">
        <f>IF(BT207="BRAKE","{YELLOW}Speed bonus for slow wagons{}",IF(BR207&gt;190,CONCATENATE("{YELLOW}",INT((BR207-185)/1.85),"% Bonus for long distance travel{}"),IF(AND(BR207&lt;180,BR207&lt;&gt;0),CONCATENATE("{YELLOW}",INT((185-BR207)/1.85),"% Penalty for long distance travel{}"),"")))</f>
        <v/>
      </c>
      <c r="CC207" t="str">
        <f t="shared" si="78"/>
        <v>{BLACK}Powered by: {GOLD}Diesel {}{SILVER}The Brush Class 60 is a Type 5 diesel, designed for high power and tractive effort to haul heavy freight trains.</v>
      </c>
    </row>
    <row r="208" spans="1:81" x14ac:dyDescent="0.25">
      <c r="A208" t="s">
        <v>1309</v>
      </c>
      <c r="B208" t="s">
        <v>1195</v>
      </c>
      <c r="C208">
        <v>355</v>
      </c>
      <c r="D208">
        <v>115</v>
      </c>
      <c r="E208" t="s">
        <v>263</v>
      </c>
      <c r="F208" t="s">
        <v>273</v>
      </c>
      <c r="G208" t="s">
        <v>275</v>
      </c>
      <c r="H208">
        <v>1990</v>
      </c>
      <c r="L208">
        <v>1270</v>
      </c>
      <c r="U208">
        <v>90</v>
      </c>
      <c r="X208">
        <v>170</v>
      </c>
      <c r="Y208" s="3">
        <f t="shared" si="66"/>
        <v>0.18888888888888888</v>
      </c>
      <c r="Z208">
        <v>62</v>
      </c>
      <c r="AA208">
        <f t="shared" si="63"/>
        <v>99</v>
      </c>
      <c r="AD208">
        <v>14.4</v>
      </c>
      <c r="AE208">
        <v>14.4</v>
      </c>
      <c r="AI208" t="str">
        <f>CONCATENATE(VLOOKUP(AJ208, 'Voxel Sizes'!$A$2:$B$18,2,FALSE),"x",INT(AF208*15), "x", INT(AG208*15))</f>
        <v>136x0x0</v>
      </c>
      <c r="AJ208">
        <f t="shared" si="67"/>
        <v>8</v>
      </c>
      <c r="AL208" t="str">
        <f>CONCATENATE(VLOOKUP(AJ208,Constants!$A$2:$C$16,IF(AK208&lt;&gt;"", 3, 2), FALSE),IF(AK208&lt;&gt;"",CONCATENATE(",",VLOOKUP(AK208,$B:$AL,37,FALSE)),""))</f>
        <v>2,4,2</v>
      </c>
      <c r="AV208">
        <v>34</v>
      </c>
      <c r="AW208" s="15" t="str">
        <f t="shared" si="68"/>
        <v/>
      </c>
      <c r="AY208">
        <v>-16</v>
      </c>
      <c r="AZ208">
        <f t="shared" si="69"/>
        <v>12.4</v>
      </c>
      <c r="BA208">
        <f t="shared" si="70"/>
        <v>6.35</v>
      </c>
      <c r="BB208">
        <f t="shared" si="71"/>
        <v>8.5</v>
      </c>
      <c r="BC208" s="3">
        <f t="shared" si="72"/>
        <v>0.88</v>
      </c>
      <c r="BD208">
        <f t="shared" si="73"/>
        <v>0</v>
      </c>
      <c r="BE208">
        <f>VLOOKUP($F208,Constants!$I:$K, 2, FALSE)</f>
        <v>1</v>
      </c>
      <c r="BF208">
        <f>VLOOKUP($F208,Constants!$I:$K, 3, FALSE)*IF(AND(E208="multiple_unit",Z208&lt;110),0.75,1)</f>
        <v>2</v>
      </c>
      <c r="BG208">
        <f>INT(POWER(((Constants!$G$2+$AZ208+$BA208+$BB208+$BD208)*$BC208)*$BF208, 1.05))+$AY208</f>
        <v>53</v>
      </c>
      <c r="BH208">
        <f>INT(POWER((((Constants!$G$1+$AZ208+$BA208+$BB208+$BD208)*($BC208))*$BE208),IF($E208="wagon",1,1.2)))+$AX208</f>
        <v>76</v>
      </c>
      <c r="BI208" s="14">
        <f t="shared" si="74"/>
        <v>41406.25</v>
      </c>
      <c r="BJ208" s="14">
        <f t="shared" si="75"/>
        <v>6175</v>
      </c>
      <c r="BQ208">
        <v>6</v>
      </c>
      <c r="BU208" t="str">
        <f>VLOOKUP(H208,Eras!$A$2:$C$10, 2, TRUE)</f>
        <v>lbr</v>
      </c>
      <c r="BV208" t="s">
        <v>326</v>
      </c>
      <c r="BW208" t="str">
        <f t="shared" si="76"/>
        <v>lbr_Cheap</v>
      </c>
      <c r="BX208" t="str">
        <f t="shared" si="77"/>
        <v>diesel_RAIL</v>
      </c>
      <c r="BY208" t="str">
        <f>VLOOKUP($BX208, Constants!$M:$N, 2, FALSE)</f>
        <v>{BLACK}Powered by: {GOLD}Diesel</v>
      </c>
      <c r="CA208" t="s">
        <v>1409</v>
      </c>
      <c r="CC208" t="str">
        <f t="shared" si="78"/>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1" x14ac:dyDescent="0.25">
      <c r="A209" t="s">
        <v>596</v>
      </c>
      <c r="B209" t="s">
        <v>178</v>
      </c>
      <c r="C209">
        <v>356</v>
      </c>
      <c r="D209">
        <v>116</v>
      </c>
      <c r="E209" t="s">
        <v>263</v>
      </c>
      <c r="F209" t="s">
        <v>552</v>
      </c>
      <c r="G209" t="s">
        <v>551</v>
      </c>
      <c r="H209">
        <v>1993</v>
      </c>
      <c r="I209">
        <v>1996</v>
      </c>
      <c r="L209">
        <v>6760</v>
      </c>
      <c r="M209" s="8">
        <v>5360</v>
      </c>
      <c r="U209">
        <v>126</v>
      </c>
      <c r="X209">
        <v>360</v>
      </c>
      <c r="Y209" s="3">
        <f t="shared" si="66"/>
        <v>0.2857142857142857</v>
      </c>
      <c r="Z209">
        <v>87</v>
      </c>
      <c r="AA209">
        <f t="shared" si="63"/>
        <v>139</v>
      </c>
      <c r="AD209">
        <v>21.36</v>
      </c>
      <c r="AE209">
        <v>21.36</v>
      </c>
      <c r="AH209" s="10">
        <v>0</v>
      </c>
      <c r="AI209" t="str">
        <f>CONCATENATE(VLOOKUP(AJ209, 'Voxel Sizes'!$A$2:$B$18,2,FALSE),"x",INT(AF209*15), "x", INT(AG209*15))</f>
        <v>214x0x0</v>
      </c>
      <c r="AJ209">
        <f t="shared" si="67"/>
        <v>13</v>
      </c>
      <c r="AL209" t="str">
        <f>CONCATENATE(VLOOKUP(AJ209,Constants!$A$2:$C$16,IF(AK209&lt;&gt;"", 3, 2), FALSE),IF(AK209&lt;&gt;"",CONCATENATE(",",VLOOKUP(AK209,$B:$AL,37,FALSE)),""))</f>
        <v>4,5,4</v>
      </c>
      <c r="AQ209" t="s">
        <v>178</v>
      </c>
      <c r="AV209">
        <v>24</v>
      </c>
      <c r="AW209" s="15" t="str">
        <f t="shared" si="68"/>
        <v/>
      </c>
      <c r="AZ209">
        <f t="shared" si="69"/>
        <v>17.399999999999999</v>
      </c>
      <c r="BA209">
        <f t="shared" si="70"/>
        <v>20</v>
      </c>
      <c r="BB209">
        <f t="shared" si="71"/>
        <v>18</v>
      </c>
      <c r="BC209" s="3">
        <f t="shared" si="72"/>
        <v>0.876</v>
      </c>
      <c r="BD209">
        <f t="shared" si="73"/>
        <v>0</v>
      </c>
      <c r="BE209">
        <f>VLOOKUP($F209,Constants!$I:$K, 2, FALSE)</f>
        <v>0.85</v>
      </c>
      <c r="BF209">
        <f>VLOOKUP($F209,Constants!$I:$K, 3, FALSE)*IF(AND(E209="multiple_unit",Z209&lt;110),0.75,1)</f>
        <v>2.4</v>
      </c>
      <c r="BG209">
        <f>INT(POWER(((Constants!$G$2+$AZ209+$BA209+$BB209+$BD209)*$BC209)*$BF209, 1.05))+$AY209</f>
        <v>161</v>
      </c>
      <c r="BH209">
        <f>INT(POWER((((Constants!$G$1+$AZ209+$BA209+$BB209+$BD209)*($BC209))*$BE209),IF($E209="wagon",1,1.2)))+$AX209</f>
        <v>115</v>
      </c>
      <c r="BI209" s="14">
        <f t="shared" si="74"/>
        <v>125781.25</v>
      </c>
      <c r="BJ209" s="14">
        <f t="shared" si="75"/>
        <v>9343.75</v>
      </c>
      <c r="BQ209">
        <v>10</v>
      </c>
      <c r="BU209" t="str">
        <f>VLOOKUP(H209,Eras!$A$2:$C$10, 2, TRUE)</f>
        <v>lbr</v>
      </c>
      <c r="BV209" t="s">
        <v>329</v>
      </c>
      <c r="BW209" t="str">
        <f t="shared" si="76"/>
        <v>lbr_Freight</v>
      </c>
      <c r="BX209" t="str">
        <f t="shared" si="77"/>
        <v>dual_electric_DUAL_POWER</v>
      </c>
      <c r="BY209" t="str">
        <f>VLOOKUP($BX209, Constants!$M:$N, 2, FALSE)</f>
        <v>{BLACK}Powered by: {GOLD}25kV AC / 750V DC</v>
      </c>
      <c r="BZ209" t="str">
        <f t="shared" ref="BZ209:BZ249" si="79">IF(K209&gt;1,_xlfn.CONCAT("{BLACK}Cars: {GOLD}", K209),"")</f>
        <v/>
      </c>
      <c r="CA209" t="s">
        <v>580</v>
      </c>
      <c r="CB209" t="str">
        <f t="shared" ref="CB209:CB249" si="80">IF(BT209="BRAKE","{YELLOW}Speed bonus for slow wagons{}",IF(BR209&gt;190,CONCATENATE("{YELLOW}",INT((BR209-185)/1.85),"% Bonus for long distance travel{}"),IF(AND(BR209&lt;180,BR209&lt;&gt;0),CONCATENATE("{YELLOW}",INT((185-BR209)/1.85),"% Penalty for long distance travel{}"),"")))</f>
        <v/>
      </c>
      <c r="CC209" t="str">
        <f t="shared" si="78"/>
        <v>{BLACK}Powered by: {GOLD}25kV AC / 750V DC {}{SILVER}The Class 92 was designed to operate services through the Channel Tunnel. It can run on both the Southern Region third rail system and overhead wires.</v>
      </c>
    </row>
    <row r="210" spans="1:81" x14ac:dyDescent="0.25">
      <c r="A210" t="s">
        <v>45</v>
      </c>
      <c r="B210" t="s">
        <v>179</v>
      </c>
      <c r="C210">
        <v>358</v>
      </c>
      <c r="D210">
        <v>117</v>
      </c>
      <c r="E210" t="s">
        <v>263</v>
      </c>
      <c r="F210" t="s">
        <v>273</v>
      </c>
      <c r="G210" t="s">
        <v>275</v>
      </c>
      <c r="H210">
        <v>1998</v>
      </c>
      <c r="I210">
        <v>2015</v>
      </c>
      <c r="L210">
        <v>3300</v>
      </c>
      <c r="U210">
        <v>129.6</v>
      </c>
      <c r="X210">
        <v>260</v>
      </c>
      <c r="Y210" s="3">
        <f t="shared" si="66"/>
        <v>0.20061728395061729</v>
      </c>
      <c r="Z210">
        <v>75</v>
      </c>
      <c r="AA210">
        <f t="shared" si="63"/>
        <v>120</v>
      </c>
      <c r="AD210">
        <v>21.4</v>
      </c>
      <c r="AE210">
        <v>21.4</v>
      </c>
      <c r="AG210">
        <v>3.9</v>
      </c>
      <c r="AH210" s="10">
        <v>0</v>
      </c>
      <c r="AI210" t="str">
        <f>CONCATENATE(VLOOKUP(AJ210, 'Voxel Sizes'!$A$2:$B$18,2,FALSE),"x",INT(AF210*15), "x", INT(AG210*15))</f>
        <v>214x0x58</v>
      </c>
      <c r="AJ210">
        <f t="shared" si="67"/>
        <v>13</v>
      </c>
      <c r="AL210" t="str">
        <f>CONCATENATE(VLOOKUP(AJ210,Constants!$A$2:$C$16,IF(AK210&lt;&gt;"", 3, 2), FALSE),IF(AK210&lt;&gt;"",CONCATENATE(",",VLOOKUP(AK210,$B:$AL,37,FALSE)),""))</f>
        <v>4,5,4</v>
      </c>
      <c r="AV210">
        <v>30</v>
      </c>
      <c r="AW210" s="15" t="str">
        <f t="shared" si="68"/>
        <v/>
      </c>
      <c r="AZ210">
        <f t="shared" si="69"/>
        <v>15</v>
      </c>
      <c r="BA210">
        <f t="shared" si="70"/>
        <v>16.5</v>
      </c>
      <c r="BB210">
        <f t="shared" si="71"/>
        <v>13</v>
      </c>
      <c r="BC210" s="3">
        <f t="shared" si="72"/>
        <v>0.86933333333333329</v>
      </c>
      <c r="BD210">
        <f t="shared" si="73"/>
        <v>0</v>
      </c>
      <c r="BE210">
        <f>VLOOKUP($F210,Constants!$I:$K, 2, FALSE)</f>
        <v>1</v>
      </c>
      <c r="BF210">
        <f>VLOOKUP($F210,Constants!$I:$K, 3, FALSE)*IF(AND(E210="multiple_unit",Z210&lt;110),0.75,1)</f>
        <v>2</v>
      </c>
      <c r="BG210">
        <f>INT(POWER(((Constants!$G$2+$AZ210+$BA210+$BB210+$BD210)*$BC210)*$BF210, 1.05))+$AY210</f>
        <v>107</v>
      </c>
      <c r="BH210">
        <f>INT(POWER((((Constants!$G$1+$AZ210+$BA210+$BB210+$BD210)*($BC210))*$BE210),IF($E210="wagon",1,1.2)))+$AX210</f>
        <v>113</v>
      </c>
      <c r="BI210" s="14">
        <f t="shared" si="74"/>
        <v>83593.75</v>
      </c>
      <c r="BJ210" s="14">
        <f t="shared" si="75"/>
        <v>9181.25</v>
      </c>
      <c r="BQ210">
        <v>11</v>
      </c>
      <c r="BU210" t="str">
        <f>VLOOKUP(H210,Eras!$A$2:$C$10, 2, TRUE)</f>
        <v>prv</v>
      </c>
      <c r="BV210" t="s">
        <v>329</v>
      </c>
      <c r="BW210" t="str">
        <f t="shared" si="76"/>
        <v>prv_Freight</v>
      </c>
      <c r="BX210" t="str">
        <f t="shared" si="77"/>
        <v>diesel_RAIL</v>
      </c>
      <c r="BY210" t="str">
        <f>VLOOKUP($BX210, Constants!$M:$N, 2, FALSE)</f>
        <v>{BLACK}Powered by: {GOLD}Diesel</v>
      </c>
      <c r="BZ210" t="str">
        <f t="shared" si="79"/>
        <v/>
      </c>
      <c r="CA210" t="s">
        <v>561</v>
      </c>
      <c r="CB210" t="str">
        <f t="shared" si="80"/>
        <v/>
      </c>
      <c r="CC210" t="str">
        <f t="shared" si="78"/>
        <v>{BLACK}Powered by: {GOLD}Diesel {}{SILVER}After the successful introduction of the Class 59, EWS approached GM's Electro-Motive diesel with a huge order of 250 locomotives which would become Class 66.</v>
      </c>
    </row>
    <row r="211" spans="1:81" x14ac:dyDescent="0.25">
      <c r="A211" t="s">
        <v>128</v>
      </c>
      <c r="B211" t="s">
        <v>235</v>
      </c>
      <c r="C211">
        <v>360</v>
      </c>
      <c r="D211">
        <v>118</v>
      </c>
      <c r="E211" t="s">
        <v>263</v>
      </c>
      <c r="F211" t="s">
        <v>273</v>
      </c>
      <c r="G211" t="s">
        <v>275</v>
      </c>
      <c r="H211">
        <v>1998</v>
      </c>
      <c r="I211">
        <v>2004</v>
      </c>
      <c r="L211">
        <v>3000</v>
      </c>
      <c r="U211">
        <v>120.6</v>
      </c>
      <c r="X211">
        <v>250</v>
      </c>
      <c r="Y211" s="3">
        <f t="shared" si="66"/>
        <v>0.20729684908789386</v>
      </c>
      <c r="Z211">
        <v>95</v>
      </c>
      <c r="AA211">
        <f t="shared" si="63"/>
        <v>152</v>
      </c>
      <c r="AD211">
        <v>19.38</v>
      </c>
      <c r="AE211">
        <v>19.38</v>
      </c>
      <c r="AG211">
        <v>3.9</v>
      </c>
      <c r="AH211" s="10">
        <v>0</v>
      </c>
      <c r="AI211" t="str">
        <f>CONCATENATE(VLOOKUP(AJ211, 'Voxel Sizes'!$A$2:$B$18,2,FALSE),"x",INT(AF211*15), "x", INT(AG211*15))</f>
        <v>186x0x58</v>
      </c>
      <c r="AJ211">
        <f t="shared" si="67"/>
        <v>11</v>
      </c>
      <c r="AL211" t="str">
        <f>CONCATENATE(VLOOKUP(AJ211,Constants!$A$2:$C$16,IF(AK211&lt;&gt;"", 3, 2), FALSE),IF(AK211&lt;&gt;"",CONCATENATE(",",VLOOKUP(AK211,$B:$AL,37,FALSE)),""))</f>
        <v>4,3,4</v>
      </c>
      <c r="AV211">
        <v>30</v>
      </c>
      <c r="AW211" s="15" t="str">
        <f t="shared" si="68"/>
        <v/>
      </c>
      <c r="AZ211">
        <f t="shared" si="69"/>
        <v>19</v>
      </c>
      <c r="BA211">
        <f t="shared" si="70"/>
        <v>15</v>
      </c>
      <c r="BB211">
        <f t="shared" si="71"/>
        <v>12.5</v>
      </c>
      <c r="BC211" s="3">
        <f t="shared" si="72"/>
        <v>0.86933333333333329</v>
      </c>
      <c r="BD211">
        <f t="shared" si="73"/>
        <v>0</v>
      </c>
      <c r="BE211">
        <f>VLOOKUP($F211,Constants!$I:$K, 2, FALSE)</f>
        <v>1</v>
      </c>
      <c r="BF211">
        <f>VLOOKUP($F211,Constants!$I:$K, 3, FALSE)*IF(AND(E211="multiple_unit",Z211&lt;110),0.75,1)</f>
        <v>2</v>
      </c>
      <c r="BG211">
        <f>INT(POWER(((Constants!$G$2+$AZ211+$BA211+$BB211+$BD211)*$BC211)*$BF211, 1.05))+$AY211</f>
        <v>112</v>
      </c>
      <c r="BH211">
        <f>INT(POWER((((Constants!$G$1+$AZ211+$BA211+$BB211+$BD211)*($BC211))*$BE211),IF($E211="wagon",1,1.2)))+$AX211</f>
        <v>118</v>
      </c>
      <c r="BI211" s="14">
        <f t="shared" si="74"/>
        <v>87500</v>
      </c>
      <c r="BJ211" s="14">
        <f t="shared" si="75"/>
        <v>9587.5</v>
      </c>
      <c r="BQ211">
        <v>12</v>
      </c>
      <c r="BU211" t="str">
        <f>VLOOKUP(H211,Eras!$A$2:$C$10, 2, TRUE)</f>
        <v>prv</v>
      </c>
      <c r="BV211" t="s">
        <v>329</v>
      </c>
      <c r="BW211" t="str">
        <f t="shared" si="76"/>
        <v>prv_Freight</v>
      </c>
      <c r="BX211" t="str">
        <f t="shared" si="77"/>
        <v>diesel_RAIL</v>
      </c>
      <c r="BY211" t="str">
        <f>VLOOKUP($BX211, Constants!$M:$N, 2, FALSE)</f>
        <v>{BLACK}Powered by: {GOLD}Diesel</v>
      </c>
      <c r="BZ211" t="str">
        <f t="shared" si="79"/>
        <v/>
      </c>
      <c r="CA211" t="s">
        <v>562</v>
      </c>
      <c r="CB211" t="str">
        <f t="shared" si="80"/>
        <v/>
      </c>
      <c r="CC211" t="str">
        <f t="shared" si="78"/>
        <v>{BLACK}Powered by: {GOLD}Diesel {}{SILVER}The Class 57 is a re-engineered locomotive using Class 47 bodyshells and parts, giving rise to its "Bodysnatcher" nickname.</v>
      </c>
    </row>
    <row r="212" spans="1:81" x14ac:dyDescent="0.25">
      <c r="A212" t="s">
        <v>595</v>
      </c>
      <c r="B212" t="s">
        <v>579</v>
      </c>
      <c r="C212">
        <v>362</v>
      </c>
      <c r="D212">
        <v>119</v>
      </c>
      <c r="E212" t="s">
        <v>263</v>
      </c>
      <c r="F212" t="s">
        <v>273</v>
      </c>
      <c r="G212" t="s">
        <v>275</v>
      </c>
      <c r="H212">
        <v>1999</v>
      </c>
      <c r="I212">
        <v>2000</v>
      </c>
      <c r="L212">
        <v>3200</v>
      </c>
      <c r="U212">
        <v>88</v>
      </c>
      <c r="X212">
        <v>144</v>
      </c>
      <c r="Y212" s="3">
        <f t="shared" si="66"/>
        <v>0.16363636363636364</v>
      </c>
      <c r="Z212">
        <v>125</v>
      </c>
      <c r="AA212">
        <f t="shared" si="63"/>
        <v>200</v>
      </c>
      <c r="AD212">
        <v>19.71</v>
      </c>
      <c r="AE212">
        <v>19.71</v>
      </c>
      <c r="AG212">
        <v>3.93</v>
      </c>
      <c r="AH212" s="10">
        <v>0</v>
      </c>
      <c r="AI212" t="str">
        <f>CONCATENATE(VLOOKUP(AJ212, 'Voxel Sizes'!$A$2:$B$18,2,FALSE),"x",INT(AF212*15), "x", INT(AG212*15))</f>
        <v>198x0x58</v>
      </c>
      <c r="AJ212">
        <f t="shared" si="67"/>
        <v>12</v>
      </c>
      <c r="AL212" t="str">
        <f>CONCATENATE(VLOOKUP(AJ212,Constants!$A$2:$C$16,IF(AK212&lt;&gt;"", 3, 2), FALSE),IF(AK212&lt;&gt;"",CONCATENATE(",",VLOOKUP(AK212,$B:$AL,37,FALSE)),""))</f>
        <v>4,4,4</v>
      </c>
      <c r="AV212">
        <v>30</v>
      </c>
      <c r="AW212" s="15" t="str">
        <f t="shared" si="68"/>
        <v/>
      </c>
      <c r="AZ212">
        <f t="shared" si="69"/>
        <v>25</v>
      </c>
      <c r="BA212">
        <f t="shared" si="70"/>
        <v>16</v>
      </c>
      <c r="BB212">
        <f t="shared" si="71"/>
        <v>7.1999999999999993</v>
      </c>
      <c r="BC212" s="3">
        <f t="shared" si="72"/>
        <v>0.86799999999999999</v>
      </c>
      <c r="BD212">
        <f t="shared" si="73"/>
        <v>0</v>
      </c>
      <c r="BE212">
        <f>VLOOKUP($F212,Constants!$I:$K, 2, FALSE)</f>
        <v>1</v>
      </c>
      <c r="BF212">
        <f>VLOOKUP($F212,Constants!$I:$K, 3, FALSE)*IF(AND(E212="multiple_unit",Z212&lt;110),0.75,1)</f>
        <v>2</v>
      </c>
      <c r="BG212">
        <f>INT(POWER(((Constants!$G$2+$AZ212+$BA212+$BB212+$BD212)*$BC212)*$BF212, 1.05))+$AY212</f>
        <v>115</v>
      </c>
      <c r="BH212">
        <f>INT(POWER((((Constants!$G$1+$AZ212+$BA212+$BB212+$BD212)*($BC212))*$BE212),IF($E212="wagon",1,1.2)))+$AX212</f>
        <v>122</v>
      </c>
      <c r="BI212" s="14">
        <f t="shared" si="74"/>
        <v>89843.75</v>
      </c>
      <c r="BJ212" s="14">
        <f t="shared" si="75"/>
        <v>9912.5</v>
      </c>
      <c r="BQ212">
        <v>1</v>
      </c>
      <c r="BU212" t="str">
        <f>VLOOKUP(H212,Eras!$A$2:$C$10, 2, TRUE)</f>
        <v>prv</v>
      </c>
      <c r="BV212" t="s">
        <v>329</v>
      </c>
      <c r="BW212" t="str">
        <f t="shared" si="76"/>
        <v>prv_Freight</v>
      </c>
      <c r="BX212" t="str">
        <f t="shared" si="77"/>
        <v>diesel_RAIL</v>
      </c>
      <c r="BY212" t="str">
        <f>VLOOKUP($BX212, Constants!$M:$N, 2, FALSE)</f>
        <v>{BLACK}Powered by: {GOLD}Diesel</v>
      </c>
      <c r="BZ212" t="str">
        <f t="shared" si="79"/>
        <v/>
      </c>
      <c r="CA212" t="s">
        <v>578</v>
      </c>
      <c r="CB212" t="str">
        <f t="shared" si="80"/>
        <v/>
      </c>
      <c r="CC212" t="str">
        <f t="shared" si="78"/>
        <v>{BLACK}Powered by: {GOLD}Diesel {}{SILVER}The Class 67 is a high speed freight locomotive designed for mail service. It uses EMD engines, generators and traction motors.</v>
      </c>
    </row>
    <row r="213" spans="1:81" x14ac:dyDescent="0.25">
      <c r="A213" t="s">
        <v>50</v>
      </c>
      <c r="B213" t="s">
        <v>180</v>
      </c>
      <c r="C213">
        <v>364</v>
      </c>
      <c r="D213">
        <v>120</v>
      </c>
      <c r="E213" t="s">
        <v>263</v>
      </c>
      <c r="F213" t="s">
        <v>273</v>
      </c>
      <c r="G213" t="s">
        <v>275</v>
      </c>
      <c r="H213">
        <v>2008</v>
      </c>
      <c r="I213">
        <v>2017</v>
      </c>
      <c r="L213">
        <v>3690</v>
      </c>
      <c r="U213">
        <v>129</v>
      </c>
      <c r="X213">
        <v>330</v>
      </c>
      <c r="Y213" s="3">
        <f t="shared" si="66"/>
        <v>0.2558139534883721</v>
      </c>
      <c r="Z213">
        <v>75</v>
      </c>
      <c r="AA213">
        <f t="shared" si="63"/>
        <v>120</v>
      </c>
      <c r="AD213">
        <v>21.27</v>
      </c>
      <c r="AE213">
        <v>21.27</v>
      </c>
      <c r="AG213">
        <v>3.91</v>
      </c>
      <c r="AH213" s="10">
        <v>0</v>
      </c>
      <c r="AI213" t="str">
        <f>CONCATENATE(VLOOKUP(AJ213, 'Voxel Sizes'!$A$2:$B$18,2,FALSE),"x",INT(AF213*15), "x", INT(AG213*15))</f>
        <v>198x0x58</v>
      </c>
      <c r="AJ213">
        <f t="shared" si="67"/>
        <v>12</v>
      </c>
      <c r="AL213" t="str">
        <f>CONCATENATE(VLOOKUP(AJ213,Constants!$A$2:$C$16,IF(AK213&lt;&gt;"", 3, 2), FALSE),IF(AK213&lt;&gt;"",CONCATENATE(",",VLOOKUP(AK213,$B:$AL,37,FALSE)),""))</f>
        <v>4,4,4</v>
      </c>
      <c r="AV213">
        <v>30</v>
      </c>
      <c r="AW213" s="15" t="str">
        <f t="shared" si="68"/>
        <v/>
      </c>
      <c r="AZ213">
        <f t="shared" si="69"/>
        <v>15</v>
      </c>
      <c r="BA213">
        <f t="shared" si="70"/>
        <v>18.45</v>
      </c>
      <c r="BB213">
        <f t="shared" si="71"/>
        <v>16.5</v>
      </c>
      <c r="BC213" s="3">
        <f t="shared" si="72"/>
        <v>0.85599999999999998</v>
      </c>
      <c r="BD213">
        <f t="shared" si="73"/>
        <v>0</v>
      </c>
      <c r="BE213">
        <f>VLOOKUP($F213,Constants!$I:$K, 2, FALSE)</f>
        <v>1</v>
      </c>
      <c r="BF213">
        <f>VLOOKUP($F213,Constants!$I:$K, 3, FALSE)*IF(AND(E213="multiple_unit",Z213&lt;110),0.75,1)</f>
        <v>2</v>
      </c>
      <c r="BG213">
        <f>INT(POWER(((Constants!$G$2+$AZ213+$BA213+$BB213+$BD213)*$BC213)*$BF213, 1.05))+$AY213</f>
        <v>118</v>
      </c>
      <c r="BH213">
        <f>INT(POWER((((Constants!$G$1+$AZ213+$BA213+$BB213+$BD213)*($BC213))*$BE213),IF($E213="wagon",1,1.2)))+$AX213</f>
        <v>124</v>
      </c>
      <c r="BI213" s="14">
        <f t="shared" si="74"/>
        <v>92187.5</v>
      </c>
      <c r="BJ213" s="14">
        <f t="shared" si="75"/>
        <v>10075</v>
      </c>
      <c r="BQ213">
        <v>2</v>
      </c>
      <c r="BU213" t="str">
        <f>VLOOKUP(H213,Eras!$A$2:$C$10, 2, TRUE)</f>
        <v>mod</v>
      </c>
      <c r="BV213" t="s">
        <v>329</v>
      </c>
      <c r="BW213" t="str">
        <f t="shared" si="76"/>
        <v>mod_Freight</v>
      </c>
      <c r="BX213" t="str">
        <f t="shared" si="77"/>
        <v>diesel_RAIL</v>
      </c>
      <c r="BY213" t="str">
        <f>VLOOKUP($BX213, Constants!$M:$N, 2, FALSE)</f>
        <v>{BLACK}Powered by: {GOLD}Diesel</v>
      </c>
      <c r="BZ213" t="str">
        <f t="shared" si="79"/>
        <v/>
      </c>
      <c r="CA213" t="s">
        <v>592</v>
      </c>
      <c r="CB213" t="str">
        <f t="shared" si="80"/>
        <v/>
      </c>
      <c r="CC213" t="str">
        <f t="shared" si="78"/>
        <v>{BLACK}Powered by: {GOLD}Diesel {}{SILVER}The General Electric Class 70 is designed with crash safety in mind, hence the bonnet-like structure at each end.</v>
      </c>
    </row>
    <row r="214" spans="1:81" x14ac:dyDescent="0.25">
      <c r="A214" t="s">
        <v>594</v>
      </c>
      <c r="B214" t="s">
        <v>593</v>
      </c>
      <c r="C214">
        <v>366</v>
      </c>
      <c r="D214">
        <v>121</v>
      </c>
      <c r="E214" t="s">
        <v>263</v>
      </c>
      <c r="F214" t="s">
        <v>273</v>
      </c>
      <c r="G214" t="s">
        <v>275</v>
      </c>
      <c r="H214">
        <v>2013</v>
      </c>
      <c r="I214">
        <v>2016</v>
      </c>
      <c r="L214">
        <v>3800</v>
      </c>
      <c r="U214">
        <v>85</v>
      </c>
      <c r="X214">
        <v>317</v>
      </c>
      <c r="Y214" s="3">
        <f t="shared" si="66"/>
        <v>0.37294117647058822</v>
      </c>
      <c r="Z214">
        <v>100</v>
      </c>
      <c r="AA214">
        <f t="shared" si="63"/>
        <v>160</v>
      </c>
      <c r="AD214">
        <v>20.5</v>
      </c>
      <c r="AE214">
        <v>20.5</v>
      </c>
      <c r="AH214" s="10">
        <v>0</v>
      </c>
      <c r="AI214" t="str">
        <f>CONCATENATE(VLOOKUP(AJ214, 'Voxel Sizes'!$A$2:$B$18,2,FALSE),"x",INT(AF214*15), "x", INT(AG214*15))</f>
        <v>198x0x0</v>
      </c>
      <c r="AJ214">
        <f t="shared" si="67"/>
        <v>12</v>
      </c>
      <c r="AL214" t="str">
        <f>CONCATENATE(VLOOKUP(AJ214,Constants!$A$2:$C$16,IF(AK214&lt;&gt;"", 3, 2), FALSE),IF(AK214&lt;&gt;"",CONCATENATE(",",VLOOKUP(AK214,$B:$AL,37,FALSE)),""))</f>
        <v>4,4,4</v>
      </c>
      <c r="AV214">
        <v>30</v>
      </c>
      <c r="AW214" s="15" t="str">
        <f t="shared" si="68"/>
        <v/>
      </c>
      <c r="AZ214">
        <f t="shared" si="69"/>
        <v>20</v>
      </c>
      <c r="BA214">
        <f t="shared" si="70"/>
        <v>19</v>
      </c>
      <c r="BB214">
        <f t="shared" si="71"/>
        <v>15.85</v>
      </c>
      <c r="BC214" s="3">
        <f t="shared" si="72"/>
        <v>0.84933333333333327</v>
      </c>
      <c r="BD214">
        <f t="shared" si="73"/>
        <v>0</v>
      </c>
      <c r="BE214">
        <f>VLOOKUP($F214,Constants!$I:$K, 2, FALSE)</f>
        <v>1</v>
      </c>
      <c r="BF214">
        <f>VLOOKUP($F214,Constants!$I:$K, 3, FALSE)*IF(AND(E214="multiple_unit",Z214&lt;110),0.75,1)</f>
        <v>2</v>
      </c>
      <c r="BG214">
        <f>INT(POWER(((Constants!$G$2+$AZ214+$BA214+$BB214+$BD214)*$BC214)*$BF214, 1.05))+$AY214</f>
        <v>128</v>
      </c>
      <c r="BH214">
        <f>INT(POWER((((Constants!$G$1+$AZ214+$BA214+$BB214+$BD214)*($BC214))*$BE214),IF($E214="wagon",1,1.2)))+$AX214</f>
        <v>134</v>
      </c>
      <c r="BI214" s="14">
        <f t="shared" si="74"/>
        <v>100000</v>
      </c>
      <c r="BJ214" s="14">
        <f t="shared" si="75"/>
        <v>10887.5</v>
      </c>
      <c r="BQ214">
        <v>3</v>
      </c>
      <c r="BU214" t="str">
        <f>VLOOKUP(H214,Eras!$A$2:$C$10, 2, TRUE)</f>
        <v>mod</v>
      </c>
      <c r="BV214" t="s">
        <v>327</v>
      </c>
      <c r="BW214" t="str">
        <f t="shared" si="76"/>
        <v>mod_Mixed Traffic</v>
      </c>
      <c r="BX214" t="str">
        <f t="shared" si="77"/>
        <v>diesel_RAIL</v>
      </c>
      <c r="BY214" t="str">
        <f>VLOOKUP($BX214, Constants!$M:$N, 2, FALSE)</f>
        <v>{BLACK}Powered by: {GOLD}Diesel</v>
      </c>
      <c r="BZ214" t="str">
        <f t="shared" si="79"/>
        <v/>
      </c>
      <c r="CA214" t="s">
        <v>597</v>
      </c>
      <c r="CB214" t="str">
        <f t="shared" si="80"/>
        <v/>
      </c>
      <c r="CC214" t="str">
        <f t="shared" si="78"/>
        <v>{BLACK}Powered by: {GOLD}Diesel {}{SILVER}The Class 68 is a modern mixed traffic disel locomotive with a powerful 16-cylinder Caterpillar engine.</v>
      </c>
    </row>
    <row r="215" spans="1:81" x14ac:dyDescent="0.25">
      <c r="A215" t="s">
        <v>54</v>
      </c>
      <c r="B215" t="s">
        <v>181</v>
      </c>
      <c r="C215">
        <v>368</v>
      </c>
      <c r="D215">
        <v>122</v>
      </c>
      <c r="E215" t="s">
        <v>263</v>
      </c>
      <c r="F215" t="s">
        <v>541</v>
      </c>
      <c r="G215" t="s">
        <v>297</v>
      </c>
      <c r="H215">
        <v>2015</v>
      </c>
      <c r="I215">
        <v>2016</v>
      </c>
      <c r="L215">
        <v>5400</v>
      </c>
      <c r="M215" s="8">
        <v>940</v>
      </c>
      <c r="U215">
        <v>86</v>
      </c>
      <c r="X215">
        <v>317</v>
      </c>
      <c r="Y215" s="3">
        <f t="shared" si="66"/>
        <v>0.36860465116279068</v>
      </c>
      <c r="Z215">
        <v>100</v>
      </c>
      <c r="AA215">
        <f t="shared" si="63"/>
        <v>160</v>
      </c>
      <c r="AD215">
        <v>20.5</v>
      </c>
      <c r="AE215">
        <v>20.5</v>
      </c>
      <c r="AH215" s="10">
        <v>0</v>
      </c>
      <c r="AI215" t="str">
        <f>CONCATENATE(VLOOKUP(AJ215, 'Voxel Sizes'!$A$2:$B$18,2,FALSE),"x",INT(AF215*15), "x", INT(AG215*15))</f>
        <v>198x0x0</v>
      </c>
      <c r="AJ215">
        <f t="shared" si="67"/>
        <v>12</v>
      </c>
      <c r="AL215" t="str">
        <f>CONCATENATE(VLOOKUP(AJ215,Constants!$A$2:$C$16,IF(AK215&lt;&gt;"", 3, 2), FALSE),IF(AK215&lt;&gt;"",CONCATENATE(",",VLOOKUP(AK215,$B:$AL,37,FALSE)),""))</f>
        <v>4,4,4</v>
      </c>
      <c r="AQ215" t="s">
        <v>181</v>
      </c>
      <c r="AV215">
        <v>30</v>
      </c>
      <c r="AW215" s="15" t="str">
        <f t="shared" si="68"/>
        <v/>
      </c>
      <c r="AZ215">
        <f t="shared" si="69"/>
        <v>20</v>
      </c>
      <c r="BA215">
        <f t="shared" si="70"/>
        <v>20</v>
      </c>
      <c r="BB215">
        <f t="shared" si="71"/>
        <v>15.85</v>
      </c>
      <c r="BC215" s="3">
        <f t="shared" si="72"/>
        <v>0.84666666666666668</v>
      </c>
      <c r="BD215">
        <f t="shared" si="73"/>
        <v>0</v>
      </c>
      <c r="BE215">
        <f>VLOOKUP($F215,Constants!$I:$K, 2, FALSE)</f>
        <v>0.9</v>
      </c>
      <c r="BF215">
        <f>VLOOKUP($F215,Constants!$I:$K, 3, FALSE)*IF(AND(E215="multiple_unit",Z215&lt;110),0.75,1)</f>
        <v>2.5</v>
      </c>
      <c r="BG215">
        <f>INT(POWER(((Constants!$G$2+$AZ215+$BA215+$BB215+$BD215)*$BC215)*$BF215, 1.05))+$AY215</f>
        <v>164</v>
      </c>
      <c r="BH215">
        <f>INT(POWER((((Constants!$G$1+$AZ215+$BA215+$BB215+$BD215)*($BC215))*$BE215),IF($E215="wagon",1,1.2)))+$AX215</f>
        <v>119</v>
      </c>
      <c r="BI215" s="14">
        <f t="shared" si="74"/>
        <v>128125</v>
      </c>
      <c r="BJ215" s="14">
        <f t="shared" si="75"/>
        <v>9668.75</v>
      </c>
      <c r="BQ215">
        <v>4</v>
      </c>
      <c r="BU215" t="str">
        <f>VLOOKUP(H215,Eras!$A$2:$C$10, 2, TRUE)</f>
        <v>mod</v>
      </c>
      <c r="BV215" t="s">
        <v>339</v>
      </c>
      <c r="BW215" t="str">
        <f t="shared" si="76"/>
        <v>mod_Freight (Electric)</v>
      </c>
      <c r="BX215" t="str">
        <f t="shared" si="77"/>
        <v>dual_power_ELRL</v>
      </c>
      <c r="BY215" t="str">
        <f>VLOOKUP($BX215, Constants!$M:$N, 2, FALSE)</f>
        <v>{BLACK}Powered by: {GOLD}25kV AC / Diesel</v>
      </c>
      <c r="BZ215" t="str">
        <f t="shared" si="79"/>
        <v/>
      </c>
      <c r="CA215" t="s">
        <v>1492</v>
      </c>
      <c r="CB215" t="str">
        <f t="shared" si="80"/>
        <v/>
      </c>
      <c r="CC215" t="str">
        <f t="shared" si="78"/>
        <v>{BLACK}Powered by: {GOLD}25kV AC / Diesel {}{SILVER}The Class 88 is a dual mode version of Stadler's Euro Dual family, sharing many components with the class 68.</v>
      </c>
    </row>
    <row r="216" spans="1:81" x14ac:dyDescent="0.25">
      <c r="A216" t="s">
        <v>130</v>
      </c>
      <c r="B216" t="s">
        <v>155</v>
      </c>
      <c r="C216">
        <v>420</v>
      </c>
      <c r="D216">
        <v>123</v>
      </c>
      <c r="E216" t="s">
        <v>404</v>
      </c>
      <c r="F216" t="s">
        <v>1226</v>
      </c>
      <c r="G216" t="s">
        <v>275</v>
      </c>
      <c r="H216">
        <v>1903</v>
      </c>
      <c r="J216">
        <v>1940</v>
      </c>
      <c r="K216">
        <v>1</v>
      </c>
      <c r="L216">
        <v>85</v>
      </c>
      <c r="U216">
        <v>35</v>
      </c>
      <c r="W216">
        <v>5</v>
      </c>
      <c r="X216">
        <v>45</v>
      </c>
      <c r="Y216" s="3">
        <f t="shared" si="66"/>
        <v>0.12857142857142856</v>
      </c>
      <c r="Z216">
        <v>40</v>
      </c>
      <c r="AA216">
        <f t="shared" si="63"/>
        <v>64</v>
      </c>
      <c r="AD216">
        <v>16.7</v>
      </c>
      <c r="AE216">
        <v>16.7</v>
      </c>
      <c r="AF216">
        <v>2.59</v>
      </c>
      <c r="AG216">
        <v>3.98</v>
      </c>
      <c r="AH216" s="10">
        <v>48</v>
      </c>
      <c r="AI216" t="str">
        <f>CONCATENATE(VLOOKUP(AJ216, 'Voxel Sizes'!$A$2:$B$18,2,FALSE),"x",INT(AF216*15), "x", INT(AG216*15))</f>
        <v>164x38x59</v>
      </c>
      <c r="AJ216">
        <f t="shared" si="67"/>
        <v>10</v>
      </c>
      <c r="AL216" t="str">
        <f>CONCATENATE(VLOOKUP(AJ216,Constants!$A$2:$C$16,IF(AK216&lt;&gt;"", 3, 2), FALSE),IF(AK216&lt;&gt;"",CONCATENATE(",",VLOOKUP(AK216,$B:$AL,37,FALSE)),""))</f>
        <v>4,2,4</v>
      </c>
      <c r="AP216" t="s">
        <v>155</v>
      </c>
      <c r="AR216">
        <v>1</v>
      </c>
      <c r="AV216">
        <v>17</v>
      </c>
      <c r="AW216" s="15">
        <f t="shared" si="68"/>
        <v>45</v>
      </c>
      <c r="AX216">
        <v>-15</v>
      </c>
      <c r="AY216">
        <v>-10</v>
      </c>
      <c r="AZ216">
        <f t="shared" si="69"/>
        <v>8</v>
      </c>
      <c r="BA216">
        <f t="shared" si="70"/>
        <v>0.42500000000000004</v>
      </c>
      <c r="BB216">
        <f t="shared" si="71"/>
        <v>2.25</v>
      </c>
      <c r="BC216" s="3">
        <f t="shared" si="72"/>
        <v>0.996</v>
      </c>
      <c r="BD216">
        <f t="shared" si="73"/>
        <v>1.6</v>
      </c>
      <c r="BE216">
        <f>VLOOKUP($F216,Constants!$I:$K, 2, FALSE)</f>
        <v>1.05</v>
      </c>
      <c r="BF216">
        <f>VLOOKUP($F216,Constants!$I:$K, 3, FALSE)*IF(AND(E216="multiple_unit",Z216&lt;110),0.75,1)</f>
        <v>1.4249999999999998</v>
      </c>
      <c r="BG216">
        <f>INT(POWER(((Constants!$G$2+$AZ216+$BA216+$BB216+$BD216)*$BC216)*$BF216, 1.05))+$AY216</f>
        <v>18</v>
      </c>
      <c r="BH216">
        <f>INT(POWER((((Constants!$G$1+$AZ216+$BA216+$BB216+$BD216)*($BC216))*$BE216),IF($E216="wagon",1,1.2)))+$AX216</f>
        <v>40</v>
      </c>
      <c r="BI216" s="14">
        <f t="shared" si="74"/>
        <v>14062.5</v>
      </c>
      <c r="BJ216" s="14">
        <f t="shared" si="75"/>
        <v>3250</v>
      </c>
      <c r="BN216" t="s">
        <v>203</v>
      </c>
      <c r="BQ216">
        <v>5</v>
      </c>
      <c r="BR216">
        <v>185</v>
      </c>
      <c r="BT216" t="s">
        <v>283</v>
      </c>
      <c r="BU216" t="str">
        <f>VLOOKUP(H216,Eras!$A$2:$C$10, 2, TRUE)</f>
        <v>edw</v>
      </c>
      <c r="BV216" t="s">
        <v>330</v>
      </c>
      <c r="BW216" t="str">
        <f t="shared" si="76"/>
        <v>edw_DMU (Cheap)</v>
      </c>
      <c r="BX216" t="str">
        <f t="shared" si="77"/>
        <v>petrol_RAIL</v>
      </c>
      <c r="BY216" t="str">
        <f>VLOOKUP($BX216, Constants!$M:$N, 2, FALSE)</f>
        <v>{BLACK}Powered by: {GOLD}Petrol</v>
      </c>
      <c r="BZ216" t="str">
        <f t="shared" si="79"/>
        <v/>
      </c>
      <c r="CA216" t="s">
        <v>349</v>
      </c>
      <c r="CB216" t="str">
        <f t="shared" si="80"/>
        <v/>
      </c>
      <c r="CC216" t="str">
        <f t="shared" si="78"/>
        <v>{BLACK}Powered by: {GOLD}Petrol {}{SILVER}The NER Autocar is a petrol-electric railcar with a petrol engine driving two electric motors. It was the first use of an internal combustion engine in a railway vehicle.</v>
      </c>
    </row>
    <row r="217" spans="1:81" x14ac:dyDescent="0.25">
      <c r="A217" t="s">
        <v>392</v>
      </c>
      <c r="B217" t="s">
        <v>394</v>
      </c>
      <c r="C217">
        <v>422</v>
      </c>
      <c r="D217">
        <v>124</v>
      </c>
      <c r="E217" t="s">
        <v>404</v>
      </c>
      <c r="F217" t="s">
        <v>296</v>
      </c>
      <c r="G217" t="s">
        <v>303</v>
      </c>
      <c r="H217">
        <v>1914</v>
      </c>
      <c r="J217">
        <v>1960</v>
      </c>
      <c r="K217">
        <v>3</v>
      </c>
      <c r="L217">
        <v>1000</v>
      </c>
      <c r="U217">
        <v>117</v>
      </c>
      <c r="W217">
        <v>5</v>
      </c>
      <c r="X217">
        <v>112</v>
      </c>
      <c r="Y217" s="3">
        <f t="shared" si="66"/>
        <v>9.5726495726495733E-2</v>
      </c>
      <c r="Z217">
        <v>60</v>
      </c>
      <c r="AA217">
        <f t="shared" si="63"/>
        <v>96</v>
      </c>
      <c r="AE217">
        <v>17.7</v>
      </c>
      <c r="AH217" s="10">
        <v>45</v>
      </c>
      <c r="AI217" t="str">
        <f>CONCATENATE(VLOOKUP(AJ217, 'Voxel Sizes'!$A$2:$B$18,2,FALSE),"x",INT(AF217*15), "x", INT(AG217*15))</f>
        <v>164x0x0</v>
      </c>
      <c r="AJ217">
        <f t="shared" si="67"/>
        <v>10</v>
      </c>
      <c r="AL217" t="str">
        <f>CONCATENATE(VLOOKUP(AJ217,Constants!$A$2:$C$16,IF(AK217&lt;&gt;"", 3, 2), FALSE),IF(AK217&lt;&gt;"",CONCATENATE(",",VLOOKUP(AK217,$B:$AL,37,FALSE)),""))</f>
        <v>4,2,4</v>
      </c>
      <c r="AP217" t="s">
        <v>405</v>
      </c>
      <c r="AR217" t="s">
        <v>403</v>
      </c>
      <c r="AV217">
        <v>25</v>
      </c>
      <c r="AW217" s="15">
        <f t="shared" si="68"/>
        <v>54</v>
      </c>
      <c r="AX217">
        <v>-10</v>
      </c>
      <c r="AY217">
        <v>-15</v>
      </c>
      <c r="AZ217">
        <f t="shared" si="69"/>
        <v>12</v>
      </c>
      <c r="BA217">
        <f t="shared" si="70"/>
        <v>5</v>
      </c>
      <c r="BB217">
        <f t="shared" si="71"/>
        <v>5.6000000000000005</v>
      </c>
      <c r="BC217" s="3">
        <f t="shared" si="72"/>
        <v>0.98133333333333328</v>
      </c>
      <c r="BD217">
        <f t="shared" si="73"/>
        <v>4.5</v>
      </c>
      <c r="BE217">
        <f>VLOOKUP($F217,Constants!$I:$K, 2, FALSE)</f>
        <v>0.85</v>
      </c>
      <c r="BF217">
        <f>VLOOKUP($F217,Constants!$I:$K, 3, FALSE)*IF(AND(E217="multiple_unit",Z217&lt;110),0.75,1)</f>
        <v>1.7249999999999999</v>
      </c>
      <c r="BG217">
        <f>INT(POWER(((Constants!$G$2+$AZ217+$BA217+$BB217+$BD217)*$BC217)*$BF217, 1.05))+$AY217</f>
        <v>51</v>
      </c>
      <c r="BH217">
        <f>INT(POWER((((Constants!$G$1+$AZ217+$BA217+$BB217+$BD217)*($BC217))*$BE217),IF($E217="wagon",1,1.2)))+$AX217</f>
        <v>61</v>
      </c>
      <c r="BI217" s="14">
        <f t="shared" si="74"/>
        <v>39843.75</v>
      </c>
      <c r="BJ217" s="14">
        <f t="shared" si="75"/>
        <v>4956.25</v>
      </c>
      <c r="BQ217">
        <v>6</v>
      </c>
      <c r="BR217">
        <v>185</v>
      </c>
      <c r="BT217" t="s">
        <v>283</v>
      </c>
      <c r="BU217" t="str">
        <f>VLOOKUP(H217,Eras!$A$2:$C$10, 2, TRUE)</f>
        <v>edw</v>
      </c>
      <c r="BV217" t="s">
        <v>333</v>
      </c>
      <c r="BW217" t="str">
        <f t="shared" si="76"/>
        <v>edw_EMU</v>
      </c>
      <c r="BX217" t="str">
        <f t="shared" si="77"/>
        <v>electric_THIRD_RAIL</v>
      </c>
      <c r="BY217" t="str">
        <f>VLOOKUP($BX217, Constants!$M:$N, 2, FALSE)</f>
        <v>{BLACK}Powered by: {GOLD}750V DC</v>
      </c>
      <c r="BZ217" t="str">
        <f t="shared" si="79"/>
        <v>{BLACK}Cars: {GOLD}3</v>
      </c>
      <c r="CA217" t="s">
        <v>393</v>
      </c>
      <c r="CB217" t="str">
        <f t="shared" si="80"/>
        <v/>
      </c>
      <c r="CC217" t="str">
        <f t="shared" si="78"/>
        <v>{BLACK}Powered by: {GOLD}750V DC {BLACK}Cars: {GOLD}3{}{SILVER}The LNWR built electric multiple units for its inner suburban London routes, sharing track with the Bakerloo and District lines.</v>
      </c>
    </row>
    <row r="218" spans="1:81" x14ac:dyDescent="0.25">
      <c r="A218" t="s">
        <v>68</v>
      </c>
      <c r="B218" t="s">
        <v>231</v>
      </c>
      <c r="C218">
        <v>424</v>
      </c>
      <c r="D218">
        <v>125</v>
      </c>
      <c r="E218" t="s">
        <v>404</v>
      </c>
      <c r="F218" t="s">
        <v>296</v>
      </c>
      <c r="G218" t="s">
        <v>303</v>
      </c>
      <c r="H218">
        <v>1932</v>
      </c>
      <c r="J218">
        <v>1972</v>
      </c>
      <c r="K218">
        <v>5</v>
      </c>
      <c r="L218">
        <v>1800</v>
      </c>
      <c r="U218">
        <v>253</v>
      </c>
      <c r="W218">
        <v>5</v>
      </c>
      <c r="X218">
        <v>145</v>
      </c>
      <c r="Y218" s="3">
        <f t="shared" si="66"/>
        <v>5.731225296442688E-2</v>
      </c>
      <c r="Z218">
        <v>75</v>
      </c>
      <c r="AA218">
        <f t="shared" si="63"/>
        <v>120</v>
      </c>
      <c r="AD218">
        <v>20.11</v>
      </c>
      <c r="AE218">
        <v>20.11</v>
      </c>
      <c r="AH218" s="10">
        <v>33</v>
      </c>
      <c r="AI218" t="str">
        <f>CONCATENATE(VLOOKUP(AJ218, 'Voxel Sizes'!$A$2:$B$18,2,FALSE),"x",INT(AF218*15), "x", INT(AG218*15))</f>
        <v>198x0x0</v>
      </c>
      <c r="AJ218">
        <f t="shared" si="67"/>
        <v>12</v>
      </c>
      <c r="AL218" t="str">
        <f>CONCATENATE(VLOOKUP(AJ218,Constants!$A$2:$C$16,IF(AK218&lt;&gt;"", 3, 2), FALSE),IF(AK218&lt;&gt;"",CONCATENATE(",",VLOOKUP(AK218,$B:$AL,37,FALSE)),""))</f>
        <v>4,4,4</v>
      </c>
      <c r="AP218" t="s">
        <v>446</v>
      </c>
      <c r="AR218" t="s">
        <v>448</v>
      </c>
      <c r="AV218">
        <v>28</v>
      </c>
      <c r="AW218" s="15">
        <f t="shared" si="68"/>
        <v>48</v>
      </c>
      <c r="AX218">
        <v>-10</v>
      </c>
      <c r="AY218">
        <v>-10</v>
      </c>
      <c r="AZ218">
        <f t="shared" si="69"/>
        <v>15</v>
      </c>
      <c r="BA218">
        <f t="shared" si="70"/>
        <v>9</v>
      </c>
      <c r="BB218">
        <f t="shared" si="71"/>
        <v>7.25</v>
      </c>
      <c r="BC218" s="3">
        <f t="shared" si="72"/>
        <v>0.95733333333333337</v>
      </c>
      <c r="BD218">
        <f t="shared" si="73"/>
        <v>5.5</v>
      </c>
      <c r="BE218">
        <f>VLOOKUP($F218,Constants!$I:$K, 2, FALSE)</f>
        <v>0.85</v>
      </c>
      <c r="BF218">
        <f>VLOOKUP($F218,Constants!$I:$K, 3, FALSE)*IF(AND(E218="multiple_unit",Z218&lt;110),0.75,1)</f>
        <v>1.7249999999999999</v>
      </c>
      <c r="BG218">
        <f>INT(POWER(((Constants!$G$2+$AZ218+$BA218+$BB218+$BD218)*$BC218)*$BF218, 1.05))+$AY218</f>
        <v>75</v>
      </c>
      <c r="BH218">
        <f>INT(POWER((((Constants!$G$1+$AZ218+$BA218+$BB218+$BD218)*($BC218))*$BE218),IF($E218="wagon",1,1.2)))+$AX218</f>
        <v>78</v>
      </c>
      <c r="BI218" s="14">
        <f t="shared" si="74"/>
        <v>58593.75</v>
      </c>
      <c r="BJ218" s="14">
        <f t="shared" si="75"/>
        <v>6337.5</v>
      </c>
      <c r="BQ218">
        <v>7</v>
      </c>
      <c r="BR218">
        <v>260</v>
      </c>
      <c r="BT218" t="s">
        <v>283</v>
      </c>
      <c r="BU218" t="str">
        <f>VLOOKUP(H218,Eras!$A$2:$C$10, 2, TRUE)</f>
        <v>big4</v>
      </c>
      <c r="BV218" t="s">
        <v>334</v>
      </c>
      <c r="BW218" t="str">
        <f t="shared" si="76"/>
        <v>big4_EMU (Express)</v>
      </c>
      <c r="BX218" t="str">
        <f t="shared" si="77"/>
        <v>electric_THIRD_RAIL</v>
      </c>
      <c r="BY218" t="str">
        <f>VLOOKUP($BX218, Constants!$M:$N, 2, FALSE)</f>
        <v>{BLACK}Powered by: {GOLD}750V DC</v>
      </c>
      <c r="BZ218" t="str">
        <f t="shared" si="79"/>
        <v>{BLACK}Cars: {GOLD}5</v>
      </c>
      <c r="CA218" t="s">
        <v>445</v>
      </c>
      <c r="CB218" t="str">
        <f t="shared" si="80"/>
        <v>{YELLOW}40% Bonus for long distance travel{}</v>
      </c>
      <c r="CC218" t="str">
        <f t="shared" si="78"/>
        <v>{BLACK}Powered by: {GOLD}750V DC {BLACK}Cars: {GOLD}5{}{YELLOW}40% Bonus for long distance travel{}{SILVER}The Southern Railway's "Brighton Belle" used Pullman coaches and remained in use well into the BR era.</v>
      </c>
    </row>
    <row r="219" spans="1:81" x14ac:dyDescent="0.25">
      <c r="A219" t="s">
        <v>69</v>
      </c>
      <c r="B219" t="s">
        <v>232</v>
      </c>
      <c r="C219">
        <v>426</v>
      </c>
      <c r="D219">
        <v>126</v>
      </c>
      <c r="E219" t="s">
        <v>404</v>
      </c>
      <c r="F219" t="s">
        <v>296</v>
      </c>
      <c r="G219" t="s">
        <v>303</v>
      </c>
      <c r="H219">
        <v>1937</v>
      </c>
      <c r="I219">
        <v>1938</v>
      </c>
      <c r="J219">
        <v>1972</v>
      </c>
      <c r="K219">
        <v>4</v>
      </c>
      <c r="L219">
        <v>900</v>
      </c>
      <c r="U219">
        <v>160.80000000000001</v>
      </c>
      <c r="W219">
        <v>5</v>
      </c>
      <c r="X219">
        <v>120</v>
      </c>
      <c r="Y219" s="3">
        <f t="shared" si="66"/>
        <v>7.4626865671641784E-2</v>
      </c>
      <c r="Z219">
        <v>75</v>
      </c>
      <c r="AA219">
        <f t="shared" si="63"/>
        <v>120</v>
      </c>
      <c r="AD219">
        <v>20</v>
      </c>
      <c r="AE219">
        <v>20</v>
      </c>
      <c r="AH219" s="10">
        <v>57</v>
      </c>
      <c r="AI219" t="str">
        <f>CONCATENATE(VLOOKUP(AJ219, 'Voxel Sizes'!$A$2:$B$18,2,FALSE),"x",INT(AF219*15), "x", INT(AG219*15))</f>
        <v>198x0x0</v>
      </c>
      <c r="AJ219">
        <f t="shared" si="67"/>
        <v>12</v>
      </c>
      <c r="AL219" t="str">
        <f>CONCATENATE(VLOOKUP(AJ219,Constants!$A$2:$C$16,IF(AK219&lt;&gt;"", 3, 2), FALSE),IF(AK219&lt;&gt;"",CONCATENATE(",",VLOOKUP(AK219,$B:$AL,37,FALSE)),""))</f>
        <v>4,4,4</v>
      </c>
      <c r="AP219" t="s">
        <v>464</v>
      </c>
      <c r="AR219" t="s">
        <v>465</v>
      </c>
      <c r="AV219">
        <v>36</v>
      </c>
      <c r="AW219" s="15">
        <f t="shared" si="68"/>
        <v>43</v>
      </c>
      <c r="AX219">
        <v>-10</v>
      </c>
      <c r="AY219">
        <v>-15</v>
      </c>
      <c r="AZ219">
        <f t="shared" si="69"/>
        <v>15</v>
      </c>
      <c r="BA219">
        <f t="shared" si="70"/>
        <v>4.5</v>
      </c>
      <c r="BB219">
        <f t="shared" si="71"/>
        <v>6</v>
      </c>
      <c r="BC219" s="3">
        <f t="shared" si="72"/>
        <v>0.95066666666666666</v>
      </c>
      <c r="BD219">
        <f t="shared" si="73"/>
        <v>7.6</v>
      </c>
      <c r="BE219">
        <f>VLOOKUP($F219,Constants!$I:$K, 2, FALSE)</f>
        <v>0.85</v>
      </c>
      <c r="BF219">
        <f>VLOOKUP($F219,Constants!$I:$K, 3, FALSE)*IF(AND(E219="multiple_unit",Z219&lt;110),0.75,1)</f>
        <v>1.7249999999999999</v>
      </c>
      <c r="BG219">
        <f>INT(POWER(((Constants!$G$2+$AZ219+$BA219+$BB219+$BD219)*$BC219)*$BF219, 1.05))+$AY219</f>
        <v>61</v>
      </c>
      <c r="BH219">
        <f>INT(POWER((((Constants!$G$1+$AZ219+$BA219+$BB219+$BD219)*($BC219))*$BE219),IF($E219="wagon",1,1.2)))+$AX219</f>
        <v>70</v>
      </c>
      <c r="BI219" s="14">
        <f t="shared" si="74"/>
        <v>47656.25</v>
      </c>
      <c r="BJ219" s="14">
        <f t="shared" si="75"/>
        <v>5687.5</v>
      </c>
      <c r="BQ219">
        <v>8</v>
      </c>
      <c r="BR219">
        <v>185</v>
      </c>
      <c r="BT219" t="s">
        <v>283</v>
      </c>
      <c r="BU219" t="str">
        <f>VLOOKUP(H219,Eras!$A$2:$C$10, 2, TRUE)</f>
        <v>big4</v>
      </c>
      <c r="BV219" t="s">
        <v>333</v>
      </c>
      <c r="BW219" t="str">
        <f t="shared" si="76"/>
        <v>big4_EMU</v>
      </c>
      <c r="BX219" t="str">
        <f t="shared" si="77"/>
        <v>electric_THIRD_RAIL</v>
      </c>
      <c r="BY219" t="str">
        <f>VLOOKUP($BX219, Constants!$M:$N, 2, FALSE)</f>
        <v>{BLACK}Powered by: {GOLD}750V DC</v>
      </c>
      <c r="BZ219" t="str">
        <f t="shared" si="79"/>
        <v>{BLACK}Cars: {GOLD}4</v>
      </c>
      <c r="CA219" t="s">
        <v>462</v>
      </c>
      <c r="CB219" t="str">
        <f t="shared" si="80"/>
        <v/>
      </c>
      <c r="CC219" t="str">
        <f t="shared" si="78"/>
        <v>{BLACK}Powered by: {GOLD}750V DC {BLACK}Cars: {GOLD}4{}{SILVER}The Southern Railway was an early pioneer of electrification, with 4-COR units used between London Waterloo and Portsmouth.</v>
      </c>
    </row>
    <row r="220" spans="1:81" x14ac:dyDescent="0.25">
      <c r="A220" t="s">
        <v>70</v>
      </c>
      <c r="B220" t="s">
        <v>233</v>
      </c>
      <c r="C220">
        <v>428</v>
      </c>
      <c r="D220">
        <v>127</v>
      </c>
      <c r="E220" t="s">
        <v>404</v>
      </c>
      <c r="F220" t="s">
        <v>296</v>
      </c>
      <c r="G220" t="s">
        <v>303</v>
      </c>
      <c r="H220">
        <v>1938</v>
      </c>
      <c r="I220">
        <v>1939</v>
      </c>
      <c r="J220">
        <v>1971</v>
      </c>
      <c r="K220">
        <v>2</v>
      </c>
      <c r="L220">
        <v>550</v>
      </c>
      <c r="U220">
        <v>77</v>
      </c>
      <c r="W220">
        <v>5</v>
      </c>
      <c r="X220">
        <v>120</v>
      </c>
      <c r="Y220" s="3">
        <f t="shared" si="66"/>
        <v>0.15584415584415584</v>
      </c>
      <c r="Z220">
        <v>75</v>
      </c>
      <c r="AA220">
        <f t="shared" si="63"/>
        <v>120</v>
      </c>
      <c r="AD220">
        <v>20</v>
      </c>
      <c r="AE220">
        <v>20</v>
      </c>
      <c r="AH220" s="10">
        <f>(24+102)/2</f>
        <v>63</v>
      </c>
      <c r="AI220" t="str">
        <f>CONCATENATE(VLOOKUP(AJ220, 'Voxel Sizes'!$A$2:$B$18,2,FALSE),"x",INT(AF220*15), "x", INT(AG220*15))</f>
        <v>198x0x0</v>
      </c>
      <c r="AJ220">
        <f t="shared" si="67"/>
        <v>12</v>
      </c>
      <c r="AL220" t="str">
        <f>CONCATENATE(VLOOKUP(AJ220,Constants!$A$2:$C$16,IF(AK220&lt;&gt;"", 3, 2), FALSE),IF(AK220&lt;&gt;"",CONCATENATE(",",VLOOKUP(AK220,$B:$AL,37,FALSE)),""))</f>
        <v>4,4,4</v>
      </c>
      <c r="AP220" t="s">
        <v>466</v>
      </c>
      <c r="AR220" t="s">
        <v>467</v>
      </c>
      <c r="AV220">
        <v>36</v>
      </c>
      <c r="AW220" s="15">
        <f t="shared" si="68"/>
        <v>41</v>
      </c>
      <c r="AX220">
        <v>-10</v>
      </c>
      <c r="AY220">
        <v>-15</v>
      </c>
      <c r="AZ220">
        <f t="shared" si="69"/>
        <v>15</v>
      </c>
      <c r="BA220">
        <f t="shared" si="70"/>
        <v>2.75</v>
      </c>
      <c r="BB220">
        <f t="shared" si="71"/>
        <v>6</v>
      </c>
      <c r="BC220" s="3">
        <f t="shared" si="72"/>
        <v>0.94933333333333336</v>
      </c>
      <c r="BD220">
        <f t="shared" si="73"/>
        <v>4.2</v>
      </c>
      <c r="BE220">
        <f>VLOOKUP($F220,Constants!$I:$K, 2, FALSE)</f>
        <v>0.85</v>
      </c>
      <c r="BF220">
        <f>VLOOKUP($F220,Constants!$I:$K, 3, FALSE)*IF(AND(E220="multiple_unit",Z220&lt;110),0.75,1)</f>
        <v>1.7249999999999999</v>
      </c>
      <c r="BG220">
        <f>INT(POWER(((Constants!$G$2+$AZ220+$BA220+$BB220+$BD220)*$BC220)*$BF220, 1.05))+$AY220</f>
        <v>50</v>
      </c>
      <c r="BH220">
        <f>INT(POWER((((Constants!$G$1+$AZ220+$BA220+$BB220+$BD220)*($BC220))*$BE220),IF($E220="wagon",1,1.2)))+$AX220</f>
        <v>60</v>
      </c>
      <c r="BI220" s="14">
        <f t="shared" si="74"/>
        <v>39062.5</v>
      </c>
      <c r="BJ220" s="14">
        <f t="shared" si="75"/>
        <v>4875</v>
      </c>
      <c r="BQ220">
        <v>9</v>
      </c>
      <c r="BR220">
        <v>185</v>
      </c>
      <c r="BT220" t="s">
        <v>283</v>
      </c>
      <c r="BU220" t="str">
        <f>VLOOKUP(H220,Eras!$A$2:$C$10, 2, TRUE)</f>
        <v>big4</v>
      </c>
      <c r="BV220" t="s">
        <v>333</v>
      </c>
      <c r="BW220" t="str">
        <f t="shared" si="76"/>
        <v>big4_EMU</v>
      </c>
      <c r="BX220" t="str">
        <f t="shared" si="77"/>
        <v>electric_THIRD_RAIL</v>
      </c>
      <c r="BY220" t="str">
        <f>VLOOKUP($BX220, Constants!$M:$N, 2, FALSE)</f>
        <v>{BLACK}Powered by: {GOLD}750V DC</v>
      </c>
      <c r="BZ220" t="str">
        <f t="shared" si="79"/>
        <v>{BLACK}Cars: {GOLD}2</v>
      </c>
      <c r="CA220" t="s">
        <v>463</v>
      </c>
      <c r="CB220" t="str">
        <f t="shared" si="80"/>
        <v/>
      </c>
      <c r="CC220" t="str">
        <f t="shared" si="78"/>
        <v>{BLACK}Powered by: {GOLD}750V DC {BLACK}Cars: {GOLD}2{}{SILVER}The 2-HAL (named for 2 units, Half Lavatory) is designed for suburban commuter services.</v>
      </c>
    </row>
    <row r="221" spans="1:81" x14ac:dyDescent="0.25">
      <c r="A221" t="s">
        <v>85</v>
      </c>
      <c r="B221" t="s">
        <v>188</v>
      </c>
      <c r="C221">
        <v>430</v>
      </c>
      <c r="D221">
        <v>128</v>
      </c>
      <c r="E221" t="s">
        <v>404</v>
      </c>
      <c r="F221" t="s">
        <v>296</v>
      </c>
      <c r="G221" t="s">
        <v>297</v>
      </c>
      <c r="H221">
        <v>1954</v>
      </c>
      <c r="J221">
        <v>1984</v>
      </c>
      <c r="K221">
        <v>3</v>
      </c>
      <c r="L221">
        <v>740</v>
      </c>
      <c r="U221">
        <f>51.4+26.8+27.9</f>
        <v>106.1</v>
      </c>
      <c r="W221">
        <v>5</v>
      </c>
      <c r="X221">
        <v>110</v>
      </c>
      <c r="Y221" s="3">
        <f t="shared" si="66"/>
        <v>0.10367577756833177</v>
      </c>
      <c r="Z221">
        <v>75</v>
      </c>
      <c r="AA221">
        <f t="shared" si="63"/>
        <v>120</v>
      </c>
      <c r="AD221">
        <v>18.100000000000001</v>
      </c>
      <c r="AE221">
        <v>18.100000000000001</v>
      </c>
      <c r="AF221">
        <v>2.82</v>
      </c>
      <c r="AG221">
        <v>3.87</v>
      </c>
      <c r="AH221" s="10">
        <v>57</v>
      </c>
      <c r="AI221" t="str">
        <f>CONCATENATE(VLOOKUP(AJ221, 'Voxel Sizes'!$A$2:$B$18,2,FALSE),"x",INT(AF221*15), "x", INT(AG221*15))</f>
        <v>186x42x58</v>
      </c>
      <c r="AJ221">
        <f t="shared" si="67"/>
        <v>11</v>
      </c>
      <c r="AL221" t="str">
        <f>CONCATENATE(VLOOKUP(AJ221,Constants!$A$2:$C$16,IF(AK221&lt;&gt;"", 3, 2), FALSE),IF(AK221&lt;&gt;"",CONCATENATE(",",VLOOKUP(AK221,$B:$AL,37,FALSE)),""))</f>
        <v>4,3,4</v>
      </c>
      <c r="AP221" t="s">
        <v>613</v>
      </c>
      <c r="AR221" t="s">
        <v>292</v>
      </c>
      <c r="AV221">
        <v>35</v>
      </c>
      <c r="AW221" s="15">
        <f t="shared" si="68"/>
        <v>38</v>
      </c>
      <c r="AX221">
        <v>-10</v>
      </c>
      <c r="AY221">
        <v>-15</v>
      </c>
      <c r="AZ221">
        <f t="shared" si="69"/>
        <v>15</v>
      </c>
      <c r="BA221">
        <f t="shared" si="70"/>
        <v>3.7</v>
      </c>
      <c r="BB221">
        <f t="shared" si="71"/>
        <v>5.5</v>
      </c>
      <c r="BC221" s="3">
        <f t="shared" si="72"/>
        <v>0.92800000000000005</v>
      </c>
      <c r="BD221">
        <f t="shared" si="73"/>
        <v>5.7000000000000011</v>
      </c>
      <c r="BE221">
        <f>VLOOKUP($F221,Constants!$I:$K, 2, FALSE)</f>
        <v>0.85</v>
      </c>
      <c r="BF221">
        <f>VLOOKUP($F221,Constants!$I:$K, 3, FALSE)*IF(AND(E221="multiple_unit",Z221&lt;110),0.75,1)</f>
        <v>1.7249999999999999</v>
      </c>
      <c r="BG221">
        <f>INT(POWER(((Constants!$G$2+$AZ221+$BA221+$BB221+$BD221)*$BC221)*$BF221, 1.05))+$AY221</f>
        <v>53</v>
      </c>
      <c r="BH221">
        <f>INT(POWER((((Constants!$G$1+$AZ221+$BA221+$BB221+$BD221)*($BC221))*$BE221),IF($E221="wagon",1,1.2)))+$AX221</f>
        <v>62</v>
      </c>
      <c r="BI221" s="14">
        <f t="shared" si="74"/>
        <v>41406.25</v>
      </c>
      <c r="BJ221" s="14">
        <f t="shared" si="75"/>
        <v>5037.5</v>
      </c>
      <c r="BQ221">
        <v>10</v>
      </c>
      <c r="BR221">
        <v>185</v>
      </c>
      <c r="BT221" t="s">
        <v>283</v>
      </c>
      <c r="BU221" t="str">
        <f>VLOOKUP(H221,Eras!$A$2:$C$10, 2, TRUE)</f>
        <v>ebr</v>
      </c>
      <c r="BV221" t="s">
        <v>333</v>
      </c>
      <c r="BW221" t="str">
        <f t="shared" si="76"/>
        <v>ebr_EMU</v>
      </c>
      <c r="BX221" t="str">
        <f t="shared" si="77"/>
        <v>electric_ELRL</v>
      </c>
      <c r="BY221" t="str">
        <f>VLOOKUP($BX221, Constants!$M:$N, 2, FALSE)</f>
        <v>{BLACK}Powered by: {GOLD}25kV AC</v>
      </c>
      <c r="BZ221" t="str">
        <f t="shared" si="79"/>
        <v>{BLACK}Cars: {GOLD}3</v>
      </c>
      <c r="CA221" t="s">
        <v>614</v>
      </c>
      <c r="CB221" t="str">
        <f t="shared" si="80"/>
        <v/>
      </c>
      <c r="CC221" t="str">
        <f t="shared" si="78"/>
        <v>{BLACK}Powered by: {GOLD}25kV AC {BLACK}Cars: {GOLD}3{}{SILVER}The Class 506 was built by Metro Cammell and BRCW for the Woodhead Line.</v>
      </c>
    </row>
    <row r="222" spans="1:81" x14ac:dyDescent="0.25">
      <c r="A222" t="s">
        <v>615</v>
      </c>
      <c r="B222" t="s">
        <v>617</v>
      </c>
      <c r="C222">
        <v>434</v>
      </c>
      <c r="D222">
        <v>129</v>
      </c>
      <c r="E222" t="s">
        <v>404</v>
      </c>
      <c r="F222" t="s">
        <v>296</v>
      </c>
      <c r="G222" t="s">
        <v>303</v>
      </c>
      <c r="H222">
        <v>1956</v>
      </c>
      <c r="J222">
        <v>1995</v>
      </c>
      <c r="K222">
        <v>2</v>
      </c>
      <c r="L222">
        <v>500</v>
      </c>
      <c r="U222">
        <f>40+32</f>
        <v>72</v>
      </c>
      <c r="W222">
        <v>5</v>
      </c>
      <c r="X222">
        <v>95</v>
      </c>
      <c r="Y222" s="3">
        <f t="shared" si="66"/>
        <v>0.13194444444444445</v>
      </c>
      <c r="Z222">
        <v>90</v>
      </c>
      <c r="AA222">
        <f t="shared" si="63"/>
        <v>144</v>
      </c>
      <c r="AD222">
        <v>19.05</v>
      </c>
      <c r="AE222">
        <v>19.05</v>
      </c>
      <c r="AF222">
        <v>2.82</v>
      </c>
      <c r="AG222">
        <v>3.89</v>
      </c>
      <c r="AH222" s="10">
        <v>54</v>
      </c>
      <c r="AI222" t="str">
        <f>CONCATENATE(VLOOKUP(AJ222, 'Voxel Sizes'!$A$2:$B$18,2,FALSE),"x",INT(AF222*15), "x", INT(AG222*15))</f>
        <v>186x42x58</v>
      </c>
      <c r="AJ222">
        <f t="shared" si="67"/>
        <v>11</v>
      </c>
      <c r="AL222" t="str">
        <f>CONCATENATE(VLOOKUP(AJ222,Constants!$A$2:$C$16,IF(AK222&lt;&gt;"", 3, 2), FALSE),IF(AK222&lt;&gt;"",CONCATENATE(",",VLOOKUP(AK222,$B:$AL,37,FALSE)),""))</f>
        <v>4,3,4</v>
      </c>
      <c r="AP222" t="s">
        <v>618</v>
      </c>
      <c r="AR222" t="s">
        <v>467</v>
      </c>
      <c r="AV222">
        <v>33</v>
      </c>
      <c r="AW222" s="15">
        <f t="shared" si="68"/>
        <v>47</v>
      </c>
      <c r="AX222">
        <v>-10</v>
      </c>
      <c r="AY222">
        <v>-15</v>
      </c>
      <c r="AZ222">
        <f t="shared" si="69"/>
        <v>18</v>
      </c>
      <c r="BA222">
        <f t="shared" si="70"/>
        <v>2.5</v>
      </c>
      <c r="BB222">
        <f t="shared" si="71"/>
        <v>4.75</v>
      </c>
      <c r="BC222" s="3">
        <f t="shared" si="72"/>
        <v>0.92533333333333334</v>
      </c>
      <c r="BD222">
        <f t="shared" si="73"/>
        <v>3.5999999999999996</v>
      </c>
      <c r="BE222">
        <f>VLOOKUP($F222,Constants!$I:$K, 2, FALSE)</f>
        <v>0.85</v>
      </c>
      <c r="BF222">
        <f>VLOOKUP($F222,Constants!$I:$K, 3, FALSE)*IF(AND(E222="multiple_unit",Z222&lt;110),0.75,1)</f>
        <v>1.7249999999999999</v>
      </c>
      <c r="BG222">
        <f>INT(POWER(((Constants!$G$2+$AZ222+$BA222+$BB222+$BD222)*$BC222)*$BF222, 1.05))+$AY222</f>
        <v>50</v>
      </c>
      <c r="BH222">
        <f>INT(POWER((((Constants!$G$1+$AZ222+$BA222+$BB222+$BD222)*($BC222))*$BE222),IF($E222="wagon",1,1.2)))+$AX222</f>
        <v>60</v>
      </c>
      <c r="BI222" s="14">
        <f t="shared" si="74"/>
        <v>39062.5</v>
      </c>
      <c r="BJ222" s="14">
        <f t="shared" si="75"/>
        <v>4875</v>
      </c>
      <c r="BN222" t="s">
        <v>253</v>
      </c>
      <c r="BQ222">
        <v>12</v>
      </c>
      <c r="BR222">
        <v>185</v>
      </c>
      <c r="BT222" t="s">
        <v>283</v>
      </c>
      <c r="BU222" t="str">
        <f>VLOOKUP(H222,Eras!$A$2:$C$10, 2, TRUE)</f>
        <v>dsl</v>
      </c>
      <c r="BV222" t="s">
        <v>334</v>
      </c>
      <c r="BW222" t="str">
        <f t="shared" si="76"/>
        <v>dsl_EMU (Express)</v>
      </c>
      <c r="BX222" t="str">
        <f t="shared" si="77"/>
        <v>electric_THIRD_RAIL</v>
      </c>
      <c r="BY222" t="str">
        <f>VLOOKUP($BX222, Constants!$M:$N, 2, FALSE)</f>
        <v>{BLACK}Powered by: {GOLD}750V DC</v>
      </c>
      <c r="BZ222" t="str">
        <f t="shared" si="79"/>
        <v>{BLACK}Cars: {GOLD}2</v>
      </c>
      <c r="CA222" t="s">
        <v>619</v>
      </c>
      <c r="CB222" t="str">
        <f t="shared" si="80"/>
        <v/>
      </c>
      <c r="CC222" t="str">
        <f t="shared" si="78"/>
        <v>{BLACK}Powered by: {GOLD}750V DC {BLACK}Cars: {GOLD}2{}{SILVER}The Class 414 2 HAP (Half Lavatory, electro-Pneumatic brake) is a Southern Region electric multiple unit, geared for express duties.</v>
      </c>
    </row>
    <row r="223" spans="1:81" x14ac:dyDescent="0.25">
      <c r="A223" t="s">
        <v>126</v>
      </c>
      <c r="B223" t="s">
        <v>237</v>
      </c>
      <c r="C223">
        <v>438</v>
      </c>
      <c r="D223">
        <v>130</v>
      </c>
      <c r="E223" t="s">
        <v>404</v>
      </c>
      <c r="F223" t="s">
        <v>273</v>
      </c>
      <c r="G223" t="s">
        <v>275</v>
      </c>
      <c r="H223">
        <v>1960</v>
      </c>
      <c r="J223">
        <v>1973</v>
      </c>
      <c r="K223">
        <v>6</v>
      </c>
      <c r="L223">
        <v>1000</v>
      </c>
      <c r="U223">
        <v>304</v>
      </c>
      <c r="W223">
        <v>3</v>
      </c>
      <c r="X223">
        <v>155</v>
      </c>
      <c r="Y223" s="3">
        <f t="shared" si="66"/>
        <v>5.0986842105263157E-2</v>
      </c>
      <c r="Z223">
        <v>90</v>
      </c>
      <c r="AA223">
        <f t="shared" ref="AA223:AA282" si="81">ROUND(Z223*1.6, 0)</f>
        <v>144</v>
      </c>
      <c r="AD223">
        <v>20.260000000000002</v>
      </c>
      <c r="AE223">
        <v>20</v>
      </c>
      <c r="AF223">
        <v>2.9</v>
      </c>
      <c r="AG223">
        <v>3.77</v>
      </c>
      <c r="AH223" s="10">
        <v>36</v>
      </c>
      <c r="AI223" t="str">
        <f>CONCATENATE(VLOOKUP(AJ223, 'Voxel Sizes'!$A$2:$B$18,2,FALSE),"x",INT(AF223*15), "x", INT(AG223*15))</f>
        <v>198x43x56</v>
      </c>
      <c r="AJ223">
        <f t="shared" si="67"/>
        <v>12</v>
      </c>
      <c r="AL223" t="str">
        <f>CONCATENATE(VLOOKUP(AJ223,Constants!$A$2:$C$16,IF(AK223&lt;&gt;"", 3, 2), FALSE),IF(AK223&lt;&gt;"",CONCATENATE(",",VLOOKUP(AK223,$B:$AL,37,FALSE)),""))</f>
        <v>4,4,4</v>
      </c>
      <c r="AP223" t="s">
        <v>526</v>
      </c>
      <c r="AR223" t="s">
        <v>527</v>
      </c>
      <c r="AV223">
        <v>22</v>
      </c>
      <c r="AW223" s="15">
        <f t="shared" si="68"/>
        <v>21</v>
      </c>
      <c r="AX223">
        <v>-10</v>
      </c>
      <c r="AY223">
        <v>-15</v>
      </c>
      <c r="AZ223">
        <f t="shared" si="69"/>
        <v>18</v>
      </c>
      <c r="BA223">
        <f t="shared" si="70"/>
        <v>5</v>
      </c>
      <c r="BB223">
        <f t="shared" si="71"/>
        <v>7.75</v>
      </c>
      <c r="BC223" s="3">
        <f t="shared" si="72"/>
        <v>0.92</v>
      </c>
      <c r="BD223">
        <f t="shared" si="73"/>
        <v>7.1999999999999993</v>
      </c>
      <c r="BE223">
        <f>VLOOKUP($F223,Constants!$I:$K, 2, FALSE)</f>
        <v>1</v>
      </c>
      <c r="BF223">
        <f>VLOOKUP($F223,Constants!$I:$K, 3, FALSE)*IF(AND(E223="multiple_unit",Z223&lt;110),0.75,1)</f>
        <v>1.5</v>
      </c>
      <c r="BG223">
        <f>INT(POWER(((Constants!$G$2+$AZ223+$BA223+$BB223+$BD223)*$BC223)*$BF223, 1.05))+$AY223</f>
        <v>57</v>
      </c>
      <c r="BH223">
        <f>INT(POWER((((Constants!$G$1+$AZ223+$BA223+$BB223+$BD223)*($BC223))*$BE223),IF($E223="wagon",1,1.2)))+$AX223</f>
        <v>95</v>
      </c>
      <c r="BI223" s="14">
        <f t="shared" si="74"/>
        <v>44531.25</v>
      </c>
      <c r="BJ223" s="14">
        <f t="shared" si="75"/>
        <v>7718.75</v>
      </c>
      <c r="BP223" t="s">
        <v>1146</v>
      </c>
      <c r="BQ223">
        <v>2</v>
      </c>
      <c r="BR223">
        <v>222</v>
      </c>
      <c r="BT223" t="s">
        <v>283</v>
      </c>
      <c r="BU223" t="str">
        <f>VLOOKUP(H223,Eras!$A$2:$C$10, 2, TRUE)</f>
        <v>dsl</v>
      </c>
      <c r="BV223" t="s">
        <v>332</v>
      </c>
      <c r="BW223" t="str">
        <f t="shared" si="76"/>
        <v>dsl_DMU (Express)</v>
      </c>
      <c r="BX223" t="str">
        <f t="shared" si="77"/>
        <v>diesel_RAIL</v>
      </c>
      <c r="BY223" t="str">
        <f>VLOOKUP($BX223, Constants!$M:$N, 2, FALSE)</f>
        <v>{BLACK}Powered by: {GOLD}Diesel</v>
      </c>
      <c r="BZ223" t="str">
        <f t="shared" si="79"/>
        <v>{BLACK}Cars: {GOLD}6</v>
      </c>
      <c r="CA223" t="s">
        <v>528</v>
      </c>
      <c r="CB223" t="str">
        <f t="shared" si="80"/>
        <v>{YELLOW}20% Bonus for long distance travel{}</v>
      </c>
      <c r="CC223" t="str">
        <f t="shared" si="78"/>
        <v>{BLACK}Powered by: {GOLD}Diesel {BLACK}Cars: {GOLD}6{}{YELLOW}20% Bonus for long distance travel{}{SILVER}The Blue Pullman is an express diesel multiple unit, designed to tempt motorists from their cars with a luxurious inter-city service.</v>
      </c>
    </row>
    <row r="224" spans="1:81" x14ac:dyDescent="0.25">
      <c r="A224" t="s">
        <v>126</v>
      </c>
      <c r="B224" t="s">
        <v>1132</v>
      </c>
      <c r="C224">
        <v>439</v>
      </c>
      <c r="D224">
        <v>131</v>
      </c>
      <c r="E224" t="s">
        <v>404</v>
      </c>
      <c r="F224" t="s">
        <v>273</v>
      </c>
      <c r="G224" t="s">
        <v>275</v>
      </c>
      <c r="H224">
        <v>1960</v>
      </c>
      <c r="J224">
        <v>1973</v>
      </c>
      <c r="K224">
        <v>5</v>
      </c>
      <c r="L224">
        <v>1000</v>
      </c>
      <c r="U224">
        <f>304/6*5</f>
        <v>253.33333333333331</v>
      </c>
      <c r="W224">
        <v>3</v>
      </c>
      <c r="X224">
        <v>155</v>
      </c>
      <c r="Y224" s="3">
        <f t="shared" si="66"/>
        <v>6.1184210526315799E-2</v>
      </c>
      <c r="Z224">
        <v>90</v>
      </c>
      <c r="AA224">
        <f t="shared" si="81"/>
        <v>144</v>
      </c>
      <c r="AD224">
        <v>20.260000000000002</v>
      </c>
      <c r="AE224">
        <v>20</v>
      </c>
      <c r="AF224">
        <v>2.9</v>
      </c>
      <c r="AG224">
        <v>3.77</v>
      </c>
      <c r="AH224" s="10">
        <v>36</v>
      </c>
      <c r="AI224" t="str">
        <f>CONCATENATE(VLOOKUP(AJ224, 'Voxel Sizes'!$A$2:$B$18,2,FALSE),"x",INT(AF224*15), "x", INT(AG224*15))</f>
        <v>198x43x56</v>
      </c>
      <c r="AJ224">
        <f t="shared" si="67"/>
        <v>12</v>
      </c>
      <c r="AL224" t="str">
        <f>CONCATENATE(VLOOKUP(AJ224,Constants!$A$2:$C$16,IF(AK224&lt;&gt;"", 3, 2), FALSE),IF(AK224&lt;&gt;"",CONCATENATE(",",VLOOKUP(AK224,$B:$AL,37,FALSE)),""))</f>
        <v>4,4,4</v>
      </c>
      <c r="AP224" t="s">
        <v>1133</v>
      </c>
      <c r="AR224" t="s">
        <v>664</v>
      </c>
      <c r="AS224" t="s">
        <v>237</v>
      </c>
      <c r="AV224">
        <v>22</v>
      </c>
      <c r="AW224" s="15">
        <f t="shared" si="68"/>
        <v>21</v>
      </c>
      <c r="AX224">
        <v>-10</v>
      </c>
      <c r="AY224">
        <v>-15</v>
      </c>
      <c r="AZ224">
        <f t="shared" si="69"/>
        <v>18</v>
      </c>
      <c r="BA224">
        <f t="shared" si="70"/>
        <v>5</v>
      </c>
      <c r="BB224">
        <f t="shared" si="71"/>
        <v>7.75</v>
      </c>
      <c r="BC224" s="3">
        <f t="shared" si="72"/>
        <v>0.92</v>
      </c>
      <c r="BD224">
        <f t="shared" si="73"/>
        <v>6</v>
      </c>
      <c r="BE224">
        <f>VLOOKUP($F224,Constants!$I:$K, 2, FALSE)</f>
        <v>1</v>
      </c>
      <c r="BF224">
        <f>VLOOKUP($F224,Constants!$I:$K, 3, FALSE)*IF(AND(E224="multiple_unit",Z224&lt;110),0.75,1)</f>
        <v>1.5</v>
      </c>
      <c r="BG224">
        <f>INT(POWER(((Constants!$G$2+$AZ224+$BA224+$BB224+$BD224)*$BC224)*$BF224, 1.05))+$AY224</f>
        <v>55</v>
      </c>
      <c r="BH224">
        <f>INT(POWER((((Constants!$G$1+$AZ224+$BA224+$BB224+$BD224)*($BC224))*$BE224),IF($E224="wagon",1,1.2)))+$AX224</f>
        <v>93</v>
      </c>
      <c r="BI224" s="14">
        <f t="shared" si="74"/>
        <v>42968.75</v>
      </c>
      <c r="BJ224" s="14">
        <f t="shared" si="75"/>
        <v>7556.25</v>
      </c>
      <c r="BP224" t="s">
        <v>1148</v>
      </c>
      <c r="BQ224">
        <v>2</v>
      </c>
      <c r="BR224">
        <v>222</v>
      </c>
      <c r="BT224" t="s">
        <v>283</v>
      </c>
      <c r="BU224" t="str">
        <f>VLOOKUP(H224,Eras!$A$2:$C$10, 2, TRUE)</f>
        <v>dsl</v>
      </c>
      <c r="BV224" t="s">
        <v>332</v>
      </c>
      <c r="BW224" t="str">
        <f t="shared" si="76"/>
        <v>dsl_DMU (Express)</v>
      </c>
      <c r="BX224" t="str">
        <f t="shared" si="77"/>
        <v>diesel_RAIL</v>
      </c>
      <c r="BY224" t="str">
        <f>VLOOKUP($BX224, Constants!$M:$N, 2, FALSE)</f>
        <v>{BLACK}Powered by: {GOLD}Diesel</v>
      </c>
      <c r="BZ224" t="str">
        <f t="shared" si="79"/>
        <v>{BLACK}Cars: {GOLD}5</v>
      </c>
      <c r="CA224" t="s">
        <v>528</v>
      </c>
      <c r="CB224" t="str">
        <f t="shared" si="80"/>
        <v>{YELLOW}20% Bonus for long distance travel{}</v>
      </c>
      <c r="CC224" t="str">
        <f t="shared" si="78"/>
        <v>{BLACK}Powered by: {GOLD}Diesel {BLACK}Cars: {GOLD}5{}{YELLOW}20% Bonus for long distance travel{}{SILVER}The Blue Pullman is an express diesel multiple unit, designed to tempt motorists from their cars with a luxurious inter-city service.</v>
      </c>
    </row>
    <row r="225" spans="1:81" x14ac:dyDescent="0.25">
      <c r="A225" t="s">
        <v>72</v>
      </c>
      <c r="B225" t="s">
        <v>218</v>
      </c>
      <c r="C225">
        <v>440</v>
      </c>
      <c r="D225">
        <v>132</v>
      </c>
      <c r="E225" t="s">
        <v>404</v>
      </c>
      <c r="F225" t="s">
        <v>273</v>
      </c>
      <c r="G225" t="s">
        <v>275</v>
      </c>
      <c r="H225">
        <v>1960</v>
      </c>
      <c r="J225">
        <v>2017</v>
      </c>
      <c r="K225">
        <v>1</v>
      </c>
      <c r="L225">
        <v>300</v>
      </c>
      <c r="U225">
        <v>38</v>
      </c>
      <c r="W225">
        <v>5</v>
      </c>
      <c r="X225">
        <v>65</v>
      </c>
      <c r="Y225" s="3">
        <f t="shared" si="66"/>
        <v>0.17105263157894737</v>
      </c>
      <c r="Z225">
        <v>70</v>
      </c>
      <c r="AA225">
        <f t="shared" si="81"/>
        <v>112</v>
      </c>
      <c r="AC225">
        <v>1</v>
      </c>
      <c r="AD225">
        <v>19.66</v>
      </c>
      <c r="AE225">
        <v>19.66</v>
      </c>
      <c r="AG225">
        <v>3.77</v>
      </c>
      <c r="AH225" s="10">
        <v>66</v>
      </c>
      <c r="AI225" t="str">
        <f>CONCATENATE(VLOOKUP(AJ225, 'Voxel Sizes'!$A$2:$B$18,2,FALSE),"x",INT(AF225*15), "x", INT(AG225*15))</f>
        <v>198x0x56</v>
      </c>
      <c r="AJ225">
        <f t="shared" si="67"/>
        <v>12</v>
      </c>
      <c r="AL225" t="str">
        <f>CONCATENATE(VLOOKUP(AJ225,Constants!$A$2:$C$16,IF(AK225&lt;&gt;"", 3, 2), FALSE),IF(AK225&lt;&gt;"",CONCATENATE(",",VLOOKUP(AK225,$B:$AL,37,FALSE)),""))</f>
        <v>4,4,4</v>
      </c>
      <c r="AP225" t="s">
        <v>218</v>
      </c>
      <c r="AR225">
        <v>1</v>
      </c>
      <c r="AV225">
        <v>50</v>
      </c>
      <c r="AW225" s="15">
        <f t="shared" si="68"/>
        <v>65</v>
      </c>
      <c r="AX225">
        <v>-10</v>
      </c>
      <c r="AY225">
        <v>-15</v>
      </c>
      <c r="AZ225">
        <f t="shared" si="69"/>
        <v>14</v>
      </c>
      <c r="BA225">
        <f t="shared" si="70"/>
        <v>1.5</v>
      </c>
      <c r="BB225">
        <f t="shared" si="71"/>
        <v>3.25</v>
      </c>
      <c r="BC225" s="3">
        <f t="shared" si="72"/>
        <v>0.92</v>
      </c>
      <c r="BD225">
        <f t="shared" si="73"/>
        <v>2.2000000000000002</v>
      </c>
      <c r="BE225">
        <f>VLOOKUP($F225,Constants!$I:$K, 2, FALSE)</f>
        <v>1</v>
      </c>
      <c r="BF225">
        <f>VLOOKUP($F225,Constants!$I:$K, 3, FALSE)*IF(AND(E225="multiple_unit",Z225&lt;110),0.75,1)</f>
        <v>1.5</v>
      </c>
      <c r="BG225">
        <f>INT(POWER(((Constants!$G$2+$AZ225+$BA225+$BB225+$BD225)*$BC225)*$BF225, 1.05))+$AY225</f>
        <v>27</v>
      </c>
      <c r="BH225">
        <f>INT(POWER((((Constants!$G$1+$AZ225+$BA225+$BB225+$BD225)*($BC225))*$BE225),IF($E225="wagon",1,1.2)))+$AX225</f>
        <v>56</v>
      </c>
      <c r="BI225" s="14">
        <f t="shared" si="74"/>
        <v>21093.75</v>
      </c>
      <c r="BJ225" s="14">
        <f t="shared" si="75"/>
        <v>4550</v>
      </c>
      <c r="BQ225">
        <v>4</v>
      </c>
      <c r="BR225">
        <v>185</v>
      </c>
      <c r="BT225" t="s">
        <v>283</v>
      </c>
      <c r="BU225" t="str">
        <f>VLOOKUP(H225,Eras!$A$2:$C$10, 2, TRUE)</f>
        <v>dsl</v>
      </c>
      <c r="BV225" t="s">
        <v>331</v>
      </c>
      <c r="BW225" t="str">
        <f t="shared" si="76"/>
        <v>dsl_DMU</v>
      </c>
      <c r="BX225" t="str">
        <f t="shared" si="77"/>
        <v>diesel_RAIL</v>
      </c>
      <c r="BY225" t="str">
        <f>VLOOKUP($BX225, Constants!$M:$N, 2, FALSE)</f>
        <v>{BLACK}Powered by: {GOLD}Diesel</v>
      </c>
      <c r="BZ225" t="str">
        <f t="shared" si="79"/>
        <v/>
      </c>
      <c r="CA225" t="s">
        <v>529</v>
      </c>
      <c r="CB225" t="str">
        <f t="shared" si="80"/>
        <v/>
      </c>
      <c r="CC225" t="str">
        <f t="shared" si="78"/>
        <v>{BLACK}Powered by: {GOLD}Diesel {}{SILVER}The "Bubble Car" units saw a long life on branch lines and rural railways. Two six-cylinder AEC or Leyland engines of 150hp each drive the wheels through a mechanical transmission.</v>
      </c>
    </row>
    <row r="226" spans="1:81" x14ac:dyDescent="0.25">
      <c r="A226" t="s">
        <v>616</v>
      </c>
      <c r="B226" t="s">
        <v>253</v>
      </c>
      <c r="C226">
        <v>442</v>
      </c>
      <c r="D226">
        <v>133</v>
      </c>
      <c r="E226" t="s">
        <v>404</v>
      </c>
      <c r="F226" t="s">
        <v>296</v>
      </c>
      <c r="G226" t="s">
        <v>303</v>
      </c>
      <c r="H226">
        <v>1964</v>
      </c>
      <c r="I226">
        <v>1972</v>
      </c>
      <c r="J226">
        <v>2005</v>
      </c>
      <c r="K226">
        <v>4</v>
      </c>
      <c r="L226">
        <v>1000</v>
      </c>
      <c r="U226">
        <v>152</v>
      </c>
      <c r="W226">
        <v>5</v>
      </c>
      <c r="X226">
        <v>125</v>
      </c>
      <c r="Y226" s="3">
        <f t="shared" si="66"/>
        <v>8.2236842105263164E-2</v>
      </c>
      <c r="Z226">
        <v>90</v>
      </c>
      <c r="AA226">
        <f t="shared" si="81"/>
        <v>144</v>
      </c>
      <c r="AD226">
        <f>80.98/4</f>
        <v>20.245000000000001</v>
      </c>
      <c r="AE226">
        <v>20.239999999999998</v>
      </c>
      <c r="AF226">
        <v>2.82</v>
      </c>
      <c r="AG226">
        <v>3.89</v>
      </c>
      <c r="AH226" s="10">
        <v>54</v>
      </c>
      <c r="AI226" t="str">
        <f>CONCATENATE(VLOOKUP(AJ226, 'Voxel Sizes'!$A$2:$B$18,2,FALSE),"x",INT(AF226*15), "x", INT(AG226*15))</f>
        <v>198x42x58</v>
      </c>
      <c r="AJ226">
        <f t="shared" si="67"/>
        <v>12</v>
      </c>
      <c r="AL226" t="str">
        <f>CONCATENATE(VLOOKUP(AJ226,Constants!$A$2:$C$16,IF(AK226&lt;&gt;"", 3, 2), FALSE),IF(AK226&lt;&gt;"",CONCATENATE(",",VLOOKUP(AK226,$B:$AL,37,FALSE)),""))</f>
        <v>4,4,4</v>
      </c>
      <c r="AP226" t="s">
        <v>626</v>
      </c>
      <c r="AR226" t="s">
        <v>624</v>
      </c>
      <c r="AV226">
        <v>40</v>
      </c>
      <c r="AW226" s="15">
        <f t="shared" si="68"/>
        <v>49</v>
      </c>
      <c r="AX226">
        <v>-10</v>
      </c>
      <c r="AY226">
        <v>-20</v>
      </c>
      <c r="AZ226">
        <f t="shared" si="69"/>
        <v>18</v>
      </c>
      <c r="BA226">
        <f t="shared" si="70"/>
        <v>5</v>
      </c>
      <c r="BB226">
        <f t="shared" si="71"/>
        <v>6.25</v>
      </c>
      <c r="BC226" s="3">
        <f t="shared" si="72"/>
        <v>0.91466666666666663</v>
      </c>
      <c r="BD226">
        <f t="shared" si="73"/>
        <v>7.1999999999999993</v>
      </c>
      <c r="BE226">
        <f>VLOOKUP($F226,Constants!$I:$K, 2, FALSE)</f>
        <v>0.85</v>
      </c>
      <c r="BF226">
        <f>VLOOKUP($F226,Constants!$I:$K, 3, FALSE)*IF(AND(E226="multiple_unit",Z226&lt;110),0.75,1)</f>
        <v>1.7249999999999999</v>
      </c>
      <c r="BG226">
        <f>INT(POWER(((Constants!$G$2+$AZ226+$BA226+$BB226+$BD226)*$BC226)*$BF226, 1.05))+$AY226</f>
        <v>60</v>
      </c>
      <c r="BH226">
        <f>INT(POWER((((Constants!$G$1+$AZ226+$BA226+$BB226+$BD226)*($BC226))*$BE226),IF($E226="wagon",1,1.2)))+$AX226</f>
        <v>73</v>
      </c>
      <c r="BI226" s="14">
        <f t="shared" si="74"/>
        <v>46875</v>
      </c>
      <c r="BJ226" s="14">
        <f t="shared" si="75"/>
        <v>5931.25</v>
      </c>
      <c r="BN226" t="s">
        <v>617</v>
      </c>
      <c r="BQ226">
        <v>5</v>
      </c>
      <c r="BR226">
        <v>185</v>
      </c>
      <c r="BT226" t="s">
        <v>283</v>
      </c>
      <c r="BU226" t="str">
        <f>VLOOKUP(H226,Eras!$A$2:$C$10, 2, TRUE)</f>
        <v>dsl</v>
      </c>
      <c r="BV226" t="s">
        <v>334</v>
      </c>
      <c r="BW226" t="str">
        <f t="shared" si="76"/>
        <v>dsl_EMU (Express)</v>
      </c>
      <c r="BX226" t="str">
        <f t="shared" si="77"/>
        <v>electric_THIRD_RAIL</v>
      </c>
      <c r="BY226" t="str">
        <f>VLOOKUP($BX226, Constants!$M:$N, 2, FALSE)</f>
        <v>{BLACK}Powered by: {GOLD}750V DC</v>
      </c>
      <c r="BZ226" t="str">
        <f t="shared" si="79"/>
        <v>{BLACK}Cars: {GOLD}4</v>
      </c>
      <c r="CA226" t="s">
        <v>623</v>
      </c>
      <c r="CB226" t="str">
        <f t="shared" si="80"/>
        <v/>
      </c>
      <c r="CC226" t="str">
        <f t="shared" si="78"/>
        <v>{BLACK}Powered by: {GOLD}750V DC {BLACK}Cars: {GOLD}4{}{SILVER}The Class 421 4 CIG (Corridor, brIGhton) was a third rail EMU with express gearing, used in the Southern Region. It was based on the Mk1 carriage design.</v>
      </c>
    </row>
    <row r="227" spans="1:81" x14ac:dyDescent="0.25">
      <c r="A227" t="s">
        <v>86</v>
      </c>
      <c r="B227" t="s">
        <v>620</v>
      </c>
      <c r="C227">
        <v>444</v>
      </c>
      <c r="D227">
        <v>134</v>
      </c>
      <c r="E227" t="s">
        <v>404</v>
      </c>
      <c r="F227" t="s">
        <v>296</v>
      </c>
      <c r="G227" t="s">
        <v>297</v>
      </c>
      <c r="H227">
        <v>1965</v>
      </c>
      <c r="J227">
        <v>2002</v>
      </c>
      <c r="K227">
        <v>4</v>
      </c>
      <c r="L227">
        <v>1080</v>
      </c>
      <c r="U227">
        <v>158</v>
      </c>
      <c r="W227">
        <v>5</v>
      </c>
      <c r="X227">
        <v>130</v>
      </c>
      <c r="Y227" s="3">
        <f t="shared" si="66"/>
        <v>8.2278481012658222E-2</v>
      </c>
      <c r="Z227">
        <v>75</v>
      </c>
      <c r="AA227">
        <f t="shared" si="81"/>
        <v>120</v>
      </c>
      <c r="AD227">
        <v>19.850000000000001</v>
      </c>
      <c r="AE227">
        <v>19.850000000000001</v>
      </c>
      <c r="AF227">
        <v>2.82</v>
      </c>
      <c r="AG227">
        <v>3.97</v>
      </c>
      <c r="AH227" s="10">
        <v>57</v>
      </c>
      <c r="AI227" t="str">
        <f>CONCATENATE(VLOOKUP(AJ227, 'Voxel Sizes'!$A$2:$B$18,2,FALSE),"x",INT(AF227*15), "x", INT(AG227*15))</f>
        <v>198x42x59</v>
      </c>
      <c r="AJ227">
        <f t="shared" si="67"/>
        <v>12</v>
      </c>
      <c r="AL227" t="str">
        <f>CONCATENATE(VLOOKUP(AJ227,Constants!$A$2:$C$16,IF(AK227&lt;&gt;"", 3, 2), FALSE),IF(AK227&lt;&gt;"",CONCATENATE(",",VLOOKUP(AK227,$B:$AL,37,FALSE)),""))</f>
        <v>4,4,4</v>
      </c>
      <c r="AP227" t="s">
        <v>621</v>
      </c>
      <c r="AR227" t="s">
        <v>555</v>
      </c>
      <c r="AV227">
        <v>32</v>
      </c>
      <c r="AW227" s="15">
        <f t="shared" si="68"/>
        <v>45</v>
      </c>
      <c r="AX227">
        <v>-10</v>
      </c>
      <c r="AY227">
        <v>-20</v>
      </c>
      <c r="AZ227">
        <f t="shared" si="69"/>
        <v>15</v>
      </c>
      <c r="BA227">
        <f t="shared" si="70"/>
        <v>5.4</v>
      </c>
      <c r="BB227">
        <f t="shared" si="71"/>
        <v>6.5</v>
      </c>
      <c r="BC227" s="3">
        <f t="shared" si="72"/>
        <v>0.91333333333333333</v>
      </c>
      <c r="BD227">
        <f t="shared" si="73"/>
        <v>7.6</v>
      </c>
      <c r="BE227">
        <f>VLOOKUP($F227,Constants!$I:$K, 2, FALSE)</f>
        <v>0.85</v>
      </c>
      <c r="BF227">
        <f>VLOOKUP($F227,Constants!$I:$K, 3, FALSE)*IF(AND(E227="multiple_unit",Z227&lt;110),0.75,1)</f>
        <v>1.7249999999999999</v>
      </c>
      <c r="BG227">
        <f>INT(POWER(((Constants!$G$2+$AZ227+$BA227+$BB227+$BD227)*$BC227)*$BF227, 1.05))+$AY227</f>
        <v>56</v>
      </c>
      <c r="BH227">
        <f>INT(POWER((((Constants!$G$1+$AZ227+$BA227+$BB227+$BD227)*($BC227))*$BE227),IF($E227="wagon",1,1.2)))+$AX227</f>
        <v>69</v>
      </c>
      <c r="BI227" s="14">
        <f t="shared" si="74"/>
        <v>43750</v>
      </c>
      <c r="BJ227" s="14">
        <f t="shared" si="75"/>
        <v>5606.25</v>
      </c>
      <c r="BQ227">
        <v>6</v>
      </c>
      <c r="BR227">
        <v>185</v>
      </c>
      <c r="BT227" t="s">
        <v>283</v>
      </c>
      <c r="BU227" t="str">
        <f>VLOOKUP(H227,Eras!$A$2:$C$10, 2, TRUE)</f>
        <v>dsl</v>
      </c>
      <c r="BV227" t="s">
        <v>332</v>
      </c>
      <c r="BW227" t="str">
        <f t="shared" si="76"/>
        <v>dsl_DMU (Express)</v>
      </c>
      <c r="BX227" t="str">
        <f t="shared" si="77"/>
        <v>electric_ELRL</v>
      </c>
      <c r="BY227" t="str">
        <f>VLOOKUP($BX227, Constants!$M:$N, 2, FALSE)</f>
        <v>{BLACK}Powered by: {GOLD}25kV AC</v>
      </c>
      <c r="BZ227" t="str">
        <f t="shared" si="79"/>
        <v>{BLACK}Cars: {GOLD}4</v>
      </c>
      <c r="CA227" t="s">
        <v>622</v>
      </c>
      <c r="CB227" t="str">
        <f t="shared" si="80"/>
        <v/>
      </c>
      <c r="CC227" t="str">
        <f t="shared" si="78"/>
        <v>{BLACK}Powered by: {GOLD}25kV AC {BLACK}Cars: {GOLD}4{}{SILVER}The AM10 was the first EMU to be based on the Mk2 carriage bodyshell. They were introduced as part of the West Coast Main Line electrification.</v>
      </c>
    </row>
    <row r="228" spans="1:81" x14ac:dyDescent="0.25">
      <c r="A228" t="s">
        <v>78</v>
      </c>
      <c r="B228" t="s">
        <v>185</v>
      </c>
      <c r="C228">
        <v>446</v>
      </c>
      <c r="D228">
        <v>135</v>
      </c>
      <c r="E228" t="s">
        <v>404</v>
      </c>
      <c r="F228" t="s">
        <v>552</v>
      </c>
      <c r="G228" t="s">
        <v>551</v>
      </c>
      <c r="H228">
        <v>1976</v>
      </c>
      <c r="I228">
        <v>1977</v>
      </c>
      <c r="K228">
        <v>3</v>
      </c>
      <c r="L228">
        <v>880</v>
      </c>
      <c r="U228">
        <v>104.5</v>
      </c>
      <c r="W228">
        <v>5</v>
      </c>
      <c r="X228">
        <v>140</v>
      </c>
      <c r="Y228" s="3">
        <f t="shared" si="66"/>
        <v>0.13397129186602871</v>
      </c>
      <c r="Z228">
        <v>75</v>
      </c>
      <c r="AA228">
        <f t="shared" si="81"/>
        <v>120</v>
      </c>
      <c r="AD228">
        <v>20.329999999999998</v>
      </c>
      <c r="AE228">
        <v>20.329999999999998</v>
      </c>
      <c r="AG228">
        <v>3.58</v>
      </c>
      <c r="AH228" s="10">
        <v>75</v>
      </c>
      <c r="AI228" t="str">
        <f>CONCATENATE(VLOOKUP(AJ228, 'Voxel Sizes'!$A$2:$B$18,2,FALSE),"x",INT(AF228*15), "x", INT(AG228*15))</f>
        <v>198x0x53</v>
      </c>
      <c r="AJ228">
        <f t="shared" si="67"/>
        <v>12</v>
      </c>
      <c r="AL228" t="str">
        <f>CONCATENATE(VLOOKUP(AJ228,Constants!$A$2:$C$16,IF(AK228&lt;&gt;"", 3, 2), FALSE),IF(AK228&lt;&gt;"",CONCATENATE(",",VLOOKUP(AK228,$B:$AL,37,FALSE)),""))</f>
        <v>4,4,4</v>
      </c>
      <c r="AP228" t="s">
        <v>549</v>
      </c>
      <c r="AQ228" t="s">
        <v>554</v>
      </c>
      <c r="AR228" t="s">
        <v>292</v>
      </c>
      <c r="AV228">
        <v>35</v>
      </c>
      <c r="AW228" s="15" t="str">
        <f t="shared" si="68"/>
        <v/>
      </c>
      <c r="AX228">
        <v>-10</v>
      </c>
      <c r="AY228">
        <v>-20</v>
      </c>
      <c r="AZ228">
        <f t="shared" si="69"/>
        <v>15</v>
      </c>
      <c r="BA228">
        <f t="shared" si="70"/>
        <v>4.4000000000000004</v>
      </c>
      <c r="BB228">
        <f t="shared" si="71"/>
        <v>7</v>
      </c>
      <c r="BC228" s="3">
        <f t="shared" si="72"/>
        <v>0.89866666666666672</v>
      </c>
      <c r="BD228">
        <f t="shared" si="73"/>
        <v>7.5</v>
      </c>
      <c r="BE228">
        <f>VLOOKUP($F228,Constants!$I:$K, 2, FALSE)</f>
        <v>0.85</v>
      </c>
      <c r="BF228">
        <f>VLOOKUP($F228,Constants!$I:$K, 3, FALSE)*IF(AND(E228="multiple_unit",Z228&lt;110),0.75,1)</f>
        <v>1.7999999999999998</v>
      </c>
      <c r="BG228">
        <f>INT(POWER(((Constants!$G$2+$AZ228+$BA228+$BB228+$BD228)*$BC228)*$BF228, 1.05))+$AY228</f>
        <v>57</v>
      </c>
      <c r="BH228">
        <f>INT(POWER((((Constants!$G$1+$AZ228+$BA228+$BB228+$BD228)*($BC228))*$BE228),IF($E228="wagon",1,1.2)))+$AX228</f>
        <v>67</v>
      </c>
      <c r="BI228" s="14">
        <f t="shared" si="74"/>
        <v>44531.25</v>
      </c>
      <c r="BJ228" s="14">
        <f t="shared" si="75"/>
        <v>5443.75</v>
      </c>
      <c r="BQ228">
        <v>7</v>
      </c>
      <c r="BR228">
        <v>185</v>
      </c>
      <c r="BT228" t="s">
        <v>283</v>
      </c>
      <c r="BU228" t="str">
        <f>VLOOKUP(H228,Eras!$A$2:$C$10, 2, TRUE)</f>
        <v>lbr</v>
      </c>
      <c r="BV228" t="s">
        <v>333</v>
      </c>
      <c r="BW228" t="str">
        <f t="shared" si="76"/>
        <v>lbr_EMU</v>
      </c>
      <c r="BX228" t="str">
        <f t="shared" si="77"/>
        <v>dual_electric_DUAL_POWER</v>
      </c>
      <c r="BY228" t="str">
        <f>VLOOKUP($BX228, Constants!$M:$N, 2, FALSE)</f>
        <v>{BLACK}Powered by: {GOLD}25kV AC / 750V DC</v>
      </c>
      <c r="BZ228" t="str">
        <f t="shared" si="79"/>
        <v>{BLACK}Cars: {GOLD}3</v>
      </c>
      <c r="CA228" t="s">
        <v>550</v>
      </c>
      <c r="CB228" t="str">
        <f t="shared" si="80"/>
        <v/>
      </c>
      <c r="CC228" t="str">
        <f t="shared" si="78"/>
        <v>{BLACK}Powered by: {GOLD}25kV AC / 750V DC {BLACK}Cars: {GOLD}3{}{SILVER}The Class 313 is a dual voltage EMU capable of running both on overhead electrified lines and third rail systems.</v>
      </c>
    </row>
    <row r="229" spans="1:81" x14ac:dyDescent="0.25">
      <c r="A229" t="s">
        <v>667</v>
      </c>
      <c r="B229" t="s">
        <v>668</v>
      </c>
      <c r="C229">
        <v>448</v>
      </c>
      <c r="D229">
        <v>136</v>
      </c>
      <c r="E229" t="s">
        <v>404</v>
      </c>
      <c r="F229" t="s">
        <v>296</v>
      </c>
      <c r="G229" t="s">
        <v>297</v>
      </c>
      <c r="H229">
        <v>1979</v>
      </c>
      <c r="I229">
        <v>1986</v>
      </c>
      <c r="J229">
        <v>1988</v>
      </c>
      <c r="K229">
        <v>14</v>
      </c>
      <c r="L229">
        <v>8000</v>
      </c>
      <c r="U229">
        <v>434</v>
      </c>
      <c r="W229">
        <v>4</v>
      </c>
      <c r="X229">
        <v>210</v>
      </c>
      <c r="Y229" s="3">
        <f t="shared" si="66"/>
        <v>4.8387096774193547E-2</v>
      </c>
      <c r="Z229">
        <v>155</v>
      </c>
      <c r="AA229">
        <f t="shared" si="81"/>
        <v>248</v>
      </c>
      <c r="AD229">
        <v>20.9</v>
      </c>
      <c r="AE229">
        <v>20.9</v>
      </c>
      <c r="AF229">
        <v>2.7</v>
      </c>
      <c r="AG229">
        <v>3.5</v>
      </c>
      <c r="AH229" s="10">
        <v>39</v>
      </c>
      <c r="AI229" t="str">
        <f>CONCATENATE(VLOOKUP(AJ229, 'Voxel Sizes'!$A$2:$B$18,2,FALSE),"x",INT(AF229*15), "x", INT(AG229*15))</f>
        <v>198x40x52</v>
      </c>
      <c r="AJ229">
        <f t="shared" si="67"/>
        <v>12</v>
      </c>
      <c r="AL229" t="str">
        <f>CONCATENATE(VLOOKUP(AJ229,Constants!$A$2:$C$16,IF(AK229&lt;&gt;"", 3, 2), FALSE),IF(AK229&lt;&gt;"",CONCATENATE(",",VLOOKUP(AK229,$B:$AL,37,FALSE)),""))</f>
        <v>4,4,4</v>
      </c>
      <c r="AP229" t="s">
        <v>670</v>
      </c>
      <c r="AR229" t="s">
        <v>677</v>
      </c>
      <c r="AV229">
        <v>12</v>
      </c>
      <c r="AW229" s="15">
        <f t="shared" si="68"/>
        <v>17</v>
      </c>
      <c r="AZ229">
        <f t="shared" si="69"/>
        <v>30</v>
      </c>
      <c r="BA229">
        <f t="shared" si="70"/>
        <v>20</v>
      </c>
      <c r="BB229">
        <f t="shared" si="71"/>
        <v>10.5</v>
      </c>
      <c r="BC229" s="3">
        <f t="shared" si="72"/>
        <v>0.89466666666666672</v>
      </c>
      <c r="BD229">
        <f t="shared" si="73"/>
        <v>18.2</v>
      </c>
      <c r="BE229">
        <f>VLOOKUP($F229,Constants!$I:$K, 2, FALSE)</f>
        <v>0.85</v>
      </c>
      <c r="BF229">
        <f>VLOOKUP($F229,Constants!$I:$K, 3, FALSE)*IF(AND(E229="multiple_unit",Z229&lt;110),0.75,1)</f>
        <v>2.2999999999999998</v>
      </c>
      <c r="BG229">
        <f>INT(POWER(((Constants!$G$2+$AZ229+$BA229+$BB229+$BD229)*$BC229)*$BF229, 1.05))+$AY229</f>
        <v>222</v>
      </c>
      <c r="BH229">
        <f>INT(POWER((((Constants!$G$1+$AZ229+$BA229+$BB229+$BD229)*($BC229))*$BE229),IF($E229="wagon",1,1.2)))+$AX229</f>
        <v>167</v>
      </c>
      <c r="BI229" s="14">
        <f t="shared" si="74"/>
        <v>173437.5</v>
      </c>
      <c r="BJ229" s="14">
        <f t="shared" si="75"/>
        <v>13568.75</v>
      </c>
      <c r="BM229">
        <v>1</v>
      </c>
      <c r="BP229" t="s">
        <v>1150</v>
      </c>
      <c r="BQ229">
        <v>8</v>
      </c>
      <c r="BR229">
        <v>222</v>
      </c>
      <c r="BT229" t="s">
        <v>283</v>
      </c>
      <c r="BU229" t="str">
        <f>VLOOKUP(H229,Eras!$A$2:$C$10, 2, TRUE)</f>
        <v>lbr</v>
      </c>
      <c r="BV229" t="s">
        <v>334</v>
      </c>
      <c r="BW229" t="str">
        <f t="shared" si="76"/>
        <v>lbr_EMU (Express)</v>
      </c>
      <c r="BX229" t="str">
        <f t="shared" si="77"/>
        <v>electric_ELRL</v>
      </c>
      <c r="BY229" t="str">
        <f>VLOOKUP($BX229, Constants!$M:$N, 2, FALSE)</f>
        <v>{BLACK}Powered by: {GOLD}25kV AC</v>
      </c>
      <c r="BZ229" t="str">
        <f t="shared" si="79"/>
        <v>{BLACK}Cars: {GOLD}14</v>
      </c>
      <c r="CA229" t="s">
        <v>669</v>
      </c>
      <c r="CB229" t="str">
        <f t="shared" si="80"/>
        <v>{YELLOW}20% Bonus for long distance travel{}</v>
      </c>
      <c r="CC229" t="str">
        <f t="shared" si="78"/>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81" x14ac:dyDescent="0.25">
      <c r="A230" t="s">
        <v>667</v>
      </c>
      <c r="B230" t="s">
        <v>1127</v>
      </c>
      <c r="C230">
        <v>449</v>
      </c>
      <c r="D230">
        <v>137</v>
      </c>
      <c r="E230" t="s">
        <v>404</v>
      </c>
      <c r="F230" t="s">
        <v>296</v>
      </c>
      <c r="G230" t="s">
        <v>297</v>
      </c>
      <c r="H230">
        <v>1979</v>
      </c>
      <c r="I230">
        <v>1986</v>
      </c>
      <c r="J230">
        <v>1988</v>
      </c>
      <c r="K230">
        <v>8</v>
      </c>
      <c r="L230">
        <v>8000</v>
      </c>
      <c r="U230">
        <f>(434/14)*8</f>
        <v>248</v>
      </c>
      <c r="W230">
        <v>4</v>
      </c>
      <c r="X230">
        <v>210</v>
      </c>
      <c r="Y230" s="3">
        <f t="shared" si="66"/>
        <v>8.4677419354838704E-2</v>
      </c>
      <c r="Z230">
        <v>155</v>
      </c>
      <c r="AA230">
        <f t="shared" si="81"/>
        <v>248</v>
      </c>
      <c r="AD230">
        <v>20.9</v>
      </c>
      <c r="AE230">
        <v>20.9</v>
      </c>
      <c r="AF230">
        <v>2.7</v>
      </c>
      <c r="AG230">
        <v>3.5</v>
      </c>
      <c r="AH230" s="10">
        <v>39</v>
      </c>
      <c r="AI230" t="str">
        <f>CONCATENATE(VLOOKUP(AJ230, 'Voxel Sizes'!$A$2:$B$18,2,FALSE),"x",INT(AF230*15), "x", INT(AG230*15))</f>
        <v>198x40x52</v>
      </c>
      <c r="AJ230">
        <f t="shared" si="67"/>
        <v>12</v>
      </c>
      <c r="AL230" t="str">
        <f>CONCATENATE(VLOOKUP(AJ230,Constants!$A$2:$C$16,IF(AK230&lt;&gt;"", 3, 2), FALSE),IF(AK230&lt;&gt;"",CONCATENATE(",",VLOOKUP(AK230,$B:$AL,37,FALSE)),""))</f>
        <v>4,4,4</v>
      </c>
      <c r="AP230" t="s">
        <v>1141</v>
      </c>
      <c r="AR230" t="s">
        <v>694</v>
      </c>
      <c r="AS230" t="s">
        <v>668</v>
      </c>
      <c r="AV230">
        <v>12</v>
      </c>
      <c r="AW230" s="15">
        <f t="shared" si="68"/>
        <v>17</v>
      </c>
      <c r="AZ230">
        <f t="shared" si="69"/>
        <v>30</v>
      </c>
      <c r="BA230">
        <f t="shared" si="70"/>
        <v>20</v>
      </c>
      <c r="BB230">
        <f t="shared" si="71"/>
        <v>10.5</v>
      </c>
      <c r="BC230" s="3">
        <f t="shared" si="72"/>
        <v>0.89466666666666672</v>
      </c>
      <c r="BD230">
        <f t="shared" si="73"/>
        <v>10.4</v>
      </c>
      <c r="BE230">
        <f>VLOOKUP($F230,Constants!$I:$K, 2, FALSE)</f>
        <v>0.85</v>
      </c>
      <c r="BF230">
        <f>VLOOKUP($F230,Constants!$I:$K, 3, FALSE)*IF(AND(E230="multiple_unit",Z230&lt;110),0.75,1)</f>
        <v>2.2999999999999998</v>
      </c>
      <c r="BG230">
        <f>INT(POWER(((Constants!$G$2+$AZ230+$BA230+$BB230+$BD230)*$BC230)*$BF230, 1.05))+$AY230</f>
        <v>201</v>
      </c>
      <c r="BH230">
        <f>INT(POWER((((Constants!$G$1+$AZ230+$BA230+$BB230+$BD230)*($BC230))*$BE230),IF($E230="wagon",1,1.2)))+$AX230</f>
        <v>150</v>
      </c>
      <c r="BI230" s="14">
        <f t="shared" si="74"/>
        <v>157031.25</v>
      </c>
      <c r="BJ230" s="14">
        <f t="shared" si="75"/>
        <v>12187.5</v>
      </c>
      <c r="BM230">
        <v>1</v>
      </c>
      <c r="BP230" t="s">
        <v>1149</v>
      </c>
      <c r="BQ230">
        <v>8</v>
      </c>
      <c r="BR230">
        <v>222</v>
      </c>
      <c r="BT230" t="s">
        <v>283</v>
      </c>
      <c r="BU230" t="str">
        <f>VLOOKUP(H230,Eras!$A$2:$C$10, 2, TRUE)</f>
        <v>lbr</v>
      </c>
      <c r="BV230" t="s">
        <v>334</v>
      </c>
      <c r="BW230" t="str">
        <f t="shared" si="76"/>
        <v>lbr_EMU (Express)</v>
      </c>
      <c r="BX230" t="str">
        <f t="shared" si="77"/>
        <v>electric_ELRL</v>
      </c>
      <c r="BY230" t="str">
        <f>VLOOKUP($BX230, Constants!$M:$N, 2, FALSE)</f>
        <v>{BLACK}Powered by: {GOLD}25kV AC</v>
      </c>
      <c r="BZ230" t="str">
        <f t="shared" si="79"/>
        <v>{BLACK}Cars: {GOLD}8</v>
      </c>
      <c r="CA230" t="s">
        <v>669</v>
      </c>
      <c r="CB230" t="str">
        <f t="shared" si="80"/>
        <v>{YELLOW}20% Bonus for long distance travel{}</v>
      </c>
      <c r="CC230" t="str">
        <f t="shared" si="78"/>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81" x14ac:dyDescent="0.25">
      <c r="A231" t="s">
        <v>667</v>
      </c>
      <c r="B231" t="s">
        <v>1142</v>
      </c>
      <c r="C231">
        <v>450</v>
      </c>
      <c r="D231">
        <v>138</v>
      </c>
      <c r="E231" t="s">
        <v>404</v>
      </c>
      <c r="F231" t="s">
        <v>296</v>
      </c>
      <c r="G231" t="s">
        <v>297</v>
      </c>
      <c r="H231">
        <v>1979</v>
      </c>
      <c r="I231">
        <v>1986</v>
      </c>
      <c r="J231">
        <v>1988</v>
      </c>
      <c r="K231">
        <v>5</v>
      </c>
      <c r="L231">
        <v>8000</v>
      </c>
      <c r="U231">
        <f>(434/14)*5</f>
        <v>155</v>
      </c>
      <c r="W231">
        <v>4</v>
      </c>
      <c r="X231">
        <v>210</v>
      </c>
      <c r="Y231" s="3">
        <f t="shared" si="66"/>
        <v>0.13548387096774195</v>
      </c>
      <c r="Z231">
        <v>155</v>
      </c>
      <c r="AA231">
        <f t="shared" si="81"/>
        <v>248</v>
      </c>
      <c r="AD231">
        <v>20.9</v>
      </c>
      <c r="AE231">
        <v>20.9</v>
      </c>
      <c r="AF231">
        <v>2.7</v>
      </c>
      <c r="AG231">
        <v>3.5</v>
      </c>
      <c r="AH231" s="10">
        <v>39</v>
      </c>
      <c r="AI231" t="str">
        <f>CONCATENATE(VLOOKUP(AJ231, 'Voxel Sizes'!$A$2:$B$18,2,FALSE),"x",INT(AF231*15), "x", INT(AG231*15))</f>
        <v>198x40x52</v>
      </c>
      <c r="AJ231">
        <f t="shared" si="67"/>
        <v>12</v>
      </c>
      <c r="AL231" t="str">
        <f>CONCATENATE(VLOOKUP(AJ231,Constants!$A$2:$C$16,IF(AK231&lt;&gt;"", 3, 2), FALSE),IF(AK231&lt;&gt;"",CONCATENATE(",",VLOOKUP(AK231,$B:$AL,37,FALSE)),""))</f>
        <v>4,4,4</v>
      </c>
      <c r="AP231" t="s">
        <v>1147</v>
      </c>
      <c r="AR231" t="s">
        <v>664</v>
      </c>
      <c r="AS231" t="s">
        <v>668</v>
      </c>
      <c r="AV231">
        <v>12</v>
      </c>
      <c r="AW231" s="15">
        <f t="shared" si="68"/>
        <v>17</v>
      </c>
      <c r="AZ231">
        <f t="shared" si="69"/>
        <v>30</v>
      </c>
      <c r="BA231">
        <f t="shared" si="70"/>
        <v>20</v>
      </c>
      <c r="BB231">
        <f t="shared" si="71"/>
        <v>10.5</v>
      </c>
      <c r="BC231" s="3">
        <f t="shared" si="72"/>
        <v>0.89466666666666672</v>
      </c>
      <c r="BD231">
        <f t="shared" si="73"/>
        <v>6.5</v>
      </c>
      <c r="BE231">
        <f>VLOOKUP($F231,Constants!$I:$K, 2, FALSE)</f>
        <v>0.85</v>
      </c>
      <c r="BF231">
        <f>VLOOKUP($F231,Constants!$I:$K, 3, FALSE)*IF(AND(E231="multiple_unit",Z231&lt;110),0.75,1)</f>
        <v>2.2999999999999998</v>
      </c>
      <c r="BG231">
        <f>INT(POWER(((Constants!$G$2+$AZ231+$BA231+$BB231+$BD231)*$BC231)*$BF231, 1.05))+$AY231</f>
        <v>190</v>
      </c>
      <c r="BH231">
        <f>INT(POWER((((Constants!$G$1+$AZ231+$BA231+$BB231+$BD231)*($BC231))*$BE231),IF($E231="wagon",1,1.2)))+$AX231</f>
        <v>142</v>
      </c>
      <c r="BI231" s="14">
        <f t="shared" si="74"/>
        <v>148437.5</v>
      </c>
      <c r="BJ231" s="14">
        <f t="shared" si="75"/>
        <v>11537.5</v>
      </c>
      <c r="BM231">
        <v>1</v>
      </c>
      <c r="BP231" t="s">
        <v>1148</v>
      </c>
      <c r="BQ231">
        <v>8</v>
      </c>
      <c r="BR231">
        <v>222</v>
      </c>
      <c r="BT231" t="s">
        <v>283</v>
      </c>
      <c r="BU231" t="str">
        <f>VLOOKUP(H231,Eras!$A$2:$C$10, 2, TRUE)</f>
        <v>lbr</v>
      </c>
      <c r="BV231" t="s">
        <v>334</v>
      </c>
      <c r="BW231" t="str">
        <f t="shared" si="76"/>
        <v>lbr_EMU (Express)</v>
      </c>
      <c r="BX231" t="str">
        <f t="shared" si="77"/>
        <v>electric_ELRL</v>
      </c>
      <c r="BY231" t="str">
        <f>VLOOKUP($BX231, Constants!$M:$N, 2, FALSE)</f>
        <v>{BLACK}Powered by: {GOLD}25kV AC</v>
      </c>
      <c r="BZ231" t="str">
        <f t="shared" si="79"/>
        <v>{BLACK}Cars: {GOLD}5</v>
      </c>
      <c r="CA231" t="s">
        <v>669</v>
      </c>
      <c r="CB231" t="str">
        <f t="shared" si="80"/>
        <v>{YELLOW}20% Bonus for long distance travel{}</v>
      </c>
      <c r="CC231" t="str">
        <f t="shared" si="78"/>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1" x14ac:dyDescent="0.25">
      <c r="A232" t="s">
        <v>77</v>
      </c>
      <c r="B232" t="s">
        <v>184</v>
      </c>
      <c r="C232">
        <v>452</v>
      </c>
      <c r="D232">
        <v>139</v>
      </c>
      <c r="E232" t="s">
        <v>404</v>
      </c>
      <c r="F232" t="s">
        <v>296</v>
      </c>
      <c r="G232" t="s">
        <v>297</v>
      </c>
      <c r="H232">
        <v>1980</v>
      </c>
      <c r="I232">
        <v>1981</v>
      </c>
      <c r="K232">
        <v>4</v>
      </c>
      <c r="L232">
        <v>880</v>
      </c>
      <c r="U232">
        <v>127.5</v>
      </c>
      <c r="W232">
        <v>5</v>
      </c>
      <c r="X232">
        <v>140</v>
      </c>
      <c r="Y232" s="3">
        <f t="shared" si="66"/>
        <v>0.10980392156862745</v>
      </c>
      <c r="Z232">
        <v>75</v>
      </c>
      <c r="AA232">
        <f t="shared" si="81"/>
        <v>120</v>
      </c>
      <c r="AD232">
        <v>19.8</v>
      </c>
      <c r="AE232">
        <v>19.8</v>
      </c>
      <c r="AG232">
        <v>3.58</v>
      </c>
      <c r="AH232" s="10">
        <v>78</v>
      </c>
      <c r="AI232" t="str">
        <f>CONCATENATE(VLOOKUP(AJ232, 'Voxel Sizes'!$A$2:$B$18,2,FALSE),"x",INT(AF232*15), "x", INT(AG232*15))</f>
        <v>198x0x53</v>
      </c>
      <c r="AJ232">
        <f t="shared" si="67"/>
        <v>12</v>
      </c>
      <c r="AL232" t="str">
        <f>CONCATENATE(VLOOKUP(AJ232,Constants!$A$2:$C$16,IF(AK232&lt;&gt;"", 3, 2), FALSE),IF(AK232&lt;&gt;"",CONCATENATE(",",VLOOKUP(AK232,$B:$AL,37,FALSE)),""))</f>
        <v>4,4,4</v>
      </c>
      <c r="AP232" t="s">
        <v>557</v>
      </c>
      <c r="AR232" t="s">
        <v>555</v>
      </c>
      <c r="AV232">
        <v>35</v>
      </c>
      <c r="AW232" s="15" t="str">
        <f t="shared" si="68"/>
        <v/>
      </c>
      <c r="AX232">
        <v>-10</v>
      </c>
      <c r="AY232">
        <v>-20</v>
      </c>
      <c r="AZ232">
        <f t="shared" si="69"/>
        <v>15</v>
      </c>
      <c r="BA232">
        <f t="shared" si="70"/>
        <v>4.4000000000000004</v>
      </c>
      <c r="BB232">
        <f t="shared" si="71"/>
        <v>7</v>
      </c>
      <c r="BC232" s="3">
        <f t="shared" si="72"/>
        <v>0.89333333333333331</v>
      </c>
      <c r="BD232">
        <f t="shared" si="73"/>
        <v>10.4</v>
      </c>
      <c r="BE232">
        <f>VLOOKUP($F232,Constants!$I:$K, 2, FALSE)</f>
        <v>0.85</v>
      </c>
      <c r="BF232">
        <f>VLOOKUP($F232,Constants!$I:$K, 3, FALSE)*IF(AND(E232="multiple_unit",Z232&lt;110),0.75,1)</f>
        <v>1.7249999999999999</v>
      </c>
      <c r="BG232">
        <f>INT(POWER(((Constants!$G$2+$AZ232+$BA232+$BB232+$BD232)*$BC232)*$BF232, 1.05))+$AY232</f>
        <v>59</v>
      </c>
      <c r="BH232">
        <f>INT(POWER((((Constants!$G$1+$AZ232+$BA232+$BB232+$BD232)*($BC232))*$BE232),IF($E232="wagon",1,1.2)))+$AX232</f>
        <v>71</v>
      </c>
      <c r="BI232" s="14">
        <f t="shared" si="74"/>
        <v>46093.75</v>
      </c>
      <c r="BJ232" s="14">
        <f t="shared" si="75"/>
        <v>5768.75</v>
      </c>
      <c r="BQ232">
        <v>11</v>
      </c>
      <c r="BR232">
        <v>185</v>
      </c>
      <c r="BT232" t="s">
        <v>283</v>
      </c>
      <c r="BU232" t="str">
        <f>VLOOKUP(H232,Eras!$A$2:$C$10, 2, TRUE)</f>
        <v>lbr</v>
      </c>
      <c r="BV232" t="s">
        <v>333</v>
      </c>
      <c r="BW232" t="str">
        <f t="shared" si="76"/>
        <v>lbr_EMU</v>
      </c>
      <c r="BX232" t="str">
        <f t="shared" si="77"/>
        <v>electric_ELRL</v>
      </c>
      <c r="BY232" t="str">
        <f>VLOOKUP($BX232, Constants!$M:$N, 2, FALSE)</f>
        <v>{BLACK}Powered by: {GOLD}25kV AC</v>
      </c>
      <c r="BZ232" t="str">
        <f t="shared" si="79"/>
        <v>{BLACK}Cars: {GOLD}4</v>
      </c>
      <c r="CA232" t="s">
        <v>556</v>
      </c>
      <c r="CB232" t="str">
        <f t="shared" si="80"/>
        <v/>
      </c>
      <c r="CC232" t="str">
        <f t="shared" si="78"/>
        <v>{BLACK}Powered by: {GOLD}25kV AC {BLACK}Cars: {GOLD}4{}{SILVER}The Class 315 is the last class of the 1972 standard EMU design, running on 25kV overhead AC power and used for inner suburban services.</v>
      </c>
    </row>
    <row r="233" spans="1:81" x14ac:dyDescent="0.25">
      <c r="A233" t="s">
        <v>83</v>
      </c>
      <c r="B233" t="s">
        <v>186</v>
      </c>
      <c r="C233">
        <v>454</v>
      </c>
      <c r="D233">
        <v>140</v>
      </c>
      <c r="E233" t="s">
        <v>404</v>
      </c>
      <c r="F233" t="s">
        <v>296</v>
      </c>
      <c r="G233" t="s">
        <v>303</v>
      </c>
      <c r="H233">
        <v>1982</v>
      </c>
      <c r="K233">
        <v>4</v>
      </c>
      <c r="L233">
        <v>992</v>
      </c>
      <c r="U233">
        <v>136</v>
      </c>
      <c r="W233">
        <v>5</v>
      </c>
      <c r="X233">
        <v>150</v>
      </c>
      <c r="Y233" s="3">
        <f t="shared" si="66"/>
        <v>0.11029411764705882</v>
      </c>
      <c r="Z233">
        <v>75</v>
      </c>
      <c r="AA233">
        <f t="shared" si="81"/>
        <v>120</v>
      </c>
      <c r="AD233">
        <v>19.8</v>
      </c>
      <c r="AE233">
        <v>19.8</v>
      </c>
      <c r="AH233" s="10">
        <v>78</v>
      </c>
      <c r="AI233" t="str">
        <f>CONCATENATE(VLOOKUP(AJ233, 'Voxel Sizes'!$A$2:$B$18,2,FALSE),"x",INT(AF233*15), "x", INT(AG233*15))</f>
        <v>198x0x0</v>
      </c>
      <c r="AJ233">
        <f t="shared" si="67"/>
        <v>12</v>
      </c>
      <c r="AL233" t="str">
        <f>CONCATENATE(VLOOKUP(AJ233,Constants!$A$2:$C$16,IF(AK233&lt;&gt;"", 3, 2), FALSE),IF(AK233&lt;&gt;"",CONCATENATE(",",VLOOKUP(AK233,$B:$AL,37,FALSE)),""))</f>
        <v>4,4,4</v>
      </c>
      <c r="AP233" t="s">
        <v>607</v>
      </c>
      <c r="AR233" t="s">
        <v>465</v>
      </c>
      <c r="AV233">
        <v>35</v>
      </c>
      <c r="AW233" s="15" t="str">
        <f t="shared" si="68"/>
        <v/>
      </c>
      <c r="AX233">
        <v>-10</v>
      </c>
      <c r="AY233">
        <v>-20</v>
      </c>
      <c r="AZ233">
        <f t="shared" si="69"/>
        <v>15</v>
      </c>
      <c r="BA233">
        <f t="shared" si="70"/>
        <v>4.96</v>
      </c>
      <c r="BB233">
        <f t="shared" si="71"/>
        <v>7.5</v>
      </c>
      <c r="BC233" s="3">
        <f t="shared" si="72"/>
        <v>0.89066666666666672</v>
      </c>
      <c r="BD233">
        <f t="shared" si="73"/>
        <v>10.4</v>
      </c>
      <c r="BE233">
        <f>VLOOKUP($F233,Constants!$I:$K, 2, FALSE)</f>
        <v>0.85</v>
      </c>
      <c r="BF233">
        <f>VLOOKUP($F233,Constants!$I:$K, 3, FALSE)*IF(AND(E233="multiple_unit",Z233&lt;110),0.75,1)</f>
        <v>1.7249999999999999</v>
      </c>
      <c r="BG233">
        <f>INT(POWER(((Constants!$G$2+$AZ233+$BA233+$BB233+$BD233)*$BC233)*$BF233, 1.05))+$AY233</f>
        <v>61</v>
      </c>
      <c r="BH233">
        <f>INT(POWER((((Constants!$G$1+$AZ233+$BA233+$BB233+$BD233)*($BC233))*$BE233),IF($E233="wagon",1,1.2)))+$AX233</f>
        <v>73</v>
      </c>
      <c r="BI233" s="14">
        <f t="shared" si="74"/>
        <v>47656.25</v>
      </c>
      <c r="BJ233" s="14">
        <f t="shared" si="75"/>
        <v>5931.25</v>
      </c>
      <c r="BN233" t="s">
        <v>187</v>
      </c>
      <c r="BQ233">
        <v>12</v>
      </c>
      <c r="BR233">
        <v>185</v>
      </c>
      <c r="BT233" t="s">
        <v>283</v>
      </c>
      <c r="BU233" t="str">
        <f>VLOOKUP(H233,Eras!$A$2:$C$10, 2, TRUE)</f>
        <v>lbr</v>
      </c>
      <c r="BV233" t="s">
        <v>333</v>
      </c>
      <c r="BW233" t="str">
        <f t="shared" si="76"/>
        <v>lbr_EMU</v>
      </c>
      <c r="BX233" t="str">
        <f t="shared" si="77"/>
        <v>electric_THIRD_RAIL</v>
      </c>
      <c r="BY233" t="str">
        <f>VLOOKUP($BX233, Constants!$M:$N, 2, FALSE)</f>
        <v>{BLACK}Powered by: {GOLD}750V DC</v>
      </c>
      <c r="BZ233" t="str">
        <f t="shared" si="79"/>
        <v>{BLACK}Cars: {GOLD}4</v>
      </c>
      <c r="CA233" t="s">
        <v>608</v>
      </c>
      <c r="CB233" t="str">
        <f t="shared" si="80"/>
        <v/>
      </c>
      <c r="CC233" t="str">
        <f t="shared" si="78"/>
        <v>{BLACK}Powered by: {GOLD}750V DC {BLACK}Cars: {GOLD}4{}{SILVER}The Class 455 is a DC third rail version of British Rail's second generation EMU design. Some units re-used existing carriages from the Class 508, recognisable by the different side profile.</v>
      </c>
    </row>
    <row r="234" spans="1:81" x14ac:dyDescent="0.25">
      <c r="A234" t="s">
        <v>87</v>
      </c>
      <c r="B234" t="s">
        <v>629</v>
      </c>
      <c r="C234">
        <v>456</v>
      </c>
      <c r="D234">
        <v>141</v>
      </c>
      <c r="E234" t="s">
        <v>404</v>
      </c>
      <c r="F234" t="s">
        <v>273</v>
      </c>
      <c r="G234" t="s">
        <v>275</v>
      </c>
      <c r="H234">
        <v>1984</v>
      </c>
      <c r="I234">
        <v>1987</v>
      </c>
      <c r="K234">
        <v>2</v>
      </c>
      <c r="L234">
        <f>286*2</f>
        <v>572</v>
      </c>
      <c r="U234">
        <f>35.8*2</f>
        <v>71.599999999999994</v>
      </c>
      <c r="W234">
        <v>5</v>
      </c>
      <c r="X234">
        <v>110</v>
      </c>
      <c r="Y234" s="3">
        <f t="shared" si="66"/>
        <v>0.15363128491620112</v>
      </c>
      <c r="Z234">
        <v>75</v>
      </c>
      <c r="AA234">
        <f t="shared" si="81"/>
        <v>120</v>
      </c>
      <c r="AD234">
        <v>20</v>
      </c>
      <c r="AE234">
        <v>20</v>
      </c>
      <c r="AF234">
        <v>2.81</v>
      </c>
      <c r="AG234">
        <v>3.7</v>
      </c>
      <c r="AH234" s="10">
        <v>63</v>
      </c>
      <c r="AI234" t="str">
        <f>CONCATENATE(VLOOKUP(AJ234, 'Voxel Sizes'!$A$2:$B$18,2,FALSE),"x",INT(AF234*15), "x", INT(AG234*15))</f>
        <v>198x42x55</v>
      </c>
      <c r="AJ234">
        <f t="shared" si="67"/>
        <v>12</v>
      </c>
      <c r="AL234" t="str">
        <f>CONCATENATE(VLOOKUP(AJ234,Constants!$A$2:$C$16,IF(AK234&lt;&gt;"", 3, 2), FALSE),IF(AK234&lt;&gt;"",CONCATENATE(",",VLOOKUP(AK234,$B:$AL,37,FALSE)),""))</f>
        <v>4,4,4</v>
      </c>
      <c r="AP234" t="s">
        <v>628</v>
      </c>
      <c r="AR234" t="s">
        <v>467</v>
      </c>
      <c r="AV234">
        <v>28</v>
      </c>
      <c r="AW234" s="15" t="str">
        <f t="shared" si="68"/>
        <v/>
      </c>
      <c r="AX234">
        <v>-10</v>
      </c>
      <c r="AY234">
        <v>-15</v>
      </c>
      <c r="AZ234">
        <f t="shared" si="69"/>
        <v>15</v>
      </c>
      <c r="BA234">
        <f t="shared" si="70"/>
        <v>2.86</v>
      </c>
      <c r="BB234">
        <f t="shared" si="71"/>
        <v>5.5</v>
      </c>
      <c r="BC234" s="3">
        <f t="shared" si="72"/>
        <v>0.88800000000000001</v>
      </c>
      <c r="BD234">
        <f t="shared" si="73"/>
        <v>4.2</v>
      </c>
      <c r="BE234">
        <f>VLOOKUP($F234,Constants!$I:$K, 2, FALSE)</f>
        <v>1</v>
      </c>
      <c r="BF234">
        <f>VLOOKUP($F234,Constants!$I:$K, 3, FALSE)*IF(AND(E234="multiple_unit",Z234&lt;110),0.75,1)</f>
        <v>1.5</v>
      </c>
      <c r="BG234">
        <f>INT(POWER(((Constants!$G$2+$AZ234+$BA234+$BB234+$BD234)*$BC234)*$BF234, 1.05))+$AY234</f>
        <v>37</v>
      </c>
      <c r="BH234">
        <f>INT(POWER((((Constants!$G$1+$AZ234+$BA234+$BB234+$BD234)*($BC234))*$BE234),IF($E234="wagon",1,1.2)))+$AX234</f>
        <v>68</v>
      </c>
      <c r="BI234" s="14">
        <f t="shared" si="74"/>
        <v>28906.25</v>
      </c>
      <c r="BJ234" s="14">
        <f t="shared" si="75"/>
        <v>5525</v>
      </c>
      <c r="BN234" t="s">
        <v>1112</v>
      </c>
      <c r="BQ234">
        <v>1</v>
      </c>
      <c r="BR234">
        <v>185</v>
      </c>
      <c r="BT234" t="s">
        <v>283</v>
      </c>
      <c r="BU234" t="str">
        <f>VLOOKUP(H234,Eras!$A$2:$C$10, 2, TRUE)</f>
        <v>lbr</v>
      </c>
      <c r="BV234" t="s">
        <v>331</v>
      </c>
      <c r="BW234" t="str">
        <f t="shared" si="76"/>
        <v>lbr_DMU</v>
      </c>
      <c r="BX234" t="str">
        <f t="shared" si="77"/>
        <v>diesel_RAIL</v>
      </c>
      <c r="BY234" t="str">
        <f>VLOOKUP($BX234, Constants!$M:$N, 2, FALSE)</f>
        <v>{BLACK}Powered by: {GOLD}Diesel</v>
      </c>
      <c r="BZ234" t="str">
        <f t="shared" si="79"/>
        <v>{BLACK}Cars: {GOLD}2</v>
      </c>
      <c r="CA234" t="s">
        <v>627</v>
      </c>
      <c r="CB234" t="str">
        <f t="shared" si="80"/>
        <v/>
      </c>
      <c r="CC234" t="str">
        <f t="shared" si="78"/>
        <v>{BLACK}Powered by: {GOLD}Diesel {BLACK}Cars: {GOLD}2{}{SILVER}The Sprinter replaced first-generation DMUs. Like other second-generation units it was based on the Mark 3 bodyshell. The name refers to its faster acceleration compared to the units it replaced.</v>
      </c>
    </row>
    <row r="235" spans="1:81" x14ac:dyDescent="0.25">
      <c r="A235" t="s">
        <v>644</v>
      </c>
      <c r="B235" t="s">
        <v>227</v>
      </c>
      <c r="C235">
        <v>458</v>
      </c>
      <c r="D235">
        <v>142</v>
      </c>
      <c r="E235" t="s">
        <v>404</v>
      </c>
      <c r="F235" t="s">
        <v>273</v>
      </c>
      <c r="G235" t="s">
        <v>275</v>
      </c>
      <c r="H235">
        <v>1984</v>
      </c>
      <c r="I235">
        <v>1988</v>
      </c>
      <c r="J235">
        <v>2005</v>
      </c>
      <c r="K235">
        <v>2</v>
      </c>
      <c r="L235">
        <v>205</v>
      </c>
      <c r="U235">
        <f>26+26.5</f>
        <v>52.5</v>
      </c>
      <c r="W235">
        <v>5</v>
      </c>
      <c r="X235">
        <v>70</v>
      </c>
      <c r="Y235" s="3">
        <f t="shared" si="66"/>
        <v>0.13333333333333333</v>
      </c>
      <c r="Z235">
        <v>75</v>
      </c>
      <c r="AA235">
        <f t="shared" si="81"/>
        <v>120</v>
      </c>
      <c r="AD235">
        <v>15.45</v>
      </c>
      <c r="AE235">
        <v>15.45</v>
      </c>
      <c r="AF235">
        <v>2.5</v>
      </c>
      <c r="AG235">
        <v>3.9</v>
      </c>
      <c r="AH235" s="10">
        <v>46</v>
      </c>
      <c r="AI235" t="str">
        <f>CONCATENATE(VLOOKUP(AJ235, 'Voxel Sizes'!$A$2:$B$18,2,FALSE),"x",INT(AF235*15), "x", INT(AG235*15))</f>
        <v>152x37x58</v>
      </c>
      <c r="AJ235">
        <f t="shared" si="67"/>
        <v>9</v>
      </c>
      <c r="AL235" t="str">
        <f>CONCATENATE(VLOOKUP(AJ235,Constants!$A$2:$C$16,IF(AK235&lt;&gt;"", 3, 2), FALSE),IF(AK235&lt;&gt;"",CONCATENATE(",",VLOOKUP(AK235,$B:$AL,37,FALSE)),""))</f>
        <v>2,5,2</v>
      </c>
      <c r="AP235" t="s">
        <v>639</v>
      </c>
      <c r="AR235" t="s">
        <v>467</v>
      </c>
      <c r="AV235">
        <v>18</v>
      </c>
      <c r="AW235" s="15">
        <f t="shared" si="68"/>
        <v>29</v>
      </c>
      <c r="AX235">
        <v>-35</v>
      </c>
      <c r="AY235">
        <v>-20</v>
      </c>
      <c r="AZ235">
        <f t="shared" si="69"/>
        <v>15</v>
      </c>
      <c r="BA235">
        <f t="shared" si="70"/>
        <v>1.0249999999999999</v>
      </c>
      <c r="BB235">
        <f t="shared" si="71"/>
        <v>3.5</v>
      </c>
      <c r="BC235" s="3">
        <f t="shared" si="72"/>
        <v>0.88800000000000001</v>
      </c>
      <c r="BD235">
        <f t="shared" si="73"/>
        <v>3.0666666666666664</v>
      </c>
      <c r="BE235">
        <f>VLOOKUP($F235,Constants!$I:$K, 2, FALSE)</f>
        <v>1</v>
      </c>
      <c r="BF235">
        <f>VLOOKUP($F235,Constants!$I:$K, 3, FALSE)*IF(AND(E235="multiple_unit",Z235&lt;110),0.75,1)</f>
        <v>1.5</v>
      </c>
      <c r="BG235">
        <f>INT(POWER(((Constants!$G$2+$AZ235+$BA235+$BB235+$BD235)*$BC235)*$BF235, 1.05))+$AY235</f>
        <v>24</v>
      </c>
      <c r="BH235">
        <f>INT(POWER((((Constants!$G$1+$AZ235+$BA235+$BB235+$BD235)*($BC235))*$BE235),IF($E235="wagon",1,1.2)))+$AX235</f>
        <v>32</v>
      </c>
      <c r="BI235" s="14">
        <f t="shared" si="74"/>
        <v>18750</v>
      </c>
      <c r="BJ235" s="14">
        <f t="shared" si="75"/>
        <v>2600</v>
      </c>
      <c r="BN235" t="s">
        <v>1113</v>
      </c>
      <c r="BQ235">
        <v>2</v>
      </c>
      <c r="BR235">
        <v>148</v>
      </c>
      <c r="BT235" t="s">
        <v>283</v>
      </c>
      <c r="BU235" t="str">
        <f>VLOOKUP(H235,Eras!$A$2:$C$10, 2, TRUE)</f>
        <v>lbr</v>
      </c>
      <c r="BV235" t="s">
        <v>330</v>
      </c>
      <c r="BW235" t="str">
        <f t="shared" si="76"/>
        <v>lbr_DMU (Cheap)</v>
      </c>
      <c r="BX235" t="str">
        <f t="shared" si="77"/>
        <v>diesel_RAIL</v>
      </c>
      <c r="BY235" t="str">
        <f>VLOOKUP($BX235, Constants!$M:$N, 2, FALSE)</f>
        <v>{BLACK}Powered by: {GOLD}Diesel</v>
      </c>
      <c r="BZ235" t="str">
        <f t="shared" si="79"/>
        <v>{BLACK}Cars: {GOLD}2</v>
      </c>
      <c r="CA235" t="s">
        <v>645</v>
      </c>
      <c r="CB235" t="str">
        <f t="shared" si="80"/>
        <v>{YELLOW}20% Penalty for long distance travel{}</v>
      </c>
      <c r="CC235" t="str">
        <f t="shared" si="78"/>
        <v>{BLACK}Powered by: {GOLD}Diesel {BLACK}Cars: {GOLD}2{}{YELLOW}20% Penalty for long distance travel{}{SILVER}The Class 141 is a multiple unit built from Leyland National bus parts. While cheap and light, it is criticised for its poor ride quality.</v>
      </c>
    </row>
    <row r="236" spans="1:81" x14ac:dyDescent="0.25">
      <c r="A236" t="s">
        <v>76</v>
      </c>
      <c r="B236" t="s">
        <v>183</v>
      </c>
      <c r="C236">
        <v>460</v>
      </c>
      <c r="D236">
        <v>143</v>
      </c>
      <c r="E236" t="s">
        <v>404</v>
      </c>
      <c r="F236" t="s">
        <v>552</v>
      </c>
      <c r="G236" t="s">
        <v>551</v>
      </c>
      <c r="H236">
        <v>1987</v>
      </c>
      <c r="I236">
        <v>1990</v>
      </c>
      <c r="K236">
        <v>4</v>
      </c>
      <c r="L236">
        <f>4*332</f>
        <v>1328</v>
      </c>
      <c r="U236">
        <v>140.30000000000001</v>
      </c>
      <c r="W236">
        <v>5</v>
      </c>
      <c r="X236">
        <v>160</v>
      </c>
      <c r="Y236" s="3">
        <f t="shared" si="66"/>
        <v>0.11404133998574484</v>
      </c>
      <c r="Z236">
        <v>100</v>
      </c>
      <c r="AA236">
        <f t="shared" si="81"/>
        <v>160</v>
      </c>
      <c r="AD236">
        <v>19.829999999999998</v>
      </c>
      <c r="AE236">
        <v>19.829999999999998</v>
      </c>
      <c r="AG236">
        <v>3.58</v>
      </c>
      <c r="AH236" s="10">
        <v>78</v>
      </c>
      <c r="AI236" t="str">
        <f>CONCATENATE(VLOOKUP(AJ236, 'Voxel Sizes'!$A$2:$B$18,2,FALSE),"x",INT(AF236*15), "x", INT(AG236*15))</f>
        <v>198x0x53</v>
      </c>
      <c r="AJ236">
        <f t="shared" si="67"/>
        <v>12</v>
      </c>
      <c r="AL236" t="str">
        <f>CONCATENATE(VLOOKUP(AJ236,Constants!$A$2:$C$16,IF(AK236&lt;&gt;"", 3, 2), FALSE),IF(AK236&lt;&gt;"",CONCATENATE(",",VLOOKUP(AK236,$B:$AL,37,FALSE)),""))</f>
        <v>4,4,4</v>
      </c>
      <c r="AP236" t="s">
        <v>565</v>
      </c>
      <c r="AQ236" t="s">
        <v>566</v>
      </c>
      <c r="AR236" t="s">
        <v>555</v>
      </c>
      <c r="AV236">
        <v>32</v>
      </c>
      <c r="AW236" s="15" t="str">
        <f t="shared" si="68"/>
        <v/>
      </c>
      <c r="AX236">
        <v>-10</v>
      </c>
      <c r="AY236">
        <v>-20</v>
      </c>
      <c r="AZ236">
        <f t="shared" si="69"/>
        <v>20</v>
      </c>
      <c r="BA236">
        <f t="shared" si="70"/>
        <v>6.6400000000000006</v>
      </c>
      <c r="BB236">
        <f t="shared" si="71"/>
        <v>8</v>
      </c>
      <c r="BC236" s="3">
        <f t="shared" si="72"/>
        <v>0.88400000000000001</v>
      </c>
      <c r="BD236">
        <f t="shared" si="73"/>
        <v>10.4</v>
      </c>
      <c r="BE236">
        <f>VLOOKUP($F236,Constants!$I:$K, 2, FALSE)</f>
        <v>0.85</v>
      </c>
      <c r="BF236">
        <f>VLOOKUP($F236,Constants!$I:$K, 3, FALSE)*IF(AND(E236="multiple_unit",Z236&lt;110),0.75,1)</f>
        <v>1.7999999999999998</v>
      </c>
      <c r="BG236">
        <f>INT(POWER(((Constants!$G$2+$AZ236+$BA236+$BB236+$BD236)*$BC236)*$BF236, 1.05))+$AY236</f>
        <v>79</v>
      </c>
      <c r="BH236">
        <f>INT(POWER((((Constants!$G$1+$AZ236+$BA236+$BB236+$BD236)*($BC236))*$BE236),IF($E236="wagon",1,1.2)))+$AX236</f>
        <v>86</v>
      </c>
      <c r="BI236" s="14">
        <f t="shared" si="74"/>
        <v>61718.75</v>
      </c>
      <c r="BJ236" s="14">
        <f t="shared" si="75"/>
        <v>6987.5</v>
      </c>
      <c r="BQ236">
        <v>3</v>
      </c>
      <c r="BR236">
        <v>185</v>
      </c>
      <c r="BT236" t="s">
        <v>283</v>
      </c>
      <c r="BU236" t="str">
        <f>VLOOKUP(H236,Eras!$A$2:$C$10, 2, TRUE)</f>
        <v>lbr</v>
      </c>
      <c r="BV236" t="s">
        <v>333</v>
      </c>
      <c r="BW236" t="str">
        <f t="shared" si="76"/>
        <v>lbr_EMU</v>
      </c>
      <c r="BX236" t="str">
        <f t="shared" si="77"/>
        <v>dual_electric_DUAL_POWER</v>
      </c>
      <c r="BY236" t="str">
        <f>VLOOKUP($BX236, Constants!$M:$N, 2, FALSE)</f>
        <v>{BLACK}Powered by: {GOLD}25kV AC / 750V DC</v>
      </c>
      <c r="BZ236" t="str">
        <f t="shared" si="79"/>
        <v>{BLACK}Cars: {GOLD}4</v>
      </c>
      <c r="CA236" t="s">
        <v>564</v>
      </c>
      <c r="CB236" t="str">
        <f t="shared" si="80"/>
        <v/>
      </c>
      <c r="CC236" t="str">
        <f t="shared" si="78"/>
        <v>{BLACK}Powered by: {GOLD}25kV AC / 750V DC {BLACK}Cars: {GOLD}4{}{SILVER}The Class 319 is a dual-voltage EMU built for the then-new Thameslink service between Brighton and Bedford.</v>
      </c>
    </row>
    <row r="237" spans="1:81" x14ac:dyDescent="0.25">
      <c r="A237" t="s">
        <v>1435</v>
      </c>
      <c r="B237" t="s">
        <v>1436</v>
      </c>
      <c r="C237">
        <v>461</v>
      </c>
      <c r="D237">
        <v>144</v>
      </c>
      <c r="E237" t="s">
        <v>404</v>
      </c>
      <c r="F237" t="s">
        <v>296</v>
      </c>
      <c r="G237" t="s">
        <v>297</v>
      </c>
      <c r="H237">
        <v>1988</v>
      </c>
      <c r="I237">
        <v>1991</v>
      </c>
      <c r="K237">
        <v>4</v>
      </c>
      <c r="L237">
        <v>1438</v>
      </c>
      <c r="U237">
        <v>137.9</v>
      </c>
      <c r="W237">
        <v>5</v>
      </c>
      <c r="X237">
        <v>150</v>
      </c>
      <c r="Y237" s="3">
        <f t="shared" si="66"/>
        <v>0.10877447425670776</v>
      </c>
      <c r="Z237">
        <v>100</v>
      </c>
      <c r="AA237">
        <f t="shared" si="81"/>
        <v>160</v>
      </c>
      <c r="AD237">
        <v>19.95</v>
      </c>
      <c r="AE237">
        <v>19.95</v>
      </c>
      <c r="AG237">
        <v>3.78</v>
      </c>
      <c r="AH237" s="10">
        <v>78</v>
      </c>
      <c r="AI237" t="str">
        <f>CONCATENATE(VLOOKUP(AJ237, 'Voxel Sizes'!$A$2:$B$18,2,FALSE),"x",INT(AF237*15), "x", INT(AG237*15))</f>
        <v>198x0x56</v>
      </c>
      <c r="AJ237">
        <f t="shared" si="67"/>
        <v>12</v>
      </c>
      <c r="AL237" t="str">
        <f>CONCATENATE(VLOOKUP(AJ237,Constants!$A$2:$C$16,IF(AK237&lt;&gt;"", 3, 2), FALSE),IF(AK237&lt;&gt;"",CONCATENATE(",",VLOOKUP(AK237,$B:$AL,37,FALSE)),""))</f>
        <v>4,4,4</v>
      </c>
      <c r="AP237" t="s">
        <v>1437</v>
      </c>
      <c r="AR237" t="s">
        <v>555</v>
      </c>
      <c r="AV237">
        <v>33</v>
      </c>
      <c r="AW237" s="15" t="str">
        <f t="shared" si="68"/>
        <v/>
      </c>
      <c r="AX237">
        <v>-10</v>
      </c>
      <c r="AY237">
        <v>-27</v>
      </c>
      <c r="AZ237">
        <f t="shared" si="69"/>
        <v>20</v>
      </c>
      <c r="BA237">
        <f t="shared" si="70"/>
        <v>7.1899999999999995</v>
      </c>
      <c r="BB237">
        <f t="shared" si="71"/>
        <v>7.5</v>
      </c>
      <c r="BC237" s="3">
        <f t="shared" si="72"/>
        <v>0.88266666666666671</v>
      </c>
      <c r="BD237">
        <f t="shared" si="73"/>
        <v>10.4</v>
      </c>
      <c r="BE237">
        <f>VLOOKUP($F237,Constants!$I:$K, 2, FALSE)</f>
        <v>0.85</v>
      </c>
      <c r="BF237">
        <f>VLOOKUP($F237,Constants!$I:$K, 3, FALSE)*IF(AND(E237="multiple_unit",Z237&lt;110),0.75,1)</f>
        <v>1.7249999999999999</v>
      </c>
      <c r="BG237">
        <f>INT(POWER(((Constants!$G$2+$AZ237+$BA237+$BB237+$BD237)*$BC237)*$BF237, 1.05))+$AY237</f>
        <v>67</v>
      </c>
      <c r="BH237">
        <f>INT(POWER((((Constants!$G$1+$AZ237+$BA237+$BB237+$BD237)*($BC237))*$BE237),IF($E237="wagon",1,1.2)))+$AX237</f>
        <v>86</v>
      </c>
      <c r="BI237" s="14">
        <f t="shared" si="74"/>
        <v>52343.75</v>
      </c>
      <c r="BJ237" s="14">
        <f t="shared" si="75"/>
        <v>6987.5</v>
      </c>
      <c r="BQ237">
        <v>9</v>
      </c>
      <c r="BR237">
        <v>185</v>
      </c>
      <c r="BT237" t="s">
        <v>283</v>
      </c>
      <c r="BU237" t="str">
        <f>VLOOKUP(H237,Eras!$A$2:$C$10, 2, TRUE)</f>
        <v>lbr</v>
      </c>
      <c r="BV237" t="s">
        <v>333</v>
      </c>
      <c r="BW237" t="str">
        <f t="shared" si="76"/>
        <v>lbr_EMU</v>
      </c>
      <c r="BX237" t="str">
        <f t="shared" si="77"/>
        <v>electric_ELRL</v>
      </c>
      <c r="BY237" t="str">
        <f>VLOOKUP($BX237, Constants!$M:$N, 2, FALSE)</f>
        <v>{BLACK}Powered by: {GOLD}25kV AC</v>
      </c>
      <c r="BZ237" t="str">
        <f t="shared" si="79"/>
        <v>{BLACK}Cars: {GOLD}4</v>
      </c>
      <c r="CA237" t="s">
        <v>1438</v>
      </c>
      <c r="CB237" t="str">
        <f t="shared" si="80"/>
        <v/>
      </c>
      <c r="CC237" t="str">
        <f t="shared" si="78"/>
        <v>{BLACK}Powered by: {GOLD}25kV AC {BLACK}Cars: {GOLD}4{}{SILVER}The Class 321 is an overhead-line EMU, originally built for Network South East services and Regional Railways services from Leeds.</v>
      </c>
    </row>
    <row r="238" spans="1:81" x14ac:dyDescent="0.25">
      <c r="A238" t="s">
        <v>630</v>
      </c>
      <c r="B238" t="s">
        <v>224</v>
      </c>
      <c r="C238">
        <v>462</v>
      </c>
      <c r="D238">
        <v>145</v>
      </c>
      <c r="E238" t="s">
        <v>404</v>
      </c>
      <c r="F238" t="s">
        <v>273</v>
      </c>
      <c r="G238" t="s">
        <v>275</v>
      </c>
      <c r="H238">
        <v>1988</v>
      </c>
      <c r="K238">
        <v>2</v>
      </c>
      <c r="L238">
        <f>285*2</f>
        <v>570</v>
      </c>
      <c r="U238">
        <f>35.5+36.1</f>
        <v>71.599999999999994</v>
      </c>
      <c r="W238">
        <v>5</v>
      </c>
      <c r="X238">
        <v>110</v>
      </c>
      <c r="Y238" s="3">
        <f t="shared" si="66"/>
        <v>0.15363128491620112</v>
      </c>
      <c r="Z238">
        <v>75</v>
      </c>
      <c r="AA238">
        <f t="shared" si="81"/>
        <v>120</v>
      </c>
      <c r="AD238">
        <v>23</v>
      </c>
      <c r="AE238">
        <v>23</v>
      </c>
      <c r="AF238">
        <v>2.8</v>
      </c>
      <c r="AG238">
        <v>3.7</v>
      </c>
      <c r="AH238" s="10">
        <v>69</v>
      </c>
      <c r="AI238" t="str">
        <f>CONCATENATE(VLOOKUP(AJ238, 'Voxel Sizes'!$A$2:$B$18,2,FALSE),"x",INT(AF238*15), "x", INT(AG238*15))</f>
        <v>214x42x55</v>
      </c>
      <c r="AJ238">
        <f t="shared" si="67"/>
        <v>13</v>
      </c>
      <c r="AL238" t="str">
        <f>CONCATENATE(VLOOKUP(AJ238,Constants!$A$2:$C$16,IF(AK238&lt;&gt;"", 3, 2), FALSE),IF(AK238&lt;&gt;"",CONCATENATE(",",VLOOKUP(AK238,$B:$AL,37,FALSE)),""))</f>
        <v>4,5,4</v>
      </c>
      <c r="AP238" t="s">
        <v>632</v>
      </c>
      <c r="AR238" t="s">
        <v>467</v>
      </c>
      <c r="AV238">
        <v>33</v>
      </c>
      <c r="AW238" s="15" t="str">
        <f t="shared" si="68"/>
        <v/>
      </c>
      <c r="AX238">
        <v>-10</v>
      </c>
      <c r="AY238">
        <v>-15</v>
      </c>
      <c r="AZ238">
        <f t="shared" si="69"/>
        <v>15</v>
      </c>
      <c r="BA238">
        <f t="shared" si="70"/>
        <v>2.8499999999999996</v>
      </c>
      <c r="BB238">
        <f t="shared" si="71"/>
        <v>5.5</v>
      </c>
      <c r="BC238" s="3">
        <f t="shared" si="72"/>
        <v>0.88266666666666671</v>
      </c>
      <c r="BD238">
        <f t="shared" si="73"/>
        <v>4.6000000000000005</v>
      </c>
      <c r="BE238">
        <f>VLOOKUP($F238,Constants!$I:$K, 2, FALSE)</f>
        <v>1</v>
      </c>
      <c r="BF238">
        <f>VLOOKUP($F238,Constants!$I:$K, 3, FALSE)*IF(AND(E238="multiple_unit",Z238&lt;110),0.75,1)</f>
        <v>1.5</v>
      </c>
      <c r="BG238">
        <f>INT(POWER(((Constants!$G$2+$AZ238+$BA238+$BB238+$BD238)*$BC238)*$BF238, 1.05))+$AY238</f>
        <v>37</v>
      </c>
      <c r="BH238">
        <f>INT(POWER((((Constants!$G$1+$AZ238+$BA238+$BB238+$BD238)*($BC238))*$BE238),IF($E238="wagon",1,1.2)))+$AX238</f>
        <v>68</v>
      </c>
      <c r="BI238" s="14">
        <f t="shared" si="74"/>
        <v>28906.25</v>
      </c>
      <c r="BJ238" s="14">
        <f t="shared" si="75"/>
        <v>5525</v>
      </c>
      <c r="BN238" t="s">
        <v>1114</v>
      </c>
      <c r="BQ238">
        <v>4</v>
      </c>
      <c r="BR238">
        <v>185</v>
      </c>
      <c r="BT238" t="s">
        <v>283</v>
      </c>
      <c r="BU238" t="str">
        <f>VLOOKUP(H238,Eras!$A$2:$C$10, 2, TRUE)</f>
        <v>lbr</v>
      </c>
      <c r="BV238" t="s">
        <v>331</v>
      </c>
      <c r="BW238" t="str">
        <f t="shared" si="76"/>
        <v>lbr_DMU</v>
      </c>
      <c r="BX238" t="str">
        <f t="shared" si="77"/>
        <v>diesel_RAIL</v>
      </c>
      <c r="BY238" t="str">
        <f>VLOOKUP($BX238, Constants!$M:$N, 2, FALSE)</f>
        <v>{BLACK}Powered by: {GOLD}Diesel</v>
      </c>
      <c r="BZ238" t="str">
        <f t="shared" si="79"/>
        <v>{BLACK}Cars: {GOLD}2</v>
      </c>
      <c r="CA238" t="s">
        <v>631</v>
      </c>
      <c r="CB238" t="str">
        <f t="shared" si="80"/>
        <v/>
      </c>
      <c r="CC238" t="str">
        <f t="shared" si="78"/>
        <v>{BLACK}Powered by: {GOLD}Diesel {BLACK}Cars: {GOLD}2{}{SILVER}The Class 156 is a member of the Sprinter family designed for longer journeys, with single doors at each end rather than the metro-style doors of the Class 150s.</v>
      </c>
    </row>
    <row r="239" spans="1:81" x14ac:dyDescent="0.25">
      <c r="A239" t="s">
        <v>94</v>
      </c>
      <c r="B239" t="s">
        <v>230</v>
      </c>
      <c r="C239">
        <v>464</v>
      </c>
      <c r="D239">
        <v>146</v>
      </c>
      <c r="E239" t="s">
        <v>404</v>
      </c>
      <c r="F239" t="s">
        <v>296</v>
      </c>
      <c r="G239" t="s">
        <v>303</v>
      </c>
      <c r="H239">
        <v>1988</v>
      </c>
      <c r="K239">
        <v>5</v>
      </c>
      <c r="L239">
        <v>1610</v>
      </c>
      <c r="U239">
        <v>202.8</v>
      </c>
      <c r="W239">
        <v>5</v>
      </c>
      <c r="X239">
        <v>190</v>
      </c>
      <c r="Y239" s="3">
        <f t="shared" si="66"/>
        <v>9.3688362919132157E-2</v>
      </c>
      <c r="Z239">
        <v>108</v>
      </c>
      <c r="AA239">
        <f t="shared" si="81"/>
        <v>173</v>
      </c>
      <c r="AD239">
        <v>23</v>
      </c>
      <c r="AE239">
        <v>23</v>
      </c>
      <c r="AF239">
        <v>2.74</v>
      </c>
      <c r="AG239">
        <v>3.81</v>
      </c>
      <c r="AH239" s="10">
        <v>66</v>
      </c>
      <c r="AI239" t="str">
        <f>CONCATENATE(VLOOKUP(AJ239, 'Voxel Sizes'!$A$2:$B$18,2,FALSE),"x",INT(AF239*15), "x", INT(AG239*15))</f>
        <v>214x41x57</v>
      </c>
      <c r="AJ239">
        <f t="shared" si="67"/>
        <v>13</v>
      </c>
      <c r="AL239" t="str">
        <f>CONCATENATE(VLOOKUP(AJ239,Constants!$A$2:$C$16,IF(AK239&lt;&gt;"", 3, 2), FALSE),IF(AK239&lt;&gt;"",CONCATENATE(",",VLOOKUP(AK239,$B:$AL,37,FALSE)),""))</f>
        <v>4,5,4</v>
      </c>
      <c r="AP239" t="s">
        <v>665</v>
      </c>
      <c r="AR239" t="s">
        <v>606</v>
      </c>
      <c r="AV239">
        <v>35</v>
      </c>
      <c r="AW239" s="15" t="str">
        <f t="shared" si="68"/>
        <v/>
      </c>
      <c r="AX239">
        <v>-10</v>
      </c>
      <c r="AY239">
        <v>-25</v>
      </c>
      <c r="AZ239">
        <f t="shared" si="69"/>
        <v>21.599999999999998</v>
      </c>
      <c r="BA239">
        <f t="shared" si="70"/>
        <v>8.0500000000000007</v>
      </c>
      <c r="BB239">
        <f t="shared" si="71"/>
        <v>9.5</v>
      </c>
      <c r="BC239" s="3">
        <f t="shared" si="72"/>
        <v>0.88266666666666671</v>
      </c>
      <c r="BD239">
        <f t="shared" si="73"/>
        <v>11</v>
      </c>
      <c r="BE239">
        <f>VLOOKUP($F239,Constants!$I:$K, 2, FALSE)</f>
        <v>0.85</v>
      </c>
      <c r="BF239">
        <f>VLOOKUP($F239,Constants!$I:$K, 3, FALSE)*IF(AND(E239="multiple_unit",Z239&lt;110),0.75,1)</f>
        <v>1.7249999999999999</v>
      </c>
      <c r="BG239">
        <f>INT(POWER(((Constants!$G$2+$AZ239+$BA239+$BB239+$BD239)*$BC239)*$BF239, 1.05))+$AY239</f>
        <v>79</v>
      </c>
      <c r="BH239">
        <f>INT(POWER((((Constants!$G$1+$AZ239+$BA239+$BB239+$BD239)*($BC239))*$BE239),IF($E239="wagon",1,1.2)))+$AX239</f>
        <v>96</v>
      </c>
      <c r="BI239" s="14">
        <f t="shared" si="74"/>
        <v>61718.75</v>
      </c>
      <c r="BJ239" s="14">
        <f t="shared" si="75"/>
        <v>7800</v>
      </c>
      <c r="BN239" t="s">
        <v>1116</v>
      </c>
      <c r="BP239" t="s">
        <v>1146</v>
      </c>
      <c r="BQ239">
        <v>5</v>
      </c>
      <c r="BR239">
        <v>205</v>
      </c>
      <c r="BT239" t="s">
        <v>283</v>
      </c>
      <c r="BU239" t="str">
        <f>VLOOKUP(H239,Eras!$A$2:$C$10, 2, TRUE)</f>
        <v>lbr</v>
      </c>
      <c r="BV239" t="s">
        <v>334</v>
      </c>
      <c r="BW239" t="str">
        <f t="shared" si="76"/>
        <v>lbr_EMU (Express)</v>
      </c>
      <c r="BX239" t="str">
        <f t="shared" si="77"/>
        <v>electric_THIRD_RAIL</v>
      </c>
      <c r="BY239" t="str">
        <f>VLOOKUP($BX239, Constants!$M:$N, 2, FALSE)</f>
        <v>{BLACK}Powered by: {GOLD}750V DC</v>
      </c>
      <c r="BZ239" t="str">
        <f t="shared" si="79"/>
        <v>{BLACK}Cars: {GOLD}5</v>
      </c>
      <c r="CA239" t="s">
        <v>666</v>
      </c>
      <c r="CB239" t="str">
        <f t="shared" si="80"/>
        <v>{YELLOW}10% Bonus for long distance travel{}</v>
      </c>
      <c r="CC239" t="str">
        <f t="shared" si="78"/>
        <v>{BLACK}Powered by: {GOLD}750V DC {BLACK}Cars: {GOLD}5{}{YELLOW}10% Bonus for long distance travel{}{SILVER}The Class 442 holds the speed record for a third rail EMU at 108mph. Unlike most of its generation of Mk3-based multiple units, it uses the full-length carriage bodyshell.</v>
      </c>
    </row>
    <row r="240" spans="1:81" x14ac:dyDescent="0.25">
      <c r="A240" t="s">
        <v>94</v>
      </c>
      <c r="B240" t="s">
        <v>1134</v>
      </c>
      <c r="C240">
        <v>465</v>
      </c>
      <c r="D240">
        <v>147</v>
      </c>
      <c r="E240" t="s">
        <v>404</v>
      </c>
      <c r="F240" t="s">
        <v>296</v>
      </c>
      <c r="G240" t="s">
        <v>303</v>
      </c>
      <c r="H240">
        <v>1988</v>
      </c>
      <c r="K240">
        <v>4</v>
      </c>
      <c r="L240">
        <v>1610</v>
      </c>
      <c r="U240">
        <f>202.8/5*4</f>
        <v>162.24</v>
      </c>
      <c r="W240">
        <v>5</v>
      </c>
      <c r="X240">
        <v>190</v>
      </c>
      <c r="Y240" s="3">
        <f t="shared" si="66"/>
        <v>0.11711045364891517</v>
      </c>
      <c r="Z240">
        <v>108</v>
      </c>
      <c r="AA240">
        <f t="shared" si="81"/>
        <v>173</v>
      </c>
      <c r="AD240">
        <v>23</v>
      </c>
      <c r="AE240">
        <v>23</v>
      </c>
      <c r="AF240">
        <v>2.74</v>
      </c>
      <c r="AG240">
        <v>3.81</v>
      </c>
      <c r="AH240" s="10">
        <v>66</v>
      </c>
      <c r="AI240" t="str">
        <f>CONCATENATE(VLOOKUP(AJ240, 'Voxel Sizes'!$A$2:$B$18,2,FALSE),"x",INT(AF240*15), "x", INT(AG240*15))</f>
        <v>214x41x57</v>
      </c>
      <c r="AJ240">
        <f t="shared" si="67"/>
        <v>13</v>
      </c>
      <c r="AL240" t="str">
        <f>CONCATENATE(VLOOKUP(AJ240,Constants!$A$2:$C$16,IF(AK240&lt;&gt;"", 3, 2), FALSE),IF(AK240&lt;&gt;"",CONCATENATE(",",VLOOKUP(AK240,$B:$AL,37,FALSE)),""))</f>
        <v>4,5,4</v>
      </c>
      <c r="AP240" t="s">
        <v>1135</v>
      </c>
      <c r="AR240" t="s">
        <v>1126</v>
      </c>
      <c r="AS240" t="s">
        <v>230</v>
      </c>
      <c r="AV240">
        <v>35</v>
      </c>
      <c r="AW240" s="15" t="str">
        <f t="shared" si="68"/>
        <v/>
      </c>
      <c r="AX240">
        <v>-10</v>
      </c>
      <c r="AY240">
        <v>-25</v>
      </c>
      <c r="AZ240">
        <f t="shared" si="69"/>
        <v>21.599999999999998</v>
      </c>
      <c r="BA240">
        <f t="shared" si="70"/>
        <v>8.0500000000000007</v>
      </c>
      <c r="BB240">
        <f t="shared" si="71"/>
        <v>9.5</v>
      </c>
      <c r="BC240" s="3">
        <f t="shared" si="72"/>
        <v>0.88266666666666671</v>
      </c>
      <c r="BD240">
        <f t="shared" si="73"/>
        <v>8.8000000000000007</v>
      </c>
      <c r="BE240">
        <f>VLOOKUP($F240,Constants!$I:$K, 2, FALSE)</f>
        <v>0.85</v>
      </c>
      <c r="BF240">
        <f>VLOOKUP($F240,Constants!$I:$K, 3, FALSE)*IF(AND(E240="multiple_unit",Z240&lt;110),0.75,1)</f>
        <v>1.7249999999999999</v>
      </c>
      <c r="BG240">
        <f>INT(POWER(((Constants!$G$2+$AZ240+$BA240+$BB240+$BD240)*$BC240)*$BF240, 1.05))+$AY240</f>
        <v>75</v>
      </c>
      <c r="BH240">
        <f>INT(POWER((((Constants!$G$1+$AZ240+$BA240+$BB240+$BD240)*($BC240))*$BE240),IF($E240="wagon",1,1.2)))+$AX240</f>
        <v>92</v>
      </c>
      <c r="BI240" s="14">
        <f t="shared" si="74"/>
        <v>58593.75</v>
      </c>
      <c r="BJ240" s="14">
        <f t="shared" si="75"/>
        <v>7475</v>
      </c>
      <c r="BN240" t="s">
        <v>1116</v>
      </c>
      <c r="BP240" t="s">
        <v>1148</v>
      </c>
      <c r="BQ240">
        <v>5</v>
      </c>
      <c r="BR240">
        <v>205</v>
      </c>
      <c r="BT240" t="s">
        <v>283</v>
      </c>
      <c r="BU240" t="str">
        <f>VLOOKUP(H240,Eras!$A$2:$C$10, 2, TRUE)</f>
        <v>lbr</v>
      </c>
      <c r="BV240" t="s">
        <v>334</v>
      </c>
      <c r="BW240" t="str">
        <f t="shared" si="76"/>
        <v>lbr_EMU (Express)</v>
      </c>
      <c r="BX240" t="str">
        <f t="shared" si="77"/>
        <v>electric_THIRD_RAIL</v>
      </c>
      <c r="BY240" t="str">
        <f>VLOOKUP($BX240, Constants!$M:$N, 2, FALSE)</f>
        <v>{BLACK}Powered by: {GOLD}750V DC</v>
      </c>
      <c r="BZ240" t="str">
        <f t="shared" si="79"/>
        <v>{BLACK}Cars: {GOLD}4</v>
      </c>
      <c r="CA240" t="s">
        <v>666</v>
      </c>
      <c r="CB240" t="str">
        <f t="shared" si="80"/>
        <v>{YELLOW}10% Bonus for long distance travel{}</v>
      </c>
      <c r="CC240" t="str">
        <f t="shared" si="78"/>
        <v>{BLACK}Powered by: {GOLD}750V DC {BLACK}Cars: {GOLD}4{}{YELLOW}10% Bonus for long distance travel{}{SILVER}The Class 442 holds the speed record for a third rail EMU at 108mph. Unlike most of its generation of Mk3-based multiple units, it uses the full-length carriage bodyshell.</v>
      </c>
    </row>
    <row r="241" spans="1:81" x14ac:dyDescent="0.25">
      <c r="A241" t="s">
        <v>88</v>
      </c>
      <c r="B241" t="s">
        <v>225</v>
      </c>
      <c r="C241">
        <v>466</v>
      </c>
      <c r="D241">
        <v>148</v>
      </c>
      <c r="E241" t="s">
        <v>404</v>
      </c>
      <c r="F241" t="s">
        <v>273</v>
      </c>
      <c r="G241" t="s">
        <v>275</v>
      </c>
      <c r="H241">
        <v>1989</v>
      </c>
      <c r="I241">
        <v>1992</v>
      </c>
      <c r="K241">
        <v>3</v>
      </c>
      <c r="L241">
        <f>350*3</f>
        <v>1050</v>
      </c>
      <c r="U241">
        <f>37.8*3</f>
        <v>113.39999999999999</v>
      </c>
      <c r="W241">
        <v>5</v>
      </c>
      <c r="X241">
        <v>120</v>
      </c>
      <c r="Y241" s="3">
        <f t="shared" si="66"/>
        <v>0.10582010582010581</v>
      </c>
      <c r="Z241">
        <v>90</v>
      </c>
      <c r="AA241">
        <f t="shared" si="81"/>
        <v>144</v>
      </c>
      <c r="AD241">
        <v>23.2</v>
      </c>
      <c r="AE241">
        <v>23</v>
      </c>
      <c r="AF241">
        <v>2.7</v>
      </c>
      <c r="AH241" s="10">
        <v>69</v>
      </c>
      <c r="AI241" t="str">
        <f>CONCATENATE(VLOOKUP(AJ241, 'Voxel Sizes'!$A$2:$B$18,2,FALSE),"x",INT(AF241*15), "x", INT(AG241*15))</f>
        <v>214x40x0</v>
      </c>
      <c r="AJ241">
        <f t="shared" si="67"/>
        <v>13</v>
      </c>
      <c r="AL241" t="str">
        <f>CONCATENATE(VLOOKUP(AJ241,Constants!$A$2:$C$16,IF(AK241&lt;&gt;"", 3, 2), FALSE),IF(AK241&lt;&gt;"",CONCATENATE(",",VLOOKUP(AK241,$B:$AL,37,FALSE)),""))</f>
        <v>4,5,4</v>
      </c>
      <c r="AP241" t="s">
        <v>633</v>
      </c>
      <c r="AR241" t="s">
        <v>292</v>
      </c>
      <c r="AV241">
        <v>33</v>
      </c>
      <c r="AW241" s="15" t="str">
        <f t="shared" si="68"/>
        <v/>
      </c>
      <c r="AX241">
        <v>-10</v>
      </c>
      <c r="AY241">
        <v>-15</v>
      </c>
      <c r="AZ241">
        <f t="shared" si="69"/>
        <v>18</v>
      </c>
      <c r="BA241">
        <f t="shared" si="70"/>
        <v>5.25</v>
      </c>
      <c r="BB241">
        <f t="shared" si="71"/>
        <v>6</v>
      </c>
      <c r="BC241" s="3">
        <f t="shared" si="72"/>
        <v>0.8813333333333333</v>
      </c>
      <c r="BD241">
        <f t="shared" si="73"/>
        <v>6.9</v>
      </c>
      <c r="BE241">
        <f>VLOOKUP($F241,Constants!$I:$K, 2, FALSE)</f>
        <v>1</v>
      </c>
      <c r="BF241">
        <f>VLOOKUP($F241,Constants!$I:$K, 3, FALSE)*IF(AND(E241="multiple_unit",Z241&lt;110),0.75,1)</f>
        <v>1.5</v>
      </c>
      <c r="BG241">
        <f>INT(POWER(((Constants!$G$2+$AZ241+$BA241+$BB241+$BD241)*$BC241)*$BF241, 1.05))+$AY241</f>
        <v>51</v>
      </c>
      <c r="BH241">
        <f>INT(POWER((((Constants!$G$1+$AZ241+$BA241+$BB241+$BD241)*($BC241))*$BE241),IF($E241="wagon",1,1.2)))+$AX241</f>
        <v>86</v>
      </c>
      <c r="BI241" s="14">
        <f t="shared" si="74"/>
        <v>39843.75</v>
      </c>
      <c r="BJ241" s="14">
        <f t="shared" si="75"/>
        <v>6987.5</v>
      </c>
      <c r="BN241" t="s">
        <v>1115</v>
      </c>
      <c r="BQ241">
        <v>7</v>
      </c>
      <c r="BR241">
        <v>205</v>
      </c>
      <c r="BT241" t="s">
        <v>283</v>
      </c>
      <c r="BU241" t="str">
        <f>VLOOKUP(H241,Eras!$A$2:$C$10, 2, TRUE)</f>
        <v>lbr</v>
      </c>
      <c r="BV241" t="s">
        <v>332</v>
      </c>
      <c r="BW241" t="str">
        <f t="shared" si="76"/>
        <v>lbr_DMU (Express)</v>
      </c>
      <c r="BX241" t="str">
        <f t="shared" si="77"/>
        <v>diesel_RAIL</v>
      </c>
      <c r="BY241" t="str">
        <f>VLOOKUP($BX241, Constants!$M:$N, 2, FALSE)</f>
        <v>{BLACK}Powered by: {GOLD}Diesel</v>
      </c>
      <c r="BZ241" t="str">
        <f t="shared" si="79"/>
        <v>{BLACK}Cars: {GOLD}3</v>
      </c>
      <c r="CA241" t="s">
        <v>634</v>
      </c>
      <c r="CB241" t="str">
        <f t="shared" si="80"/>
        <v>{YELLOW}10% Bonus for long distance travel{}</v>
      </c>
      <c r="CC241" t="str">
        <f t="shared" si="78"/>
        <v>{BLACK}Powered by: {GOLD}Diesel {BLACK}Cars: {GOLD}3{}{YELLOW}10% Bonus for long distance travel{}{SILVER}The Class 158 has many improvements over earlier generation Sprinters, including air conditioning and a more comfortable ride.</v>
      </c>
    </row>
    <row r="242" spans="1:81" x14ac:dyDescent="0.25">
      <c r="A242" t="s">
        <v>84</v>
      </c>
      <c r="B242" t="s">
        <v>187</v>
      </c>
      <c r="C242">
        <v>468</v>
      </c>
      <c r="D242">
        <v>149</v>
      </c>
      <c r="E242" t="s">
        <v>404</v>
      </c>
      <c r="F242" t="s">
        <v>296</v>
      </c>
      <c r="G242" t="s">
        <v>303</v>
      </c>
      <c r="H242">
        <v>1990</v>
      </c>
      <c r="K242">
        <v>2</v>
      </c>
      <c r="L242">
        <v>500</v>
      </c>
      <c r="U242">
        <v>72.5</v>
      </c>
      <c r="W242">
        <v>5</v>
      </c>
      <c r="X242">
        <v>120</v>
      </c>
      <c r="Y242" s="3">
        <f t="shared" si="66"/>
        <v>0.16551724137931034</v>
      </c>
      <c r="Z242">
        <v>75</v>
      </c>
      <c r="AA242">
        <f t="shared" si="81"/>
        <v>120</v>
      </c>
      <c r="AD242">
        <v>19.8</v>
      </c>
      <c r="AE242">
        <v>19.8</v>
      </c>
      <c r="AH242" s="10">
        <v>75</v>
      </c>
      <c r="AI242" t="str">
        <f>CONCATENATE(VLOOKUP(AJ242, 'Voxel Sizes'!$A$2:$B$18,2,FALSE),"x",INT(AF242*15), "x", INT(AG242*15))</f>
        <v>198x0x0</v>
      </c>
      <c r="AJ242">
        <f t="shared" si="67"/>
        <v>12</v>
      </c>
      <c r="AL242" t="str">
        <f>CONCATENATE(VLOOKUP(AJ242,Constants!$A$2:$C$16,IF(AK242&lt;&gt;"", 3, 2), FALSE),IF(AK242&lt;&gt;"",CONCATENATE(",",VLOOKUP(AK242,$B:$AL,37,FALSE)),""))</f>
        <v>4,4,4</v>
      </c>
      <c r="AP242" t="s">
        <v>609</v>
      </c>
      <c r="AR242" t="s">
        <v>467</v>
      </c>
      <c r="AV242">
        <v>31</v>
      </c>
      <c r="AW242" s="15" t="str">
        <f t="shared" si="68"/>
        <v/>
      </c>
      <c r="AX242">
        <v>-10</v>
      </c>
      <c r="AY242">
        <v>-20</v>
      </c>
      <c r="AZ242">
        <f t="shared" si="69"/>
        <v>15</v>
      </c>
      <c r="BA242">
        <f t="shared" si="70"/>
        <v>2.5</v>
      </c>
      <c r="BB242">
        <f t="shared" si="71"/>
        <v>6</v>
      </c>
      <c r="BC242" s="3">
        <f t="shared" si="72"/>
        <v>0.88</v>
      </c>
      <c r="BD242">
        <f t="shared" si="73"/>
        <v>5</v>
      </c>
      <c r="BE242">
        <f>VLOOKUP($F242,Constants!$I:$K, 2, FALSE)</f>
        <v>0.85</v>
      </c>
      <c r="BF242">
        <f>VLOOKUP($F242,Constants!$I:$K, 3, FALSE)*IF(AND(E242="multiple_unit",Z242&lt;110),0.75,1)</f>
        <v>1.7249999999999999</v>
      </c>
      <c r="BG242">
        <f>INT(POWER(((Constants!$G$2+$AZ242+$BA242+$BB242+$BD242)*$BC242)*$BF242, 1.05))+$AY242</f>
        <v>41</v>
      </c>
      <c r="BH242">
        <f>INT(POWER((((Constants!$G$1+$AZ242+$BA242+$BB242+$BD242)*($BC242))*$BE242),IF($E242="wagon",1,1.2)))+$AX242</f>
        <v>55</v>
      </c>
      <c r="BI242" s="14">
        <f t="shared" si="74"/>
        <v>32031.25</v>
      </c>
      <c r="BJ242" s="14">
        <f t="shared" si="75"/>
        <v>4468.75</v>
      </c>
      <c r="BN242" t="s">
        <v>186</v>
      </c>
      <c r="BQ242">
        <v>8</v>
      </c>
      <c r="BR242">
        <v>185</v>
      </c>
      <c r="BT242" t="s">
        <v>283</v>
      </c>
      <c r="BU242" t="str">
        <f>VLOOKUP(H242,Eras!$A$2:$C$10, 2, TRUE)</f>
        <v>lbr</v>
      </c>
      <c r="BV242" t="s">
        <v>333</v>
      </c>
      <c r="BW242" t="str">
        <f t="shared" si="76"/>
        <v>lbr_EMU</v>
      </c>
      <c r="BX242" t="str">
        <f t="shared" si="77"/>
        <v>electric_THIRD_RAIL</v>
      </c>
      <c r="BY242" t="str">
        <f>VLOOKUP($BX242, Constants!$M:$N, 2, FALSE)</f>
        <v>{BLACK}Powered by: {GOLD}750V DC</v>
      </c>
      <c r="BZ242" t="str">
        <f t="shared" si="79"/>
        <v>{BLACK}Cars: {GOLD}2</v>
      </c>
      <c r="CA242" t="s">
        <v>610</v>
      </c>
      <c r="CB242" t="str">
        <f t="shared" si="80"/>
        <v/>
      </c>
      <c r="CC242" t="str">
        <f t="shared" si="78"/>
        <v>{BLACK}Powered by: {GOLD}750V DC {BLACK}Cars: {GOLD}2{}{SILVER}The Class 456 is a two-car EMU used for inner suburban services - either as a single unit for services with low demand or coupled to other Class 456 or 455 units for higher capacity routes.</v>
      </c>
    </row>
    <row r="243" spans="1:81" x14ac:dyDescent="0.25">
      <c r="A243" t="s">
        <v>89</v>
      </c>
      <c r="B243" t="s">
        <v>226</v>
      </c>
      <c r="C243">
        <v>470</v>
      </c>
      <c r="D243">
        <v>150</v>
      </c>
      <c r="E243" t="s">
        <v>404</v>
      </c>
      <c r="F243" t="s">
        <v>273</v>
      </c>
      <c r="G243" t="s">
        <v>275</v>
      </c>
      <c r="H243">
        <v>1991</v>
      </c>
      <c r="I243">
        <v>1992</v>
      </c>
      <c r="K243">
        <v>2</v>
      </c>
      <c r="L243">
        <f>350*2</f>
        <v>700</v>
      </c>
      <c r="U243">
        <v>74</v>
      </c>
      <c r="W243">
        <v>5</v>
      </c>
      <c r="X243">
        <v>105</v>
      </c>
      <c r="Y243" s="3">
        <f t="shared" si="66"/>
        <v>0.14189189189189189</v>
      </c>
      <c r="Z243">
        <v>75</v>
      </c>
      <c r="AA243">
        <f t="shared" si="81"/>
        <v>120</v>
      </c>
      <c r="AD243">
        <v>22.91</v>
      </c>
      <c r="AE243">
        <v>22.9</v>
      </c>
      <c r="AF243">
        <v>2.8</v>
      </c>
      <c r="AG243">
        <v>3.8</v>
      </c>
      <c r="AH243" s="10">
        <v>93</v>
      </c>
      <c r="AI243" t="str">
        <f>CONCATENATE(VLOOKUP(AJ243, 'Voxel Sizes'!$A$2:$B$18,2,FALSE),"x",INT(AF243*15), "x", INT(AG243*15))</f>
        <v>214x42x57</v>
      </c>
      <c r="AJ243">
        <f t="shared" si="67"/>
        <v>13</v>
      </c>
      <c r="AL243" t="str">
        <f>CONCATENATE(VLOOKUP(AJ243,Constants!$A$2:$C$16,IF(AK243&lt;&gt;"", 3, 2), FALSE),IF(AK243&lt;&gt;"",CONCATENATE(",",VLOOKUP(AK243,$B:$AL,37,FALSE)),""))</f>
        <v>4,5,4</v>
      </c>
      <c r="AP243" t="s">
        <v>637</v>
      </c>
      <c r="AR243" t="s">
        <v>467</v>
      </c>
      <c r="AV243">
        <v>32</v>
      </c>
      <c r="AW243" s="15" t="str">
        <f t="shared" si="68"/>
        <v/>
      </c>
      <c r="AX243">
        <v>-10</v>
      </c>
      <c r="AY243">
        <v>-15</v>
      </c>
      <c r="AZ243">
        <f t="shared" si="69"/>
        <v>15</v>
      </c>
      <c r="BA243">
        <f t="shared" si="70"/>
        <v>3.5</v>
      </c>
      <c r="BB243">
        <f t="shared" si="71"/>
        <v>5.25</v>
      </c>
      <c r="BC243" s="3">
        <f t="shared" si="72"/>
        <v>0.87866666666666671</v>
      </c>
      <c r="BD243">
        <f t="shared" si="73"/>
        <v>6.2</v>
      </c>
      <c r="BE243">
        <f>VLOOKUP($F243,Constants!$I:$K, 2, FALSE)</f>
        <v>1</v>
      </c>
      <c r="BF243">
        <f>VLOOKUP($F243,Constants!$I:$K, 3, FALSE)*IF(AND(E243="multiple_unit",Z243&lt;110),0.75,1)</f>
        <v>1.5</v>
      </c>
      <c r="BG243">
        <f>INT(POWER(((Constants!$G$2+$AZ243+$BA243+$BB243+$BD243)*$BC243)*$BF243, 1.05))+$AY243</f>
        <v>40</v>
      </c>
      <c r="BH243">
        <f>INT(POWER((((Constants!$G$1+$AZ243+$BA243+$BB243+$BD243)*($BC243))*$BE243),IF($E243="wagon",1,1.2)))+$AX243</f>
        <v>72</v>
      </c>
      <c r="BI243" s="14">
        <f t="shared" si="74"/>
        <v>31250</v>
      </c>
      <c r="BJ243" s="14">
        <f t="shared" si="75"/>
        <v>5850</v>
      </c>
      <c r="BQ243">
        <v>9</v>
      </c>
      <c r="BR243">
        <v>185</v>
      </c>
      <c r="BT243" t="s">
        <v>283</v>
      </c>
      <c r="BU243" t="str">
        <f>VLOOKUP(H243,Eras!$A$2:$C$10, 2, TRUE)</f>
        <v>lbr</v>
      </c>
      <c r="BV243" t="s">
        <v>331</v>
      </c>
      <c r="BW243" t="str">
        <f t="shared" si="76"/>
        <v>lbr_DMU</v>
      </c>
      <c r="BX243" t="str">
        <f t="shared" si="77"/>
        <v>diesel_RAIL</v>
      </c>
      <c r="BY243" t="str">
        <f>VLOOKUP($BX243, Constants!$M:$N, 2, FALSE)</f>
        <v>{BLACK}Powered by: {GOLD}Diesel</v>
      </c>
      <c r="BZ243" t="str">
        <f t="shared" si="79"/>
        <v>{BLACK}Cars: {GOLD}2</v>
      </c>
      <c r="CA243" t="s">
        <v>638</v>
      </c>
      <c r="CB243" t="str">
        <f t="shared" si="80"/>
        <v/>
      </c>
      <c r="CC243" t="str">
        <f t="shared" si="78"/>
        <v>{BLACK}Powered by: {GOLD}Diesel {BLACK}Cars: {GOLD}2{}{SILVER}The Class 165 is a high capacity DMU with 2+3 seating.</v>
      </c>
    </row>
    <row r="244" spans="1:81" x14ac:dyDescent="0.25">
      <c r="A244" t="s">
        <v>74</v>
      </c>
      <c r="B244" t="s">
        <v>242</v>
      </c>
      <c r="C244">
        <v>472</v>
      </c>
      <c r="D244">
        <v>151</v>
      </c>
      <c r="E244" t="s">
        <v>404</v>
      </c>
      <c r="F244" t="s">
        <v>296</v>
      </c>
      <c r="G244" t="s">
        <v>303</v>
      </c>
      <c r="H244">
        <v>1992</v>
      </c>
      <c r="I244">
        <v>1994</v>
      </c>
      <c r="K244">
        <v>4</v>
      </c>
      <c r="L244">
        <v>1608</v>
      </c>
      <c r="U244">
        <v>136</v>
      </c>
      <c r="W244">
        <v>5</v>
      </c>
      <c r="X244">
        <v>165</v>
      </c>
      <c r="Y244" s="3">
        <f t="shared" si="66"/>
        <v>0.12132352941176471</v>
      </c>
      <c r="Z244">
        <v>75</v>
      </c>
      <c r="AA244">
        <f t="shared" si="81"/>
        <v>120</v>
      </c>
      <c r="AD244">
        <v>20.89</v>
      </c>
      <c r="AE244">
        <v>20.89</v>
      </c>
      <c r="AG244">
        <v>3.77</v>
      </c>
      <c r="AH244" s="10">
        <v>81</v>
      </c>
      <c r="AI244" t="str">
        <f>CONCATENATE(VLOOKUP(AJ244, 'Voxel Sizes'!$A$2:$B$18,2,FALSE),"x",INT(AF244*15), "x", INT(AG244*15))</f>
        <v>198x0x56</v>
      </c>
      <c r="AJ244">
        <f t="shared" si="67"/>
        <v>12</v>
      </c>
      <c r="AL244" t="str">
        <f>CONCATENATE(VLOOKUP(AJ244,Constants!$A$2:$C$16,IF(AK244&lt;&gt;"", 3, 2), FALSE),IF(AK244&lt;&gt;"",CONCATENATE(",",VLOOKUP(AK244,$B:$AL,37,FALSE)),""))</f>
        <v>4,4,4</v>
      </c>
      <c r="AP244" t="s">
        <v>573</v>
      </c>
      <c r="AR244" t="s">
        <v>465</v>
      </c>
      <c r="AV244">
        <v>32</v>
      </c>
      <c r="AW244" s="15" t="str">
        <f t="shared" si="68"/>
        <v/>
      </c>
      <c r="AX244">
        <v>-10</v>
      </c>
      <c r="AY244">
        <v>-20</v>
      </c>
      <c r="AZ244">
        <f t="shared" si="69"/>
        <v>15</v>
      </c>
      <c r="BA244">
        <f t="shared" si="70"/>
        <v>8.0400000000000009</v>
      </c>
      <c r="BB244">
        <f t="shared" si="71"/>
        <v>8.25</v>
      </c>
      <c r="BC244" s="3">
        <f t="shared" si="72"/>
        <v>0.8773333333333333</v>
      </c>
      <c r="BD244">
        <f t="shared" si="73"/>
        <v>10.8</v>
      </c>
      <c r="BE244">
        <f>VLOOKUP($F244,Constants!$I:$K, 2, FALSE)</f>
        <v>0.85</v>
      </c>
      <c r="BF244">
        <f>VLOOKUP($F244,Constants!$I:$K, 3, FALSE)*IF(AND(E244="multiple_unit",Z244&lt;110),0.75,1)</f>
        <v>1.7249999999999999</v>
      </c>
      <c r="BG244">
        <f>INT(POWER(((Constants!$G$2+$AZ244+$BA244+$BB244+$BD244)*$BC244)*$BF244, 1.05))+$AY244</f>
        <v>68</v>
      </c>
      <c r="BH244">
        <f>INT(POWER((((Constants!$G$1+$AZ244+$BA244+$BB244+$BD244)*($BC244))*$BE244),IF($E244="wagon",1,1.2)))+$AX244</f>
        <v>80</v>
      </c>
      <c r="BI244" s="14">
        <f t="shared" si="74"/>
        <v>53125</v>
      </c>
      <c r="BJ244" s="14">
        <f t="shared" si="75"/>
        <v>6500</v>
      </c>
      <c r="BQ244">
        <v>10</v>
      </c>
      <c r="BR244">
        <v>185</v>
      </c>
      <c r="BT244" t="s">
        <v>283</v>
      </c>
      <c r="BU244" t="str">
        <f>VLOOKUP(H244,Eras!$A$2:$C$10, 2, TRUE)</f>
        <v>lbr</v>
      </c>
      <c r="BV244" t="s">
        <v>333</v>
      </c>
      <c r="BW244" t="str">
        <f t="shared" si="76"/>
        <v>lbr_EMU</v>
      </c>
      <c r="BX244" t="str">
        <f t="shared" si="77"/>
        <v>electric_THIRD_RAIL</v>
      </c>
      <c r="BY244" t="str">
        <f>VLOOKUP($BX244, Constants!$M:$N, 2, FALSE)</f>
        <v>{BLACK}Powered by: {GOLD}750V DC</v>
      </c>
      <c r="BZ244" t="str">
        <f t="shared" si="79"/>
        <v>{BLACK}Cars: {GOLD}4</v>
      </c>
      <c r="CA244" t="s">
        <v>574</v>
      </c>
      <c r="CB244" t="str">
        <f t="shared" si="80"/>
        <v/>
      </c>
      <c r="CC244" t="str">
        <f t="shared" si="78"/>
        <v>{BLACK}Powered by: {GOLD}750V DC {BLACK}Cars: {GOLD}4{}{SILVER}The BREL Networker was built by three different companies (ABB, Metro-Cammell and BREL) with minor detail differences between each manufacturer's output.</v>
      </c>
    </row>
    <row r="245" spans="1:81" x14ac:dyDescent="0.25">
      <c r="A245" t="s">
        <v>646</v>
      </c>
      <c r="B245" t="s">
        <v>647</v>
      </c>
      <c r="C245">
        <v>474</v>
      </c>
      <c r="D245">
        <v>152</v>
      </c>
      <c r="E245" t="s">
        <v>404</v>
      </c>
      <c r="F245" t="s">
        <v>552</v>
      </c>
      <c r="G245" t="s">
        <v>551</v>
      </c>
      <c r="H245">
        <v>1992</v>
      </c>
      <c r="I245">
        <v>1996</v>
      </c>
      <c r="K245">
        <v>20</v>
      </c>
      <c r="L245">
        <v>16400</v>
      </c>
      <c r="M245" s="8">
        <v>4600</v>
      </c>
      <c r="U245">
        <v>752</v>
      </c>
      <c r="W245">
        <v>4</v>
      </c>
      <c r="X245">
        <v>220</v>
      </c>
      <c r="Y245" s="3">
        <f t="shared" si="66"/>
        <v>2.9255319148936171E-2</v>
      </c>
      <c r="Z245">
        <v>186</v>
      </c>
      <c r="AA245">
        <f t="shared" si="81"/>
        <v>298</v>
      </c>
      <c r="AD245">
        <v>22.15</v>
      </c>
      <c r="AE245">
        <v>22.15</v>
      </c>
      <c r="AF245">
        <v>2.81</v>
      </c>
      <c r="AH245" s="10">
        <v>39</v>
      </c>
      <c r="AI245" t="str">
        <f>CONCATENATE(VLOOKUP(AJ245, 'Voxel Sizes'!$A$2:$B$18,2,FALSE),"x",INT(AF245*15), "x", INT(AG245*15))</f>
        <v>214x42x0</v>
      </c>
      <c r="AJ245">
        <f t="shared" si="67"/>
        <v>13</v>
      </c>
      <c r="AL245" t="str">
        <f>CONCATENATE(VLOOKUP(AJ245,Constants!$A$2:$C$16,IF(AK245&lt;&gt;"", 3, 2), FALSE),IF(AK245&lt;&gt;"",CONCATENATE(",",VLOOKUP(AK245,$B:$AL,37,FALSE)),""))</f>
        <v>4,5,4</v>
      </c>
      <c r="AN245" s="12" t="s">
        <v>1233</v>
      </c>
      <c r="AO245" s="12" t="s">
        <v>1238</v>
      </c>
      <c r="AP245" t="s">
        <v>689</v>
      </c>
      <c r="AQ245" t="s">
        <v>647</v>
      </c>
      <c r="AR245" t="s">
        <v>690</v>
      </c>
      <c r="AV245">
        <v>25</v>
      </c>
      <c r="AW245" s="15" t="str">
        <f t="shared" si="68"/>
        <v/>
      </c>
      <c r="AZ245">
        <f t="shared" si="69"/>
        <v>30</v>
      </c>
      <c r="BA245">
        <f t="shared" si="70"/>
        <v>20</v>
      </c>
      <c r="BB245">
        <f t="shared" si="71"/>
        <v>11</v>
      </c>
      <c r="BC245" s="3">
        <f t="shared" si="72"/>
        <v>0.8773333333333333</v>
      </c>
      <c r="BD245">
        <f t="shared" si="73"/>
        <v>26</v>
      </c>
      <c r="BE245">
        <f>VLOOKUP($F245,Constants!$I:$K, 2, FALSE)</f>
        <v>0.85</v>
      </c>
      <c r="BF245">
        <f>VLOOKUP($F245,Constants!$I:$K, 3, FALSE)*IF(AND(E245="multiple_unit",Z245&lt;110),0.75,1)</f>
        <v>2.4</v>
      </c>
      <c r="BG245">
        <f>INT(POWER(((Constants!$G$2+$AZ245+$BA245+$BB245+$BD245)*$BC245)*$BF245, 1.05))+$AY245</f>
        <v>252</v>
      </c>
      <c r="BH245">
        <f>INT(POWER((((Constants!$G$1+$AZ245+$BA245+$BB245+$BD245)*($BC245))*$BE245),IF($E245="wagon",1,1.2)))+$AX245</f>
        <v>180</v>
      </c>
      <c r="BI245" s="14">
        <f t="shared" si="74"/>
        <v>196875</v>
      </c>
      <c r="BJ245" s="14">
        <f t="shared" si="75"/>
        <v>14625</v>
      </c>
      <c r="BP245" t="s">
        <v>1150</v>
      </c>
      <c r="BQ245">
        <v>11</v>
      </c>
      <c r="BR245">
        <v>232</v>
      </c>
      <c r="BT245" t="s">
        <v>283</v>
      </c>
      <c r="BU245" t="str">
        <f>VLOOKUP(H245,Eras!$A$2:$C$10, 2, TRUE)</f>
        <v>lbr</v>
      </c>
      <c r="BV245" t="s">
        <v>334</v>
      </c>
      <c r="BW245" t="str">
        <f t="shared" si="76"/>
        <v>lbr_EMU (Express)</v>
      </c>
      <c r="BX245" t="str">
        <f t="shared" si="77"/>
        <v>dual_electric_DUAL_POWER</v>
      </c>
      <c r="BY245" t="str">
        <f>VLOOKUP($BX245, Constants!$M:$N, 2, FALSE)</f>
        <v>{BLACK}Powered by: {GOLD}25kV AC / 750V DC</v>
      </c>
      <c r="BZ245" t="str">
        <f t="shared" si="79"/>
        <v>{BLACK}Cars: {GOLD}20</v>
      </c>
      <c r="CA245" t="s">
        <v>691</v>
      </c>
      <c r="CB245" t="str">
        <f t="shared" si="80"/>
        <v>{YELLOW}25% Bonus for long distance travel{}</v>
      </c>
      <c r="CC245" t="str">
        <f t="shared" si="78"/>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81" x14ac:dyDescent="0.25">
      <c r="A246" t="s">
        <v>646</v>
      </c>
      <c r="B246" t="s">
        <v>1124</v>
      </c>
      <c r="C246">
        <v>475</v>
      </c>
      <c r="D246">
        <v>153</v>
      </c>
      <c r="E246" t="s">
        <v>404</v>
      </c>
      <c r="F246" t="s">
        <v>552</v>
      </c>
      <c r="G246" t="s">
        <v>551</v>
      </c>
      <c r="H246">
        <v>1992</v>
      </c>
      <c r="I246">
        <v>1996</v>
      </c>
      <c r="K246">
        <v>8</v>
      </c>
      <c r="L246">
        <v>16400</v>
      </c>
      <c r="M246" s="8">
        <v>4600</v>
      </c>
      <c r="U246">
        <f>(752/20)*8</f>
        <v>300.8</v>
      </c>
      <c r="W246">
        <v>4</v>
      </c>
      <c r="X246">
        <v>220</v>
      </c>
      <c r="Y246" s="3">
        <f t="shared" si="66"/>
        <v>7.3138297872340427E-2</v>
      </c>
      <c r="Z246">
        <v>186</v>
      </c>
      <c r="AA246">
        <f t="shared" si="81"/>
        <v>298</v>
      </c>
      <c r="AD246">
        <v>22.15</v>
      </c>
      <c r="AE246">
        <v>22.15</v>
      </c>
      <c r="AF246">
        <v>2.81</v>
      </c>
      <c r="AH246" s="10">
        <v>39</v>
      </c>
      <c r="AI246" t="str">
        <f>CONCATENATE(VLOOKUP(AJ246, 'Voxel Sizes'!$A$2:$B$18,2,FALSE),"x",INT(AF246*15), "x", INT(AG246*15))</f>
        <v>214x42x0</v>
      </c>
      <c r="AJ246">
        <f t="shared" si="67"/>
        <v>13</v>
      </c>
      <c r="AL246" t="str">
        <f>CONCATENATE(VLOOKUP(AJ246,Constants!$A$2:$C$16,IF(AK246&lt;&gt;"", 3, 2), FALSE),IF(AK246&lt;&gt;"",CONCATENATE(",",VLOOKUP(AK246,$B:$AL,37,FALSE)),""))</f>
        <v>4,5,4</v>
      </c>
      <c r="AN246" s="12" t="s">
        <v>1234</v>
      </c>
      <c r="AO246" s="12" t="s">
        <v>1239</v>
      </c>
      <c r="AP246" t="s">
        <v>693</v>
      </c>
      <c r="AQ246" t="s">
        <v>647</v>
      </c>
      <c r="AR246" t="s">
        <v>694</v>
      </c>
      <c r="AS246" t="s">
        <v>647</v>
      </c>
      <c r="AV246">
        <v>25</v>
      </c>
      <c r="AW246" s="15" t="str">
        <f t="shared" si="68"/>
        <v/>
      </c>
      <c r="AZ246">
        <f t="shared" si="69"/>
        <v>30</v>
      </c>
      <c r="BA246">
        <f t="shared" si="70"/>
        <v>20</v>
      </c>
      <c r="BB246">
        <f t="shared" si="71"/>
        <v>11</v>
      </c>
      <c r="BC246" s="3">
        <f t="shared" si="72"/>
        <v>0.8773333333333333</v>
      </c>
      <c r="BD246">
        <f t="shared" si="73"/>
        <v>10.4</v>
      </c>
      <c r="BE246">
        <f>VLOOKUP($F246,Constants!$I:$K, 2, FALSE)</f>
        <v>0.85</v>
      </c>
      <c r="BF246">
        <f>VLOOKUP($F246,Constants!$I:$K, 3, FALSE)*IF(AND(E246="multiple_unit",Z246&lt;110),0.75,1)</f>
        <v>2.4</v>
      </c>
      <c r="BG246">
        <f>INT(POWER(((Constants!$G$2+$AZ246+$BA246+$BB246+$BD246)*$BC246)*$BF246, 1.05))+$AY246</f>
        <v>207</v>
      </c>
      <c r="BH246">
        <f>INT(POWER((((Constants!$G$1+$AZ246+$BA246+$BB246+$BD246)*($BC246))*$BE246),IF($E246="wagon",1,1.2)))+$AX246</f>
        <v>148</v>
      </c>
      <c r="BI246" s="14">
        <f t="shared" si="74"/>
        <v>161718.75</v>
      </c>
      <c r="BJ246" s="14">
        <f t="shared" si="75"/>
        <v>12025</v>
      </c>
      <c r="BP246" t="s">
        <v>1149</v>
      </c>
      <c r="BQ246">
        <v>11</v>
      </c>
      <c r="BR246">
        <v>232</v>
      </c>
      <c r="BT246" t="s">
        <v>283</v>
      </c>
      <c r="BU246" t="str">
        <f>VLOOKUP(H246,Eras!$A$2:$C$10, 2, TRUE)</f>
        <v>lbr</v>
      </c>
      <c r="BV246" t="s">
        <v>334</v>
      </c>
      <c r="BW246" t="str">
        <f t="shared" si="76"/>
        <v>lbr_EMU (Express)</v>
      </c>
      <c r="BX246" t="str">
        <f t="shared" si="77"/>
        <v>dual_electric_DUAL_POWER</v>
      </c>
      <c r="BY246" t="str">
        <f>VLOOKUP($BX246, Constants!$M:$N, 2, FALSE)</f>
        <v>{BLACK}Powered by: {GOLD}25kV AC / 750V DC</v>
      </c>
      <c r="BZ246" t="str">
        <f t="shared" si="79"/>
        <v>{BLACK}Cars: {GOLD}8</v>
      </c>
      <c r="CA246" t="s">
        <v>691</v>
      </c>
      <c r="CB246" t="str">
        <f t="shared" si="80"/>
        <v>{YELLOW}25% Bonus for long distance travel{}</v>
      </c>
      <c r="CC246" t="str">
        <f t="shared" si="78"/>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81" x14ac:dyDescent="0.25">
      <c r="A247" t="s">
        <v>646</v>
      </c>
      <c r="B247" t="s">
        <v>1125</v>
      </c>
      <c r="C247">
        <v>476</v>
      </c>
      <c r="D247">
        <v>154</v>
      </c>
      <c r="E247" t="s">
        <v>404</v>
      </c>
      <c r="F247" t="s">
        <v>552</v>
      </c>
      <c r="G247" t="s">
        <v>551</v>
      </c>
      <c r="H247">
        <v>1992</v>
      </c>
      <c r="I247">
        <v>1996</v>
      </c>
      <c r="K247">
        <v>5</v>
      </c>
      <c r="L247">
        <v>16400</v>
      </c>
      <c r="M247" s="8">
        <v>4600</v>
      </c>
      <c r="U247">
        <f>(752/20)*5</f>
        <v>188</v>
      </c>
      <c r="W247">
        <v>4</v>
      </c>
      <c r="X247">
        <v>220</v>
      </c>
      <c r="Y247" s="3">
        <f t="shared" si="66"/>
        <v>0.11702127659574468</v>
      </c>
      <c r="Z247">
        <v>186</v>
      </c>
      <c r="AA247">
        <f t="shared" si="81"/>
        <v>298</v>
      </c>
      <c r="AD247">
        <v>22.15</v>
      </c>
      <c r="AE247">
        <v>22.15</v>
      </c>
      <c r="AF247">
        <v>2.81</v>
      </c>
      <c r="AH247" s="10">
        <v>39</v>
      </c>
      <c r="AI247" t="str">
        <f>CONCATENATE(VLOOKUP(AJ247, 'Voxel Sizes'!$A$2:$B$18,2,FALSE),"x",INT(AF247*15), "x", INT(AG247*15))</f>
        <v>214x42x0</v>
      </c>
      <c r="AJ247">
        <f t="shared" si="67"/>
        <v>13</v>
      </c>
      <c r="AL247" t="str">
        <f>CONCATENATE(VLOOKUP(AJ247,Constants!$A$2:$C$16,IF(AK247&lt;&gt;"", 3, 2), FALSE),IF(AK247&lt;&gt;"",CONCATENATE(",",VLOOKUP(AK247,$B:$AL,37,FALSE)),""))</f>
        <v>4,5,4</v>
      </c>
      <c r="AN247" s="12" t="s">
        <v>1236</v>
      </c>
      <c r="AO247" s="12" t="s">
        <v>1240</v>
      </c>
      <c r="AP247" t="s">
        <v>1131</v>
      </c>
      <c r="AQ247" t="s">
        <v>647</v>
      </c>
      <c r="AR247" t="s">
        <v>664</v>
      </c>
      <c r="AS247" t="s">
        <v>647</v>
      </c>
      <c r="AV247">
        <v>25</v>
      </c>
      <c r="AW247" s="15" t="str">
        <f t="shared" si="68"/>
        <v/>
      </c>
      <c r="AZ247">
        <f t="shared" si="69"/>
        <v>30</v>
      </c>
      <c r="BA247">
        <f t="shared" si="70"/>
        <v>20</v>
      </c>
      <c r="BB247">
        <f t="shared" si="71"/>
        <v>11</v>
      </c>
      <c r="BC247" s="3">
        <f t="shared" si="72"/>
        <v>0.8773333333333333</v>
      </c>
      <c r="BD247">
        <f t="shared" si="73"/>
        <v>6.5</v>
      </c>
      <c r="BE247">
        <f>VLOOKUP($F247,Constants!$I:$K, 2, FALSE)</f>
        <v>0.85</v>
      </c>
      <c r="BF247">
        <f>VLOOKUP($F247,Constants!$I:$K, 3, FALSE)*IF(AND(E247="multiple_unit",Z247&lt;110),0.75,1)</f>
        <v>2.4</v>
      </c>
      <c r="BG247">
        <f>INT(POWER(((Constants!$G$2+$AZ247+$BA247+$BB247+$BD247)*$BC247)*$BF247, 1.05))+$AY247</f>
        <v>196</v>
      </c>
      <c r="BH247">
        <f>INT(POWER((((Constants!$G$1+$AZ247+$BA247+$BB247+$BD247)*($BC247))*$BE247),IF($E247="wagon",1,1.2)))+$AX247</f>
        <v>140</v>
      </c>
      <c r="BI247" s="14">
        <f t="shared" si="74"/>
        <v>153125</v>
      </c>
      <c r="BJ247" s="14">
        <f t="shared" si="75"/>
        <v>11375</v>
      </c>
      <c r="BP247" t="s">
        <v>1148</v>
      </c>
      <c r="BQ247">
        <v>11</v>
      </c>
      <c r="BR247">
        <v>232</v>
      </c>
      <c r="BT247" t="s">
        <v>283</v>
      </c>
      <c r="BU247" t="str">
        <f>VLOOKUP(H247,Eras!$A$2:$C$10, 2, TRUE)</f>
        <v>lbr</v>
      </c>
      <c r="BV247" t="s">
        <v>334</v>
      </c>
      <c r="BW247" t="str">
        <f t="shared" si="76"/>
        <v>lbr_EMU (Express)</v>
      </c>
      <c r="BX247" t="str">
        <f t="shared" si="77"/>
        <v>dual_electric_DUAL_POWER</v>
      </c>
      <c r="BY247" t="str">
        <f>VLOOKUP($BX247, Constants!$M:$N, 2, FALSE)</f>
        <v>{BLACK}Powered by: {GOLD}25kV AC / 750V DC</v>
      </c>
      <c r="BZ247" t="str">
        <f t="shared" si="79"/>
        <v>{BLACK}Cars: {GOLD}5</v>
      </c>
      <c r="CA247" t="s">
        <v>691</v>
      </c>
      <c r="CB247" t="str">
        <f t="shared" si="80"/>
        <v>{YELLOW}25% Bonus for long distance travel{}</v>
      </c>
      <c r="CC247" t="str">
        <f t="shared" si="78"/>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1" x14ac:dyDescent="0.25">
      <c r="A248" t="s">
        <v>91</v>
      </c>
      <c r="B248" t="s">
        <v>189</v>
      </c>
      <c r="C248">
        <v>480</v>
      </c>
      <c r="D248">
        <v>155</v>
      </c>
      <c r="E248" t="s">
        <v>404</v>
      </c>
      <c r="F248" t="s">
        <v>552</v>
      </c>
      <c r="G248" t="s">
        <v>551</v>
      </c>
      <c r="H248">
        <v>1995</v>
      </c>
      <c r="K248">
        <v>4</v>
      </c>
      <c r="L248">
        <v>1328</v>
      </c>
      <c r="U248">
        <v>138.5</v>
      </c>
      <c r="W248">
        <v>5</v>
      </c>
      <c r="X248">
        <v>160</v>
      </c>
      <c r="Y248" s="3">
        <f t="shared" si="66"/>
        <v>0.11552346570397112</v>
      </c>
      <c r="Z248">
        <v>100</v>
      </c>
      <c r="AA248">
        <f t="shared" si="81"/>
        <v>160</v>
      </c>
      <c r="AD248">
        <v>19.829999999999998</v>
      </c>
      <c r="AE248">
        <v>19.8</v>
      </c>
      <c r="AF248">
        <v>2.8</v>
      </c>
      <c r="AG248">
        <v>3.8</v>
      </c>
      <c r="AH248" s="10">
        <v>78</v>
      </c>
      <c r="AI248" t="str">
        <f>CONCATENATE(VLOOKUP(AJ248, 'Voxel Sizes'!$A$2:$B$18,2,FALSE),"x",INT(AF248*15), "x", INT(AG248*15))</f>
        <v>198x42x57</v>
      </c>
      <c r="AJ248">
        <f t="shared" si="67"/>
        <v>12</v>
      </c>
      <c r="AL248" t="str">
        <f>CONCATENATE(VLOOKUP(AJ248,Constants!$A$2:$C$16,IF(AK248&lt;&gt;"", 3, 2), FALSE),IF(AK248&lt;&gt;"",CONCATENATE(",",VLOOKUP(AK248,$B:$AL,37,FALSE)),""))</f>
        <v>4,4,4</v>
      </c>
      <c r="AP248" t="s">
        <v>651</v>
      </c>
      <c r="AQ248" t="s">
        <v>654</v>
      </c>
      <c r="AR248" t="s">
        <v>555</v>
      </c>
      <c r="AV248">
        <v>30</v>
      </c>
      <c r="AW248" s="15" t="str">
        <f t="shared" si="68"/>
        <v/>
      </c>
      <c r="AX248">
        <v>-15</v>
      </c>
      <c r="AY248">
        <v>-40</v>
      </c>
      <c r="AZ248">
        <f t="shared" si="69"/>
        <v>20</v>
      </c>
      <c r="BA248">
        <f t="shared" si="70"/>
        <v>6.6400000000000006</v>
      </c>
      <c r="BB248">
        <f t="shared" si="71"/>
        <v>8</v>
      </c>
      <c r="BC248" s="3">
        <f t="shared" si="72"/>
        <v>0.87333333333333329</v>
      </c>
      <c r="BD248">
        <f t="shared" si="73"/>
        <v>10.4</v>
      </c>
      <c r="BE248">
        <f>VLOOKUP($F248,Constants!$I:$K, 2, FALSE)</f>
        <v>0.85</v>
      </c>
      <c r="BF248">
        <f>VLOOKUP($F248,Constants!$I:$K, 3, FALSE)*IF(AND(E248="multiple_unit",Z248&lt;110),0.75,1)</f>
        <v>1.7999999999999998</v>
      </c>
      <c r="BG248">
        <f>INT(POWER(((Constants!$G$2+$AZ248+$BA248+$BB248+$BD248)*$BC248)*$BF248, 1.05))+$AY248</f>
        <v>57</v>
      </c>
      <c r="BH248">
        <f>INT(POWER((((Constants!$G$1+$AZ248+$BA248+$BB248+$BD248)*($BC248))*$BE248),IF($E248="wagon",1,1.2)))+$AX248</f>
        <v>80</v>
      </c>
      <c r="BI248" s="14">
        <f t="shared" si="74"/>
        <v>44531.25</v>
      </c>
      <c r="BJ248" s="14">
        <f t="shared" si="75"/>
        <v>6500</v>
      </c>
      <c r="BQ248">
        <v>2</v>
      </c>
      <c r="BR248">
        <v>185</v>
      </c>
      <c r="BT248" t="s">
        <v>652</v>
      </c>
      <c r="BU248" t="str">
        <f>VLOOKUP(H248,Eras!$A$2:$C$10, 2, TRUE)</f>
        <v>prv</v>
      </c>
      <c r="BV248" t="s">
        <v>332</v>
      </c>
      <c r="BW248" t="str">
        <f t="shared" si="76"/>
        <v>prv_DMU (Express)</v>
      </c>
      <c r="BX248" t="str">
        <f t="shared" si="77"/>
        <v>dual_electric_DUAL_POWER</v>
      </c>
      <c r="BY248" t="str">
        <f>VLOOKUP($BX248, Constants!$M:$N, 2, FALSE)</f>
        <v>{BLACK}Powered by: {GOLD}25kV AC / 750V DC</v>
      </c>
      <c r="BZ248" t="str">
        <f t="shared" si="79"/>
        <v>{BLACK}Cars: {GOLD}4</v>
      </c>
      <c r="CA248" t="s">
        <v>653</v>
      </c>
      <c r="CB248" t="str">
        <f t="shared" si="80"/>
        <v/>
      </c>
      <c r="CC248" t="str">
        <f t="shared" si="78"/>
        <v>{BLACK}Powered by: {GOLD}25kV AC / 750V DC {BLACK}Cars: {GOLD}4{}{SILVER}The Class 325 is a multiple unit designed for carrying mail and parcels more economically than a locomotive-hauled train. It is based on Class 319 hardware.</v>
      </c>
    </row>
    <row r="249" spans="1:81" x14ac:dyDescent="0.25">
      <c r="A249" t="s">
        <v>79</v>
      </c>
      <c r="B249" t="s">
        <v>591</v>
      </c>
      <c r="C249">
        <v>482</v>
      </c>
      <c r="D249">
        <v>156</v>
      </c>
      <c r="E249" t="s">
        <v>404</v>
      </c>
      <c r="F249" t="s">
        <v>273</v>
      </c>
      <c r="G249" t="s">
        <v>275</v>
      </c>
      <c r="H249">
        <v>1998</v>
      </c>
      <c r="I249">
        <v>2005</v>
      </c>
      <c r="K249">
        <v>3</v>
      </c>
      <c r="L249">
        <v>1266</v>
      </c>
      <c r="U249">
        <v>135</v>
      </c>
      <c r="W249">
        <v>5</v>
      </c>
      <c r="X249">
        <v>180</v>
      </c>
      <c r="Y249" s="3">
        <f t="shared" si="66"/>
        <v>0.13333333333333333</v>
      </c>
      <c r="Z249">
        <v>100</v>
      </c>
      <c r="AA249">
        <f t="shared" si="81"/>
        <v>160</v>
      </c>
      <c r="AD249">
        <v>23.62</v>
      </c>
      <c r="AE249">
        <v>21</v>
      </c>
      <c r="AF249">
        <v>2.69</v>
      </c>
      <c r="AG249">
        <v>3.77</v>
      </c>
      <c r="AH249" s="10">
        <v>63</v>
      </c>
      <c r="AI249" t="str">
        <f>CONCATENATE(VLOOKUP(AJ249, 'Voxel Sizes'!$A$2:$B$18,2,FALSE),"x",INT(AF249*15), "x", INT(AG249*15))</f>
        <v>198x40x56</v>
      </c>
      <c r="AJ249">
        <f t="shared" si="67"/>
        <v>12</v>
      </c>
      <c r="AL249" t="str">
        <f>CONCATENATE(VLOOKUP(AJ249,Constants!$A$2:$C$16,IF(AK249&lt;&gt;"", 3, 2), FALSE),IF(AK249&lt;&gt;"",CONCATENATE(",",VLOOKUP(AK249,$B:$AL,37,FALSE)),""))</f>
        <v>4,4,4</v>
      </c>
      <c r="AP249" t="s">
        <v>590</v>
      </c>
      <c r="AR249" t="s">
        <v>292</v>
      </c>
      <c r="AV249">
        <v>29</v>
      </c>
      <c r="AW249" s="15" t="str">
        <f t="shared" si="68"/>
        <v/>
      </c>
      <c r="AX249">
        <v>-15</v>
      </c>
      <c r="AY249">
        <v>-25</v>
      </c>
      <c r="AZ249">
        <f t="shared" si="69"/>
        <v>20</v>
      </c>
      <c r="BA249">
        <f t="shared" si="70"/>
        <v>6.33</v>
      </c>
      <c r="BB249">
        <f t="shared" si="71"/>
        <v>9</v>
      </c>
      <c r="BC249" s="3">
        <f t="shared" si="72"/>
        <v>0.86933333333333329</v>
      </c>
      <c r="BD249">
        <f t="shared" si="73"/>
        <v>6.3</v>
      </c>
      <c r="BE249">
        <f>VLOOKUP($F249,Constants!$I:$K, 2, FALSE)</f>
        <v>1</v>
      </c>
      <c r="BF249">
        <f>VLOOKUP($F249,Constants!$I:$K, 3, FALSE)*IF(AND(E249="multiple_unit",Z249&lt;110),0.75,1)</f>
        <v>1.5</v>
      </c>
      <c r="BG249">
        <f>INT(POWER(((Constants!$G$2+$AZ249+$BA249+$BB249+$BD249)*$BC249)*$BF249, 1.05))+$AY249</f>
        <v>49</v>
      </c>
      <c r="BH249">
        <f>INT(POWER((((Constants!$G$1+$AZ249+$BA249+$BB249+$BD249)*($BC249))*$BE249),IF($E249="wagon",1,1.2)))+$AX249</f>
        <v>92</v>
      </c>
      <c r="BI249" s="14">
        <f t="shared" si="74"/>
        <v>38281.25</v>
      </c>
      <c r="BJ249" s="14">
        <f t="shared" si="75"/>
        <v>7475</v>
      </c>
      <c r="BN249" t="s">
        <v>1117</v>
      </c>
      <c r="BQ249">
        <v>3</v>
      </c>
      <c r="BR249">
        <v>185</v>
      </c>
      <c r="BT249" t="s">
        <v>283</v>
      </c>
      <c r="BU249" t="str">
        <f>VLOOKUP(H249,Eras!$A$2:$C$10, 2, TRUE)</f>
        <v>prv</v>
      </c>
      <c r="BV249" t="s">
        <v>331</v>
      </c>
      <c r="BW249" t="str">
        <f t="shared" si="76"/>
        <v>prv_DMU</v>
      </c>
      <c r="BX249" t="str">
        <f t="shared" si="77"/>
        <v>diesel_RAIL</v>
      </c>
      <c r="BY249" t="str">
        <f>VLOOKUP($BX249, Constants!$M:$N, 2, FALSE)</f>
        <v>{BLACK}Powered by: {GOLD}Diesel</v>
      </c>
      <c r="BZ249" t="str">
        <f t="shared" si="79"/>
        <v>{BLACK}Cars: {GOLD}3</v>
      </c>
      <c r="CA249" t="s">
        <v>589</v>
      </c>
      <c r="CB249" t="str">
        <f t="shared" si="80"/>
        <v/>
      </c>
      <c r="CC249" t="str">
        <f t="shared" si="78"/>
        <v>{BLACK}Powered by: {GOLD}Diesel {BLACK}Cars: {GOLD}3{}{SILVER}The Turbostar is a further development of the BR "Networker" units. It is used for regional and long distance services.</v>
      </c>
    </row>
    <row r="250" spans="1:81" x14ac:dyDescent="0.25">
      <c r="A250" t="s">
        <v>1268</v>
      </c>
      <c r="B250" t="s">
        <v>1269</v>
      </c>
      <c r="C250">
        <v>483</v>
      </c>
      <c r="D250">
        <v>157</v>
      </c>
      <c r="E250" t="s">
        <v>404</v>
      </c>
      <c r="F250" t="s">
        <v>273</v>
      </c>
      <c r="G250" t="s">
        <v>275</v>
      </c>
      <c r="H250">
        <v>2000</v>
      </c>
      <c r="K250">
        <v>2</v>
      </c>
      <c r="L250">
        <f>450*2</f>
        <v>900</v>
      </c>
      <c r="U250">
        <v>98</v>
      </c>
      <c r="W250">
        <v>5</v>
      </c>
      <c r="X250">
        <v>120</v>
      </c>
      <c r="Y250" s="3">
        <f t="shared" si="66"/>
        <v>0.12244897959183673</v>
      </c>
      <c r="Z250">
        <v>100</v>
      </c>
      <c r="AA250">
        <f t="shared" si="81"/>
        <v>160</v>
      </c>
      <c r="AD250">
        <v>23.71</v>
      </c>
      <c r="AE250">
        <v>23.71</v>
      </c>
      <c r="AH250" s="10">
        <v>69</v>
      </c>
      <c r="AI250" t="str">
        <f>CONCATENATE(VLOOKUP(AJ250, 'Voxel Sizes'!$A$2:$B$18,2,FALSE),"x",INT(AF250*15), "x", INT(AG250*15))</f>
        <v>238x0x0</v>
      </c>
      <c r="AJ250">
        <f t="shared" si="67"/>
        <v>14</v>
      </c>
      <c r="AL250" t="str">
        <f>CONCATENATE(VLOOKUP(AJ250,Constants!$A$2:$C$16,IF(AK250&lt;&gt;"", 3, 2), FALSE),IF(AK250&lt;&gt;"",CONCATENATE(",",VLOOKUP(AK250,$B:$AL,37,FALSE)),""))</f>
        <v>4,6,4</v>
      </c>
      <c r="AP250" t="s">
        <v>1271</v>
      </c>
      <c r="AR250" t="s">
        <v>467</v>
      </c>
      <c r="AV250">
        <v>22</v>
      </c>
      <c r="AW250" s="15" t="str">
        <f t="shared" si="68"/>
        <v/>
      </c>
      <c r="AX250">
        <v>-6</v>
      </c>
      <c r="AY250">
        <v>-25</v>
      </c>
      <c r="AZ250">
        <f t="shared" si="69"/>
        <v>20</v>
      </c>
      <c r="BA250">
        <f t="shared" si="70"/>
        <v>4.5</v>
      </c>
      <c r="BB250">
        <f t="shared" si="71"/>
        <v>6</v>
      </c>
      <c r="BC250" s="3">
        <f t="shared" si="72"/>
        <v>0.8666666666666667</v>
      </c>
      <c r="BD250">
        <f t="shared" si="73"/>
        <v>4.6000000000000005</v>
      </c>
      <c r="BE250">
        <f>VLOOKUP($F250,Constants!$I:$K, 2, FALSE)</f>
        <v>1</v>
      </c>
      <c r="BF250">
        <f>VLOOKUP($F250,Constants!$I:$K, 3, FALSE)*IF(AND(E250="multiple_unit",Z250&lt;110),0.75,1)</f>
        <v>1.5</v>
      </c>
      <c r="BG250">
        <f>INT(POWER(((Constants!$G$2+$AZ250+$BA250+$BB250+$BD250)*$BC250)*$BF250, 1.05))+$AY250</f>
        <v>38</v>
      </c>
      <c r="BH250">
        <f>INT(POWER((((Constants!$G$1+$AZ250+$BA250+$BB250+$BD250)*($BC250))*$BE250),IF($E250="wagon",1,1.2)))+$AX250</f>
        <v>86</v>
      </c>
      <c r="BI250" s="14">
        <f t="shared" si="74"/>
        <v>29687.5</v>
      </c>
      <c r="BJ250" s="14">
        <f t="shared" si="75"/>
        <v>6987.5</v>
      </c>
      <c r="BQ250">
        <v>4</v>
      </c>
      <c r="BT250" t="s">
        <v>283</v>
      </c>
      <c r="BU250" t="str">
        <f>VLOOKUP(H250,Eras!$A$2:$C$10, 2, TRUE)</f>
        <v>prv</v>
      </c>
      <c r="BV250" t="s">
        <v>331</v>
      </c>
      <c r="BW250" t="str">
        <f t="shared" si="76"/>
        <v>prv_DMU</v>
      </c>
      <c r="BX250" t="str">
        <f t="shared" si="77"/>
        <v>diesel_RAIL</v>
      </c>
      <c r="CA250" t="s">
        <v>1270</v>
      </c>
      <c r="CC250" t="str">
        <f t="shared" si="78"/>
        <v>{SILVER}Originally operated by First North Western, the Class 175s were cascaded to services in Wales. They suffered early reliability problems, but work on braking systems and bogies has made a significant improvement.</v>
      </c>
    </row>
    <row r="251" spans="1:81" x14ac:dyDescent="0.25">
      <c r="A251" t="s">
        <v>576</v>
      </c>
      <c r="B251" t="s">
        <v>581</v>
      </c>
      <c r="C251">
        <v>484</v>
      </c>
      <c r="D251">
        <v>158</v>
      </c>
      <c r="E251" t="s">
        <v>404</v>
      </c>
      <c r="F251" t="s">
        <v>296</v>
      </c>
      <c r="G251" t="s">
        <v>303</v>
      </c>
      <c r="H251">
        <v>2000</v>
      </c>
      <c r="I251">
        <v>2001</v>
      </c>
      <c r="J251">
        <v>2012</v>
      </c>
      <c r="K251">
        <v>8</v>
      </c>
      <c r="L251">
        <v>3620</v>
      </c>
      <c r="U251">
        <v>319</v>
      </c>
      <c r="W251">
        <v>5</v>
      </c>
      <c r="X251">
        <v>240</v>
      </c>
      <c r="Y251" s="3">
        <f t="shared" si="66"/>
        <v>7.5235109717868343E-2</v>
      </c>
      <c r="Z251">
        <v>100</v>
      </c>
      <c r="AA251">
        <f t="shared" si="81"/>
        <v>160</v>
      </c>
      <c r="AE251">
        <v>21</v>
      </c>
      <c r="AH251" s="10">
        <f>23*3</f>
        <v>69</v>
      </c>
      <c r="AI251" t="str">
        <f>CONCATENATE(VLOOKUP(AJ251, 'Voxel Sizes'!$A$2:$B$18,2,FALSE),"x",INT(AF251*15), "x", INT(AG251*15))</f>
        <v>198x0x0</v>
      </c>
      <c r="AJ251">
        <f t="shared" si="67"/>
        <v>12</v>
      </c>
      <c r="AL251" t="str">
        <f>CONCATENATE(VLOOKUP(AJ251,Constants!$A$2:$C$16,IF(AK251&lt;&gt;"", 3, 2), FALSE),IF(AK251&lt;&gt;"",CONCATENATE(",",VLOOKUP(AK251,$B:$AL,37,FALSE)),""))</f>
        <v>4,4,4</v>
      </c>
      <c r="AP251" t="s">
        <v>584</v>
      </c>
      <c r="AR251" t="s">
        <v>583</v>
      </c>
      <c r="AV251">
        <v>27</v>
      </c>
      <c r="AW251" s="15">
        <f t="shared" si="68"/>
        <v>20</v>
      </c>
      <c r="AX251">
        <v>-15</v>
      </c>
      <c r="AY251">
        <v>-30</v>
      </c>
      <c r="AZ251">
        <f t="shared" si="69"/>
        <v>20</v>
      </c>
      <c r="BA251">
        <f t="shared" si="70"/>
        <v>18.100000000000001</v>
      </c>
      <c r="BB251">
        <f t="shared" si="71"/>
        <v>12</v>
      </c>
      <c r="BC251" s="3">
        <f t="shared" si="72"/>
        <v>0.8666666666666667</v>
      </c>
      <c r="BD251">
        <f t="shared" si="73"/>
        <v>18.400000000000002</v>
      </c>
      <c r="BE251">
        <f>VLOOKUP($F251,Constants!$I:$K, 2, FALSE)</f>
        <v>0.85</v>
      </c>
      <c r="BF251">
        <f>VLOOKUP($F251,Constants!$I:$K, 3, FALSE)*IF(AND(E251="multiple_unit",Z251&lt;110),0.75,1)</f>
        <v>1.7249999999999999</v>
      </c>
      <c r="BG251">
        <f>INT(POWER(((Constants!$G$2+$AZ251+$BA251+$BB251+$BD251)*$BC251)*$BF251, 1.05))+$AY251</f>
        <v>108</v>
      </c>
      <c r="BH251">
        <f>INT(POWER((((Constants!$G$1+$AZ251+$BA251+$BB251+$BD251)*($BC251))*$BE251),IF($E251="wagon",1,1.2)))+$AX251</f>
        <v>125</v>
      </c>
      <c r="BI251" s="14">
        <f t="shared" si="74"/>
        <v>84375</v>
      </c>
      <c r="BJ251" s="14">
        <f t="shared" si="75"/>
        <v>10156.25</v>
      </c>
      <c r="BP251" t="s">
        <v>1146</v>
      </c>
      <c r="BQ251">
        <v>4</v>
      </c>
      <c r="BR251">
        <v>205</v>
      </c>
      <c r="BT251" t="s">
        <v>283</v>
      </c>
      <c r="BU251" t="str">
        <f>VLOOKUP(H251,Eras!$A$2:$C$10, 2, TRUE)</f>
        <v>prv</v>
      </c>
      <c r="BV251" t="s">
        <v>334</v>
      </c>
      <c r="BW251" t="str">
        <f t="shared" si="76"/>
        <v>prv_EMU (Express)</v>
      </c>
      <c r="BX251" t="str">
        <f t="shared" si="77"/>
        <v>electric_THIRD_RAIL</v>
      </c>
      <c r="BY251" t="str">
        <f>VLOOKUP($BX251, Constants!$M:$N, 2, FALSE)</f>
        <v>{BLACK}Powered by: {GOLD}750V DC</v>
      </c>
      <c r="BZ251" t="str">
        <f>IF(K251&gt;1,_xlfn.CONCAT("{BLACK}Cars: {GOLD}", K251),"")</f>
        <v>{BLACK}Cars: {GOLD}8</v>
      </c>
      <c r="CA251" t="s">
        <v>582</v>
      </c>
      <c r="CB251" t="str">
        <f>IF(BT251="BRAKE","{YELLOW}Speed bonus for slow wagons{}",IF(BR251&gt;190,CONCATENATE("{YELLOW}",INT((BR251-185)/1.85),"% Bonus for long distance travel{}"),IF(AND(BR251&lt;180,BR251&lt;&gt;0),CONCATENATE("{YELLOW}",INT((185-BR251)/1.85),"% Penalty for long distance travel{}"),"")))</f>
        <v>{YELLOW}10% Bonus for long distance travel{}</v>
      </c>
      <c r="CC251" t="str">
        <f t="shared" si="78"/>
        <v>{BLACK}Powered by: {GOLD}750V DC {BLACK}Cars: {GOLD}8{}{YELLOW}10% Bonus for long distance travel{}{SILVER}The Class 460 was built to replace locomotive-hauled services on the Gatwick Express. It had a short service life, with most units converted to Class 458/5 for suburban use.</v>
      </c>
    </row>
    <row r="252" spans="1:81" x14ac:dyDescent="0.25">
      <c r="A252" t="s">
        <v>576</v>
      </c>
      <c r="B252" t="s">
        <v>1139</v>
      </c>
      <c r="C252">
        <v>485</v>
      </c>
      <c r="D252">
        <v>159</v>
      </c>
      <c r="E252" t="s">
        <v>404</v>
      </c>
      <c r="F252" t="s">
        <v>296</v>
      </c>
      <c r="G252" t="s">
        <v>303</v>
      </c>
      <c r="H252">
        <v>2000</v>
      </c>
      <c r="I252">
        <v>2001</v>
      </c>
      <c r="J252">
        <v>2012</v>
      </c>
      <c r="K252">
        <v>5</v>
      </c>
      <c r="L252">
        <v>3620</v>
      </c>
      <c r="U252">
        <f>319/8*5</f>
        <v>199.375</v>
      </c>
      <c r="W252">
        <v>5</v>
      </c>
      <c r="X252">
        <v>240</v>
      </c>
      <c r="Y252" s="3">
        <f t="shared" si="66"/>
        <v>0.12037617554858934</v>
      </c>
      <c r="Z252">
        <v>100</v>
      </c>
      <c r="AA252">
        <f t="shared" si="81"/>
        <v>160</v>
      </c>
      <c r="AE252">
        <v>21</v>
      </c>
      <c r="AH252" s="10">
        <f>23*3</f>
        <v>69</v>
      </c>
      <c r="AI252" t="str">
        <f>CONCATENATE(VLOOKUP(AJ252, 'Voxel Sizes'!$A$2:$B$18,2,FALSE),"x",INT(AF252*15), "x", INT(AG252*15))</f>
        <v>198x0x0</v>
      </c>
      <c r="AJ252">
        <f t="shared" si="67"/>
        <v>12</v>
      </c>
      <c r="AL252" t="str">
        <f>CONCATENATE(VLOOKUP(AJ252,Constants!$A$2:$C$16,IF(AK252&lt;&gt;"", 3, 2), FALSE),IF(AK252&lt;&gt;"",CONCATENATE(",",VLOOKUP(AK252,$B:$AL,37,FALSE)),""))</f>
        <v>4,4,4</v>
      </c>
      <c r="AP252" t="s">
        <v>1140</v>
      </c>
      <c r="AR252" t="s">
        <v>664</v>
      </c>
      <c r="AS252" t="s">
        <v>581</v>
      </c>
      <c r="AV252">
        <v>27</v>
      </c>
      <c r="AW252" s="15">
        <f t="shared" si="68"/>
        <v>20</v>
      </c>
      <c r="AX252">
        <v>-15</v>
      </c>
      <c r="AY252">
        <v>-30</v>
      </c>
      <c r="AZ252">
        <f t="shared" si="69"/>
        <v>20</v>
      </c>
      <c r="BA252">
        <f t="shared" si="70"/>
        <v>18.100000000000001</v>
      </c>
      <c r="BB252">
        <f t="shared" si="71"/>
        <v>12</v>
      </c>
      <c r="BC252" s="3">
        <f t="shared" si="72"/>
        <v>0.8666666666666667</v>
      </c>
      <c r="BD252">
        <f t="shared" si="73"/>
        <v>11.500000000000002</v>
      </c>
      <c r="BE252">
        <f>VLOOKUP($F252,Constants!$I:$K, 2, FALSE)</f>
        <v>0.85</v>
      </c>
      <c r="BF252">
        <f>VLOOKUP($F252,Constants!$I:$K, 3, FALSE)*IF(AND(E252="multiple_unit",Z252&lt;110),0.75,1)</f>
        <v>1.7249999999999999</v>
      </c>
      <c r="BG252">
        <f>INT(POWER(((Constants!$G$2+$AZ252+$BA252+$BB252+$BD252)*$BC252)*$BF252, 1.05))+$AY252</f>
        <v>95</v>
      </c>
      <c r="BH252">
        <f>INT(POWER((((Constants!$G$1+$AZ252+$BA252+$BB252+$BD252)*($BC252))*$BE252),IF($E252="wagon",1,1.2)))+$AX252</f>
        <v>111</v>
      </c>
      <c r="BI252" s="14">
        <f t="shared" si="74"/>
        <v>74218.75</v>
      </c>
      <c r="BJ252" s="14">
        <f t="shared" si="75"/>
        <v>9018.75</v>
      </c>
      <c r="BP252" t="s">
        <v>1148</v>
      </c>
      <c r="BQ252">
        <v>4</v>
      </c>
      <c r="BR252">
        <v>205</v>
      </c>
      <c r="BT252" t="s">
        <v>283</v>
      </c>
      <c r="BU252" t="str">
        <f>VLOOKUP(H252,Eras!$A$2:$C$10, 2, TRUE)</f>
        <v>prv</v>
      </c>
      <c r="BV252" t="s">
        <v>334</v>
      </c>
      <c r="BW252" t="str">
        <f t="shared" si="76"/>
        <v>prv_EMU (Express)</v>
      </c>
      <c r="BX252" t="str">
        <f t="shared" si="77"/>
        <v>electric_THIRD_RAIL</v>
      </c>
      <c r="BY252" t="str">
        <f>VLOOKUP($BX252, Constants!$M:$N, 2, FALSE)</f>
        <v>{BLACK}Powered by: {GOLD}750V DC</v>
      </c>
      <c r="BZ252" t="str">
        <f>IF(K252&gt;1,_xlfn.CONCAT("{BLACK}Cars: {GOLD}", K252),"")</f>
        <v>{BLACK}Cars: {GOLD}5</v>
      </c>
      <c r="CA252" t="s">
        <v>582</v>
      </c>
      <c r="CB252" t="str">
        <f>IF(BT252="BRAKE","{YELLOW}Speed bonus for slow wagons{}",IF(BR252&gt;190,CONCATENATE("{YELLOW}",INT((BR252-185)/1.85),"% Bonus for long distance travel{}"),IF(AND(BR252&lt;180,BR252&lt;&gt;0),CONCATENATE("{YELLOW}",INT((185-BR252)/1.85),"% Penalty for long distance travel{}"),"")))</f>
        <v>{YELLOW}10% Bonus for long distance travel{}</v>
      </c>
      <c r="CC252" t="str">
        <f t="shared" si="78"/>
        <v>{BLACK}Powered by: {GOLD}750V DC {BLACK}Cars: {GOLD}5{}{YELLOW}10% Bonus for long distance travel{}{SILVER}The Class 460 was built to replace locomotive-hauled services on the Gatwick Express. It had a short service life, with most units converted to Class 458/5 for suburban use.</v>
      </c>
    </row>
    <row r="253" spans="1:81" x14ac:dyDescent="0.25">
      <c r="A253" t="s">
        <v>1256</v>
      </c>
      <c r="B253" t="s">
        <v>1257</v>
      </c>
      <c r="C253">
        <v>486</v>
      </c>
      <c r="D253">
        <v>160</v>
      </c>
      <c r="E253" t="s">
        <v>404</v>
      </c>
      <c r="F253" t="s">
        <v>273</v>
      </c>
      <c r="G253" t="s">
        <v>275</v>
      </c>
      <c r="H253">
        <v>2001</v>
      </c>
      <c r="K253">
        <v>5</v>
      </c>
      <c r="L253">
        <f>750*3</f>
        <v>2250</v>
      </c>
      <c r="U253">
        <v>252.5</v>
      </c>
      <c r="W253">
        <v>4</v>
      </c>
      <c r="X253">
        <v>190</v>
      </c>
      <c r="Y253" s="3">
        <f t="shared" si="66"/>
        <v>7.5247524752475245E-2</v>
      </c>
      <c r="Z253">
        <v>125</v>
      </c>
      <c r="AA253">
        <f t="shared" si="81"/>
        <v>200</v>
      </c>
      <c r="AD253">
        <v>23.71</v>
      </c>
      <c r="AE253">
        <v>23.71</v>
      </c>
      <c r="AH253" s="10">
        <v>57</v>
      </c>
      <c r="AI253" t="str">
        <f>CONCATENATE(VLOOKUP(AJ253, 'Voxel Sizes'!$A$2:$B$18,2,FALSE),"x",INT(AF253*15), "x", INT(AG253*15))</f>
        <v>238x0x0</v>
      </c>
      <c r="AJ253">
        <f t="shared" si="67"/>
        <v>14</v>
      </c>
      <c r="AL253" t="str">
        <f>CONCATENATE(VLOOKUP(AJ253,Constants!$A$2:$C$16,IF(AK253&lt;&gt;"", 3, 2), FALSE),IF(AK253&lt;&gt;"",CONCATENATE(",",VLOOKUP(AK253,$B:$AL,37,FALSE)),""))</f>
        <v>4,6,4</v>
      </c>
      <c r="AP253" t="s">
        <v>1258</v>
      </c>
      <c r="AR253" t="s">
        <v>606</v>
      </c>
      <c r="AV253">
        <v>22</v>
      </c>
      <c r="AW253" s="15" t="str">
        <f t="shared" si="68"/>
        <v/>
      </c>
      <c r="AX253">
        <v>-8</v>
      </c>
      <c r="AY253">
        <v>-30</v>
      </c>
      <c r="AZ253">
        <f t="shared" si="69"/>
        <v>25</v>
      </c>
      <c r="BA253">
        <f t="shared" si="70"/>
        <v>11.25</v>
      </c>
      <c r="BB253">
        <f t="shared" si="71"/>
        <v>9.5</v>
      </c>
      <c r="BC253" s="3">
        <f t="shared" si="72"/>
        <v>0.86533333333333329</v>
      </c>
      <c r="BD253">
        <f t="shared" si="73"/>
        <v>9.5</v>
      </c>
      <c r="BE253">
        <f>VLOOKUP($F253,Constants!$I:$K, 2, FALSE)</f>
        <v>1</v>
      </c>
      <c r="BF253">
        <f>VLOOKUP($F253,Constants!$I:$K, 3, FALSE)*IF(AND(E253="multiple_unit",Z253&lt;110),0.75,1)</f>
        <v>2</v>
      </c>
      <c r="BG253">
        <f>INT(POWER(((Constants!$G$2+$AZ253+$BA253+$BB253+$BD253)*$BC253)*$BF253, 1.05))+$AY253</f>
        <v>101</v>
      </c>
      <c r="BH253">
        <f>INT(POWER((((Constants!$G$1+$AZ253+$BA253+$BB253+$BD253)*($BC253))*$BE253),IF($E253="wagon",1,1.2)))+$AX253</f>
        <v>130</v>
      </c>
      <c r="BI253" s="14">
        <f t="shared" si="74"/>
        <v>78906.25</v>
      </c>
      <c r="BJ253" s="14">
        <f t="shared" si="75"/>
        <v>10562.5</v>
      </c>
      <c r="BP253" t="s">
        <v>1146</v>
      </c>
      <c r="BQ253">
        <v>7</v>
      </c>
      <c r="BT253" t="s">
        <v>283</v>
      </c>
      <c r="BU253" t="str">
        <f>VLOOKUP(H253,Eras!$A$2:$C$10, 2, TRUE)</f>
        <v>prv</v>
      </c>
      <c r="BV253" t="s">
        <v>332</v>
      </c>
      <c r="BW253" t="str">
        <f t="shared" si="76"/>
        <v>prv_DMU (Express)</v>
      </c>
      <c r="BX253" t="str">
        <f t="shared" si="77"/>
        <v>diesel_RAIL</v>
      </c>
      <c r="CA253" t="s">
        <v>1259</v>
      </c>
      <c r="CC253" t="str">
        <f t="shared" si="78"/>
        <v>{SILVER}Unusually for a high speed unit, the Class 180 uses a diesel-hydraulic transmission. Unfortunately the units suffered reliability problems both before and after launch.</v>
      </c>
    </row>
    <row r="254" spans="1:81" x14ac:dyDescent="0.25">
      <c r="A254" t="s">
        <v>1256</v>
      </c>
      <c r="B254" t="s">
        <v>1301</v>
      </c>
      <c r="C254">
        <v>487</v>
      </c>
      <c r="D254">
        <v>161</v>
      </c>
      <c r="E254" t="s">
        <v>404</v>
      </c>
      <c r="F254" t="s">
        <v>273</v>
      </c>
      <c r="G254" t="s">
        <v>275</v>
      </c>
      <c r="H254">
        <v>2001</v>
      </c>
      <c r="K254">
        <v>4</v>
      </c>
      <c r="L254">
        <f>750*3</f>
        <v>2250</v>
      </c>
      <c r="U254">
        <v>203</v>
      </c>
      <c r="W254">
        <v>4</v>
      </c>
      <c r="X254">
        <v>190</v>
      </c>
      <c r="Y254" s="3">
        <f t="shared" si="66"/>
        <v>9.3596059113300489E-2</v>
      </c>
      <c r="Z254">
        <v>125</v>
      </c>
      <c r="AA254">
        <f t="shared" si="81"/>
        <v>200</v>
      </c>
      <c r="AD254">
        <v>23.71</v>
      </c>
      <c r="AE254">
        <v>23.71</v>
      </c>
      <c r="AH254" s="10">
        <v>57</v>
      </c>
      <c r="AI254" t="str">
        <f>CONCATENATE(VLOOKUP(AJ254, 'Voxel Sizes'!$A$2:$B$18,2,FALSE),"x",INT(AF254*15), "x", INT(AG254*15))</f>
        <v>238x0x0</v>
      </c>
      <c r="AJ254">
        <f t="shared" si="67"/>
        <v>14</v>
      </c>
      <c r="AL254" t="str">
        <f>CONCATENATE(VLOOKUP(AJ254,Constants!$A$2:$C$16,IF(AK254&lt;&gt;"", 3, 2), FALSE),IF(AK254&lt;&gt;"",CONCATENATE(",",VLOOKUP(AK254,$B:$AL,37,FALSE)),""))</f>
        <v>4,6,4</v>
      </c>
      <c r="AP254" t="s">
        <v>1302</v>
      </c>
      <c r="AR254" t="s">
        <v>1126</v>
      </c>
      <c r="AS254" t="s">
        <v>1257</v>
      </c>
      <c r="AV254">
        <v>22</v>
      </c>
      <c r="AW254" s="15" t="str">
        <f t="shared" si="68"/>
        <v/>
      </c>
      <c r="AX254">
        <v>-8</v>
      </c>
      <c r="AY254">
        <v>-30</v>
      </c>
      <c r="AZ254">
        <f t="shared" si="69"/>
        <v>25</v>
      </c>
      <c r="BA254">
        <f t="shared" si="70"/>
        <v>11.25</v>
      </c>
      <c r="BB254">
        <f t="shared" si="71"/>
        <v>9.5</v>
      </c>
      <c r="BC254" s="3">
        <f t="shared" si="72"/>
        <v>0.86533333333333329</v>
      </c>
      <c r="BD254">
        <f t="shared" si="73"/>
        <v>7.6</v>
      </c>
      <c r="BE254">
        <f>VLOOKUP($F254,Constants!$I:$K, 2, FALSE)</f>
        <v>1</v>
      </c>
      <c r="BF254">
        <f>VLOOKUP($F254,Constants!$I:$K, 3, FALSE)*IF(AND(E254="multiple_unit",Z254&lt;110),0.75,1)</f>
        <v>2</v>
      </c>
      <c r="BG254">
        <f>INT(POWER(((Constants!$G$2+$AZ254+$BA254+$BB254+$BD254)*$BC254)*$BF254, 1.05))+$AY254</f>
        <v>97</v>
      </c>
      <c r="BH254">
        <f>INT(POWER((((Constants!$G$1+$AZ254+$BA254+$BB254+$BD254)*($BC254))*$BE254),IF($E254="wagon",1,1.2)))+$AX254</f>
        <v>125</v>
      </c>
      <c r="BI254" s="14">
        <f t="shared" si="74"/>
        <v>75781.25</v>
      </c>
      <c r="BJ254" s="14">
        <f t="shared" si="75"/>
        <v>10156.25</v>
      </c>
      <c r="BP254" t="s">
        <v>1148</v>
      </c>
      <c r="BQ254">
        <v>7</v>
      </c>
      <c r="BT254" t="s">
        <v>283</v>
      </c>
      <c r="BU254" t="str">
        <f>VLOOKUP(H254,Eras!$A$2:$C$10, 2, TRUE)</f>
        <v>prv</v>
      </c>
      <c r="BV254" t="s">
        <v>332</v>
      </c>
      <c r="BW254" t="str">
        <f t="shared" si="76"/>
        <v>prv_DMU (Express)</v>
      </c>
      <c r="BX254" t="str">
        <f t="shared" si="77"/>
        <v>diesel_RAIL</v>
      </c>
      <c r="CA254" t="s">
        <v>1259</v>
      </c>
      <c r="CC254" t="str">
        <f t="shared" si="78"/>
        <v>{SILVER}Unusually for a high speed unit, the Class 180 uses a diesel-hydraulic transmission. Unfortunately the units suffered reliability problems both before and after launch.</v>
      </c>
    </row>
    <row r="255" spans="1:81" x14ac:dyDescent="0.25">
      <c r="A255" t="s">
        <v>577</v>
      </c>
      <c r="B255" t="s">
        <v>656</v>
      </c>
      <c r="C255">
        <v>488</v>
      </c>
      <c r="D255">
        <v>162</v>
      </c>
      <c r="E255" t="s">
        <v>404</v>
      </c>
      <c r="F255" t="s">
        <v>296</v>
      </c>
      <c r="G255" t="s">
        <v>297</v>
      </c>
      <c r="H255">
        <v>2002</v>
      </c>
      <c r="K255">
        <v>8</v>
      </c>
      <c r="L255">
        <v>6840</v>
      </c>
      <c r="U255">
        <v>466</v>
      </c>
      <c r="W255">
        <v>4</v>
      </c>
      <c r="X255">
        <v>325</v>
      </c>
      <c r="Y255" s="3">
        <f t="shared" si="66"/>
        <v>6.974248927038626E-2</v>
      </c>
      <c r="Z255">
        <v>140</v>
      </c>
      <c r="AA255">
        <f t="shared" si="81"/>
        <v>224</v>
      </c>
      <c r="AD255">
        <v>23.9</v>
      </c>
      <c r="AE255">
        <v>23.9</v>
      </c>
      <c r="AF255">
        <v>2.73</v>
      </c>
      <c r="AG255">
        <v>3.56</v>
      </c>
      <c r="AH255" s="10">
        <v>60</v>
      </c>
      <c r="AI255" t="str">
        <f>CONCATENATE(VLOOKUP(AJ255, 'Voxel Sizes'!$A$2:$B$18,2,FALSE),"x",INT(AF255*15), "x", INT(AG255*15))</f>
        <v>238x40x53</v>
      </c>
      <c r="AJ255">
        <f t="shared" si="67"/>
        <v>14</v>
      </c>
      <c r="AL255" t="str">
        <f>CONCATENATE(VLOOKUP(AJ255,Constants!$A$2:$C$16,IF(AK255&lt;&gt;"", 3, 2), FALSE),IF(AK255&lt;&gt;"",CONCATENATE(",",VLOOKUP(AK255,$B:$AL,37,FALSE)),""))</f>
        <v>4,6,4</v>
      </c>
      <c r="AP255" t="s">
        <v>655</v>
      </c>
      <c r="AR255" t="s">
        <v>658</v>
      </c>
      <c r="AV255">
        <v>29</v>
      </c>
      <c r="AW255" s="15" t="str">
        <f t="shared" si="68"/>
        <v/>
      </c>
      <c r="AX255">
        <v>-15</v>
      </c>
      <c r="AY255">
        <v>-35</v>
      </c>
      <c r="AZ255">
        <f t="shared" si="69"/>
        <v>28</v>
      </c>
      <c r="BA255">
        <f t="shared" si="70"/>
        <v>20</v>
      </c>
      <c r="BB255">
        <f t="shared" si="71"/>
        <v>16.25</v>
      </c>
      <c r="BC255" s="3">
        <f t="shared" si="72"/>
        <v>0.86399999999999999</v>
      </c>
      <c r="BD255">
        <f t="shared" si="73"/>
        <v>16</v>
      </c>
      <c r="BE255">
        <f>VLOOKUP($F255,Constants!$I:$K, 2, FALSE)</f>
        <v>0.85</v>
      </c>
      <c r="BF255">
        <f>VLOOKUP($F255,Constants!$I:$K, 3, FALSE)*IF(AND(E255="multiple_unit",Z255&lt;110),0.75,1)</f>
        <v>2.2999999999999998</v>
      </c>
      <c r="BG255">
        <f>INT(POWER(((Constants!$G$2+$AZ255+$BA255+$BB255+$BD255)*$BC255)*$BF255, 1.05))+$AY255</f>
        <v>183</v>
      </c>
      <c r="BH255">
        <f>INT(POWER((((Constants!$G$1+$AZ255+$BA255+$BB255+$BD255)*($BC255))*$BE255),IF($E255="wagon",1,1.2)))+$AX255</f>
        <v>148</v>
      </c>
      <c r="BI255" s="14">
        <f t="shared" si="74"/>
        <v>142968.75</v>
      </c>
      <c r="BJ255" s="14">
        <f t="shared" si="75"/>
        <v>12025</v>
      </c>
      <c r="BM255">
        <v>1</v>
      </c>
      <c r="BP255" t="s">
        <v>1150</v>
      </c>
      <c r="BQ255">
        <v>6</v>
      </c>
      <c r="BR255">
        <v>205</v>
      </c>
      <c r="BT255" t="s">
        <v>283</v>
      </c>
      <c r="BU255" t="str">
        <f>VLOOKUP(H255,Eras!$A$2:$C$10, 2, TRUE)</f>
        <v>prv</v>
      </c>
      <c r="BV255" t="s">
        <v>334</v>
      </c>
      <c r="BW255" t="str">
        <f t="shared" si="76"/>
        <v>prv_EMU (Express)</v>
      </c>
      <c r="BX255" t="str">
        <f t="shared" si="77"/>
        <v>electric_ELRL</v>
      </c>
      <c r="BY255" t="str">
        <f>VLOOKUP($BX255, Constants!$M:$N, 2, FALSE)</f>
        <v>{BLACK}Powered by: {GOLD}25kV AC</v>
      </c>
      <c r="BZ255" t="str">
        <f t="shared" ref="BZ255:BZ265" si="82">IF(K255&gt;1,_xlfn.CONCAT("{BLACK}Cars: {GOLD}", K255),"")</f>
        <v>{BLACK}Cars: {GOLD}8</v>
      </c>
      <c r="CA255" t="s">
        <v>657</v>
      </c>
      <c r="CB255" t="str">
        <f t="shared" ref="CB255:CB265" si="83">IF(BT255="BRAKE","{YELLOW}Speed bonus for slow wagons{}",IF(BR255&gt;190,CONCATENATE("{YELLOW}",INT((BR255-185)/1.85),"% Bonus for long distance travel{}"),IF(AND(BR255&lt;180,BR255&lt;&gt;0),CONCATENATE("{YELLOW}",INT((185-BR255)/1.85),"% Penalty for long distance travel{}"),"")))</f>
        <v>{YELLOW}10% Bonus for long distance travel{}</v>
      </c>
      <c r="CC255" t="str">
        <f t="shared" si="78"/>
        <v>{BLACK}Powered by: {GOLD}25kV AC {BLACK}Cars: {GOLD}8{}{YELLOW}10% Bonus for long distance travel{}{SILVER}The Pendolino is a tilting multiple unit with a design speed of 140mph.  The tilt system is supplied by Fiat Ferroviaria.</v>
      </c>
    </row>
    <row r="256" spans="1:81" x14ac:dyDescent="0.25">
      <c r="A256" t="s">
        <v>577</v>
      </c>
      <c r="B256" t="s">
        <v>1128</v>
      </c>
      <c r="C256">
        <v>489</v>
      </c>
      <c r="D256">
        <v>163</v>
      </c>
      <c r="E256" t="s">
        <v>404</v>
      </c>
      <c r="F256" t="s">
        <v>296</v>
      </c>
      <c r="G256" t="s">
        <v>297</v>
      </c>
      <c r="H256">
        <v>2002</v>
      </c>
      <c r="K256">
        <v>6</v>
      </c>
      <c r="L256">
        <v>6840</v>
      </c>
      <c r="U256">
        <f>(466/8)*6</f>
        <v>349.5</v>
      </c>
      <c r="W256">
        <v>4</v>
      </c>
      <c r="X256">
        <v>325</v>
      </c>
      <c r="Y256" s="3">
        <f t="shared" si="66"/>
        <v>9.2989985693848351E-2</v>
      </c>
      <c r="Z256">
        <v>140</v>
      </c>
      <c r="AA256">
        <f t="shared" si="81"/>
        <v>224</v>
      </c>
      <c r="AD256">
        <v>23.9</v>
      </c>
      <c r="AE256">
        <v>23.9</v>
      </c>
      <c r="AF256">
        <v>2.73</v>
      </c>
      <c r="AG256">
        <v>3.56</v>
      </c>
      <c r="AH256" s="10">
        <v>60</v>
      </c>
      <c r="AI256" t="str">
        <f>CONCATENATE(VLOOKUP(AJ256, 'Voxel Sizes'!$A$2:$B$18,2,FALSE),"x",INT(AF256*15), "x", INT(AG256*15))</f>
        <v>238x40x53</v>
      </c>
      <c r="AJ256">
        <f t="shared" si="67"/>
        <v>14</v>
      </c>
      <c r="AL256" t="str">
        <f>CONCATENATE(VLOOKUP(AJ256,Constants!$A$2:$C$16,IF(AK256&lt;&gt;"", 3, 2), FALSE),IF(AK256&lt;&gt;"",CONCATENATE(",",VLOOKUP(AK256,$B:$AL,37,FALSE)),""))</f>
        <v>4,6,4</v>
      </c>
      <c r="AP256" t="s">
        <v>1129</v>
      </c>
      <c r="AR256" t="s">
        <v>1130</v>
      </c>
      <c r="AS256" t="s">
        <v>656</v>
      </c>
      <c r="AV256">
        <v>29</v>
      </c>
      <c r="AW256" s="15" t="str">
        <f t="shared" si="68"/>
        <v/>
      </c>
      <c r="AX256">
        <v>-15</v>
      </c>
      <c r="AY256">
        <v>-35</v>
      </c>
      <c r="AZ256">
        <f t="shared" si="69"/>
        <v>28</v>
      </c>
      <c r="BA256">
        <f t="shared" si="70"/>
        <v>20</v>
      </c>
      <c r="BB256">
        <f t="shared" si="71"/>
        <v>16.25</v>
      </c>
      <c r="BC256" s="3">
        <f t="shared" si="72"/>
        <v>0.86399999999999999</v>
      </c>
      <c r="BD256">
        <f t="shared" si="73"/>
        <v>12.000000000000002</v>
      </c>
      <c r="BE256">
        <f>VLOOKUP($F256,Constants!$I:$K, 2, FALSE)</f>
        <v>0.85</v>
      </c>
      <c r="BF256">
        <f>VLOOKUP($F256,Constants!$I:$K, 3, FALSE)*IF(AND(E256="multiple_unit",Z256&lt;110),0.75,1)</f>
        <v>2.2999999999999998</v>
      </c>
      <c r="BG256">
        <f>INT(POWER(((Constants!$G$2+$AZ256+$BA256+$BB256+$BD256)*$BC256)*$BF256, 1.05))+$AY256</f>
        <v>173</v>
      </c>
      <c r="BH256">
        <f>INT(POWER((((Constants!$G$1+$AZ256+$BA256+$BB256+$BD256)*($BC256))*$BE256),IF($E256="wagon",1,1.2)))+$AX256</f>
        <v>140</v>
      </c>
      <c r="BI256" s="14">
        <f t="shared" si="74"/>
        <v>135156.25</v>
      </c>
      <c r="BJ256" s="14">
        <f t="shared" si="75"/>
        <v>11375</v>
      </c>
      <c r="BM256">
        <v>1</v>
      </c>
      <c r="BP256" t="s">
        <v>1149</v>
      </c>
      <c r="BQ256">
        <v>6</v>
      </c>
      <c r="BR256">
        <v>205</v>
      </c>
      <c r="BT256" t="s">
        <v>283</v>
      </c>
      <c r="BU256" t="str">
        <f>VLOOKUP(H256,Eras!$A$2:$C$10, 2, TRUE)</f>
        <v>prv</v>
      </c>
      <c r="BV256" t="s">
        <v>334</v>
      </c>
      <c r="BW256" t="str">
        <f t="shared" si="76"/>
        <v>prv_EMU (Express)</v>
      </c>
      <c r="BX256" t="str">
        <f t="shared" si="77"/>
        <v>electric_ELRL</v>
      </c>
      <c r="BY256" t="str">
        <f>VLOOKUP($BX256, Constants!$M:$N, 2, FALSE)</f>
        <v>{BLACK}Powered by: {GOLD}25kV AC</v>
      </c>
      <c r="BZ256" t="str">
        <f t="shared" si="82"/>
        <v>{BLACK}Cars: {GOLD}6</v>
      </c>
      <c r="CA256" t="s">
        <v>657</v>
      </c>
      <c r="CB256" t="str">
        <f t="shared" si="83"/>
        <v>{YELLOW}10% Bonus for long distance travel{}</v>
      </c>
      <c r="CC256" t="str">
        <f t="shared" si="78"/>
        <v>{BLACK}Powered by: {GOLD}25kV AC {BLACK}Cars: {GOLD}6{}{YELLOW}10% Bonus for long distance travel{}{SILVER}The Pendolino is a tilting multiple unit with a design speed of 140mph.  The tilt system is supplied by Fiat Ferroviaria.</v>
      </c>
    </row>
    <row r="257" spans="1:81" x14ac:dyDescent="0.25">
      <c r="A257" t="s">
        <v>577</v>
      </c>
      <c r="B257" t="s">
        <v>1143</v>
      </c>
      <c r="C257">
        <v>490</v>
      </c>
      <c r="D257">
        <v>164</v>
      </c>
      <c r="E257" t="s">
        <v>404</v>
      </c>
      <c r="F257" t="s">
        <v>296</v>
      </c>
      <c r="G257" t="s">
        <v>297</v>
      </c>
      <c r="H257">
        <v>2002</v>
      </c>
      <c r="K257">
        <v>4</v>
      </c>
      <c r="L257">
        <v>6840</v>
      </c>
      <c r="U257">
        <f>(466/8)*4</f>
        <v>233</v>
      </c>
      <c r="W257">
        <v>4</v>
      </c>
      <c r="X257">
        <v>325</v>
      </c>
      <c r="Y257" s="3">
        <f t="shared" si="66"/>
        <v>0.13948497854077252</v>
      </c>
      <c r="Z257">
        <v>140</v>
      </c>
      <c r="AA257">
        <f t="shared" si="81"/>
        <v>224</v>
      </c>
      <c r="AD257">
        <v>23.9</v>
      </c>
      <c r="AE257">
        <v>23.9</v>
      </c>
      <c r="AF257">
        <v>2.73</v>
      </c>
      <c r="AG257">
        <v>3.56</v>
      </c>
      <c r="AH257" s="10">
        <v>60</v>
      </c>
      <c r="AI257" t="str">
        <f>CONCATENATE(VLOOKUP(AJ257, 'Voxel Sizes'!$A$2:$B$18,2,FALSE),"x",INT(AF257*15), "x", INT(AG257*15))</f>
        <v>238x40x53</v>
      </c>
      <c r="AJ257">
        <f t="shared" si="67"/>
        <v>14</v>
      </c>
      <c r="AL257" t="str">
        <f>CONCATENATE(VLOOKUP(AJ257,Constants!$A$2:$C$16,IF(AK257&lt;&gt;"", 3, 2), FALSE),IF(AK257&lt;&gt;"",CONCATENATE(",",VLOOKUP(AK257,$B:$AL,37,FALSE)),""))</f>
        <v>4,6,4</v>
      </c>
      <c r="AP257" t="s">
        <v>1144</v>
      </c>
      <c r="AR257" t="s">
        <v>1126</v>
      </c>
      <c r="AS257" t="s">
        <v>656</v>
      </c>
      <c r="AV257">
        <v>29</v>
      </c>
      <c r="AW257" s="15" t="str">
        <f t="shared" si="68"/>
        <v/>
      </c>
      <c r="AX257">
        <v>-15</v>
      </c>
      <c r="AY257">
        <v>-35</v>
      </c>
      <c r="AZ257">
        <f t="shared" si="69"/>
        <v>28</v>
      </c>
      <c r="BA257">
        <f t="shared" si="70"/>
        <v>20</v>
      </c>
      <c r="BB257">
        <f t="shared" si="71"/>
        <v>16.25</v>
      </c>
      <c r="BC257" s="3">
        <f t="shared" si="72"/>
        <v>0.86399999999999999</v>
      </c>
      <c r="BD257">
        <f t="shared" si="73"/>
        <v>8</v>
      </c>
      <c r="BE257">
        <f>VLOOKUP($F257,Constants!$I:$K, 2, FALSE)</f>
        <v>0.85</v>
      </c>
      <c r="BF257">
        <f>VLOOKUP($F257,Constants!$I:$K, 3, FALSE)*IF(AND(E257="multiple_unit",Z257&lt;110),0.75,1)</f>
        <v>2.2999999999999998</v>
      </c>
      <c r="BG257">
        <f>INT(POWER(((Constants!$G$2+$AZ257+$BA257+$BB257+$BD257)*$BC257)*$BF257, 1.05))+$AY257</f>
        <v>162</v>
      </c>
      <c r="BH257">
        <f>INT(POWER((((Constants!$G$1+$AZ257+$BA257+$BB257+$BD257)*($BC257))*$BE257),IF($E257="wagon",1,1.2)))+$AX257</f>
        <v>132</v>
      </c>
      <c r="BI257" s="14">
        <f t="shared" si="74"/>
        <v>126562.5</v>
      </c>
      <c r="BJ257" s="14">
        <f t="shared" si="75"/>
        <v>10725</v>
      </c>
      <c r="BM257">
        <v>1</v>
      </c>
      <c r="BP257" t="s">
        <v>1148</v>
      </c>
      <c r="BQ257">
        <v>6</v>
      </c>
      <c r="BR257">
        <v>205</v>
      </c>
      <c r="BT257" t="s">
        <v>283</v>
      </c>
      <c r="BU257" t="str">
        <f>VLOOKUP(H257,Eras!$A$2:$C$10, 2, TRUE)</f>
        <v>prv</v>
      </c>
      <c r="BV257" t="s">
        <v>334</v>
      </c>
      <c r="BW257" t="str">
        <f t="shared" si="76"/>
        <v>prv_EMU (Express)</v>
      </c>
      <c r="BX257" t="str">
        <f t="shared" si="77"/>
        <v>electric_ELRL</v>
      </c>
      <c r="BY257" t="str">
        <f>VLOOKUP($BX257, Constants!$M:$N, 2, FALSE)</f>
        <v>{BLACK}Powered by: {GOLD}25kV AC</v>
      </c>
      <c r="BZ257" t="str">
        <f t="shared" si="82"/>
        <v>{BLACK}Cars: {GOLD}4</v>
      </c>
      <c r="CA257" t="s">
        <v>657</v>
      </c>
      <c r="CB257" t="str">
        <f t="shared" si="83"/>
        <v>{YELLOW}10% Bonus for long distance travel{}</v>
      </c>
      <c r="CC257" t="str">
        <f t="shared" si="78"/>
        <v>{BLACK}Powered by: {GOLD}25kV AC {BLACK}Cars: {GOLD}4{}{YELLOW}10% Bonus for long distance travel{}{SILVER}The Pendolino is a tilting multiple unit with a design speed of 140mph.  The tilt system is supplied by Fiat Ferroviaria.</v>
      </c>
    </row>
    <row r="258" spans="1:81" x14ac:dyDescent="0.25">
      <c r="A258" t="s">
        <v>92</v>
      </c>
      <c r="B258" t="s">
        <v>223</v>
      </c>
      <c r="C258">
        <v>492</v>
      </c>
      <c r="D258">
        <v>165</v>
      </c>
      <c r="E258" t="s">
        <v>404</v>
      </c>
      <c r="F258" t="s">
        <v>273</v>
      </c>
      <c r="G258" t="s">
        <v>275</v>
      </c>
      <c r="H258">
        <v>2002</v>
      </c>
      <c r="K258">
        <v>4</v>
      </c>
      <c r="L258">
        <v>3000</v>
      </c>
      <c r="U258">
        <v>185.6</v>
      </c>
      <c r="W258">
        <v>5</v>
      </c>
      <c r="X258">
        <v>185</v>
      </c>
      <c r="Y258" s="3">
        <f t="shared" si="66"/>
        <v>9.9676724137931036E-2</v>
      </c>
      <c r="Z258">
        <v>125</v>
      </c>
      <c r="AA258">
        <f t="shared" si="81"/>
        <v>200</v>
      </c>
      <c r="AD258">
        <v>23.8</v>
      </c>
      <c r="AE258">
        <v>23.8</v>
      </c>
      <c r="AF258">
        <v>2.73</v>
      </c>
      <c r="AH258" s="10">
        <v>51</v>
      </c>
      <c r="AI258" t="str">
        <f>CONCATENATE(VLOOKUP(AJ258, 'Voxel Sizes'!$A$2:$B$18,2,FALSE),"x",INT(AF258*15), "x", INT(AG258*15))</f>
        <v>238x40x0</v>
      </c>
      <c r="AJ258">
        <f t="shared" si="67"/>
        <v>14</v>
      </c>
      <c r="AL258" t="str">
        <f>CONCATENATE(VLOOKUP(AJ258,Constants!$A$2:$C$16,IF(AK258&lt;&gt;"", 3, 2), FALSE),IF(AK258&lt;&gt;"",CONCATENATE(",",VLOOKUP(AK258,$B:$AL,37,FALSE)),""))</f>
        <v>4,6,4</v>
      </c>
      <c r="AP258" t="s">
        <v>662</v>
      </c>
      <c r="AR258" t="s">
        <v>465</v>
      </c>
      <c r="AV258">
        <v>29</v>
      </c>
      <c r="AW258" s="15" t="str">
        <f t="shared" si="68"/>
        <v/>
      </c>
      <c r="AX258">
        <v>-15</v>
      </c>
      <c r="AY258">
        <v>-35</v>
      </c>
      <c r="AZ258">
        <f t="shared" si="69"/>
        <v>25</v>
      </c>
      <c r="BA258">
        <f t="shared" si="70"/>
        <v>15</v>
      </c>
      <c r="BB258">
        <f t="shared" si="71"/>
        <v>9.25</v>
      </c>
      <c r="BC258" s="3">
        <f t="shared" si="72"/>
        <v>0.86399999999999999</v>
      </c>
      <c r="BD258">
        <f t="shared" si="73"/>
        <v>6.8000000000000007</v>
      </c>
      <c r="BE258">
        <f>VLOOKUP($F258,Constants!$I:$K, 2, FALSE)</f>
        <v>1</v>
      </c>
      <c r="BF258">
        <f>VLOOKUP($F258,Constants!$I:$K, 3, FALSE)*IF(AND(E258="multiple_unit",Z258&lt;110),0.75,1)</f>
        <v>2</v>
      </c>
      <c r="BG258">
        <f>INT(POWER(((Constants!$G$2+$AZ258+$BA258+$BB258+$BD258)*$BC258)*$BF258, 1.05))+$AY258</f>
        <v>98</v>
      </c>
      <c r="BH258">
        <f>INT(POWER((((Constants!$G$1+$AZ258+$BA258+$BB258+$BD258)*($BC258))*$BE258),IF($E258="wagon",1,1.2)))+$AX258</f>
        <v>124</v>
      </c>
      <c r="BI258" s="14">
        <f t="shared" si="74"/>
        <v>76562.5</v>
      </c>
      <c r="BJ258" s="14">
        <f t="shared" si="75"/>
        <v>10075</v>
      </c>
      <c r="BQ258">
        <v>9</v>
      </c>
      <c r="BR258">
        <v>205</v>
      </c>
      <c r="BT258" t="s">
        <v>283</v>
      </c>
      <c r="BU258" t="str">
        <f>VLOOKUP(H258,Eras!$A$2:$C$10, 2, TRUE)</f>
        <v>prv</v>
      </c>
      <c r="BV258" t="s">
        <v>332</v>
      </c>
      <c r="BW258" t="str">
        <f t="shared" si="76"/>
        <v>prv_DMU (Express)</v>
      </c>
      <c r="BX258" t="str">
        <f t="shared" si="77"/>
        <v>diesel_RAIL</v>
      </c>
      <c r="BY258" t="str">
        <f>VLOOKUP($BX258, Constants!$M:$N, 2, FALSE)</f>
        <v>{BLACK}Powered by: {GOLD}Diesel</v>
      </c>
      <c r="BZ258" t="str">
        <f t="shared" si="82"/>
        <v>{BLACK}Cars: {GOLD}4</v>
      </c>
      <c r="CA258" t="s">
        <v>660</v>
      </c>
      <c r="CB258" t="str">
        <f t="shared" si="83"/>
        <v>{YELLOW}10% Bonus for long distance travel{}</v>
      </c>
      <c r="CC258" t="str">
        <f t="shared" si="78"/>
        <v>{BLACK}Powered by: {GOLD}Diesel {BLACK}Cars: {GOLD}4{}{YELLOW}10% Bonus for long distance travel{}{SILVER}The Voyager is a high speed diesel multiple unit, built to replace both the HST and locomotive-hauled passenger services on the Cross Country route.</v>
      </c>
    </row>
    <row r="259" spans="1:81" x14ac:dyDescent="0.25">
      <c r="A259" t="s">
        <v>93</v>
      </c>
      <c r="B259" t="s">
        <v>222</v>
      </c>
      <c r="C259">
        <v>494</v>
      </c>
      <c r="D259">
        <v>166</v>
      </c>
      <c r="E259" t="s">
        <v>404</v>
      </c>
      <c r="F259" t="s">
        <v>273</v>
      </c>
      <c r="G259" t="s">
        <v>275</v>
      </c>
      <c r="H259">
        <v>2002</v>
      </c>
      <c r="K259">
        <v>5</v>
      </c>
      <c r="L259">
        <f>750*5</f>
        <v>3750</v>
      </c>
      <c r="U259">
        <v>282</v>
      </c>
      <c r="W259">
        <v>5</v>
      </c>
      <c r="X259">
        <v>270</v>
      </c>
      <c r="Y259" s="3">
        <f t="shared" si="66"/>
        <v>9.5744680851063829E-2</v>
      </c>
      <c r="Z259">
        <v>125</v>
      </c>
      <c r="AA259">
        <f t="shared" si="81"/>
        <v>200</v>
      </c>
      <c r="AD259">
        <v>23.8</v>
      </c>
      <c r="AE259">
        <v>23.8</v>
      </c>
      <c r="AF259">
        <v>2.73</v>
      </c>
      <c r="AH259" s="10">
        <v>51</v>
      </c>
      <c r="AI259" t="str">
        <f>CONCATENATE(VLOOKUP(AJ259, 'Voxel Sizes'!$A$2:$B$18,2,FALSE),"x",INT(AF259*15), "x", INT(AG259*15))</f>
        <v>238x40x0</v>
      </c>
      <c r="AJ259">
        <f t="shared" si="67"/>
        <v>14</v>
      </c>
      <c r="AL259" t="str">
        <f>CONCATENATE(VLOOKUP(AJ259,Constants!$A$2:$C$16,IF(AK259&lt;&gt;"", 3, 2), FALSE),IF(AK259&lt;&gt;"",CONCATENATE(",",VLOOKUP(AK259,$B:$AL,37,FALSE)),""))</f>
        <v>4,6,4</v>
      </c>
      <c r="AP259" t="s">
        <v>663</v>
      </c>
      <c r="AR259" t="s">
        <v>664</v>
      </c>
      <c r="AS259" t="s">
        <v>223</v>
      </c>
      <c r="AV259">
        <v>29</v>
      </c>
      <c r="AW259" s="15" t="str">
        <f t="shared" si="68"/>
        <v/>
      </c>
      <c r="AX259">
        <v>-15</v>
      </c>
      <c r="AY259">
        <v>-35</v>
      </c>
      <c r="AZ259">
        <f t="shared" si="69"/>
        <v>25</v>
      </c>
      <c r="BA259">
        <f t="shared" si="70"/>
        <v>18.75</v>
      </c>
      <c r="BB259">
        <f t="shared" si="71"/>
        <v>13.5</v>
      </c>
      <c r="BC259" s="3">
        <f t="shared" si="72"/>
        <v>0.86399999999999999</v>
      </c>
      <c r="BD259">
        <f t="shared" si="73"/>
        <v>8.5</v>
      </c>
      <c r="BE259">
        <f>VLOOKUP($F259,Constants!$I:$K, 2, FALSE)</f>
        <v>1</v>
      </c>
      <c r="BF259">
        <f>VLOOKUP($F259,Constants!$I:$K, 3, FALSE)*IF(AND(E259="multiple_unit",Z259&lt;110),0.75,1)</f>
        <v>2</v>
      </c>
      <c r="BG259">
        <f>INT(POWER(((Constants!$G$2+$AZ259+$BA259+$BB259+$BD259)*$BC259)*$BF259, 1.05))+$AY259</f>
        <v>120</v>
      </c>
      <c r="BH259">
        <f>INT(POWER((((Constants!$G$1+$AZ259+$BA259+$BB259+$BD259)*($BC259))*$BE259),IF($E259="wagon",1,1.2)))+$AX259</f>
        <v>148</v>
      </c>
      <c r="BI259" s="14">
        <f t="shared" si="74"/>
        <v>93750</v>
      </c>
      <c r="BJ259" s="14">
        <f t="shared" si="75"/>
        <v>12025</v>
      </c>
      <c r="BM259">
        <v>1</v>
      </c>
      <c r="BP259" t="s">
        <v>1146</v>
      </c>
      <c r="BQ259">
        <v>10</v>
      </c>
      <c r="BR259">
        <v>205</v>
      </c>
      <c r="BT259" t="s">
        <v>283</v>
      </c>
      <c r="BU259" t="str">
        <f>VLOOKUP(H259,Eras!$A$2:$C$10, 2, TRUE)</f>
        <v>prv</v>
      </c>
      <c r="BV259" t="s">
        <v>332</v>
      </c>
      <c r="BW259" t="str">
        <f t="shared" si="76"/>
        <v>prv_DMU (Express)</v>
      </c>
      <c r="BX259" t="str">
        <f t="shared" si="77"/>
        <v>diesel_RAIL</v>
      </c>
      <c r="BY259" t="str">
        <f>VLOOKUP($BX259, Constants!$M:$N, 2, FALSE)</f>
        <v>{BLACK}Powered by: {GOLD}Diesel</v>
      </c>
      <c r="BZ259" t="str">
        <f t="shared" si="82"/>
        <v>{BLACK}Cars: {GOLD}5</v>
      </c>
      <c r="CA259" t="s">
        <v>661</v>
      </c>
      <c r="CB259" t="str">
        <f t="shared" si="83"/>
        <v>{YELLOW}10% Bonus for long distance travel{}</v>
      </c>
      <c r="CC259" t="str">
        <f t="shared" si="78"/>
        <v>{BLACK}Powered by: {GOLD}Diesel {BLACK}Cars: {GOLD}5{}{YELLOW}10% Bonus for long distance travel{}{SILVER}The Class 221 is outwardly very similar to the Class 220, but internally it has different bogies and features a tilt mechanism for faster cornering.</v>
      </c>
    </row>
    <row r="260" spans="1:81" x14ac:dyDescent="0.25">
      <c r="A260" t="s">
        <v>93</v>
      </c>
      <c r="B260" t="s">
        <v>1136</v>
      </c>
      <c r="C260">
        <v>495</v>
      </c>
      <c r="D260">
        <v>167</v>
      </c>
      <c r="E260" t="s">
        <v>404</v>
      </c>
      <c r="F260" t="s">
        <v>273</v>
      </c>
      <c r="G260" t="s">
        <v>275</v>
      </c>
      <c r="H260">
        <v>2002</v>
      </c>
      <c r="K260">
        <v>4</v>
      </c>
      <c r="L260">
        <f>750*5</f>
        <v>3750</v>
      </c>
      <c r="U260">
        <f>282/5*4</f>
        <v>225.6</v>
      </c>
      <c r="W260">
        <v>5</v>
      </c>
      <c r="X260">
        <v>270</v>
      </c>
      <c r="Y260" s="3">
        <f t="shared" si="66"/>
        <v>0.11968085106382979</v>
      </c>
      <c r="Z260">
        <v>125</v>
      </c>
      <c r="AA260">
        <f t="shared" si="81"/>
        <v>200</v>
      </c>
      <c r="AD260">
        <v>23.8</v>
      </c>
      <c r="AE260">
        <v>23.8</v>
      </c>
      <c r="AF260">
        <v>2.73</v>
      </c>
      <c r="AH260" s="10">
        <v>51</v>
      </c>
      <c r="AI260" t="str">
        <f>CONCATENATE(VLOOKUP(AJ260, 'Voxel Sizes'!$A$2:$B$18,2,FALSE),"x",INT(AF260*15), "x", INT(AG260*15))</f>
        <v>238x40x0</v>
      </c>
      <c r="AJ260">
        <f t="shared" si="67"/>
        <v>14</v>
      </c>
      <c r="AL260" t="str">
        <f>CONCATENATE(VLOOKUP(AJ260,Constants!$A$2:$C$16,IF(AK260&lt;&gt;"", 3, 2), FALSE),IF(AK260&lt;&gt;"",CONCATENATE(",",VLOOKUP(AK260,$B:$AL,37,FALSE)),""))</f>
        <v>4,6,4</v>
      </c>
      <c r="AP260" t="s">
        <v>662</v>
      </c>
      <c r="AR260" t="s">
        <v>1126</v>
      </c>
      <c r="AS260" t="s">
        <v>223</v>
      </c>
      <c r="AV260">
        <v>29</v>
      </c>
      <c r="AW260" s="15" t="str">
        <f t="shared" si="68"/>
        <v/>
      </c>
      <c r="AX260">
        <v>-15</v>
      </c>
      <c r="AY260">
        <v>-35</v>
      </c>
      <c r="AZ260">
        <f t="shared" si="69"/>
        <v>25</v>
      </c>
      <c r="BA260">
        <f t="shared" si="70"/>
        <v>18.75</v>
      </c>
      <c r="BB260">
        <f t="shared" si="71"/>
        <v>13.5</v>
      </c>
      <c r="BC260" s="3">
        <f t="shared" si="72"/>
        <v>0.86399999999999999</v>
      </c>
      <c r="BD260">
        <f t="shared" si="73"/>
        <v>6.8000000000000007</v>
      </c>
      <c r="BE260">
        <f>VLOOKUP($F260,Constants!$I:$K, 2, FALSE)</f>
        <v>1</v>
      </c>
      <c r="BF260">
        <f>VLOOKUP($F260,Constants!$I:$K, 3, FALSE)*IF(AND(E260="multiple_unit",Z260&lt;110),0.75,1)</f>
        <v>2</v>
      </c>
      <c r="BG260">
        <f>INT(POWER(((Constants!$G$2+$AZ260+$BA260+$BB260+$BD260)*$BC260)*$BF260, 1.05))+$AY260</f>
        <v>116</v>
      </c>
      <c r="BH260">
        <f>INT(POWER((((Constants!$G$1+$AZ260+$BA260+$BB260+$BD260)*($BC260))*$BE260),IF($E260="wagon",1,1.2)))+$AX260</f>
        <v>143</v>
      </c>
      <c r="BI260" s="14">
        <f t="shared" si="74"/>
        <v>90625</v>
      </c>
      <c r="BJ260" s="14">
        <f t="shared" si="75"/>
        <v>11618.75</v>
      </c>
      <c r="BM260">
        <v>1</v>
      </c>
      <c r="BP260" t="s">
        <v>1148</v>
      </c>
      <c r="BQ260">
        <v>10</v>
      </c>
      <c r="BR260">
        <v>205</v>
      </c>
      <c r="BT260" t="s">
        <v>283</v>
      </c>
      <c r="BU260" t="str">
        <f>VLOOKUP(H260,Eras!$A$2:$C$10, 2, TRUE)</f>
        <v>prv</v>
      </c>
      <c r="BV260" t="s">
        <v>332</v>
      </c>
      <c r="BW260" t="str">
        <f t="shared" si="76"/>
        <v>prv_DMU (Express)</v>
      </c>
      <c r="BX260" t="str">
        <f t="shared" si="77"/>
        <v>diesel_RAIL</v>
      </c>
      <c r="BY260" t="str">
        <f>VLOOKUP($BX260, Constants!$M:$N, 2, FALSE)</f>
        <v>{BLACK}Powered by: {GOLD}Diesel</v>
      </c>
      <c r="BZ260" t="str">
        <f t="shared" si="82"/>
        <v>{BLACK}Cars: {GOLD}4</v>
      </c>
      <c r="CA260" t="s">
        <v>661</v>
      </c>
      <c r="CB260" t="str">
        <f t="shared" si="83"/>
        <v>{YELLOW}10% Bonus for long distance travel{}</v>
      </c>
      <c r="CC260" t="str">
        <f t="shared" si="78"/>
        <v>{BLACK}Powered by: {GOLD}Diesel {BLACK}Cars: {GOLD}4{}{YELLOW}10% Bonus for long distance travel{}{SILVER}The Class 221 is outwardly very similar to the Class 220, but internally it has different bogies and features a tilt mechanism for faster cornering.</v>
      </c>
    </row>
    <row r="261" spans="1:81" x14ac:dyDescent="0.25">
      <c r="A261" t="s">
        <v>1231</v>
      </c>
      <c r="B261" t="s">
        <v>1229</v>
      </c>
      <c r="C261">
        <v>496</v>
      </c>
      <c r="D261">
        <v>168</v>
      </c>
      <c r="E261" t="s">
        <v>404</v>
      </c>
      <c r="F261" t="s">
        <v>296</v>
      </c>
      <c r="G261" t="s">
        <v>297</v>
      </c>
      <c r="H261">
        <v>2002</v>
      </c>
      <c r="I261">
        <v>2006</v>
      </c>
      <c r="K261">
        <v>4</v>
      </c>
      <c r="L261">
        <v>2080</v>
      </c>
      <c r="U261">
        <v>170</v>
      </c>
      <c r="W261">
        <v>5</v>
      </c>
      <c r="X261">
        <v>180</v>
      </c>
      <c r="Y261" s="3">
        <f t="shared" ref="Y261:Y302" si="84">IF(AND(U261&gt;0,X261&gt;0),(X261/((U261+V261)*10)),"")</f>
        <v>0.10588235294117647</v>
      </c>
      <c r="Z261">
        <v>100</v>
      </c>
      <c r="AA261">
        <f t="shared" si="81"/>
        <v>160</v>
      </c>
      <c r="AD261">
        <v>20.399999999999999</v>
      </c>
      <c r="AE261">
        <v>20.399999999999999</v>
      </c>
      <c r="AF261">
        <v>2.8</v>
      </c>
      <c r="AH261" s="10">
        <v>69</v>
      </c>
      <c r="AI261" t="str">
        <f>CONCATENATE(VLOOKUP(AJ261, 'Voxel Sizes'!$A$2:$B$18,2,FALSE),"x",INT(AF261*15), "x", INT(AG261*15))</f>
        <v>198x42x0</v>
      </c>
      <c r="AJ261">
        <f t="shared" si="67"/>
        <v>12</v>
      </c>
      <c r="AL261" t="str">
        <f>CONCATENATE(VLOOKUP(AJ261,Constants!$A$2:$C$16,IF(AK261&lt;&gt;"", 3, 2), FALSE),IF(AK261&lt;&gt;"",CONCATENATE(",",VLOOKUP(AK261,$B:$AL,37,FALSE)),""))</f>
        <v>4,4,4</v>
      </c>
      <c r="AP261" t="s">
        <v>1230</v>
      </c>
      <c r="AR261" t="s">
        <v>555</v>
      </c>
      <c r="AV261">
        <v>28</v>
      </c>
      <c r="AW261" s="15" t="str">
        <f t="shared" si="68"/>
        <v/>
      </c>
      <c r="AX261">
        <v>-15</v>
      </c>
      <c r="AY261">
        <v>-30</v>
      </c>
      <c r="AZ261">
        <f t="shared" si="69"/>
        <v>20</v>
      </c>
      <c r="BA261">
        <f t="shared" si="70"/>
        <v>10.4</v>
      </c>
      <c r="BB261">
        <f t="shared" si="71"/>
        <v>9</v>
      </c>
      <c r="BC261" s="3">
        <f t="shared" si="72"/>
        <v>0.86399999999999999</v>
      </c>
      <c r="BD261">
        <f t="shared" si="73"/>
        <v>9.2000000000000011</v>
      </c>
      <c r="BE261">
        <f>VLOOKUP($F261,Constants!$I:$K, 2, FALSE)</f>
        <v>0.85</v>
      </c>
      <c r="BF261">
        <f>VLOOKUP($F261,Constants!$I:$K, 3, FALSE)*IF(AND(E261="multiple_unit",Z261&lt;110),0.75,1)</f>
        <v>1.7249999999999999</v>
      </c>
      <c r="BG261">
        <f>INT(POWER(((Constants!$G$2+$AZ261+$BA261+$BB261+$BD261)*$BC261)*$BF261, 1.05))+$AY261</f>
        <v>69</v>
      </c>
      <c r="BH261">
        <f>INT(POWER((((Constants!$G$1+$AZ261+$BA261+$BB261+$BD261)*($BC261))*$BE261),IF($E261="wagon",1,1.2)))+$AX261</f>
        <v>85</v>
      </c>
      <c r="BI261" s="14">
        <f t="shared" si="74"/>
        <v>53906.25</v>
      </c>
      <c r="BJ261" s="14">
        <f t="shared" si="75"/>
        <v>6906.25</v>
      </c>
      <c r="BQ261">
        <v>3</v>
      </c>
      <c r="BR261">
        <v>185</v>
      </c>
      <c r="BT261" t="s">
        <v>283</v>
      </c>
      <c r="BU261" t="str">
        <f>VLOOKUP(H261,Eras!$A$2:$C$10, 2, TRUE)</f>
        <v>prv</v>
      </c>
      <c r="BV261" t="s">
        <v>333</v>
      </c>
      <c r="BW261" t="str">
        <f t="shared" si="76"/>
        <v>prv_EMU</v>
      </c>
      <c r="BX261" t="str">
        <f t="shared" si="77"/>
        <v>electric_ELRL</v>
      </c>
      <c r="BY261" t="str">
        <f>VLOOKUP($BX261, Constants!$M:$N, 2, FALSE)</f>
        <v>{BLACK}Powered by: {GOLD}25kV AC</v>
      </c>
      <c r="BZ261" t="str">
        <f t="shared" si="82"/>
        <v>{BLACK}Cars: {GOLD}4</v>
      </c>
      <c r="CA261" t="s">
        <v>1232</v>
      </c>
      <c r="CB261" t="str">
        <f t="shared" si="83"/>
        <v/>
      </c>
      <c r="CC261" t="str">
        <f t="shared" si="78"/>
        <v>{BLACK}Powered by: {GOLD}25kV AC {BLACK}Cars: {GOLD}4{}{SILVER}The Class 360 is an AC version of the Desiro family of units, ordered to replace slam-door stock on the Great Eastern Main Line.</v>
      </c>
    </row>
    <row r="262" spans="1:81" x14ac:dyDescent="0.25">
      <c r="A262" t="s">
        <v>73</v>
      </c>
      <c r="B262" t="s">
        <v>586</v>
      </c>
      <c r="C262">
        <v>498</v>
      </c>
      <c r="D262">
        <v>169</v>
      </c>
      <c r="E262" t="s">
        <v>404</v>
      </c>
      <c r="F262" t="s">
        <v>552</v>
      </c>
      <c r="G262" t="s">
        <v>551</v>
      </c>
      <c r="H262">
        <v>2003</v>
      </c>
      <c r="K262">
        <v>4</v>
      </c>
      <c r="L262">
        <v>1600</v>
      </c>
      <c r="U262">
        <v>173.6</v>
      </c>
      <c r="W262">
        <v>5</v>
      </c>
      <c r="X262">
        <v>175</v>
      </c>
      <c r="Y262" s="3">
        <f t="shared" si="84"/>
        <v>0.10080645161290322</v>
      </c>
      <c r="Z262">
        <v>100</v>
      </c>
      <c r="AA262">
        <f t="shared" si="81"/>
        <v>160</v>
      </c>
      <c r="AD262">
        <v>20.399999999999999</v>
      </c>
      <c r="AE262">
        <v>20.399999999999999</v>
      </c>
      <c r="AG262">
        <v>3.78</v>
      </c>
      <c r="AH262" s="10">
        <v>60</v>
      </c>
      <c r="AI262" t="str">
        <f>CONCATENATE(VLOOKUP(AJ262, 'Voxel Sizes'!$A$2:$B$18,2,FALSE),"x",INT(AF262*15), "x", INT(AG262*15))</f>
        <v>198x0x56</v>
      </c>
      <c r="AJ262">
        <f t="shared" ref="AJ262:AJ302" si="85">ROUND(15*((AE262*10)/256),0)</f>
        <v>12</v>
      </c>
      <c r="AL262" t="str">
        <f>CONCATENATE(VLOOKUP(AJ262,Constants!$A$2:$C$16,IF(AK262&lt;&gt;"", 3, 2), FALSE),IF(AK262&lt;&gt;"",CONCATENATE(",",VLOOKUP(AK262,$B:$AL,37,FALSE)),""))</f>
        <v>4,4,4</v>
      </c>
      <c r="AP262" t="s">
        <v>587</v>
      </c>
      <c r="AQ262" t="s">
        <v>588</v>
      </c>
      <c r="AR262" t="s">
        <v>555</v>
      </c>
      <c r="AV262">
        <v>29</v>
      </c>
      <c r="AW262" s="15" t="str">
        <f t="shared" ref="AW262:AW302" si="86">IF(J262&lt;&gt;"",MAX(16,(J262-H262)+8),"")</f>
        <v/>
      </c>
      <c r="AX262">
        <v>-15</v>
      </c>
      <c r="AY262">
        <v>-30</v>
      </c>
      <c r="AZ262">
        <f t="shared" ref="AZ262:AZ302" si="87">MIN(Z262/150, 1)*30</f>
        <v>20</v>
      </c>
      <c r="BA262">
        <f t="shared" ref="BA262:BA302" si="88">MIN(L262/4000, 1)*20</f>
        <v>8</v>
      </c>
      <c r="BB262">
        <f t="shared" ref="BB262:BB302" si="89">MIN(X262/400,1)*20</f>
        <v>8.75</v>
      </c>
      <c r="BC262" s="3">
        <f t="shared" ref="BC262:BC302" si="90">1-(MAX(H262-1900, 0)/750)</f>
        <v>0.86266666666666669</v>
      </c>
      <c r="BD262">
        <f t="shared" ref="BD262:BD302" si="91">((MAX($K262,1)*MIN($AH262/300,1)))*IF(E262="Wagon",50,10)</f>
        <v>8</v>
      </c>
      <c r="BE262">
        <f>VLOOKUP($F262,Constants!$I:$K, 2, FALSE)</f>
        <v>0.85</v>
      </c>
      <c r="BF262">
        <f>VLOOKUP($F262,Constants!$I:$K, 3, FALSE)*IF(AND(E262="multiple_unit",Z262&lt;110),0.75,1)</f>
        <v>1.7999999999999998</v>
      </c>
      <c r="BG262">
        <f>INT(POWER(((Constants!$G$2+$AZ262+$BA262+$BB262+$BD262)*$BC262)*$BF262, 1.05))+$AY262</f>
        <v>66</v>
      </c>
      <c r="BH262">
        <f>INT(POWER((((Constants!$G$1+$AZ262+$BA262+$BB262+$BD262)*($BC262))*$BE262),IF($E262="wagon",1,1.2)))+$AX262</f>
        <v>78</v>
      </c>
      <c r="BI262" s="14">
        <f t="shared" ref="BI262:BI302" si="92">BG262*IF($E262="wagon",62.5,781.25)</f>
        <v>51562.5</v>
      </c>
      <c r="BJ262" s="14">
        <f t="shared" ref="BJ262:BJ302" si="93">BH262*IF($E262="wagon",2.73,81.25)</f>
        <v>6337.5</v>
      </c>
      <c r="BQ262">
        <v>12</v>
      </c>
      <c r="BR262">
        <v>185</v>
      </c>
      <c r="BT262" t="s">
        <v>283</v>
      </c>
      <c r="BU262" t="str">
        <f>VLOOKUP(H262,Eras!$A$2:$C$10, 2, TRUE)</f>
        <v>prv</v>
      </c>
      <c r="BV262" t="s">
        <v>333</v>
      </c>
      <c r="BW262" t="str">
        <f t="shared" ref="BW262:BW302" si="94">CONCATENATE(BU262,"_",BV262)</f>
        <v>prv_EMU</v>
      </c>
      <c r="BX262" t="str">
        <f t="shared" ref="BX262:BX302" si="95">_xlfn.CONCAT(F262, "_",G262)</f>
        <v>dual_electric_DUAL_POWER</v>
      </c>
      <c r="BY262" t="str">
        <f>VLOOKUP($BX262, Constants!$M:$N, 2, FALSE)</f>
        <v>{BLACK}Powered by: {GOLD}25kV AC / 750V DC</v>
      </c>
      <c r="BZ262" t="str">
        <f t="shared" si="82"/>
        <v>{BLACK}Cars: {GOLD}4</v>
      </c>
      <c r="CA262" t="s">
        <v>585</v>
      </c>
      <c r="CB262" t="str">
        <f t="shared" si="83"/>
        <v/>
      </c>
      <c r="CC262" t="str">
        <f t="shared" ref="CC262:CC302" si="96">_xlfn.CONCAT(BY262,IF(BY262 &lt;&gt; "", " ", ""),BZ262,IF(OR(BZ262&lt;&gt;"", BY262&lt;&gt;""), "{}",""), CB262,"{SILVER}", CA262)</f>
        <v>{BLACK}Powered by: {GOLD}25kV AC / 750V DC {BLACK}Cars: {GOLD}4{}{SILVER}The Class 377 is a dual-voltage EMU, and is a common sight around London and South East England.</v>
      </c>
    </row>
    <row r="263" spans="1:81" x14ac:dyDescent="0.25">
      <c r="A263" t="s">
        <v>81</v>
      </c>
      <c r="B263" t="s">
        <v>220</v>
      </c>
      <c r="C263">
        <v>500</v>
      </c>
      <c r="D263">
        <v>170</v>
      </c>
      <c r="E263" t="s">
        <v>404</v>
      </c>
      <c r="F263" t="s">
        <v>296</v>
      </c>
      <c r="G263" t="s">
        <v>303</v>
      </c>
      <c r="H263">
        <v>2003</v>
      </c>
      <c r="I263">
        <v>2006</v>
      </c>
      <c r="K263">
        <v>4</v>
      </c>
      <c r="L263">
        <v>2010</v>
      </c>
      <c r="U263">
        <v>170</v>
      </c>
      <c r="W263">
        <v>5</v>
      </c>
      <c r="X263">
        <v>180</v>
      </c>
      <c r="Y263" s="3">
        <f t="shared" si="84"/>
        <v>0.10588235294117647</v>
      </c>
      <c r="Z263">
        <v>100</v>
      </c>
      <c r="AA263">
        <f t="shared" si="81"/>
        <v>160</v>
      </c>
      <c r="AD263">
        <v>20.399999999999999</v>
      </c>
      <c r="AE263">
        <v>20.399999999999999</v>
      </c>
      <c r="AF263">
        <v>2.8</v>
      </c>
      <c r="AH263" s="10">
        <v>66</v>
      </c>
      <c r="AI263" t="str">
        <f>CONCATENATE(VLOOKUP(AJ263, 'Voxel Sizes'!$A$2:$B$18,2,FALSE),"x",INT(AF263*15), "x", INT(AG263*15))</f>
        <v>198x42x0</v>
      </c>
      <c r="AJ263">
        <f t="shared" si="85"/>
        <v>12</v>
      </c>
      <c r="AL263" t="str">
        <f>CONCATENATE(VLOOKUP(AJ263,Constants!$A$2:$C$16,IF(AK263&lt;&gt;"", 3, 2), FALSE),IF(AK263&lt;&gt;"",CONCATENATE(",",VLOOKUP(AK263,$B:$AL,37,FALSE)),""))</f>
        <v>4,4,4</v>
      </c>
      <c r="AP263" t="s">
        <v>604</v>
      </c>
      <c r="AR263" t="s">
        <v>555</v>
      </c>
      <c r="AV263">
        <v>28</v>
      </c>
      <c r="AW263" s="15" t="str">
        <f t="shared" si="86"/>
        <v/>
      </c>
      <c r="AX263">
        <v>-16</v>
      </c>
      <c r="AY263">
        <v>-28</v>
      </c>
      <c r="AZ263">
        <f t="shared" si="87"/>
        <v>20</v>
      </c>
      <c r="BA263">
        <f t="shared" si="88"/>
        <v>10.049999999999999</v>
      </c>
      <c r="BB263">
        <f t="shared" si="89"/>
        <v>9</v>
      </c>
      <c r="BC263" s="3">
        <f t="shared" si="90"/>
        <v>0.86266666666666669</v>
      </c>
      <c r="BD263">
        <f t="shared" si="91"/>
        <v>8.8000000000000007</v>
      </c>
      <c r="BE263">
        <f>VLOOKUP($F263,Constants!$I:$K, 2, FALSE)</f>
        <v>0.85</v>
      </c>
      <c r="BF263">
        <f>VLOOKUP($F263,Constants!$I:$K, 3, FALSE)*IF(AND(E263="multiple_unit",Z263&lt;110),0.75,1)</f>
        <v>1.7249999999999999</v>
      </c>
      <c r="BG263">
        <f>INT(POWER(((Constants!$G$2+$AZ263+$BA263+$BB263+$BD263)*$BC263)*$BF263, 1.05))+$AY263</f>
        <v>69</v>
      </c>
      <c r="BH263">
        <f>INT(POWER((((Constants!$G$1+$AZ263+$BA263+$BB263+$BD263)*($BC263))*$BE263),IF($E263="wagon",1,1.2)))+$AX263</f>
        <v>83</v>
      </c>
      <c r="BI263" s="14">
        <f t="shared" si="92"/>
        <v>53906.25</v>
      </c>
      <c r="BJ263" s="14">
        <f t="shared" si="93"/>
        <v>6743.75</v>
      </c>
      <c r="BN263" t="s">
        <v>221</v>
      </c>
      <c r="BQ263">
        <v>1</v>
      </c>
      <c r="BR263">
        <v>185</v>
      </c>
      <c r="BT263" t="s">
        <v>283</v>
      </c>
      <c r="BU263" t="str">
        <f>VLOOKUP(H263,Eras!$A$2:$C$10, 2, TRUE)</f>
        <v>prv</v>
      </c>
      <c r="BV263" t="s">
        <v>333</v>
      </c>
      <c r="BW263" t="str">
        <f t="shared" si="94"/>
        <v>prv_EMU</v>
      </c>
      <c r="BX263" t="str">
        <f t="shared" si="95"/>
        <v>electric_THIRD_RAIL</v>
      </c>
      <c r="BY263" t="str">
        <f>VLOOKUP($BX263, Constants!$M:$N, 2, FALSE)</f>
        <v>{BLACK}Powered by: {GOLD}750V DC</v>
      </c>
      <c r="BZ263" t="str">
        <f t="shared" si="82"/>
        <v>{BLACK}Cars: {GOLD}4</v>
      </c>
      <c r="CA263" t="s">
        <v>602</v>
      </c>
      <c r="CB263" t="str">
        <f t="shared" si="83"/>
        <v/>
      </c>
      <c r="CC263" t="str">
        <f t="shared" si="96"/>
        <v>{BLACK}Powered by: {GOLD}750V DC {BLACK}Cars: {GOLD}4{}{SILVER}The Class 450 was designed for South West Trains to replace all slam-door stock. The large order meant the Class 450 became the most numerous type of Desiro unit in the UK.</v>
      </c>
    </row>
    <row r="264" spans="1:81" x14ac:dyDescent="0.25">
      <c r="A264" t="s">
        <v>82</v>
      </c>
      <c r="B264" t="s">
        <v>221</v>
      </c>
      <c r="C264">
        <v>502</v>
      </c>
      <c r="D264">
        <v>171</v>
      </c>
      <c r="E264" t="s">
        <v>404</v>
      </c>
      <c r="F264" t="s">
        <v>296</v>
      </c>
      <c r="G264" t="s">
        <v>303</v>
      </c>
      <c r="H264">
        <v>2004</v>
      </c>
      <c r="K264">
        <v>5</v>
      </c>
      <c r="L264">
        <v>2680</v>
      </c>
      <c r="U264">
        <v>227</v>
      </c>
      <c r="W264">
        <v>5</v>
      </c>
      <c r="X264">
        <v>210</v>
      </c>
      <c r="Y264" s="3">
        <f t="shared" si="84"/>
        <v>9.2511013215859028E-2</v>
      </c>
      <c r="Z264">
        <v>100</v>
      </c>
      <c r="AA264">
        <f t="shared" si="81"/>
        <v>160</v>
      </c>
      <c r="AD264">
        <v>23</v>
      </c>
      <c r="AE264">
        <v>23</v>
      </c>
      <c r="AF264">
        <v>2.8</v>
      </c>
      <c r="AH264" s="10">
        <v>66</v>
      </c>
      <c r="AI264" t="str">
        <f>CONCATENATE(VLOOKUP(AJ264, 'Voxel Sizes'!$A$2:$B$18,2,FALSE),"x",INT(AF264*15), "x", INT(AG264*15))</f>
        <v>214x42x0</v>
      </c>
      <c r="AJ264">
        <f t="shared" si="85"/>
        <v>13</v>
      </c>
      <c r="AL264" t="str">
        <f>CONCATENATE(VLOOKUP(AJ264,Constants!$A$2:$C$16,IF(AK264&lt;&gt;"", 3, 2), FALSE),IF(AK264&lt;&gt;"",CONCATENATE(",",VLOOKUP(AK264,$B:$AL,37,FALSE)),""))</f>
        <v>4,5,4</v>
      </c>
      <c r="AP264" t="s">
        <v>605</v>
      </c>
      <c r="AR264" t="s">
        <v>606</v>
      </c>
      <c r="AV264">
        <v>28</v>
      </c>
      <c r="AW264" s="15" t="str">
        <f t="shared" si="86"/>
        <v/>
      </c>
      <c r="AX264">
        <v>-15</v>
      </c>
      <c r="AY264">
        <v>-35</v>
      </c>
      <c r="AZ264">
        <f t="shared" si="87"/>
        <v>20</v>
      </c>
      <c r="BA264">
        <f t="shared" si="88"/>
        <v>13.4</v>
      </c>
      <c r="BB264">
        <f t="shared" si="89"/>
        <v>10.5</v>
      </c>
      <c r="BC264" s="3">
        <f t="shared" si="90"/>
        <v>0.86133333333333328</v>
      </c>
      <c r="BD264">
        <f t="shared" si="91"/>
        <v>11</v>
      </c>
      <c r="BE264">
        <f>VLOOKUP($F264,Constants!$I:$K, 2, FALSE)</f>
        <v>0.85</v>
      </c>
      <c r="BF264">
        <f>VLOOKUP($F264,Constants!$I:$K, 3, FALSE)*IF(AND(E264="multiple_unit",Z264&lt;110),0.75,1)</f>
        <v>1.7249999999999999</v>
      </c>
      <c r="BG264">
        <f>INT(POWER(((Constants!$G$2+$AZ264+$BA264+$BB264+$BD264)*$BC264)*$BF264, 1.05))+$AY264</f>
        <v>76</v>
      </c>
      <c r="BH264">
        <f>INT(POWER((((Constants!$G$1+$AZ264+$BA264+$BB264+$BD264)*($BC264))*$BE264),IF($E264="wagon",1,1.2)))+$AX264</f>
        <v>97</v>
      </c>
      <c r="BI264" s="14">
        <f t="shared" si="92"/>
        <v>59375</v>
      </c>
      <c r="BJ264" s="14">
        <f t="shared" si="93"/>
        <v>7881.25</v>
      </c>
      <c r="BN264" t="s">
        <v>220</v>
      </c>
      <c r="BP264" t="s">
        <v>1146</v>
      </c>
      <c r="BQ264">
        <v>3</v>
      </c>
      <c r="BR264">
        <v>205</v>
      </c>
      <c r="BT264" t="s">
        <v>283</v>
      </c>
      <c r="BU264" t="str">
        <f>VLOOKUP(H264,Eras!$A$2:$C$10, 2, TRUE)</f>
        <v>prv</v>
      </c>
      <c r="BV264" t="s">
        <v>334</v>
      </c>
      <c r="BW264" t="str">
        <f t="shared" si="94"/>
        <v>prv_EMU (Express)</v>
      </c>
      <c r="BX264" t="str">
        <f t="shared" si="95"/>
        <v>electric_THIRD_RAIL</v>
      </c>
      <c r="BY264" t="str">
        <f>VLOOKUP($BX264, Constants!$M:$N, 2, FALSE)</f>
        <v>{BLACK}Powered by: {GOLD}750V DC</v>
      </c>
      <c r="BZ264" t="str">
        <f t="shared" si="82"/>
        <v>{BLACK}Cars: {GOLD}5</v>
      </c>
      <c r="CA264" t="s">
        <v>603</v>
      </c>
      <c r="CB264" t="str">
        <f t="shared" si="83"/>
        <v>{YELLOW}10% Bonus for long distance travel{}</v>
      </c>
      <c r="CC264" t="str">
        <f t="shared" si="9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5" spans="1:81" x14ac:dyDescent="0.25">
      <c r="A265" t="s">
        <v>82</v>
      </c>
      <c r="B265" t="s">
        <v>1137</v>
      </c>
      <c r="C265">
        <v>503</v>
      </c>
      <c r="D265">
        <v>172</v>
      </c>
      <c r="E265" t="s">
        <v>404</v>
      </c>
      <c r="F265" t="s">
        <v>296</v>
      </c>
      <c r="G265" t="s">
        <v>303</v>
      </c>
      <c r="H265">
        <v>2004</v>
      </c>
      <c r="K265">
        <v>4</v>
      </c>
      <c r="L265">
        <v>2680</v>
      </c>
      <c r="U265">
        <f>227/5*4</f>
        <v>181.6</v>
      </c>
      <c r="W265">
        <v>5</v>
      </c>
      <c r="X265">
        <v>210</v>
      </c>
      <c r="Y265" s="3">
        <f t="shared" si="84"/>
        <v>0.11563876651982379</v>
      </c>
      <c r="Z265">
        <v>100</v>
      </c>
      <c r="AA265">
        <f t="shared" si="81"/>
        <v>160</v>
      </c>
      <c r="AD265">
        <v>23</v>
      </c>
      <c r="AE265">
        <v>23</v>
      </c>
      <c r="AF265">
        <v>2.8</v>
      </c>
      <c r="AH265" s="10">
        <v>66</v>
      </c>
      <c r="AI265" t="str">
        <f>CONCATENATE(VLOOKUP(AJ265, 'Voxel Sizes'!$A$2:$B$18,2,FALSE),"x",INT(AF265*15), "x", INT(AG265*15))</f>
        <v>214x42x0</v>
      </c>
      <c r="AJ265">
        <f t="shared" si="85"/>
        <v>13</v>
      </c>
      <c r="AL265" t="str">
        <f>CONCATENATE(VLOOKUP(AJ265,Constants!$A$2:$C$16,IF(AK265&lt;&gt;"", 3, 2), FALSE),IF(AK265&lt;&gt;"",CONCATENATE(",",VLOOKUP(AK265,$B:$AL,37,FALSE)),""))</f>
        <v>4,5,4</v>
      </c>
      <c r="AP265" t="s">
        <v>1138</v>
      </c>
      <c r="AR265" t="s">
        <v>1126</v>
      </c>
      <c r="AS265" t="s">
        <v>221</v>
      </c>
      <c r="AV265">
        <v>28</v>
      </c>
      <c r="AW265" s="15" t="str">
        <f t="shared" si="86"/>
        <v/>
      </c>
      <c r="AX265">
        <v>-15</v>
      </c>
      <c r="AY265">
        <v>-35</v>
      </c>
      <c r="AZ265">
        <f t="shared" si="87"/>
        <v>20</v>
      </c>
      <c r="BA265">
        <f t="shared" si="88"/>
        <v>13.4</v>
      </c>
      <c r="BB265">
        <f t="shared" si="89"/>
        <v>10.5</v>
      </c>
      <c r="BC265" s="3">
        <f t="shared" si="90"/>
        <v>0.86133333333333328</v>
      </c>
      <c r="BD265">
        <f t="shared" si="91"/>
        <v>8.8000000000000007</v>
      </c>
      <c r="BE265">
        <f>VLOOKUP($F265,Constants!$I:$K, 2, FALSE)</f>
        <v>0.85</v>
      </c>
      <c r="BF265">
        <f>VLOOKUP($F265,Constants!$I:$K, 3, FALSE)*IF(AND(E265="multiple_unit",Z265&lt;110),0.75,1)</f>
        <v>1.7249999999999999</v>
      </c>
      <c r="BG265">
        <f>INT(POWER(((Constants!$G$2+$AZ265+$BA265+$BB265+$BD265)*$BC265)*$BF265, 1.05))+$AY265</f>
        <v>72</v>
      </c>
      <c r="BH265">
        <f>INT(POWER((((Constants!$G$1+$AZ265+$BA265+$BB265+$BD265)*($BC265))*$BE265),IF($E265="wagon",1,1.2)))+$AX265</f>
        <v>93</v>
      </c>
      <c r="BI265" s="14">
        <f t="shared" si="92"/>
        <v>56250</v>
      </c>
      <c r="BJ265" s="14">
        <f t="shared" si="93"/>
        <v>7556.25</v>
      </c>
      <c r="BN265" t="s">
        <v>220</v>
      </c>
      <c r="BP265" t="s">
        <v>1148</v>
      </c>
      <c r="BQ265">
        <v>4</v>
      </c>
      <c r="BR265">
        <v>205</v>
      </c>
      <c r="BT265" t="s">
        <v>283</v>
      </c>
      <c r="BU265" t="str">
        <f>VLOOKUP(H265,Eras!$A$2:$C$10, 2, TRUE)</f>
        <v>prv</v>
      </c>
      <c r="BV265" t="s">
        <v>334</v>
      </c>
      <c r="BW265" t="str">
        <f t="shared" si="94"/>
        <v>prv_EMU (Express)</v>
      </c>
      <c r="BX265" t="str">
        <f t="shared" si="95"/>
        <v>electric_THIRD_RAIL</v>
      </c>
      <c r="BY265" t="str">
        <f>VLOOKUP($BX265, Constants!$M:$N, 2, FALSE)</f>
        <v>{BLACK}Powered by: {GOLD}750V DC</v>
      </c>
      <c r="BZ265" t="str">
        <f t="shared" si="82"/>
        <v>{BLACK}Cars: {GOLD}4</v>
      </c>
      <c r="CA265" t="s">
        <v>603</v>
      </c>
      <c r="CB265" t="str">
        <f t="shared" si="83"/>
        <v>{YELLOW}10% Bonus for long distance travel{}</v>
      </c>
      <c r="CC265" t="str">
        <f t="shared" si="9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6" spans="1:81" x14ac:dyDescent="0.25">
      <c r="A266" t="s">
        <v>1310</v>
      </c>
      <c r="B266" t="s">
        <v>1311</v>
      </c>
      <c r="C266">
        <v>505</v>
      </c>
      <c r="D266">
        <v>173</v>
      </c>
      <c r="E266" t="s">
        <v>404</v>
      </c>
      <c r="F266" t="s">
        <v>1312</v>
      </c>
      <c r="G266" t="s">
        <v>275</v>
      </c>
      <c r="H266">
        <v>2009</v>
      </c>
      <c r="K266">
        <v>1</v>
      </c>
      <c r="L266">
        <v>86</v>
      </c>
      <c r="U266">
        <v>12</v>
      </c>
      <c r="W266">
        <v>5</v>
      </c>
      <c r="X266">
        <v>35</v>
      </c>
      <c r="Y266" s="3">
        <f t="shared" si="84"/>
        <v>0.29166666666666669</v>
      </c>
      <c r="Z266">
        <v>35</v>
      </c>
      <c r="AA266">
        <f t="shared" si="81"/>
        <v>56</v>
      </c>
      <c r="AD266">
        <v>9.6</v>
      </c>
      <c r="AE266">
        <v>9.6</v>
      </c>
      <c r="AF266">
        <v>2.4</v>
      </c>
      <c r="AG266">
        <v>3.2</v>
      </c>
      <c r="AH266" s="10">
        <v>42</v>
      </c>
      <c r="AI266" t="str">
        <f>CONCATENATE(VLOOKUP(AJ266, 'Voxel Sizes'!$A$2:$B$18,2,FALSE),"x",INT(AF266*15), "x", INT(AG266*15))</f>
        <v>102x36x48</v>
      </c>
      <c r="AJ266">
        <f t="shared" si="85"/>
        <v>6</v>
      </c>
      <c r="AL266" t="str">
        <f>CONCATENATE(VLOOKUP(AJ266,Constants!$A$2:$C$16,IF(AK266&lt;&gt;"", 3, 2), FALSE),IF(AK266&lt;&gt;"",CONCATENATE(",",VLOOKUP(AK266,$B:$AL,37,FALSE)),""))</f>
        <v>2,2,2</v>
      </c>
      <c r="AP266" t="s">
        <v>1311</v>
      </c>
      <c r="AR266">
        <v>1</v>
      </c>
      <c r="AV266">
        <v>28</v>
      </c>
      <c r="AW266" s="15" t="str">
        <f t="shared" si="86"/>
        <v/>
      </c>
      <c r="AZ266">
        <f t="shared" si="87"/>
        <v>7</v>
      </c>
      <c r="BA266">
        <f t="shared" si="88"/>
        <v>0.42999999999999994</v>
      </c>
      <c r="BB266">
        <f t="shared" si="89"/>
        <v>1.75</v>
      </c>
      <c r="BC266" s="3">
        <f t="shared" si="90"/>
        <v>0.85466666666666669</v>
      </c>
      <c r="BD266">
        <f t="shared" si="91"/>
        <v>1.4000000000000001</v>
      </c>
      <c r="BE266">
        <f>VLOOKUP($F266,Constants!$I:$K, 2, FALSE)</f>
        <v>0.98</v>
      </c>
      <c r="BF266">
        <f>VLOOKUP($F266,Constants!$I:$K, 3, FALSE)*IF(AND(E266="multiple_unit",Z266&lt;110),0.75,1)</f>
        <v>1.41</v>
      </c>
      <c r="BG266">
        <f>INT(POWER(((Constants!$G$2+$AZ266+$BA266+$BB266+$BD266)*$BC266)*$BF266, 1.05))+$AY266</f>
        <v>21</v>
      </c>
      <c r="BH266">
        <f>INT(POWER((((Constants!$G$1+$AZ266+$BA266+$BB266+$BD266)*($BC266))*$BE266),IF($E266="wagon",1,1.2)))+$AX266</f>
        <v>39</v>
      </c>
      <c r="BI266" s="14">
        <f t="shared" si="92"/>
        <v>16406.25</v>
      </c>
      <c r="BJ266" s="14">
        <f t="shared" si="93"/>
        <v>3168.75</v>
      </c>
      <c r="BQ266">
        <v>6</v>
      </c>
      <c r="BT266" t="s">
        <v>283</v>
      </c>
      <c r="BU266" t="str">
        <f>VLOOKUP(H266,Eras!$A$2:$C$10, 2, TRUE)</f>
        <v>mod</v>
      </c>
      <c r="BV266" t="s">
        <v>330</v>
      </c>
      <c r="BW266" t="str">
        <f t="shared" si="94"/>
        <v>mod_DMU (Cheap)</v>
      </c>
      <c r="BX266" t="str">
        <f t="shared" si="95"/>
        <v>lpgflywheel_RAIL</v>
      </c>
      <c r="BY266" t="str">
        <f>VLOOKUP($BX266, Constants!$M:$N, 2, FALSE)</f>
        <v>{BLACK}Powered by: {GOLD}LPG / Flywheel</v>
      </c>
      <c r="CA266" t="s">
        <v>1315</v>
      </c>
      <c r="CC266" t="str">
        <f t="shared" si="96"/>
        <v>{BLACK}Powered by: {GOLD}LPG / Flywheel {}{SILVER}The Parry People Mover PPM60 uses a small LPG engine with a flywheel to capture energy from braking. The units are currently used on the Stourbridge Town Branch Line, where they are limited to 20mph.</v>
      </c>
    </row>
    <row r="267" spans="1:81" x14ac:dyDescent="0.25">
      <c r="A267" t="s">
        <v>75</v>
      </c>
      <c r="B267" t="s">
        <v>243</v>
      </c>
      <c r="C267">
        <v>506</v>
      </c>
      <c r="D267">
        <v>174</v>
      </c>
      <c r="E267" t="s">
        <v>404</v>
      </c>
      <c r="F267" t="s">
        <v>552</v>
      </c>
      <c r="G267" t="s">
        <v>551</v>
      </c>
      <c r="H267">
        <v>2007</v>
      </c>
      <c r="I267">
        <v>2009</v>
      </c>
      <c r="K267">
        <v>6</v>
      </c>
      <c r="L267">
        <f>16*280</f>
        <v>4480</v>
      </c>
      <c r="M267" s="8">
        <v>2800</v>
      </c>
      <c r="U267">
        <v>265</v>
      </c>
      <c r="W267">
        <v>4</v>
      </c>
      <c r="X267">
        <v>210</v>
      </c>
      <c r="Y267" s="3">
        <f t="shared" si="84"/>
        <v>7.9245283018867921E-2</v>
      </c>
      <c r="Z267">
        <v>157</v>
      </c>
      <c r="AA267">
        <f t="shared" si="81"/>
        <v>251</v>
      </c>
      <c r="AD267">
        <v>20.88</v>
      </c>
      <c r="AE267">
        <v>20.88</v>
      </c>
      <c r="AG267">
        <v>3.82</v>
      </c>
      <c r="AH267" s="10">
        <v>57</v>
      </c>
      <c r="AI267" t="str">
        <f>CONCATENATE(VLOOKUP(AJ267, 'Voxel Sizes'!$A$2:$B$18,2,FALSE),"x",INT(AF267*15), "x", INT(AG267*15))</f>
        <v>198x0x57</v>
      </c>
      <c r="AJ267">
        <f t="shared" si="85"/>
        <v>12</v>
      </c>
      <c r="AL267" t="str">
        <f>CONCATENATE(VLOOKUP(AJ267,Constants!$A$2:$C$16,IF(AK267&lt;&gt;"", 3, 2), FALSE),IF(AK267&lt;&gt;"",CONCATENATE(",",VLOOKUP(AK267,$B:$AL,37,FALSE)),""))</f>
        <v>4,4,4</v>
      </c>
      <c r="AP267" t="s">
        <v>1277</v>
      </c>
      <c r="AR267" t="s">
        <v>527</v>
      </c>
      <c r="AV267">
        <v>30</v>
      </c>
      <c r="AW267" s="15" t="str">
        <f t="shared" si="86"/>
        <v/>
      </c>
      <c r="AX267">
        <v>-15</v>
      </c>
      <c r="AY267">
        <v>-30</v>
      </c>
      <c r="AZ267">
        <f t="shared" si="87"/>
        <v>30</v>
      </c>
      <c r="BA267">
        <f t="shared" si="88"/>
        <v>20</v>
      </c>
      <c r="BB267">
        <f t="shared" si="89"/>
        <v>10.5</v>
      </c>
      <c r="BC267" s="3">
        <f t="shared" si="90"/>
        <v>0.85733333333333328</v>
      </c>
      <c r="BD267">
        <f t="shared" si="91"/>
        <v>11.400000000000002</v>
      </c>
      <c r="BE267">
        <f>VLOOKUP($F267,Constants!$I:$K, 2, FALSE)</f>
        <v>0.85</v>
      </c>
      <c r="BF267">
        <f>VLOOKUP($F267,Constants!$I:$K, 3, FALSE)*IF(AND(E267="multiple_unit",Z267&lt;110),0.75,1)</f>
        <v>2.4</v>
      </c>
      <c r="BG267">
        <f>INT(POWER(((Constants!$G$2+$AZ267+$BA267+$BB267+$BD267)*$BC267)*$BF267, 1.05))+$AY267</f>
        <v>173</v>
      </c>
      <c r="BH267">
        <f>INT(POWER((((Constants!$G$1+$AZ267+$BA267+$BB267+$BD267)*($BC267))*$BE267),IF($E267="wagon",1,1.2)))+$AX267</f>
        <v>130</v>
      </c>
      <c r="BI267" s="14">
        <f t="shared" si="92"/>
        <v>135156.25</v>
      </c>
      <c r="BJ267" s="14">
        <f t="shared" si="93"/>
        <v>10562.5</v>
      </c>
      <c r="BP267" t="s">
        <v>1146</v>
      </c>
      <c r="BQ267">
        <v>5</v>
      </c>
      <c r="BR267">
        <v>205</v>
      </c>
      <c r="BT267" t="s">
        <v>283</v>
      </c>
      <c r="BU267" t="str">
        <f>VLOOKUP(H267,Eras!$A$2:$C$10, 2, TRUE)</f>
        <v>mod</v>
      </c>
      <c r="BV267" t="s">
        <v>334</v>
      </c>
      <c r="BW267" t="str">
        <f t="shared" si="94"/>
        <v>mod_EMU (Express)</v>
      </c>
      <c r="BX267" t="str">
        <f t="shared" si="95"/>
        <v>dual_electric_DUAL_POWER</v>
      </c>
      <c r="BY267" t="str">
        <f>VLOOKUP($BX267, Constants!$M:$N, 2, FALSE)</f>
        <v>{BLACK}Powered by: {GOLD}25kV AC / 750V DC</v>
      </c>
      <c r="BZ267" t="str">
        <f t="shared" ref="BZ267:BZ302" si="97">IF(K267&gt;1,_xlfn.CONCAT("{BLACK}Cars: {GOLD}", K267),"")</f>
        <v>{BLACK}Cars: {GOLD}6</v>
      </c>
      <c r="CA267" t="s">
        <v>1280</v>
      </c>
      <c r="CB267" t="str">
        <f t="shared" ref="CB267:CB302" si="98">IF(BT267="BRAKE","{YELLOW}Speed bonus for slow wagons{}",IF(BR267&gt;190,CONCATENATE("{YELLOW}",INT((BR267-185)/1.85),"% Bonus for long distance travel{}"),IF(AND(BR267&lt;180,BR267&lt;&gt;0),CONCATENATE("{YELLOW}",INT((185-BR267)/1.85),"% Penalty for long distance travel{}"),"")))</f>
        <v>{YELLOW}10% Bonus for long distance travel{}</v>
      </c>
      <c r="CC267" t="str">
        <f t="shared" si="96"/>
        <v>{BLACK}Powered by: {GOLD}25kV AC / 750V DC {BLACK}Cars: {GOLD}6{}{YELLOW}10% Bonus for long distance travel{}{SILVER}The Class 395 is a dedicated high speed unit built for the HS1 high speed route. It is part of Hitachi's AT300 series.</v>
      </c>
    </row>
    <row r="268" spans="1:81" x14ac:dyDescent="0.25">
      <c r="A268" t="s">
        <v>75</v>
      </c>
      <c r="B268" t="s">
        <v>1306</v>
      </c>
      <c r="C268">
        <v>507</v>
      </c>
      <c r="D268">
        <v>175</v>
      </c>
      <c r="E268" t="s">
        <v>404</v>
      </c>
      <c r="F268" t="s">
        <v>552</v>
      </c>
      <c r="G268" t="s">
        <v>551</v>
      </c>
      <c r="H268">
        <v>2007</v>
      </c>
      <c r="I268">
        <v>2009</v>
      </c>
      <c r="K268">
        <v>5</v>
      </c>
      <c r="L268">
        <f>16*280</f>
        <v>4480</v>
      </c>
      <c r="M268" s="8">
        <v>2800</v>
      </c>
      <c r="U268">
        <v>265</v>
      </c>
      <c r="W268">
        <v>4</v>
      </c>
      <c r="X268">
        <v>210</v>
      </c>
      <c r="Y268" s="3">
        <f t="shared" si="84"/>
        <v>7.9245283018867921E-2</v>
      </c>
      <c r="Z268">
        <v>157</v>
      </c>
      <c r="AA268">
        <f t="shared" si="81"/>
        <v>251</v>
      </c>
      <c r="AD268">
        <v>20.88</v>
      </c>
      <c r="AE268">
        <v>20.88</v>
      </c>
      <c r="AG268">
        <v>3.82</v>
      </c>
      <c r="AH268" s="10">
        <v>57</v>
      </c>
      <c r="AI268" t="str">
        <f>CONCATENATE(VLOOKUP(AJ268, 'Voxel Sizes'!$A$2:$B$18,2,FALSE),"x",INT(AF268*15), "x", INT(AG268*15))</f>
        <v>198x0x57</v>
      </c>
      <c r="AJ268">
        <f t="shared" si="85"/>
        <v>12</v>
      </c>
      <c r="AL268" t="str">
        <f>CONCATENATE(VLOOKUP(AJ268,Constants!$A$2:$C$16,IF(AK268&lt;&gt;"", 3, 2), FALSE),IF(AK268&lt;&gt;"",CONCATENATE(",",VLOOKUP(AK268,$B:$AL,37,FALSE)),""))</f>
        <v>4,4,4</v>
      </c>
      <c r="AP268" t="s">
        <v>1307</v>
      </c>
      <c r="AR268" t="s">
        <v>664</v>
      </c>
      <c r="AS268" t="s">
        <v>243</v>
      </c>
      <c r="AV268">
        <v>30</v>
      </c>
      <c r="AW268" s="15" t="str">
        <f t="shared" si="86"/>
        <v/>
      </c>
      <c r="AX268">
        <v>-15</v>
      </c>
      <c r="AY268">
        <v>-30</v>
      </c>
      <c r="AZ268">
        <f t="shared" si="87"/>
        <v>30</v>
      </c>
      <c r="BA268">
        <f t="shared" si="88"/>
        <v>20</v>
      </c>
      <c r="BB268">
        <f t="shared" si="89"/>
        <v>10.5</v>
      </c>
      <c r="BC268" s="3">
        <f t="shared" si="90"/>
        <v>0.85733333333333328</v>
      </c>
      <c r="BD268">
        <f t="shared" si="91"/>
        <v>9.5</v>
      </c>
      <c r="BE268">
        <f>VLOOKUP($F268,Constants!$I:$K, 2, FALSE)</f>
        <v>0.85</v>
      </c>
      <c r="BF268">
        <f>VLOOKUP($F268,Constants!$I:$K, 3, FALSE)*IF(AND(E268="multiple_unit",Z268&lt;110),0.75,1)</f>
        <v>2.4</v>
      </c>
      <c r="BG268">
        <f>INT(POWER(((Constants!$G$2+$AZ268+$BA268+$BB268+$BD268)*$BC268)*$BF268, 1.05))+$AY268</f>
        <v>168</v>
      </c>
      <c r="BH268">
        <f>INT(POWER((((Constants!$G$1+$AZ268+$BA268+$BB268+$BD268)*($BC268))*$BE268),IF($E268="wagon",1,1.2)))+$AX268</f>
        <v>126</v>
      </c>
      <c r="BI268" s="14">
        <f t="shared" si="92"/>
        <v>131250</v>
      </c>
      <c r="BJ268" s="14">
        <f t="shared" si="93"/>
        <v>10237.5</v>
      </c>
      <c r="BP268" t="s">
        <v>1148</v>
      </c>
      <c r="BQ268">
        <v>5</v>
      </c>
      <c r="BR268">
        <v>205</v>
      </c>
      <c r="BT268" t="s">
        <v>283</v>
      </c>
      <c r="BU268" t="str">
        <f>VLOOKUP(H268,Eras!$A$2:$C$10, 2, TRUE)</f>
        <v>mod</v>
      </c>
      <c r="BV268" t="s">
        <v>334</v>
      </c>
      <c r="BW268" t="str">
        <f t="shared" si="94"/>
        <v>mod_EMU (Express)</v>
      </c>
      <c r="BX268" t="str">
        <f t="shared" si="95"/>
        <v>dual_electric_DUAL_POWER</v>
      </c>
      <c r="BY268" t="str">
        <f>VLOOKUP($BX268, Constants!$M:$N, 2, FALSE)</f>
        <v>{BLACK}Powered by: {GOLD}25kV AC / 750V DC</v>
      </c>
      <c r="BZ268" t="str">
        <f t="shared" si="97"/>
        <v>{BLACK}Cars: {GOLD}5</v>
      </c>
      <c r="CA268" t="s">
        <v>1280</v>
      </c>
      <c r="CB268" t="str">
        <f t="shared" si="98"/>
        <v>{YELLOW}10% Bonus for long distance travel{}</v>
      </c>
      <c r="CC268" t="str">
        <f t="shared" si="96"/>
        <v>{BLACK}Powered by: {GOLD}25kV AC / 750V DC {BLACK}Cars: {GOLD}5{}{YELLOW}10% Bonus for long distance travel{}{SILVER}The Class 395 is a dedicated high speed unit built for the HS1 high speed route. It is part of Hitachi's AT300 series.</v>
      </c>
    </row>
    <row r="269" spans="1:81" x14ac:dyDescent="0.25">
      <c r="A269" t="s">
        <v>80</v>
      </c>
      <c r="B269" t="s">
        <v>219</v>
      </c>
      <c r="C269">
        <v>508</v>
      </c>
      <c r="D269">
        <v>176</v>
      </c>
      <c r="E269" t="s">
        <v>404</v>
      </c>
      <c r="F269" t="s">
        <v>552</v>
      </c>
      <c r="G269" t="s">
        <v>551</v>
      </c>
      <c r="H269">
        <v>2009</v>
      </c>
      <c r="K269">
        <v>5</v>
      </c>
      <c r="L269">
        <f>800*2</f>
        <v>1600</v>
      </c>
      <c r="U269">
        <v>212.8</v>
      </c>
      <c r="W269">
        <v>7</v>
      </c>
      <c r="X269">
        <v>180</v>
      </c>
      <c r="Y269" s="3">
        <f t="shared" si="84"/>
        <v>8.4586466165413529E-2</v>
      </c>
      <c r="Z269">
        <v>75</v>
      </c>
      <c r="AA269">
        <f t="shared" si="81"/>
        <v>120</v>
      </c>
      <c r="AD269">
        <v>20.399999999999999</v>
      </c>
      <c r="AE269">
        <v>20.399999999999999</v>
      </c>
      <c r="AF269">
        <v>2.8</v>
      </c>
      <c r="AG269">
        <v>3.78</v>
      </c>
      <c r="AH269" s="10">
        <v>90</v>
      </c>
      <c r="AI269" t="str">
        <f>CONCATENATE(VLOOKUP(AJ269, 'Voxel Sizes'!$A$2:$B$18,2,FALSE),"x",INT(AF269*15), "x", INT(AG269*15))</f>
        <v>198x42x56</v>
      </c>
      <c r="AJ269">
        <f t="shared" si="85"/>
        <v>12</v>
      </c>
      <c r="AL269" t="str">
        <f>CONCATENATE(VLOOKUP(AJ269,Constants!$A$2:$C$16,IF(AK269&lt;&gt;"", 3, 2), FALSE),IF(AK269&lt;&gt;"",CONCATENATE(",",VLOOKUP(AK269,$B:$AL,37,FALSE)),""))</f>
        <v>4,4,4</v>
      </c>
      <c r="AP269" t="s">
        <v>599</v>
      </c>
      <c r="AQ269" t="s">
        <v>600</v>
      </c>
      <c r="AR269" t="s">
        <v>601</v>
      </c>
      <c r="AV269">
        <v>30</v>
      </c>
      <c r="AW269" s="15" t="str">
        <f t="shared" si="86"/>
        <v/>
      </c>
      <c r="AX269">
        <v>-15</v>
      </c>
      <c r="AY269">
        <v>-35</v>
      </c>
      <c r="AZ269">
        <f t="shared" si="87"/>
        <v>15</v>
      </c>
      <c r="BA269">
        <f t="shared" si="88"/>
        <v>8</v>
      </c>
      <c r="BB269">
        <f t="shared" si="89"/>
        <v>9</v>
      </c>
      <c r="BC269" s="3">
        <f t="shared" si="90"/>
        <v>0.85466666666666669</v>
      </c>
      <c r="BD269">
        <f t="shared" si="91"/>
        <v>15</v>
      </c>
      <c r="BE269">
        <f>VLOOKUP($F269,Constants!$I:$K, 2, FALSE)</f>
        <v>0.85</v>
      </c>
      <c r="BF269">
        <f>VLOOKUP($F269,Constants!$I:$K, 3, FALSE)*IF(AND(E269="multiple_unit",Z269&lt;110),0.75,1)</f>
        <v>1.7999999999999998</v>
      </c>
      <c r="BG269">
        <f>INT(POWER(((Constants!$G$2+$AZ269+$BA269+$BB269+$BD269)*$BC269)*$BF269, 1.05))+$AY269</f>
        <v>64</v>
      </c>
      <c r="BH269">
        <f>INT(POWER((((Constants!$G$1+$AZ269+$BA269+$BB269+$BD269)*($BC269))*$BE269),IF($E269="wagon",1,1.2)))+$AX269</f>
        <v>81</v>
      </c>
      <c r="BI269" s="14">
        <f t="shared" si="92"/>
        <v>50000</v>
      </c>
      <c r="BJ269" s="14">
        <f t="shared" si="93"/>
        <v>6581.25</v>
      </c>
      <c r="BQ269">
        <v>6</v>
      </c>
      <c r="BR269">
        <v>165</v>
      </c>
      <c r="BT269" t="s">
        <v>283</v>
      </c>
      <c r="BU269" t="str">
        <f>VLOOKUP(H269,Eras!$A$2:$C$10, 2, TRUE)</f>
        <v>mod</v>
      </c>
      <c r="BV269" t="s">
        <v>333</v>
      </c>
      <c r="BW269" t="str">
        <f t="shared" si="94"/>
        <v>mod_EMU</v>
      </c>
      <c r="BX269" t="str">
        <f t="shared" si="95"/>
        <v>dual_electric_DUAL_POWER</v>
      </c>
      <c r="BY269" t="str">
        <f>VLOOKUP($BX269, Constants!$M:$N, 2, FALSE)</f>
        <v>{BLACK}Powered by: {GOLD}25kV AC / 750V DC</v>
      </c>
      <c r="BZ269" t="str">
        <f t="shared" si="97"/>
        <v>{BLACK}Cars: {GOLD}5</v>
      </c>
      <c r="CA269" t="s">
        <v>598</v>
      </c>
      <c r="CB269" t="str">
        <f t="shared" si="98"/>
        <v>{YELLOW}10% Penalty for long distance travel{}</v>
      </c>
      <c r="CC269" t="str">
        <f t="shared" si="9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0" spans="1:81" x14ac:dyDescent="0.25">
      <c r="A270" t="s">
        <v>1272</v>
      </c>
      <c r="B270" t="s">
        <v>1273</v>
      </c>
      <c r="C270">
        <v>509</v>
      </c>
      <c r="D270">
        <v>177</v>
      </c>
      <c r="E270" t="s">
        <v>404</v>
      </c>
      <c r="F270" t="s">
        <v>541</v>
      </c>
      <c r="G270" t="s">
        <v>297</v>
      </c>
      <c r="H270">
        <v>2017</v>
      </c>
      <c r="K270">
        <v>5</v>
      </c>
      <c r="L270">
        <v>3200</v>
      </c>
      <c r="M270" s="8">
        <v>2250</v>
      </c>
      <c r="U270">
        <v>243</v>
      </c>
      <c r="W270">
        <v>5</v>
      </c>
      <c r="X270">
        <v>195</v>
      </c>
      <c r="Y270" s="3">
        <f t="shared" si="84"/>
        <v>8.0246913580246909E-2</v>
      </c>
      <c r="Z270">
        <v>140</v>
      </c>
      <c r="AA270">
        <f t="shared" si="81"/>
        <v>224</v>
      </c>
      <c r="AD270">
        <v>26</v>
      </c>
      <c r="AE270">
        <v>24</v>
      </c>
      <c r="AH270" s="10">
        <v>66</v>
      </c>
      <c r="AI270" t="str">
        <f>CONCATENATE(VLOOKUP(AJ270, 'Voxel Sizes'!$A$2:$B$18,2,FALSE),"x",INT(AF270*15), "x", INT(AG270*15))</f>
        <v>238x0x0</v>
      </c>
      <c r="AJ270">
        <f t="shared" si="85"/>
        <v>14</v>
      </c>
      <c r="AL270" t="str">
        <f>CONCATENATE(VLOOKUP(AJ270,Constants!$A$2:$C$16,IF(AK270&lt;&gt;"", 3, 2), FALSE),IF(AK270&lt;&gt;"",CONCATENATE(",",VLOOKUP(AK270,$B:$AL,37,FALSE)),""))</f>
        <v>4,6,4</v>
      </c>
      <c r="AM270">
        <v>12</v>
      </c>
      <c r="AP270" t="s">
        <v>1274</v>
      </c>
      <c r="AQ270" t="s">
        <v>1275</v>
      </c>
      <c r="AR270" t="s">
        <v>606</v>
      </c>
      <c r="AV270">
        <v>30</v>
      </c>
      <c r="AW270" s="15" t="str">
        <f t="shared" si="86"/>
        <v/>
      </c>
      <c r="AX270">
        <v>-15</v>
      </c>
      <c r="AY270">
        <v>-30</v>
      </c>
      <c r="AZ270">
        <f t="shared" si="87"/>
        <v>28</v>
      </c>
      <c r="BA270">
        <f t="shared" si="88"/>
        <v>16</v>
      </c>
      <c r="BB270">
        <f t="shared" si="89"/>
        <v>9.75</v>
      </c>
      <c r="BC270" s="3">
        <f t="shared" si="90"/>
        <v>0.84399999999999997</v>
      </c>
      <c r="BD270">
        <f t="shared" si="91"/>
        <v>11</v>
      </c>
      <c r="BE270">
        <f>VLOOKUP($F270,Constants!$I:$K, 2, FALSE)</f>
        <v>0.9</v>
      </c>
      <c r="BF270">
        <f>VLOOKUP($F270,Constants!$I:$K, 3, FALSE)*IF(AND(E270="multiple_unit",Z270&lt;110),0.75,1)</f>
        <v>2.5</v>
      </c>
      <c r="BG270">
        <f>INT(POWER(((Constants!$G$2+$AZ270+$BA270+$BB270+$BD270)*$BC270)*$BF270, 1.05))+$AY270</f>
        <v>158</v>
      </c>
      <c r="BH270">
        <f>INT(POWER((((Constants!$G$1+$AZ270+$BA270+$BB270+$BD270)*($BC270))*$BE270),IF($E270="wagon",1,1.2)))+$AX270</f>
        <v>122</v>
      </c>
      <c r="BI270" s="14">
        <f t="shared" si="92"/>
        <v>123437.5</v>
      </c>
      <c r="BJ270" s="14">
        <f t="shared" si="93"/>
        <v>9912.5</v>
      </c>
      <c r="BP270" t="s">
        <v>1146</v>
      </c>
      <c r="BQ270">
        <v>10</v>
      </c>
      <c r="BR270">
        <v>222</v>
      </c>
      <c r="BT270" t="s">
        <v>283</v>
      </c>
      <c r="BU270" t="str">
        <f>VLOOKUP(H270,Eras!$A$2:$C$10, 2, TRUE)</f>
        <v>mod</v>
      </c>
      <c r="BV270" t="s">
        <v>334</v>
      </c>
      <c r="BW270" t="str">
        <f t="shared" si="94"/>
        <v>mod_EMU (Express)</v>
      </c>
      <c r="BX270" t="str">
        <f t="shared" si="95"/>
        <v>dual_power_ELRL</v>
      </c>
      <c r="BY270" t="str">
        <f>VLOOKUP($BX270, Constants!$M:$N, 2, FALSE)</f>
        <v>{BLACK}Powered by: {GOLD}25kV AC / Diesel</v>
      </c>
      <c r="BZ270" t="str">
        <f t="shared" si="97"/>
        <v>{BLACK}Cars: {GOLD}5</v>
      </c>
      <c r="CA270" t="s">
        <v>1276</v>
      </c>
      <c r="CB270" t="str">
        <f t="shared" si="98"/>
        <v>{YELLOW}20% Bonus for long distance travel{}</v>
      </c>
      <c r="CC270" t="str">
        <f t="shared" si="9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1" spans="1:81" x14ac:dyDescent="0.25">
      <c r="A271" t="s">
        <v>90</v>
      </c>
      <c r="B271" t="s">
        <v>648</v>
      </c>
      <c r="C271">
        <v>510</v>
      </c>
      <c r="D271">
        <v>178</v>
      </c>
      <c r="E271" t="s">
        <v>404</v>
      </c>
      <c r="F271" t="s">
        <v>273</v>
      </c>
      <c r="G271" t="s">
        <v>275</v>
      </c>
      <c r="H271">
        <v>2019</v>
      </c>
      <c r="K271">
        <v>2</v>
      </c>
      <c r="L271">
        <f>523*2</f>
        <v>1046</v>
      </c>
      <c r="U271">
        <v>80</v>
      </c>
      <c r="W271">
        <v>5</v>
      </c>
      <c r="X271">
        <v>145</v>
      </c>
      <c r="Y271" s="3">
        <f t="shared" si="84"/>
        <v>0.18124999999999999</v>
      </c>
      <c r="Z271">
        <v>100</v>
      </c>
      <c r="AA271">
        <f t="shared" si="81"/>
        <v>160</v>
      </c>
      <c r="AD271">
        <v>24</v>
      </c>
      <c r="AE271">
        <v>24</v>
      </c>
      <c r="AF271">
        <v>2.7</v>
      </c>
      <c r="AG271">
        <v>3.85</v>
      </c>
      <c r="AH271" s="10">
        <v>63</v>
      </c>
      <c r="AI271" t="str">
        <f>CONCATENATE(VLOOKUP(AJ271, 'Voxel Sizes'!$A$2:$B$18,2,FALSE),"x",INT(AF271*15), "x", INT(AG271*15))</f>
        <v>238x40x57</v>
      </c>
      <c r="AJ271">
        <f t="shared" si="85"/>
        <v>14</v>
      </c>
      <c r="AL271" t="str">
        <f>CONCATENATE(VLOOKUP(AJ271,Constants!$A$2:$C$16,IF(AK271&lt;&gt;"", 3, 2), FALSE),IF(AK271&lt;&gt;"",CONCATENATE(",",VLOOKUP(AK271,$B:$AL,37,FALSE)),""))</f>
        <v>4,6,4</v>
      </c>
      <c r="AP271" t="s">
        <v>649</v>
      </c>
      <c r="AR271" t="s">
        <v>467</v>
      </c>
      <c r="AV271">
        <v>30</v>
      </c>
      <c r="AW271" s="15" t="str">
        <f t="shared" si="86"/>
        <v/>
      </c>
      <c r="AX271">
        <v>-15</v>
      </c>
      <c r="AY271">
        <v>-25</v>
      </c>
      <c r="AZ271">
        <f t="shared" si="87"/>
        <v>20</v>
      </c>
      <c r="BA271">
        <f t="shared" si="88"/>
        <v>5.23</v>
      </c>
      <c r="BB271">
        <f t="shared" si="89"/>
        <v>7.25</v>
      </c>
      <c r="BC271" s="3">
        <f t="shared" si="90"/>
        <v>0.84133333333333327</v>
      </c>
      <c r="BD271">
        <f t="shared" si="91"/>
        <v>4.2</v>
      </c>
      <c r="BE271">
        <f>VLOOKUP($F271,Constants!$I:$K, 2, FALSE)</f>
        <v>1</v>
      </c>
      <c r="BF271">
        <f>VLOOKUP($F271,Constants!$I:$K, 3, FALSE)*IF(AND(E271="multiple_unit",Z271&lt;110),0.75,1)</f>
        <v>1.5</v>
      </c>
      <c r="BG271">
        <f>INT(POWER(((Constants!$G$2+$AZ271+$BA271+$BB271+$BD271)*$BC271)*$BF271, 1.05))+$AY271</f>
        <v>39</v>
      </c>
      <c r="BH271">
        <f>INT(POWER((((Constants!$G$1+$AZ271+$BA271+$BB271+$BD271)*($BC271))*$BE271),IF($E271="wagon",1,1.2)))+$AX271</f>
        <v>77</v>
      </c>
      <c r="BI271" s="14">
        <f t="shared" si="92"/>
        <v>30468.75</v>
      </c>
      <c r="BJ271" s="14">
        <f t="shared" si="93"/>
        <v>6256.25</v>
      </c>
      <c r="BQ271">
        <v>2</v>
      </c>
      <c r="BR271">
        <v>185</v>
      </c>
      <c r="BT271" t="s">
        <v>283</v>
      </c>
      <c r="BU271" t="str">
        <f>VLOOKUP(H271,Eras!$A$2:$C$10, 2, TRUE)</f>
        <v>mod</v>
      </c>
      <c r="BV271" t="s">
        <v>331</v>
      </c>
      <c r="BW271" t="str">
        <f t="shared" si="94"/>
        <v>mod_DMU</v>
      </c>
      <c r="BX271" t="str">
        <f t="shared" si="95"/>
        <v>diesel_RAIL</v>
      </c>
      <c r="BY271" t="str">
        <f>VLOOKUP($BX271, Constants!$M:$N, 2, FALSE)</f>
        <v>{BLACK}Powered by: {GOLD}Diesel</v>
      </c>
      <c r="BZ271" t="str">
        <f t="shared" si="97"/>
        <v>{BLACK}Cars: {GOLD}2</v>
      </c>
      <c r="CA271" t="s">
        <v>650</v>
      </c>
      <c r="CB271" t="str">
        <f t="shared" si="98"/>
        <v/>
      </c>
      <c r="CC271" t="str">
        <f t="shared" si="96"/>
        <v>{BLACK}Powered by: {GOLD}Diesel {BLACK}Cars: {GOLD}2{}{SILVER}The Class 195 is designed to replace Sprinter and Pacer units with a multiple unit of far higher quality and passenger comfort.</v>
      </c>
    </row>
    <row r="272" spans="1:81" x14ac:dyDescent="0.25">
      <c r="A272" t="s">
        <v>1241</v>
      </c>
      <c r="B272" t="s">
        <v>1245</v>
      </c>
      <c r="C272">
        <v>511</v>
      </c>
      <c r="D272">
        <v>179</v>
      </c>
      <c r="E272" t="s">
        <v>404</v>
      </c>
      <c r="F272" t="s">
        <v>541</v>
      </c>
      <c r="G272" t="s">
        <v>297</v>
      </c>
      <c r="H272">
        <v>2019</v>
      </c>
      <c r="K272">
        <v>5</v>
      </c>
      <c r="L272">
        <v>3500</v>
      </c>
      <c r="M272" s="8">
        <v>2570</v>
      </c>
      <c r="U272">
        <v>163</v>
      </c>
      <c r="W272">
        <v>5</v>
      </c>
      <c r="X272">
        <v>185</v>
      </c>
      <c r="Y272" s="3">
        <f t="shared" si="84"/>
        <v>0.11349693251533742</v>
      </c>
      <c r="Z272">
        <v>100</v>
      </c>
      <c r="AA272">
        <f t="shared" si="81"/>
        <v>160</v>
      </c>
      <c r="AD272">
        <v>20.100000000000001</v>
      </c>
      <c r="AE272">
        <v>20.100000000000001</v>
      </c>
      <c r="AF272">
        <v>2.72</v>
      </c>
      <c r="AG272">
        <v>3.95</v>
      </c>
      <c r="AH272" s="10">
        <v>45</v>
      </c>
      <c r="AI272" t="str">
        <f>CONCATENATE(VLOOKUP(AJ272, 'Voxel Sizes'!$A$2:$B$18,2,FALSE),"x",INT(AF272*15), "x", INT(AG272*15))</f>
        <v>198x40x59</v>
      </c>
      <c r="AJ272">
        <f t="shared" si="85"/>
        <v>12</v>
      </c>
      <c r="AL272" t="str">
        <f>CONCATENATE(VLOOKUP(AJ272,Constants!$A$2:$C$16,IF(AK272&lt;&gt;"", 3, 2), FALSE),IF(AK272&lt;&gt;"",CONCATENATE(",",VLOOKUP(AK272,$B:$AL,37,FALSE)),""))</f>
        <v>4,4,4</v>
      </c>
      <c r="AM272">
        <v>6</v>
      </c>
      <c r="AN272" s="12" t="s">
        <v>1251</v>
      </c>
      <c r="AO272" s="12" t="s">
        <v>1254</v>
      </c>
      <c r="AP272" t="s">
        <v>1253</v>
      </c>
      <c r="AQ272" t="s">
        <v>1249</v>
      </c>
      <c r="AR272" t="s">
        <v>1252</v>
      </c>
      <c r="AV272">
        <v>30</v>
      </c>
      <c r="AW272" s="15" t="str">
        <f t="shared" si="86"/>
        <v/>
      </c>
      <c r="AX272">
        <v>-15</v>
      </c>
      <c r="AY272">
        <v>-30</v>
      </c>
      <c r="AZ272">
        <f t="shared" si="87"/>
        <v>20</v>
      </c>
      <c r="BA272">
        <f t="shared" si="88"/>
        <v>17.5</v>
      </c>
      <c r="BB272">
        <f t="shared" si="89"/>
        <v>9.25</v>
      </c>
      <c r="BC272" s="3">
        <f t="shared" si="90"/>
        <v>0.84133333333333327</v>
      </c>
      <c r="BD272">
        <f t="shared" si="91"/>
        <v>7.5</v>
      </c>
      <c r="BE272">
        <f>VLOOKUP($F272,Constants!$I:$K, 2, FALSE)</f>
        <v>0.9</v>
      </c>
      <c r="BF272">
        <f>VLOOKUP($F272,Constants!$I:$K, 3, FALSE)*IF(AND(E272="multiple_unit",Z272&lt;110),0.75,1)</f>
        <v>1.875</v>
      </c>
      <c r="BG272">
        <f>INT(POWER(((Constants!$G$2+$AZ272+$BA272+$BB272+$BD272)*$BC272)*$BF272, 1.05))+$AY272</f>
        <v>87</v>
      </c>
      <c r="BH272">
        <f>INT(POWER((((Constants!$G$1+$AZ272+$BA272+$BB272+$BD272)*($BC272))*$BE272),IF($E272="wagon",1,1.2)))+$AX272</f>
        <v>100</v>
      </c>
      <c r="BI272" s="14">
        <f t="shared" si="92"/>
        <v>67968.75</v>
      </c>
      <c r="BJ272" s="14">
        <f t="shared" si="93"/>
        <v>8125</v>
      </c>
      <c r="BQ272">
        <v>9</v>
      </c>
      <c r="BT272" t="s">
        <v>283</v>
      </c>
      <c r="BU272" t="str">
        <f>VLOOKUP(H272,Eras!$A$2:$C$10, 2, TRUE)</f>
        <v>mod</v>
      </c>
      <c r="BV272" t="s">
        <v>333</v>
      </c>
      <c r="BW272" t="str">
        <f t="shared" si="94"/>
        <v>mod_EMU</v>
      </c>
      <c r="BX272" t="str">
        <f t="shared" si="95"/>
        <v>dual_power_ELRL</v>
      </c>
      <c r="BY272" t="str">
        <f>VLOOKUP($BX272, Constants!$M:$N, 2, FALSE)</f>
        <v>{BLACK}Powered by: {GOLD}25kV AC / Diesel</v>
      </c>
      <c r="BZ272" t="str">
        <f t="shared" si="97"/>
        <v>{BLACK}Cars: {GOLD}5</v>
      </c>
      <c r="CA272" t="s">
        <v>1244</v>
      </c>
      <c r="CB272" t="str">
        <f t="shared" si="98"/>
        <v/>
      </c>
      <c r="CC272" t="str">
        <f t="shared" si="96"/>
        <v>{BLACK}Powered by: {GOLD}25kV AC / Diesel {BLACK}Cars: {GOLD}5{}{SILVER}The Class 755 was designed to modernise services on the East Anglia franchise. The design features a distinctive "power pack" containing the diesel engines used for bi-mode operation.</v>
      </c>
    </row>
    <row r="273" spans="1:81" x14ac:dyDescent="0.25">
      <c r="A273" t="s">
        <v>1260</v>
      </c>
      <c r="B273" t="s">
        <v>1261</v>
      </c>
      <c r="C273">
        <v>512</v>
      </c>
      <c r="D273">
        <v>180</v>
      </c>
      <c r="E273" t="s">
        <v>404</v>
      </c>
      <c r="F273" t="s">
        <v>296</v>
      </c>
      <c r="G273" t="s">
        <v>297</v>
      </c>
      <c r="H273">
        <v>2018</v>
      </c>
      <c r="K273">
        <v>3</v>
      </c>
      <c r="L273">
        <f>335*6</f>
        <v>2010</v>
      </c>
      <c r="U273">
        <v>130</v>
      </c>
      <c r="W273">
        <v>5</v>
      </c>
      <c r="X273">
        <v>150</v>
      </c>
      <c r="Y273" s="3">
        <f t="shared" si="84"/>
        <v>0.11538461538461539</v>
      </c>
      <c r="Z273">
        <v>100</v>
      </c>
      <c r="AA273">
        <f t="shared" si="81"/>
        <v>160</v>
      </c>
      <c r="AD273">
        <v>23</v>
      </c>
      <c r="AE273">
        <v>23</v>
      </c>
      <c r="AH273" s="10">
        <v>69</v>
      </c>
      <c r="AI273" t="str">
        <f>CONCATENATE(VLOOKUP(AJ273, 'Voxel Sizes'!$A$2:$B$18,2,FALSE),"x",INT(AF273*15), "x", INT(AG273*15))</f>
        <v>214x0x0</v>
      </c>
      <c r="AJ273">
        <f t="shared" si="85"/>
        <v>13</v>
      </c>
      <c r="AL273" t="str">
        <f>CONCATENATE(VLOOKUP(AJ273,Constants!$A$2:$C$16,IF(AK273&lt;&gt;"", 3, 2), FALSE),IF(AK273&lt;&gt;"",CONCATENATE(",",VLOOKUP(AK273,$B:$AL,37,FALSE)),""))</f>
        <v>4,5,4</v>
      </c>
      <c r="AP273" t="s">
        <v>1278</v>
      </c>
      <c r="AR273" t="s">
        <v>292</v>
      </c>
      <c r="AV273">
        <v>32</v>
      </c>
      <c r="AW273" s="15" t="str">
        <f t="shared" si="86"/>
        <v/>
      </c>
      <c r="AX273">
        <v>-15</v>
      </c>
      <c r="AY273">
        <v>-32</v>
      </c>
      <c r="AZ273">
        <f t="shared" si="87"/>
        <v>20</v>
      </c>
      <c r="BA273">
        <f t="shared" si="88"/>
        <v>10.049999999999999</v>
      </c>
      <c r="BB273">
        <f t="shared" si="89"/>
        <v>7.5</v>
      </c>
      <c r="BC273" s="3">
        <f t="shared" si="90"/>
        <v>0.84266666666666667</v>
      </c>
      <c r="BD273">
        <f t="shared" si="91"/>
        <v>6.9</v>
      </c>
      <c r="BE273">
        <f>VLOOKUP($F273,Constants!$I:$K, 2, FALSE)</f>
        <v>0.85</v>
      </c>
      <c r="BF273">
        <f>VLOOKUP($F273,Constants!$I:$K, 3, FALSE)*IF(AND(E273="multiple_unit",Z273&lt;110),0.75,1)</f>
        <v>1.7249999999999999</v>
      </c>
      <c r="BG273">
        <f>INT(POWER(((Constants!$G$2+$AZ273+$BA273+$BB273+$BD273)*$BC273)*$BF273, 1.05))+$AY273</f>
        <v>57</v>
      </c>
      <c r="BH273">
        <f>INT(POWER((((Constants!$G$1+$AZ273+$BA273+$BB273+$BD273)*($BC273))*$BE273),IF($E273="wagon",1,1.2)))+$AX273</f>
        <v>75</v>
      </c>
      <c r="BI273" s="14">
        <f t="shared" si="92"/>
        <v>44531.25</v>
      </c>
      <c r="BJ273" s="14">
        <f t="shared" si="93"/>
        <v>6093.75</v>
      </c>
      <c r="BQ273">
        <v>11</v>
      </c>
      <c r="BR273">
        <v>185</v>
      </c>
      <c r="BT273" t="s">
        <v>283</v>
      </c>
      <c r="BU273" t="str">
        <f>VLOOKUP(H273,Eras!$A$2:$C$10, 2, TRUE)</f>
        <v>mod</v>
      </c>
      <c r="BV273" t="s">
        <v>333</v>
      </c>
      <c r="BW273" t="str">
        <f t="shared" si="94"/>
        <v>mod_EMU</v>
      </c>
      <c r="BX273" t="str">
        <f t="shared" si="95"/>
        <v>electric_ELRL</v>
      </c>
      <c r="BY273" t="str">
        <f>VLOOKUP($BX273, Constants!$M:$N, 2, FALSE)</f>
        <v>{BLACK}Powered by: {GOLD}25kV AC</v>
      </c>
      <c r="BZ273" t="str">
        <f t="shared" si="97"/>
        <v>{BLACK}Cars: {GOLD}3</v>
      </c>
      <c r="CA273" t="s">
        <v>1279</v>
      </c>
      <c r="CB273" t="str">
        <f t="shared" si="98"/>
        <v/>
      </c>
      <c r="CC273" t="str">
        <f t="shared" si="96"/>
        <v>{BLACK}Powered by: {GOLD}25kV AC {BLACK}Cars: {GOLD}3{}{SILVER}The Class 385 was built for use on newly electrified lines in Scotland. Unlike most AT200 variants, it has cab end doors to allow for trolley services throughout the train.</v>
      </c>
    </row>
    <row r="274" spans="1:81" x14ac:dyDescent="0.25">
      <c r="A274" t="s">
        <v>1266</v>
      </c>
      <c r="B274" t="s">
        <v>1288</v>
      </c>
      <c r="C274">
        <v>513</v>
      </c>
      <c r="D274">
        <v>181</v>
      </c>
      <c r="E274" t="s">
        <v>404</v>
      </c>
      <c r="F274" t="s">
        <v>552</v>
      </c>
      <c r="G274" t="s">
        <v>551</v>
      </c>
      <c r="H274">
        <v>2016</v>
      </c>
      <c r="K274">
        <v>8</v>
      </c>
      <c r="L274">
        <v>4400</v>
      </c>
      <c r="M274" s="8">
        <v>2560</v>
      </c>
      <c r="U274">
        <v>278</v>
      </c>
      <c r="W274">
        <v>6</v>
      </c>
      <c r="X274">
        <v>225</v>
      </c>
      <c r="Y274" s="3">
        <f t="shared" si="84"/>
        <v>8.0935251798561147E-2</v>
      </c>
      <c r="Z274">
        <v>100</v>
      </c>
      <c r="AA274">
        <f t="shared" si="81"/>
        <v>160</v>
      </c>
      <c r="AD274">
        <v>20.2</v>
      </c>
      <c r="AE274">
        <v>20.2</v>
      </c>
      <c r="AH274" s="10">
        <v>69</v>
      </c>
      <c r="AI274" t="str">
        <f>CONCATENATE(VLOOKUP(AJ274, 'Voxel Sizes'!$A$2:$B$18,2,FALSE),"x",INT(AF274*15), "x", INT(AG274*15))</f>
        <v>198x0x0</v>
      </c>
      <c r="AJ274">
        <f t="shared" si="85"/>
        <v>12</v>
      </c>
      <c r="AL274" t="str">
        <f>CONCATENATE(VLOOKUP(AJ274,Constants!$A$2:$C$16,IF(AK274&lt;&gt;"", 3, 2), FALSE),IF(AK274&lt;&gt;"",CONCATENATE(",",VLOOKUP(AK274,$B:$AL,37,FALSE)),""))</f>
        <v>4,4,4</v>
      </c>
      <c r="AP274" t="s">
        <v>1289</v>
      </c>
      <c r="AQ274" t="s">
        <v>1292</v>
      </c>
      <c r="AR274" t="s">
        <v>1290</v>
      </c>
      <c r="AV274">
        <v>30</v>
      </c>
      <c r="AW274" s="15" t="str">
        <f t="shared" si="86"/>
        <v/>
      </c>
      <c r="AX274">
        <v>-15</v>
      </c>
      <c r="AY274">
        <v>-30</v>
      </c>
      <c r="AZ274">
        <f t="shared" si="87"/>
        <v>20</v>
      </c>
      <c r="BA274">
        <f t="shared" si="88"/>
        <v>20</v>
      </c>
      <c r="BB274">
        <f t="shared" si="89"/>
        <v>11.25</v>
      </c>
      <c r="BC274" s="3">
        <f t="shared" si="90"/>
        <v>0.84533333333333327</v>
      </c>
      <c r="BD274">
        <f t="shared" si="91"/>
        <v>18.400000000000002</v>
      </c>
      <c r="BE274">
        <f>VLOOKUP($F274,Constants!$I:$K, 2, FALSE)</f>
        <v>0.85</v>
      </c>
      <c r="BF274">
        <f>VLOOKUP($F274,Constants!$I:$K, 3, FALSE)*IF(AND(E274="multiple_unit",Z274&lt;110),0.75,1)</f>
        <v>1.7999999999999998</v>
      </c>
      <c r="BG274">
        <f>INT(POWER(((Constants!$G$2+$AZ274+$BA274+$BB274+$BD274)*$BC274)*$BF274, 1.05))+$AY274</f>
        <v>113</v>
      </c>
      <c r="BH274">
        <f>INT(POWER((((Constants!$G$1+$AZ274+$BA274+$BB274+$BD274)*($BC274))*$BE274),IF($E274="wagon",1,1.2)))+$AX274</f>
        <v>123</v>
      </c>
      <c r="BI274" s="14">
        <f t="shared" si="92"/>
        <v>88281.25</v>
      </c>
      <c r="BJ274" s="14">
        <f t="shared" si="93"/>
        <v>9993.75</v>
      </c>
      <c r="BP274" t="s">
        <v>1146</v>
      </c>
      <c r="BQ274">
        <v>3</v>
      </c>
      <c r="BT274" t="s">
        <v>283</v>
      </c>
      <c r="BU274" t="str">
        <f>VLOOKUP(H274,Eras!$A$2:$C$10, 2, TRUE)</f>
        <v>mod</v>
      </c>
      <c r="BV274" t="s">
        <v>333</v>
      </c>
      <c r="BW274" t="str">
        <f t="shared" si="94"/>
        <v>mod_EMU</v>
      </c>
      <c r="BX274" t="str">
        <f t="shared" si="95"/>
        <v>dual_electric_DUAL_POWER</v>
      </c>
      <c r="BY274" t="str">
        <f>VLOOKUP($BX274, Constants!$M:$N, 2, FALSE)</f>
        <v>{BLACK}Powered by: {GOLD}25kV AC / 750V DC</v>
      </c>
      <c r="BZ274" t="str">
        <f t="shared" si="97"/>
        <v>{BLACK}Cars: {GOLD}8</v>
      </c>
      <c r="CA274" t="s">
        <v>1291</v>
      </c>
      <c r="CB274" t="str">
        <f t="shared" si="98"/>
        <v/>
      </c>
      <c r="CC274" t="str">
        <f t="shared" si="96"/>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5" spans="1:81" x14ac:dyDescent="0.25">
      <c r="A275" t="s">
        <v>1262</v>
      </c>
      <c r="B275" t="s">
        <v>1263</v>
      </c>
      <c r="C275">
        <v>514</v>
      </c>
      <c r="D275">
        <v>182</v>
      </c>
      <c r="E275" t="s">
        <v>404</v>
      </c>
      <c r="F275" t="s">
        <v>296</v>
      </c>
      <c r="G275" t="s">
        <v>297</v>
      </c>
      <c r="H275">
        <v>2017</v>
      </c>
      <c r="K275">
        <v>9</v>
      </c>
      <c r="L275">
        <v>1900</v>
      </c>
      <c r="U275">
        <v>264</v>
      </c>
      <c r="W275">
        <v>7</v>
      </c>
      <c r="X275">
        <v>220</v>
      </c>
      <c r="Y275" s="3">
        <f t="shared" si="84"/>
        <v>8.3333333333333329E-2</v>
      </c>
      <c r="Z275">
        <v>90</v>
      </c>
      <c r="AA275">
        <f t="shared" si="81"/>
        <v>144</v>
      </c>
      <c r="AD275">
        <v>22.7</v>
      </c>
      <c r="AE275">
        <v>22.7</v>
      </c>
      <c r="AH275" s="10">
        <v>78</v>
      </c>
      <c r="AI275" t="str">
        <f>CONCATENATE(VLOOKUP(AJ275, 'Voxel Sizes'!$A$2:$B$18,2,FALSE),"x",INT(AF275*15), "x", INT(AG275*15))</f>
        <v>214x0x0</v>
      </c>
      <c r="AJ275">
        <f t="shared" si="85"/>
        <v>13</v>
      </c>
      <c r="AL275" t="str">
        <f>CONCATENATE(VLOOKUP(AJ275,Constants!$A$2:$C$16,IF(AK275&lt;&gt;"", 3, 2), FALSE),IF(AK275&lt;&gt;"",CONCATENATE(",",VLOOKUP(AK275,$B:$AL,37,FALSE)),""))</f>
        <v>4,5,4</v>
      </c>
      <c r="AP275" t="s">
        <v>1281</v>
      </c>
      <c r="AR275" t="s">
        <v>1282</v>
      </c>
      <c r="AV275">
        <v>30</v>
      </c>
      <c r="AW275" s="15" t="str">
        <f t="shared" si="86"/>
        <v/>
      </c>
      <c r="AX275">
        <v>-19</v>
      </c>
      <c r="AY275">
        <v>-22</v>
      </c>
      <c r="AZ275">
        <f t="shared" si="87"/>
        <v>18</v>
      </c>
      <c r="BA275">
        <f t="shared" si="88"/>
        <v>9.5</v>
      </c>
      <c r="BB275">
        <f t="shared" si="89"/>
        <v>11</v>
      </c>
      <c r="BC275" s="3">
        <f t="shared" si="90"/>
        <v>0.84399999999999997</v>
      </c>
      <c r="BD275">
        <f t="shared" si="91"/>
        <v>23.4</v>
      </c>
      <c r="BE275">
        <f>VLOOKUP($F275,Constants!$I:$K, 2, FALSE)</f>
        <v>0.85</v>
      </c>
      <c r="BF275">
        <f>VLOOKUP($F275,Constants!$I:$K, 3, FALSE)*IF(AND(E275="multiple_unit",Z275&lt;110),0.75,1)</f>
        <v>1.7249999999999999</v>
      </c>
      <c r="BG275">
        <f>INT(POWER(((Constants!$G$2+$AZ275+$BA275+$BB275+$BD275)*$BC275)*$BF275, 1.05))+$AY275</f>
        <v>100</v>
      </c>
      <c r="BH275">
        <f>INT(POWER((((Constants!$G$1+$AZ275+$BA275+$BB275+$BD275)*($BC275))*$BE275),IF($E275="wagon",1,1.2)))+$AX275</f>
        <v>104</v>
      </c>
      <c r="BI275" s="14">
        <f t="shared" si="92"/>
        <v>78125</v>
      </c>
      <c r="BJ275" s="14">
        <f t="shared" si="93"/>
        <v>8450</v>
      </c>
      <c r="BP275" t="s">
        <v>1150</v>
      </c>
      <c r="BQ275">
        <v>1</v>
      </c>
      <c r="BR275">
        <v>165</v>
      </c>
      <c r="BT275" t="s">
        <v>283</v>
      </c>
      <c r="BU275" t="str">
        <f>VLOOKUP(H275,Eras!$A$2:$C$10, 2, TRUE)</f>
        <v>mod</v>
      </c>
      <c r="BV275" t="s">
        <v>333</v>
      </c>
      <c r="BW275" t="str">
        <f t="shared" si="94"/>
        <v>mod_EMU</v>
      </c>
      <c r="BX275" t="str">
        <f t="shared" si="95"/>
        <v>electric_ELRL</v>
      </c>
      <c r="BY275" t="str">
        <f>VLOOKUP($BX275, Constants!$M:$N, 2, FALSE)</f>
        <v>{BLACK}Powered by: {GOLD}25kV AC</v>
      </c>
      <c r="BZ275" t="str">
        <f t="shared" si="97"/>
        <v>{BLACK}Cars: {GOLD}9</v>
      </c>
      <c r="CA275" t="s">
        <v>1283</v>
      </c>
      <c r="CB275" t="str">
        <f t="shared" si="98"/>
        <v>{YELLOW}10% Penalty for long distance travel{}</v>
      </c>
      <c r="CC275" t="str">
        <f t="shared" si="96"/>
        <v>{BLACK}Powered by: {GOLD}25kV AC {BLACK}Cars: {GOLD}9{}{YELLOW}10% Penalty for long distance travel{}{SILVER}Designed for London's Crossrail route, the Class 345 entered service on TfL Rail between Liverpool Street and Shenfield.</v>
      </c>
    </row>
    <row r="276" spans="1:81" x14ac:dyDescent="0.25">
      <c r="A276" t="s">
        <v>1267</v>
      </c>
      <c r="B276" t="s">
        <v>1287</v>
      </c>
      <c r="C276">
        <v>515</v>
      </c>
      <c r="D276">
        <v>183</v>
      </c>
      <c r="E276" t="s">
        <v>404</v>
      </c>
      <c r="F276" t="s">
        <v>296</v>
      </c>
      <c r="G276" t="s">
        <v>303</v>
      </c>
      <c r="H276">
        <v>2017</v>
      </c>
      <c r="K276">
        <v>5</v>
      </c>
      <c r="L276">
        <v>1600</v>
      </c>
      <c r="U276">
        <v>173</v>
      </c>
      <c r="W276">
        <v>6</v>
      </c>
      <c r="X276">
        <v>175</v>
      </c>
      <c r="Y276" s="3">
        <f t="shared" si="84"/>
        <v>0.10115606936416185</v>
      </c>
      <c r="Z276">
        <v>100</v>
      </c>
      <c r="AA276">
        <f t="shared" si="81"/>
        <v>160</v>
      </c>
      <c r="AD276">
        <v>20</v>
      </c>
      <c r="AE276">
        <v>20</v>
      </c>
      <c r="AF276">
        <v>2.8</v>
      </c>
      <c r="AH276" s="10">
        <v>69</v>
      </c>
      <c r="AI276" t="str">
        <f>CONCATENATE(VLOOKUP(AJ276, 'Voxel Sizes'!$A$2:$B$18,2,FALSE),"x",INT(AF276*15), "x", INT(AG276*15))</f>
        <v>198x42x0</v>
      </c>
      <c r="AJ276">
        <f t="shared" si="85"/>
        <v>12</v>
      </c>
      <c r="AL276" t="str">
        <f>CONCATENATE(VLOOKUP(AJ276,Constants!$A$2:$C$16,IF(AK276&lt;&gt;"", 3, 2), FALSE),IF(AK276&lt;&gt;"",CONCATENATE(",",VLOOKUP(AK276,$B:$AL,37,FALSE)),""))</f>
        <v>4,4,4</v>
      </c>
      <c r="AP276" t="s">
        <v>1293</v>
      </c>
      <c r="AR276" t="s">
        <v>1294</v>
      </c>
      <c r="AV276">
        <v>30</v>
      </c>
      <c r="AW276" s="15" t="str">
        <f t="shared" si="86"/>
        <v/>
      </c>
      <c r="AX276">
        <v>-15</v>
      </c>
      <c r="AY276">
        <v>-30</v>
      </c>
      <c r="AZ276">
        <f t="shared" si="87"/>
        <v>20</v>
      </c>
      <c r="BA276">
        <f t="shared" si="88"/>
        <v>8</v>
      </c>
      <c r="BB276">
        <f t="shared" si="89"/>
        <v>8.75</v>
      </c>
      <c r="BC276" s="3">
        <f t="shared" si="90"/>
        <v>0.84399999999999997</v>
      </c>
      <c r="BD276">
        <f t="shared" si="91"/>
        <v>11.500000000000002</v>
      </c>
      <c r="BE276">
        <f>VLOOKUP($F276,Constants!$I:$K, 2, FALSE)</f>
        <v>0.85</v>
      </c>
      <c r="BF276">
        <f>VLOOKUP($F276,Constants!$I:$K, 3, FALSE)*IF(AND(E276="multiple_unit",Z276&lt;110),0.75,1)</f>
        <v>1.7249999999999999</v>
      </c>
      <c r="BG276">
        <f>INT(POWER(((Constants!$G$2+$AZ276+$BA276+$BB276+$BD276)*$BC276)*$BF276, 1.05))+$AY276</f>
        <v>66</v>
      </c>
      <c r="BH276">
        <f>INT(POWER((((Constants!$G$1+$AZ276+$BA276+$BB276+$BD276)*($BC276))*$BE276),IF($E276="wagon",1,1.2)))+$AX276</f>
        <v>82</v>
      </c>
      <c r="BI276" s="14">
        <f t="shared" si="92"/>
        <v>51562.5</v>
      </c>
      <c r="BJ276" s="14">
        <f t="shared" si="93"/>
        <v>6662.5</v>
      </c>
      <c r="BQ276">
        <v>4</v>
      </c>
      <c r="BT276" t="s">
        <v>283</v>
      </c>
      <c r="BU276" t="str">
        <f>VLOOKUP(H276,Eras!$A$2:$C$10, 2, TRUE)</f>
        <v>mod</v>
      </c>
      <c r="BV276" t="s">
        <v>333</v>
      </c>
      <c r="BW276" t="str">
        <f t="shared" si="94"/>
        <v>mod_EMU</v>
      </c>
      <c r="BX276" t="str">
        <f t="shared" si="95"/>
        <v>electric_THIRD_RAIL</v>
      </c>
      <c r="BY276" t="str">
        <f>VLOOKUP($BX276, Constants!$M:$N, 2, FALSE)</f>
        <v>{BLACK}Powered by: {GOLD}750V DC</v>
      </c>
      <c r="BZ276" t="str">
        <f t="shared" si="97"/>
        <v>{BLACK}Cars: {GOLD}5</v>
      </c>
      <c r="CA276" t="s">
        <v>1295</v>
      </c>
      <c r="CB276" t="str">
        <f t="shared" si="98"/>
        <v/>
      </c>
      <c r="CC276" t="str">
        <f t="shared" si="96"/>
        <v>{BLACK}Powered by: {GOLD}750V DC {BLACK}Cars: {GOLD}5{}{SILVER}South West Trains procured the Class 707 as part of capacity improvements for routes out of London Waterloo.</v>
      </c>
    </row>
    <row r="277" spans="1:81" x14ac:dyDescent="0.25">
      <c r="A277" t="s">
        <v>1264</v>
      </c>
      <c r="B277" t="s">
        <v>1265</v>
      </c>
      <c r="C277">
        <v>516</v>
      </c>
      <c r="D277">
        <v>184</v>
      </c>
      <c r="E277" t="s">
        <v>404</v>
      </c>
      <c r="F277" t="s">
        <v>552</v>
      </c>
      <c r="G277" t="s">
        <v>551</v>
      </c>
      <c r="H277">
        <v>2019</v>
      </c>
      <c r="K277">
        <v>4</v>
      </c>
      <c r="L277">
        <v>1800</v>
      </c>
      <c r="M277" s="8">
        <v>1600</v>
      </c>
      <c r="U277">
        <v>151</v>
      </c>
      <c r="W277">
        <v>6</v>
      </c>
      <c r="X277">
        <v>160</v>
      </c>
      <c r="Y277" s="3">
        <f t="shared" si="84"/>
        <v>0.10596026490066225</v>
      </c>
      <c r="Z277">
        <v>75</v>
      </c>
      <c r="AA277">
        <f t="shared" si="81"/>
        <v>120</v>
      </c>
      <c r="AD277">
        <v>21.44</v>
      </c>
      <c r="AE277">
        <v>21.4</v>
      </c>
      <c r="AH277" s="10">
        <v>78</v>
      </c>
      <c r="AI277" t="str">
        <f>CONCATENATE(VLOOKUP(AJ277, 'Voxel Sizes'!$A$2:$B$18,2,FALSE),"x",INT(AF277*15), "x", INT(AG277*15))</f>
        <v>214x0x0</v>
      </c>
      <c r="AJ277">
        <f t="shared" si="85"/>
        <v>13</v>
      </c>
      <c r="AL277" t="str">
        <f>CONCATENATE(VLOOKUP(AJ277,Constants!$A$2:$C$16,IF(AK277&lt;&gt;"", 3, 2), FALSE),IF(AK277&lt;&gt;"",CONCATENATE(",",VLOOKUP(AK277,$B:$AL,37,FALSE)),""))</f>
        <v>4,5,4</v>
      </c>
      <c r="AP277" t="s">
        <v>1284</v>
      </c>
      <c r="AQ277" t="s">
        <v>1285</v>
      </c>
      <c r="AR277" t="s">
        <v>555</v>
      </c>
      <c r="AV277">
        <v>30</v>
      </c>
      <c r="AW277" s="15" t="str">
        <f t="shared" si="86"/>
        <v/>
      </c>
      <c r="AX277">
        <v>-19</v>
      </c>
      <c r="AY277">
        <v>-25</v>
      </c>
      <c r="AZ277">
        <f t="shared" si="87"/>
        <v>15</v>
      </c>
      <c r="BA277">
        <f t="shared" si="88"/>
        <v>9</v>
      </c>
      <c r="BB277">
        <f t="shared" si="89"/>
        <v>8</v>
      </c>
      <c r="BC277" s="3">
        <f t="shared" si="90"/>
        <v>0.84133333333333327</v>
      </c>
      <c r="BD277">
        <f t="shared" si="91"/>
        <v>10.4</v>
      </c>
      <c r="BE277">
        <f>VLOOKUP($F277,Constants!$I:$K, 2, FALSE)</f>
        <v>0.85</v>
      </c>
      <c r="BF277">
        <f>VLOOKUP($F277,Constants!$I:$K, 3, FALSE)*IF(AND(E277="multiple_unit",Z277&lt;110),0.75,1)</f>
        <v>1.7999999999999998</v>
      </c>
      <c r="BG277">
        <f>INT(POWER(((Constants!$G$2+$AZ277+$BA277+$BB277+$BD277)*$BC277)*$BF277, 1.05))+$AY277</f>
        <v>63</v>
      </c>
      <c r="BH277">
        <f>INT(POWER((((Constants!$G$1+$AZ277+$BA277+$BB277+$BD277)*($BC277))*$BE277),IF($E277="wagon",1,1.2)))+$AX277</f>
        <v>67</v>
      </c>
      <c r="BI277" s="14">
        <f t="shared" si="92"/>
        <v>49218.75</v>
      </c>
      <c r="BJ277" s="14">
        <f t="shared" si="93"/>
        <v>5443.75</v>
      </c>
      <c r="BQ277">
        <v>2</v>
      </c>
      <c r="BR277">
        <v>165</v>
      </c>
      <c r="BT277" t="s">
        <v>283</v>
      </c>
      <c r="BU277" t="str">
        <f>VLOOKUP(H277,Eras!$A$2:$C$10, 2, TRUE)</f>
        <v>mod</v>
      </c>
      <c r="BV277" t="s">
        <v>333</v>
      </c>
      <c r="BW277" t="str">
        <f t="shared" si="94"/>
        <v>mod_EMU</v>
      </c>
      <c r="BX277" t="str">
        <f t="shared" si="95"/>
        <v>dual_electric_DUAL_POWER</v>
      </c>
      <c r="BY277" t="str">
        <f>VLOOKUP($BX277, Constants!$M:$N, 2, FALSE)</f>
        <v>{BLACK}Powered by: {GOLD}25kV AC / 750V DC</v>
      </c>
      <c r="BZ277" t="str">
        <f t="shared" si="97"/>
        <v>{BLACK}Cars: {GOLD}4</v>
      </c>
      <c r="CA277" t="s">
        <v>1286</v>
      </c>
      <c r="CB277" t="str">
        <f t="shared" si="98"/>
        <v>{YELLOW}10% Penalty for long distance travel{}</v>
      </c>
      <c r="CC277" t="str">
        <f t="shared" si="96"/>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8" spans="1:81" x14ac:dyDescent="0.25">
      <c r="A278" t="s">
        <v>1262</v>
      </c>
      <c r="B278" t="s">
        <v>1296</v>
      </c>
      <c r="C278">
        <v>517</v>
      </c>
      <c r="D278">
        <v>185</v>
      </c>
      <c r="E278" t="s">
        <v>404</v>
      </c>
      <c r="F278" t="s">
        <v>296</v>
      </c>
      <c r="G278" t="s">
        <v>297</v>
      </c>
      <c r="H278">
        <v>2017</v>
      </c>
      <c r="K278">
        <v>7</v>
      </c>
      <c r="L278">
        <v>1900</v>
      </c>
      <c r="U278">
        <v>264</v>
      </c>
      <c r="W278">
        <v>7</v>
      </c>
      <c r="X278">
        <v>220</v>
      </c>
      <c r="Y278" s="3">
        <f t="shared" si="84"/>
        <v>8.3333333333333329E-2</v>
      </c>
      <c r="Z278">
        <v>90</v>
      </c>
      <c r="AA278">
        <f t="shared" si="81"/>
        <v>144</v>
      </c>
      <c r="AD278">
        <v>22.7</v>
      </c>
      <c r="AE278">
        <v>22.7</v>
      </c>
      <c r="AH278" s="10">
        <v>78</v>
      </c>
      <c r="AI278" t="str">
        <f>CONCATENATE(VLOOKUP(AJ278, 'Voxel Sizes'!$A$2:$B$18,2,FALSE),"x",INT(AF278*15), "x", INT(AG278*15))</f>
        <v>214x0x0</v>
      </c>
      <c r="AJ278">
        <f t="shared" si="85"/>
        <v>13</v>
      </c>
      <c r="AL278" t="str">
        <f>CONCATENATE(VLOOKUP(AJ278,Constants!$A$2:$C$16,IF(AK278&lt;&gt;"", 3, 2), FALSE),IF(AK278&lt;&gt;"",CONCATENATE(",",VLOOKUP(AK278,$B:$AL,37,FALSE)),""))</f>
        <v>4,5,4</v>
      </c>
      <c r="AP278" t="s">
        <v>1303</v>
      </c>
      <c r="AR278" t="s">
        <v>1304</v>
      </c>
      <c r="AS278" t="s">
        <v>1263</v>
      </c>
      <c r="AV278">
        <v>30</v>
      </c>
      <c r="AW278" s="15" t="str">
        <f t="shared" si="86"/>
        <v/>
      </c>
      <c r="AX278">
        <v>-19</v>
      </c>
      <c r="AY278">
        <v>-22</v>
      </c>
      <c r="AZ278">
        <f t="shared" si="87"/>
        <v>18</v>
      </c>
      <c r="BA278">
        <f t="shared" si="88"/>
        <v>9.5</v>
      </c>
      <c r="BB278">
        <f t="shared" si="89"/>
        <v>11</v>
      </c>
      <c r="BC278" s="3">
        <f t="shared" si="90"/>
        <v>0.84399999999999997</v>
      </c>
      <c r="BD278">
        <f t="shared" si="91"/>
        <v>18.2</v>
      </c>
      <c r="BE278">
        <f>VLOOKUP($F278,Constants!$I:$K, 2, FALSE)</f>
        <v>0.85</v>
      </c>
      <c r="BF278">
        <f>VLOOKUP($F278,Constants!$I:$K, 3, FALSE)*IF(AND(E278="multiple_unit",Z278&lt;110),0.75,1)</f>
        <v>1.7249999999999999</v>
      </c>
      <c r="BG278">
        <f>INT(POWER(((Constants!$G$2+$AZ278+$BA278+$BB278+$BD278)*$BC278)*$BF278, 1.05))+$AY278</f>
        <v>90</v>
      </c>
      <c r="BH278">
        <f>INT(POWER((((Constants!$G$1+$AZ278+$BA278+$BB278+$BD278)*($BC278))*$BE278),IF($E278="wagon",1,1.2)))+$AX278</f>
        <v>94</v>
      </c>
      <c r="BI278" s="14">
        <f t="shared" si="92"/>
        <v>70312.5</v>
      </c>
      <c r="BJ278" s="14">
        <f t="shared" si="93"/>
        <v>7637.5</v>
      </c>
      <c r="BP278" t="s">
        <v>1149</v>
      </c>
      <c r="BQ278">
        <v>1</v>
      </c>
      <c r="BR278">
        <v>165</v>
      </c>
      <c r="BT278" t="s">
        <v>283</v>
      </c>
      <c r="BU278" t="str">
        <f>VLOOKUP(H278,Eras!$A$2:$C$10, 2, TRUE)</f>
        <v>mod</v>
      </c>
      <c r="BV278" t="s">
        <v>333</v>
      </c>
      <c r="BW278" t="str">
        <f t="shared" si="94"/>
        <v>mod_EMU</v>
      </c>
      <c r="BX278" t="str">
        <f t="shared" si="95"/>
        <v>electric_ELRL</v>
      </c>
      <c r="BY278" t="str">
        <f>VLOOKUP($BX278, Constants!$M:$N, 2, FALSE)</f>
        <v>{BLACK}Powered by: {GOLD}25kV AC</v>
      </c>
      <c r="BZ278" t="str">
        <f t="shared" si="97"/>
        <v>{BLACK}Cars: {GOLD}7</v>
      </c>
      <c r="CA278" t="s">
        <v>1283</v>
      </c>
      <c r="CB278" t="str">
        <f t="shared" si="98"/>
        <v>{YELLOW}10% Penalty for long distance travel{}</v>
      </c>
      <c r="CC278" t="str">
        <f t="shared" si="96"/>
        <v>{BLACK}Powered by: {GOLD}25kV AC {BLACK}Cars: {GOLD}7{}{YELLOW}10% Penalty for long distance travel{}{SILVER}Designed for London's Crossrail route, the Class 345 entered service on TfL Rail between Liverpool Street and Shenfield.</v>
      </c>
    </row>
    <row r="279" spans="1:81" x14ac:dyDescent="0.25">
      <c r="A279" t="s">
        <v>1262</v>
      </c>
      <c r="B279" t="s">
        <v>1297</v>
      </c>
      <c r="C279">
        <v>518</v>
      </c>
      <c r="D279">
        <v>186</v>
      </c>
      <c r="E279" t="s">
        <v>404</v>
      </c>
      <c r="F279" t="s">
        <v>296</v>
      </c>
      <c r="G279" t="s">
        <v>297</v>
      </c>
      <c r="H279">
        <v>2017</v>
      </c>
      <c r="K279">
        <v>4</v>
      </c>
      <c r="L279">
        <v>1900</v>
      </c>
      <c r="U279">
        <v>264</v>
      </c>
      <c r="W279">
        <v>7</v>
      </c>
      <c r="X279">
        <v>220</v>
      </c>
      <c r="Y279" s="3">
        <f t="shared" si="84"/>
        <v>8.3333333333333329E-2</v>
      </c>
      <c r="Z279">
        <v>90</v>
      </c>
      <c r="AA279">
        <f t="shared" si="81"/>
        <v>144</v>
      </c>
      <c r="AD279">
        <v>22.7</v>
      </c>
      <c r="AE279">
        <v>22.7</v>
      </c>
      <c r="AH279" s="10">
        <v>78</v>
      </c>
      <c r="AI279" t="str">
        <f>CONCATENATE(VLOOKUP(AJ279, 'Voxel Sizes'!$A$2:$B$18,2,FALSE),"x",INT(AF279*15), "x", INT(AG279*15))</f>
        <v>214x0x0</v>
      </c>
      <c r="AJ279">
        <f t="shared" si="85"/>
        <v>13</v>
      </c>
      <c r="AL279" t="str">
        <f>CONCATENATE(VLOOKUP(AJ279,Constants!$A$2:$C$16,IF(AK279&lt;&gt;"", 3, 2), FALSE),IF(AK279&lt;&gt;"",CONCATENATE(",",VLOOKUP(AK279,$B:$AL,37,FALSE)),""))</f>
        <v>4,5,4</v>
      </c>
      <c r="AP279" t="s">
        <v>1305</v>
      </c>
      <c r="AR279" t="s">
        <v>1126</v>
      </c>
      <c r="AS279" t="s">
        <v>1263</v>
      </c>
      <c r="AV279">
        <v>30</v>
      </c>
      <c r="AW279" s="15" t="str">
        <f t="shared" si="86"/>
        <v/>
      </c>
      <c r="AX279">
        <v>-19</v>
      </c>
      <c r="AY279">
        <v>-22</v>
      </c>
      <c r="AZ279">
        <f t="shared" si="87"/>
        <v>18</v>
      </c>
      <c r="BA279">
        <f t="shared" si="88"/>
        <v>9.5</v>
      </c>
      <c r="BB279">
        <f t="shared" si="89"/>
        <v>11</v>
      </c>
      <c r="BC279" s="3">
        <f t="shared" si="90"/>
        <v>0.84399999999999997</v>
      </c>
      <c r="BD279">
        <f t="shared" si="91"/>
        <v>10.4</v>
      </c>
      <c r="BE279">
        <f>VLOOKUP($F279,Constants!$I:$K, 2, FALSE)</f>
        <v>0.85</v>
      </c>
      <c r="BF279">
        <f>VLOOKUP($F279,Constants!$I:$K, 3, FALSE)*IF(AND(E279="multiple_unit",Z279&lt;110),0.75,1)</f>
        <v>1.7249999999999999</v>
      </c>
      <c r="BG279">
        <f>INT(POWER(((Constants!$G$2+$AZ279+$BA279+$BB279+$BD279)*$BC279)*$BF279, 1.05))+$AY279</f>
        <v>75</v>
      </c>
      <c r="BH279">
        <f>INT(POWER((((Constants!$G$1+$AZ279+$BA279+$BB279+$BD279)*($BC279))*$BE279),IF($E279="wagon",1,1.2)))+$AX279</f>
        <v>79</v>
      </c>
      <c r="BI279" s="14">
        <f t="shared" si="92"/>
        <v>58593.75</v>
      </c>
      <c r="BJ279" s="14">
        <f t="shared" si="93"/>
        <v>6418.75</v>
      </c>
      <c r="BP279" t="s">
        <v>1148</v>
      </c>
      <c r="BQ279">
        <v>1</v>
      </c>
      <c r="BR279">
        <v>165</v>
      </c>
      <c r="BT279" t="s">
        <v>283</v>
      </c>
      <c r="BU279" t="str">
        <f>VLOOKUP(H279,Eras!$A$2:$C$10, 2, TRUE)</f>
        <v>mod</v>
      </c>
      <c r="BV279" t="s">
        <v>333</v>
      </c>
      <c r="BW279" t="str">
        <f t="shared" si="94"/>
        <v>mod_EMU</v>
      </c>
      <c r="BX279" t="str">
        <f t="shared" si="95"/>
        <v>electric_ELRL</v>
      </c>
      <c r="BY279" t="str">
        <f>VLOOKUP($BX279, Constants!$M:$N, 2, FALSE)</f>
        <v>{BLACK}Powered by: {GOLD}25kV AC</v>
      </c>
      <c r="BZ279" t="str">
        <f t="shared" si="97"/>
        <v>{BLACK}Cars: {GOLD}4</v>
      </c>
      <c r="CA279" t="s">
        <v>1283</v>
      </c>
      <c r="CB279" t="str">
        <f t="shared" si="98"/>
        <v>{YELLOW}10% Penalty for long distance travel{}</v>
      </c>
      <c r="CC279" t="str">
        <f t="shared" si="96"/>
        <v>{BLACK}Powered by: {GOLD}25kV AC {BLACK}Cars: {GOLD}4{}{YELLOW}10% Penalty for long distance travel{}{SILVER}Designed for London's Crossrail route, the Class 345 entered service on TfL Rail between Liverpool Street and Shenfield.</v>
      </c>
    </row>
    <row r="280" spans="1:81" x14ac:dyDescent="0.25">
      <c r="A280" t="s">
        <v>1266</v>
      </c>
      <c r="B280" t="s">
        <v>1298</v>
      </c>
      <c r="C280">
        <v>519</v>
      </c>
      <c r="D280">
        <v>187</v>
      </c>
      <c r="E280" t="s">
        <v>404</v>
      </c>
      <c r="F280" t="s">
        <v>552</v>
      </c>
      <c r="G280" t="s">
        <v>551</v>
      </c>
      <c r="H280">
        <v>2016</v>
      </c>
      <c r="K280">
        <v>5</v>
      </c>
      <c r="L280">
        <v>4400</v>
      </c>
      <c r="M280" s="8">
        <v>2560</v>
      </c>
      <c r="U280">
        <v>278</v>
      </c>
      <c r="W280">
        <v>6</v>
      </c>
      <c r="X280">
        <v>225</v>
      </c>
      <c r="Y280" s="3">
        <f t="shared" si="84"/>
        <v>8.0935251798561147E-2</v>
      </c>
      <c r="Z280">
        <v>100</v>
      </c>
      <c r="AA280">
        <f t="shared" si="81"/>
        <v>160</v>
      </c>
      <c r="AD280">
        <v>20.2</v>
      </c>
      <c r="AE280">
        <v>20.2</v>
      </c>
      <c r="AH280" s="10">
        <v>69</v>
      </c>
      <c r="AI280" t="str">
        <f>CONCATENATE(VLOOKUP(AJ280, 'Voxel Sizes'!$A$2:$B$18,2,FALSE),"x",INT(AF280*15), "x", INT(AG280*15))</f>
        <v>198x0x0</v>
      </c>
      <c r="AJ280">
        <f t="shared" si="85"/>
        <v>12</v>
      </c>
      <c r="AL280" t="str">
        <f>CONCATENATE(VLOOKUP(AJ280,Constants!$A$2:$C$16,IF(AK280&lt;&gt;"", 3, 2), FALSE),IF(AK280&lt;&gt;"",CONCATENATE(",",VLOOKUP(AK280,$B:$AL,37,FALSE)),""))</f>
        <v>4,4,4</v>
      </c>
      <c r="AP280" t="s">
        <v>1308</v>
      </c>
      <c r="AQ280" t="s">
        <v>1292</v>
      </c>
      <c r="AR280" t="s">
        <v>664</v>
      </c>
      <c r="AS280" t="s">
        <v>1288</v>
      </c>
      <c r="AV280">
        <v>30</v>
      </c>
      <c r="AW280" s="15" t="str">
        <f t="shared" si="86"/>
        <v/>
      </c>
      <c r="AX280">
        <v>-15</v>
      </c>
      <c r="AY280">
        <v>-30</v>
      </c>
      <c r="AZ280">
        <f t="shared" si="87"/>
        <v>20</v>
      </c>
      <c r="BA280">
        <f t="shared" si="88"/>
        <v>20</v>
      </c>
      <c r="BB280">
        <f t="shared" si="89"/>
        <v>11.25</v>
      </c>
      <c r="BC280" s="3">
        <f t="shared" si="90"/>
        <v>0.84533333333333327</v>
      </c>
      <c r="BD280">
        <f t="shared" si="91"/>
        <v>11.500000000000002</v>
      </c>
      <c r="BE280">
        <f>VLOOKUP($F280,Constants!$I:$K, 2, FALSE)</f>
        <v>0.85</v>
      </c>
      <c r="BF280">
        <f>VLOOKUP($F280,Constants!$I:$K, 3, FALSE)*IF(AND(E280="multiple_unit",Z280&lt;110),0.75,1)</f>
        <v>1.7999999999999998</v>
      </c>
      <c r="BG280">
        <f>INT(POWER(((Constants!$G$2+$AZ280+$BA280+$BB280+$BD280)*$BC280)*$BF280, 1.05))+$AY280</f>
        <v>99</v>
      </c>
      <c r="BH280">
        <f>INT(POWER((((Constants!$G$1+$AZ280+$BA280+$BB280+$BD280)*($BC280))*$BE280),IF($E280="wagon",1,1.2)))+$AX280</f>
        <v>109</v>
      </c>
      <c r="BI280" s="14">
        <f t="shared" si="92"/>
        <v>77343.75</v>
      </c>
      <c r="BJ280" s="14">
        <f t="shared" si="93"/>
        <v>8856.25</v>
      </c>
      <c r="BP280" t="s">
        <v>1148</v>
      </c>
      <c r="BQ280">
        <v>3</v>
      </c>
      <c r="BT280" t="s">
        <v>283</v>
      </c>
      <c r="BU280" t="str">
        <f>VLOOKUP(H280,Eras!$A$2:$C$10, 2, TRUE)</f>
        <v>mod</v>
      </c>
      <c r="BV280" t="s">
        <v>333</v>
      </c>
      <c r="BW280" t="str">
        <f t="shared" si="94"/>
        <v>mod_EMU</v>
      </c>
      <c r="BX280" t="str">
        <f t="shared" si="95"/>
        <v>dual_electric_DUAL_POWER</v>
      </c>
      <c r="BY280" t="str">
        <f>VLOOKUP($BX280, Constants!$M:$N, 2, FALSE)</f>
        <v>{BLACK}Powered by: {GOLD}25kV AC / 750V DC</v>
      </c>
      <c r="BZ280" t="str">
        <f t="shared" si="97"/>
        <v>{BLACK}Cars: {GOLD}5</v>
      </c>
      <c r="CA280" t="s">
        <v>1291</v>
      </c>
      <c r="CB280" t="str">
        <f t="shared" si="98"/>
        <v/>
      </c>
      <c r="CC280" t="str">
        <f t="shared" si="96"/>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1" spans="1:81" x14ac:dyDescent="0.25">
      <c r="A281" t="s">
        <v>1272</v>
      </c>
      <c r="B281" t="s">
        <v>1299</v>
      </c>
      <c r="C281">
        <v>520</v>
      </c>
      <c r="D281">
        <v>188</v>
      </c>
      <c r="E281" t="s">
        <v>404</v>
      </c>
      <c r="F281" t="s">
        <v>541</v>
      </c>
      <c r="G281" t="s">
        <v>297</v>
      </c>
      <c r="H281">
        <v>2017</v>
      </c>
      <c r="K281">
        <v>4</v>
      </c>
      <c r="L281">
        <v>3200</v>
      </c>
      <c r="M281" s="8">
        <v>2250</v>
      </c>
      <c r="U281">
        <v>243</v>
      </c>
      <c r="W281">
        <v>5</v>
      </c>
      <c r="X281">
        <v>195</v>
      </c>
      <c r="Y281" s="3">
        <f t="shared" si="84"/>
        <v>8.0246913580246909E-2</v>
      </c>
      <c r="Z281">
        <v>140</v>
      </c>
      <c r="AA281">
        <f t="shared" si="81"/>
        <v>224</v>
      </c>
      <c r="AD281">
        <v>26</v>
      </c>
      <c r="AE281">
        <v>24</v>
      </c>
      <c r="AH281" s="10">
        <v>66</v>
      </c>
      <c r="AI281" t="str">
        <f>CONCATENATE(VLOOKUP(AJ281, 'Voxel Sizes'!$A$2:$B$18,2,FALSE),"x",INT(AF281*15), "x", INT(AG281*15))</f>
        <v>238x0x0</v>
      </c>
      <c r="AJ281">
        <f t="shared" si="85"/>
        <v>14</v>
      </c>
      <c r="AL281" t="str">
        <f>CONCATENATE(VLOOKUP(AJ281,Constants!$A$2:$C$16,IF(AK281&lt;&gt;"", 3, 2), FALSE),IF(AK281&lt;&gt;"",CONCATENATE(",",VLOOKUP(AK281,$B:$AL,37,FALSE)),""))</f>
        <v>4,6,4</v>
      </c>
      <c r="AM281">
        <v>12</v>
      </c>
      <c r="AP281" t="s">
        <v>1300</v>
      </c>
      <c r="AQ281" t="s">
        <v>1275</v>
      </c>
      <c r="AR281" t="s">
        <v>1126</v>
      </c>
      <c r="AS281" t="s">
        <v>1273</v>
      </c>
      <c r="AV281">
        <v>30</v>
      </c>
      <c r="AW281" s="15" t="str">
        <f t="shared" si="86"/>
        <v/>
      </c>
      <c r="AX281">
        <v>-15</v>
      </c>
      <c r="AY281">
        <v>-30</v>
      </c>
      <c r="AZ281">
        <f t="shared" si="87"/>
        <v>28</v>
      </c>
      <c r="BA281">
        <f t="shared" si="88"/>
        <v>16</v>
      </c>
      <c r="BB281">
        <f t="shared" si="89"/>
        <v>9.75</v>
      </c>
      <c r="BC281" s="3">
        <f t="shared" si="90"/>
        <v>0.84399999999999997</v>
      </c>
      <c r="BD281">
        <f t="shared" si="91"/>
        <v>8.8000000000000007</v>
      </c>
      <c r="BE281">
        <f>VLOOKUP($F281,Constants!$I:$K, 2, FALSE)</f>
        <v>0.9</v>
      </c>
      <c r="BF281">
        <f>VLOOKUP($F281,Constants!$I:$K, 3, FALSE)*IF(AND(E281="multiple_unit",Z281&lt;110),0.75,1)</f>
        <v>2.5</v>
      </c>
      <c r="BG281">
        <f>INT(POWER(((Constants!$G$2+$AZ281+$BA281+$BB281+$BD281)*$BC281)*$BF281, 1.05))+$AY281</f>
        <v>152</v>
      </c>
      <c r="BH281">
        <f>INT(POWER((((Constants!$G$1+$AZ281+$BA281+$BB281+$BD281)*($BC281))*$BE281),IF($E281="wagon",1,1.2)))+$AX281</f>
        <v>118</v>
      </c>
      <c r="BI281" s="14">
        <f t="shared" si="92"/>
        <v>118750</v>
      </c>
      <c r="BJ281" s="14">
        <f t="shared" si="93"/>
        <v>9587.5</v>
      </c>
      <c r="BP281" t="s">
        <v>1148</v>
      </c>
      <c r="BQ281">
        <v>10</v>
      </c>
      <c r="BR281">
        <v>222</v>
      </c>
      <c r="BT281" t="s">
        <v>283</v>
      </c>
      <c r="BU281" t="str">
        <f>VLOOKUP(H281,Eras!$A$2:$C$10, 2, TRUE)</f>
        <v>mod</v>
      </c>
      <c r="BV281" t="s">
        <v>334</v>
      </c>
      <c r="BW281" t="str">
        <f t="shared" si="94"/>
        <v>mod_EMU (Express)</v>
      </c>
      <c r="BX281" t="str">
        <f t="shared" si="95"/>
        <v>dual_power_ELRL</v>
      </c>
      <c r="BY281" t="str">
        <f>VLOOKUP($BX281, Constants!$M:$N, 2, FALSE)</f>
        <v>{BLACK}Powered by: {GOLD}25kV AC / Diesel</v>
      </c>
      <c r="BZ281" t="str">
        <f t="shared" si="97"/>
        <v>{BLACK}Cars: {GOLD}4</v>
      </c>
      <c r="CA281" t="s">
        <v>1276</v>
      </c>
      <c r="CB281" t="str">
        <f t="shared" si="98"/>
        <v>{YELLOW}20% Bonus for long distance travel{}</v>
      </c>
      <c r="CC281" t="str">
        <f t="shared" si="9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2" spans="1:81" x14ac:dyDescent="0.25">
      <c r="A282" t="s">
        <v>1498</v>
      </c>
      <c r="B282" t="s">
        <v>1499</v>
      </c>
      <c r="C282">
        <v>522</v>
      </c>
      <c r="D282">
        <v>189</v>
      </c>
      <c r="E282" t="s">
        <v>404</v>
      </c>
      <c r="F282" t="s">
        <v>541</v>
      </c>
      <c r="G282" t="s">
        <v>1501</v>
      </c>
      <c r="H282">
        <v>2023</v>
      </c>
      <c r="K282">
        <v>4</v>
      </c>
      <c r="L282">
        <v>2000</v>
      </c>
      <c r="M282" s="8">
        <v>970</v>
      </c>
      <c r="U282">
        <v>233</v>
      </c>
      <c r="W282">
        <v>6</v>
      </c>
      <c r="X282">
        <v>162</v>
      </c>
      <c r="Y282" s="3">
        <f t="shared" si="84"/>
        <v>6.9527896995708161E-2</v>
      </c>
      <c r="Z282">
        <v>75</v>
      </c>
      <c r="AA282">
        <f t="shared" si="81"/>
        <v>120</v>
      </c>
      <c r="AB282">
        <v>100</v>
      </c>
      <c r="AD282">
        <v>16</v>
      </c>
      <c r="AE282">
        <v>16</v>
      </c>
      <c r="AF282">
        <v>2.8</v>
      </c>
      <c r="AG282">
        <v>3.8</v>
      </c>
      <c r="AH282" s="10">
        <v>45</v>
      </c>
      <c r="AI282" t="str">
        <f>CONCATENATE(VLOOKUP(AJ282, 'Voxel Sizes'!$A$2:$B$18,2,FALSE),"x",INT(AF282*15), "x", INT(AG282*15))</f>
        <v>152x42x57</v>
      </c>
      <c r="AJ282">
        <f t="shared" si="85"/>
        <v>9</v>
      </c>
      <c r="AL282" t="str">
        <f>CONCATENATE(VLOOKUP(AJ282,Constants!$A$2:$C$16,IF(AK282&lt;&gt;"", 3, 2), FALSE),IF(AK282&lt;&gt;"",CONCATENATE(",",VLOOKUP(AK282,$B:$AL,37,FALSE)),""))</f>
        <v>2,5,2</v>
      </c>
      <c r="AP282" t="s">
        <v>1506</v>
      </c>
      <c r="AR282" t="s">
        <v>555</v>
      </c>
      <c r="AV282">
        <v>30</v>
      </c>
      <c r="AW282" s="15" t="str">
        <f t="shared" si="86"/>
        <v/>
      </c>
      <c r="AX282">
        <v>-17</v>
      </c>
      <c r="AY282">
        <v>-20</v>
      </c>
      <c r="AZ282">
        <f t="shared" si="87"/>
        <v>15</v>
      </c>
      <c r="BA282">
        <f t="shared" si="88"/>
        <v>10</v>
      </c>
      <c r="BB282">
        <f t="shared" si="89"/>
        <v>8.1000000000000014</v>
      </c>
      <c r="BC282" s="3">
        <f t="shared" si="90"/>
        <v>0.83599999999999997</v>
      </c>
      <c r="BD282">
        <f t="shared" si="91"/>
        <v>6</v>
      </c>
      <c r="BE282">
        <f>VLOOKUP($F282,Constants!$I:$K, 2, FALSE)</f>
        <v>0.9</v>
      </c>
      <c r="BF282">
        <f>VLOOKUP($F282,Constants!$I:$K, 3, FALSE)*IF(AND(E282="multiple_unit",Z282&lt;110),0.75,1)</f>
        <v>1.875</v>
      </c>
      <c r="BG282">
        <f>INT(POWER(((Constants!$G$2+$AZ282+$BA282+$BB282+$BD282)*$BC282)*$BF282, 1.05))+$AY282</f>
        <v>65</v>
      </c>
      <c r="BH282">
        <f>INT(POWER((((Constants!$G$1+$AZ282+$BA282+$BB282+$BD282)*($BC282))*$BE282),IF($E282="wagon",1,1.2)))+$AX282</f>
        <v>68</v>
      </c>
      <c r="BI282" s="14">
        <f t="shared" ref="BI282" si="99">BG282*IF($E282="wagon",62.5,781.25)</f>
        <v>50781.25</v>
      </c>
      <c r="BJ282" s="14">
        <f t="shared" ref="BJ282" si="100">BH282*IF($E282="wagon",2.73,81.25)</f>
        <v>5525</v>
      </c>
      <c r="BQ282">
        <v>3</v>
      </c>
      <c r="BT282" t="s">
        <v>283</v>
      </c>
      <c r="BU282" t="s">
        <v>322</v>
      </c>
      <c r="BV282" t="s">
        <v>333</v>
      </c>
      <c r="BW282" t="str">
        <f t="shared" si="94"/>
        <v>mod_EMU</v>
      </c>
      <c r="BX282" t="str">
        <f t="shared" si="95"/>
        <v>dual_power_BATTERY</v>
      </c>
      <c r="BY282" t="str">
        <f>VLOOKUP($BX282, Constants!$M:$N, 2, FALSE)</f>
        <v>{BLACK}Powered by: {GOLD}750V DC / Battery</v>
      </c>
      <c r="BZ282" t="str">
        <f t="shared" si="97"/>
        <v>{BLACK}Cars: {GOLD}4</v>
      </c>
      <c r="CA282" t="s">
        <v>1504</v>
      </c>
      <c r="CB282" t="str">
        <f t="shared" si="98"/>
        <v/>
      </c>
      <c r="CC282" t="str">
        <f t="shared" si="96"/>
        <v>{BLACK}Powered by: {GOLD}750V DC / Battery {BLACK}Cars: {GOLD}4{}{SILVER}The Class 777 "METRO" is a dual-mode unit which charges a battery when on third rail power, which can be used to travel over unpowered track.</v>
      </c>
    </row>
    <row r="283" spans="1:81" x14ac:dyDescent="0.25">
      <c r="A283" t="s">
        <v>95</v>
      </c>
      <c r="B283" t="s">
        <v>229</v>
      </c>
      <c r="C283">
        <v>700</v>
      </c>
      <c r="D283">
        <v>190</v>
      </c>
      <c r="E283" t="s">
        <v>263</v>
      </c>
      <c r="F283" t="s">
        <v>1109</v>
      </c>
      <c r="G283" t="s">
        <v>1411</v>
      </c>
      <c r="H283">
        <v>1889</v>
      </c>
      <c r="J283">
        <v>1923</v>
      </c>
      <c r="L283">
        <v>100</v>
      </c>
      <c r="U283">
        <v>15</v>
      </c>
      <c r="X283">
        <v>22</v>
      </c>
      <c r="Y283" s="3">
        <f t="shared" si="84"/>
        <v>0.14666666666666667</v>
      </c>
      <c r="Z283">
        <v>25</v>
      </c>
      <c r="AA283">
        <f t="shared" ref="AA283:AA302" si="101">ROUND(Z283*1.6, 0)</f>
        <v>40</v>
      </c>
      <c r="AE283">
        <v>8</v>
      </c>
      <c r="AI283" t="str">
        <f>CONCATENATE(VLOOKUP(AJ283, 'Voxel Sizes'!$A$2:$B$18,2,FALSE),"x",INT(AF283*15), "x", INT(AG283*15))</f>
        <v>82x0x0</v>
      </c>
      <c r="AJ283">
        <f t="shared" si="85"/>
        <v>5</v>
      </c>
      <c r="AL283" t="str">
        <f>CONCATENATE(VLOOKUP(AJ283,Constants!$A$2:$C$16,IF(AK283&lt;&gt;"", 3, 2), FALSE),IF(AK283&lt;&gt;"",CONCATENATE(",",VLOOKUP(AK283,$B:$AL,37,FALSE)),""))</f>
        <v>2,1,2</v>
      </c>
      <c r="AV283">
        <v>29</v>
      </c>
      <c r="AW283" s="15">
        <f t="shared" si="86"/>
        <v>42</v>
      </c>
      <c r="AZ283">
        <f t="shared" si="87"/>
        <v>5</v>
      </c>
      <c r="BA283">
        <f t="shared" si="88"/>
        <v>0.5</v>
      </c>
      <c r="BB283">
        <f t="shared" si="89"/>
        <v>1.1000000000000001</v>
      </c>
      <c r="BC283" s="3">
        <f t="shared" si="90"/>
        <v>1</v>
      </c>
      <c r="BD283">
        <f t="shared" si="91"/>
        <v>0</v>
      </c>
      <c r="BE283">
        <f>VLOOKUP($F283,Constants!$I:$K, 2, FALSE)</f>
        <v>0.9</v>
      </c>
      <c r="BF283">
        <f>VLOOKUP($F283,Constants!$I:$K, 3, FALSE)*IF(AND(E283="multiple_unit",Z283&lt;110),0.75,1)</f>
        <v>1.6</v>
      </c>
      <c r="BG283">
        <f>INT(POWER(((Constants!$G$2+$AZ283+$BA283+$BB283+$BD283)*$BC283)*$BF283, 1.05))+$AY283</f>
        <v>21</v>
      </c>
      <c r="BH283">
        <f>INT(POWER((((Constants!$G$1+$AZ283+$BA283+$BB283+$BD283)*($BC283))*$BE283),IF($E283="wagon",1,1.2)))+$AX283</f>
        <v>35</v>
      </c>
      <c r="BI283" s="14">
        <f t="shared" si="92"/>
        <v>16406.25</v>
      </c>
      <c r="BJ283" s="14">
        <f t="shared" si="93"/>
        <v>2843.75</v>
      </c>
      <c r="BQ283">
        <v>1</v>
      </c>
      <c r="BU283" t="str">
        <f>VLOOKUP(H283,Eras!$A$2:$C$10, 2, TRUE)</f>
        <v>vct</v>
      </c>
      <c r="BV283" t="s">
        <v>345</v>
      </c>
      <c r="BW283" t="str">
        <f t="shared" si="94"/>
        <v>vct_LU</v>
      </c>
      <c r="BX283" t="str">
        <f t="shared" si="95"/>
        <v>tube_FOURTH_RAIL</v>
      </c>
      <c r="BY283" t="str">
        <f>VLOOKUP($BX283, Constants!$M:$N, 2, FALSE)</f>
        <v>{BLACK}Powered by: {GOLD}630V DC</v>
      </c>
      <c r="BZ283" t="str">
        <f t="shared" si="97"/>
        <v/>
      </c>
      <c r="CA283" t="s">
        <v>1458</v>
      </c>
      <c r="CB283" t="str">
        <f t="shared" si="98"/>
        <v/>
      </c>
      <c r="CC283" t="str">
        <f t="shared" si="96"/>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4" spans="1:81" x14ac:dyDescent="0.25">
      <c r="A284" t="s">
        <v>96</v>
      </c>
      <c r="B284" t="s">
        <v>191</v>
      </c>
      <c r="C284">
        <v>702</v>
      </c>
      <c r="D284">
        <v>191</v>
      </c>
      <c r="E284" t="s">
        <v>404</v>
      </c>
      <c r="F284" t="s">
        <v>1109</v>
      </c>
      <c r="G284" t="s">
        <v>1411</v>
      </c>
      <c r="H284">
        <v>1906</v>
      </c>
      <c r="J284">
        <v>1953</v>
      </c>
      <c r="K284">
        <v>3</v>
      </c>
      <c r="L284">
        <v>350</v>
      </c>
      <c r="U284">
        <f>27+20+20</f>
        <v>67</v>
      </c>
      <c r="W284">
        <v>8</v>
      </c>
      <c r="X284">
        <v>55</v>
      </c>
      <c r="Y284" s="3">
        <f t="shared" si="84"/>
        <v>8.2089552238805971E-2</v>
      </c>
      <c r="Z284">
        <v>35</v>
      </c>
      <c r="AA284">
        <f t="shared" si="101"/>
        <v>56</v>
      </c>
      <c r="AD284">
        <v>15.3</v>
      </c>
      <c r="AE284">
        <v>15.3</v>
      </c>
      <c r="AF284">
        <v>2.67</v>
      </c>
      <c r="AG284">
        <v>2.8</v>
      </c>
      <c r="AH284" s="10">
        <v>78</v>
      </c>
      <c r="AI284" t="str">
        <f>CONCATENATE(VLOOKUP(AJ284, 'Voxel Sizes'!$A$2:$B$18,2,FALSE),"x",INT(AF284*15), "x", INT(AG284*15))</f>
        <v>152x40x42</v>
      </c>
      <c r="AJ284">
        <f t="shared" si="85"/>
        <v>9</v>
      </c>
      <c r="AL284" t="str">
        <f>CONCATENATE(VLOOKUP(AJ284,Constants!$A$2:$C$16,IF(AK284&lt;&gt;"", 3, 2), FALSE),IF(AK284&lt;&gt;"",CONCATENATE(",",VLOOKUP(AK284,$B:$AL,37,FALSE)),""))</f>
        <v>2,5,2</v>
      </c>
      <c r="AP284" t="s">
        <v>1460</v>
      </c>
      <c r="AR284" t="s">
        <v>292</v>
      </c>
      <c r="AV284">
        <v>34</v>
      </c>
      <c r="AW284" s="15">
        <f t="shared" si="86"/>
        <v>55</v>
      </c>
      <c r="AZ284">
        <f t="shared" si="87"/>
        <v>7</v>
      </c>
      <c r="BA284">
        <f t="shared" si="88"/>
        <v>1.75</v>
      </c>
      <c r="BB284">
        <f t="shared" si="89"/>
        <v>2.75</v>
      </c>
      <c r="BC284" s="3">
        <f t="shared" si="90"/>
        <v>0.99199999999999999</v>
      </c>
      <c r="BD284">
        <f t="shared" si="91"/>
        <v>7.8000000000000007</v>
      </c>
      <c r="BE284">
        <f>VLOOKUP($F284,Constants!$I:$K, 2, FALSE)</f>
        <v>0.9</v>
      </c>
      <c r="BF284">
        <f>VLOOKUP($F284,Constants!$I:$K, 3, FALSE)*IF(AND(E284="multiple_unit",Z284&lt;110),0.75,1)</f>
        <v>1.2000000000000002</v>
      </c>
      <c r="BG284">
        <f>INT(POWER(((Constants!$G$2+$AZ284+$BA284+$BB284+$BD284)*$BC284)*$BF284, 1.05))+$AY284</f>
        <v>34</v>
      </c>
      <c r="BH284">
        <f>INT(POWER((((Constants!$G$1+$AZ284+$BA284+$BB284+$BD284)*($BC284))*$BE284),IF($E284="wagon",1,1.2)))+$AX284</f>
        <v>60</v>
      </c>
      <c r="BI284" s="14">
        <f t="shared" si="92"/>
        <v>26562.5</v>
      </c>
      <c r="BJ284" s="14">
        <f t="shared" si="93"/>
        <v>4875</v>
      </c>
      <c r="BQ284">
        <v>2</v>
      </c>
      <c r="BR284">
        <v>120</v>
      </c>
      <c r="BT284" t="s">
        <v>283</v>
      </c>
      <c r="BU284" t="str">
        <f>VLOOKUP(H284,Eras!$A$2:$C$10, 2, TRUE)</f>
        <v>edw</v>
      </c>
      <c r="BV284" t="s">
        <v>345</v>
      </c>
      <c r="BW284" t="str">
        <f t="shared" si="94"/>
        <v>edw_LU</v>
      </c>
      <c r="BX284" t="str">
        <f t="shared" si="95"/>
        <v>tube_FOURTH_RAIL</v>
      </c>
      <c r="BY284" t="str">
        <f>VLOOKUP($BX284, Constants!$M:$N, 2, FALSE)</f>
        <v>{BLACK}Powered by: {GOLD}630V DC</v>
      </c>
      <c r="BZ284" t="str">
        <f t="shared" si="97"/>
        <v>{BLACK}Cars: {GOLD}3</v>
      </c>
      <c r="CA284" t="s">
        <v>1461</v>
      </c>
      <c r="CB284" t="str">
        <f t="shared" si="98"/>
        <v>{YELLOW}35% Penalty for long distance travel{}</v>
      </c>
      <c r="CC284" t="str">
        <f t="shared" si="96"/>
        <v>{BLACK}Powered by: {GOLD}630V DC {BLACK}Cars: {GOLD}3{}{YELLOW}35% Penalty for long distance travel{}{SILVER}The Gate Stock was a deep level unit used on Charles Yerkes' Tube lines. It was named for the manual entry gates, each operated by a gateman.</v>
      </c>
    </row>
    <row r="285" spans="1:81" x14ac:dyDescent="0.25">
      <c r="A285" t="s">
        <v>97</v>
      </c>
      <c r="B285" t="s">
        <v>192</v>
      </c>
      <c r="C285">
        <v>704</v>
      </c>
      <c r="D285">
        <v>192</v>
      </c>
      <c r="E285" t="s">
        <v>404</v>
      </c>
      <c r="F285" t="s">
        <v>1109</v>
      </c>
      <c r="G285" t="s">
        <v>1411</v>
      </c>
      <c r="H285">
        <v>1923</v>
      </c>
      <c r="J285">
        <v>1991</v>
      </c>
      <c r="K285">
        <v>3</v>
      </c>
      <c r="L285">
        <v>450</v>
      </c>
      <c r="U285">
        <v>74</v>
      </c>
      <c r="W285">
        <v>10</v>
      </c>
      <c r="X285">
        <v>60</v>
      </c>
      <c r="Y285" s="3">
        <f t="shared" si="84"/>
        <v>8.1081081081081086E-2</v>
      </c>
      <c r="Z285">
        <v>40</v>
      </c>
      <c r="AA285">
        <f t="shared" si="101"/>
        <v>64</v>
      </c>
      <c r="AD285">
        <v>15.3</v>
      </c>
      <c r="AE285">
        <v>15.3</v>
      </c>
      <c r="AF285">
        <v>2.67</v>
      </c>
      <c r="AG285">
        <v>2.8</v>
      </c>
      <c r="AH285" s="10">
        <v>84</v>
      </c>
      <c r="AI285" t="str">
        <f>CONCATENATE(VLOOKUP(AJ285, 'Voxel Sizes'!$A$2:$B$18,2,FALSE),"x",INT(AF285*15), "x", INT(AG285*15))</f>
        <v>152x40x42</v>
      </c>
      <c r="AJ285">
        <f t="shared" si="85"/>
        <v>9</v>
      </c>
      <c r="AL285" t="str">
        <f>CONCATENATE(VLOOKUP(AJ285,Constants!$A$2:$C$16,IF(AK285&lt;&gt;"", 3, 2), FALSE),IF(AK285&lt;&gt;"",CONCATENATE(",",VLOOKUP(AK285,$B:$AL,37,FALSE)),""))</f>
        <v>2,5,2</v>
      </c>
      <c r="AP285" t="s">
        <v>1462</v>
      </c>
      <c r="AR285" t="s">
        <v>292</v>
      </c>
      <c r="AV285">
        <v>41</v>
      </c>
      <c r="AW285" s="15">
        <f t="shared" si="86"/>
        <v>76</v>
      </c>
      <c r="AZ285">
        <f t="shared" si="87"/>
        <v>8</v>
      </c>
      <c r="BA285">
        <f t="shared" si="88"/>
        <v>2.25</v>
      </c>
      <c r="BB285">
        <f t="shared" si="89"/>
        <v>3</v>
      </c>
      <c r="BC285" s="3">
        <f t="shared" si="90"/>
        <v>0.96933333333333338</v>
      </c>
      <c r="BD285">
        <f t="shared" si="91"/>
        <v>8.4</v>
      </c>
      <c r="BE285">
        <f>VLOOKUP($F285,Constants!$I:$K, 2, FALSE)</f>
        <v>0.9</v>
      </c>
      <c r="BF285">
        <f>VLOOKUP($F285,Constants!$I:$K, 3, FALSE)*IF(AND(E285="multiple_unit",Z285&lt;110),0.75,1)</f>
        <v>1.2000000000000002</v>
      </c>
      <c r="BG285">
        <f>INT(POWER(((Constants!$G$2+$AZ285+$BA285+$BB285+$BD285)*$BC285)*$BF285, 1.05))+$AY285</f>
        <v>36</v>
      </c>
      <c r="BH285">
        <f>INT(POWER((((Constants!$G$1+$AZ285+$BA285+$BB285+$BD285)*($BC285))*$BE285),IF($E285="wagon",1,1.2)))+$AX285</f>
        <v>63</v>
      </c>
      <c r="BI285" s="14">
        <f t="shared" si="92"/>
        <v>28125</v>
      </c>
      <c r="BJ285" s="14">
        <f t="shared" si="93"/>
        <v>5118.75</v>
      </c>
      <c r="BQ285">
        <v>3</v>
      </c>
      <c r="BR285">
        <v>120</v>
      </c>
      <c r="BT285" t="s">
        <v>283</v>
      </c>
      <c r="BU285" t="str">
        <f>VLOOKUP(H285,Eras!$A$2:$C$10, 2, TRUE)</f>
        <v>big4</v>
      </c>
      <c r="BV285" t="s">
        <v>345</v>
      </c>
      <c r="BW285" t="str">
        <f t="shared" si="94"/>
        <v>big4_LU</v>
      </c>
      <c r="BX285" t="str">
        <f t="shared" si="95"/>
        <v>tube_FOURTH_RAIL</v>
      </c>
      <c r="BY285" t="str">
        <f>VLOOKUP($BX285, Constants!$M:$N, 2, FALSE)</f>
        <v>{BLACK}Powered by: {GOLD}630V DC</v>
      </c>
      <c r="BZ285" t="str">
        <f t="shared" si="97"/>
        <v>{BLACK}Cars: {GOLD}3</v>
      </c>
      <c r="CA285" t="s">
        <v>1463</v>
      </c>
      <c r="CB285" t="str">
        <f t="shared" si="98"/>
        <v>{YELLOW}35% Penalty for long distance travel{}</v>
      </c>
      <c r="CC285" t="str">
        <f t="shared" si="96"/>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6" spans="1:81" x14ac:dyDescent="0.25">
      <c r="A286" t="s">
        <v>98</v>
      </c>
      <c r="B286" t="s">
        <v>252</v>
      </c>
      <c r="C286">
        <v>708</v>
      </c>
      <c r="D286">
        <v>193</v>
      </c>
      <c r="E286" t="s">
        <v>404</v>
      </c>
      <c r="F286" t="s">
        <v>1109</v>
      </c>
      <c r="G286" t="s">
        <v>1411</v>
      </c>
      <c r="H286">
        <v>1937</v>
      </c>
      <c r="J286">
        <v>1981</v>
      </c>
      <c r="K286">
        <v>3</v>
      </c>
      <c r="L286">
        <v>500</v>
      </c>
      <c r="U286">
        <v>79</v>
      </c>
      <c r="W286">
        <v>10</v>
      </c>
      <c r="X286">
        <v>60</v>
      </c>
      <c r="Y286" s="3">
        <f t="shared" si="84"/>
        <v>7.5949367088607597E-2</v>
      </c>
      <c r="Z286">
        <v>42</v>
      </c>
      <c r="AA286">
        <f t="shared" si="101"/>
        <v>67</v>
      </c>
      <c r="AD286">
        <v>16</v>
      </c>
      <c r="AE286">
        <v>16</v>
      </c>
      <c r="AF286">
        <v>2.92</v>
      </c>
      <c r="AG286">
        <v>3.68</v>
      </c>
      <c r="AH286" s="10">
        <v>129</v>
      </c>
      <c r="AI286" t="str">
        <f>CONCATENATE(VLOOKUP(AJ286, 'Voxel Sizes'!$A$2:$B$18,2,FALSE),"x",INT(AF286*15), "x", INT(AG286*15))</f>
        <v>152x43x55</v>
      </c>
      <c r="AJ286">
        <f t="shared" si="85"/>
        <v>9</v>
      </c>
      <c r="AL286" t="str">
        <f>CONCATENATE(VLOOKUP(AJ286,Constants!$A$2:$C$16,IF(AK286&lt;&gt;"", 3, 2), FALSE),IF(AK286&lt;&gt;"",CONCATENATE(",",VLOOKUP(AK286,$B:$AL,37,FALSE)),""))</f>
        <v>2,5,2</v>
      </c>
      <c r="AP286" t="s">
        <v>1464</v>
      </c>
      <c r="AR286" t="s">
        <v>292</v>
      </c>
      <c r="AV286">
        <v>39</v>
      </c>
      <c r="AW286" s="15">
        <f t="shared" si="86"/>
        <v>52</v>
      </c>
      <c r="AX286">
        <v>3</v>
      </c>
      <c r="AY286">
        <v>6</v>
      </c>
      <c r="AZ286">
        <f t="shared" si="87"/>
        <v>8.4</v>
      </c>
      <c r="BA286">
        <f t="shared" si="88"/>
        <v>2.5</v>
      </c>
      <c r="BB286">
        <f t="shared" si="89"/>
        <v>3</v>
      </c>
      <c r="BC286" s="3">
        <f t="shared" si="90"/>
        <v>0.95066666666666666</v>
      </c>
      <c r="BD286">
        <f t="shared" si="91"/>
        <v>12.9</v>
      </c>
      <c r="BE286">
        <f>VLOOKUP($F286,Constants!$I:$K, 2, FALSE)</f>
        <v>0.9</v>
      </c>
      <c r="BF286">
        <f>VLOOKUP($F286,Constants!$I:$K, 3, FALSE)*IF(AND(E286="multiple_unit",Z286&lt;110),0.75,1)</f>
        <v>1.2000000000000002</v>
      </c>
      <c r="BG286">
        <f>INT(POWER(((Constants!$G$2+$AZ286+$BA286+$BB286+$BD286)*$BC286)*$BF286, 1.05))+$AY286</f>
        <v>49</v>
      </c>
      <c r="BH286">
        <f>INT(POWER((((Constants!$G$1+$AZ286+$BA286+$BB286+$BD286)*($BC286))*$BE286),IF($E286="wagon",1,1.2)))+$AX286</f>
        <v>76</v>
      </c>
      <c r="BI286" s="14">
        <f t="shared" si="92"/>
        <v>38281.25</v>
      </c>
      <c r="BJ286" s="14">
        <f t="shared" si="93"/>
        <v>6175</v>
      </c>
      <c r="BQ286">
        <v>5</v>
      </c>
      <c r="BR286">
        <v>120</v>
      </c>
      <c r="BT286" t="s">
        <v>283</v>
      </c>
      <c r="BU286" t="str">
        <f>VLOOKUP(H286,Eras!$A$2:$C$10, 2, TRUE)</f>
        <v>big4</v>
      </c>
      <c r="BV286" t="s">
        <v>345</v>
      </c>
      <c r="BW286" t="str">
        <f t="shared" si="94"/>
        <v>big4_LU</v>
      </c>
      <c r="BX286" t="str">
        <f t="shared" si="95"/>
        <v>tube_FOURTH_RAIL</v>
      </c>
      <c r="BY286" t="str">
        <f>VLOOKUP($BX286, Constants!$M:$N, 2, FALSE)</f>
        <v>{BLACK}Powered by: {GOLD}630V DC</v>
      </c>
      <c r="BZ286" t="str">
        <f t="shared" si="97"/>
        <v>{BLACK}Cars: {GOLD}3</v>
      </c>
      <c r="CA286" t="s">
        <v>1465</v>
      </c>
      <c r="CB286" t="str">
        <f t="shared" si="98"/>
        <v>{YELLOW}35% Penalty for long distance travel{}</v>
      </c>
      <c r="CC286" t="str">
        <f t="shared" si="96"/>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7" spans="1:81" x14ac:dyDescent="0.25">
      <c r="A287" t="s">
        <v>1410</v>
      </c>
      <c r="B287" t="s">
        <v>190</v>
      </c>
      <c r="C287">
        <v>720</v>
      </c>
      <c r="D287">
        <v>194</v>
      </c>
      <c r="E287" t="s">
        <v>404</v>
      </c>
      <c r="F287" t="s">
        <v>1109</v>
      </c>
      <c r="G287" t="s">
        <v>1411</v>
      </c>
      <c r="H287">
        <v>1903</v>
      </c>
      <c r="I287">
        <v>1939</v>
      </c>
      <c r="J287">
        <v>1939</v>
      </c>
      <c r="K287">
        <v>6</v>
      </c>
      <c r="L287">
        <v>400</v>
      </c>
      <c r="U287">
        <f>(14*6)+20</f>
        <v>104</v>
      </c>
      <c r="W287">
        <v>10</v>
      </c>
      <c r="X287">
        <v>100</v>
      </c>
      <c r="Y287" s="3">
        <f t="shared" si="84"/>
        <v>9.6153846153846159E-2</v>
      </c>
      <c r="Z287">
        <v>30</v>
      </c>
      <c r="AA287">
        <f t="shared" si="101"/>
        <v>48</v>
      </c>
      <c r="AD287">
        <v>13.87</v>
      </c>
      <c r="AE287">
        <v>13.8</v>
      </c>
      <c r="AF287">
        <v>2.59</v>
      </c>
      <c r="AH287" s="10">
        <v>102</v>
      </c>
      <c r="AI287" t="str">
        <f>CONCATENATE(VLOOKUP(AJ287, 'Voxel Sizes'!$A$2:$B$18,2,FALSE),"x",INT(AF287*15), "x", INT(AG287*15))</f>
        <v>136x38x0</v>
      </c>
      <c r="AJ287">
        <f t="shared" si="85"/>
        <v>8</v>
      </c>
      <c r="AL287" t="str">
        <f>CONCATENATE(VLOOKUP(AJ287,Constants!$A$2:$C$16,IF(AK287&lt;&gt;"", 3, 2), FALSE),IF(AK287&lt;&gt;"",CONCATENATE(",",VLOOKUP(AK287,$B:$AL,37,FALSE)),""))</f>
        <v>2,4,2</v>
      </c>
      <c r="AP287" t="s">
        <v>1415</v>
      </c>
      <c r="AR287" t="s">
        <v>527</v>
      </c>
      <c r="AV287">
        <v>34</v>
      </c>
      <c r="AW287" s="15">
        <f t="shared" si="86"/>
        <v>44</v>
      </c>
      <c r="AZ287">
        <f t="shared" si="87"/>
        <v>6</v>
      </c>
      <c r="BA287">
        <f t="shared" si="88"/>
        <v>2</v>
      </c>
      <c r="BB287">
        <f t="shared" si="89"/>
        <v>5</v>
      </c>
      <c r="BC287" s="3">
        <f t="shared" si="90"/>
        <v>0.996</v>
      </c>
      <c r="BD287">
        <f t="shared" si="91"/>
        <v>20.399999999999999</v>
      </c>
      <c r="BE287">
        <f>VLOOKUP($F287,Constants!$I:$K, 2, FALSE)</f>
        <v>0.9</v>
      </c>
      <c r="BF287">
        <f>VLOOKUP($F287,Constants!$I:$K, 3, FALSE)*IF(AND(E287="multiple_unit",Z287&lt;110),0.75,1)</f>
        <v>1.2000000000000002</v>
      </c>
      <c r="BG287">
        <f>INT(POWER(((Constants!$G$2+$AZ287+$BA287+$BB287+$BD287)*$BC287)*$BF287, 1.05))+$AY287</f>
        <v>55</v>
      </c>
      <c r="BH287">
        <f>INT(POWER((((Constants!$G$1+$AZ287+$BA287+$BB287+$BD287)*($BC287))*$BE287),IF($E287="wagon",1,1.2)))+$AX287</f>
        <v>92</v>
      </c>
      <c r="BI287" s="14">
        <f t="shared" si="92"/>
        <v>42968.75</v>
      </c>
      <c r="BJ287" s="14">
        <f t="shared" si="93"/>
        <v>7475</v>
      </c>
      <c r="BQ287">
        <v>3</v>
      </c>
      <c r="BR287">
        <v>120</v>
      </c>
      <c r="BT287" t="s">
        <v>283</v>
      </c>
      <c r="BU287" t="str">
        <f>VLOOKUP(H287,Eras!$A$2:$C$10, 2, TRUE)</f>
        <v>edw</v>
      </c>
      <c r="BV287" t="s">
        <v>345</v>
      </c>
      <c r="BW287" t="str">
        <f t="shared" si="94"/>
        <v>edw_LU</v>
      </c>
      <c r="BX287" t="str">
        <f t="shared" si="95"/>
        <v>tube_FOURTH_RAIL</v>
      </c>
      <c r="BY287" t="str">
        <f>VLOOKUP($BX287, Constants!$M:$N, 2, FALSE)</f>
        <v>{BLACK}Powered by: {GOLD}630V DC</v>
      </c>
      <c r="BZ287" t="str">
        <f t="shared" si="97"/>
        <v>{BLACK}Cars: {GOLD}6</v>
      </c>
      <c r="CA287" t="s">
        <v>1414</v>
      </c>
      <c r="CB287" t="str">
        <f t="shared" si="98"/>
        <v>{YELLOW}35% Penalty for long distance travel{}</v>
      </c>
      <c r="CC287" t="str">
        <f t="shared" si="96"/>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88" spans="1:81" x14ac:dyDescent="0.25">
      <c r="A288" t="s">
        <v>99</v>
      </c>
      <c r="B288" t="s">
        <v>193</v>
      </c>
      <c r="C288">
        <v>722</v>
      </c>
      <c r="D288">
        <v>195</v>
      </c>
      <c r="E288" t="s">
        <v>404</v>
      </c>
      <c r="F288" t="s">
        <v>1109</v>
      </c>
      <c r="G288" t="s">
        <v>1411</v>
      </c>
      <c r="H288">
        <v>1938</v>
      </c>
      <c r="J288">
        <v>2020</v>
      </c>
      <c r="K288">
        <v>7</v>
      </c>
      <c r="L288">
        <v>650</v>
      </c>
      <c r="U288">
        <v>161</v>
      </c>
      <c r="W288">
        <v>10</v>
      </c>
      <c r="X288">
        <v>130</v>
      </c>
      <c r="Y288" s="3">
        <f t="shared" si="84"/>
        <v>8.0745341614906832E-2</v>
      </c>
      <c r="Z288">
        <v>45</v>
      </c>
      <c r="AA288">
        <f t="shared" si="101"/>
        <v>72</v>
      </c>
      <c r="AD288">
        <v>15.8</v>
      </c>
      <c r="AE288">
        <v>15.8</v>
      </c>
      <c r="AF288">
        <v>2.59</v>
      </c>
      <c r="AG288">
        <v>2.883</v>
      </c>
      <c r="AH288" s="10">
        <v>108</v>
      </c>
      <c r="AI288" t="str">
        <f>CONCATENATE(VLOOKUP(AJ288, 'Voxel Sizes'!$A$2:$B$18,2,FALSE),"x",INT(AF288*15), "x", INT(AG288*15))</f>
        <v>152x38x43</v>
      </c>
      <c r="AJ288">
        <f t="shared" si="85"/>
        <v>9</v>
      </c>
      <c r="AL288" t="str">
        <f>CONCATENATE(VLOOKUP(AJ288,Constants!$A$2:$C$16,IF(AK288&lt;&gt;"", 3, 2), FALSE),IF(AK288&lt;&gt;"",CONCATENATE(",",VLOOKUP(AK288,$B:$AL,37,FALSE)),""))</f>
        <v>2,5,2</v>
      </c>
      <c r="AP288" t="s">
        <v>1416</v>
      </c>
      <c r="AR288" t="s">
        <v>1417</v>
      </c>
      <c r="AV288">
        <v>40</v>
      </c>
      <c r="AW288" s="15">
        <f t="shared" si="86"/>
        <v>90</v>
      </c>
      <c r="AZ288">
        <f t="shared" si="87"/>
        <v>9</v>
      </c>
      <c r="BA288">
        <f t="shared" si="88"/>
        <v>3.25</v>
      </c>
      <c r="BB288">
        <f t="shared" si="89"/>
        <v>6.5</v>
      </c>
      <c r="BC288" s="3">
        <f t="shared" si="90"/>
        <v>0.94933333333333336</v>
      </c>
      <c r="BD288">
        <f t="shared" si="91"/>
        <v>25.2</v>
      </c>
      <c r="BE288">
        <f>VLOOKUP($F288,Constants!$I:$K, 2, FALSE)</f>
        <v>0.9</v>
      </c>
      <c r="BF288">
        <f>VLOOKUP($F288,Constants!$I:$K, 3, FALSE)*IF(AND(E288="multiple_unit",Z288&lt;110),0.75,1)</f>
        <v>1.2000000000000002</v>
      </c>
      <c r="BG288">
        <f>INT(POWER(((Constants!$G$2+$AZ288+$BA288+$BB288+$BD288)*$BC288)*$BF288, 1.05))+$AY288</f>
        <v>68</v>
      </c>
      <c r="BH288">
        <f>INT(POWER((((Constants!$G$1+$AZ288+$BA288+$BB288+$BD288)*($BC288))*$BE288),IF($E288="wagon",1,1.2)))+$AX288</f>
        <v>110</v>
      </c>
      <c r="BI288" s="14">
        <f t="shared" si="92"/>
        <v>53125</v>
      </c>
      <c r="BJ288" s="14">
        <f t="shared" si="93"/>
        <v>8937.5</v>
      </c>
      <c r="BQ288">
        <v>4</v>
      </c>
      <c r="BR288">
        <v>120</v>
      </c>
      <c r="BT288" t="s">
        <v>283</v>
      </c>
      <c r="BU288" t="str">
        <f>VLOOKUP(H288,Eras!$A$2:$C$10, 2, TRUE)</f>
        <v>big4</v>
      </c>
      <c r="BV288" t="s">
        <v>345</v>
      </c>
      <c r="BW288" t="str">
        <f t="shared" si="94"/>
        <v>big4_LU</v>
      </c>
      <c r="BX288" t="str">
        <f t="shared" si="95"/>
        <v>tube_FOURTH_RAIL</v>
      </c>
      <c r="BY288" t="str">
        <f>VLOOKUP($BX288, Constants!$M:$N, 2, FALSE)</f>
        <v>{BLACK}Powered by: {GOLD}630V DC</v>
      </c>
      <c r="BZ288" t="str">
        <f t="shared" si="97"/>
        <v>{BLACK}Cars: {GOLD}7</v>
      </c>
      <c r="CA288" t="s">
        <v>1418</v>
      </c>
      <c r="CB288" t="str">
        <f t="shared" si="98"/>
        <v>{YELLOW}35% Penalty for long distance travel{}</v>
      </c>
      <c r="CC288" t="str">
        <f t="shared" si="96"/>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89" spans="1:81" x14ac:dyDescent="0.25">
      <c r="A289" t="s">
        <v>100</v>
      </c>
      <c r="B289" t="s">
        <v>194</v>
      </c>
      <c r="C289">
        <v>724</v>
      </c>
      <c r="D289">
        <v>196</v>
      </c>
      <c r="E289" t="s">
        <v>404</v>
      </c>
      <c r="F289" t="s">
        <v>1109</v>
      </c>
      <c r="G289" t="s">
        <v>1411</v>
      </c>
      <c r="H289">
        <v>1959</v>
      </c>
      <c r="J289">
        <v>2000</v>
      </c>
      <c r="K289">
        <v>7</v>
      </c>
      <c r="L289">
        <v>750</v>
      </c>
      <c r="U289">
        <v>167</v>
      </c>
      <c r="W289">
        <v>10</v>
      </c>
      <c r="X289">
        <v>135</v>
      </c>
      <c r="Y289" s="3">
        <f t="shared" si="84"/>
        <v>8.0838323353293412E-2</v>
      </c>
      <c r="Z289">
        <v>45</v>
      </c>
      <c r="AA289">
        <f t="shared" si="101"/>
        <v>72</v>
      </c>
      <c r="AD289">
        <v>15.9</v>
      </c>
      <c r="AE289">
        <v>15.9</v>
      </c>
      <c r="AF289">
        <v>2.59</v>
      </c>
      <c r="AG289">
        <v>2.883</v>
      </c>
      <c r="AH289" s="10">
        <v>120</v>
      </c>
      <c r="AI289" t="str">
        <f>CONCATENATE(VLOOKUP(AJ289, 'Voxel Sizes'!$A$2:$B$18,2,FALSE),"x",INT(AF289*15), "x", INT(AG289*15))</f>
        <v>152x38x43</v>
      </c>
      <c r="AJ289">
        <f t="shared" si="85"/>
        <v>9</v>
      </c>
      <c r="AL289" t="str">
        <f>CONCATENATE(VLOOKUP(AJ289,Constants!$A$2:$C$16,IF(AK289&lt;&gt;"", 3, 2), FALSE),IF(AK289&lt;&gt;"",CONCATENATE(",",VLOOKUP(AK289,$B:$AL,37,FALSE)),""))</f>
        <v>2,5,2</v>
      </c>
      <c r="AP289" t="s">
        <v>1419</v>
      </c>
      <c r="AR289" t="s">
        <v>1417</v>
      </c>
      <c r="AV289">
        <v>38</v>
      </c>
      <c r="AW289" s="15">
        <f t="shared" si="86"/>
        <v>49</v>
      </c>
      <c r="AY289">
        <v>-1</v>
      </c>
      <c r="AZ289">
        <f t="shared" si="87"/>
        <v>9</v>
      </c>
      <c r="BA289">
        <f t="shared" si="88"/>
        <v>3.75</v>
      </c>
      <c r="BB289">
        <f t="shared" si="89"/>
        <v>6.75</v>
      </c>
      <c r="BC289" s="3">
        <f t="shared" si="90"/>
        <v>0.92133333333333334</v>
      </c>
      <c r="BD289">
        <f t="shared" si="91"/>
        <v>28.000000000000004</v>
      </c>
      <c r="BE289">
        <f>VLOOKUP($F289,Constants!$I:$K, 2, FALSE)</f>
        <v>0.9</v>
      </c>
      <c r="BF289">
        <f>VLOOKUP($F289,Constants!$I:$K, 3, FALSE)*IF(AND(E289="multiple_unit",Z289&lt;110),0.75,1)</f>
        <v>1.2000000000000002</v>
      </c>
      <c r="BG289">
        <f>INT(POWER(((Constants!$G$2+$AZ289+$BA289+$BB289+$BD289)*$BC289)*$BF289, 1.05))+$AY289</f>
        <v>70</v>
      </c>
      <c r="BH289">
        <f>INT(POWER((((Constants!$G$1+$AZ289+$BA289+$BB289+$BD289)*($BC289))*$BE289),IF($E289="wagon",1,1.2)))+$AX289</f>
        <v>114</v>
      </c>
      <c r="BI289" s="14">
        <f t="shared" si="92"/>
        <v>54687.5</v>
      </c>
      <c r="BJ289" s="14">
        <f t="shared" si="93"/>
        <v>9262.5</v>
      </c>
      <c r="BQ289">
        <v>5</v>
      </c>
      <c r="BR289">
        <v>120</v>
      </c>
      <c r="BT289" t="s">
        <v>283</v>
      </c>
      <c r="BU289" t="str">
        <f>VLOOKUP(H289,Eras!$A$2:$C$10, 2, TRUE)</f>
        <v>dsl</v>
      </c>
      <c r="BV289" t="s">
        <v>345</v>
      </c>
      <c r="BW289" t="str">
        <f t="shared" si="94"/>
        <v>dsl_LU</v>
      </c>
      <c r="BX289" t="str">
        <f t="shared" si="95"/>
        <v>tube_FOURTH_RAIL</v>
      </c>
      <c r="BY289" t="str">
        <f>VLOOKUP($BX289, Constants!$M:$N, 2, FALSE)</f>
        <v>{BLACK}Powered by: {GOLD}630V DC</v>
      </c>
      <c r="BZ289" t="str">
        <f t="shared" si="97"/>
        <v>{BLACK}Cars: {GOLD}7</v>
      </c>
      <c r="CA289" t="s">
        <v>1420</v>
      </c>
      <c r="CB289" t="str">
        <f t="shared" si="98"/>
        <v>{YELLOW}35% Penalty for long distance travel{}</v>
      </c>
      <c r="CC289" t="str">
        <f t="shared" si="96"/>
        <v>{BLACK}Powered by: {GOLD}630V DC {BLACK}Cars: {GOLD}7{}{YELLOW}35% Penalty for long distance travel{}{SILVER}The 1959 stock was based on the aluminium-bodied 1956 stock, built for the Piccadilly line but used across many deep level Tube lines over its long life.</v>
      </c>
    </row>
    <row r="290" spans="1:81" x14ac:dyDescent="0.25">
      <c r="A290" t="s">
        <v>101</v>
      </c>
      <c r="B290" t="s">
        <v>195</v>
      </c>
      <c r="C290">
        <v>726</v>
      </c>
      <c r="D290">
        <v>197</v>
      </c>
      <c r="E290" t="s">
        <v>404</v>
      </c>
      <c r="F290" t="s">
        <v>1109</v>
      </c>
      <c r="G290" t="s">
        <v>1411</v>
      </c>
      <c r="H290">
        <v>1960</v>
      </c>
      <c r="J290">
        <v>2012</v>
      </c>
      <c r="K290">
        <v>4</v>
      </c>
      <c r="L290">
        <v>450</v>
      </c>
      <c r="U290">
        <f>32+21+21+32</f>
        <v>106</v>
      </c>
      <c r="W290">
        <v>10</v>
      </c>
      <c r="X290">
        <v>80</v>
      </c>
      <c r="Y290" s="3">
        <f t="shared" si="84"/>
        <v>7.5471698113207544E-2</v>
      </c>
      <c r="Z290">
        <v>70</v>
      </c>
      <c r="AA290">
        <f t="shared" si="101"/>
        <v>112</v>
      </c>
      <c r="AD290">
        <v>16.2</v>
      </c>
      <c r="AE290">
        <v>16.2</v>
      </c>
      <c r="AF290">
        <v>2.94</v>
      </c>
      <c r="AG290">
        <v>3.68</v>
      </c>
      <c r="AH290" s="10">
        <v>114</v>
      </c>
      <c r="AI290" t="str">
        <f>CONCATENATE(VLOOKUP(AJ290, 'Voxel Sizes'!$A$2:$B$18,2,FALSE),"x",INT(AF290*15), "x", INT(AG290*15))</f>
        <v>152x44x55</v>
      </c>
      <c r="AJ290">
        <f t="shared" si="85"/>
        <v>9</v>
      </c>
      <c r="AL290" t="str">
        <f>CONCATENATE(VLOOKUP(AJ290,Constants!$A$2:$C$16,IF(AK290&lt;&gt;"", 3, 2), FALSE),IF(AK290&lt;&gt;"",CONCATENATE(",",VLOOKUP(AK290,$B:$AL,37,FALSE)),""))</f>
        <v>2,5,2</v>
      </c>
      <c r="AP290" t="s">
        <v>1421</v>
      </c>
      <c r="AR290" t="s">
        <v>465</v>
      </c>
      <c r="AV290">
        <v>39</v>
      </c>
      <c r="AW290" s="15">
        <f t="shared" si="86"/>
        <v>60</v>
      </c>
      <c r="AZ290">
        <f t="shared" si="87"/>
        <v>14</v>
      </c>
      <c r="BA290">
        <f t="shared" si="88"/>
        <v>2.25</v>
      </c>
      <c r="BB290">
        <f t="shared" si="89"/>
        <v>4</v>
      </c>
      <c r="BC290" s="3">
        <f t="shared" si="90"/>
        <v>0.92</v>
      </c>
      <c r="BD290">
        <f t="shared" si="91"/>
        <v>15.2</v>
      </c>
      <c r="BE290">
        <f>VLOOKUP($F290,Constants!$I:$K, 2, FALSE)</f>
        <v>0.9</v>
      </c>
      <c r="BF290">
        <f>VLOOKUP($F290,Constants!$I:$K, 3, FALSE)*IF(AND(E290="multiple_unit",Z290&lt;110),0.75,1)</f>
        <v>1.2000000000000002</v>
      </c>
      <c r="BG290">
        <f>INT(POWER(((Constants!$G$2+$AZ290+$BA290+$BB290+$BD290)*$BC290)*$BF290, 1.05))+$AY290</f>
        <v>53</v>
      </c>
      <c r="BH290">
        <f>INT(POWER((((Constants!$G$1+$AZ290+$BA290+$BB290+$BD290)*($BC290))*$BE290),IF($E290="wagon",1,1.2)))+$AX290</f>
        <v>88</v>
      </c>
      <c r="BI290" s="14">
        <f t="shared" si="92"/>
        <v>41406.25</v>
      </c>
      <c r="BJ290" s="14">
        <f t="shared" si="93"/>
        <v>7150</v>
      </c>
      <c r="BQ290">
        <v>6</v>
      </c>
      <c r="BR290">
        <v>120</v>
      </c>
      <c r="BT290" t="s">
        <v>283</v>
      </c>
      <c r="BU290" t="str">
        <f>VLOOKUP(H290,Eras!$A$2:$C$10, 2, TRUE)</f>
        <v>dsl</v>
      </c>
      <c r="BV290" t="s">
        <v>345</v>
      </c>
      <c r="BW290" t="str">
        <f t="shared" si="94"/>
        <v>dsl_LU</v>
      </c>
      <c r="BX290" t="str">
        <f t="shared" si="95"/>
        <v>tube_FOURTH_RAIL</v>
      </c>
      <c r="BY290" t="str">
        <f>VLOOKUP($BX290, Constants!$M:$N, 2, FALSE)</f>
        <v>{BLACK}Powered by: {GOLD}630V DC</v>
      </c>
      <c r="BZ290" t="str">
        <f t="shared" si="97"/>
        <v>{BLACK}Cars: {GOLD}4</v>
      </c>
      <c r="CA290" t="s">
        <v>1422</v>
      </c>
      <c r="CB290" t="str">
        <f t="shared" si="98"/>
        <v>{YELLOW}35% Penalty for long distance travel{}</v>
      </c>
      <c r="CC290" t="str">
        <f t="shared" si="96"/>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1" spans="1:81" x14ac:dyDescent="0.25">
      <c r="A291" t="s">
        <v>102</v>
      </c>
      <c r="B291" t="s">
        <v>196</v>
      </c>
      <c r="C291">
        <v>728</v>
      </c>
      <c r="D291">
        <v>198</v>
      </c>
      <c r="E291" t="s">
        <v>404</v>
      </c>
      <c r="F291" t="s">
        <v>1109</v>
      </c>
      <c r="G291" t="s">
        <v>1411</v>
      </c>
      <c r="H291">
        <v>1967</v>
      </c>
      <c r="J291">
        <v>2011</v>
      </c>
      <c r="K291">
        <v>4</v>
      </c>
      <c r="L291">
        <v>500</v>
      </c>
      <c r="U291">
        <f>28.5+28.5+19.4+19.4</f>
        <v>95.800000000000011</v>
      </c>
      <c r="W291">
        <v>10</v>
      </c>
      <c r="X291">
        <v>70</v>
      </c>
      <c r="Y291" s="3">
        <f t="shared" si="84"/>
        <v>7.3068893528183701E-2</v>
      </c>
      <c r="Z291">
        <v>45</v>
      </c>
      <c r="AA291">
        <f t="shared" si="101"/>
        <v>72</v>
      </c>
      <c r="AD291">
        <v>16</v>
      </c>
      <c r="AE291">
        <v>16</v>
      </c>
      <c r="AF291">
        <v>2.6419999999999999</v>
      </c>
      <c r="AG291">
        <v>2.8769999999999998</v>
      </c>
      <c r="AH291" s="10">
        <v>120</v>
      </c>
      <c r="AI291" t="str">
        <f>CONCATENATE(VLOOKUP(AJ291, 'Voxel Sizes'!$A$2:$B$18,2,FALSE),"x",INT(AF291*15), "x", INT(AG291*15))</f>
        <v>152x39x43</v>
      </c>
      <c r="AJ291">
        <f t="shared" si="85"/>
        <v>9</v>
      </c>
      <c r="AL291" t="str">
        <f>CONCATENATE(VLOOKUP(AJ291,Constants!$A$2:$C$16,IF(AK291&lt;&gt;"", 3, 2), FALSE),IF(AK291&lt;&gt;"",CONCATENATE(",",VLOOKUP(AK291,$B:$AL,37,FALSE)),""))</f>
        <v>2,5,2</v>
      </c>
      <c r="AP291" t="s">
        <v>1423</v>
      </c>
      <c r="AR291" t="s">
        <v>465</v>
      </c>
      <c r="AV291">
        <v>36</v>
      </c>
      <c r="AW291" s="15">
        <f t="shared" si="86"/>
        <v>52</v>
      </c>
      <c r="AX291">
        <v>-2</v>
      </c>
      <c r="AY291">
        <v>2</v>
      </c>
      <c r="AZ291">
        <f t="shared" si="87"/>
        <v>9</v>
      </c>
      <c r="BA291">
        <f t="shared" si="88"/>
        <v>2.5</v>
      </c>
      <c r="BB291">
        <f t="shared" si="89"/>
        <v>3.5</v>
      </c>
      <c r="BC291" s="3">
        <f t="shared" si="90"/>
        <v>0.91066666666666662</v>
      </c>
      <c r="BD291">
        <f t="shared" si="91"/>
        <v>16</v>
      </c>
      <c r="BE291">
        <f>VLOOKUP($F291,Constants!$I:$K, 2, FALSE)</f>
        <v>0.9</v>
      </c>
      <c r="BF291">
        <f>VLOOKUP($F291,Constants!$I:$K, 3, FALSE)*IF(AND(E291="multiple_unit",Z291&lt;110),0.75,1)</f>
        <v>1.2000000000000002</v>
      </c>
      <c r="BG291">
        <f>INT(POWER(((Constants!$G$2+$AZ291+$BA291+$BB291+$BD291)*$BC291)*$BF291, 1.05))+$AY291</f>
        <v>49</v>
      </c>
      <c r="BH291">
        <f>INT(POWER((((Constants!$G$1+$AZ291+$BA291+$BB291+$BD291)*($BC291))*$BE291),IF($E291="wagon",1,1.2)))+$AX291</f>
        <v>75</v>
      </c>
      <c r="BI291" s="14">
        <f t="shared" si="92"/>
        <v>38281.25</v>
      </c>
      <c r="BJ291" s="14">
        <f t="shared" si="93"/>
        <v>6093.75</v>
      </c>
      <c r="BQ291">
        <v>7</v>
      </c>
      <c r="BR291">
        <v>120</v>
      </c>
      <c r="BT291" t="s">
        <v>283</v>
      </c>
      <c r="BU291" t="str">
        <f>VLOOKUP(H291,Eras!$A$2:$C$10, 2, TRUE)</f>
        <v>dsl</v>
      </c>
      <c r="BV291" t="s">
        <v>345</v>
      </c>
      <c r="BW291" t="str">
        <f t="shared" si="94"/>
        <v>dsl_LU</v>
      </c>
      <c r="BX291" t="str">
        <f t="shared" si="95"/>
        <v>tube_FOURTH_RAIL</v>
      </c>
      <c r="BY291" t="str">
        <f>VLOOKUP($BX291, Constants!$M:$N, 2, FALSE)</f>
        <v>{BLACK}Powered by: {GOLD}630V DC</v>
      </c>
      <c r="BZ291" t="str">
        <f t="shared" si="97"/>
        <v>{BLACK}Cars: {GOLD}4</v>
      </c>
      <c r="CA291" t="s">
        <v>1424</v>
      </c>
      <c r="CB291" t="str">
        <f t="shared" si="98"/>
        <v>{YELLOW}35% Penalty for long distance travel{}</v>
      </c>
      <c r="CC291" t="str">
        <f t="shared" si="96"/>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2" spans="1:81" x14ac:dyDescent="0.25">
      <c r="A292" t="s">
        <v>103</v>
      </c>
      <c r="B292" t="s">
        <v>197</v>
      </c>
      <c r="C292">
        <v>730</v>
      </c>
      <c r="D292">
        <v>199</v>
      </c>
      <c r="E292" t="s">
        <v>404</v>
      </c>
      <c r="F292" t="s">
        <v>1109</v>
      </c>
      <c r="G292" t="s">
        <v>1411</v>
      </c>
      <c r="H292">
        <v>1970</v>
      </c>
      <c r="J292">
        <v>2014</v>
      </c>
      <c r="K292">
        <v>2</v>
      </c>
      <c r="L292">
        <v>580</v>
      </c>
      <c r="U292">
        <f>31+20</f>
        <v>51</v>
      </c>
      <c r="W292">
        <v>10</v>
      </c>
      <c r="X292">
        <v>40</v>
      </c>
      <c r="Y292" s="3">
        <f t="shared" si="84"/>
        <v>7.8431372549019607E-2</v>
      </c>
      <c r="Z292">
        <v>45</v>
      </c>
      <c r="AA292">
        <f t="shared" si="101"/>
        <v>72</v>
      </c>
      <c r="AD292">
        <v>16</v>
      </c>
      <c r="AE292">
        <v>16</v>
      </c>
      <c r="AF292">
        <v>2.92</v>
      </c>
      <c r="AG292">
        <v>3.68</v>
      </c>
      <c r="AH292" s="10">
        <v>135</v>
      </c>
      <c r="AI292" t="str">
        <f>CONCATENATE(VLOOKUP(AJ292, 'Voxel Sizes'!$A$2:$B$18,2,FALSE),"x",INT(AF292*15), "x", INT(AG292*15))</f>
        <v>152x43x55</v>
      </c>
      <c r="AJ292">
        <f t="shared" si="85"/>
        <v>9</v>
      </c>
      <c r="AL292" t="str">
        <f>CONCATENATE(VLOOKUP(AJ292,Constants!$A$2:$C$16,IF(AK292&lt;&gt;"", 3, 2), FALSE),IF(AK292&lt;&gt;"",CONCATENATE(",",VLOOKUP(AK292,$B:$AL,37,FALSE)),""))</f>
        <v>2,5,2</v>
      </c>
      <c r="AP292" t="s">
        <v>1425</v>
      </c>
      <c r="AR292" t="s">
        <v>467</v>
      </c>
      <c r="AV292">
        <v>38</v>
      </c>
      <c r="AW292" s="15">
        <f t="shared" si="86"/>
        <v>52</v>
      </c>
      <c r="AZ292">
        <f t="shared" si="87"/>
        <v>9</v>
      </c>
      <c r="BA292">
        <f t="shared" si="88"/>
        <v>2.9</v>
      </c>
      <c r="BB292">
        <f t="shared" si="89"/>
        <v>2</v>
      </c>
      <c r="BC292" s="3">
        <f t="shared" si="90"/>
        <v>0.90666666666666662</v>
      </c>
      <c r="BD292">
        <f t="shared" si="91"/>
        <v>9</v>
      </c>
      <c r="BE292">
        <f>VLOOKUP($F292,Constants!$I:$K, 2, FALSE)</f>
        <v>0.9</v>
      </c>
      <c r="BF292">
        <f>VLOOKUP($F292,Constants!$I:$K, 3, FALSE)*IF(AND(E292="multiple_unit",Z292&lt;110),0.75,1)</f>
        <v>1.2000000000000002</v>
      </c>
      <c r="BG292">
        <f>INT(POWER(((Constants!$G$2+$AZ292+$BA292+$BB292+$BD292)*$BC292)*$BF292, 1.05))+$AY292</f>
        <v>36</v>
      </c>
      <c r="BH292">
        <f>INT(POWER((((Constants!$G$1+$AZ292+$BA292+$BB292+$BD292)*($BC292))*$BE292),IF($E292="wagon",1,1.2)))+$AX292</f>
        <v>61</v>
      </c>
      <c r="BI292" s="14">
        <f t="shared" si="92"/>
        <v>28125</v>
      </c>
      <c r="BJ292" s="14">
        <f t="shared" si="93"/>
        <v>4956.25</v>
      </c>
      <c r="BQ292">
        <v>8</v>
      </c>
      <c r="BR292">
        <v>120</v>
      </c>
      <c r="BT292" t="s">
        <v>283</v>
      </c>
      <c r="BU292" t="str">
        <f>VLOOKUP(H292,Eras!$A$2:$C$10, 2, TRUE)</f>
        <v>lbr</v>
      </c>
      <c r="BV292" t="s">
        <v>345</v>
      </c>
      <c r="BW292" t="str">
        <f t="shared" si="94"/>
        <v>lbr_LU</v>
      </c>
      <c r="BX292" t="str">
        <f t="shared" si="95"/>
        <v>tube_FOURTH_RAIL</v>
      </c>
      <c r="BY292" t="str">
        <f>VLOOKUP($BX292, Constants!$M:$N, 2, FALSE)</f>
        <v>{BLACK}Powered by: {GOLD}630V DC</v>
      </c>
      <c r="BZ292" t="str">
        <f t="shared" si="97"/>
        <v>{BLACK}Cars: {GOLD}2</v>
      </c>
      <c r="CA292" t="s">
        <v>1426</v>
      </c>
      <c r="CB292" t="str">
        <f t="shared" si="98"/>
        <v>{YELLOW}35% Penalty for long distance travel{}</v>
      </c>
      <c r="CC292" t="str">
        <f t="shared" si="96"/>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3" spans="1:81" x14ac:dyDescent="0.25">
      <c r="A293" t="s">
        <v>104</v>
      </c>
      <c r="B293" t="s">
        <v>198</v>
      </c>
      <c r="C293">
        <v>731</v>
      </c>
      <c r="D293">
        <v>200</v>
      </c>
      <c r="E293" t="s">
        <v>404</v>
      </c>
      <c r="F293" t="s">
        <v>1109</v>
      </c>
      <c r="G293" t="s">
        <v>1411</v>
      </c>
      <c r="H293">
        <v>1975</v>
      </c>
      <c r="K293">
        <v>3</v>
      </c>
      <c r="L293">
        <v>930</v>
      </c>
      <c r="U293">
        <f>27+26+18</f>
        <v>71</v>
      </c>
      <c r="W293">
        <v>10</v>
      </c>
      <c r="X293">
        <v>55</v>
      </c>
      <c r="Y293" s="3">
        <f t="shared" si="84"/>
        <v>7.746478873239436E-2</v>
      </c>
      <c r="Z293">
        <v>45</v>
      </c>
      <c r="AA293">
        <f t="shared" si="101"/>
        <v>72</v>
      </c>
      <c r="AD293">
        <v>17.47</v>
      </c>
      <c r="AE293">
        <v>17</v>
      </c>
      <c r="AF293">
        <v>2.62</v>
      </c>
      <c r="AG293">
        <v>2.88</v>
      </c>
      <c r="AH293" s="10">
        <v>114</v>
      </c>
      <c r="AI293" t="str">
        <f>CONCATENATE(VLOOKUP(AJ293, 'Voxel Sizes'!$A$2:$B$18,2,FALSE),"x",INT(AF293*15), "x", INT(AG293*15))</f>
        <v>164x39x43</v>
      </c>
      <c r="AJ293">
        <f t="shared" si="85"/>
        <v>10</v>
      </c>
      <c r="AL293" t="str">
        <f>CONCATENATE(VLOOKUP(AJ293,Constants!$A$2:$C$16,IF(AK293&lt;&gt;"", 3, 2), FALSE),IF(AK293&lt;&gt;"",CONCATENATE(",",VLOOKUP(AK293,$B:$AL,37,FALSE)),""))</f>
        <v>4,2,4</v>
      </c>
      <c r="AP293" t="s">
        <v>1429</v>
      </c>
      <c r="AR293" t="s">
        <v>292</v>
      </c>
      <c r="AV293">
        <v>39</v>
      </c>
      <c r="AW293" s="15" t="str">
        <f t="shared" si="86"/>
        <v/>
      </c>
      <c r="AZ293">
        <f t="shared" si="87"/>
        <v>9</v>
      </c>
      <c r="BA293">
        <f t="shared" si="88"/>
        <v>4.6500000000000004</v>
      </c>
      <c r="BB293">
        <f t="shared" si="89"/>
        <v>2.75</v>
      </c>
      <c r="BC293" s="3">
        <f t="shared" si="90"/>
        <v>0.9</v>
      </c>
      <c r="BD293">
        <f t="shared" si="91"/>
        <v>11.400000000000002</v>
      </c>
      <c r="BE293">
        <f>VLOOKUP($F293,Constants!$I:$K, 2, FALSE)</f>
        <v>0.9</v>
      </c>
      <c r="BF293">
        <f>VLOOKUP($F293,Constants!$I:$K, 3, FALSE)*IF(AND(E293="multiple_unit",Z293&lt;110),0.75,1)</f>
        <v>1.2000000000000002</v>
      </c>
      <c r="BG293">
        <f>INT(POWER(((Constants!$G$2+$AZ293+$BA293+$BB293+$BD293)*$BC293)*$BF293, 1.05))+$AY293</f>
        <v>42</v>
      </c>
      <c r="BH293">
        <f>INT(POWER((((Constants!$G$1+$AZ293+$BA293+$BB293+$BD293)*($BC293))*$BE293),IF($E293="wagon",1,1.2)))+$AX293</f>
        <v>70</v>
      </c>
      <c r="BI293" s="14">
        <f t="shared" si="92"/>
        <v>32812.5</v>
      </c>
      <c r="BJ293" s="14">
        <f t="shared" si="93"/>
        <v>5687.5</v>
      </c>
      <c r="BQ293">
        <v>9</v>
      </c>
      <c r="BR293">
        <v>120</v>
      </c>
      <c r="BT293" t="s">
        <v>283</v>
      </c>
      <c r="BU293" t="str">
        <f>VLOOKUP(H293,Eras!$A$2:$C$10, 2, TRUE)</f>
        <v>lbr</v>
      </c>
      <c r="BV293" t="s">
        <v>345</v>
      </c>
      <c r="BW293" t="str">
        <f t="shared" si="94"/>
        <v>lbr_LU</v>
      </c>
      <c r="BX293" t="str">
        <f t="shared" si="95"/>
        <v>tube_FOURTH_RAIL</v>
      </c>
      <c r="BY293" t="str">
        <f>VLOOKUP($BX293, Constants!$M:$N, 2, FALSE)</f>
        <v>{BLACK}Powered by: {GOLD}630V DC</v>
      </c>
      <c r="BZ293" t="str">
        <f t="shared" si="97"/>
        <v>{BLACK}Cars: {GOLD}3</v>
      </c>
      <c r="CA293" t="s">
        <v>1430</v>
      </c>
      <c r="CB293" t="str">
        <f t="shared" si="98"/>
        <v>{YELLOW}35% Penalty for long distance travel{}</v>
      </c>
      <c r="CC293" t="str">
        <f t="shared" si="96"/>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4" spans="1:81" x14ac:dyDescent="0.25">
      <c r="A294" t="s">
        <v>1466</v>
      </c>
      <c r="B294" t="s">
        <v>1470</v>
      </c>
      <c r="C294">
        <v>732</v>
      </c>
      <c r="D294">
        <v>201</v>
      </c>
      <c r="E294" t="s">
        <v>404</v>
      </c>
      <c r="F294" t="s">
        <v>1109</v>
      </c>
      <c r="G294" t="s">
        <v>1411</v>
      </c>
      <c r="H294">
        <v>1975</v>
      </c>
      <c r="K294">
        <v>3</v>
      </c>
      <c r="L294">
        <v>930</v>
      </c>
      <c r="U294">
        <f>27+26+18</f>
        <v>71</v>
      </c>
      <c r="W294">
        <v>10</v>
      </c>
      <c r="X294">
        <v>55</v>
      </c>
      <c r="Y294" s="3">
        <f t="shared" si="84"/>
        <v>7.746478873239436E-2</v>
      </c>
      <c r="Z294">
        <v>45</v>
      </c>
      <c r="AA294">
        <f t="shared" si="101"/>
        <v>72</v>
      </c>
      <c r="AD294">
        <v>17.47</v>
      </c>
      <c r="AE294">
        <v>17</v>
      </c>
      <c r="AF294">
        <v>2.62</v>
      </c>
      <c r="AG294">
        <v>2.88</v>
      </c>
      <c r="AI294" t="str">
        <f>CONCATENATE(VLOOKUP(AJ294, 'Voxel Sizes'!$A$2:$B$18,2,FALSE),"x",INT(AF294*15), "x", INT(AG294*15))</f>
        <v>164x39x43</v>
      </c>
      <c r="AJ294">
        <f t="shared" si="85"/>
        <v>10</v>
      </c>
      <c r="AL294" t="str">
        <f>CONCATENATE(VLOOKUP(AJ294,Constants!$A$2:$C$16,IF(AK294&lt;&gt;"", 3, 2), FALSE),IF(AK294&lt;&gt;"",CONCATENATE(",",VLOOKUP(AK294,$B:$AL,37,FALSE)),""))</f>
        <v>4,2,4</v>
      </c>
      <c r="AP294" t="s">
        <v>1429</v>
      </c>
      <c r="AR294" t="s">
        <v>1467</v>
      </c>
      <c r="AS294" t="s">
        <v>198</v>
      </c>
      <c r="AV294">
        <v>39</v>
      </c>
      <c r="AW294" s="15" t="str">
        <f t="shared" si="86"/>
        <v/>
      </c>
      <c r="AZ294">
        <f t="shared" si="87"/>
        <v>9</v>
      </c>
      <c r="BA294">
        <f t="shared" si="88"/>
        <v>4.6500000000000004</v>
      </c>
      <c r="BB294">
        <f t="shared" si="89"/>
        <v>2.75</v>
      </c>
      <c r="BC294" s="3">
        <f t="shared" si="90"/>
        <v>0.9</v>
      </c>
      <c r="BD294">
        <f t="shared" si="91"/>
        <v>0</v>
      </c>
      <c r="BE294">
        <f>VLOOKUP($F294,Constants!$I:$K, 2, FALSE)</f>
        <v>0.9</v>
      </c>
      <c r="BF294">
        <f>VLOOKUP($F294,Constants!$I:$K, 3, FALSE)*IF(AND(E294="multiple_unit",Z294&lt;110),0.75,1)</f>
        <v>1.2000000000000002</v>
      </c>
      <c r="BG294">
        <f>INT(POWER(((Constants!$G$2+$AZ294+$BA294+$BB294+$BD294)*$BC294)*$BF294, 1.05))+$AY294</f>
        <v>27</v>
      </c>
      <c r="BH294">
        <f>INT(POWER((((Constants!$G$1+$AZ294+$BA294+$BB294+$BD294)*($BC294))*$BE294),IF($E294="wagon",1,1.2)))+$AX294</f>
        <v>48</v>
      </c>
      <c r="BI294" s="14">
        <f t="shared" si="92"/>
        <v>21093.75</v>
      </c>
      <c r="BJ294" s="14">
        <f t="shared" si="93"/>
        <v>3900</v>
      </c>
      <c r="BP294" t="s">
        <v>1469</v>
      </c>
      <c r="BQ294">
        <v>9</v>
      </c>
      <c r="BR294">
        <v>120</v>
      </c>
      <c r="BT294" t="s">
        <v>283</v>
      </c>
      <c r="BU294" t="str">
        <f>VLOOKUP(H294,Eras!$A$2:$C$10, 2, TRUE)</f>
        <v>lbr</v>
      </c>
      <c r="BV294" t="s">
        <v>345</v>
      </c>
      <c r="BW294" t="str">
        <f t="shared" si="94"/>
        <v>lbr_LU</v>
      </c>
      <c r="BX294" t="str">
        <f t="shared" si="95"/>
        <v>tube_FOURTH_RAIL</v>
      </c>
      <c r="BY294" t="str">
        <f>VLOOKUP($BX294, Constants!$M:$N, 2, FALSE)</f>
        <v>{BLACK}Powered by: {GOLD}630V DC</v>
      </c>
      <c r="BZ294" t="str">
        <f t="shared" si="97"/>
        <v>{BLACK}Cars: {GOLD}3</v>
      </c>
      <c r="CA294" t="s">
        <v>1468</v>
      </c>
      <c r="CB294" t="str">
        <f t="shared" si="98"/>
        <v>{YELLOW}35% Penalty for long distance travel{}</v>
      </c>
      <c r="CC294" t="str">
        <f t="shared" si="96"/>
        <v>{BLACK}Powered by: {GOLD}630V DC {BLACK}Cars: {GOLD}3{}{YELLOW}35% Penalty for long distance travel{}{SILVER}This stock has a bug, it carries no passengers. You should not be able to build this or see it in the build window. It will be removed at the next compatibility-breaking change.</v>
      </c>
    </row>
    <row r="295" spans="1:81" x14ac:dyDescent="0.25">
      <c r="A295" t="s">
        <v>105</v>
      </c>
      <c r="B295" t="s">
        <v>199</v>
      </c>
      <c r="C295">
        <v>736</v>
      </c>
      <c r="D295">
        <v>202</v>
      </c>
      <c r="E295" t="s">
        <v>404</v>
      </c>
      <c r="F295" t="s">
        <v>1109</v>
      </c>
      <c r="G295" t="s">
        <v>1411</v>
      </c>
      <c r="H295">
        <v>1980</v>
      </c>
      <c r="J295">
        <v>2017</v>
      </c>
      <c r="K295">
        <v>3</v>
      </c>
      <c r="L295">
        <v>980</v>
      </c>
      <c r="U295">
        <f>27+26+18</f>
        <v>71</v>
      </c>
      <c r="W295">
        <v>10</v>
      </c>
      <c r="X295">
        <v>60</v>
      </c>
      <c r="Y295" s="3">
        <f t="shared" si="84"/>
        <v>8.4507042253521125E-2</v>
      </c>
      <c r="Z295">
        <v>50</v>
      </c>
      <c r="AA295">
        <f t="shared" si="101"/>
        <v>80</v>
      </c>
      <c r="AD295">
        <v>18.37</v>
      </c>
      <c r="AE295">
        <v>18.37</v>
      </c>
      <c r="AF295">
        <v>2.85</v>
      </c>
      <c r="AG295">
        <v>3.62</v>
      </c>
      <c r="AH295" s="10">
        <v>138</v>
      </c>
      <c r="AI295" t="str">
        <f>CONCATENATE(VLOOKUP(AJ295, 'Voxel Sizes'!$A$2:$B$18,2,FALSE),"x",INT(AF295*15), "x", INT(AG295*15))</f>
        <v>186x42x54</v>
      </c>
      <c r="AJ295">
        <f t="shared" si="85"/>
        <v>11</v>
      </c>
      <c r="AL295" t="str">
        <f>CONCATENATE(VLOOKUP(AJ295,Constants!$A$2:$C$16,IF(AK295&lt;&gt;"", 3, 2), FALSE),IF(AK295&lt;&gt;"",CONCATENATE(",",VLOOKUP(AK295,$B:$AL,37,FALSE)),""))</f>
        <v>4,3,4</v>
      </c>
      <c r="AP295" t="s">
        <v>1427</v>
      </c>
      <c r="AR295" t="s">
        <v>292</v>
      </c>
      <c r="AV295">
        <v>33</v>
      </c>
      <c r="AW295" s="15">
        <f t="shared" si="86"/>
        <v>45</v>
      </c>
      <c r="AZ295">
        <f t="shared" si="87"/>
        <v>10</v>
      </c>
      <c r="BA295">
        <f t="shared" si="88"/>
        <v>4.9000000000000004</v>
      </c>
      <c r="BB295">
        <f t="shared" si="89"/>
        <v>3</v>
      </c>
      <c r="BC295" s="3">
        <f t="shared" si="90"/>
        <v>0.89333333333333331</v>
      </c>
      <c r="BD295">
        <f t="shared" si="91"/>
        <v>13.8</v>
      </c>
      <c r="BE295">
        <f>VLOOKUP($F295,Constants!$I:$K, 2, FALSE)</f>
        <v>0.9</v>
      </c>
      <c r="BF295">
        <f>VLOOKUP($F295,Constants!$I:$K, 3, FALSE)*IF(AND(E295="multiple_unit",Z295&lt;110),0.75,1)</f>
        <v>1.2000000000000002</v>
      </c>
      <c r="BG295">
        <f>INT(POWER(((Constants!$G$2+$AZ295+$BA295+$BB295+$BD295)*$BC295)*$BF295, 1.05))+$AY295</f>
        <v>47</v>
      </c>
      <c r="BH295">
        <f>INT(POWER((((Constants!$G$1+$AZ295+$BA295+$BB295+$BD295)*($BC295))*$BE295),IF($E295="wagon",1,1.2)))+$AX295</f>
        <v>77</v>
      </c>
      <c r="BI295" s="14">
        <f t="shared" si="92"/>
        <v>36718.75</v>
      </c>
      <c r="BJ295" s="14">
        <f t="shared" si="93"/>
        <v>6256.25</v>
      </c>
      <c r="BQ295">
        <v>11</v>
      </c>
      <c r="BR295">
        <v>120</v>
      </c>
      <c r="BT295" t="s">
        <v>283</v>
      </c>
      <c r="BU295" t="str">
        <f>VLOOKUP(H295,Eras!$A$2:$C$10, 2, TRUE)</f>
        <v>lbr</v>
      </c>
      <c r="BV295" t="s">
        <v>345</v>
      </c>
      <c r="BW295" t="str">
        <f t="shared" si="94"/>
        <v>lbr_LU</v>
      </c>
      <c r="BX295" t="str">
        <f t="shared" si="95"/>
        <v>tube_FOURTH_RAIL</v>
      </c>
      <c r="BY295" t="str">
        <f>VLOOKUP($BX295, Constants!$M:$N, 2, FALSE)</f>
        <v>{BLACK}Powered by: {GOLD}630V DC</v>
      </c>
      <c r="BZ295" t="str">
        <f t="shared" si="97"/>
        <v>{BLACK}Cars: {GOLD}3</v>
      </c>
      <c r="CA295" t="s">
        <v>1428</v>
      </c>
      <c r="CB295" t="str">
        <f t="shared" si="98"/>
        <v>{YELLOW}35% Penalty for long distance travel{}</v>
      </c>
      <c r="CC295" t="str">
        <f t="shared" si="96"/>
        <v>{BLACK}Powered by: {GOLD}630V DC {BLACK}Cars: {GOLD}3{}{YELLOW}35% Penalty for long distance travel{}{SILVER}The D78 stock replaced pre-war stock on the District Line. It has the longest car lengths to have been used on the Underground network, at 18.37m for a driving motor car.</v>
      </c>
    </row>
    <row r="296" spans="1:81" x14ac:dyDescent="0.25">
      <c r="A296" t="s">
        <v>106</v>
      </c>
      <c r="B296" t="s">
        <v>200</v>
      </c>
      <c r="C296">
        <v>738</v>
      </c>
      <c r="D296">
        <v>203</v>
      </c>
      <c r="E296" t="s">
        <v>404</v>
      </c>
      <c r="F296" t="s">
        <v>1109</v>
      </c>
      <c r="G296" t="s">
        <v>1411</v>
      </c>
      <c r="H296">
        <v>1993</v>
      </c>
      <c r="K296">
        <v>4</v>
      </c>
      <c r="L296">
        <v>1150</v>
      </c>
      <c r="U296">
        <f>20+22+29+22</f>
        <v>93</v>
      </c>
      <c r="W296">
        <v>10</v>
      </c>
      <c r="X296">
        <v>70</v>
      </c>
      <c r="Y296" s="3">
        <f t="shared" si="84"/>
        <v>7.5268817204301078E-2</v>
      </c>
      <c r="Z296">
        <v>62</v>
      </c>
      <c r="AA296">
        <f t="shared" si="101"/>
        <v>99</v>
      </c>
      <c r="AD296">
        <v>16.25</v>
      </c>
      <c r="AE296">
        <v>16.25</v>
      </c>
      <c r="AF296">
        <v>2.62</v>
      </c>
      <c r="AG296">
        <v>2.87</v>
      </c>
      <c r="AH296" s="10">
        <v>114</v>
      </c>
      <c r="AI296" t="str">
        <f>CONCATENATE(VLOOKUP(AJ296, 'Voxel Sizes'!$A$2:$B$18,2,FALSE),"x",INT(AF296*15), "x", INT(AG296*15))</f>
        <v>164x39x43</v>
      </c>
      <c r="AJ296">
        <f t="shared" si="85"/>
        <v>10</v>
      </c>
      <c r="AL296" t="str">
        <f>CONCATENATE(VLOOKUP(AJ296,Constants!$A$2:$C$16,IF(AK296&lt;&gt;"", 3, 2), FALSE),IF(AK296&lt;&gt;"",CONCATENATE(",",VLOOKUP(AK296,$B:$AL,37,FALSE)),""))</f>
        <v>4,2,4</v>
      </c>
      <c r="AP296" t="s">
        <v>1431</v>
      </c>
      <c r="AR296" t="s">
        <v>465</v>
      </c>
      <c r="AV296">
        <v>29</v>
      </c>
      <c r="AW296" s="15" t="str">
        <f t="shared" si="86"/>
        <v/>
      </c>
      <c r="AX296">
        <v>3</v>
      </c>
      <c r="AZ296">
        <f t="shared" si="87"/>
        <v>12.4</v>
      </c>
      <c r="BA296">
        <f t="shared" si="88"/>
        <v>5.75</v>
      </c>
      <c r="BB296">
        <f t="shared" si="89"/>
        <v>3.5</v>
      </c>
      <c r="BC296" s="3">
        <f t="shared" si="90"/>
        <v>0.876</v>
      </c>
      <c r="BD296">
        <f t="shared" si="91"/>
        <v>15.2</v>
      </c>
      <c r="BE296">
        <f>VLOOKUP($F296,Constants!$I:$K, 2, FALSE)</f>
        <v>0.9</v>
      </c>
      <c r="BF296">
        <f>VLOOKUP($F296,Constants!$I:$K, 3, FALSE)*IF(AND(E296="multiple_unit",Z296&lt;110),0.75,1)</f>
        <v>1.2000000000000002</v>
      </c>
      <c r="BG296">
        <f>INT(POWER(((Constants!$G$2+$AZ296+$BA296+$BB296+$BD296)*$BC296)*$BF296, 1.05))+$AY296</f>
        <v>53</v>
      </c>
      <c r="BH296">
        <f>INT(POWER((((Constants!$G$1+$AZ296+$BA296+$BB296+$BD296)*($BC296))*$BE296),IF($E296="wagon",1,1.2)))+$AX296</f>
        <v>88</v>
      </c>
      <c r="BI296" s="14">
        <f t="shared" si="92"/>
        <v>41406.25</v>
      </c>
      <c r="BJ296" s="14">
        <f t="shared" si="93"/>
        <v>7150</v>
      </c>
      <c r="BQ296">
        <v>3</v>
      </c>
      <c r="BR296">
        <v>120</v>
      </c>
      <c r="BT296" t="s">
        <v>283</v>
      </c>
      <c r="BU296" t="str">
        <f>VLOOKUP(H296,Eras!$A$2:$C$10, 2, TRUE)</f>
        <v>lbr</v>
      </c>
      <c r="BV296" t="s">
        <v>345</v>
      </c>
      <c r="BW296" t="str">
        <f t="shared" si="94"/>
        <v>lbr_LU</v>
      </c>
      <c r="BX296" t="str">
        <f t="shared" si="95"/>
        <v>tube_FOURTH_RAIL</v>
      </c>
      <c r="BY296" t="str">
        <f>VLOOKUP($BX296, Constants!$M:$N, 2, FALSE)</f>
        <v>{BLACK}Powered by: {GOLD}630V DC</v>
      </c>
      <c r="BZ296" t="str">
        <f t="shared" si="97"/>
        <v>{BLACK}Cars: {GOLD}4</v>
      </c>
      <c r="CA296" t="s">
        <v>1432</v>
      </c>
      <c r="CB296" t="str">
        <f t="shared" si="98"/>
        <v>{YELLOW}35% Penalty for long distance travel{}</v>
      </c>
      <c r="CC296" t="str">
        <f t="shared" si="96"/>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7" spans="1:81" x14ac:dyDescent="0.25">
      <c r="A297" t="s">
        <v>1433</v>
      </c>
      <c r="B297" t="s">
        <v>228</v>
      </c>
      <c r="C297">
        <v>740</v>
      </c>
      <c r="D297">
        <v>204</v>
      </c>
      <c r="E297" t="s">
        <v>404</v>
      </c>
      <c r="F297" t="s">
        <v>1109</v>
      </c>
      <c r="G297" t="s">
        <v>1411</v>
      </c>
      <c r="H297">
        <v>1996</v>
      </c>
      <c r="K297">
        <v>3</v>
      </c>
      <c r="L297">
        <v>1200</v>
      </c>
      <c r="U297">
        <f>29+27+21</f>
        <v>77</v>
      </c>
      <c r="W297">
        <v>10</v>
      </c>
      <c r="X297">
        <v>65</v>
      </c>
      <c r="Y297" s="3">
        <f t="shared" si="84"/>
        <v>8.4415584415584416E-2</v>
      </c>
      <c r="Z297">
        <v>62</v>
      </c>
      <c r="AA297">
        <f t="shared" si="101"/>
        <v>99</v>
      </c>
      <c r="AD297">
        <v>17.77</v>
      </c>
      <c r="AE297">
        <v>17.77</v>
      </c>
      <c r="AF297">
        <v>2.63</v>
      </c>
      <c r="AG297">
        <v>2.87</v>
      </c>
      <c r="AH297" s="10">
        <v>108</v>
      </c>
      <c r="AI297" t="str">
        <f>CONCATENATE(VLOOKUP(AJ297, 'Voxel Sizes'!$A$2:$B$18,2,FALSE),"x",INT(AF297*15), "x", INT(AG297*15))</f>
        <v>164x39x43</v>
      </c>
      <c r="AJ297">
        <f t="shared" si="85"/>
        <v>10</v>
      </c>
      <c r="AL297" t="str">
        <f>CONCATENATE(VLOOKUP(AJ297,Constants!$A$2:$C$16,IF(AK297&lt;&gt;"", 3, 2), FALSE),IF(AK297&lt;&gt;"",CONCATENATE(",",VLOOKUP(AK297,$B:$AL,37,FALSE)),""))</f>
        <v>4,2,4</v>
      </c>
      <c r="AP297" t="s">
        <v>1439</v>
      </c>
      <c r="AR297" t="s">
        <v>292</v>
      </c>
      <c r="AV297">
        <v>32</v>
      </c>
      <c r="AW297" s="15" t="str">
        <f t="shared" si="86"/>
        <v/>
      </c>
      <c r="AY297">
        <v>5</v>
      </c>
      <c r="AZ297">
        <f t="shared" si="87"/>
        <v>12.4</v>
      </c>
      <c r="BA297">
        <f t="shared" si="88"/>
        <v>6</v>
      </c>
      <c r="BB297">
        <f t="shared" si="89"/>
        <v>3.25</v>
      </c>
      <c r="BC297" s="3">
        <f t="shared" si="90"/>
        <v>0.872</v>
      </c>
      <c r="BD297">
        <f t="shared" si="91"/>
        <v>10.8</v>
      </c>
      <c r="BE297">
        <f>VLOOKUP($F297,Constants!$I:$K, 2, FALSE)</f>
        <v>0.9</v>
      </c>
      <c r="BF297">
        <f>VLOOKUP($F297,Constants!$I:$K, 3, FALSE)*IF(AND(E297="multiple_unit",Z297&lt;110),0.75,1)</f>
        <v>1.2000000000000002</v>
      </c>
      <c r="BG297">
        <f>INT(POWER(((Constants!$G$2+$AZ297+$BA297+$BB297+$BD297)*$BC297)*$BF297, 1.05))+$AY297</f>
        <v>52</v>
      </c>
      <c r="BH297">
        <f>INT(POWER((((Constants!$G$1+$AZ297+$BA297+$BB297+$BD297)*($BC297))*$BE297),IF($E297="wagon",1,1.2)))+$AX297</f>
        <v>76</v>
      </c>
      <c r="BI297" s="14">
        <f t="shared" si="92"/>
        <v>40625</v>
      </c>
      <c r="BJ297" s="14">
        <f t="shared" si="93"/>
        <v>6175</v>
      </c>
      <c r="BQ297">
        <v>2</v>
      </c>
      <c r="BR297">
        <v>120</v>
      </c>
      <c r="BT297" t="s">
        <v>283</v>
      </c>
      <c r="BU297" t="str">
        <f>VLOOKUP(H297,Eras!$A$2:$C$10, 2, TRUE)</f>
        <v>prv</v>
      </c>
      <c r="BV297" t="s">
        <v>345</v>
      </c>
      <c r="BW297" t="str">
        <f t="shared" si="94"/>
        <v>prv_LU</v>
      </c>
      <c r="BX297" t="str">
        <f t="shared" si="95"/>
        <v>tube_FOURTH_RAIL</v>
      </c>
      <c r="BY297" t="str">
        <f>VLOOKUP($BX297, Constants!$M:$N, 2, FALSE)</f>
        <v>{BLACK}Powered by: {GOLD}630V DC</v>
      </c>
      <c r="BZ297" t="str">
        <f t="shared" si="97"/>
        <v>{BLACK}Cars: {GOLD}3</v>
      </c>
      <c r="CA297" t="s">
        <v>1434</v>
      </c>
      <c r="CB297" t="str">
        <f t="shared" si="98"/>
        <v>{YELLOW}35% Penalty for long distance travel{}</v>
      </c>
      <c r="CC297" t="str">
        <f t="shared" si="96"/>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298" spans="1:81" x14ac:dyDescent="0.25">
      <c r="A298" t="s">
        <v>107</v>
      </c>
      <c r="B298" t="s">
        <v>201</v>
      </c>
      <c r="C298">
        <v>742</v>
      </c>
      <c r="D298">
        <v>205</v>
      </c>
      <c r="E298" t="s">
        <v>404</v>
      </c>
      <c r="F298" t="s">
        <v>1109</v>
      </c>
      <c r="G298" t="s">
        <v>1411</v>
      </c>
      <c r="H298">
        <v>2009</v>
      </c>
      <c r="K298">
        <v>4</v>
      </c>
      <c r="L298">
        <v>1200</v>
      </c>
      <c r="U298">
        <f>197.3/2</f>
        <v>98.65</v>
      </c>
      <c r="W298">
        <v>10</v>
      </c>
      <c r="X298">
        <v>75</v>
      </c>
      <c r="Y298" s="3">
        <f t="shared" si="84"/>
        <v>7.6026355803345158E-2</v>
      </c>
      <c r="Z298">
        <v>50</v>
      </c>
      <c r="AA298">
        <f t="shared" si="101"/>
        <v>80</v>
      </c>
      <c r="AD298">
        <v>16.594999999999999</v>
      </c>
      <c r="AE298">
        <v>16.594999999999999</v>
      </c>
      <c r="AF298">
        <v>2.68</v>
      </c>
      <c r="AG298">
        <v>2.883</v>
      </c>
      <c r="AH298" s="10">
        <v>141</v>
      </c>
      <c r="AI298" t="str">
        <f>CONCATENATE(VLOOKUP(AJ298, 'Voxel Sizes'!$A$2:$B$18,2,FALSE),"x",INT(AF298*15), "x", INT(AG298*15))</f>
        <v>164x40x43</v>
      </c>
      <c r="AJ298">
        <f t="shared" si="85"/>
        <v>10</v>
      </c>
      <c r="AL298" t="str">
        <f>CONCATENATE(VLOOKUP(AJ298,Constants!$A$2:$C$16,IF(AK298&lt;&gt;"", 3, 2), FALSE),IF(AK298&lt;&gt;"",CONCATENATE(",",VLOOKUP(AK298,$B:$AL,37,FALSE)),""))</f>
        <v>4,2,4</v>
      </c>
      <c r="AP298" t="s">
        <v>1440</v>
      </c>
      <c r="AR298" t="s">
        <v>465</v>
      </c>
      <c r="AV298">
        <v>31</v>
      </c>
      <c r="AW298" s="15" t="str">
        <f t="shared" si="86"/>
        <v/>
      </c>
      <c r="AY298">
        <v>-8</v>
      </c>
      <c r="AZ298">
        <f t="shared" si="87"/>
        <v>10</v>
      </c>
      <c r="BA298">
        <f t="shared" si="88"/>
        <v>6</v>
      </c>
      <c r="BB298">
        <f t="shared" si="89"/>
        <v>3.75</v>
      </c>
      <c r="BC298" s="3">
        <f t="shared" si="90"/>
        <v>0.85466666666666669</v>
      </c>
      <c r="BD298">
        <f t="shared" si="91"/>
        <v>18.799999999999997</v>
      </c>
      <c r="BE298">
        <f>VLOOKUP($F298,Constants!$I:$K, 2, FALSE)</f>
        <v>0.9</v>
      </c>
      <c r="BF298">
        <f>VLOOKUP($F298,Constants!$I:$K, 3, FALSE)*IF(AND(E298="multiple_unit",Z298&lt;110),0.75,1)</f>
        <v>1.2000000000000002</v>
      </c>
      <c r="BG298">
        <f>INT(POWER(((Constants!$G$2+$AZ298+$BA298+$BB298+$BD298)*$BC298)*$BF298, 1.05))+$AY298</f>
        <v>46</v>
      </c>
      <c r="BH298">
        <f>INT(POWER((((Constants!$G$1+$AZ298+$BA298+$BB298+$BD298)*($BC298))*$BE298),IF($E298="wagon",1,1.2)))+$AX298</f>
        <v>86</v>
      </c>
      <c r="BI298" s="14">
        <f t="shared" si="92"/>
        <v>35937.5</v>
      </c>
      <c r="BJ298" s="14">
        <f t="shared" si="93"/>
        <v>6987.5</v>
      </c>
      <c r="BQ298">
        <v>12</v>
      </c>
      <c r="BR298">
        <v>120</v>
      </c>
      <c r="BT298" t="s">
        <v>283</v>
      </c>
      <c r="BU298" t="str">
        <f>VLOOKUP(H298,Eras!$A$2:$C$10, 2, TRUE)</f>
        <v>mod</v>
      </c>
      <c r="BV298" t="s">
        <v>345</v>
      </c>
      <c r="BW298" t="str">
        <f t="shared" si="94"/>
        <v>mod_LU</v>
      </c>
      <c r="BX298" t="str">
        <f t="shared" si="95"/>
        <v>tube_FOURTH_RAIL</v>
      </c>
      <c r="BY298" t="str">
        <f>VLOOKUP($BX298, Constants!$M:$N, 2, FALSE)</f>
        <v>{BLACK}Powered by: {GOLD}630V DC</v>
      </c>
      <c r="BZ298" t="str">
        <f t="shared" si="97"/>
        <v>{BLACK}Cars: {GOLD}4</v>
      </c>
      <c r="CA298" t="s">
        <v>1441</v>
      </c>
      <c r="CB298" t="str">
        <f t="shared" si="98"/>
        <v>{YELLOW}35% Penalty for long distance travel{}</v>
      </c>
      <c r="CC298" t="str">
        <f t="shared" si="96"/>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299" spans="1:81" x14ac:dyDescent="0.25">
      <c r="A299" t="s">
        <v>1442</v>
      </c>
      <c r="B299" t="s">
        <v>202</v>
      </c>
      <c r="C299">
        <v>744</v>
      </c>
      <c r="D299">
        <v>206</v>
      </c>
      <c r="E299" t="s">
        <v>404</v>
      </c>
      <c r="F299" t="s">
        <v>1109</v>
      </c>
      <c r="G299" t="s">
        <v>1411</v>
      </c>
      <c r="H299">
        <v>2010</v>
      </c>
      <c r="K299">
        <v>7</v>
      </c>
      <c r="L299">
        <v>2400</v>
      </c>
      <c r="U299">
        <v>213.7</v>
      </c>
      <c r="W299">
        <v>10</v>
      </c>
      <c r="X299">
        <v>180</v>
      </c>
      <c r="Y299" s="3">
        <f t="shared" si="84"/>
        <v>8.4230229293401959E-2</v>
      </c>
      <c r="Z299">
        <v>62</v>
      </c>
      <c r="AA299">
        <f t="shared" si="101"/>
        <v>99</v>
      </c>
      <c r="AD299">
        <v>17.45</v>
      </c>
      <c r="AE299">
        <v>17.45</v>
      </c>
      <c r="AF299">
        <v>2.92</v>
      </c>
      <c r="AG299">
        <v>3.68</v>
      </c>
      <c r="AH299" s="10">
        <v>156</v>
      </c>
      <c r="AI299" t="str">
        <f>CONCATENATE(VLOOKUP(AJ299, 'Voxel Sizes'!$A$2:$B$18,2,FALSE),"x",INT(AF299*15), "x", INT(AG299*15))</f>
        <v>164x43x55</v>
      </c>
      <c r="AJ299">
        <f t="shared" si="85"/>
        <v>10</v>
      </c>
      <c r="AL299" t="str">
        <f>CONCATENATE(VLOOKUP(AJ299,Constants!$A$2:$C$16,IF(AK299&lt;&gt;"", 3, 2), FALSE),IF(AK299&lt;&gt;"",CONCATENATE(",",VLOOKUP(AK299,$B:$AL,37,FALSE)),""))</f>
        <v>4,2,4</v>
      </c>
      <c r="AP299" t="s">
        <v>1443</v>
      </c>
      <c r="AR299" t="s">
        <v>1444</v>
      </c>
      <c r="AV299">
        <v>34</v>
      </c>
      <c r="AW299" s="15" t="str">
        <f t="shared" si="86"/>
        <v/>
      </c>
      <c r="AZ299">
        <f t="shared" si="87"/>
        <v>12.4</v>
      </c>
      <c r="BA299">
        <f t="shared" si="88"/>
        <v>12</v>
      </c>
      <c r="BB299">
        <f t="shared" si="89"/>
        <v>9</v>
      </c>
      <c r="BC299" s="3">
        <f t="shared" si="90"/>
        <v>0.85333333333333328</v>
      </c>
      <c r="BD299">
        <f t="shared" si="91"/>
        <v>36.4</v>
      </c>
      <c r="BE299">
        <f>VLOOKUP($F299,Constants!$I:$K, 2, FALSE)</f>
        <v>0.9</v>
      </c>
      <c r="BF299">
        <f>VLOOKUP($F299,Constants!$I:$K, 3, FALSE)*IF(AND(E299="multiple_unit",Z299&lt;110),0.75,1)</f>
        <v>1.2000000000000002</v>
      </c>
      <c r="BG299">
        <f>INT(POWER(((Constants!$G$2+$AZ299+$BA299+$BB299+$BD299)*$BC299)*$BF299, 1.05))+$AY299</f>
        <v>95</v>
      </c>
      <c r="BH299">
        <f>INT(POWER((((Constants!$G$1+$AZ299+$BA299+$BB299+$BD299)*($BC299))*$BE299),IF($E299="wagon",1,1.2)))+$AX299</f>
        <v>150</v>
      </c>
      <c r="BI299" s="14">
        <f t="shared" si="92"/>
        <v>74218.75</v>
      </c>
      <c r="BJ299" s="14">
        <f t="shared" si="93"/>
        <v>12187.5</v>
      </c>
      <c r="BP299" t="s">
        <v>1146</v>
      </c>
      <c r="BQ299">
        <v>1</v>
      </c>
      <c r="BR299">
        <v>120</v>
      </c>
      <c r="BT299" t="s">
        <v>283</v>
      </c>
      <c r="BU299" t="str">
        <f>VLOOKUP(H299,Eras!$A$2:$C$10, 2, TRUE)</f>
        <v>mod</v>
      </c>
      <c r="BV299" t="s">
        <v>345</v>
      </c>
      <c r="BW299" t="str">
        <f t="shared" si="94"/>
        <v>mod_LU</v>
      </c>
      <c r="BX299" t="str">
        <f t="shared" si="95"/>
        <v>tube_FOURTH_RAIL</v>
      </c>
      <c r="BY299" t="str">
        <f>VLOOKUP($BX299, Constants!$M:$N, 2, FALSE)</f>
        <v>{BLACK}Powered by: {GOLD}630V DC</v>
      </c>
      <c r="BZ299" t="str">
        <f t="shared" si="97"/>
        <v>{BLACK}Cars: {GOLD}7</v>
      </c>
      <c r="CA299" t="s">
        <v>1445</v>
      </c>
      <c r="CB299" t="str">
        <f t="shared" si="98"/>
        <v>{YELLOW}35% Penalty for long distance travel{}</v>
      </c>
      <c r="CC299" t="str">
        <f t="shared" si="96"/>
        <v>{BLACK}Powered by: {GOLD}630V DC {BLACK}Cars: {GOLD}7{}{YELLOW}35% Penalty for long distance travel{}{SILVER}The S stock is the standard stock for London Underground's surface lines. It replaces several types of stock, some of which had become severely outdated and unreliable by 2010.</v>
      </c>
    </row>
    <row r="300" spans="1:81" x14ac:dyDescent="0.25">
      <c r="A300" t="s">
        <v>1446</v>
      </c>
      <c r="B300" t="s">
        <v>1449</v>
      </c>
      <c r="C300">
        <v>745</v>
      </c>
      <c r="D300">
        <v>207</v>
      </c>
      <c r="E300" t="s">
        <v>404</v>
      </c>
      <c r="F300" t="s">
        <v>1109</v>
      </c>
      <c r="G300" t="s">
        <v>1411</v>
      </c>
      <c r="H300">
        <v>2010</v>
      </c>
      <c r="K300">
        <v>6</v>
      </c>
      <c r="L300">
        <v>2400</v>
      </c>
      <c r="U300">
        <f>213.7/7*6</f>
        <v>183.17142857142858</v>
      </c>
      <c r="W300">
        <v>10</v>
      </c>
      <c r="X300">
        <v>180</v>
      </c>
      <c r="Y300" s="3">
        <f t="shared" si="84"/>
        <v>9.8268600842302295E-2</v>
      </c>
      <c r="Z300">
        <v>62</v>
      </c>
      <c r="AA300">
        <f t="shared" si="101"/>
        <v>99</v>
      </c>
      <c r="AD300">
        <v>17.45</v>
      </c>
      <c r="AE300">
        <v>17.45</v>
      </c>
      <c r="AF300">
        <v>2.92</v>
      </c>
      <c r="AG300">
        <v>3.68</v>
      </c>
      <c r="AH300" s="10">
        <v>156</v>
      </c>
      <c r="AI300" t="str">
        <f>CONCATENATE(VLOOKUP(AJ300, 'Voxel Sizes'!$A$2:$B$18,2,FALSE),"x",INT(AF300*15), "x", INT(AG300*15))</f>
        <v>164x43x55</v>
      </c>
      <c r="AJ300">
        <f t="shared" si="85"/>
        <v>10</v>
      </c>
      <c r="AL300" t="str">
        <f>CONCATENATE(VLOOKUP(AJ300,Constants!$A$2:$C$16,IF(AK300&lt;&gt;"", 3, 2), FALSE),IF(AK300&lt;&gt;"",CONCATENATE(",",VLOOKUP(AK300,$B:$AL,37,FALSE)),""))</f>
        <v>4,2,4</v>
      </c>
      <c r="AP300" t="s">
        <v>1447</v>
      </c>
      <c r="AR300" t="s">
        <v>1304</v>
      </c>
      <c r="AS300" t="s">
        <v>202</v>
      </c>
      <c r="AV300">
        <v>34</v>
      </c>
      <c r="AW300" s="15" t="str">
        <f t="shared" si="86"/>
        <v/>
      </c>
      <c r="AZ300">
        <f t="shared" si="87"/>
        <v>12.4</v>
      </c>
      <c r="BA300">
        <f t="shared" si="88"/>
        <v>12</v>
      </c>
      <c r="BB300">
        <f t="shared" si="89"/>
        <v>9</v>
      </c>
      <c r="BC300" s="3">
        <f t="shared" si="90"/>
        <v>0.85333333333333328</v>
      </c>
      <c r="BD300">
        <f t="shared" si="91"/>
        <v>31.200000000000003</v>
      </c>
      <c r="BE300">
        <f>VLOOKUP($F300,Constants!$I:$K, 2, FALSE)</f>
        <v>0.9</v>
      </c>
      <c r="BF300">
        <f>VLOOKUP($F300,Constants!$I:$K, 3, FALSE)*IF(AND(E300="multiple_unit",Z300&lt;110),0.75,1)</f>
        <v>1.2000000000000002</v>
      </c>
      <c r="BG300">
        <f>INT(POWER(((Constants!$G$2+$AZ300+$BA300+$BB300+$BD300)*$BC300)*$BF300, 1.05))+$AY300</f>
        <v>88</v>
      </c>
      <c r="BH300">
        <f>INT(POWER((((Constants!$G$1+$AZ300+$BA300+$BB300+$BD300)*($BC300))*$BE300),IF($E300="wagon",1,1.2)))+$AX300</f>
        <v>139</v>
      </c>
      <c r="BI300" s="14">
        <f t="shared" si="92"/>
        <v>68750</v>
      </c>
      <c r="BJ300" s="14">
        <f t="shared" si="93"/>
        <v>11293.75</v>
      </c>
      <c r="BP300" t="s">
        <v>1148</v>
      </c>
      <c r="BQ300">
        <v>1</v>
      </c>
      <c r="BR300">
        <v>120</v>
      </c>
      <c r="BT300" t="s">
        <v>283</v>
      </c>
      <c r="BU300" t="str">
        <f>VLOOKUP(H300,Eras!$A$2:$C$10, 2, TRUE)</f>
        <v>mod</v>
      </c>
      <c r="BV300" t="s">
        <v>345</v>
      </c>
      <c r="BW300" t="str">
        <f t="shared" si="94"/>
        <v>mod_LU</v>
      </c>
      <c r="BX300" t="str">
        <f t="shared" si="95"/>
        <v>tube_FOURTH_RAIL</v>
      </c>
      <c r="BY300" t="str">
        <f>VLOOKUP($BX300, Constants!$M:$N, 2, FALSE)</f>
        <v>{BLACK}Powered by: {GOLD}630V DC</v>
      </c>
      <c r="BZ300" t="str">
        <f t="shared" si="97"/>
        <v>{BLACK}Cars: {GOLD}6</v>
      </c>
      <c r="CA300" t="s">
        <v>1448</v>
      </c>
      <c r="CB300" t="str">
        <f t="shared" si="98"/>
        <v>{YELLOW}35% Penalty for long distance travel{}</v>
      </c>
      <c r="CC300" t="str">
        <f t="shared" si="96"/>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1" spans="1:81" x14ac:dyDescent="0.25">
      <c r="A301" t="s">
        <v>1493</v>
      </c>
      <c r="B301" t="s">
        <v>1494</v>
      </c>
      <c r="C301">
        <v>746</v>
      </c>
      <c r="D301">
        <v>208</v>
      </c>
      <c r="E301" t="s">
        <v>404</v>
      </c>
      <c r="F301" t="s">
        <v>1109</v>
      </c>
      <c r="G301" t="s">
        <v>1411</v>
      </c>
      <c r="H301">
        <v>2025</v>
      </c>
      <c r="K301">
        <v>9</v>
      </c>
      <c r="L301">
        <v>3400</v>
      </c>
      <c r="U301">
        <v>190</v>
      </c>
      <c r="W301">
        <v>10</v>
      </c>
      <c r="X301">
        <v>160</v>
      </c>
      <c r="Y301" s="3">
        <f t="shared" si="84"/>
        <v>8.4210526315789472E-2</v>
      </c>
      <c r="Z301">
        <v>62</v>
      </c>
      <c r="AA301">
        <f t="shared" si="101"/>
        <v>99</v>
      </c>
      <c r="AD301">
        <f>113.7/9</f>
        <v>12.633333333333333</v>
      </c>
      <c r="AE301">
        <v>12.6</v>
      </c>
      <c r="AF301">
        <v>2.6</v>
      </c>
      <c r="AG301">
        <v>2.8</v>
      </c>
      <c r="AH301" s="10">
        <v>119</v>
      </c>
      <c r="AI301" t="str">
        <f>CONCATENATE(VLOOKUP(AJ301, 'Voxel Sizes'!$A$2:$B$18,2,FALSE),"x",INT(AF301*15), "x", INT(AG301*15))</f>
        <v>120x39x42</v>
      </c>
      <c r="AJ301">
        <f t="shared" si="85"/>
        <v>7</v>
      </c>
      <c r="AL301" t="str">
        <f>CONCATENATE(VLOOKUP(AJ301,Constants!$A$2:$C$16,IF(AK301&lt;&gt;"", 3, 2), FALSE),IF(AK301&lt;&gt;"",CONCATENATE(",",VLOOKUP(AK301,$B:$AL,37,FALSE)),""))</f>
        <v>2,3,2</v>
      </c>
      <c r="AP301" t="s">
        <v>1495</v>
      </c>
      <c r="AR301" t="s">
        <v>1496</v>
      </c>
      <c r="AV301">
        <v>32</v>
      </c>
      <c r="AW301" s="15" t="str">
        <f t="shared" si="86"/>
        <v/>
      </c>
      <c r="AZ301">
        <f t="shared" si="87"/>
        <v>12.4</v>
      </c>
      <c r="BA301">
        <f t="shared" si="88"/>
        <v>17</v>
      </c>
      <c r="BB301">
        <f t="shared" si="89"/>
        <v>8</v>
      </c>
      <c r="BC301" s="3">
        <f t="shared" si="90"/>
        <v>0.83333333333333337</v>
      </c>
      <c r="BD301">
        <f t="shared" si="91"/>
        <v>35.699999999999996</v>
      </c>
      <c r="BE301">
        <f>VLOOKUP($F301,Constants!$I:$K, 2, FALSE)</f>
        <v>0.9</v>
      </c>
      <c r="BF301">
        <f>VLOOKUP($F301,Constants!$I:$K, 3, FALSE)*IF(AND(E301="multiple_unit",Z301&lt;110),0.75,1)</f>
        <v>1.2000000000000002</v>
      </c>
      <c r="BG301">
        <f>INT(POWER(((Constants!$G$2+$AZ301+$BA301+$BB301+$BD301)*$BC301)*$BF301, 1.05))+$AY301</f>
        <v>97</v>
      </c>
      <c r="BH301">
        <f>INT(POWER((((Constants!$G$1+$AZ301+$BA301+$BB301+$BD301)*($BC301))*$BE301),IF($E301="wagon",1,1.2)))+$AX301</f>
        <v>152</v>
      </c>
      <c r="BI301" s="14">
        <f t="shared" si="92"/>
        <v>75781.25</v>
      </c>
      <c r="BJ301" s="14">
        <f t="shared" si="93"/>
        <v>12350</v>
      </c>
      <c r="BQ301">
        <v>6</v>
      </c>
      <c r="BR301">
        <v>120</v>
      </c>
      <c r="BT301" t="s">
        <v>283</v>
      </c>
      <c r="BU301" t="str">
        <f>VLOOKUP(H301,Eras!$A$2:$C$10, 2, TRUE)</f>
        <v>mod</v>
      </c>
      <c r="BV301" t="s">
        <v>345</v>
      </c>
      <c r="BW301" t="str">
        <f t="shared" si="94"/>
        <v>mod_LU</v>
      </c>
      <c r="BX301" t="str">
        <f t="shared" si="95"/>
        <v>tube_FOURTH_RAIL</v>
      </c>
      <c r="BY301" t="str">
        <f>VLOOKUP($BX301, Constants!$M:$N, 2, FALSE)</f>
        <v>{BLACK}Powered by: {GOLD}630V DC</v>
      </c>
      <c r="BZ301" t="str">
        <f t="shared" si="97"/>
        <v>{BLACK}Cars: {GOLD}9</v>
      </c>
      <c r="CA301" t="s">
        <v>1497</v>
      </c>
      <c r="CB301" t="str">
        <f t="shared" si="98"/>
        <v>{YELLOW}35% Penalty for long distance travel{}</v>
      </c>
      <c r="CC301" t="str">
        <f t="shared" si="96"/>
        <v>{BLACK}Powered by: {GOLD}630V DC {BLACK}Cars: {GOLD}9{}{YELLOW}35% Penalty for long distance travel{}{SILVER}The New Tube for London is intended to replace all of London Underground's existing deep-level Tube stock, starting with the 1973 stock on the Piccadilly Line.</v>
      </c>
    </row>
    <row r="302" spans="1:81" x14ac:dyDescent="0.25">
      <c r="A302" t="s">
        <v>1451</v>
      </c>
      <c r="B302" t="s">
        <v>1452</v>
      </c>
      <c r="C302">
        <v>750</v>
      </c>
      <c r="D302">
        <v>209</v>
      </c>
      <c r="E302" t="s">
        <v>404</v>
      </c>
      <c r="F302" t="s">
        <v>1109</v>
      </c>
      <c r="G302" t="s">
        <v>1411</v>
      </c>
      <c r="H302">
        <v>1980</v>
      </c>
      <c r="K302">
        <v>3</v>
      </c>
      <c r="L302">
        <v>300</v>
      </c>
      <c r="U302">
        <v>60</v>
      </c>
      <c r="W302">
        <v>9</v>
      </c>
      <c r="X302">
        <v>45</v>
      </c>
      <c r="Y302" s="3">
        <f t="shared" si="84"/>
        <v>7.4999999999999997E-2</v>
      </c>
      <c r="Z302">
        <v>34</v>
      </c>
      <c r="AA302">
        <f t="shared" si="101"/>
        <v>54</v>
      </c>
      <c r="AD302">
        <v>12.58</v>
      </c>
      <c r="AE302">
        <v>12.58</v>
      </c>
      <c r="AF302">
        <v>2.34</v>
      </c>
      <c r="AG302">
        <v>2.65</v>
      </c>
      <c r="AH302" s="10">
        <v>90</v>
      </c>
      <c r="AI302" t="str">
        <f>CONCATENATE(VLOOKUP(AJ302, 'Voxel Sizes'!$A$2:$B$18,2,FALSE),"x",INT(AF302*15), "x", INT(AG302*15))</f>
        <v>120x35x39</v>
      </c>
      <c r="AJ302">
        <f t="shared" si="85"/>
        <v>7</v>
      </c>
      <c r="AL302" t="str">
        <f>CONCATENATE(VLOOKUP(AJ302,Constants!$A$2:$C$16,IF(AK302&lt;&gt;"", 3, 2), FALSE),IF(AK302&lt;&gt;"",CONCATENATE(",",VLOOKUP(AK302,$B:$AL,37,FALSE)),""))</f>
        <v>2,3,2</v>
      </c>
      <c r="AP302" t="s">
        <v>1454</v>
      </c>
      <c r="AR302" t="s">
        <v>292</v>
      </c>
      <c r="AV302">
        <v>33</v>
      </c>
      <c r="AW302" s="15" t="str">
        <f t="shared" si="86"/>
        <v/>
      </c>
      <c r="AZ302">
        <f t="shared" si="87"/>
        <v>6.8</v>
      </c>
      <c r="BA302">
        <f t="shared" si="88"/>
        <v>1.5</v>
      </c>
      <c r="BB302">
        <f t="shared" si="89"/>
        <v>2.25</v>
      </c>
      <c r="BC302" s="3">
        <f t="shared" si="90"/>
        <v>0.89333333333333331</v>
      </c>
      <c r="BD302">
        <f t="shared" si="91"/>
        <v>9</v>
      </c>
      <c r="BE302">
        <f>VLOOKUP($F302,Constants!$I:$K, 2, FALSE)</f>
        <v>0.9</v>
      </c>
      <c r="BF302">
        <f>VLOOKUP($F302,Constants!$I:$K, 3, FALSE)*IF(AND(E302="multiple_unit",Z302&lt;110),0.75,1)</f>
        <v>1.2000000000000002</v>
      </c>
      <c r="BG302">
        <f>INT(POWER(((Constants!$G$2+$AZ302+$BA302+$BB302+$BD302)*$BC302)*$BF302, 1.05))+$AY302</f>
        <v>30</v>
      </c>
      <c r="BH302">
        <f>INT(POWER((((Constants!$G$1+$AZ302+$BA302+$BB302+$BD302)*($BC302))*$BE302),IF($E302="wagon",1,1.2)))+$AX302</f>
        <v>54</v>
      </c>
      <c r="BI302" s="14">
        <f t="shared" si="92"/>
        <v>23437.5</v>
      </c>
      <c r="BJ302" s="14">
        <f t="shared" si="93"/>
        <v>4387.5</v>
      </c>
      <c r="BQ302">
        <v>5</v>
      </c>
      <c r="BR302">
        <v>120</v>
      </c>
      <c r="BT302" t="s">
        <v>283</v>
      </c>
      <c r="BU302" t="str">
        <f>VLOOKUP(H302,Eras!$A$2:$C$10, 2, TRUE)</f>
        <v>lbr</v>
      </c>
      <c r="BV302" t="s">
        <v>345</v>
      </c>
      <c r="BW302" t="str">
        <f t="shared" si="94"/>
        <v>lbr_LU</v>
      </c>
      <c r="BX302" t="str">
        <f t="shared" si="95"/>
        <v>tube_FOURTH_RAIL</v>
      </c>
      <c r="BY302" t="str">
        <f>VLOOKUP($BX302, Constants!$M:$N, 2, FALSE)</f>
        <v>{BLACK}Powered by: {GOLD}630V DC</v>
      </c>
      <c r="BZ302" t="str">
        <f t="shared" si="97"/>
        <v>{BLACK}Cars: {GOLD}3</v>
      </c>
      <c r="CA302" t="s">
        <v>1453</v>
      </c>
      <c r="CB302" t="str">
        <f t="shared" si="98"/>
        <v>{YELLOW}35% Penalty for long distance travel{}</v>
      </c>
      <c r="CC302" t="str">
        <f t="shared" si="96"/>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A302" xr:uid="{CF2E8555-48EE-4386-A1B1-369F6A2E644F}">
    <sortState xmlns:xlrd2="http://schemas.microsoft.com/office/spreadsheetml/2017/richdata2" ref="A2:CA294">
      <sortCondition ref="C124"/>
    </sortState>
  </autoFilter>
  <sortState xmlns:xlrd2="http://schemas.microsoft.com/office/spreadsheetml/2017/richdata2" ref="A2:CC302">
    <sortCondition ref="C283:C30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BV1:BV1048576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377</v>
      </c>
      <c r="D1" s="1" t="s">
        <v>327</v>
      </c>
      <c r="E1" s="1" t="s">
        <v>326</v>
      </c>
      <c r="F1" s="1" t="s">
        <v>328</v>
      </c>
      <c r="G1" s="1" t="s">
        <v>329</v>
      </c>
      <c r="H1" s="1" t="s">
        <v>337</v>
      </c>
      <c r="I1" s="1" t="s">
        <v>338</v>
      </c>
      <c r="J1" s="1" t="s">
        <v>339</v>
      </c>
      <c r="K1" s="1" t="s">
        <v>330</v>
      </c>
      <c r="L1" s="1" t="s">
        <v>331</v>
      </c>
      <c r="M1" s="1" t="s">
        <v>332</v>
      </c>
      <c r="N1" s="1" t="s">
        <v>333</v>
      </c>
      <c r="O1" s="1" t="s">
        <v>334</v>
      </c>
      <c r="P1" s="1" t="s">
        <v>345</v>
      </c>
      <c r="Q1" s="1" t="s">
        <v>335</v>
      </c>
      <c r="R1" s="1" t="s">
        <v>336</v>
      </c>
      <c r="S1" s="1" t="s">
        <v>340</v>
      </c>
      <c r="T1" s="1" t="s">
        <v>341</v>
      </c>
      <c r="U1" s="1" t="s">
        <v>342</v>
      </c>
      <c r="V1" s="1" t="s">
        <v>343</v>
      </c>
      <c r="W1" s="1" t="s">
        <v>695</v>
      </c>
    </row>
    <row r="2" spans="1:23" x14ac:dyDescent="0.25">
      <c r="A2" s="1" t="s">
        <v>324</v>
      </c>
      <c r="B2" s="1" t="s">
        <v>325</v>
      </c>
    </row>
    <row r="3" spans="1:23" x14ac:dyDescent="0.25">
      <c r="A3" t="s">
        <v>317</v>
      </c>
      <c r="B3" t="str">
        <f>VLOOKUP(A3, Eras!$B$2:$C$10, 2, FALSE)</f>
        <v>Early (1800-1850)</v>
      </c>
      <c r="C3">
        <f>COUNTIF(Table!$BW:$BW,CONCATENATE($A3,"_",C$1))</f>
        <v>0</v>
      </c>
      <c r="D3">
        <f>COUNTIF(Table!$BW:$BW,CONCATENATE($A3,"_",D$1))</f>
        <v>9</v>
      </c>
      <c r="E3">
        <f>COUNTIF(Table!$BW:$BW,CONCATENATE($A3,"_",E$1))</f>
        <v>0</v>
      </c>
      <c r="F3">
        <f>COUNTIF(Table!$BW:$BW,CONCATENATE($A3,"_",F$1))</f>
        <v>1</v>
      </c>
      <c r="G3">
        <f>COUNTIF(Table!$BW:$BW,CONCATENATE($A3,"_",G$1))</f>
        <v>0</v>
      </c>
      <c r="H3">
        <f>COUNTIF(Table!$BW:$BW,CONCATENATE($A3,"_",H$1))</f>
        <v>0</v>
      </c>
      <c r="I3">
        <f>COUNTIF(Table!$BW:$BW,CONCATENATE($A3,"_",I$1))</f>
        <v>0</v>
      </c>
      <c r="J3">
        <f>COUNTIF(Table!$BW:$BW,CONCATENATE($A3,"_",J$1))</f>
        <v>0</v>
      </c>
      <c r="K3">
        <f>COUNTIF(Table!$BW:$BW,CONCATENATE($A3,"_",K$1))</f>
        <v>0</v>
      </c>
      <c r="L3">
        <f>COUNTIF(Table!$BW:$BW,CONCATENATE($A3,"_",L$1))</f>
        <v>0</v>
      </c>
      <c r="M3">
        <f>COUNTIF(Table!$BW:$BW,CONCATENATE($A3,"_",M$1))</f>
        <v>0</v>
      </c>
      <c r="N3">
        <f>COUNTIF(Table!$BW:$BW,CONCATENATE($A3,"_",N$1))</f>
        <v>0</v>
      </c>
      <c r="O3">
        <f>COUNTIF(Table!$BW:$BW,CONCATENATE($A3,"_",O$1))</f>
        <v>0</v>
      </c>
      <c r="P3">
        <f>COUNTIF(Table!$BW:$BW,CONCATENATE($A3,"_",P$1))</f>
        <v>0</v>
      </c>
      <c r="Q3">
        <f>COUNTIF(Table!$BW:$BW,CONCATENATE($A3,"_",Q$1))</f>
        <v>2</v>
      </c>
      <c r="R3">
        <f>COUNTIF(Table!$BW:$BW,CONCATENATE($A3,"_",R$1))</f>
        <v>0</v>
      </c>
      <c r="S3">
        <f>COUNTIF(Table!$BW:$BW,CONCATENATE($A3,"_",S$1))</f>
        <v>1</v>
      </c>
      <c r="T3">
        <f>COUNTIF(Table!$BW:$BW,CONCATENATE($A3,"_",T$1))</f>
        <v>1</v>
      </c>
      <c r="U3">
        <f>COUNTIF(Table!$BW:$BW,CONCATENATE($A3,"_",U$1))</f>
        <v>1</v>
      </c>
      <c r="V3">
        <f>COUNTIF(Table!$BW:$BW,CONCATENATE($A3,"_",V$1))</f>
        <v>0</v>
      </c>
      <c r="W3">
        <f>COUNTIF(Table!$BW:$BW,CONCATENATE($A3,"_",W$1))</f>
        <v>1</v>
      </c>
    </row>
    <row r="4" spans="1:23" x14ac:dyDescent="0.25">
      <c r="A4" t="s">
        <v>384</v>
      </c>
      <c r="B4" t="str">
        <f>VLOOKUP(A4, Eras!$B$2:$C$10, 2, FALSE)</f>
        <v>Victorian (1850-1900)</v>
      </c>
      <c r="C4">
        <f>COUNTIF(Table!$BW:$BW,CONCATENATE($A4,"_",C$1))</f>
        <v>0</v>
      </c>
      <c r="D4">
        <f>COUNTIF(Table!$BW:$BW,CONCATENATE($A4,"_",D$1))</f>
        <v>4</v>
      </c>
      <c r="E4">
        <f>COUNTIF(Table!$BW:$BW,CONCATENATE($A4,"_",E$1))</f>
        <v>2</v>
      </c>
      <c r="F4">
        <f>COUNTIF(Table!$BW:$BW,CONCATENATE($A4,"_",F$1))</f>
        <v>3</v>
      </c>
      <c r="G4">
        <f>COUNTIF(Table!$BW:$BW,CONCATENATE($A4,"_",G$1))</f>
        <v>3</v>
      </c>
      <c r="H4">
        <f>COUNTIF(Table!$BW:$BW,CONCATENATE($A4,"_",H$1))</f>
        <v>0</v>
      </c>
      <c r="I4">
        <f>COUNTIF(Table!$BW:$BW,CONCATENATE($A4,"_",I$1))</f>
        <v>0</v>
      </c>
      <c r="J4">
        <f>COUNTIF(Table!$BW:$BW,CONCATENATE($A4,"_",J$1))</f>
        <v>0</v>
      </c>
      <c r="K4">
        <f>COUNTIF(Table!$BW:$BW,CONCATENATE($A4,"_",K$1))</f>
        <v>0</v>
      </c>
      <c r="L4">
        <f>COUNTIF(Table!$BW:$BW,CONCATENATE($A4,"_",L$1))</f>
        <v>0</v>
      </c>
      <c r="M4">
        <f>COUNTIF(Table!$BW:$BW,CONCATENATE($A4,"_",M$1))</f>
        <v>0</v>
      </c>
      <c r="N4">
        <f>COUNTIF(Table!$BW:$BW,CONCATENATE($A4,"_",N$1))</f>
        <v>0</v>
      </c>
      <c r="O4">
        <f>COUNTIF(Table!$BW:$BW,CONCATENATE($A4,"_",O$1))</f>
        <v>0</v>
      </c>
      <c r="P4">
        <f>COUNTIF(Table!$BW:$BW,CONCATENATE($A4,"_",P$1))</f>
        <v>1</v>
      </c>
      <c r="Q4">
        <f>COUNTIF(Table!$BW:$BW,CONCATENATE($A4,"_",Q$1))</f>
        <v>6</v>
      </c>
      <c r="R4">
        <f>COUNTIF(Table!$BW:$BW,CONCATENATE($A4,"_",R$1))</f>
        <v>1</v>
      </c>
      <c r="S4">
        <f>COUNTIF(Table!$BW:$BW,CONCATENATE($A4,"_",S$1))</f>
        <v>1</v>
      </c>
      <c r="T4">
        <f>COUNTIF(Table!$BW:$BW,CONCATENATE($A4,"_",T$1))</f>
        <v>1</v>
      </c>
      <c r="U4">
        <f>COUNTIF(Table!$BW:$BW,CONCATENATE($A4,"_",U$1))</f>
        <v>2</v>
      </c>
      <c r="V4">
        <f>COUNTIF(Table!$BW:$BW,CONCATENATE($A4,"_",V$1))</f>
        <v>1</v>
      </c>
      <c r="W4">
        <f>COUNTIF(Table!$BW:$BW,CONCATENATE($A4,"_",W$1))</f>
        <v>2</v>
      </c>
    </row>
    <row r="5" spans="1:23" x14ac:dyDescent="0.25">
      <c r="A5" t="s">
        <v>318</v>
      </c>
      <c r="B5" t="str">
        <f>VLOOKUP(A5, Eras!$B$2:$C$10, 2, FALSE)</f>
        <v>Edwardian (1900-1920)</v>
      </c>
      <c r="C5">
        <f>COUNTIF(Table!$BW:$BW,CONCATENATE($A5,"_",C$1))</f>
        <v>2</v>
      </c>
      <c r="D5">
        <f>COUNTIF(Table!$BW:$BW,CONCATENATE($A5,"_",D$1))</f>
        <v>2</v>
      </c>
      <c r="E5">
        <f>COUNTIF(Table!$BW:$BW,CONCATENATE($A5,"_",E$1))</f>
        <v>2</v>
      </c>
      <c r="F5">
        <f>COUNTIF(Table!$BW:$BW,CONCATENATE($A5,"_",F$1))</f>
        <v>3</v>
      </c>
      <c r="G5">
        <f>COUNTIF(Table!$BW:$BW,CONCATENATE($A5,"_",G$1))</f>
        <v>5</v>
      </c>
      <c r="H5">
        <f>COUNTIF(Table!$BW:$BW,CONCATENATE($A5,"_",H$1))</f>
        <v>0</v>
      </c>
      <c r="I5">
        <f>COUNTIF(Table!$BW:$BW,CONCATENATE($A5,"_",I$1))</f>
        <v>0</v>
      </c>
      <c r="J5">
        <f>COUNTIF(Table!$BW:$BW,CONCATENATE($A5,"_",J$1))</f>
        <v>2</v>
      </c>
      <c r="K5">
        <f>COUNTIF(Table!$BW:$BW,CONCATENATE($A5,"_",K$1))</f>
        <v>1</v>
      </c>
      <c r="L5">
        <f>COUNTIF(Table!$BW:$BW,CONCATENATE($A5,"_",L$1))</f>
        <v>0</v>
      </c>
      <c r="M5">
        <f>COUNTIF(Table!$BW:$BW,CONCATENATE($A5,"_",M$1))</f>
        <v>0</v>
      </c>
      <c r="N5">
        <f>COUNTIF(Table!$BW:$BW,CONCATENATE($A5,"_",N$1))</f>
        <v>1</v>
      </c>
      <c r="O5">
        <f>COUNTIF(Table!$BW:$BW,CONCATENATE($A5,"_",O$1))</f>
        <v>0</v>
      </c>
      <c r="P5">
        <f>COUNTIF(Table!$BW:$BW,CONCATENATE($A5,"_",P$1))</f>
        <v>2</v>
      </c>
      <c r="Q5">
        <f>COUNTIF(Table!$BW:$BW,CONCATENATE($A5,"_",Q$1))</f>
        <v>1</v>
      </c>
      <c r="R5">
        <f>COUNTIF(Table!$BW:$BW,CONCATENATE($A5,"_",R$1))</f>
        <v>2</v>
      </c>
      <c r="S5">
        <f>COUNTIF(Table!$BW:$BW,CONCATENATE($A5,"_",S$1))</f>
        <v>1</v>
      </c>
      <c r="T5">
        <f>COUNTIF(Table!$BW:$BW,CONCATENATE($A5,"_",T$1))</f>
        <v>2</v>
      </c>
      <c r="U5">
        <f>COUNTIF(Table!$BW:$BW,CONCATENATE($A5,"_",U$1))</f>
        <v>2</v>
      </c>
      <c r="V5">
        <f>COUNTIF(Table!$BW:$BW,CONCATENATE($A5,"_",V$1))</f>
        <v>1</v>
      </c>
      <c r="W5">
        <f>COUNTIF(Table!$BW:$BW,CONCATENATE($A5,"_",W$1))</f>
        <v>0</v>
      </c>
    </row>
    <row r="6" spans="1:23" x14ac:dyDescent="0.25">
      <c r="A6" t="s">
        <v>319</v>
      </c>
      <c r="B6" t="str">
        <f>VLOOKUP(A6, Eras!$B$2:$C$10, 2, FALSE)</f>
        <v>Big Four (1923-1948)</v>
      </c>
      <c r="C6">
        <f>COUNTIF(Table!$BW:$BW,CONCATENATE($A6,"_",C$1))</f>
        <v>1</v>
      </c>
      <c r="D6">
        <f>COUNTIF(Table!$BW:$BW,CONCATENATE($A6,"_",D$1))</f>
        <v>11</v>
      </c>
      <c r="E6">
        <f>COUNTIF(Table!$BW:$BW,CONCATENATE($A6,"_",E$1))</f>
        <v>6</v>
      </c>
      <c r="F6">
        <f>COUNTIF(Table!$BW:$BW,CONCATENATE($A6,"_",F$1))</f>
        <v>11</v>
      </c>
      <c r="G6">
        <f>COUNTIF(Table!$BW:$BW,CONCATENATE($A6,"_",G$1))</f>
        <v>3</v>
      </c>
      <c r="H6">
        <f>COUNTIF(Table!$BW:$BW,CONCATENATE($A6,"_",H$1))</f>
        <v>1</v>
      </c>
      <c r="I6">
        <f>COUNTIF(Table!$BW:$BW,CONCATENATE($A6,"_",I$1))</f>
        <v>0</v>
      </c>
      <c r="J6">
        <f>COUNTIF(Table!$BW:$BW,CONCATENATE($A6,"_",J$1))</f>
        <v>0</v>
      </c>
      <c r="K6">
        <f>COUNTIF(Table!$BW:$BW,CONCATENATE($A6,"_",K$1))</f>
        <v>1</v>
      </c>
      <c r="L6">
        <f>COUNTIF(Table!$BW:$BW,CONCATENATE($A6,"_",L$1))</f>
        <v>0</v>
      </c>
      <c r="M6">
        <f>COUNTIF(Table!$BW:$BW,CONCATENATE($A6,"_",M$1))</f>
        <v>0</v>
      </c>
      <c r="N6">
        <f>COUNTIF(Table!$BW:$BW,CONCATENATE($A6,"_",N$1))</f>
        <v>2</v>
      </c>
      <c r="O6">
        <f>COUNTIF(Table!$BW:$BW,CONCATENATE($A6,"_",O$1))</f>
        <v>1</v>
      </c>
      <c r="P6">
        <f>COUNTIF(Table!$BW:$BW,CONCATENATE($A6,"_",P$1))</f>
        <v>3</v>
      </c>
      <c r="Q6">
        <f>COUNTIF(Table!$BW:$BW,CONCATENATE($A6,"_",Q$1))</f>
        <v>2</v>
      </c>
      <c r="R6">
        <f>COUNTIF(Table!$BW:$BW,CONCATENATE($A6,"_",R$1))</f>
        <v>0</v>
      </c>
      <c r="S6">
        <f>COUNTIF(Table!$BW:$BW,CONCATENATE($A6,"_",S$1))</f>
        <v>1</v>
      </c>
      <c r="T6">
        <f>COUNTIF(Table!$BW:$BW,CONCATENATE($A6,"_",T$1))</f>
        <v>1</v>
      </c>
      <c r="U6">
        <f>COUNTIF(Table!$BW:$BW,CONCATENATE($A6,"_",U$1))</f>
        <v>2</v>
      </c>
      <c r="V6">
        <f>COUNTIF(Table!$BW:$BW,CONCATENATE($A6,"_",V$1))</f>
        <v>1</v>
      </c>
      <c r="W6">
        <f>COUNTIF(Table!$BW:$BW,CONCATENATE($A6,"_",W$1))</f>
        <v>2</v>
      </c>
    </row>
    <row r="7" spans="1:23" x14ac:dyDescent="0.25">
      <c r="A7" t="s">
        <v>640</v>
      </c>
      <c r="B7" t="str">
        <f>VLOOKUP(A7, Eras!$B$2:$C$10, 2, FALSE)</f>
        <v>Early BR (1948-1955)</v>
      </c>
      <c r="C7">
        <f>COUNTIF(Table!$BW:$BW,CONCATENATE($A7,"_",C$1))</f>
        <v>0</v>
      </c>
      <c r="D7">
        <f>COUNTIF(Table!$BW:$BW,CONCATENATE($A7,"_",D$1))</f>
        <v>2</v>
      </c>
      <c r="E7">
        <f>COUNTIF(Table!$BW:$BW,CONCATENATE($A7,"_",E$1))</f>
        <v>1</v>
      </c>
      <c r="F7">
        <f>COUNTIF(Table!$BW:$BW,CONCATENATE($A7,"_",F$1))</f>
        <v>1</v>
      </c>
      <c r="G7">
        <f>COUNTIF(Table!$BW:$BW,CONCATENATE($A7,"_",G$1))</f>
        <v>1</v>
      </c>
      <c r="H7">
        <f>COUNTIF(Table!$BW:$BW,CONCATENATE($A7,"_",H$1))</f>
        <v>0</v>
      </c>
      <c r="I7">
        <f>COUNTIF(Table!$BW:$BW,CONCATENATE($A7,"_",I$1))</f>
        <v>1</v>
      </c>
      <c r="J7">
        <f>COUNTIF(Table!$BW:$BW,CONCATENATE($A7,"_",J$1))</f>
        <v>1</v>
      </c>
      <c r="K7">
        <f>COUNTIF(Table!$BW:$BW,CONCATENATE($A7,"_",K$1))</f>
        <v>0</v>
      </c>
      <c r="L7">
        <f>COUNTIF(Table!$BW:$BW,CONCATENATE($A7,"_",L$1))</f>
        <v>0</v>
      </c>
      <c r="M7">
        <f>COUNTIF(Table!$BW:$BW,CONCATENATE($A7,"_",M$1))</f>
        <v>0</v>
      </c>
      <c r="N7">
        <f>COUNTIF(Table!$BW:$BW,CONCATENATE($A7,"_",N$1))</f>
        <v>1</v>
      </c>
      <c r="O7">
        <f>COUNTIF(Table!$BW:$BW,CONCATENATE($A7,"_",O$1))</f>
        <v>0</v>
      </c>
      <c r="P7">
        <f>COUNTIF(Table!$BW:$BW,CONCATENATE($A7,"_",P$1))</f>
        <v>0</v>
      </c>
      <c r="Q7">
        <f>COUNTIF(Table!$BW:$BW,CONCATENATE($A7,"_",Q$1))</f>
        <v>1</v>
      </c>
      <c r="R7">
        <f>COUNTIF(Table!$BW:$BW,CONCATENATE($A7,"_",R$1))</f>
        <v>2</v>
      </c>
      <c r="S7">
        <f>COUNTIF(Table!$BW:$BW,CONCATENATE($A7,"_",S$1))</f>
        <v>1</v>
      </c>
      <c r="T7">
        <f>COUNTIF(Table!$BW:$BW,CONCATENATE($A7,"_",T$1))</f>
        <v>1</v>
      </c>
      <c r="U7">
        <f>COUNTIF(Table!$BW:$BW,CONCATENATE($A7,"_",U$1))</f>
        <v>0</v>
      </c>
      <c r="V7">
        <f>COUNTIF(Table!$BW:$BW,CONCATENATE($A7,"_",V$1))</f>
        <v>0</v>
      </c>
      <c r="W7">
        <f>COUNTIF(Table!$BW:$BW,CONCATENATE($A7,"_",W$1))</f>
        <v>0</v>
      </c>
    </row>
    <row r="8" spans="1:23" x14ac:dyDescent="0.25">
      <c r="A8" t="s">
        <v>320</v>
      </c>
      <c r="B8" t="str">
        <f>VLOOKUP(A8, Eras!$B$2:$C$10, 2, FALSE)</f>
        <v>Dieselisation (1955-1970)</v>
      </c>
      <c r="C8">
        <f>COUNTIF(Table!$BW:$BW,CONCATENATE($A8,"_",C$1))</f>
        <v>1</v>
      </c>
      <c r="D8">
        <f>COUNTIF(Table!$BW:$BW,CONCATENATE($A8,"_",D$1))</f>
        <v>7</v>
      </c>
      <c r="E8">
        <f>COUNTIF(Table!$BW:$BW,CONCATENATE($A8,"_",E$1))</f>
        <v>2</v>
      </c>
      <c r="F8">
        <f>COUNTIF(Table!$BW:$BW,CONCATENATE($A8,"_",F$1))</f>
        <v>5</v>
      </c>
      <c r="G8">
        <f>COUNTIF(Table!$BW:$BW,CONCATENATE($A8,"_",G$1))</f>
        <v>4</v>
      </c>
      <c r="H8">
        <f>COUNTIF(Table!$BW:$BW,CONCATENATE($A8,"_",H$1))</f>
        <v>1</v>
      </c>
      <c r="I8">
        <f>COUNTIF(Table!$BW:$BW,CONCATENATE($A8,"_",I$1))</f>
        <v>2</v>
      </c>
      <c r="J8">
        <f>COUNTIF(Table!$BW:$BW,CONCATENATE($A8,"_",J$1))</f>
        <v>0</v>
      </c>
      <c r="K8">
        <f>COUNTIF(Table!$BW:$BW,CONCATENATE($A8,"_",K$1))</f>
        <v>0</v>
      </c>
      <c r="L8">
        <f>COUNTIF(Table!$BW:$BW,CONCATENATE($A8,"_",L$1))</f>
        <v>2</v>
      </c>
      <c r="M8">
        <f>COUNTIF(Table!$BW:$BW,CONCATENATE($A8,"_",M$1))</f>
        <v>3</v>
      </c>
      <c r="N8">
        <f>COUNTIF(Table!$BW:$BW,CONCATENATE($A8,"_",N$1))</f>
        <v>0</v>
      </c>
      <c r="O8">
        <f>COUNTIF(Table!$BW:$BW,CONCATENATE($A8,"_",O$1))</f>
        <v>2</v>
      </c>
      <c r="P8">
        <f>COUNTIF(Table!$BW:$BW,CONCATENATE($A8,"_",P$1))</f>
        <v>3</v>
      </c>
      <c r="Q8">
        <f>COUNTIF(Table!$BW:$BW,CONCATENATE($A8,"_",Q$1))</f>
        <v>2</v>
      </c>
      <c r="R8">
        <f>COUNTIF(Table!$BW:$BW,CONCATENATE($A8,"_",R$1))</f>
        <v>1</v>
      </c>
      <c r="S8">
        <f>COUNTIF(Table!$BW:$BW,CONCATENATE($A8,"_",S$1))</f>
        <v>1</v>
      </c>
      <c r="T8">
        <f>COUNTIF(Table!$BW:$BW,CONCATENATE($A8,"_",T$1))</f>
        <v>0</v>
      </c>
      <c r="U8">
        <f>COUNTIF(Table!$BW:$BW,CONCATENATE($A8,"_",U$1))</f>
        <v>3</v>
      </c>
      <c r="V8">
        <f>COUNTIF(Table!$BW:$BW,CONCATENATE($A8,"_",V$1))</f>
        <v>1</v>
      </c>
      <c r="W8">
        <f>COUNTIF(Table!$BW:$BW,CONCATENATE($A8,"_",W$1))</f>
        <v>1</v>
      </c>
    </row>
    <row r="9" spans="1:23" x14ac:dyDescent="0.25">
      <c r="A9" t="s">
        <v>641</v>
      </c>
      <c r="B9" t="str">
        <f>VLOOKUP(A9, Eras!$B$2:$C$10, 2, FALSE)</f>
        <v>Late BR (1970-1995)</v>
      </c>
      <c r="C9">
        <f>COUNTIF(Table!$BW:$BW,CONCATENATE($A9,"_",C$1))</f>
        <v>0</v>
      </c>
      <c r="D9">
        <f>COUNTIF(Table!$BW:$BW,CONCATENATE($A9,"_",D$1))</f>
        <v>0</v>
      </c>
      <c r="E9">
        <f>COUNTIF(Table!$BW:$BW,CONCATENATE($A9,"_",E$1))</f>
        <v>1</v>
      </c>
      <c r="F9">
        <f>COUNTIF(Table!$BW:$BW,CONCATENATE($A9,"_",F$1))</f>
        <v>3</v>
      </c>
      <c r="G9">
        <f>COUNTIF(Table!$BW:$BW,CONCATENATE($A9,"_",G$1))</f>
        <v>5</v>
      </c>
      <c r="H9">
        <f>COUNTIF(Table!$BW:$BW,CONCATENATE($A9,"_",H$1))</f>
        <v>0</v>
      </c>
      <c r="I9">
        <f>COUNTIF(Table!$BW:$BW,CONCATENATE($A9,"_",I$1))</f>
        <v>3</v>
      </c>
      <c r="J9">
        <f>COUNTIF(Table!$BW:$BW,CONCATENATE($A9,"_",J$1))</f>
        <v>0</v>
      </c>
      <c r="K9">
        <f>COUNTIF(Table!$BW:$BW,CONCATENATE($A9,"_",K$1))</f>
        <v>1</v>
      </c>
      <c r="L9">
        <f>COUNTIF(Table!$BW:$BW,CONCATENATE($A9,"_",L$1))</f>
        <v>3</v>
      </c>
      <c r="M9">
        <f>COUNTIF(Table!$BW:$BW,CONCATENATE($A9,"_",M$1))</f>
        <v>1</v>
      </c>
      <c r="N9">
        <f>COUNTIF(Table!$BW:$BW,CONCATENATE($A9,"_",N$1))</f>
        <v>7</v>
      </c>
      <c r="O9">
        <f>COUNTIF(Table!$BW:$BW,CONCATENATE($A9,"_",O$1))</f>
        <v>8</v>
      </c>
      <c r="P9">
        <f>COUNTIF(Table!$BW:$BW,CONCATENATE($A9,"_",P$1))</f>
        <v>6</v>
      </c>
      <c r="Q9">
        <f>COUNTIF(Table!$BW:$BW,CONCATENATE($A9,"_",Q$1))</f>
        <v>2</v>
      </c>
      <c r="R9">
        <f>COUNTIF(Table!$BW:$BW,CONCATENATE($A9,"_",R$1))</f>
        <v>0</v>
      </c>
      <c r="S9">
        <f>COUNTIF(Table!$BW:$BW,CONCATENATE($A9,"_",S$1))</f>
        <v>2</v>
      </c>
      <c r="T9">
        <f>COUNTIF(Table!$BW:$BW,CONCATENATE($A9,"_",T$1))</f>
        <v>2</v>
      </c>
      <c r="U9">
        <f>COUNTIF(Table!$BW:$BW,CONCATENATE($A9,"_",U$1))</f>
        <v>3</v>
      </c>
      <c r="V9">
        <f>COUNTIF(Table!$BW:$BW,CONCATENATE($A9,"_",V$1))</f>
        <v>1</v>
      </c>
      <c r="W9">
        <f>COUNTIF(Table!$BW:$BW,CONCATENATE($A9,"_",W$1))</f>
        <v>1</v>
      </c>
    </row>
    <row r="10" spans="1:23" x14ac:dyDescent="0.25">
      <c r="A10" t="s">
        <v>321</v>
      </c>
      <c r="B10" t="str">
        <f>VLOOKUP(A10, Eras!$B$2:$C$10, 2, FALSE)</f>
        <v>Privatisation (1995-2005)</v>
      </c>
      <c r="C10">
        <f>COUNTIF(Table!$BW:$BW,CONCATENATE($A10,"_",C$1))</f>
        <v>0</v>
      </c>
      <c r="D10">
        <f>COUNTIF(Table!$BW:$BW,CONCATENATE($A10,"_",D$1))</f>
        <v>0</v>
      </c>
      <c r="E10">
        <f>COUNTIF(Table!$BW:$BW,CONCATENATE($A10,"_",E$1))</f>
        <v>0</v>
      </c>
      <c r="F10">
        <f>COUNTIF(Table!$BW:$BW,CONCATENATE($A10,"_",F$1))</f>
        <v>0</v>
      </c>
      <c r="G10">
        <f>COUNTIF(Table!$BW:$BW,CONCATENATE($A10,"_",G$1))</f>
        <v>3</v>
      </c>
      <c r="H10">
        <f>COUNTIF(Table!$BW:$BW,CONCATENATE($A10,"_",H$1))</f>
        <v>0</v>
      </c>
      <c r="I10">
        <f>COUNTIF(Table!$BW:$BW,CONCATENATE($A10,"_",I$1))</f>
        <v>0</v>
      </c>
      <c r="J10">
        <f>COUNTIF(Table!$BW:$BW,CONCATENATE($A10,"_",J$1))</f>
        <v>0</v>
      </c>
      <c r="K10">
        <f>COUNTIF(Table!$BW:$BW,CONCATENATE($A10,"_",K$1))</f>
        <v>0</v>
      </c>
      <c r="L10">
        <f>COUNTIF(Table!$BW:$BW,CONCATENATE($A10,"_",L$1))</f>
        <v>2</v>
      </c>
      <c r="M10">
        <f>COUNTIF(Table!$BW:$BW,CONCATENATE($A10,"_",M$1))</f>
        <v>6</v>
      </c>
      <c r="N10">
        <f>COUNTIF(Table!$BW:$BW,CONCATENATE($A10,"_",N$1))</f>
        <v>3</v>
      </c>
      <c r="O10">
        <f>COUNTIF(Table!$BW:$BW,CONCATENATE($A10,"_",O$1))</f>
        <v>7</v>
      </c>
      <c r="P10">
        <f>COUNTIF(Table!$BW:$BW,CONCATENATE($A10,"_",P$1))</f>
        <v>1</v>
      </c>
      <c r="Q10">
        <f>COUNTIF(Table!$BW:$BW,CONCATENATE($A10,"_",Q$1))</f>
        <v>0</v>
      </c>
      <c r="R10">
        <f>COUNTIF(Table!$BW:$BW,CONCATENATE($A10,"_",R$1))</f>
        <v>0</v>
      </c>
      <c r="S10">
        <f>COUNTIF(Table!$BW:$BW,CONCATENATE($A10,"_",S$1))</f>
        <v>1</v>
      </c>
      <c r="T10">
        <f>COUNTIF(Table!$BW:$BW,CONCATENATE($A10,"_",T$1))</f>
        <v>1</v>
      </c>
      <c r="U10">
        <f>COUNTIF(Table!$BW:$BW,CONCATENATE($A10,"_",U$1))</f>
        <v>0</v>
      </c>
      <c r="V10">
        <f>COUNTIF(Table!$BW:$BW,CONCATENATE($A10,"_",V$1))</f>
        <v>0</v>
      </c>
      <c r="W10">
        <f>COUNTIF(Table!$BW:$BW,CONCATENATE($A10,"_",W$1))</f>
        <v>1</v>
      </c>
    </row>
    <row r="11" spans="1:23" x14ac:dyDescent="0.25">
      <c r="A11" t="s">
        <v>322</v>
      </c>
      <c r="B11" t="str">
        <f>VLOOKUP(A11, Eras!$B$2:$C$10, 2, FALSE)</f>
        <v>Modern (2005-)</v>
      </c>
      <c r="C11">
        <f>COUNTIF(Table!$BW:$BW,CONCATENATE($A11,"_",C$1))</f>
        <v>0</v>
      </c>
      <c r="D11">
        <f>COUNTIF(Table!$BW:$BW,CONCATENATE($A11,"_",D$1))</f>
        <v>1</v>
      </c>
      <c r="E11">
        <f>COUNTIF(Table!$BW:$BW,CONCATENATE($A11,"_",E$1))</f>
        <v>0</v>
      </c>
      <c r="F11">
        <f>COUNTIF(Table!$BW:$BW,CONCATENATE($A11,"_",F$1))</f>
        <v>0</v>
      </c>
      <c r="G11">
        <f>COUNTIF(Table!$BW:$BW,CONCATENATE($A11,"_",G$1))</f>
        <v>1</v>
      </c>
      <c r="H11">
        <f>COUNTIF(Table!$BW:$BW,CONCATENATE($A11,"_",H$1))</f>
        <v>0</v>
      </c>
      <c r="I11">
        <f>COUNTIF(Table!$BW:$BW,CONCATENATE($A11,"_",I$1))</f>
        <v>0</v>
      </c>
      <c r="J11">
        <f>COUNTIF(Table!$BW:$BW,CONCATENATE($A11,"_",J$1))</f>
        <v>1</v>
      </c>
      <c r="K11">
        <f>COUNTIF(Table!$BW:$BW,CONCATENATE($A11,"_",K$1))</f>
        <v>1</v>
      </c>
      <c r="L11">
        <f>COUNTIF(Table!$BW:$BW,CONCATENATE($A11,"_",L$1))</f>
        <v>1</v>
      </c>
      <c r="M11">
        <f>COUNTIF(Table!$BW:$BW,CONCATENATE($A11,"_",M$1))</f>
        <v>0</v>
      </c>
      <c r="N11">
        <f>COUNTIF(Table!$BW:$BW,CONCATENATE($A11,"_",N$1))</f>
        <v>11</v>
      </c>
      <c r="O11">
        <f>COUNTIF(Table!$BW:$BW,CONCATENATE($A11,"_",O$1))</f>
        <v>4</v>
      </c>
      <c r="P11">
        <f>COUNTIF(Table!$BW:$BW,CONCATENATE($A11,"_",P$1))</f>
        <v>4</v>
      </c>
      <c r="Q11">
        <f>COUNTIF(Table!$BW:$BW,CONCATENATE($A11,"_",Q$1))</f>
        <v>0</v>
      </c>
      <c r="R11">
        <f>COUNTIF(Table!$BW:$BW,CONCATENATE($A11,"_",R$1))</f>
        <v>0</v>
      </c>
      <c r="S11">
        <f>COUNTIF(Table!$BW:$BW,CONCATENATE($A11,"_",S$1))</f>
        <v>1</v>
      </c>
      <c r="T11">
        <f>COUNTIF(Table!$BW:$BW,CONCATENATE($A11,"_",T$1))</f>
        <v>1</v>
      </c>
      <c r="U11">
        <f>COUNTIF(Table!$BW:$BW,CONCATENATE($A11,"_",U$1))</f>
        <v>0</v>
      </c>
      <c r="V11">
        <f>COUNTIF(Table!$BW:$BW,CONCATENATE($A11,"_",V$1))</f>
        <v>0</v>
      </c>
      <c r="W11">
        <f>COUNTIF(Table!$BW:$BW,CONCATENATE($A11,"_",W$1))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310</v>
      </c>
      <c r="B1" s="1" t="s">
        <v>316</v>
      </c>
      <c r="C1" s="1" t="s">
        <v>311</v>
      </c>
    </row>
    <row r="2" spans="1:3" x14ac:dyDescent="0.25">
      <c r="A2">
        <v>1700</v>
      </c>
      <c r="B2" t="s">
        <v>317</v>
      </c>
      <c r="C2" t="s">
        <v>383</v>
      </c>
    </row>
    <row r="3" spans="1:3" x14ac:dyDescent="0.25">
      <c r="A3">
        <v>1850</v>
      </c>
      <c r="B3" t="s">
        <v>384</v>
      </c>
      <c r="C3" t="s">
        <v>382</v>
      </c>
    </row>
    <row r="4" spans="1:3" x14ac:dyDescent="0.25">
      <c r="A4">
        <v>1900</v>
      </c>
      <c r="B4" t="s">
        <v>318</v>
      </c>
      <c r="C4" t="s">
        <v>312</v>
      </c>
    </row>
    <row r="5" spans="1:3" x14ac:dyDescent="0.25">
      <c r="A5">
        <v>1923</v>
      </c>
      <c r="B5" t="s">
        <v>319</v>
      </c>
      <c r="C5" t="s">
        <v>416</v>
      </c>
    </row>
    <row r="6" spans="1:3" x14ac:dyDescent="0.25">
      <c r="A6">
        <v>1948</v>
      </c>
      <c r="B6" t="s">
        <v>640</v>
      </c>
      <c r="C6" t="s">
        <v>313</v>
      </c>
    </row>
    <row r="7" spans="1:3" x14ac:dyDescent="0.25">
      <c r="A7">
        <v>1955</v>
      </c>
      <c r="B7" t="s">
        <v>320</v>
      </c>
      <c r="C7" t="s">
        <v>643</v>
      </c>
    </row>
    <row r="8" spans="1:3" x14ac:dyDescent="0.25">
      <c r="A8">
        <v>1970</v>
      </c>
      <c r="B8" t="s">
        <v>641</v>
      </c>
      <c r="C8" t="s">
        <v>642</v>
      </c>
    </row>
    <row r="9" spans="1:3" x14ac:dyDescent="0.25">
      <c r="A9">
        <v>1995</v>
      </c>
      <c r="B9" t="s">
        <v>321</v>
      </c>
      <c r="C9" t="s">
        <v>314</v>
      </c>
    </row>
    <row r="10" spans="1:3" x14ac:dyDescent="0.25">
      <c r="A10">
        <v>2005</v>
      </c>
      <c r="B10" t="s">
        <v>322</v>
      </c>
      <c r="C10" t="s">
        <v>315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246</v>
      </c>
      <c r="B1" s="1" t="s">
        <v>247</v>
      </c>
      <c r="C1" s="1" t="s">
        <v>501</v>
      </c>
      <c r="F1" s="1" t="s">
        <v>1097</v>
      </c>
      <c r="G1">
        <v>15</v>
      </c>
      <c r="I1" s="1" t="s">
        <v>1101</v>
      </c>
      <c r="J1" s="1" t="s">
        <v>1102</v>
      </c>
      <c r="K1" s="1" t="s">
        <v>1103</v>
      </c>
      <c r="M1" s="1" t="s">
        <v>1203</v>
      </c>
      <c r="N1" s="1" t="s">
        <v>1204</v>
      </c>
      <c r="O1" s="1" t="s">
        <v>140</v>
      </c>
    </row>
    <row r="2" spans="1:15" x14ac:dyDescent="0.25">
      <c r="A2">
        <v>0</v>
      </c>
      <c r="B2" t="s">
        <v>147</v>
      </c>
      <c r="F2" s="1" t="s">
        <v>1098</v>
      </c>
      <c r="G2">
        <v>5</v>
      </c>
      <c r="I2" t="s">
        <v>273</v>
      </c>
      <c r="J2">
        <v>1</v>
      </c>
      <c r="K2">
        <v>2</v>
      </c>
      <c r="M2" t="s">
        <v>1205</v>
      </c>
      <c r="N2" t="str">
        <f>IF(O2&lt;&gt;"", _xlfn.CONCAT("{BLACK}Powered by: {GOLD}",O2), "")</f>
        <v>{BLACK}Powered by: {GOLD}Diesel</v>
      </c>
      <c r="O2" t="s">
        <v>1214</v>
      </c>
    </row>
    <row r="3" spans="1:15" x14ac:dyDescent="0.25">
      <c r="A3">
        <v>3</v>
      </c>
      <c r="B3" t="s">
        <v>292</v>
      </c>
      <c r="C3" t="s">
        <v>292</v>
      </c>
      <c r="I3" t="s">
        <v>296</v>
      </c>
      <c r="J3">
        <v>0.85</v>
      </c>
      <c r="K3">
        <v>2.2999999999999998</v>
      </c>
      <c r="M3" t="s">
        <v>1206</v>
      </c>
      <c r="N3" t="str">
        <f t="shared" ref="N3:N25" si="0">IF(O3&lt;&gt;"", _xlfn.CONCAT("{BLACK}Powered by: {GOLD}",O3), "")</f>
        <v>{BLACK}Powered by: {GOLD}Steam</v>
      </c>
      <c r="O3" t="s">
        <v>1215</v>
      </c>
    </row>
    <row r="4" spans="1:15" x14ac:dyDescent="0.25">
      <c r="A4">
        <v>4</v>
      </c>
      <c r="B4" t="s">
        <v>707</v>
      </c>
      <c r="C4" t="s">
        <v>707</v>
      </c>
      <c r="I4" t="s">
        <v>272</v>
      </c>
      <c r="J4">
        <v>1.1499999999999999</v>
      </c>
      <c r="K4">
        <v>1.7</v>
      </c>
      <c r="M4" t="s">
        <v>1207</v>
      </c>
      <c r="N4" t="str">
        <f t="shared" si="0"/>
        <v>{BLACK}Powered by: {GOLD}25kV AC</v>
      </c>
      <c r="O4" t="s">
        <v>1216</v>
      </c>
    </row>
    <row r="5" spans="1:15" x14ac:dyDescent="0.25">
      <c r="A5">
        <v>5</v>
      </c>
      <c r="B5" t="s">
        <v>703</v>
      </c>
      <c r="C5" t="s">
        <v>703</v>
      </c>
      <c r="I5" t="s">
        <v>541</v>
      </c>
      <c r="J5">
        <v>0.9</v>
      </c>
      <c r="K5">
        <v>2.5</v>
      </c>
      <c r="M5" t="s">
        <v>1218</v>
      </c>
      <c r="N5" t="str">
        <f t="shared" si="0"/>
        <v>{BLACK}Powered by: {GOLD}750V DC</v>
      </c>
      <c r="O5" t="s">
        <v>1217</v>
      </c>
    </row>
    <row r="6" spans="1:15" x14ac:dyDescent="0.25">
      <c r="A6">
        <v>6</v>
      </c>
      <c r="B6" t="s">
        <v>304</v>
      </c>
      <c r="C6" t="s">
        <v>304</v>
      </c>
      <c r="I6" t="s">
        <v>552</v>
      </c>
      <c r="J6">
        <v>0.85</v>
      </c>
      <c r="K6">
        <v>2.4</v>
      </c>
      <c r="M6" t="s">
        <v>1209</v>
      </c>
      <c r="N6" t="str">
        <f t="shared" si="0"/>
        <v/>
      </c>
    </row>
    <row r="7" spans="1:15" x14ac:dyDescent="0.25">
      <c r="A7">
        <v>7</v>
      </c>
      <c r="B7" t="s">
        <v>702</v>
      </c>
      <c r="C7" t="s">
        <v>702</v>
      </c>
      <c r="I7" t="s">
        <v>1106</v>
      </c>
      <c r="J7">
        <v>1.2</v>
      </c>
      <c r="K7">
        <v>0.6</v>
      </c>
      <c r="M7" t="s">
        <v>1210</v>
      </c>
      <c r="N7" t="str">
        <f t="shared" si="0"/>
        <v/>
      </c>
    </row>
    <row r="8" spans="1:15" x14ac:dyDescent="0.25">
      <c r="A8">
        <v>8</v>
      </c>
      <c r="B8" t="s">
        <v>699</v>
      </c>
      <c r="C8" t="s">
        <v>699</v>
      </c>
      <c r="I8" t="s">
        <v>1107</v>
      </c>
      <c r="J8">
        <v>1.5</v>
      </c>
      <c r="K8">
        <v>0.7</v>
      </c>
      <c r="M8" t="s">
        <v>1211</v>
      </c>
      <c r="N8" t="str">
        <f t="shared" si="0"/>
        <v/>
      </c>
    </row>
    <row r="9" spans="1:15" x14ac:dyDescent="0.25">
      <c r="A9">
        <v>9</v>
      </c>
      <c r="B9" t="s">
        <v>701</v>
      </c>
      <c r="C9" t="s">
        <v>701</v>
      </c>
      <c r="I9" t="s">
        <v>281</v>
      </c>
      <c r="J9">
        <v>1</v>
      </c>
      <c r="K9">
        <v>0.45</v>
      </c>
      <c r="M9" t="s">
        <v>1212</v>
      </c>
      <c r="N9" t="str">
        <f t="shared" si="0"/>
        <v/>
      </c>
    </row>
    <row r="10" spans="1:15" x14ac:dyDescent="0.25">
      <c r="A10">
        <v>10</v>
      </c>
      <c r="B10" t="s">
        <v>1490</v>
      </c>
      <c r="C10" t="s">
        <v>1490</v>
      </c>
      <c r="I10" t="s">
        <v>1108</v>
      </c>
      <c r="J10">
        <v>1</v>
      </c>
      <c r="K10">
        <v>0.4</v>
      </c>
      <c r="M10" t="s">
        <v>1213</v>
      </c>
      <c r="N10" t="str">
        <f t="shared" si="0"/>
        <v/>
      </c>
    </row>
    <row r="11" spans="1:15" x14ac:dyDescent="0.25">
      <c r="A11">
        <v>11</v>
      </c>
      <c r="B11" t="s">
        <v>1491</v>
      </c>
      <c r="C11" t="s">
        <v>1491</v>
      </c>
      <c r="I11" t="s">
        <v>1109</v>
      </c>
      <c r="J11">
        <v>0.9</v>
      </c>
      <c r="K11">
        <v>1.6</v>
      </c>
      <c r="M11" t="s">
        <v>1219</v>
      </c>
      <c r="N11" t="str">
        <f t="shared" si="0"/>
        <v>{BLACK}Powered by: {GOLD}750V DC / Diesel</v>
      </c>
      <c r="O11" t="s">
        <v>1220</v>
      </c>
    </row>
    <row r="12" spans="1:15" x14ac:dyDescent="0.25">
      <c r="A12">
        <v>12</v>
      </c>
      <c r="B12" t="s">
        <v>698</v>
      </c>
      <c r="C12" t="s">
        <v>698</v>
      </c>
      <c r="I12" t="s">
        <v>291</v>
      </c>
      <c r="J12">
        <v>0</v>
      </c>
      <c r="K12">
        <v>0</v>
      </c>
      <c r="M12" t="s">
        <v>1221</v>
      </c>
      <c r="N12" t="str">
        <f t="shared" si="0"/>
        <v>{BLACK}Powered by: {GOLD}25kV AC / 750V DC</v>
      </c>
      <c r="O12" t="s">
        <v>1222</v>
      </c>
    </row>
    <row r="13" spans="1:15" x14ac:dyDescent="0.25">
      <c r="A13">
        <v>13</v>
      </c>
      <c r="B13" t="s">
        <v>704</v>
      </c>
      <c r="C13" t="s">
        <v>704</v>
      </c>
      <c r="I13" t="s">
        <v>1226</v>
      </c>
      <c r="J13">
        <v>1.05</v>
      </c>
      <c r="K13">
        <v>1.9</v>
      </c>
      <c r="M13" t="s">
        <v>1223</v>
      </c>
      <c r="N13" t="str">
        <f t="shared" si="0"/>
        <v/>
      </c>
    </row>
    <row r="14" spans="1:15" x14ac:dyDescent="0.25">
      <c r="A14">
        <v>14</v>
      </c>
      <c r="B14" t="s">
        <v>700</v>
      </c>
      <c r="C14" t="s">
        <v>700</v>
      </c>
      <c r="I14" t="s">
        <v>1312</v>
      </c>
      <c r="J14">
        <v>0.98</v>
      </c>
      <c r="K14">
        <v>1.88</v>
      </c>
      <c r="M14" t="s">
        <v>1224</v>
      </c>
      <c r="N14" t="str">
        <f t="shared" si="0"/>
        <v/>
      </c>
    </row>
    <row r="15" spans="1:15" x14ac:dyDescent="0.25">
      <c r="A15">
        <v>15</v>
      </c>
      <c r="B15" t="s">
        <v>705</v>
      </c>
      <c r="C15" t="s">
        <v>705</v>
      </c>
      <c r="I15" t="s">
        <v>1392</v>
      </c>
      <c r="J15">
        <v>0.5</v>
      </c>
      <c r="K15">
        <v>0.5</v>
      </c>
      <c r="M15" t="s">
        <v>1225</v>
      </c>
      <c r="N15" t="str">
        <f t="shared" si="0"/>
        <v/>
      </c>
    </row>
    <row r="16" spans="1:15" x14ac:dyDescent="0.25">
      <c r="A16">
        <v>16</v>
      </c>
      <c r="B16" t="s">
        <v>706</v>
      </c>
      <c r="C16" t="s">
        <v>706</v>
      </c>
      <c r="I16" t="s">
        <v>1484</v>
      </c>
      <c r="J16">
        <v>0.85</v>
      </c>
      <c r="K16">
        <v>2.2999999999999998</v>
      </c>
      <c r="M16" t="s">
        <v>1227</v>
      </c>
      <c r="N16" t="str">
        <f t="shared" si="0"/>
        <v>{BLACK}Powered by: {GOLD}Petrol</v>
      </c>
      <c r="O16" t="s">
        <v>898</v>
      </c>
    </row>
    <row r="17" spans="9:15" x14ac:dyDescent="0.25">
      <c r="I17" t="s">
        <v>1487</v>
      </c>
      <c r="J17">
        <v>1</v>
      </c>
      <c r="K17">
        <v>2</v>
      </c>
      <c r="M17" t="s">
        <v>1242</v>
      </c>
      <c r="N17" t="str">
        <f t="shared" si="0"/>
        <v>{BLACK}Powered by: {GOLD}25kV AC / Diesel</v>
      </c>
      <c r="O17" t="s">
        <v>1243</v>
      </c>
    </row>
    <row r="18" spans="9:15" x14ac:dyDescent="0.25">
      <c r="M18" t="s">
        <v>1313</v>
      </c>
      <c r="N18" t="str">
        <f t="shared" si="0"/>
        <v>{BLACK}Powered by: {GOLD}LPG / Flywheel</v>
      </c>
      <c r="O18" t="s">
        <v>1314</v>
      </c>
    </row>
    <row r="19" spans="9:15" x14ac:dyDescent="0.25">
      <c r="M19" t="s">
        <v>1387</v>
      </c>
      <c r="N19" t="str">
        <f t="shared" si="0"/>
        <v/>
      </c>
    </row>
    <row r="20" spans="9:15" x14ac:dyDescent="0.25">
      <c r="M20" t="s">
        <v>1386</v>
      </c>
      <c r="N20" t="str">
        <f t="shared" si="0"/>
        <v>{BLACK}Powered by: {GOLD}Steam</v>
      </c>
      <c r="O20" t="s">
        <v>1215</v>
      </c>
    </row>
    <row r="21" spans="9:15" x14ac:dyDescent="0.25">
      <c r="M21" t="s">
        <v>1389</v>
      </c>
      <c r="N21" t="str">
        <f t="shared" si="0"/>
        <v/>
      </c>
    </row>
    <row r="22" spans="9:15" x14ac:dyDescent="0.25">
      <c r="M22" t="s">
        <v>1394</v>
      </c>
      <c r="N22" t="str">
        <f t="shared" si="0"/>
        <v>{BLACK}Powered by: {GOLD}Grass and hay</v>
      </c>
      <c r="O22" t="s">
        <v>1393</v>
      </c>
    </row>
    <row r="23" spans="9:15" x14ac:dyDescent="0.25">
      <c r="M23" t="s">
        <v>1412</v>
      </c>
      <c r="N23" t="str">
        <f t="shared" si="0"/>
        <v>{BLACK}Powered by: {GOLD}630V DC</v>
      </c>
      <c r="O23" t="s">
        <v>1413</v>
      </c>
    </row>
    <row r="24" spans="9:15" x14ac:dyDescent="0.25">
      <c r="M24" t="s">
        <v>1450</v>
      </c>
      <c r="N24" t="str">
        <f t="shared" si="0"/>
        <v/>
      </c>
    </row>
    <row r="25" spans="9:15" x14ac:dyDescent="0.25">
      <c r="M25" t="s">
        <v>1459</v>
      </c>
      <c r="N25" t="str">
        <f t="shared" si="0"/>
        <v/>
      </c>
    </row>
    <row r="26" spans="9:15" x14ac:dyDescent="0.25">
      <c r="M26" t="s">
        <v>1485</v>
      </c>
      <c r="N26" t="str">
        <f t="shared" ref="N26" si="1">IF(O26&lt;&gt;"", _xlfn.CONCAT("{BLACK}Powered by: {GOLD}",O26), "")</f>
        <v/>
      </c>
    </row>
    <row r="27" spans="9:15" x14ac:dyDescent="0.25">
      <c r="M27" t="s">
        <v>1488</v>
      </c>
      <c r="N27" t="str">
        <f>IF(O27&lt;&gt;"", _xlfn.CONCAT("{BLACK}Powered by: {GOLD}",O27), "")</f>
        <v>{BLACK}Powered by: {GOLD}Gas Turbine</v>
      </c>
      <c r="O27" t="s">
        <v>1489</v>
      </c>
    </row>
    <row r="28" spans="9:15" x14ac:dyDescent="0.25">
      <c r="M28" t="s">
        <v>1502</v>
      </c>
      <c r="N28" t="str">
        <f>IF(O28&lt;&gt;"", _xlfn.CONCAT("{BLACK}Powered by: {GOLD}",O28), "")</f>
        <v>{BLACK}Powered by: {GOLD}750V DC / Battery</v>
      </c>
      <c r="O28" t="s">
        <v>1503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299</v>
      </c>
      <c r="B1" s="1" t="s">
        <v>300</v>
      </c>
      <c r="C1" s="1" t="s">
        <v>301</v>
      </c>
      <c r="D1" s="1" t="s">
        <v>302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672</v>
      </c>
    </row>
    <row r="3" spans="1:21" x14ac:dyDescent="0.25">
      <c r="A3" t="s">
        <v>680</v>
      </c>
      <c r="B3" t="s">
        <v>668</v>
      </c>
      <c r="C3" t="s">
        <v>671</v>
      </c>
      <c r="D3" t="s">
        <v>671</v>
      </c>
      <c r="E3" t="s">
        <v>671</v>
      </c>
      <c r="F3" t="s">
        <v>671</v>
      </c>
      <c r="G3" t="s">
        <v>675</v>
      </c>
      <c r="H3" t="s">
        <v>674</v>
      </c>
      <c r="I3" t="s">
        <v>674</v>
      </c>
      <c r="J3" t="s">
        <v>676</v>
      </c>
      <c r="K3" t="s">
        <v>671</v>
      </c>
      <c r="L3" t="s">
        <v>671</v>
      </c>
      <c r="M3" t="s">
        <v>671</v>
      </c>
      <c r="N3" t="s">
        <v>671</v>
      </c>
      <c r="O3" t="s">
        <v>673</v>
      </c>
    </row>
    <row r="4" spans="1:21" x14ac:dyDescent="0.25">
      <c r="A4" t="s">
        <v>681</v>
      </c>
      <c r="B4">
        <v>1</v>
      </c>
      <c r="C4">
        <v>1</v>
      </c>
      <c r="D4">
        <v>0</v>
      </c>
      <c r="E4">
        <v>0</v>
      </c>
      <c r="F4">
        <v>0</v>
      </c>
      <c r="G4">
        <v>1</v>
      </c>
      <c r="H4">
        <v>1</v>
      </c>
      <c r="I4">
        <v>0</v>
      </c>
      <c r="J4">
        <v>1</v>
      </c>
      <c r="K4">
        <v>0</v>
      </c>
      <c r="L4">
        <v>0</v>
      </c>
      <c r="M4">
        <v>0</v>
      </c>
      <c r="N4">
        <v>0</v>
      </c>
      <c r="O4">
        <v>1</v>
      </c>
    </row>
    <row r="6" spans="1:21" ht="14.25" customHeight="1" x14ac:dyDescent="0.25">
      <c r="B6" t="s">
        <v>679</v>
      </c>
    </row>
    <row r="7" spans="1:21" x14ac:dyDescent="0.25">
      <c r="A7" t="s">
        <v>680</v>
      </c>
      <c r="B7" t="s">
        <v>647</v>
      </c>
      <c r="C7" t="s">
        <v>685</v>
      </c>
      <c r="D7" t="s">
        <v>684</v>
      </c>
      <c r="E7" t="s">
        <v>684</v>
      </c>
      <c r="F7" t="s">
        <v>684</v>
      </c>
      <c r="G7" t="s">
        <v>684</v>
      </c>
      <c r="H7" t="s">
        <v>686</v>
      </c>
      <c r="I7" t="s">
        <v>684</v>
      </c>
      <c r="J7" t="s">
        <v>684</v>
      </c>
      <c r="K7" t="s">
        <v>684</v>
      </c>
      <c r="L7" t="s">
        <v>684</v>
      </c>
      <c r="M7" t="s">
        <v>684</v>
      </c>
      <c r="N7" t="s">
        <v>684</v>
      </c>
      <c r="O7" t="s">
        <v>686</v>
      </c>
      <c r="P7" t="s">
        <v>684</v>
      </c>
      <c r="Q7" t="s">
        <v>684</v>
      </c>
      <c r="R7" t="s">
        <v>684</v>
      </c>
      <c r="S7" t="s">
        <v>684</v>
      </c>
      <c r="T7" t="s">
        <v>687</v>
      </c>
      <c r="U7" t="s">
        <v>688</v>
      </c>
    </row>
    <row r="8" spans="1:21" x14ac:dyDescent="0.25">
      <c r="A8" t="s">
        <v>681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246</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692</v>
      </c>
    </row>
    <row r="19" spans="1:9" x14ac:dyDescent="0.25">
      <c r="A19" t="s">
        <v>680</v>
      </c>
      <c r="B19" t="s">
        <v>647</v>
      </c>
      <c r="C19" t="s">
        <v>685</v>
      </c>
      <c r="D19" t="s">
        <v>684</v>
      </c>
      <c r="E19" t="s">
        <v>686</v>
      </c>
      <c r="F19" t="s">
        <v>684</v>
      </c>
      <c r="G19" t="s">
        <v>686</v>
      </c>
      <c r="H19" t="s">
        <v>687</v>
      </c>
      <c r="I19" t="s">
        <v>688</v>
      </c>
    </row>
    <row r="20" spans="1:9" x14ac:dyDescent="0.25">
      <c r="A20" t="s">
        <v>681</v>
      </c>
      <c r="B20">
        <v>0</v>
      </c>
      <c r="C20">
        <v>0</v>
      </c>
      <c r="D20">
        <v>0</v>
      </c>
      <c r="E20">
        <v>0</v>
      </c>
      <c r="F20">
        <v>0</v>
      </c>
      <c r="G20">
        <v>0</v>
      </c>
      <c r="H20">
        <v>0</v>
      </c>
      <c r="I20">
        <v>0</v>
      </c>
    </row>
    <row r="21" spans="1:9" x14ac:dyDescent="0.25">
      <c r="A21" t="s">
        <v>246</v>
      </c>
      <c r="B21">
        <v>22.15</v>
      </c>
      <c r="C21">
        <v>21.84</v>
      </c>
      <c r="D21">
        <v>18.7</v>
      </c>
      <c r="E21">
        <v>18.7</v>
      </c>
      <c r="F21">
        <v>18.7</v>
      </c>
      <c r="G21">
        <v>18.7</v>
      </c>
      <c r="H21">
        <v>21.84</v>
      </c>
      <c r="I21">
        <v>22.15</v>
      </c>
    </row>
    <row r="22" spans="1:9" x14ac:dyDescent="0.25">
      <c r="A22" t="s">
        <v>682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1235</v>
      </c>
    </row>
    <row r="31" spans="1:9" x14ac:dyDescent="0.25">
      <c r="A31" t="s">
        <v>680</v>
      </c>
      <c r="B31" t="s">
        <v>647</v>
      </c>
      <c r="C31" t="s">
        <v>685</v>
      </c>
      <c r="D31" t="s">
        <v>684</v>
      </c>
      <c r="E31" t="s">
        <v>687</v>
      </c>
      <c r="F31" t="s">
        <v>688</v>
      </c>
    </row>
    <row r="32" spans="1:9" x14ac:dyDescent="0.25">
      <c r="A32" t="s">
        <v>681</v>
      </c>
      <c r="B32">
        <v>0</v>
      </c>
      <c r="C32">
        <v>0</v>
      </c>
      <c r="D32">
        <v>0</v>
      </c>
      <c r="E32">
        <v>0</v>
      </c>
      <c r="F32">
        <v>0</v>
      </c>
    </row>
    <row r="33" spans="1:6" x14ac:dyDescent="0.25">
      <c r="A33" t="s">
        <v>246</v>
      </c>
      <c r="B33">
        <v>22.15</v>
      </c>
      <c r="C33">
        <v>21.84</v>
      </c>
      <c r="D33">
        <v>18.7</v>
      </c>
      <c r="E33">
        <v>21.84</v>
      </c>
      <c r="F33">
        <v>22.15</v>
      </c>
    </row>
    <row r="34" spans="1:6" x14ac:dyDescent="0.25">
      <c r="A34" t="s">
        <v>682</v>
      </c>
      <c r="B34">
        <f t="shared" ref="B34:F34" si="2">ROUND(15*((B33*10)/256),0)</f>
        <v>13</v>
      </c>
      <c r="C34">
        <f t="shared" si="2"/>
        <v>13</v>
      </c>
      <c r="D34">
        <f t="shared" si="2"/>
        <v>11</v>
      </c>
      <c r="E34">
        <f t="shared" si="2"/>
        <v>13</v>
      </c>
      <c r="F34">
        <f t="shared" si="2"/>
        <v>13</v>
      </c>
    </row>
    <row r="35" spans="1:6" x14ac:dyDescent="0.25">
      <c r="A35" t="s">
        <v>683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1246</v>
      </c>
    </row>
    <row r="43" spans="1:6" x14ac:dyDescent="0.25">
      <c r="A43" t="s">
        <v>680</v>
      </c>
      <c r="B43" t="s">
        <v>1245</v>
      </c>
      <c r="C43" t="s">
        <v>1248</v>
      </c>
      <c r="D43" t="s">
        <v>1250</v>
      </c>
      <c r="E43" t="s">
        <v>1249</v>
      </c>
      <c r="F43" t="s">
        <v>1247</v>
      </c>
    </row>
    <row r="44" spans="1:6" x14ac:dyDescent="0.25">
      <c r="A44" t="s">
        <v>681</v>
      </c>
      <c r="B44">
        <v>1</v>
      </c>
      <c r="C44">
        <v>1</v>
      </c>
      <c r="D44">
        <v>1</v>
      </c>
      <c r="E44">
        <v>1</v>
      </c>
      <c r="F44">
        <v>1</v>
      </c>
    </row>
    <row r="45" spans="1:6" x14ac:dyDescent="0.25">
      <c r="A45" t="s">
        <v>246</v>
      </c>
      <c r="B45">
        <v>20.2</v>
      </c>
      <c r="C45">
        <v>15.7</v>
      </c>
      <c r="D45">
        <v>10</v>
      </c>
      <c r="E45">
        <v>15.7</v>
      </c>
      <c r="F45">
        <v>20.2</v>
      </c>
    </row>
    <row r="46" spans="1:6" x14ac:dyDescent="0.25">
      <c r="A46" t="s">
        <v>682</v>
      </c>
      <c r="B46">
        <f t="shared" ref="B46:F46" si="3">ROUND(15*((B45*10)/256),0)</f>
        <v>12</v>
      </c>
      <c r="C46">
        <f t="shared" si="3"/>
        <v>9</v>
      </c>
      <c r="D46">
        <f t="shared" si="3"/>
        <v>6</v>
      </c>
      <c r="E46">
        <f t="shared" si="3"/>
        <v>9</v>
      </c>
      <c r="F46">
        <f t="shared" si="3"/>
        <v>12</v>
      </c>
    </row>
    <row r="47" spans="1:6" x14ac:dyDescent="0.25">
      <c r="A47" t="s">
        <v>683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814</v>
      </c>
      <c r="B1" s="1" t="s">
        <v>813</v>
      </c>
      <c r="C1" s="1" t="s">
        <v>1040</v>
      </c>
      <c r="F1" s="1" t="s">
        <v>1048</v>
      </c>
      <c r="G1" s="1" t="s">
        <v>311</v>
      </c>
      <c r="H1" s="1" t="s">
        <v>1050</v>
      </c>
      <c r="J1" s="1" t="s">
        <v>1063</v>
      </c>
      <c r="K1" s="1" t="s">
        <v>1064</v>
      </c>
      <c r="L1" s="1" t="s">
        <v>1065</v>
      </c>
      <c r="M1" s="1" t="s">
        <v>1066</v>
      </c>
      <c r="N1" s="1" t="s">
        <v>1051</v>
      </c>
      <c r="O1" s="1" t="s">
        <v>1059</v>
      </c>
      <c r="P1" s="1" t="s">
        <v>1057</v>
      </c>
      <c r="Q1" s="1" t="s">
        <v>1055</v>
      </c>
      <c r="R1" s="1" t="s">
        <v>1091</v>
      </c>
    </row>
    <row r="2" spans="1:18" ht="15.75" customHeight="1" x14ac:dyDescent="0.25">
      <c r="A2" t="s">
        <v>860</v>
      </c>
      <c r="B2" t="s">
        <v>918</v>
      </c>
      <c r="C2" t="s">
        <v>966</v>
      </c>
      <c r="D2" t="str">
        <f t="shared" ref="D2:D33" si="0">CONCATENATE("""", A2, """,")</f>
        <v>"ACID",</v>
      </c>
      <c r="F2" t="s">
        <v>1016</v>
      </c>
      <c r="G2" s="13" t="str">
        <f>VLOOKUP(F2,A:B,2, FALSE)</f>
        <v>Batteries</v>
      </c>
      <c r="H2" s="13" t="s">
        <v>1059</v>
      </c>
      <c r="J2" t="s">
        <v>1062</v>
      </c>
      <c r="K2">
        <v>136</v>
      </c>
      <c r="L2">
        <v>38</v>
      </c>
      <c r="M2">
        <v>28</v>
      </c>
      <c r="N2">
        <f>K2/45</f>
        <v>3.0222222222222221</v>
      </c>
      <c r="O2">
        <f>K2/30</f>
        <v>4.5333333333333332</v>
      </c>
      <c r="P2">
        <f>K2/34</f>
        <v>4</v>
      </c>
      <c r="Q2">
        <f>K2/68</f>
        <v>2</v>
      </c>
      <c r="R2">
        <f>K2/60</f>
        <v>2.2666666666666666</v>
      </c>
    </row>
    <row r="3" spans="1:18" x14ac:dyDescent="0.25">
      <c r="A3" t="s">
        <v>819</v>
      </c>
      <c r="B3" t="s">
        <v>881</v>
      </c>
      <c r="C3" t="s">
        <v>938</v>
      </c>
      <c r="D3" t="str">
        <f t="shared" si="0"/>
        <v>"AORE",</v>
      </c>
      <c r="F3" t="s">
        <v>828</v>
      </c>
      <c r="G3" s="13" t="str">
        <f t="shared" ref="G3:G42" si="1">VLOOKUP(F3,A:B,2, FALSE)</f>
        <v>Bulding Materials</v>
      </c>
      <c r="H3" s="13" t="s">
        <v>1051</v>
      </c>
      <c r="J3" t="s">
        <v>1067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1016</v>
      </c>
      <c r="B4" t="s">
        <v>1017</v>
      </c>
      <c r="C4" t="s">
        <v>942</v>
      </c>
      <c r="D4" t="str">
        <f t="shared" si="0"/>
        <v>"BATT",</v>
      </c>
      <c r="F4" t="s">
        <v>827</v>
      </c>
      <c r="G4" s="13" t="str">
        <f t="shared" si="1"/>
        <v>Beer</v>
      </c>
      <c r="H4" s="13" t="s">
        <v>1059</v>
      </c>
      <c r="J4" t="s">
        <v>1068</v>
      </c>
      <c r="K4">
        <v>136</v>
      </c>
      <c r="L4">
        <v>38</v>
      </c>
      <c r="M4">
        <v>28</v>
      </c>
      <c r="N4">
        <f t="shared" si="2"/>
        <v>3.0222222222222221</v>
      </c>
      <c r="O4">
        <f t="shared" si="3"/>
        <v>4.5333333333333332</v>
      </c>
      <c r="P4">
        <f t="shared" si="4"/>
        <v>4</v>
      </c>
      <c r="Q4">
        <f t="shared" si="5"/>
        <v>2</v>
      </c>
      <c r="R4">
        <f t="shared" si="6"/>
        <v>2.2666666666666666</v>
      </c>
    </row>
    <row r="5" spans="1:18" x14ac:dyDescent="0.25">
      <c r="A5" t="s">
        <v>828</v>
      </c>
      <c r="B5" t="s">
        <v>893</v>
      </c>
      <c r="C5" t="s">
        <v>954</v>
      </c>
      <c r="D5" t="str">
        <f t="shared" si="0"/>
        <v>"BDMT",</v>
      </c>
      <c r="F5" t="s">
        <v>955</v>
      </c>
      <c r="G5" s="13" t="str">
        <f t="shared" si="1"/>
        <v>Explosives</v>
      </c>
      <c r="H5" s="13" t="s">
        <v>1059</v>
      </c>
      <c r="J5" t="s">
        <v>1069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951</v>
      </c>
      <c r="B6" t="s">
        <v>952</v>
      </c>
      <c r="C6" t="s">
        <v>938</v>
      </c>
      <c r="D6" t="str">
        <f t="shared" si="0"/>
        <v>"BEAN",</v>
      </c>
      <c r="F6" t="s">
        <v>857</v>
      </c>
      <c r="G6" s="13" t="str">
        <f t="shared" si="1"/>
        <v>Bricks</v>
      </c>
      <c r="H6" s="13" t="s">
        <v>1051</v>
      </c>
      <c r="J6" t="s">
        <v>1070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827</v>
      </c>
      <c r="B7" t="s">
        <v>892</v>
      </c>
      <c r="C7" t="s">
        <v>953</v>
      </c>
      <c r="D7" t="str">
        <f t="shared" si="0"/>
        <v>"BEER",</v>
      </c>
      <c r="F7" t="s">
        <v>1018</v>
      </c>
      <c r="G7" s="13" t="str">
        <f t="shared" si="1"/>
        <v>Bubbles</v>
      </c>
      <c r="H7" s="13" t="s">
        <v>1059</v>
      </c>
      <c r="J7" t="s">
        <v>1071</v>
      </c>
      <c r="K7">
        <v>180</v>
      </c>
      <c r="L7">
        <v>38</v>
      </c>
      <c r="M7">
        <v>28</v>
      </c>
      <c r="N7">
        <f t="shared" si="2"/>
        <v>4</v>
      </c>
      <c r="O7">
        <f t="shared" si="3"/>
        <v>6</v>
      </c>
      <c r="P7">
        <f t="shared" si="4"/>
        <v>5.2941176470588234</v>
      </c>
      <c r="Q7">
        <f t="shared" si="5"/>
        <v>2.6470588235294117</v>
      </c>
      <c r="R7">
        <f t="shared" si="6"/>
        <v>3</v>
      </c>
    </row>
    <row r="8" spans="1:18" x14ac:dyDescent="0.25">
      <c r="A8" t="s">
        <v>955</v>
      </c>
      <c r="B8" t="s">
        <v>956</v>
      </c>
      <c r="C8" t="s">
        <v>957</v>
      </c>
      <c r="D8" t="str">
        <f t="shared" si="0"/>
        <v>"BOOM",</v>
      </c>
      <c r="F8" t="s">
        <v>961</v>
      </c>
      <c r="G8" s="13" t="str">
        <f t="shared" si="1"/>
        <v>Ceramics</v>
      </c>
      <c r="H8" s="13" t="s">
        <v>1059</v>
      </c>
      <c r="J8" t="s">
        <v>1072</v>
      </c>
      <c r="K8">
        <v>180</v>
      </c>
      <c r="L8">
        <v>38</v>
      </c>
      <c r="M8">
        <v>28</v>
      </c>
      <c r="N8">
        <f t="shared" si="2"/>
        <v>4</v>
      </c>
      <c r="O8">
        <f t="shared" si="3"/>
        <v>6</v>
      </c>
      <c r="P8">
        <f t="shared" si="4"/>
        <v>5.2941176470588234</v>
      </c>
      <c r="Q8">
        <f t="shared" si="5"/>
        <v>2.6470588235294117</v>
      </c>
      <c r="R8">
        <f t="shared" si="6"/>
        <v>3</v>
      </c>
    </row>
    <row r="9" spans="1:18" x14ac:dyDescent="0.25">
      <c r="A9" t="s">
        <v>857</v>
      </c>
      <c r="B9" t="s">
        <v>916</v>
      </c>
      <c r="C9" t="s">
        <v>942</v>
      </c>
      <c r="D9" t="str">
        <f t="shared" si="0"/>
        <v>"BRCK",</v>
      </c>
      <c r="F9" t="s">
        <v>833</v>
      </c>
      <c r="G9" s="13" t="str">
        <f t="shared" si="1"/>
        <v>Copper</v>
      </c>
      <c r="H9" s="13" t="s">
        <v>1056</v>
      </c>
      <c r="J9" t="s">
        <v>1073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1018</v>
      </c>
      <c r="B10" t="s">
        <v>1019</v>
      </c>
      <c r="C10" t="s">
        <v>942</v>
      </c>
      <c r="D10" t="str">
        <f t="shared" si="0"/>
        <v>"BUBL",</v>
      </c>
      <c r="F10" t="s">
        <v>858</v>
      </c>
      <c r="G10" s="13" t="str">
        <f t="shared" si="1"/>
        <v>Cast Iron</v>
      </c>
      <c r="H10" s="13" t="s">
        <v>1056</v>
      </c>
    </row>
    <row r="11" spans="1:18" x14ac:dyDescent="0.25">
      <c r="A11" t="s">
        <v>872</v>
      </c>
      <c r="B11" t="s">
        <v>929</v>
      </c>
      <c r="C11" t="s">
        <v>938</v>
      </c>
      <c r="D11" t="str">
        <f t="shared" si="0"/>
        <v>"CASS",</v>
      </c>
      <c r="F11" t="s">
        <v>1023</v>
      </c>
      <c r="G11" s="13" t="str">
        <f t="shared" si="1"/>
        <v>Fizzy Drinks</v>
      </c>
      <c r="H11" s="13" t="s">
        <v>1059</v>
      </c>
    </row>
    <row r="12" spans="1:18" x14ac:dyDescent="0.25">
      <c r="A12" t="s">
        <v>958</v>
      </c>
      <c r="B12" t="s">
        <v>959</v>
      </c>
      <c r="C12" t="s">
        <v>960</v>
      </c>
      <c r="D12" t="str">
        <f t="shared" si="0"/>
        <v>"CBLK",</v>
      </c>
      <c r="F12" t="s">
        <v>864</v>
      </c>
      <c r="G12" s="13" t="str">
        <f t="shared" si="1"/>
        <v>Iron</v>
      </c>
      <c r="H12" s="13" t="s">
        <v>1056</v>
      </c>
    </row>
    <row r="13" spans="1:18" x14ac:dyDescent="0.25">
      <c r="A13" t="s">
        <v>961</v>
      </c>
      <c r="B13" t="s">
        <v>962</v>
      </c>
      <c r="C13" t="s">
        <v>942</v>
      </c>
      <c r="D13" t="str">
        <f t="shared" si="0"/>
        <v>"CERA",</v>
      </c>
      <c r="F13" t="s">
        <v>856</v>
      </c>
      <c r="G13" s="13" t="str">
        <f t="shared" si="1"/>
        <v>Coffee</v>
      </c>
      <c r="H13" s="13" t="s">
        <v>1059</v>
      </c>
    </row>
    <row r="14" spans="1:18" x14ac:dyDescent="0.25">
      <c r="A14" t="s">
        <v>840</v>
      </c>
      <c r="B14" t="s">
        <v>933</v>
      </c>
      <c r="C14" t="s">
        <v>963</v>
      </c>
      <c r="D14" t="str">
        <f t="shared" si="0"/>
        <v>"CERE",</v>
      </c>
      <c r="F14" t="s">
        <v>854</v>
      </c>
      <c r="G14" s="13" t="str">
        <f t="shared" si="1"/>
        <v>Metal</v>
      </c>
      <c r="H14" s="13" t="s">
        <v>1056</v>
      </c>
    </row>
    <row r="15" spans="1:18" x14ac:dyDescent="0.25">
      <c r="A15" t="s">
        <v>861</v>
      </c>
      <c r="B15" t="s">
        <v>917</v>
      </c>
      <c r="C15" t="s">
        <v>966</v>
      </c>
      <c r="D15" t="str">
        <f t="shared" si="0"/>
        <v>"CHLO",</v>
      </c>
      <c r="F15" t="s">
        <v>999</v>
      </c>
      <c r="G15" s="13" t="str">
        <f t="shared" si="1"/>
        <v>Nuts</v>
      </c>
      <c r="H15" s="13" t="s">
        <v>1059</v>
      </c>
    </row>
    <row r="16" spans="1:18" x14ac:dyDescent="0.25">
      <c r="A16" t="s">
        <v>821</v>
      </c>
      <c r="B16" t="s">
        <v>883</v>
      </c>
      <c r="C16" t="s">
        <v>964</v>
      </c>
      <c r="D16" t="str">
        <f t="shared" si="0"/>
        <v>"CLAY",</v>
      </c>
      <c r="F16" t="s">
        <v>830</v>
      </c>
      <c r="G16" s="13" t="str">
        <f t="shared" si="1"/>
        <v>Paper</v>
      </c>
      <c r="H16" s="13" t="s">
        <v>1059</v>
      </c>
    </row>
    <row r="17" spans="1:8" x14ac:dyDescent="0.25">
      <c r="A17" t="s">
        <v>863</v>
      </c>
      <c r="B17" t="s">
        <v>924</v>
      </c>
      <c r="C17" t="s">
        <v>964</v>
      </c>
      <c r="D17" t="str">
        <f t="shared" si="0"/>
        <v>"CMNT",</v>
      </c>
      <c r="F17" t="s">
        <v>1001</v>
      </c>
      <c r="G17" s="13" t="str">
        <f t="shared" si="1"/>
        <v>Pipe</v>
      </c>
      <c r="H17" s="13" t="s">
        <v>1052</v>
      </c>
    </row>
    <row r="18" spans="1:8" x14ac:dyDescent="0.25">
      <c r="A18" t="s">
        <v>714</v>
      </c>
      <c r="B18" t="s">
        <v>877</v>
      </c>
      <c r="C18" t="s">
        <v>938</v>
      </c>
      <c r="D18" t="str">
        <f t="shared" si="0"/>
        <v>"COAL",</v>
      </c>
      <c r="F18" t="s">
        <v>1003</v>
      </c>
      <c r="G18" s="13" t="str">
        <f t="shared" si="1"/>
        <v>Electrical Equipment</v>
      </c>
      <c r="H18" s="13" t="s">
        <v>1059</v>
      </c>
    </row>
    <row r="19" spans="1:8" x14ac:dyDescent="0.25">
      <c r="A19" t="s">
        <v>862</v>
      </c>
      <c r="B19" t="s">
        <v>919</v>
      </c>
      <c r="C19" t="s">
        <v>938</v>
      </c>
      <c r="D19" t="str">
        <f t="shared" si="0"/>
        <v>"COKE",</v>
      </c>
      <c r="F19" t="s">
        <v>1005</v>
      </c>
      <c r="G19" s="13" t="str">
        <f t="shared" si="1"/>
        <v>Alloy Steel</v>
      </c>
      <c r="H19" s="13" t="s">
        <v>1056</v>
      </c>
    </row>
    <row r="20" spans="1:8" x14ac:dyDescent="0.25">
      <c r="A20" t="s">
        <v>1020</v>
      </c>
      <c r="B20" t="s">
        <v>1021</v>
      </c>
      <c r="C20" t="s">
        <v>940</v>
      </c>
      <c r="D20" t="str">
        <f t="shared" si="0"/>
        <v>"COLA",</v>
      </c>
      <c r="F20" t="s">
        <v>1007</v>
      </c>
      <c r="G20" s="13" t="str">
        <f t="shared" si="1"/>
        <v>Carbon Steel</v>
      </c>
      <c r="H20" s="13" t="s">
        <v>1056</v>
      </c>
    </row>
    <row r="21" spans="1:8" x14ac:dyDescent="0.25">
      <c r="A21" t="s">
        <v>833</v>
      </c>
      <c r="B21" t="s">
        <v>965</v>
      </c>
      <c r="C21" t="s">
        <v>942</v>
      </c>
      <c r="D21" t="str">
        <f t="shared" si="0"/>
        <v>"COPR",</v>
      </c>
      <c r="F21" t="s">
        <v>793</v>
      </c>
      <c r="G21" s="13" t="str">
        <f t="shared" si="1"/>
        <v>Steel</v>
      </c>
      <c r="H21" s="13" t="s">
        <v>1056</v>
      </c>
    </row>
    <row r="22" spans="1:8" x14ac:dyDescent="0.25">
      <c r="A22" t="s">
        <v>820</v>
      </c>
      <c r="B22" t="s">
        <v>882</v>
      </c>
      <c r="C22" t="s">
        <v>938</v>
      </c>
      <c r="D22" t="str">
        <f t="shared" si="0"/>
        <v>"CORE",</v>
      </c>
      <c r="F22" t="s">
        <v>1009</v>
      </c>
      <c r="G22" s="13" t="str">
        <f t="shared" si="1"/>
        <v>Stainless Steel</v>
      </c>
      <c r="H22" s="13" t="s">
        <v>1056</v>
      </c>
    </row>
    <row r="23" spans="1:8" x14ac:dyDescent="0.25">
      <c r="A23" t="s">
        <v>858</v>
      </c>
      <c r="B23" t="s">
        <v>934</v>
      </c>
      <c r="C23" t="s">
        <v>942</v>
      </c>
      <c r="D23" t="str">
        <f t="shared" si="0"/>
        <v>"CSTI",</v>
      </c>
      <c r="F23" t="s">
        <v>1029</v>
      </c>
      <c r="G23" s="13" t="str">
        <f t="shared" si="1"/>
        <v>Toys</v>
      </c>
      <c r="H23" s="13" t="s">
        <v>1059</v>
      </c>
    </row>
    <row r="24" spans="1:8" x14ac:dyDescent="0.25">
      <c r="A24" t="s">
        <v>859</v>
      </c>
      <c r="B24" t="s">
        <v>935</v>
      </c>
      <c r="C24" t="s">
        <v>966</v>
      </c>
      <c r="D24" t="str">
        <f t="shared" si="0"/>
        <v>"CTAR",</v>
      </c>
      <c r="F24" t="s">
        <v>991</v>
      </c>
      <c r="G24" s="13" t="str">
        <f t="shared" si="1"/>
        <v>Tyres</v>
      </c>
      <c r="H24" s="13" t="s">
        <v>1060</v>
      </c>
    </row>
    <row r="25" spans="1:8" x14ac:dyDescent="0.25">
      <c r="A25" t="s">
        <v>1022</v>
      </c>
      <c r="B25" t="s">
        <v>1036</v>
      </c>
      <c r="C25" t="s">
        <v>938</v>
      </c>
      <c r="D25" t="str">
        <f t="shared" si="0"/>
        <v>"CTCD",</v>
      </c>
      <c r="F25" t="s">
        <v>1011</v>
      </c>
      <c r="G25" s="13" t="str">
        <f t="shared" si="1"/>
        <v>Vehicle Bodies</v>
      </c>
      <c r="H25" s="13" t="s">
        <v>1061</v>
      </c>
    </row>
    <row r="26" spans="1:8" x14ac:dyDescent="0.25">
      <c r="A26" t="s">
        <v>949</v>
      </c>
      <c r="B26" t="s">
        <v>950</v>
      </c>
      <c r="C26" t="s">
        <v>944</v>
      </c>
      <c r="D26" t="str">
        <f t="shared" si="0"/>
        <v>"DIAM",</v>
      </c>
      <c r="F26" t="s">
        <v>1012</v>
      </c>
      <c r="G26" s="13" t="str">
        <f t="shared" si="1"/>
        <v>Vehicle Engines</v>
      </c>
      <c r="H26" s="13" t="s">
        <v>1059</v>
      </c>
    </row>
    <row r="27" spans="1:8" x14ac:dyDescent="0.25">
      <c r="A27" t="s">
        <v>834</v>
      </c>
      <c r="B27" t="s">
        <v>896</v>
      </c>
      <c r="C27" t="s">
        <v>967</v>
      </c>
      <c r="D27" t="str">
        <f t="shared" si="0"/>
        <v>"DYES",</v>
      </c>
      <c r="F27" t="s">
        <v>411</v>
      </c>
      <c r="G27" s="13" t="str">
        <f t="shared" si="1"/>
        <v>Wood</v>
      </c>
      <c r="H27" s="13" t="s">
        <v>1053</v>
      </c>
    </row>
    <row r="28" spans="1:8" x14ac:dyDescent="0.25">
      <c r="A28" t="s">
        <v>826</v>
      </c>
      <c r="B28" t="s">
        <v>891</v>
      </c>
      <c r="C28" t="s">
        <v>957</v>
      </c>
      <c r="D28" t="str">
        <f t="shared" si="0"/>
        <v>"ENSP",</v>
      </c>
      <c r="F28" t="s">
        <v>869</v>
      </c>
      <c r="G28" s="13" t="str">
        <f t="shared" si="1"/>
        <v>Zinc</v>
      </c>
      <c r="H28" s="13" t="s">
        <v>1056</v>
      </c>
    </row>
    <row r="29" spans="1:8" x14ac:dyDescent="0.25">
      <c r="A29" t="s">
        <v>996</v>
      </c>
      <c r="B29" t="s">
        <v>997</v>
      </c>
      <c r="C29" t="s">
        <v>967</v>
      </c>
      <c r="D29" t="str">
        <f t="shared" si="0"/>
        <v>"EOIL",</v>
      </c>
      <c r="F29" t="s">
        <v>826</v>
      </c>
      <c r="G29" s="13" t="str">
        <f t="shared" si="1"/>
        <v>Engineering Supplies</v>
      </c>
      <c r="H29" s="13" t="s">
        <v>1054</v>
      </c>
    </row>
    <row r="30" spans="1:8" x14ac:dyDescent="0.25">
      <c r="A30" t="s">
        <v>968</v>
      </c>
      <c r="B30" t="s">
        <v>969</v>
      </c>
      <c r="C30" t="s">
        <v>938</v>
      </c>
      <c r="D30" t="str">
        <f t="shared" si="0"/>
        <v>"FECR",</v>
      </c>
      <c r="F30" t="s">
        <v>825</v>
      </c>
      <c r="G30" s="13" t="str">
        <f t="shared" si="1"/>
        <v>Farm Supplies</v>
      </c>
      <c r="H30" s="13" t="s">
        <v>1055</v>
      </c>
    </row>
    <row r="31" spans="1:8" x14ac:dyDescent="0.25">
      <c r="A31" t="s">
        <v>970</v>
      </c>
      <c r="B31" t="s">
        <v>971</v>
      </c>
      <c r="C31" t="s">
        <v>972</v>
      </c>
      <c r="D31" t="str">
        <f t="shared" si="0"/>
        <v>"FERT",</v>
      </c>
      <c r="F31" t="s">
        <v>1014</v>
      </c>
      <c r="G31" s="13" t="str">
        <f t="shared" si="1"/>
        <v>Vehicle Parts</v>
      </c>
      <c r="H31" s="13" t="s">
        <v>1059</v>
      </c>
    </row>
    <row r="32" spans="1:8" x14ac:dyDescent="0.25">
      <c r="A32" t="s">
        <v>841</v>
      </c>
      <c r="B32" t="s">
        <v>930</v>
      </c>
      <c r="C32" t="s">
        <v>972</v>
      </c>
      <c r="D32" t="str">
        <f t="shared" si="0"/>
        <v>"FICR",</v>
      </c>
      <c r="F32" t="s">
        <v>831</v>
      </c>
      <c r="G32" s="13" t="str">
        <f t="shared" si="1"/>
        <v>Timber</v>
      </c>
      <c r="H32" s="13" t="s">
        <v>1057</v>
      </c>
    </row>
    <row r="33" spans="1:8" x14ac:dyDescent="0.25">
      <c r="A33" t="s">
        <v>839</v>
      </c>
      <c r="B33" t="s">
        <v>901</v>
      </c>
      <c r="C33" t="s">
        <v>945</v>
      </c>
      <c r="D33" t="str">
        <f t="shared" si="0"/>
        <v>"FISH",</v>
      </c>
      <c r="F33" t="s">
        <v>837</v>
      </c>
      <c r="G33" s="13" t="str">
        <f t="shared" si="1"/>
        <v>Plastics</v>
      </c>
      <c r="H33" s="13" t="s">
        <v>1059</v>
      </c>
    </row>
    <row r="34" spans="1:8" x14ac:dyDescent="0.25">
      <c r="A34" t="s">
        <v>825</v>
      </c>
      <c r="B34" t="s">
        <v>890</v>
      </c>
      <c r="C34" t="s">
        <v>957</v>
      </c>
      <c r="D34" t="str">
        <f t="shared" ref="D34:D65" si="7">CONCATENATE("""", A34, """,")</f>
        <v>"FMSP",</v>
      </c>
      <c r="F34" t="s">
        <v>834</v>
      </c>
      <c r="G34" s="13" t="str">
        <f t="shared" si="1"/>
        <v>Dyes</v>
      </c>
      <c r="H34" s="13" t="s">
        <v>1059</v>
      </c>
    </row>
    <row r="35" spans="1:8" x14ac:dyDescent="0.25">
      <c r="A35" t="s">
        <v>824</v>
      </c>
      <c r="B35" t="s">
        <v>888</v>
      </c>
      <c r="C35" t="s">
        <v>945</v>
      </c>
      <c r="D35" t="str">
        <f t="shared" si="7"/>
        <v>"FOOD",</v>
      </c>
      <c r="F35" t="s">
        <v>832</v>
      </c>
      <c r="G35" s="13" t="str">
        <f t="shared" si="1"/>
        <v>Vehicles</v>
      </c>
      <c r="H35" s="13" t="s">
        <v>1058</v>
      </c>
    </row>
    <row r="36" spans="1:8" x14ac:dyDescent="0.25">
      <c r="A36" t="s">
        <v>843</v>
      </c>
      <c r="B36" t="s">
        <v>907</v>
      </c>
      <c r="C36" t="s">
        <v>948</v>
      </c>
      <c r="D36" t="str">
        <f t="shared" si="7"/>
        <v>"FRUT",</v>
      </c>
      <c r="F36" t="s">
        <v>841</v>
      </c>
      <c r="G36" s="13" t="str">
        <f t="shared" si="1"/>
        <v>Fibre Crops</v>
      </c>
      <c r="H36" s="13" t="s">
        <v>1059</v>
      </c>
    </row>
    <row r="37" spans="1:8" x14ac:dyDescent="0.25">
      <c r="A37" t="s">
        <v>842</v>
      </c>
      <c r="B37" t="s">
        <v>931</v>
      </c>
      <c r="C37" t="s">
        <v>1033</v>
      </c>
      <c r="D37" t="str">
        <f t="shared" si="7"/>
        <v>"FRVG",</v>
      </c>
      <c r="F37" t="s">
        <v>829</v>
      </c>
      <c r="G37" s="13" t="str">
        <f t="shared" si="1"/>
        <v>Packaging</v>
      </c>
      <c r="H37" s="13" t="s">
        <v>1059</v>
      </c>
    </row>
    <row r="38" spans="1:8" x14ac:dyDescent="0.25">
      <c r="A38" t="s">
        <v>1023</v>
      </c>
      <c r="B38" t="s">
        <v>1024</v>
      </c>
      <c r="C38" t="s">
        <v>942</v>
      </c>
      <c r="D38" t="str">
        <f t="shared" si="7"/>
        <v>"FZDR",</v>
      </c>
      <c r="F38" t="s">
        <v>1087</v>
      </c>
      <c r="G38" s="13" t="str">
        <f t="shared" si="1"/>
        <v>Steel Sheet</v>
      </c>
      <c r="H38" s="13"/>
    </row>
    <row r="39" spans="1:8" x14ac:dyDescent="0.25">
      <c r="A39" t="s">
        <v>946</v>
      </c>
      <c r="B39" t="s">
        <v>947</v>
      </c>
      <c r="C39" t="s">
        <v>944</v>
      </c>
      <c r="D39" t="str">
        <f t="shared" si="7"/>
        <v>"GOLD",</v>
      </c>
      <c r="F39" t="s">
        <v>1089</v>
      </c>
      <c r="G39" s="13" t="str">
        <f t="shared" si="1"/>
        <v>Steel Wire Rod</v>
      </c>
      <c r="H39" s="13"/>
    </row>
    <row r="40" spans="1:8" x14ac:dyDescent="0.25">
      <c r="A40" t="s">
        <v>286</v>
      </c>
      <c r="B40" t="s">
        <v>887</v>
      </c>
      <c r="C40" t="s">
        <v>943</v>
      </c>
      <c r="D40" t="str">
        <f t="shared" si="7"/>
        <v>"GOOD",</v>
      </c>
      <c r="F40" t="s">
        <v>1086</v>
      </c>
      <c r="G40" s="13" t="str">
        <f t="shared" si="1"/>
        <v>Rebar</v>
      </c>
      <c r="H40" s="13"/>
    </row>
    <row r="41" spans="1:8" x14ac:dyDescent="0.25">
      <c r="A41" t="s">
        <v>844</v>
      </c>
      <c r="B41" t="s">
        <v>906</v>
      </c>
      <c r="C41" t="s">
        <v>938</v>
      </c>
      <c r="D41" t="str">
        <f t="shared" si="7"/>
        <v>"GRAI",</v>
      </c>
      <c r="F41" s="13" t="s">
        <v>1077</v>
      </c>
      <c r="G41" s="13" t="str">
        <f t="shared" si="1"/>
        <v>Cleaning Agents</v>
      </c>
      <c r="H41" s="13" t="s">
        <v>1059</v>
      </c>
    </row>
    <row r="42" spans="1:8" x14ac:dyDescent="0.25">
      <c r="A42" t="s">
        <v>817</v>
      </c>
      <c r="B42" t="s">
        <v>879</v>
      </c>
      <c r="C42" t="s">
        <v>938</v>
      </c>
      <c r="D42" t="str">
        <f t="shared" si="7"/>
        <v>"GRVL",</v>
      </c>
      <c r="F42" s="13" t="s">
        <v>1084</v>
      </c>
      <c r="G42" s="13" t="str">
        <f t="shared" si="1"/>
        <v>Paints and coatings</v>
      </c>
      <c r="H42" s="13" t="s">
        <v>1059</v>
      </c>
    </row>
    <row r="43" spans="1:8" x14ac:dyDescent="0.25">
      <c r="A43" t="s">
        <v>816</v>
      </c>
      <c r="B43" t="s">
        <v>878</v>
      </c>
      <c r="C43" t="s">
        <v>938</v>
      </c>
      <c r="D43" t="str">
        <f t="shared" si="7"/>
        <v>"IORE",</v>
      </c>
    </row>
    <row r="44" spans="1:8" x14ac:dyDescent="0.25">
      <c r="A44" t="s">
        <v>864</v>
      </c>
      <c r="B44" t="s">
        <v>920</v>
      </c>
      <c r="C44" t="s">
        <v>942</v>
      </c>
      <c r="D44" t="str">
        <f t="shared" si="7"/>
        <v>"IRON",</v>
      </c>
    </row>
    <row r="45" spans="1:8" x14ac:dyDescent="0.25">
      <c r="A45" t="s">
        <v>856</v>
      </c>
      <c r="B45" t="s">
        <v>915</v>
      </c>
      <c r="C45" t="s">
        <v>942</v>
      </c>
      <c r="D45" t="str">
        <f t="shared" si="7"/>
        <v>"JAVA",</v>
      </c>
    </row>
    <row r="46" spans="1:8" x14ac:dyDescent="0.25">
      <c r="A46" t="s">
        <v>974</v>
      </c>
      <c r="B46" t="s">
        <v>1034</v>
      </c>
      <c r="C46" t="s">
        <v>975</v>
      </c>
      <c r="D46" t="str">
        <f t="shared" si="7"/>
        <v>"KAOL",</v>
      </c>
    </row>
    <row r="47" spans="1:8" x14ac:dyDescent="0.25">
      <c r="A47" t="s">
        <v>823</v>
      </c>
      <c r="B47" t="s">
        <v>886</v>
      </c>
      <c r="C47" t="s">
        <v>938</v>
      </c>
      <c r="D47" t="str">
        <f t="shared" si="7"/>
        <v>"LIME",</v>
      </c>
    </row>
    <row r="48" spans="1:8" x14ac:dyDescent="0.25">
      <c r="A48" t="s">
        <v>753</v>
      </c>
      <c r="B48" t="s">
        <v>905</v>
      </c>
      <c r="C48" t="s">
        <v>942</v>
      </c>
      <c r="D48" t="str">
        <f t="shared" si="7"/>
        <v>"LVST",</v>
      </c>
    </row>
    <row r="49" spans="1:4" x14ac:dyDescent="0.25">
      <c r="A49" t="s">
        <v>652</v>
      </c>
      <c r="B49" t="s">
        <v>876</v>
      </c>
      <c r="C49" t="s">
        <v>939</v>
      </c>
      <c r="D49" t="str">
        <f t="shared" si="7"/>
        <v>"MAIL",</v>
      </c>
    </row>
    <row r="50" spans="1:4" x14ac:dyDescent="0.25">
      <c r="A50" t="s">
        <v>845</v>
      </c>
      <c r="B50" t="s">
        <v>904</v>
      </c>
      <c r="C50" t="s">
        <v>938</v>
      </c>
      <c r="D50" t="str">
        <f t="shared" si="7"/>
        <v>"MAIZ",</v>
      </c>
    </row>
    <row r="51" spans="1:4" x14ac:dyDescent="0.25">
      <c r="A51" t="s">
        <v>854</v>
      </c>
      <c r="B51" t="s">
        <v>913</v>
      </c>
      <c r="C51" t="s">
        <v>942</v>
      </c>
      <c r="D51" t="str">
        <f t="shared" si="7"/>
        <v>"METL",</v>
      </c>
    </row>
    <row r="52" spans="1:4" x14ac:dyDescent="0.25">
      <c r="A52" t="s">
        <v>846</v>
      </c>
      <c r="B52" t="s">
        <v>902</v>
      </c>
      <c r="C52" t="s">
        <v>976</v>
      </c>
      <c r="D52" t="str">
        <f t="shared" si="7"/>
        <v>"MILK",</v>
      </c>
    </row>
    <row r="53" spans="1:4" x14ac:dyDescent="0.25">
      <c r="A53" t="s">
        <v>873</v>
      </c>
      <c r="B53" t="s">
        <v>925</v>
      </c>
      <c r="C53" t="s">
        <v>938</v>
      </c>
      <c r="D53" t="str">
        <f t="shared" si="7"/>
        <v>"MNO2",</v>
      </c>
    </row>
    <row r="54" spans="1:4" x14ac:dyDescent="0.25">
      <c r="A54" t="s">
        <v>829</v>
      </c>
      <c r="B54" t="s">
        <v>1074</v>
      </c>
      <c r="C54" t="s">
        <v>998</v>
      </c>
      <c r="D54" t="str">
        <f t="shared" si="7"/>
        <v>"MNSP",</v>
      </c>
    </row>
    <row r="55" spans="1:4" x14ac:dyDescent="0.25">
      <c r="A55" t="s">
        <v>977</v>
      </c>
      <c r="B55" t="s">
        <v>978</v>
      </c>
      <c r="C55" t="s">
        <v>938</v>
      </c>
      <c r="D55" t="str">
        <f t="shared" si="7"/>
        <v>"NITR",</v>
      </c>
    </row>
    <row r="56" spans="1:4" x14ac:dyDescent="0.25">
      <c r="A56" t="s">
        <v>999</v>
      </c>
      <c r="B56" t="s">
        <v>1000</v>
      </c>
      <c r="C56" t="s">
        <v>942</v>
      </c>
      <c r="D56" t="str">
        <f t="shared" si="7"/>
        <v>"NUTS",</v>
      </c>
    </row>
    <row r="57" spans="1:4" x14ac:dyDescent="0.25">
      <c r="A57" t="s">
        <v>284</v>
      </c>
      <c r="B57" t="s">
        <v>897</v>
      </c>
      <c r="C57" t="s">
        <v>940</v>
      </c>
      <c r="D57" t="str">
        <f t="shared" si="7"/>
        <v>"OIL_",</v>
      </c>
    </row>
    <row r="58" spans="1:4" x14ac:dyDescent="0.25">
      <c r="A58" t="s">
        <v>852</v>
      </c>
      <c r="B58" t="s">
        <v>932</v>
      </c>
      <c r="C58" t="s">
        <v>963</v>
      </c>
      <c r="D58" t="str">
        <f t="shared" si="7"/>
        <v>"OLSD",</v>
      </c>
    </row>
    <row r="59" spans="1:4" x14ac:dyDescent="0.25">
      <c r="A59" t="s">
        <v>830</v>
      </c>
      <c r="B59" t="s">
        <v>894</v>
      </c>
      <c r="C59" t="s">
        <v>942</v>
      </c>
      <c r="D59" t="str">
        <f t="shared" si="7"/>
        <v>"PAPR",</v>
      </c>
    </row>
    <row r="60" spans="1:4" x14ac:dyDescent="0.25">
      <c r="A60" t="s">
        <v>283</v>
      </c>
      <c r="B60" t="s">
        <v>874</v>
      </c>
      <c r="C60" t="s">
        <v>937</v>
      </c>
      <c r="D60" t="str">
        <f t="shared" si="7"/>
        <v>"PASS",</v>
      </c>
    </row>
    <row r="61" spans="1:4" x14ac:dyDescent="0.25">
      <c r="A61" t="s">
        <v>979</v>
      </c>
      <c r="B61" t="s">
        <v>980</v>
      </c>
      <c r="C61" t="s">
        <v>938</v>
      </c>
      <c r="D61" t="str">
        <f t="shared" si="7"/>
        <v>"PEAT",</v>
      </c>
    </row>
    <row r="62" spans="1:4" x14ac:dyDescent="0.25">
      <c r="A62" t="s">
        <v>836</v>
      </c>
      <c r="B62" t="s">
        <v>898</v>
      </c>
      <c r="C62" t="s">
        <v>940</v>
      </c>
      <c r="D62" t="str">
        <f t="shared" si="7"/>
        <v>"PETR",</v>
      </c>
    </row>
    <row r="63" spans="1:4" x14ac:dyDescent="0.25">
      <c r="A63" t="s">
        <v>981</v>
      </c>
      <c r="B63" t="s">
        <v>982</v>
      </c>
      <c r="C63" t="s">
        <v>938</v>
      </c>
      <c r="D63" t="str">
        <f t="shared" si="7"/>
        <v>"PHOS",</v>
      </c>
    </row>
    <row r="64" spans="1:4" x14ac:dyDescent="0.25">
      <c r="A64" t="s">
        <v>1001</v>
      </c>
      <c r="B64" t="s">
        <v>1002</v>
      </c>
      <c r="C64" t="s">
        <v>942</v>
      </c>
      <c r="D64" t="str">
        <f t="shared" si="7"/>
        <v>"PIPE",</v>
      </c>
    </row>
    <row r="65" spans="1:4" x14ac:dyDescent="0.25">
      <c r="A65" t="s">
        <v>837</v>
      </c>
      <c r="B65" t="s">
        <v>899</v>
      </c>
      <c r="C65" t="s">
        <v>984</v>
      </c>
      <c r="D65" t="str">
        <f t="shared" si="7"/>
        <v>"PLAS",</v>
      </c>
    </row>
    <row r="66" spans="1:4" x14ac:dyDescent="0.25">
      <c r="A66" t="s">
        <v>1025</v>
      </c>
      <c r="B66" t="s">
        <v>983</v>
      </c>
      <c r="C66" t="s">
        <v>940</v>
      </c>
      <c r="D66" t="str">
        <f t="shared" ref="D66:D97" si="8">CONCATENATE("""", A66, """,")</f>
        <v>"PLST",</v>
      </c>
    </row>
    <row r="67" spans="1:4" x14ac:dyDescent="0.25">
      <c r="A67" t="s">
        <v>985</v>
      </c>
      <c r="B67" t="s">
        <v>986</v>
      </c>
      <c r="C67" t="s">
        <v>938</v>
      </c>
      <c r="D67" t="str">
        <f t="shared" si="8"/>
        <v>"PORE",</v>
      </c>
    </row>
    <row r="68" spans="1:4" x14ac:dyDescent="0.25">
      <c r="A68" t="s">
        <v>987</v>
      </c>
      <c r="B68" t="s">
        <v>988</v>
      </c>
      <c r="C68" t="s">
        <v>963</v>
      </c>
      <c r="D68" t="str">
        <f t="shared" si="8"/>
        <v>"POTA",</v>
      </c>
    </row>
    <row r="69" spans="1:4" x14ac:dyDescent="0.25">
      <c r="A69" t="s">
        <v>1003</v>
      </c>
      <c r="B69" t="s">
        <v>1081</v>
      </c>
      <c r="C69" t="s">
        <v>942</v>
      </c>
      <c r="D69" t="str">
        <f t="shared" si="8"/>
        <v>"POWR",</v>
      </c>
    </row>
    <row r="70" spans="1:4" x14ac:dyDescent="0.25">
      <c r="A70" t="s">
        <v>865</v>
      </c>
      <c r="B70" t="s">
        <v>926</v>
      </c>
      <c r="C70" t="s">
        <v>963</v>
      </c>
      <c r="D70" t="str">
        <f t="shared" si="8"/>
        <v>"QLME",</v>
      </c>
    </row>
    <row r="71" spans="1:4" x14ac:dyDescent="0.25">
      <c r="A71" t="s">
        <v>871</v>
      </c>
      <c r="B71" t="s">
        <v>928</v>
      </c>
      <c r="C71" t="s">
        <v>1004</v>
      </c>
      <c r="D71" t="str">
        <f t="shared" si="8"/>
        <v>"RCYC",</v>
      </c>
    </row>
    <row r="72" spans="1:4" x14ac:dyDescent="0.25">
      <c r="A72" t="s">
        <v>835</v>
      </c>
      <c r="B72" t="s">
        <v>1080</v>
      </c>
      <c r="C72" t="s">
        <v>940</v>
      </c>
      <c r="D72" t="str">
        <f t="shared" si="8"/>
        <v>"RFPR",</v>
      </c>
    </row>
    <row r="73" spans="1:4" x14ac:dyDescent="0.25">
      <c r="A73" t="s">
        <v>847</v>
      </c>
      <c r="B73" t="s">
        <v>908</v>
      </c>
      <c r="C73" t="s">
        <v>940</v>
      </c>
      <c r="D73" t="str">
        <f t="shared" si="8"/>
        <v>"RUBR",</v>
      </c>
    </row>
    <row r="74" spans="1:4" x14ac:dyDescent="0.25">
      <c r="A74" t="s">
        <v>866</v>
      </c>
      <c r="B74" t="s">
        <v>921</v>
      </c>
      <c r="C74" t="s">
        <v>938</v>
      </c>
      <c r="D74" t="str">
        <f t="shared" si="8"/>
        <v>"SALT",</v>
      </c>
    </row>
    <row r="75" spans="1:4" x14ac:dyDescent="0.25">
      <c r="A75" t="s">
        <v>818</v>
      </c>
      <c r="B75" t="s">
        <v>880</v>
      </c>
      <c r="C75" t="s">
        <v>938</v>
      </c>
      <c r="D75" t="str">
        <f t="shared" si="8"/>
        <v>"SAND",</v>
      </c>
    </row>
    <row r="76" spans="1:4" x14ac:dyDescent="0.25">
      <c r="A76" t="s">
        <v>867</v>
      </c>
      <c r="B76" t="s">
        <v>936</v>
      </c>
      <c r="C76" t="s">
        <v>963</v>
      </c>
      <c r="D76" t="str">
        <f t="shared" si="8"/>
        <v>"SASH",</v>
      </c>
    </row>
    <row r="77" spans="1:4" x14ac:dyDescent="0.25">
      <c r="A77" t="s">
        <v>822</v>
      </c>
      <c r="B77" t="s">
        <v>884</v>
      </c>
      <c r="C77" t="s">
        <v>989</v>
      </c>
      <c r="D77" t="str">
        <f t="shared" si="8"/>
        <v>"SCMT",</v>
      </c>
    </row>
    <row r="78" spans="1:4" x14ac:dyDescent="0.25">
      <c r="A78" t="s">
        <v>848</v>
      </c>
      <c r="B78" t="s">
        <v>909</v>
      </c>
      <c r="C78" t="s">
        <v>938</v>
      </c>
      <c r="D78" t="str">
        <f t="shared" si="8"/>
        <v>"SGBT",</v>
      </c>
    </row>
    <row r="79" spans="1:4" x14ac:dyDescent="0.25">
      <c r="A79" t="s">
        <v>849</v>
      </c>
      <c r="B79" t="s">
        <v>910</v>
      </c>
      <c r="C79" t="s">
        <v>989</v>
      </c>
      <c r="D79" t="str">
        <f t="shared" si="8"/>
        <v>"SGCN",</v>
      </c>
    </row>
    <row r="80" spans="1:4" x14ac:dyDescent="0.25">
      <c r="A80" t="s">
        <v>870</v>
      </c>
      <c r="B80" t="s">
        <v>923</v>
      </c>
      <c r="C80" t="s">
        <v>938</v>
      </c>
      <c r="D80" t="str">
        <f t="shared" si="8"/>
        <v>"SLAG",</v>
      </c>
    </row>
    <row r="81" spans="1:4" x14ac:dyDescent="0.25">
      <c r="A81" t="s">
        <v>1005</v>
      </c>
      <c r="B81" t="s">
        <v>1006</v>
      </c>
      <c r="C81" t="s">
        <v>942</v>
      </c>
      <c r="D81" t="str">
        <f t="shared" si="8"/>
        <v>"STAL",</v>
      </c>
    </row>
    <row r="82" spans="1:4" x14ac:dyDescent="0.25">
      <c r="A82" t="s">
        <v>1007</v>
      </c>
      <c r="B82" t="s">
        <v>1008</v>
      </c>
      <c r="C82" t="s">
        <v>942</v>
      </c>
      <c r="D82" t="str">
        <f t="shared" si="8"/>
        <v>"STCB",</v>
      </c>
    </row>
    <row r="83" spans="1:4" x14ac:dyDescent="0.25">
      <c r="A83" t="s">
        <v>793</v>
      </c>
      <c r="B83" t="s">
        <v>889</v>
      </c>
      <c r="C83" t="s">
        <v>942</v>
      </c>
      <c r="D83" t="str">
        <f t="shared" si="8"/>
        <v>"STEL",</v>
      </c>
    </row>
    <row r="84" spans="1:4" x14ac:dyDescent="0.25">
      <c r="A84" t="s">
        <v>1009</v>
      </c>
      <c r="B84" t="s">
        <v>1010</v>
      </c>
      <c r="C84" t="s">
        <v>942</v>
      </c>
      <c r="D84" t="str">
        <f t="shared" si="8"/>
        <v>"STST",</v>
      </c>
    </row>
    <row r="85" spans="1:4" x14ac:dyDescent="0.25">
      <c r="A85" t="s">
        <v>853</v>
      </c>
      <c r="B85" t="s">
        <v>912</v>
      </c>
      <c r="C85" t="s">
        <v>938</v>
      </c>
      <c r="D85" t="str">
        <f t="shared" si="8"/>
        <v>"SUGR",</v>
      </c>
    </row>
    <row r="86" spans="1:4" x14ac:dyDescent="0.25">
      <c r="A86" t="s">
        <v>868</v>
      </c>
      <c r="B86" t="s">
        <v>927</v>
      </c>
      <c r="C86" t="s">
        <v>963</v>
      </c>
      <c r="D86" t="str">
        <f t="shared" si="8"/>
        <v>"SULP",</v>
      </c>
    </row>
    <row r="87" spans="1:4" x14ac:dyDescent="0.25">
      <c r="A87" t="s">
        <v>1026</v>
      </c>
      <c r="B87" t="s">
        <v>1037</v>
      </c>
      <c r="C87" t="s">
        <v>943</v>
      </c>
      <c r="D87" t="str">
        <f t="shared" si="8"/>
        <v>"SWET",</v>
      </c>
    </row>
    <row r="88" spans="1:4" x14ac:dyDescent="0.25">
      <c r="A88" t="s">
        <v>1027</v>
      </c>
      <c r="B88" t="s">
        <v>1028</v>
      </c>
      <c r="C88" t="s">
        <v>938</v>
      </c>
      <c r="D88" t="str">
        <f t="shared" si="8"/>
        <v>"TOFF",</v>
      </c>
    </row>
    <row r="89" spans="1:4" x14ac:dyDescent="0.25">
      <c r="A89" t="s">
        <v>815</v>
      </c>
      <c r="B89" t="s">
        <v>875</v>
      </c>
      <c r="C89" t="s">
        <v>990</v>
      </c>
      <c r="D89" t="str">
        <f t="shared" si="8"/>
        <v>"TOUR",</v>
      </c>
    </row>
    <row r="90" spans="1:4" x14ac:dyDescent="0.25">
      <c r="A90" t="s">
        <v>1029</v>
      </c>
      <c r="B90" t="s">
        <v>1030</v>
      </c>
      <c r="C90" t="s">
        <v>942</v>
      </c>
      <c r="D90" t="str">
        <f t="shared" si="8"/>
        <v>"TOYS",</v>
      </c>
    </row>
    <row r="91" spans="1:4" x14ac:dyDescent="0.25">
      <c r="A91" t="s">
        <v>991</v>
      </c>
      <c r="B91" t="s">
        <v>992</v>
      </c>
      <c r="C91" t="s">
        <v>942</v>
      </c>
      <c r="D91" t="str">
        <f t="shared" si="8"/>
        <v>"TYRE",</v>
      </c>
    </row>
    <row r="92" spans="1:4" x14ac:dyDescent="0.25">
      <c r="A92" t="s">
        <v>993</v>
      </c>
      <c r="B92" t="s">
        <v>994</v>
      </c>
      <c r="C92" t="s">
        <v>995</v>
      </c>
      <c r="D92" t="str">
        <f t="shared" si="8"/>
        <v>"URAN",</v>
      </c>
    </row>
    <row r="93" spans="1:4" x14ac:dyDescent="0.25">
      <c r="A93" t="s">
        <v>855</v>
      </c>
      <c r="B93" t="s">
        <v>914</v>
      </c>
      <c r="C93" t="s">
        <v>944</v>
      </c>
      <c r="D93" t="str">
        <f t="shared" si="8"/>
        <v>"VALU",</v>
      </c>
    </row>
    <row r="94" spans="1:4" x14ac:dyDescent="0.25">
      <c r="A94" t="s">
        <v>1011</v>
      </c>
      <c r="B94" t="s">
        <v>1035</v>
      </c>
      <c r="C94" t="s">
        <v>942</v>
      </c>
      <c r="D94" t="str">
        <f t="shared" si="8"/>
        <v>"VBOD",</v>
      </c>
    </row>
    <row r="95" spans="1:4" x14ac:dyDescent="0.25">
      <c r="A95" t="s">
        <v>832</v>
      </c>
      <c r="B95" t="s">
        <v>895</v>
      </c>
      <c r="C95" t="s">
        <v>973</v>
      </c>
      <c r="D95" t="str">
        <f t="shared" si="8"/>
        <v>"VEHI",</v>
      </c>
    </row>
    <row r="96" spans="1:4" x14ac:dyDescent="0.25">
      <c r="A96" t="s">
        <v>1012</v>
      </c>
      <c r="B96" t="s">
        <v>1013</v>
      </c>
      <c r="C96" t="s">
        <v>942</v>
      </c>
      <c r="D96" t="str">
        <f t="shared" si="8"/>
        <v>"VENG",</v>
      </c>
    </row>
    <row r="97" spans="1:4" x14ac:dyDescent="0.25">
      <c r="A97" t="s">
        <v>1014</v>
      </c>
      <c r="B97" t="s">
        <v>1015</v>
      </c>
      <c r="C97" t="s">
        <v>998</v>
      </c>
      <c r="D97" t="str">
        <f t="shared" si="8"/>
        <v>"VPTS",</v>
      </c>
    </row>
    <row r="98" spans="1:4" x14ac:dyDescent="0.25">
      <c r="A98" t="s">
        <v>838</v>
      </c>
      <c r="B98" t="s">
        <v>900</v>
      </c>
      <c r="C98" t="s">
        <v>940</v>
      </c>
      <c r="D98" t="str">
        <f t="shared" ref="D98:D112" si="9">CONCATENATE("""", A98, """,")</f>
        <v>"WATR",</v>
      </c>
    </row>
    <row r="99" spans="1:4" x14ac:dyDescent="0.25">
      <c r="A99" t="s">
        <v>831</v>
      </c>
      <c r="B99" t="s">
        <v>1049</v>
      </c>
      <c r="C99" t="s">
        <v>972</v>
      </c>
      <c r="D99" t="str">
        <f t="shared" si="9"/>
        <v>"WDPR",</v>
      </c>
    </row>
    <row r="100" spans="1:4" x14ac:dyDescent="0.25">
      <c r="A100" t="s">
        <v>850</v>
      </c>
      <c r="B100" t="s">
        <v>911</v>
      </c>
      <c r="C100" t="s">
        <v>938</v>
      </c>
      <c r="D100" t="str">
        <f t="shared" si="9"/>
        <v>"WHEA",</v>
      </c>
    </row>
    <row r="101" spans="1:4" x14ac:dyDescent="0.25">
      <c r="A101" t="s">
        <v>411</v>
      </c>
      <c r="B101" t="s">
        <v>885</v>
      </c>
      <c r="C101" t="s">
        <v>942</v>
      </c>
      <c r="D101" t="str">
        <f t="shared" si="9"/>
        <v>"WOOD",</v>
      </c>
    </row>
    <row r="102" spans="1:4" x14ac:dyDescent="0.25">
      <c r="A102" t="s">
        <v>851</v>
      </c>
      <c r="B102" t="s">
        <v>903</v>
      </c>
      <c r="C102" t="s">
        <v>954</v>
      </c>
      <c r="D102" t="str">
        <f t="shared" si="9"/>
        <v>"WOOL",</v>
      </c>
    </row>
    <row r="103" spans="1:4" x14ac:dyDescent="0.25">
      <c r="A103" t="s">
        <v>941</v>
      </c>
      <c r="B103" t="s">
        <v>1038</v>
      </c>
      <c r="C103" t="s">
        <v>1031</v>
      </c>
      <c r="D103" t="str">
        <f t="shared" si="9"/>
        <v>"YETI",</v>
      </c>
    </row>
    <row r="104" spans="1:4" x14ac:dyDescent="0.25">
      <c r="A104" t="s">
        <v>1032</v>
      </c>
      <c r="B104" t="s">
        <v>1039</v>
      </c>
      <c r="C104" t="s">
        <v>1031</v>
      </c>
      <c r="D104" t="str">
        <f t="shared" si="9"/>
        <v>"YETY",</v>
      </c>
    </row>
    <row r="105" spans="1:4" x14ac:dyDescent="0.25">
      <c r="A105" t="s">
        <v>869</v>
      </c>
      <c r="B105" t="s">
        <v>922</v>
      </c>
      <c r="C105" t="s">
        <v>942</v>
      </c>
      <c r="D105" t="str">
        <f t="shared" si="9"/>
        <v>"ZINC",</v>
      </c>
    </row>
    <row r="106" spans="1:4" x14ac:dyDescent="0.25">
      <c r="A106" t="s">
        <v>1077</v>
      </c>
      <c r="B106" t="s">
        <v>1076</v>
      </c>
      <c r="C106" t="s">
        <v>984</v>
      </c>
      <c r="D106" t="str">
        <f t="shared" si="9"/>
        <v>"SOAP",</v>
      </c>
    </row>
    <row r="107" spans="1:4" x14ac:dyDescent="0.25">
      <c r="A107" t="s">
        <v>1078</v>
      </c>
      <c r="B107" t="s">
        <v>1079</v>
      </c>
      <c r="C107" t="s">
        <v>966</v>
      </c>
      <c r="D107" t="str">
        <f t="shared" si="9"/>
        <v>"NH3_",</v>
      </c>
    </row>
    <row r="108" spans="1:4" x14ac:dyDescent="0.25">
      <c r="A108" t="s">
        <v>1082</v>
      </c>
      <c r="B108" t="s">
        <v>1083</v>
      </c>
      <c r="C108" t="s">
        <v>966</v>
      </c>
      <c r="D108" t="str">
        <f t="shared" si="9"/>
        <v>"O2__",</v>
      </c>
    </row>
    <row r="109" spans="1:4" x14ac:dyDescent="0.25">
      <c r="A109" t="s">
        <v>1084</v>
      </c>
      <c r="B109" t="s">
        <v>1085</v>
      </c>
      <c r="C109" t="s">
        <v>984</v>
      </c>
      <c r="D109" t="str">
        <f t="shared" si="9"/>
        <v>"COAT",</v>
      </c>
    </row>
    <row r="110" spans="1:4" x14ac:dyDescent="0.25">
      <c r="A110" t="s">
        <v>1086</v>
      </c>
      <c r="B110" t="s">
        <v>1075</v>
      </c>
      <c r="C110" t="s">
        <v>942</v>
      </c>
      <c r="D110" t="str">
        <f t="shared" si="9"/>
        <v>"RBAR",</v>
      </c>
    </row>
    <row r="111" spans="1:4" x14ac:dyDescent="0.25">
      <c r="A111" t="s">
        <v>1087</v>
      </c>
      <c r="B111" t="s">
        <v>1088</v>
      </c>
      <c r="C111" t="s">
        <v>942</v>
      </c>
      <c r="D111" t="str">
        <f t="shared" si="9"/>
        <v>"STSH",</v>
      </c>
    </row>
    <row r="112" spans="1:4" x14ac:dyDescent="0.25">
      <c r="A112" t="s">
        <v>1089</v>
      </c>
      <c r="B112" t="s">
        <v>1090</v>
      </c>
      <c r="C112" t="s">
        <v>942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2023-09-03T10:10:25Z</dcterms:modified>
</cp:coreProperties>
</file>