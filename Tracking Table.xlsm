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BA21C8B0-6A9C-4E9B-A9CC-F2F83B5F4D65}" xr6:coauthVersionLast="45" xr6:coauthVersionMax="45" xr10:uidLastSave="{00000000-0000-0000-0000-000000000000}"/>
  <bookViews>
    <workbookView xWindow="5910" yWindow="4275" windowWidth="18090" windowHeight="11595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71" i="1" l="1"/>
  <c r="W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W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W2" i="1"/>
  <c r="W51" i="1"/>
  <c r="W52" i="1"/>
  <c r="W53" i="1"/>
  <c r="W54" i="1"/>
  <c r="W55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Y40" i="1" s="1"/>
  <c r="Y41" i="1"/>
  <c r="W42" i="1"/>
  <c r="W43" i="1"/>
  <c r="W44" i="1"/>
  <c r="W45" i="1"/>
  <c r="W46" i="1"/>
  <c r="W47" i="1"/>
  <c r="W48" i="1"/>
  <c r="W49" i="1"/>
  <c r="W50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Y71" i="1" s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Y178" i="1" s="1"/>
  <c r="W179" i="1"/>
  <c r="W180" i="1"/>
  <c r="W181" i="1"/>
  <c r="W182" i="1"/>
  <c r="W183" i="1"/>
  <c r="W184" i="1"/>
  <c r="W185" i="1"/>
  <c r="W186" i="1"/>
  <c r="W187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188" i="1"/>
  <c r="W8" i="1" l="1"/>
  <c r="W9" i="1"/>
  <c r="W10" i="1"/>
  <c r="W11" i="1"/>
  <c r="W12" i="1"/>
  <c r="W13" i="1"/>
  <c r="W14" i="1"/>
  <c r="W15" i="1"/>
  <c r="W16" i="1"/>
  <c r="W17" i="1"/>
  <c r="W18" i="1"/>
  <c r="W19" i="1"/>
  <c r="W4" i="1"/>
  <c r="W5" i="1"/>
  <c r="W6" i="1"/>
  <c r="W7" i="1"/>
  <c r="O13" i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<sst xmlns="http://schemas.openxmlformats.org/spreadsheetml/2006/main" count="861" uniqueCount="456">
  <si>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</si>
  <si>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</si>
  <si>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</si>
  <si>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</si>
  <si>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</si>
  <si>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</si>
  <si>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</si>
  <si>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</si>
  <si>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</si>
  <si>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</si>
  <si>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</si>
  <si>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</si>
  <si>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</si>
  <si>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</si>
  <si>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</si>
  <si>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</si>
  <si>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</si>
  <si>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</si>
  <si>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</si>
  <si>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</si>
  <si>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</si>
  <si>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</si>
  <si>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</si>
  <si>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</si>
  <si>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</si>
  <si>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</si>
  <si>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</si>
  <si>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</si>
  <si>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</si>
  <si>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</si>
  <si>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</si>
  <si>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</si>
  <si>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</si>
  <si>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</si>
  <si>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</si>
  <si>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</si>
  <si>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</si>
  <si>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</si>
  <si>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</si>
  <si>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</si>
  <si>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</si>
  <si>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</si>
  <si>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</si>
  <si>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</si>
  <si>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</si>
  <si>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</si>
  <si>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</si>
  <si>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</si>
  <si>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</si>
  <si>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</si>
  <si>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</si>
  <si>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</si>
  <si>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</si>
  <si>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</si>
  <si>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</si>
  <si>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</si>
  <si>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</si>
  <si>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</si>
  <si>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</si>
  <si>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</si>
  <si>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</si>
  <si>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</si>
  <si>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</si>
  <si>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</si>
  <si>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</si>
  <si>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</si>
  <si>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</si>
  <si>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</si>
  <si>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</si>
  <si>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</si>
  <si>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</si>
  <si>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</si>
  <si>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</si>
  <si>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</si>
  <si>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</si>
  <si>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</si>
  <si>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</si>
  <si>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</si>
  <si>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</si>
  <si>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</si>
  <si>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</si>
  <si>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</si>
  <si>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</si>
  <si>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</si>
  <si>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</si>
  <si>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</si>
  <si>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</si>
  <si>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</si>
  <si>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</si>
  <si>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</si>
  <si>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</si>
  <si>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</si>
  <si>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</si>
  <si>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</si>
  <si>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</si>
  <si>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</si>
  <si>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</si>
  <si>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</si>
  <si>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</si>
  <si>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</si>
  <si>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</si>
  <si>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</si>
  <si>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</si>
  <si>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</si>
  <si>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</si>
  <si>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</si>
  <si>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</si>
  <si>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</si>
  <si>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</si>
  <si>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</si>
  <si>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</si>
  <si>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</si>
  <si>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</si>
  <si>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</si>
  <si>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</si>
  <si>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</si>
  <si>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</si>
  <si>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</si>
  <si>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</si>
  <si>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</si>
  <si>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</si>
  <si>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</si>
  <si>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</si>
  <si>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</si>
  <si>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</si>
  <si>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</si>
  <si>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</si>
  <si>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</si>
  <si>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</si>
  <si>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</si>
  <si>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</si>
  <si>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</si>
  <si>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</si>
  <si>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</si>
  <si>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</si>
  <si>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</si>
  <si>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</si>
  <si>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</si>
  <si>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</si>
  <si>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</si>
  <si>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</si>
  <si>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</si>
  <si>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</si>
  <si>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</si>
  <si>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</si>
  <si>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</si>
  <si>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</si>
  <si>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</si>
  <si>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</si>
  <si>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</si>
  <si>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</si>
  <si>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</si>
  <si>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</si>
  <si>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</si>
  <si>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</si>
  <si>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</si>
  <si>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</si>
  <si>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</si>
  <si>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</si>
  <si>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</si>
  <si>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</si>
  <si>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</si>
  <si>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</si>
  <si>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</si>
  <si>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</si>
  <si>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</si>
  <si>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</si>
  <si>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</si>
  <si>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</si>
  <si>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</si>
  <si>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</si>
  <si>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</si>
  <si>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</si>
  <si>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</si>
  <si>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</si>
  <si>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</si>
  <si>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</si>
  <si>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</si>
  <si>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</si>
  <si>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</si>
  <si>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</si>
  <si>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</si>
  <si>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</si>
  <si>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</si>
  <si>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</si>
  <si>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</si>
  <si>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</si>
  <si>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</si>
  <si>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</si>
  <si>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</si>
  <si>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</si>
  <si>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</si>
  <si>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</si>
  <si>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</si>
  <si>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</si>
  <si>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</si>
  <si>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</si>
  <si>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</si>
  <si>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</si>
  <si>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</si>
  <si>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</si>
  <si>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</si>
  <si>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</si>
  <si>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</si>
  <si>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</si>
  <si>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</si>
  <si>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</si>
  <si>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</si>
  <si>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</si>
  <si>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</si>
  <si>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</si>
  <si>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</si>
  <si>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</si>
  <si>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</si>
  <si>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</si>
  <si>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</si>
  <si>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</si>
  <si>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</si>
  <si>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</si>
  <si>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</si>
  <si>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</si>
  <si>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</si>
  <si>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</si>
  <si>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</si>
  <si>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</si>
  <si>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</si>
  <si>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</si>
  <si>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</si>
  <si>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</si>
  <si>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</si>
  <si>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</si>
  <si>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</si>
  <si>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</si>
  <si>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</si>
  <si>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</si>
  <si>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</si>
  <si>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</si>
  <si>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</si>
  <si>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</si>
  <si>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</si>
  <si>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</si>
  <si>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</si>
  <si>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</si>
  <si>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</si>
  <si>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</si>
  <si>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</si>
  <si>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</si>
  <si>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</si>
  <si>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</si>
  <si>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</si>
  <si>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</si>
  <si>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</si>
  <si>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</si>
  <si>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</si>
  <si>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</si>
  <si>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</si>
  <si>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</si>
  <si>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</si>
  <si>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</si>
  <si>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</si>
  <si>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</si>
  <si>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</si>
  <si>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</si>
  <si>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</si>
  <si>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</si>
  <si>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</si>
  <si>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</si>
  <si>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</si>
  <si>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</si>
  <si>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</si>
  <si>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</si>
  <si>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</si>
  <si>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</si>
  <si>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</si>
  <si>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</si>
  <si>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</si>
  <si>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</si>
  <si>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</si>
  <si>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</si>
  <si>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</si>
  <si>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</si>
  <si>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</si>
  <si>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</si>
  <si>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</si>
  <si>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</si>
  <si>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</si>
  <si>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</si>
  <si>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</si>
  <si>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</si>
  <si>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</si>
  <si>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</si>
  <si>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</si>
  <si>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</si>
  <si>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</si>
  <si>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</si>
  <si>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</si>
  <si>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</si>
  <si>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</si>
  <si>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</si>
  <si>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</si>
  <si>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</si>
  <si>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</si>
  <si>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</si>
  <si>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</si>
  <si>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</si>
  <si>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</si>
  <si>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</si>
  <si>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</si>
  <si>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</si>
  <si>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</si>
  <si>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</si>
  <si>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</si>
  <si>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</si>
  <si>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</si>
  <si>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</si>
  <si>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</si>
  <si>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</si>
  <si>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</si>
  <si>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</si>
  <si>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</si>
  <si>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</si>
  <si>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</si>
  <si>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</si>
  <si>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</si>
  <si>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</si>
  <si>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</si>
  <si>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</si>
  <si>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</si>
  <si>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</si>
  <si>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</si>
  <si>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</si>
  <si>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</si>
  <si>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</si>
  <si>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</si>
  <si>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</si>
  <si>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</si>
  <si>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</si>
  <si>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</si>
  <si>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</si>
  <si>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</si>
  <si>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</si>
  <si>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</si>
  <si>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</si>
  <si>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</si>
  <si>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</si>
  <si>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</si>
  <si>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</si>
  <si>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</si>
  <si>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</si>
  <si>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</si>
  <si>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</si>
  <si>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</si>
  <si>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</si>
  <si>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</si>
  <si>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</si>
  <si>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</si>
  <si>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</si>
  <si>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</si>
  <si>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</si>
  <si>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</si>
  <si>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</si>
  <si>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</si>
  <si>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</si>
  <si>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</si>
  <si>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</si>
  <si>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</si>
  <si>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</si>
  <si>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</si>
  <si>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</si>
  <si>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</si>
  <si>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</si>
  <si>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</si>
  <si>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</si>
  <si>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</si>
  <si>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</si>
  <si>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</si>
  <si>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</si>
  <si>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</si>
  <si>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</si>
  <si>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</si>
  <si>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</si>
  <si>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</si>
  <si>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</si>
  <si>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</si>
  <si>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</si>
  <si>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</si>
  <si>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</si>
  <si>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</si>
  <si>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</si>
  <si>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</si>
  <si>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</si>
  <si>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</si>
  <si>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</si>
  <si>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</si>
  <si>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</si>
  <si>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</si>
  <si>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</si>
  <si>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</si>
  <si>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</si>
  <si>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</si>
  <si>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</si>
  <si>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</si>
  <si>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</si>
  <si>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</si>
  <si>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</si>
  <si>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</si>
  <si>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</si>
  <si>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</si>
  <si>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</si>
  <si>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</si>
  <si>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</si>
  <si>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</si>
  <si>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</si>
  <si>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</si>
  <si>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</si>
  <si>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</si>
  <si>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</si>
  <si>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</si>
  <si>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</si>
  <si>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</si>
  <si>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</si>
  <si>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</si>
  <si>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</si>
  <si>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</si>
  <si>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</si>
  <si>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</si>
  <si>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</si>
  <si>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</si>
  <si>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</si>
  <si>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</si>
  <si>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</si>
  <si>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</si>
  <si>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</si>
  <si>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</si>
  <si>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</si>
  <si>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</si>
  <si>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</si>
  <si>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</si>
  <si>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</si>
  <si>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</si>
  <si>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</si>
  <si>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</si>
  <si>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</si>
  <si>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SAAN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</si>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</sst>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B65" activePane="bottomRight" state="frozenSplit"/>
      <selection pane="topRight" activeCell="B1" sqref="B1"/>
      <selection pane="bottomLeft" activeCell="A2" sqref="A2"/>
      <selection pane="bottomRight" activeCell="F71" sqref="F71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427</v>
      </c>
      <c r="E1" s="1" t="s">
        <v>430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433</v>
      </c>
      <c r="N1" s="1" t="s">
        <v>209</v>
      </c>
      <c r="O1" s="3" t="s">
        <v>421</v>
      </c>
      <c r="P1" s="1" t="s">
        <v>210</v>
      </c>
      <c r="Q1" s="1" t="s">
        <v>211</v>
      </c>
      <c r="R1" s="1" t="s">
        <v>442</v>
      </c>
      <c r="S1" s="1" t="s">
        <v>383</v>
      </c>
      <c r="T1" s="1" t="s">
        <v>212</v>
      </c>
      <c r="U1" s="1" t="s">
        <v>420</v>
      </c>
      <c r="V1" s="1" t="s">
        <v>201</v>
      </c>
      <c r="W1" s="1" t="s">
        <v>425</v>
      </c>
      <c r="X1" s="1" t="s">
        <v>449</v>
      </c>
      <c r="Y1" s="1" t="s">
        <v>384</v>
      </c>
      <c r="Z1" s="1" t="s">
        <v>426</v>
      </c>
      <c r="AA1" s="1" t="s">
        <v>434</v>
      </c>
      <c r="AB1" s="1" t="s">
        <v>435</v>
      </c>
      <c r="AC1" s="1" t="s">
        <v>439</v>
      </c>
    </row>
    <row r="2" spans="1:29" x14ac:dyDescent="0.25">
      <c r="A2" t="s">
        <v>448</v>
      </c>
      <c r="B2" t="s">
        <v>447</v>
      </c>
      <c r="C2" t="s">
        <v>449</v>
      </c>
      <c r="E2" t="s">
        <v>431</v>
      </c>
      <c r="K2">
        <v>52</v>
      </c>
      <c r="Q2">
        <v>7.64</v>
      </c>
      <c r="R2">
        <v>7.64</v>
      </c>
      <c r="V2" t="str">
        <f t="shared" ref="V2:V40" si="0">CONCATENATE(INT(Q2*10),"x",INT(S2*15), "x", INT(T2*15))</f>
        <v>76x0x0</v>
      </c>
      <c r="W2">
        <f>CEILING((R2/57)*32,1)</f>
        <v>5</v>
      </c>
      <c r="Y2" t="str">
        <f>CONCATENATE(VLOOKUP(W2,'Articulated Lengths'!$A$2:$B$16, 2, FALSE),IF(X2&lt;&gt;"",CONCATENATE(",",VLOOKUP(X2,$B$2:$Y$200,24,FALSE)),""))</f>
        <v>1,3,1</v>
      </c>
    </row>
    <row r="3" spans="1:29" x14ac:dyDescent="0.25">
      <c r="A3" t="s">
        <v>451</v>
      </c>
      <c r="B3" t="s">
        <v>452</v>
      </c>
      <c r="C3" t="s">
        <v>449</v>
      </c>
      <c r="E3" t="s">
        <v>431</v>
      </c>
      <c r="K3">
        <v>52</v>
      </c>
      <c r="Q3">
        <v>7.64</v>
      </c>
      <c r="R3">
        <v>7.64</v>
      </c>
      <c r="V3" t="str">
        <f t="shared" si="0"/>
        <v>76x0x0</v>
      </c>
      <c r="W3">
        <f>CEILING((R3/57)*32,1)</f>
        <v>5</v>
      </c>
      <c r="Y3" t="str">
        <f>CONCATENATE(VLOOKUP(W3,'Articulated Lengths'!$A$2:$B$16, 2, FALSE),IF(X3&lt;&gt;"",CONCATENATE(",",VLOOKUP(X3,$B$2:$Y$200,24,FALSE)),""))</f>
        <v>1,3,1</v>
      </c>
    </row>
    <row r="4" spans="1:29" x14ac:dyDescent="0.25">
      <c r="A4" t="s">
        <v>195</v>
      </c>
      <c r="B4" t="s">
        <v>337</v>
      </c>
      <c r="C4" t="s">
        <v>213</v>
      </c>
      <c r="E4" t="s">
        <v>432</v>
      </c>
      <c r="F4">
        <v>1802</v>
      </c>
      <c r="K4">
        <v>5</v>
      </c>
      <c r="O4" s="4" t="str">
        <f t="shared" ref="O4:O11" si="1">IF(AND(K4&gt;0,N4&gt;0),(N4/(K4*10)),"")</f>
        <v/>
      </c>
      <c r="P4">
        <v>5</v>
      </c>
      <c r="V4" t="str">
        <f t="shared" si="0"/>
        <v>0x0x0</v>
      </c>
      <c r="W4">
        <f>CEILING((Q4/56)*32,1)</f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431</v>
      </c>
      <c r="F5">
        <v>1812</v>
      </c>
      <c r="K5">
        <v>5</v>
      </c>
      <c r="O5" s="4" t="str">
        <f t="shared" si="1"/>
        <v/>
      </c>
      <c r="V5" t="str">
        <f t="shared" si="0"/>
        <v>0x0x0</v>
      </c>
      <c r="W5">
        <f>CEILING((Q5/56)*32,1)</f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431</v>
      </c>
      <c r="F6">
        <v>1825</v>
      </c>
      <c r="K6">
        <v>7</v>
      </c>
      <c r="N6">
        <v>8.5</v>
      </c>
      <c r="O6" s="4">
        <f t="shared" si="1"/>
        <v>0.12142857142857143</v>
      </c>
      <c r="P6">
        <v>15</v>
      </c>
      <c r="V6" t="str">
        <f t="shared" si="0"/>
        <v>0x0x0</v>
      </c>
      <c r="W6">
        <f>CEILING((Q6/56)*32,1)</f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431</v>
      </c>
      <c r="F7">
        <v>1830</v>
      </c>
      <c r="K7">
        <v>4.3</v>
      </c>
      <c r="O7" s="4" t="str">
        <f t="shared" si="1"/>
        <v/>
      </c>
      <c r="V7" t="str">
        <f t="shared" si="0"/>
        <v>0x0x0</v>
      </c>
      <c r="W7">
        <f>CEILING((Q7/56)*32,1)</f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338</v>
      </c>
      <c r="C8" t="s">
        <v>213</v>
      </c>
      <c r="E8" t="s">
        <v>431</v>
      </c>
      <c r="F8">
        <v>1838</v>
      </c>
      <c r="N8">
        <v>9.6</v>
      </c>
      <c r="O8" s="4" t="str">
        <f t="shared" si="1"/>
        <v/>
      </c>
      <c r="P8">
        <v>45</v>
      </c>
      <c r="V8" t="str">
        <f t="shared" si="0"/>
        <v>0x0x0</v>
      </c>
      <c r="W8">
        <f t="shared" ref="W8:W19" si="2">CEILING((Q8/57)*32,1)</f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339</v>
      </c>
      <c r="C9" t="s">
        <v>213</v>
      </c>
      <c r="E9" t="s">
        <v>431</v>
      </c>
      <c r="F9">
        <v>1838</v>
      </c>
      <c r="O9" s="4" t="str">
        <f t="shared" si="1"/>
        <v/>
      </c>
      <c r="V9" t="str">
        <f t="shared" si="0"/>
        <v>0x0x0</v>
      </c>
      <c r="W9">
        <f t="shared" si="2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431</v>
      </c>
      <c r="F10">
        <v>1846</v>
      </c>
      <c r="K10">
        <v>19</v>
      </c>
      <c r="N10">
        <v>34</v>
      </c>
      <c r="O10" s="4">
        <f t="shared" si="1"/>
        <v>0.17894736842105263</v>
      </c>
      <c r="V10" t="str">
        <f t="shared" si="0"/>
        <v>0x0x0</v>
      </c>
      <c r="W10">
        <f t="shared" si="2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340</v>
      </c>
      <c r="C11" t="s">
        <v>213</v>
      </c>
      <c r="E11" t="s">
        <v>431</v>
      </c>
      <c r="F11">
        <v>1846</v>
      </c>
      <c r="K11">
        <v>42</v>
      </c>
      <c r="O11" s="4" t="str">
        <f t="shared" si="1"/>
        <v/>
      </c>
      <c r="Q11">
        <v>6</v>
      </c>
      <c r="R11">
        <v>6</v>
      </c>
      <c r="V11" t="str">
        <f t="shared" si="0"/>
        <v>60x0x0</v>
      </c>
      <c r="W11">
        <f t="shared" si="2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431</v>
      </c>
      <c r="F12">
        <v>1847</v>
      </c>
      <c r="O12" s="4" t="str">
        <f>IF(AND(K12&gt;0,N12&gt;0),(N12/(K12*10)),"")</f>
        <v/>
      </c>
      <c r="P12">
        <v>60</v>
      </c>
      <c r="V12" t="str">
        <f t="shared" si="0"/>
        <v>0x0x0</v>
      </c>
      <c r="W12">
        <f t="shared" si="2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431</v>
      </c>
      <c r="F13">
        <v>1852</v>
      </c>
      <c r="K13">
        <v>64</v>
      </c>
      <c r="N13">
        <v>65</v>
      </c>
      <c r="O13" s="4">
        <f t="shared" ref="O13:O76" si="3">IF(AND(K13&gt;0,N13&gt;0),(N13/(K13*10)),"")</f>
        <v>0.1015625</v>
      </c>
      <c r="V13" t="str">
        <f t="shared" si="0"/>
        <v>0x0x0</v>
      </c>
      <c r="W13">
        <f t="shared" si="2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341</v>
      </c>
      <c r="C14" t="s">
        <v>213</v>
      </c>
      <c r="E14" t="s">
        <v>431</v>
      </c>
      <c r="F14">
        <v>1859</v>
      </c>
      <c r="K14">
        <v>27.4</v>
      </c>
      <c r="O14" s="4" t="str">
        <f t="shared" si="3"/>
        <v/>
      </c>
      <c r="P14">
        <v>70</v>
      </c>
      <c r="V14" t="str">
        <f t="shared" si="0"/>
        <v>0x0x0</v>
      </c>
      <c r="W14">
        <f t="shared" si="2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431</v>
      </c>
      <c r="F15">
        <v>1868</v>
      </c>
      <c r="K15">
        <v>35.799999999999997</v>
      </c>
      <c r="N15">
        <v>65</v>
      </c>
      <c r="O15" s="4">
        <f t="shared" si="3"/>
        <v>0.18156424581005587</v>
      </c>
      <c r="Q15">
        <v>8.65</v>
      </c>
      <c r="R15">
        <v>8.65</v>
      </c>
      <c r="T15">
        <v>3.7</v>
      </c>
      <c r="V15" t="str">
        <f t="shared" si="0"/>
        <v>86x0x55</v>
      </c>
      <c r="W15">
        <f t="shared" si="2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342</v>
      </c>
      <c r="C16" t="s">
        <v>213</v>
      </c>
      <c r="E16" t="s">
        <v>431</v>
      </c>
      <c r="F16">
        <v>1872</v>
      </c>
      <c r="G16">
        <v>1880</v>
      </c>
      <c r="K16">
        <v>28</v>
      </c>
      <c r="N16">
        <v>34</v>
      </c>
      <c r="O16" s="4">
        <f t="shared" si="3"/>
        <v>0.12142857142857143</v>
      </c>
      <c r="P16">
        <v>45</v>
      </c>
      <c r="Q16">
        <v>7.94</v>
      </c>
      <c r="R16">
        <v>7.94</v>
      </c>
      <c r="V16" t="str">
        <f t="shared" si="0"/>
        <v>79x0x0</v>
      </c>
      <c r="W16">
        <f t="shared" si="2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431</v>
      </c>
      <c r="F17">
        <v>1883</v>
      </c>
      <c r="K17">
        <f>41.6+34.3</f>
        <v>75.900000000000006</v>
      </c>
      <c r="N17">
        <v>75.400000000000006</v>
      </c>
      <c r="O17" s="4">
        <f t="shared" si="3"/>
        <v>9.9341238471673268E-2</v>
      </c>
      <c r="V17" t="str">
        <f t="shared" si="0"/>
        <v>0x0x0</v>
      </c>
      <c r="W17">
        <f t="shared" si="2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431</v>
      </c>
      <c r="F18">
        <v>1883</v>
      </c>
      <c r="K18">
        <v>41.2</v>
      </c>
      <c r="N18">
        <v>76</v>
      </c>
      <c r="O18" s="4">
        <f t="shared" si="3"/>
        <v>0.18446601941747573</v>
      </c>
      <c r="Q18">
        <v>14.4</v>
      </c>
      <c r="R18">
        <v>14.4</v>
      </c>
      <c r="V18" t="str">
        <f t="shared" si="0"/>
        <v>144x0x0</v>
      </c>
      <c r="W18">
        <f t="shared" si="2"/>
        <v>9</v>
      </c>
      <c r="Y18" t="str">
        <f>CONCATENATE(VLOOKUP(W18,'Articulated Lengths'!$A$2:$B$16, 2, FALSE),IF(X18&lt;&gt;"",CONCATENATE(",",VLOOKUP(X18,$B$2:$Y$200,24,FALSE)),""))</f>
        <v>2,5,2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431</v>
      </c>
      <c r="F19">
        <v>1888</v>
      </c>
      <c r="K19">
        <v>42.6</v>
      </c>
      <c r="N19">
        <v>88</v>
      </c>
      <c r="O19" s="4">
        <f t="shared" si="3"/>
        <v>0.20657276995305165</v>
      </c>
      <c r="Q19">
        <v>14.99</v>
      </c>
      <c r="R19">
        <v>14.99</v>
      </c>
      <c r="V19" t="str">
        <f t="shared" si="0"/>
        <v>149x0x0</v>
      </c>
      <c r="W19">
        <f t="shared" si="2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431</v>
      </c>
      <c r="F20">
        <v>1891</v>
      </c>
      <c r="O20" s="4" t="str">
        <f t="shared" si="3"/>
        <v/>
      </c>
      <c r="V20" t="str">
        <f t="shared" si="0"/>
        <v>0x0x0</v>
      </c>
      <c r="W20">
        <f t="shared" ref="W20:W83" si="4">CEILING((R20/57)*32,1)</f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378</v>
      </c>
      <c r="C21" t="s">
        <v>213</v>
      </c>
      <c r="E21" t="s">
        <v>431</v>
      </c>
      <c r="F21">
        <v>1896</v>
      </c>
      <c r="K21">
        <v>48</v>
      </c>
      <c r="N21">
        <v>68</v>
      </c>
      <c r="O21" s="4">
        <f t="shared" si="3"/>
        <v>0.14166666666666666</v>
      </c>
      <c r="P21">
        <v>90</v>
      </c>
      <c r="V21" t="str">
        <f t="shared" si="0"/>
        <v>0x0x0</v>
      </c>
      <c r="W21">
        <f t="shared" si="4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431</v>
      </c>
      <c r="F22">
        <v>1897</v>
      </c>
      <c r="G22">
        <v>1911</v>
      </c>
      <c r="N22">
        <v>87</v>
      </c>
      <c r="O22" s="4" t="str">
        <f t="shared" si="3"/>
        <v/>
      </c>
      <c r="Q22">
        <v>10.5</v>
      </c>
      <c r="R22">
        <v>10.5</v>
      </c>
      <c r="V22" t="str">
        <f t="shared" si="0"/>
        <v>105x0x0</v>
      </c>
      <c r="W22">
        <f t="shared" si="4"/>
        <v>6</v>
      </c>
      <c r="Y22" t="str">
        <f>CONCATENATE(VLOOKUP(W22,'Articulated Lengths'!$A$2:$B$16, 2, FALSE),IF(X22&lt;&gt;"",CONCATENATE(",",VLOOKUP(X22,$B$2:$Y$200,24,FALSE)),""))</f>
        <v>2,3,2</v>
      </c>
      <c r="AA22">
        <v>10</v>
      </c>
      <c r="AB22">
        <v>10</v>
      </c>
    </row>
    <row r="23" spans="1:28" x14ac:dyDescent="0.25">
      <c r="A23" t="s">
        <v>13</v>
      </c>
      <c r="B23" t="s">
        <v>377</v>
      </c>
      <c r="C23" t="s">
        <v>213</v>
      </c>
      <c r="E23" t="s">
        <v>431</v>
      </c>
      <c r="F23">
        <v>1899</v>
      </c>
      <c r="O23" s="4" t="str">
        <f t="shared" si="3"/>
        <v/>
      </c>
      <c r="V23" t="str">
        <f t="shared" si="0"/>
        <v>0x0x0</v>
      </c>
      <c r="W23">
        <f t="shared" si="4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376</v>
      </c>
      <c r="C24" t="s">
        <v>213</v>
      </c>
      <c r="E24" t="s">
        <v>431</v>
      </c>
      <c r="F24">
        <v>1902</v>
      </c>
      <c r="N24">
        <v>97</v>
      </c>
      <c r="O24" s="4" t="str">
        <f t="shared" si="3"/>
        <v/>
      </c>
      <c r="V24" t="str">
        <f t="shared" si="0"/>
        <v>0x0x0</v>
      </c>
      <c r="W24">
        <f t="shared" si="4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431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3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 t="shared" si="0"/>
        <v>115x0x58</v>
      </c>
      <c r="W25">
        <f t="shared" si="4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431</v>
      </c>
      <c r="F26">
        <v>1903</v>
      </c>
      <c r="O26" s="4" t="str">
        <f t="shared" si="3"/>
        <v/>
      </c>
      <c r="V26" t="str">
        <f t="shared" si="0"/>
        <v>0x0x0</v>
      </c>
      <c r="W26">
        <f t="shared" si="4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431</v>
      </c>
      <c r="F27">
        <v>1904</v>
      </c>
      <c r="K27">
        <v>55</v>
      </c>
      <c r="N27">
        <v>77</v>
      </c>
      <c r="O27" s="4">
        <f t="shared" si="3"/>
        <v>0.14000000000000001</v>
      </c>
      <c r="Q27">
        <v>10.02</v>
      </c>
      <c r="R27">
        <v>10.02</v>
      </c>
      <c r="V27" t="str">
        <f t="shared" si="0"/>
        <v>100x0x0</v>
      </c>
      <c r="W27">
        <f t="shared" si="4"/>
        <v>6</v>
      </c>
      <c r="Y27" t="str">
        <f>CONCATENATE(VLOOKUP(W27,'Articulated Lengths'!$A$2:$B$16, 2, FALSE),IF(X27&lt;&gt;"",CONCATENATE(",",VLOOKUP(X27,$B$2:$Y$200,24,FALSE)),""))</f>
        <v>2,3,2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431</v>
      </c>
      <c r="F28">
        <v>1904</v>
      </c>
      <c r="G28">
        <v>1914</v>
      </c>
      <c r="K28">
        <v>63.4</v>
      </c>
      <c r="N28">
        <v>95</v>
      </c>
      <c r="O28" s="4">
        <f t="shared" si="3"/>
        <v>0.14984227129337541</v>
      </c>
      <c r="V28" t="str">
        <f t="shared" si="0"/>
        <v>0x0x0</v>
      </c>
      <c r="W28">
        <f t="shared" si="4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431</v>
      </c>
      <c r="F29">
        <v>1911</v>
      </c>
      <c r="K29">
        <v>74</v>
      </c>
      <c r="N29">
        <v>139</v>
      </c>
      <c r="O29" s="4">
        <f t="shared" si="3"/>
        <v>0.18783783783783783</v>
      </c>
      <c r="Q29">
        <v>18.8</v>
      </c>
      <c r="R29">
        <v>18.8</v>
      </c>
      <c r="V29" t="str">
        <f t="shared" si="0"/>
        <v>188x0x0</v>
      </c>
      <c r="W29">
        <f t="shared" si="4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431</v>
      </c>
      <c r="F30">
        <v>1911</v>
      </c>
      <c r="G30">
        <v>1926</v>
      </c>
      <c r="K30">
        <v>87</v>
      </c>
      <c r="N30">
        <v>106</v>
      </c>
      <c r="O30" s="4">
        <f t="shared" si="3"/>
        <v>0.12183908045977011</v>
      </c>
      <c r="Q30">
        <v>13.1</v>
      </c>
      <c r="R30">
        <v>13.1</v>
      </c>
      <c r="V30" t="str">
        <f t="shared" si="0"/>
        <v>131x0x0</v>
      </c>
      <c r="W30">
        <f t="shared" si="4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431</v>
      </c>
      <c r="F31">
        <v>1911</v>
      </c>
      <c r="G31">
        <v>1914</v>
      </c>
      <c r="K31">
        <v>75</v>
      </c>
      <c r="N31">
        <v>139</v>
      </c>
      <c r="O31" s="4">
        <f t="shared" si="3"/>
        <v>0.18533333333333332</v>
      </c>
      <c r="Q31">
        <v>18.809999999999999</v>
      </c>
      <c r="R31">
        <v>18.809999999999999</v>
      </c>
      <c r="V31" t="str">
        <f t="shared" si="0"/>
        <v>188x0x0</v>
      </c>
      <c r="W31">
        <f t="shared" si="4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431</v>
      </c>
      <c r="F32">
        <v>1912</v>
      </c>
      <c r="K32">
        <v>61</v>
      </c>
      <c r="N32">
        <v>104</v>
      </c>
      <c r="O32" s="4">
        <f t="shared" si="3"/>
        <v>0.17049180327868851</v>
      </c>
      <c r="P32">
        <v>60</v>
      </c>
      <c r="V32" t="str">
        <f t="shared" si="0"/>
        <v>0x0x0</v>
      </c>
      <c r="W32">
        <f t="shared" si="4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431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3"/>
        <v>0.18421052631578946</v>
      </c>
      <c r="P33">
        <v>35</v>
      </c>
      <c r="Q33">
        <v>12</v>
      </c>
      <c r="R33">
        <v>12</v>
      </c>
      <c r="V33" t="str">
        <f t="shared" si="0"/>
        <v>120x0x0</v>
      </c>
      <c r="W33">
        <f t="shared" si="4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431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3"/>
        <v>0.1984126984126984</v>
      </c>
      <c r="V34" t="str">
        <f t="shared" si="0"/>
        <v>0x0x0</v>
      </c>
      <c r="W34">
        <f t="shared" si="4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431</v>
      </c>
      <c r="F35">
        <v>1922</v>
      </c>
      <c r="G35">
        <v>1924</v>
      </c>
      <c r="N35">
        <v>119</v>
      </c>
      <c r="O35" s="4" t="str">
        <f t="shared" si="3"/>
        <v/>
      </c>
      <c r="V35" t="str">
        <f t="shared" si="0"/>
        <v>0x0x0</v>
      </c>
      <c r="W35">
        <f t="shared" si="4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431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3"/>
        <v>0.11938663745892661</v>
      </c>
      <c r="Q36">
        <v>15.8</v>
      </c>
      <c r="R36">
        <v>15.8</v>
      </c>
      <c r="V36" t="str">
        <f t="shared" si="0"/>
        <v>158x0x0</v>
      </c>
      <c r="W36">
        <f t="shared" si="4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431</v>
      </c>
      <c r="F37">
        <v>1923</v>
      </c>
      <c r="G37">
        <v>1950</v>
      </c>
      <c r="K37">
        <v>81.099999999999994</v>
      </c>
      <c r="N37">
        <v>141</v>
      </c>
      <c r="O37" s="4">
        <f t="shared" si="3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 t="shared" si="0"/>
        <v>198x0x61</v>
      </c>
      <c r="W37">
        <f t="shared" si="4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375</v>
      </c>
      <c r="C38" t="s">
        <v>213</v>
      </c>
      <c r="E38" t="s">
        <v>431</v>
      </c>
      <c r="F38">
        <v>1899</v>
      </c>
      <c r="G38">
        <v>1902</v>
      </c>
      <c r="K38">
        <v>49.5</v>
      </c>
      <c r="N38">
        <v>92</v>
      </c>
      <c r="O38" s="4">
        <f t="shared" si="3"/>
        <v>0.18585858585858586</v>
      </c>
      <c r="V38" t="str">
        <f t="shared" si="0"/>
        <v>0x0x0</v>
      </c>
      <c r="W38">
        <f t="shared" si="4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419</v>
      </c>
      <c r="D39" t="s">
        <v>428</v>
      </c>
      <c r="E39" t="s">
        <v>431</v>
      </c>
      <c r="F39">
        <v>1924</v>
      </c>
      <c r="J39">
        <v>700</v>
      </c>
      <c r="K39">
        <v>50.2</v>
      </c>
      <c r="N39">
        <v>93</v>
      </c>
      <c r="O39" s="4">
        <f t="shared" si="3"/>
        <v>0.1852589641434263</v>
      </c>
      <c r="P39">
        <v>45</v>
      </c>
      <c r="Q39">
        <v>9.57</v>
      </c>
      <c r="R39">
        <v>9.57</v>
      </c>
      <c r="V39" t="str">
        <f t="shared" si="0"/>
        <v>95x0x0</v>
      </c>
      <c r="W39">
        <f t="shared" si="4"/>
        <v>6</v>
      </c>
      <c r="Y39" t="str">
        <f>CONCATENATE(VLOOKUP(W39,'Articulated Lengths'!$A$2:$B$16, 2, FALSE),IF(X39&lt;&gt;"",CONCATENATE(",",VLOOKUP(X39,$B$2:$Y$200,24,FALSE)),""))</f>
        <v>2,3,2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419</v>
      </c>
      <c r="D40" t="s">
        <v>428</v>
      </c>
      <c r="E40" t="s">
        <v>431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3"/>
        <v>0.18548387096774194</v>
      </c>
      <c r="P40">
        <v>60</v>
      </c>
      <c r="Q40">
        <v>11.43</v>
      </c>
      <c r="R40">
        <v>11.43</v>
      </c>
      <c r="V40" t="str">
        <f t="shared" si="0"/>
        <v>114x0x0</v>
      </c>
      <c r="W40">
        <f t="shared" si="4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453</v>
      </c>
      <c r="C41" t="s">
        <v>419</v>
      </c>
      <c r="D41" t="s">
        <v>428</v>
      </c>
      <c r="E41" t="s">
        <v>431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3"/>
        <v>0.17611940298507461</v>
      </c>
      <c r="P41">
        <v>70</v>
      </c>
      <c r="Q41">
        <v>10.44</v>
      </c>
      <c r="R41">
        <v>8</v>
      </c>
      <c r="V41" t="str">
        <f>CONCATENATE(INT(Q41*10),"x",INT(S41*15), "x", INT(T41*15))</f>
        <v>104x0x0</v>
      </c>
      <c r="W41">
        <f>CEILING((R41/57)*32,1)</f>
        <v>5</v>
      </c>
      <c r="X41" t="s">
        <v>447</v>
      </c>
      <c r="Y41" t="str">
        <f>CONCATENATE(VLOOKUP(W41,'Articulated Lengths'!$A$2:$B$16, 2, FALSE),IF(X41&lt;&gt;"",CONCATENATE(",",VLOOKUP(X41,$B$2:$Y$200,24,FALSE)),""))</f>
        <v>1,3,1,1,3,1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431</v>
      </c>
      <c r="F42">
        <v>1927</v>
      </c>
      <c r="K42">
        <v>66</v>
      </c>
      <c r="N42">
        <v>96</v>
      </c>
      <c r="O42" s="4">
        <f t="shared" si="3"/>
        <v>0.14545454545454545</v>
      </c>
      <c r="Q42">
        <v>17.899999999999999</v>
      </c>
      <c r="R42">
        <v>17.899999999999999</v>
      </c>
      <c r="V42" t="str">
        <f t="shared" ref="V42:V105" si="5">CONCATENATE(INT(Q42*10),"x",INT(S42*15), "x", INT(T42*15))</f>
        <v>179x0x0</v>
      </c>
      <c r="W42">
        <f t="shared" si="4"/>
        <v>11</v>
      </c>
      <c r="Y42" t="str">
        <f>CONCATENATE(VLOOKUP(W42,'Articulated Lengths'!$A$2:$B$16, 2, FALSE),IF(X42&lt;&gt;"",CONCATENATE(",",VLOOKUP(X42,$B$2:$Y$200,24,FALSE)),""))</f>
        <v>3,5,3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431</v>
      </c>
      <c r="F43">
        <v>1927</v>
      </c>
      <c r="G43">
        <v>1936</v>
      </c>
      <c r="K43">
        <v>90.4</v>
      </c>
      <c r="N43">
        <v>179</v>
      </c>
      <c r="O43" s="4">
        <f t="shared" si="3"/>
        <v>0.19800884955752213</v>
      </c>
      <c r="Q43">
        <v>20.78</v>
      </c>
      <c r="R43">
        <v>20.78</v>
      </c>
      <c r="T43">
        <v>4.08</v>
      </c>
      <c r="V43" t="str">
        <f t="shared" si="5"/>
        <v>207x0x61</v>
      </c>
      <c r="W43">
        <f t="shared" si="4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399</v>
      </c>
      <c r="C44" t="s">
        <v>213</v>
      </c>
      <c r="E44" t="s">
        <v>431</v>
      </c>
      <c r="F44">
        <v>1927</v>
      </c>
      <c r="G44">
        <v>1934</v>
      </c>
      <c r="K44">
        <v>87.6</v>
      </c>
      <c r="N44">
        <v>102</v>
      </c>
      <c r="O44" s="4">
        <f t="shared" si="3"/>
        <v>0.11643835616438356</v>
      </c>
      <c r="Q44">
        <v>14.4</v>
      </c>
      <c r="R44">
        <v>14.4</v>
      </c>
      <c r="V44" t="str">
        <f t="shared" si="5"/>
        <v>144x0x0</v>
      </c>
      <c r="W44">
        <f t="shared" si="4"/>
        <v>9</v>
      </c>
      <c r="Y44" t="str">
        <f>CONCATENATE(VLOOKUP(W44,'Articulated Lengths'!$A$2:$B$16, 2, FALSE),IF(X44&lt;&gt;"",CONCATENATE(",",VLOOKUP(X44,$B$2:$Y$200,24,FALSE)),""))</f>
        <v>2,5,2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431</v>
      </c>
      <c r="F45">
        <v>1928</v>
      </c>
      <c r="G45">
        <v>1943</v>
      </c>
      <c r="K45">
        <v>76.2</v>
      </c>
      <c r="N45">
        <v>121</v>
      </c>
      <c r="O45" s="4">
        <f t="shared" si="3"/>
        <v>0.15879265091863518</v>
      </c>
      <c r="Q45">
        <v>19.2</v>
      </c>
      <c r="R45">
        <v>19.2</v>
      </c>
      <c r="T45">
        <v>4.04</v>
      </c>
      <c r="V45" t="str">
        <f t="shared" si="5"/>
        <v>192x0x60</v>
      </c>
      <c r="W45">
        <f t="shared" si="4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431</v>
      </c>
      <c r="F46">
        <v>1928</v>
      </c>
      <c r="G46">
        <v>1935</v>
      </c>
      <c r="K46">
        <v>92.8</v>
      </c>
      <c r="N46">
        <v>146</v>
      </c>
      <c r="O46" s="4">
        <f t="shared" si="3"/>
        <v>0.15732758620689655</v>
      </c>
      <c r="P46">
        <v>108</v>
      </c>
      <c r="Q46">
        <v>21.46</v>
      </c>
      <c r="R46">
        <v>21.46</v>
      </c>
      <c r="V46" t="str">
        <f t="shared" si="5"/>
        <v>214x0x0</v>
      </c>
      <c r="W46">
        <f t="shared" si="4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431</v>
      </c>
      <c r="F47">
        <v>1929</v>
      </c>
      <c r="G47">
        <v>1950</v>
      </c>
      <c r="K47">
        <v>48.3</v>
      </c>
      <c r="N47">
        <v>100</v>
      </c>
      <c r="O47" s="4">
        <f t="shared" si="3"/>
        <v>0.20703933747412009</v>
      </c>
      <c r="Q47">
        <v>9.5</v>
      </c>
      <c r="R47">
        <v>9.5</v>
      </c>
      <c r="T47">
        <v>3.7349999999999999</v>
      </c>
      <c r="V47" t="str">
        <f t="shared" si="5"/>
        <v>95x0x56</v>
      </c>
      <c r="W47">
        <f t="shared" si="4"/>
        <v>6</v>
      </c>
      <c r="Y47" t="str">
        <f>CONCATENATE(VLOOKUP(W47,'Articulated Lengths'!$A$2:$B$16, 2, FALSE),IF(X47&lt;&gt;"",CONCATENATE(",",VLOOKUP(X47,$B$2:$Y$200,24,FALSE)),""))</f>
        <v>2,3,2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431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3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 t="shared" si="5"/>
        <v>179x0x59</v>
      </c>
      <c r="W48">
        <f t="shared" si="4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431</v>
      </c>
      <c r="F49">
        <v>1932</v>
      </c>
      <c r="K49">
        <v>43</v>
      </c>
      <c r="N49">
        <v>62</v>
      </c>
      <c r="O49" s="4">
        <f t="shared" si="3"/>
        <v>0.14418604651162792</v>
      </c>
      <c r="Q49">
        <v>9.1199999999999992</v>
      </c>
      <c r="R49">
        <v>9.1199999999999992</v>
      </c>
      <c r="T49">
        <v>3.82</v>
      </c>
      <c r="V49" t="str">
        <f t="shared" si="5"/>
        <v>91x0x57</v>
      </c>
      <c r="W49">
        <f t="shared" si="4"/>
        <v>6</v>
      </c>
      <c r="Y49" t="str">
        <f>CONCATENATE(VLOOKUP(W49,'Articulated Lengths'!$A$2:$B$16, 2, FALSE),IF(X49&lt;&gt;"",CONCATENATE(",",VLOOKUP(X49,$B$2:$Y$200,24,FALSE)),""))</f>
        <v>2,3,2</v>
      </c>
      <c r="AA49">
        <v>10</v>
      </c>
      <c r="AB49">
        <v>10</v>
      </c>
    </row>
    <row r="50" spans="1:28" x14ac:dyDescent="0.25">
      <c r="A50" t="s">
        <v>39</v>
      </c>
      <c r="B50" t="s">
        <v>446</v>
      </c>
      <c r="C50" t="s">
        <v>419</v>
      </c>
      <c r="D50" t="s">
        <v>428</v>
      </c>
      <c r="E50" t="s">
        <v>431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3"/>
        <v>0.15395095367847411</v>
      </c>
      <c r="P50">
        <v>85</v>
      </c>
      <c r="Q50">
        <v>11.76</v>
      </c>
      <c r="R50">
        <v>12.09</v>
      </c>
      <c r="V50" t="str">
        <f t="shared" si="5"/>
        <v>117x0x0</v>
      </c>
      <c r="W50">
        <f t="shared" si="4"/>
        <v>7</v>
      </c>
      <c r="X50" t="s">
        <v>452</v>
      </c>
      <c r="Y50" t="str">
        <f>CONCATENATE(VLOOKUP(W50,'Articulated Lengths'!$A$2:$B$16, 2, FALSE),IF(X50&lt;&gt;"",CONCATENATE(",",VLOOKUP(X50,$B$2:$Y$200,24,FALSE)),""))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445</v>
      </c>
      <c r="C51" t="s">
        <v>419</v>
      </c>
      <c r="D51" t="s">
        <v>428</v>
      </c>
      <c r="E51" t="s">
        <v>431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3"/>
        <v>0.14603960396039603</v>
      </c>
      <c r="P51">
        <v>80</v>
      </c>
      <c r="Q51">
        <v>12.09</v>
      </c>
      <c r="R51">
        <v>12.09</v>
      </c>
      <c r="V51" t="str">
        <f t="shared" si="5"/>
        <v>120x0x0</v>
      </c>
      <c r="W51">
        <f t="shared" si="4"/>
        <v>7</v>
      </c>
      <c r="X51" t="s">
        <v>447</v>
      </c>
      <c r="Y51" t="str">
        <f>CONCATENATE(VLOOKUP(W51,'Articulated Lengths'!$A$2:$B$16, 2, FALSE),IF(X51&lt;&gt;"",CONCATENATE(",",VLOOKUP(X51,$B$2:$Y$200,24,FALSE)),""))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431</v>
      </c>
      <c r="F52">
        <v>1935</v>
      </c>
      <c r="J52">
        <v>1300</v>
      </c>
      <c r="K52">
        <v>73</v>
      </c>
      <c r="N52">
        <v>144</v>
      </c>
      <c r="O52" s="4">
        <f t="shared" si="3"/>
        <v>0.19726027397260273</v>
      </c>
      <c r="Q52">
        <v>19.22</v>
      </c>
      <c r="R52">
        <v>19.22</v>
      </c>
      <c r="V52" t="str">
        <f t="shared" si="5"/>
        <v>192x0x0</v>
      </c>
      <c r="W52">
        <f t="shared" si="4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431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3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 t="shared" si="5"/>
        <v>216x0x59</v>
      </c>
      <c r="W53">
        <f t="shared" si="4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400</v>
      </c>
      <c r="C54" t="s">
        <v>213</v>
      </c>
      <c r="E54" t="s">
        <v>431</v>
      </c>
      <c r="F54">
        <v>1935</v>
      </c>
      <c r="G54">
        <v>1943</v>
      </c>
      <c r="K54">
        <v>89.2</v>
      </c>
      <c r="N54">
        <v>110</v>
      </c>
      <c r="O54" s="4">
        <f t="shared" si="3"/>
        <v>0.12331838565022421</v>
      </c>
      <c r="Q54">
        <v>14.4</v>
      </c>
      <c r="R54">
        <v>14.4</v>
      </c>
      <c r="V54" t="str">
        <f t="shared" si="5"/>
        <v>144x0x0</v>
      </c>
      <c r="W54">
        <f t="shared" si="4"/>
        <v>9</v>
      </c>
      <c r="Y54" t="str">
        <f>CONCATENATE(VLOOKUP(W54,'Articulated Lengths'!$A$2:$B$16, 2, FALSE),IF(X54&lt;&gt;"",CONCATENATE(",",VLOOKUP(X54,$B$2:$Y$200,24,FALSE)),""))</f>
        <v>2,5,2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431</v>
      </c>
      <c r="F55">
        <v>1936</v>
      </c>
      <c r="N55">
        <v>150</v>
      </c>
      <c r="O55" s="4" t="str">
        <f t="shared" si="3"/>
        <v/>
      </c>
      <c r="Q55">
        <v>20.239999999999998</v>
      </c>
      <c r="R55">
        <v>20.239999999999998</v>
      </c>
      <c r="V55" t="str">
        <f t="shared" si="5"/>
        <v>202x0x0</v>
      </c>
      <c r="W55">
        <f t="shared" si="4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431</v>
      </c>
      <c r="F56">
        <v>1936</v>
      </c>
      <c r="G56">
        <v>1939</v>
      </c>
      <c r="K56">
        <v>75.2</v>
      </c>
      <c r="N56">
        <v>128</v>
      </c>
      <c r="O56" s="4">
        <f t="shared" si="3"/>
        <v>0.1702127659574468</v>
      </c>
      <c r="Q56">
        <v>19.21</v>
      </c>
      <c r="R56">
        <v>19.21</v>
      </c>
      <c r="T56">
        <v>3.96</v>
      </c>
      <c r="V56" t="str">
        <f t="shared" si="5"/>
        <v>192x0x59</v>
      </c>
      <c r="W56">
        <f t="shared" si="4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343</v>
      </c>
      <c r="C57" t="s">
        <v>213</v>
      </c>
      <c r="E57" t="s">
        <v>431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3"/>
        <v>0.16363636363636364</v>
      </c>
      <c r="Q57">
        <v>22.49</v>
      </c>
      <c r="R57">
        <v>22.49</v>
      </c>
      <c r="T57">
        <v>4.0389999999999997</v>
      </c>
      <c r="V57" t="str">
        <f t="shared" si="5"/>
        <v>224x0x60</v>
      </c>
      <c r="W57">
        <f t="shared" si="4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431</v>
      </c>
      <c r="F58">
        <v>1941</v>
      </c>
      <c r="G58">
        <v>1949</v>
      </c>
      <c r="K58">
        <v>96.3</v>
      </c>
      <c r="N58">
        <v>167</v>
      </c>
      <c r="O58" s="4">
        <f t="shared" si="3"/>
        <v>0.17341640706126688</v>
      </c>
      <c r="P58">
        <v>105</v>
      </c>
      <c r="Q58">
        <v>21.23</v>
      </c>
      <c r="R58">
        <v>21.23</v>
      </c>
      <c r="V58" t="str">
        <f t="shared" si="5"/>
        <v>212x0x0</v>
      </c>
      <c r="W58">
        <f t="shared" si="4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431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3"/>
        <v>0.17623762376237623</v>
      </c>
      <c r="P59">
        <v>75</v>
      </c>
      <c r="V59" t="str">
        <f t="shared" si="5"/>
        <v>0x0x0</v>
      </c>
      <c r="W59">
        <f t="shared" si="4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431</v>
      </c>
      <c r="F60">
        <v>1942</v>
      </c>
      <c r="K60">
        <v>72</v>
      </c>
      <c r="N60">
        <v>119</v>
      </c>
      <c r="O60" s="4">
        <f t="shared" si="3"/>
        <v>0.16527777777777777</v>
      </c>
      <c r="V60" t="str">
        <f t="shared" si="5"/>
        <v>0x0x0</v>
      </c>
      <c r="W60">
        <f t="shared" si="4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431</v>
      </c>
      <c r="F61">
        <v>1942</v>
      </c>
      <c r="G61">
        <v>1942</v>
      </c>
      <c r="K61">
        <v>90.7</v>
      </c>
      <c r="N61">
        <v>134</v>
      </c>
      <c r="O61" s="4">
        <f t="shared" si="3"/>
        <v>0.14773980154355015</v>
      </c>
      <c r="Q61">
        <v>16.73</v>
      </c>
      <c r="R61">
        <v>16.73</v>
      </c>
      <c r="V61" t="str">
        <f t="shared" si="5"/>
        <v>167x0x0</v>
      </c>
      <c r="W61">
        <f t="shared" si="4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344</v>
      </c>
      <c r="C62" t="s">
        <v>213</v>
      </c>
      <c r="E62" t="s">
        <v>431</v>
      </c>
      <c r="F62">
        <v>1943</v>
      </c>
      <c r="G62">
        <v>1964</v>
      </c>
      <c r="K62">
        <v>49</v>
      </c>
      <c r="N62">
        <v>106</v>
      </c>
      <c r="O62" s="4">
        <f t="shared" si="3"/>
        <v>0.21632653061224491</v>
      </c>
      <c r="Q62">
        <v>9.25</v>
      </c>
      <c r="R62">
        <v>9.25</v>
      </c>
      <c r="V62" t="str">
        <f t="shared" si="5"/>
        <v>92x0x0</v>
      </c>
      <c r="W62">
        <f t="shared" si="4"/>
        <v>6</v>
      </c>
      <c r="Y62" t="str">
        <f>CONCATENATE(VLOOKUP(W62,'Articulated Lengths'!$A$2:$B$16, 2, FALSE),IF(X62&lt;&gt;"",CONCATENATE(",",VLOOKUP(X62,$B$2:$Y$200,24,FALSE)),""))</f>
        <v>2,3,2</v>
      </c>
      <c r="AA62">
        <v>10</v>
      </c>
      <c r="AB62">
        <v>10</v>
      </c>
    </row>
    <row r="63" spans="1:28" x14ac:dyDescent="0.25">
      <c r="A63" t="s">
        <v>53</v>
      </c>
      <c r="B63" t="s">
        <v>401</v>
      </c>
      <c r="C63" t="s">
        <v>213</v>
      </c>
      <c r="E63" t="s">
        <v>431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3"/>
        <v>0.21288515406162464</v>
      </c>
      <c r="Q63">
        <v>19.350000000000001</v>
      </c>
      <c r="R63">
        <v>19.350000000000001</v>
      </c>
      <c r="V63" t="str">
        <f t="shared" si="5"/>
        <v>193x0x0</v>
      </c>
      <c r="W63">
        <f t="shared" si="4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374</v>
      </c>
      <c r="C64" t="s">
        <v>213</v>
      </c>
      <c r="E64" t="s">
        <v>431</v>
      </c>
      <c r="F64">
        <v>1944</v>
      </c>
      <c r="G64">
        <v>1950</v>
      </c>
      <c r="K64">
        <v>77</v>
      </c>
      <c r="N64">
        <v>121</v>
      </c>
      <c r="O64" s="4">
        <f t="shared" si="3"/>
        <v>0.15714285714285714</v>
      </c>
      <c r="Q64">
        <v>19.2</v>
      </c>
      <c r="R64">
        <v>19.2</v>
      </c>
      <c r="T64">
        <v>4.01</v>
      </c>
      <c r="V64" t="str">
        <f t="shared" si="5"/>
        <v>192x0x60</v>
      </c>
      <c r="W64">
        <f t="shared" si="4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431</v>
      </c>
      <c r="F65">
        <v>1945</v>
      </c>
      <c r="K65">
        <v>78.099999999999994</v>
      </c>
      <c r="N65">
        <v>145</v>
      </c>
      <c r="O65" s="4">
        <f t="shared" si="3"/>
        <v>0.1856594110115237</v>
      </c>
      <c r="Q65">
        <v>19.21</v>
      </c>
      <c r="R65">
        <v>19.21</v>
      </c>
      <c r="T65">
        <v>4.08</v>
      </c>
      <c r="V65" t="str">
        <f t="shared" si="5"/>
        <v>192x0x61</v>
      </c>
      <c r="W65">
        <f t="shared" si="4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431</v>
      </c>
      <c r="F66">
        <v>1945</v>
      </c>
      <c r="G66">
        <v>1951</v>
      </c>
      <c r="K66">
        <v>87.4</v>
      </c>
      <c r="N66">
        <v>138</v>
      </c>
      <c r="O66" s="4">
        <f t="shared" si="3"/>
        <v>0.15789473684210525</v>
      </c>
      <c r="Q66">
        <v>20.54</v>
      </c>
      <c r="R66">
        <v>20.54</v>
      </c>
      <c r="V66" t="str">
        <f t="shared" si="5"/>
        <v>205x0x0</v>
      </c>
      <c r="W66">
        <f t="shared" si="4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431</v>
      </c>
      <c r="F67">
        <v>1946</v>
      </c>
      <c r="G67">
        <v>1949</v>
      </c>
      <c r="K67">
        <v>152</v>
      </c>
      <c r="N67">
        <v>117</v>
      </c>
      <c r="O67" s="4">
        <f t="shared" si="3"/>
        <v>7.6973684210526319E-2</v>
      </c>
      <c r="Q67">
        <v>20.420000000000002</v>
      </c>
      <c r="R67">
        <v>20.420000000000002</v>
      </c>
      <c r="V67" t="str">
        <f t="shared" si="5"/>
        <v>204x0x0</v>
      </c>
      <c r="W67">
        <f t="shared" si="4"/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431</v>
      </c>
      <c r="F68">
        <v>1946</v>
      </c>
      <c r="G68">
        <v>1953</v>
      </c>
      <c r="K68">
        <v>48</v>
      </c>
      <c r="N68">
        <v>77</v>
      </c>
      <c r="O68" s="4">
        <f t="shared" si="3"/>
        <v>0.16041666666666668</v>
      </c>
      <c r="Q68">
        <v>16.2</v>
      </c>
      <c r="R68">
        <v>16.2</v>
      </c>
      <c r="V68" t="str">
        <f t="shared" si="5"/>
        <v>162x0x0</v>
      </c>
      <c r="W68">
        <f t="shared" si="4"/>
        <v>10</v>
      </c>
      <c r="Y68" t="str">
        <f>CONCATENATE(VLOOKUP(W68,'Articulated Lengths'!$A$2:$B$16, 2, FALSE),IF(X68&lt;&gt;"",CONCATENATE(",",VLOOKUP(X68,$B$2:$Y$200,24,FALSE)),""))</f>
        <v>3,4,3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431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3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 t="shared" si="5"/>
        <v>186x0x59</v>
      </c>
      <c r="W69">
        <f t="shared" si="4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431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3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 t="shared" si="5"/>
        <v>222x0x59</v>
      </c>
      <c r="W70">
        <f t="shared" si="4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402</v>
      </c>
      <c r="C71" t="s">
        <v>419</v>
      </c>
      <c r="D71" t="s">
        <v>454</v>
      </c>
      <c r="E71" t="s">
        <v>455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3"/>
        <v>0.22396416573348266</v>
      </c>
      <c r="P71">
        <v>65</v>
      </c>
      <c r="Q71">
        <v>15.34</v>
      </c>
      <c r="R71">
        <v>15.34</v>
      </c>
      <c r="V71" t="str">
        <f t="shared" si="5"/>
        <v>153x0x0</v>
      </c>
      <c r="W71">
        <f t="shared" si="4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345</v>
      </c>
      <c r="C72" t="s">
        <v>213</v>
      </c>
      <c r="E72" t="s">
        <v>431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3"/>
        <v>0.13567615658362989</v>
      </c>
      <c r="Q72">
        <v>20.96</v>
      </c>
      <c r="R72">
        <v>20.96</v>
      </c>
      <c r="T72">
        <v>3.98</v>
      </c>
      <c r="V72" t="str">
        <f t="shared" si="5"/>
        <v>209x0x59</v>
      </c>
      <c r="W72">
        <f t="shared" si="4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346</v>
      </c>
      <c r="C73" t="s">
        <v>213</v>
      </c>
      <c r="E73" t="s">
        <v>431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3"/>
        <v>0.14973821989528796</v>
      </c>
      <c r="Q73">
        <v>20.96</v>
      </c>
      <c r="R73">
        <v>20.96</v>
      </c>
      <c r="T73">
        <v>3.98</v>
      </c>
      <c r="V73" t="str">
        <f t="shared" si="5"/>
        <v>209x0x59</v>
      </c>
      <c r="W73">
        <f t="shared" si="4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419</v>
      </c>
      <c r="D74" t="s">
        <v>429</v>
      </c>
      <c r="E74" t="s">
        <v>431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3"/>
        <v>0.32128514056224899</v>
      </c>
      <c r="P74">
        <v>20</v>
      </c>
      <c r="Q74">
        <v>8.92</v>
      </c>
      <c r="R74">
        <v>8.92</v>
      </c>
      <c r="S74">
        <v>2.59</v>
      </c>
      <c r="T74">
        <v>3.87</v>
      </c>
      <c r="V74" t="str">
        <f t="shared" si="5"/>
        <v>89x38x58</v>
      </c>
      <c r="W74">
        <f t="shared" si="4"/>
        <v>6</v>
      </c>
      <c r="Y74" t="str">
        <f>CONCATENATE(VLOOKUP(W74,'Articulated Lengths'!$A$2:$B$16, 2, FALSE),IF(X74&lt;&gt;"",CONCATENATE(",",VLOOKUP(X74,$B$2:$Y$200,24,FALSE)),""))</f>
        <v>2,3,2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403</v>
      </c>
      <c r="C75" t="s">
        <v>213</v>
      </c>
      <c r="E75" t="s">
        <v>431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3"/>
        <v>0.19212295869356388</v>
      </c>
      <c r="P75">
        <v>90</v>
      </c>
      <c r="Q75">
        <v>17.98</v>
      </c>
      <c r="R75">
        <v>17.98</v>
      </c>
      <c r="V75" t="str">
        <f t="shared" si="5"/>
        <v>179x0x0</v>
      </c>
      <c r="W75">
        <f t="shared" si="4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431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3"/>
        <v>0.19555555555555557</v>
      </c>
      <c r="P76">
        <v>90</v>
      </c>
      <c r="Q76">
        <v>20.170000000000002</v>
      </c>
      <c r="R76">
        <v>20.170000000000002</v>
      </c>
      <c r="V76" t="str">
        <f t="shared" si="5"/>
        <v>201x0x0</v>
      </c>
      <c r="W76">
        <f t="shared" si="4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424</v>
      </c>
      <c r="C77" t="s">
        <v>213</v>
      </c>
      <c r="E77" t="s">
        <v>431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6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 t="shared" si="5"/>
        <v>211x0x58</v>
      </c>
      <c r="W77">
        <f t="shared" si="4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431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6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 t="shared" si="5"/>
        <v>173x0x57</v>
      </c>
      <c r="W78">
        <f t="shared" si="4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422</v>
      </c>
      <c r="C79" t="s">
        <v>419</v>
      </c>
      <c r="D79" t="s">
        <v>429</v>
      </c>
      <c r="E79" t="s">
        <v>431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6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 t="shared" si="5"/>
        <v>142x40x57</v>
      </c>
      <c r="W79">
        <f t="shared" si="4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431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6"/>
        <v>0.37555555555555553</v>
      </c>
      <c r="P80">
        <v>90</v>
      </c>
      <c r="Q80">
        <v>20.74</v>
      </c>
      <c r="R80">
        <v>20.74</v>
      </c>
      <c r="V80" t="str">
        <f t="shared" si="5"/>
        <v>207x0x0</v>
      </c>
      <c r="W80">
        <f t="shared" si="4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431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6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 t="shared" si="5"/>
        <v>182x0x55</v>
      </c>
      <c r="W81">
        <f t="shared" si="4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431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6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 t="shared" si="5"/>
        <v>211x0x58</v>
      </c>
      <c r="W82">
        <f t="shared" si="4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268</v>
      </c>
      <c r="C83" t="s">
        <v>213</v>
      </c>
      <c r="E83" t="s">
        <v>431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6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 t="shared" si="5"/>
        <v>172x0x55</v>
      </c>
      <c r="W83">
        <f t="shared" si="4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347</v>
      </c>
      <c r="C84" t="s">
        <v>213</v>
      </c>
      <c r="E84" t="s">
        <v>431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6"/>
        <v>0.24923312883435583</v>
      </c>
      <c r="P84">
        <v>90</v>
      </c>
      <c r="V84" t="str">
        <f t="shared" si="5"/>
        <v>0x0x0</v>
      </c>
      <c r="W84">
        <f t="shared" ref="W84:W147" si="7">CEILING((R84/57)*32,1)</f>
        <v>0</v>
      </c>
      <c r="Y84" t="str">
        <f>CONCATENATE(VLOOKUP(W84,'Articulated Lengths'!$A$2:$B$16, 2, FALSE),IF(X84&lt;&gt;"",CONCATENATE(",",VLOOKUP(X84,$B$2:$Y$200,24,FALSE)),""))</f>
        <v>na</v>
      </c>
      <c r="AA84">
        <v>10</v>
      </c>
      <c r="AB84">
        <v>10</v>
      </c>
    </row>
    <row r="85" spans="1:28" x14ac:dyDescent="0.25">
      <c r="A85" t="s">
        <v>65</v>
      </c>
      <c r="B85" t="s">
        <v>423</v>
      </c>
      <c r="C85" t="s">
        <v>213</v>
      </c>
      <c r="E85" t="s">
        <v>431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6"/>
        <v>0.27792553191489361</v>
      </c>
      <c r="P85">
        <v>75</v>
      </c>
      <c r="Q85">
        <v>16</v>
      </c>
      <c r="R85">
        <v>16</v>
      </c>
      <c r="T85">
        <v>3.86</v>
      </c>
      <c r="V85" t="str">
        <f t="shared" si="5"/>
        <v>160x0x57</v>
      </c>
      <c r="W85">
        <f t="shared" si="7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348</v>
      </c>
      <c r="C86" t="s">
        <v>213</v>
      </c>
      <c r="E86" t="s">
        <v>431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6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 t="shared" si="5"/>
        <v>172x0x56</v>
      </c>
      <c r="W86">
        <f t="shared" si="7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418</v>
      </c>
      <c r="C87" t="s">
        <v>419</v>
      </c>
      <c r="D87" t="s">
        <v>429</v>
      </c>
      <c r="E87" t="s">
        <v>431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6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 t="shared" si="5"/>
        <v>187x40x58</v>
      </c>
      <c r="W87">
        <f t="shared" si="7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269</v>
      </c>
      <c r="C88" t="s">
        <v>213</v>
      </c>
      <c r="E88" t="s">
        <v>431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6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 t="shared" si="5"/>
        <v>207x0x58</v>
      </c>
      <c r="W88">
        <f t="shared" si="7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270</v>
      </c>
      <c r="C89" t="s">
        <v>213</v>
      </c>
      <c r="E89" t="s">
        <v>431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6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 t="shared" si="5"/>
        <v>154x0x57</v>
      </c>
      <c r="W89">
        <f t="shared" si="7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373</v>
      </c>
      <c r="C90" t="s">
        <v>213</v>
      </c>
      <c r="E90" t="s">
        <v>431</v>
      </c>
      <c r="F90">
        <v>1960</v>
      </c>
      <c r="J90">
        <v>1000</v>
      </c>
      <c r="K90">
        <v>304</v>
      </c>
      <c r="O90" s="4" t="str">
        <f t="shared" si="6"/>
        <v/>
      </c>
      <c r="P90">
        <v>90</v>
      </c>
      <c r="V90" t="str">
        <f t="shared" si="5"/>
        <v>0x0x0</v>
      </c>
      <c r="W90">
        <f t="shared" si="7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271</v>
      </c>
      <c r="C91" t="s">
        <v>213</v>
      </c>
      <c r="E91" t="s">
        <v>431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6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 t="shared" si="5"/>
        <v>157x0x58</v>
      </c>
      <c r="W91">
        <f t="shared" si="7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272</v>
      </c>
      <c r="C92" t="s">
        <v>213</v>
      </c>
      <c r="E92" t="s">
        <v>431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6"/>
        <v>0.27</v>
      </c>
      <c r="P92">
        <v>90</v>
      </c>
      <c r="Q92">
        <v>20.73</v>
      </c>
      <c r="R92">
        <v>20.73</v>
      </c>
      <c r="T92">
        <v>3.96</v>
      </c>
      <c r="V92" t="str">
        <f t="shared" si="5"/>
        <v>207x0x59</v>
      </c>
      <c r="W92">
        <f t="shared" si="7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273</v>
      </c>
      <c r="C93" t="s">
        <v>213</v>
      </c>
      <c r="E93" t="s">
        <v>431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6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 t="shared" si="5"/>
        <v>153x0x57</v>
      </c>
      <c r="W93">
        <f t="shared" si="7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274</v>
      </c>
      <c r="C94" t="s">
        <v>213</v>
      </c>
      <c r="E94" t="s">
        <v>431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6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 t="shared" si="5"/>
        <v>154x0x57</v>
      </c>
      <c r="W94">
        <f t="shared" si="7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275</v>
      </c>
      <c r="C95" t="s">
        <v>213</v>
      </c>
      <c r="E95" t="s">
        <v>431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6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 t="shared" si="5"/>
        <v>193x0x58</v>
      </c>
      <c r="W95">
        <f t="shared" si="7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276</v>
      </c>
      <c r="C96" t="s">
        <v>213</v>
      </c>
      <c r="E96" t="s">
        <v>431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6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 t="shared" si="5"/>
        <v>154x0x57</v>
      </c>
      <c r="W96">
        <f t="shared" si="7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277</v>
      </c>
      <c r="C97" t="s">
        <v>213</v>
      </c>
      <c r="E97" t="s">
        <v>431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6"/>
        <v>0.28247422680412371</v>
      </c>
      <c r="P97">
        <v>40</v>
      </c>
      <c r="Q97">
        <v>10.3</v>
      </c>
      <c r="R97">
        <v>10.3</v>
      </c>
      <c r="V97" t="str">
        <f t="shared" si="5"/>
        <v>103x0x0</v>
      </c>
      <c r="W97">
        <f t="shared" si="7"/>
        <v>6</v>
      </c>
      <c r="Y97" t="str">
        <f>CONCATENATE(VLOOKUP(W97,'Articulated Lengths'!$A$2:$B$16, 2, FALSE),IF(X97&lt;&gt;"",CONCATENATE(",",VLOOKUP(X97,$B$2:$Y$200,24,FALSE)),""))</f>
        <v>2,3,2</v>
      </c>
      <c r="AA97">
        <v>10</v>
      </c>
      <c r="AB97">
        <v>10</v>
      </c>
    </row>
    <row r="98" spans="1:28" x14ac:dyDescent="0.25">
      <c r="A98" t="s">
        <v>83</v>
      </c>
      <c r="B98" t="s">
        <v>404</v>
      </c>
      <c r="C98" t="s">
        <v>213</v>
      </c>
      <c r="E98" t="s">
        <v>431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6"/>
        <v>0.24377457404980341</v>
      </c>
      <c r="P98">
        <v>80</v>
      </c>
      <c r="Q98">
        <v>16.36</v>
      </c>
      <c r="R98">
        <v>16.36</v>
      </c>
      <c r="V98" t="str">
        <f t="shared" si="5"/>
        <v>163x0x0</v>
      </c>
      <c r="W98">
        <f t="shared" si="7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405</v>
      </c>
      <c r="C99" t="s">
        <v>213</v>
      </c>
      <c r="E99" t="s">
        <v>431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6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 t="shared" si="5"/>
        <v>178x0x56</v>
      </c>
      <c r="W99">
        <f t="shared" si="7"/>
        <v>11</v>
      </c>
      <c r="Y99" t="str">
        <f>CONCATENATE(VLOOKUP(W99,'Articulated Lengths'!$A$2:$B$16, 2, FALSE),IF(X99&lt;&gt;"",CONCATENATE(",",VLOOKUP(X99,$B$2:$Y$200,24,FALSE)),""))</f>
        <v>3,5,3</v>
      </c>
      <c r="AA99">
        <v>10</v>
      </c>
      <c r="AB99">
        <v>10</v>
      </c>
    </row>
    <row r="100" spans="1:28" x14ac:dyDescent="0.25">
      <c r="A100" t="s">
        <v>69</v>
      </c>
      <c r="B100" t="s">
        <v>278</v>
      </c>
      <c r="C100" t="s">
        <v>213</v>
      </c>
      <c r="E100" t="s">
        <v>431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6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 t="shared" si="5"/>
        <v>208x0x58</v>
      </c>
      <c r="W100">
        <f t="shared" si="7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279</v>
      </c>
      <c r="C101" t="s">
        <v>213</v>
      </c>
      <c r="E101" t="s">
        <v>431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6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 t="shared" si="5"/>
        <v>178x0x56</v>
      </c>
      <c r="W101">
        <f t="shared" si="7"/>
        <v>11</v>
      </c>
      <c r="Y101" t="str">
        <f>CONCATENATE(VLOOKUP(W101,'Articulated Lengths'!$A$2:$B$16, 2, FALSE),IF(X101&lt;&gt;"",CONCATENATE(",",VLOOKUP(X101,$B$2:$Y$200,24,FALSE)),""))</f>
        <v>3,5,3</v>
      </c>
      <c r="AA101">
        <v>10</v>
      </c>
      <c r="AB101">
        <v>10</v>
      </c>
    </row>
    <row r="102" spans="1:28" x14ac:dyDescent="0.25">
      <c r="A102" t="s">
        <v>60</v>
      </c>
      <c r="B102" t="s">
        <v>280</v>
      </c>
      <c r="C102" t="s">
        <v>213</v>
      </c>
      <c r="E102" t="s">
        <v>431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6"/>
        <v>0.22775800711743771</v>
      </c>
      <c r="P102">
        <v>125</v>
      </c>
      <c r="Q102">
        <v>17.79</v>
      </c>
      <c r="R102">
        <v>17.79</v>
      </c>
      <c r="V102" t="str">
        <f t="shared" si="5"/>
        <v>177x0x0</v>
      </c>
      <c r="W102">
        <f t="shared" si="7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281</v>
      </c>
      <c r="C103" t="s">
        <v>213</v>
      </c>
      <c r="E103" t="s">
        <v>431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6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 t="shared" si="5"/>
        <v>193x0x58</v>
      </c>
      <c r="W103">
        <f t="shared" si="7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282</v>
      </c>
      <c r="C104" t="s">
        <v>213</v>
      </c>
      <c r="E104" t="s">
        <v>431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6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 t="shared" si="5"/>
        <v>191x0x58</v>
      </c>
      <c r="W104">
        <f t="shared" si="7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283</v>
      </c>
      <c r="C105" t="s">
        <v>213</v>
      </c>
      <c r="E105" t="s">
        <v>431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6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 t="shared" si="5"/>
        <v>214x0x58</v>
      </c>
      <c r="W105">
        <f t="shared" si="7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284</v>
      </c>
      <c r="C106" t="s">
        <v>213</v>
      </c>
      <c r="E106" t="s">
        <v>431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6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 t="shared" ref="V106:V169" si="8">CONCATENATE(INT(Q106*10),"x",INT(S106*15), "x", INT(T106*15))</f>
        <v>187x0x59</v>
      </c>
      <c r="W106">
        <f t="shared" si="7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372</v>
      </c>
      <c r="C107" t="s">
        <v>213</v>
      </c>
      <c r="E107" t="s">
        <v>431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6"/>
        <v>0.23312883435582821</v>
      </c>
      <c r="P107">
        <v>140</v>
      </c>
      <c r="Q107">
        <v>19.399999999999999</v>
      </c>
      <c r="R107">
        <v>19.399999999999999</v>
      </c>
      <c r="V107" t="str">
        <f t="shared" si="8"/>
        <v>194x0x0</v>
      </c>
      <c r="W107">
        <f t="shared" si="7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285</v>
      </c>
      <c r="C108" t="s">
        <v>213</v>
      </c>
      <c r="E108" t="s">
        <v>431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6"/>
        <v>0.2857142857142857</v>
      </c>
      <c r="P108">
        <v>87</v>
      </c>
      <c r="Q108">
        <v>21.36</v>
      </c>
      <c r="R108">
        <v>21.36</v>
      </c>
      <c r="V108" t="str">
        <f t="shared" si="8"/>
        <v>213x0x0</v>
      </c>
      <c r="W108">
        <f t="shared" si="7"/>
        <v>12</v>
      </c>
      <c r="Y108" t="str">
        <f>CONCATENATE(VLOOKUP(W108,'Articulated Lengths'!$A$2:$B$16, 2, FALSE),IF(X108&lt;&gt;"",CONCATENATE(",",VLOOKUP(X108,$B$2:$Y$200,24,FALSE)),""))</f>
        <v>3,6,3</v>
      </c>
      <c r="AA108">
        <v>10</v>
      </c>
      <c r="AB108">
        <v>10</v>
      </c>
    </row>
    <row r="109" spans="1:28" x14ac:dyDescent="0.25">
      <c r="A109" t="s">
        <v>73</v>
      </c>
      <c r="B109" t="s">
        <v>286</v>
      </c>
      <c r="C109" t="s">
        <v>213</v>
      </c>
      <c r="E109" t="s">
        <v>431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6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 t="shared" si="8"/>
        <v>214x0x58</v>
      </c>
      <c r="W109">
        <f t="shared" si="7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371</v>
      </c>
      <c r="C110" t="s">
        <v>213</v>
      </c>
      <c r="E110" t="s">
        <v>431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6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 t="shared" si="8"/>
        <v>193x0x58</v>
      </c>
      <c r="W110">
        <f t="shared" si="7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287</v>
      </c>
      <c r="C111" t="s">
        <v>213</v>
      </c>
      <c r="E111" t="s">
        <v>431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6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 t="shared" si="8"/>
        <v>197x0x58</v>
      </c>
      <c r="W111">
        <f t="shared" si="7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288</v>
      </c>
      <c r="C112" t="s">
        <v>213</v>
      </c>
      <c r="E112" t="s">
        <v>431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6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 t="shared" si="8"/>
        <v>212x0x58</v>
      </c>
      <c r="W112">
        <f t="shared" si="7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289</v>
      </c>
      <c r="C113" t="s">
        <v>213</v>
      </c>
      <c r="E113" t="s">
        <v>431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6"/>
        <v>0.36860465116279068</v>
      </c>
      <c r="P113">
        <v>100</v>
      </c>
      <c r="V113" t="str">
        <f t="shared" si="8"/>
        <v>0x0x0</v>
      </c>
      <c r="W113">
        <f t="shared" si="7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290</v>
      </c>
      <c r="C114" t="s">
        <v>213</v>
      </c>
      <c r="E114" t="s">
        <v>431</v>
      </c>
      <c r="F114">
        <v>1933</v>
      </c>
      <c r="G114">
        <v>1942</v>
      </c>
      <c r="J114">
        <v>260</v>
      </c>
      <c r="O114" s="4" t="str">
        <f t="shared" si="6"/>
        <v/>
      </c>
      <c r="V114" t="str">
        <f t="shared" si="8"/>
        <v>0x0x0</v>
      </c>
      <c r="W114">
        <f t="shared" si="7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379</v>
      </c>
      <c r="C115" t="s">
        <v>213</v>
      </c>
      <c r="E115" t="s">
        <v>431</v>
      </c>
      <c r="F115">
        <v>1914</v>
      </c>
      <c r="J115">
        <v>1000</v>
      </c>
      <c r="O115" s="4" t="str">
        <f t="shared" si="6"/>
        <v/>
      </c>
      <c r="V115" t="str">
        <f t="shared" si="8"/>
        <v>0x0x0</v>
      </c>
      <c r="W115">
        <f t="shared" si="7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366</v>
      </c>
      <c r="C116" t="s">
        <v>213</v>
      </c>
      <c r="E116" t="s">
        <v>431</v>
      </c>
      <c r="F116">
        <v>1932</v>
      </c>
      <c r="H116">
        <v>1972</v>
      </c>
      <c r="J116">
        <v>1800</v>
      </c>
      <c r="K116">
        <v>253</v>
      </c>
      <c r="O116" s="4" t="str">
        <f t="shared" si="6"/>
        <v/>
      </c>
      <c r="P116">
        <v>75</v>
      </c>
      <c r="U116">
        <f>40+132</f>
        <v>172</v>
      </c>
      <c r="V116" t="str">
        <f t="shared" si="8"/>
        <v>0x0x0</v>
      </c>
      <c r="W116">
        <f t="shared" si="7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367</v>
      </c>
      <c r="C117" t="s">
        <v>213</v>
      </c>
      <c r="E117" t="s">
        <v>431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6"/>
        <v/>
      </c>
      <c r="P117">
        <v>75</v>
      </c>
      <c r="V117" t="str">
        <f t="shared" si="8"/>
        <v>0x0x0</v>
      </c>
      <c r="W117">
        <f t="shared" si="7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368</v>
      </c>
      <c r="C118" t="s">
        <v>213</v>
      </c>
      <c r="E118" t="s">
        <v>431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6"/>
        <v/>
      </c>
      <c r="U118">
        <f>32+102</f>
        <v>134</v>
      </c>
      <c r="V118" t="str">
        <f t="shared" si="8"/>
        <v>0x0x0</v>
      </c>
      <c r="W118">
        <f t="shared" si="7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369</v>
      </c>
      <c r="C119" t="s">
        <v>213</v>
      </c>
      <c r="E119" t="s">
        <v>431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6"/>
        <v/>
      </c>
      <c r="P119">
        <v>70</v>
      </c>
      <c r="Q119">
        <v>17.37</v>
      </c>
      <c r="R119">
        <v>17.37</v>
      </c>
      <c r="T119">
        <v>3.77</v>
      </c>
      <c r="V119" t="str">
        <f t="shared" si="8"/>
        <v>173x0x56</v>
      </c>
      <c r="W119">
        <f t="shared" si="7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370</v>
      </c>
      <c r="C120" t="s">
        <v>213</v>
      </c>
      <c r="E120" t="s">
        <v>431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6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 t="shared" si="8"/>
        <v>195x0x58</v>
      </c>
      <c r="W120">
        <f t="shared" si="7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349</v>
      </c>
      <c r="C121" t="s">
        <v>213</v>
      </c>
      <c r="E121" t="s">
        <v>431</v>
      </c>
      <c r="F121">
        <v>1960</v>
      </c>
      <c r="H121">
        <v>2017</v>
      </c>
      <c r="J121">
        <v>300</v>
      </c>
      <c r="K121">
        <v>38</v>
      </c>
      <c r="O121" s="4" t="str">
        <f t="shared" si="6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 t="shared" si="8"/>
        <v>196x0x56</v>
      </c>
      <c r="W121">
        <f t="shared" si="7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291</v>
      </c>
      <c r="C122" t="s">
        <v>213</v>
      </c>
      <c r="E122" t="s">
        <v>431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6"/>
        <v/>
      </c>
      <c r="P122">
        <v>70</v>
      </c>
      <c r="Q122">
        <v>17.53</v>
      </c>
      <c r="R122">
        <v>17.53</v>
      </c>
      <c r="T122">
        <v>3.84</v>
      </c>
      <c r="V122" t="str">
        <f t="shared" si="8"/>
        <v>175x0x57</v>
      </c>
      <c r="W122">
        <f t="shared" si="7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350</v>
      </c>
      <c r="C123" t="s">
        <v>213</v>
      </c>
      <c r="E123" t="s">
        <v>431</v>
      </c>
      <c r="F123">
        <v>2003</v>
      </c>
      <c r="J123">
        <v>1600</v>
      </c>
      <c r="K123">
        <v>173.6</v>
      </c>
      <c r="O123" s="4" t="str">
        <f t="shared" si="6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 t="shared" si="8"/>
        <v>204x0x56</v>
      </c>
      <c r="W123">
        <f t="shared" si="7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380</v>
      </c>
      <c r="C124" t="s">
        <v>213</v>
      </c>
      <c r="E124" t="s">
        <v>431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6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 t="shared" si="8"/>
        <v>208x0x56</v>
      </c>
      <c r="W124">
        <f t="shared" si="7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381</v>
      </c>
      <c r="C125" t="s">
        <v>213</v>
      </c>
      <c r="E125" t="s">
        <v>431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6"/>
        <v/>
      </c>
      <c r="P125">
        <v>100</v>
      </c>
      <c r="V125" t="str">
        <f t="shared" si="8"/>
        <v>0x0x0</v>
      </c>
      <c r="W125">
        <f t="shared" si="7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382</v>
      </c>
      <c r="C126" t="s">
        <v>213</v>
      </c>
      <c r="E126" t="s">
        <v>431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6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 t="shared" si="8"/>
        <v>208x0x57</v>
      </c>
      <c r="W126">
        <f t="shared" si="7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292</v>
      </c>
      <c r="C127" t="s">
        <v>213</v>
      </c>
      <c r="E127" t="s">
        <v>431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6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 t="shared" si="8"/>
        <v>198x0x53</v>
      </c>
      <c r="W127">
        <f t="shared" si="7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293</v>
      </c>
      <c r="C128" t="s">
        <v>213</v>
      </c>
      <c r="E128" t="s">
        <v>431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6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 t="shared" si="8"/>
        <v>198x0x53</v>
      </c>
      <c r="W128">
        <f t="shared" si="7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294</v>
      </c>
      <c r="C129" t="s">
        <v>213</v>
      </c>
      <c r="E129" t="s">
        <v>431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6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 t="shared" si="8"/>
        <v>203x0x53</v>
      </c>
      <c r="W129">
        <f t="shared" si="7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351</v>
      </c>
      <c r="C130" t="s">
        <v>213</v>
      </c>
      <c r="E130" t="s">
        <v>431</v>
      </c>
      <c r="O130" s="4" t="str">
        <f t="shared" si="6"/>
        <v/>
      </c>
      <c r="V130" t="str">
        <f t="shared" si="8"/>
        <v>0x0x0</v>
      </c>
      <c r="W130">
        <f t="shared" si="7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352</v>
      </c>
      <c r="C131" t="s">
        <v>213</v>
      </c>
      <c r="E131" t="s">
        <v>431</v>
      </c>
      <c r="O131" s="4" t="str">
        <f t="shared" si="6"/>
        <v/>
      </c>
      <c r="V131" t="str">
        <f t="shared" si="8"/>
        <v>0x0x0</v>
      </c>
      <c r="W131">
        <f t="shared" si="7"/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353</v>
      </c>
      <c r="C132" t="s">
        <v>213</v>
      </c>
      <c r="E132" t="s">
        <v>431</v>
      </c>
      <c r="O132" s="4" t="str">
        <f t="shared" si="6"/>
        <v/>
      </c>
      <c r="V132" t="str">
        <f t="shared" si="8"/>
        <v>0x0x0</v>
      </c>
      <c r="W132">
        <f t="shared" si="7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354</v>
      </c>
      <c r="C133" t="s">
        <v>213</v>
      </c>
      <c r="E133" t="s">
        <v>431</v>
      </c>
      <c r="O133" s="4" t="str">
        <f t="shared" si="6"/>
        <v/>
      </c>
      <c r="V133" t="str">
        <f t="shared" si="8"/>
        <v>0x0x0</v>
      </c>
      <c r="W133">
        <f t="shared" si="7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295</v>
      </c>
      <c r="C134" t="s">
        <v>213</v>
      </c>
      <c r="E134" t="s">
        <v>431</v>
      </c>
      <c r="O134" s="4" t="str">
        <f t="shared" si="6"/>
        <v/>
      </c>
      <c r="V134" t="str">
        <f t="shared" si="8"/>
        <v>0x0x0</v>
      </c>
      <c r="W134">
        <f t="shared" si="7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296</v>
      </c>
      <c r="C135" t="s">
        <v>213</v>
      </c>
      <c r="E135" t="s">
        <v>431</v>
      </c>
      <c r="O135" s="4" t="str">
        <f t="shared" si="6"/>
        <v/>
      </c>
      <c r="V135" t="str">
        <f t="shared" si="8"/>
        <v>0x0x0</v>
      </c>
      <c r="W135">
        <f t="shared" si="7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297</v>
      </c>
      <c r="C136" t="s">
        <v>213</v>
      </c>
      <c r="E136" t="s">
        <v>431</v>
      </c>
      <c r="O136" s="4" t="str">
        <f t="shared" si="6"/>
        <v/>
      </c>
      <c r="V136" t="str">
        <f t="shared" si="8"/>
        <v>0x0x0</v>
      </c>
      <c r="W136">
        <f t="shared" si="7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406</v>
      </c>
      <c r="C137" t="s">
        <v>213</v>
      </c>
      <c r="E137" t="s">
        <v>431</v>
      </c>
      <c r="O137" s="4" t="str">
        <f t="shared" si="6"/>
        <v/>
      </c>
      <c r="V137" t="str">
        <f t="shared" si="8"/>
        <v>0x0x0</v>
      </c>
      <c r="W137">
        <f t="shared" si="7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298</v>
      </c>
      <c r="C138" t="s">
        <v>213</v>
      </c>
      <c r="E138" t="s">
        <v>431</v>
      </c>
      <c r="O138" s="4" t="str">
        <f t="shared" si="6"/>
        <v/>
      </c>
      <c r="V138" t="str">
        <f t="shared" si="8"/>
        <v>0x0x0</v>
      </c>
      <c r="W138">
        <f t="shared" si="7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408</v>
      </c>
      <c r="C139" t="s">
        <v>213</v>
      </c>
      <c r="E139" t="s">
        <v>431</v>
      </c>
      <c r="O139" s="4" t="str">
        <f t="shared" si="6"/>
        <v/>
      </c>
      <c r="V139" t="str">
        <f t="shared" si="8"/>
        <v>0x0x0</v>
      </c>
      <c r="W139">
        <f t="shared" si="7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299</v>
      </c>
      <c r="C140" t="s">
        <v>213</v>
      </c>
      <c r="E140" t="s">
        <v>431</v>
      </c>
      <c r="O140" s="4" t="str">
        <f t="shared" si="6"/>
        <v/>
      </c>
      <c r="V140" t="str">
        <f t="shared" si="8"/>
        <v>0x0x0</v>
      </c>
      <c r="W140">
        <f t="shared" si="7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357</v>
      </c>
      <c r="C141" t="s">
        <v>213</v>
      </c>
      <c r="E141" t="s">
        <v>431</v>
      </c>
      <c r="O141" s="4" t="str">
        <f t="shared" ref="O141:O200" si="9">IF(AND(K141&gt;0,N141&gt;0),(N141/(K141*10)),"")</f>
        <v/>
      </c>
      <c r="V141" t="str">
        <f t="shared" si="8"/>
        <v>0x0x0</v>
      </c>
      <c r="W141">
        <f t="shared" si="7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358</v>
      </c>
      <c r="C142" t="s">
        <v>213</v>
      </c>
      <c r="E142" t="s">
        <v>431</v>
      </c>
      <c r="O142" s="4" t="str">
        <f t="shared" si="9"/>
        <v/>
      </c>
      <c r="V142" t="str">
        <f t="shared" si="8"/>
        <v>0x0x0</v>
      </c>
      <c r="W142">
        <f t="shared" si="7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359</v>
      </c>
      <c r="C143" t="s">
        <v>213</v>
      </c>
      <c r="E143" t="s">
        <v>431</v>
      </c>
      <c r="O143" s="4" t="str">
        <f t="shared" si="9"/>
        <v/>
      </c>
      <c r="V143" t="str">
        <f t="shared" si="8"/>
        <v>0x0x0</v>
      </c>
      <c r="W143">
        <f t="shared" si="7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360</v>
      </c>
      <c r="C144" t="s">
        <v>213</v>
      </c>
      <c r="E144" t="s">
        <v>431</v>
      </c>
      <c r="O144" s="4" t="str">
        <f t="shared" si="9"/>
        <v/>
      </c>
      <c r="V144" t="str">
        <f t="shared" si="8"/>
        <v>0x0x0</v>
      </c>
      <c r="W144">
        <f t="shared" si="7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300</v>
      </c>
      <c r="C145" t="s">
        <v>213</v>
      </c>
      <c r="E145" t="s">
        <v>431</v>
      </c>
      <c r="O145" s="4" t="str">
        <f t="shared" si="9"/>
        <v/>
      </c>
      <c r="V145" t="str">
        <f t="shared" si="8"/>
        <v>0x0x0</v>
      </c>
      <c r="W145">
        <f t="shared" si="7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301</v>
      </c>
      <c r="C146" t="s">
        <v>213</v>
      </c>
      <c r="E146" t="s">
        <v>431</v>
      </c>
      <c r="O146" s="4" t="str">
        <f t="shared" si="9"/>
        <v/>
      </c>
      <c r="V146" t="str">
        <f t="shared" si="8"/>
        <v>0x0x0</v>
      </c>
      <c r="W146">
        <f t="shared" si="7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302</v>
      </c>
      <c r="C147" t="s">
        <v>213</v>
      </c>
      <c r="E147" t="s">
        <v>431</v>
      </c>
      <c r="O147" s="4" t="str">
        <f t="shared" si="9"/>
        <v/>
      </c>
      <c r="V147" t="str">
        <f t="shared" si="8"/>
        <v>0x0x0</v>
      </c>
      <c r="W147">
        <f t="shared" si="7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361</v>
      </c>
      <c r="C148" t="s">
        <v>213</v>
      </c>
      <c r="E148" t="s">
        <v>431</v>
      </c>
      <c r="O148" s="4" t="str">
        <f t="shared" si="9"/>
        <v/>
      </c>
      <c r="V148" t="str">
        <f t="shared" si="8"/>
        <v>0x0x0</v>
      </c>
      <c r="W148">
        <f t="shared" ref="W148:W187" si="10">CEILING((R148/57)*32,1)</f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356</v>
      </c>
      <c r="C149" t="s">
        <v>213</v>
      </c>
      <c r="E149" t="s">
        <v>431</v>
      </c>
      <c r="O149" s="4" t="str">
        <f t="shared" si="9"/>
        <v/>
      </c>
      <c r="V149" t="str">
        <f t="shared" si="8"/>
        <v>0x0x0</v>
      </c>
      <c r="W149">
        <f t="shared" si="10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355</v>
      </c>
      <c r="C150" t="s">
        <v>213</v>
      </c>
      <c r="E150" t="s">
        <v>431</v>
      </c>
      <c r="O150" s="4" t="str">
        <f t="shared" si="9"/>
        <v/>
      </c>
      <c r="V150" t="str">
        <f t="shared" si="8"/>
        <v>0x0x0</v>
      </c>
      <c r="W150">
        <f t="shared" si="10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365</v>
      </c>
      <c r="C151" t="s">
        <v>213</v>
      </c>
      <c r="E151" t="s">
        <v>431</v>
      </c>
      <c r="O151" s="4" t="str">
        <f t="shared" si="9"/>
        <v/>
      </c>
      <c r="V151" t="str">
        <f t="shared" si="8"/>
        <v>0x0x0</v>
      </c>
      <c r="W151">
        <f t="shared" si="10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409</v>
      </c>
      <c r="C152" t="s">
        <v>213</v>
      </c>
      <c r="E152" t="s">
        <v>431</v>
      </c>
      <c r="O152" s="4" t="str">
        <f t="shared" si="9"/>
        <v/>
      </c>
      <c r="V152" t="str">
        <f t="shared" si="8"/>
        <v>0x0x0</v>
      </c>
      <c r="W152">
        <f t="shared" si="10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364</v>
      </c>
      <c r="C153" t="s">
        <v>213</v>
      </c>
      <c r="E153" t="s">
        <v>431</v>
      </c>
      <c r="O153" s="4" t="str">
        <f t="shared" si="9"/>
        <v/>
      </c>
      <c r="V153" t="str">
        <f t="shared" si="8"/>
        <v>0x0x0</v>
      </c>
      <c r="W153">
        <f t="shared" si="10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303</v>
      </c>
      <c r="C154" t="s">
        <v>213</v>
      </c>
      <c r="E154" t="s">
        <v>431</v>
      </c>
      <c r="O154" s="4" t="str">
        <f t="shared" si="9"/>
        <v/>
      </c>
      <c r="V154" t="str">
        <f t="shared" si="8"/>
        <v>0x0x0</v>
      </c>
      <c r="W154">
        <f t="shared" si="10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304</v>
      </c>
      <c r="C155" t="s">
        <v>213</v>
      </c>
      <c r="E155" t="s">
        <v>431</v>
      </c>
      <c r="O155" s="4" t="str">
        <f t="shared" si="9"/>
        <v/>
      </c>
      <c r="V155" t="str">
        <f t="shared" si="8"/>
        <v>0x0x0</v>
      </c>
      <c r="W155">
        <f t="shared" si="10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305</v>
      </c>
      <c r="C156" t="s">
        <v>213</v>
      </c>
      <c r="E156" t="s">
        <v>431</v>
      </c>
      <c r="O156" s="4" t="str">
        <f t="shared" si="9"/>
        <v/>
      </c>
      <c r="V156" t="str">
        <f t="shared" si="8"/>
        <v>0x0x0</v>
      </c>
      <c r="W156">
        <f t="shared" si="10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362</v>
      </c>
      <c r="C157" t="s">
        <v>213</v>
      </c>
      <c r="E157" t="s">
        <v>431</v>
      </c>
      <c r="O157" s="4" t="str">
        <f t="shared" si="9"/>
        <v/>
      </c>
      <c r="V157" t="str">
        <f t="shared" si="8"/>
        <v>0x0x0</v>
      </c>
      <c r="W157">
        <f t="shared" si="10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407</v>
      </c>
      <c r="C158" t="s">
        <v>213</v>
      </c>
      <c r="E158" t="s">
        <v>431</v>
      </c>
      <c r="O158" s="4" t="str">
        <f t="shared" si="9"/>
        <v/>
      </c>
      <c r="V158" t="str">
        <f t="shared" si="8"/>
        <v>0x0x0</v>
      </c>
      <c r="W158">
        <f t="shared" si="10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306</v>
      </c>
      <c r="C159" t="s">
        <v>213</v>
      </c>
      <c r="E159" t="s">
        <v>431</v>
      </c>
      <c r="O159" s="4" t="str">
        <f t="shared" si="9"/>
        <v/>
      </c>
      <c r="V159" t="str">
        <f t="shared" si="8"/>
        <v>0x0x0</v>
      </c>
      <c r="W159">
        <f t="shared" si="10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307</v>
      </c>
      <c r="C160" t="s">
        <v>213</v>
      </c>
      <c r="E160" t="s">
        <v>431</v>
      </c>
      <c r="O160" s="4" t="str">
        <f t="shared" si="9"/>
        <v/>
      </c>
      <c r="V160" t="str">
        <f t="shared" si="8"/>
        <v>0x0x0</v>
      </c>
      <c r="W160">
        <f t="shared" si="10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308</v>
      </c>
      <c r="C161" t="s">
        <v>213</v>
      </c>
      <c r="E161" t="s">
        <v>431</v>
      </c>
      <c r="O161" s="4" t="str">
        <f t="shared" si="9"/>
        <v/>
      </c>
      <c r="V161" t="str">
        <f t="shared" si="8"/>
        <v>0x0x0</v>
      </c>
      <c r="W161">
        <f t="shared" si="10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309</v>
      </c>
      <c r="C162" t="s">
        <v>213</v>
      </c>
      <c r="E162" t="s">
        <v>431</v>
      </c>
      <c r="O162" s="4" t="str">
        <f t="shared" si="9"/>
        <v/>
      </c>
      <c r="V162" t="str">
        <f t="shared" si="8"/>
        <v>0x0x0</v>
      </c>
      <c r="W162">
        <f t="shared" si="10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310</v>
      </c>
      <c r="C163" t="s">
        <v>213</v>
      </c>
      <c r="E163" t="s">
        <v>431</v>
      </c>
      <c r="O163" s="4" t="str">
        <f t="shared" si="9"/>
        <v/>
      </c>
      <c r="V163" t="str">
        <f t="shared" si="8"/>
        <v>0x0x0</v>
      </c>
      <c r="W163">
        <f t="shared" si="10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311</v>
      </c>
      <c r="C164" t="s">
        <v>213</v>
      </c>
      <c r="E164" t="s">
        <v>431</v>
      </c>
      <c r="O164" s="4" t="str">
        <f t="shared" si="9"/>
        <v/>
      </c>
      <c r="V164" t="str">
        <f t="shared" si="8"/>
        <v>0x0x0</v>
      </c>
      <c r="W164">
        <f t="shared" si="10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312</v>
      </c>
      <c r="C165" t="s">
        <v>213</v>
      </c>
      <c r="E165" t="s">
        <v>431</v>
      </c>
      <c r="O165" s="4" t="str">
        <f t="shared" si="9"/>
        <v/>
      </c>
      <c r="V165" t="str">
        <f t="shared" si="8"/>
        <v>0x0x0</v>
      </c>
      <c r="W165">
        <f t="shared" si="10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313</v>
      </c>
      <c r="C166" t="s">
        <v>213</v>
      </c>
      <c r="E166" t="s">
        <v>431</v>
      </c>
      <c r="O166" s="4" t="str">
        <f t="shared" si="9"/>
        <v/>
      </c>
      <c r="V166" t="str">
        <f t="shared" si="8"/>
        <v>0x0x0</v>
      </c>
      <c r="W166">
        <f t="shared" si="10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314</v>
      </c>
      <c r="C167" t="s">
        <v>213</v>
      </c>
      <c r="E167" t="s">
        <v>431</v>
      </c>
      <c r="O167" s="4" t="str">
        <f t="shared" si="9"/>
        <v/>
      </c>
      <c r="V167" t="str">
        <f t="shared" si="8"/>
        <v>0x0x0</v>
      </c>
      <c r="W167">
        <f t="shared" si="10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315</v>
      </c>
      <c r="C168" t="s">
        <v>213</v>
      </c>
      <c r="E168" t="s">
        <v>431</v>
      </c>
      <c r="O168" s="4" t="str">
        <f t="shared" si="9"/>
        <v/>
      </c>
      <c r="V168" t="str">
        <f t="shared" si="8"/>
        <v>0x0x0</v>
      </c>
      <c r="W168">
        <f t="shared" si="10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363</v>
      </c>
      <c r="C169" t="s">
        <v>213</v>
      </c>
      <c r="E169" t="s">
        <v>431</v>
      </c>
      <c r="O169" s="4" t="str">
        <f t="shared" si="9"/>
        <v/>
      </c>
      <c r="V169" t="str">
        <f t="shared" si="8"/>
        <v>0x0x0</v>
      </c>
      <c r="W169">
        <f t="shared" si="10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316</v>
      </c>
      <c r="C170" t="s">
        <v>213</v>
      </c>
      <c r="E170" t="s">
        <v>431</v>
      </c>
      <c r="O170" s="4" t="str">
        <f t="shared" si="9"/>
        <v/>
      </c>
      <c r="V170" t="str">
        <f t="shared" ref="V170:V200" si="11">CONCATENATE(INT(Q170*10),"x",INT(S170*15), "x", INT(T170*15))</f>
        <v>0x0x0</v>
      </c>
      <c r="W170">
        <f t="shared" si="10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317</v>
      </c>
      <c r="C171" t="s">
        <v>213</v>
      </c>
      <c r="E171" t="s">
        <v>431</v>
      </c>
      <c r="O171" s="4" t="str">
        <f t="shared" si="9"/>
        <v/>
      </c>
      <c r="V171" t="str">
        <f t="shared" si="11"/>
        <v>0x0x0</v>
      </c>
      <c r="W171">
        <f t="shared" si="10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410</v>
      </c>
      <c r="C172" t="s">
        <v>213</v>
      </c>
      <c r="E172" t="s">
        <v>431</v>
      </c>
      <c r="O172" s="4" t="str">
        <f t="shared" si="9"/>
        <v/>
      </c>
      <c r="V172" t="str">
        <f t="shared" si="11"/>
        <v>0x0x0</v>
      </c>
      <c r="W172">
        <f t="shared" si="10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411</v>
      </c>
      <c r="C173" t="s">
        <v>213</v>
      </c>
      <c r="E173" t="s">
        <v>431</v>
      </c>
      <c r="O173" s="4" t="str">
        <f t="shared" si="9"/>
        <v/>
      </c>
      <c r="V173" t="str">
        <f t="shared" si="11"/>
        <v>0x0x0</v>
      </c>
      <c r="W173">
        <f t="shared" si="10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318</v>
      </c>
      <c r="C174" t="s">
        <v>213</v>
      </c>
      <c r="E174" t="s">
        <v>431</v>
      </c>
      <c r="O174" s="4" t="str">
        <f t="shared" si="9"/>
        <v/>
      </c>
      <c r="V174" t="str">
        <f t="shared" si="11"/>
        <v>0x0x0</v>
      </c>
      <c r="W174">
        <f t="shared" si="10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319</v>
      </c>
      <c r="C175" t="s">
        <v>213</v>
      </c>
      <c r="E175" t="s">
        <v>431</v>
      </c>
      <c r="O175" s="4" t="str">
        <f t="shared" si="9"/>
        <v/>
      </c>
      <c r="V175" t="str">
        <f t="shared" si="11"/>
        <v>0x0x0</v>
      </c>
      <c r="W175">
        <f t="shared" si="10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320</v>
      </c>
      <c r="C176" t="s">
        <v>213</v>
      </c>
      <c r="E176" t="s">
        <v>431</v>
      </c>
      <c r="O176" s="4" t="str">
        <f t="shared" si="9"/>
        <v/>
      </c>
      <c r="V176" t="str">
        <f t="shared" si="11"/>
        <v>0x0x0</v>
      </c>
      <c r="W176">
        <f t="shared" si="10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415</v>
      </c>
      <c r="C177" t="s">
        <v>213</v>
      </c>
      <c r="E177" t="s">
        <v>431</v>
      </c>
      <c r="M177">
        <v>9</v>
      </c>
      <c r="O177" s="4" t="str">
        <f t="shared" si="9"/>
        <v/>
      </c>
      <c r="V177" t="str">
        <f t="shared" si="11"/>
        <v>0x0x0</v>
      </c>
      <c r="W177">
        <f t="shared" si="10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414</v>
      </c>
      <c r="C178" t="s">
        <v>438</v>
      </c>
      <c r="E178" t="s">
        <v>431</v>
      </c>
      <c r="F178">
        <v>1956</v>
      </c>
      <c r="K178">
        <v>40</v>
      </c>
      <c r="M178">
        <v>9</v>
      </c>
      <c r="O178" s="4" t="str">
        <f t="shared" si="9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 t="shared" si="11"/>
        <v>196x42x56</v>
      </c>
      <c r="W178">
        <f t="shared" si="10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440</v>
      </c>
    </row>
    <row r="179" spans="1:29" x14ac:dyDescent="0.25">
      <c r="A179" t="s">
        <v>164</v>
      </c>
      <c r="B179" t="s">
        <v>416</v>
      </c>
      <c r="C179" t="s">
        <v>213</v>
      </c>
      <c r="E179" t="s">
        <v>431</v>
      </c>
      <c r="O179" s="4" t="str">
        <f t="shared" si="9"/>
        <v/>
      </c>
      <c r="V179" t="str">
        <f t="shared" si="11"/>
        <v>0x0x0</v>
      </c>
      <c r="W179">
        <f t="shared" si="10"/>
        <v>0</v>
      </c>
      <c r="Y179" t="str">
        <f>CONCATENATE(VLOOKUP(W179,'Articulated Lengths'!$A$2:$B$16, 2, FALSE),IF(X179&lt;&gt;"",CONCATENATE(",",VLOOKUP(X179,$B$2:$Y$200,24,FALSE)),""))</f>
        <v>na</v>
      </c>
      <c r="AA179">
        <v>10</v>
      </c>
      <c r="AB179">
        <v>10</v>
      </c>
    </row>
    <row r="180" spans="1:29" x14ac:dyDescent="0.25">
      <c r="A180" t="s">
        <v>165</v>
      </c>
      <c r="B180" t="s">
        <v>417</v>
      </c>
      <c r="C180" t="s">
        <v>213</v>
      </c>
      <c r="E180" t="s">
        <v>431</v>
      </c>
      <c r="O180" s="4" t="str">
        <f t="shared" si="9"/>
        <v/>
      </c>
      <c r="V180" t="str">
        <f t="shared" si="11"/>
        <v>0x0x0</v>
      </c>
      <c r="W180">
        <f t="shared" si="10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321</v>
      </c>
      <c r="C181" t="s">
        <v>213</v>
      </c>
      <c r="E181" t="s">
        <v>431</v>
      </c>
      <c r="O181" s="4" t="str">
        <f t="shared" si="9"/>
        <v/>
      </c>
      <c r="V181" t="str">
        <f t="shared" si="11"/>
        <v>0x0x0</v>
      </c>
      <c r="W181">
        <f t="shared" si="10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322</v>
      </c>
      <c r="C182" t="s">
        <v>213</v>
      </c>
      <c r="E182" t="s">
        <v>431</v>
      </c>
      <c r="O182" s="4" t="str">
        <f t="shared" si="9"/>
        <v/>
      </c>
      <c r="V182" t="str">
        <f t="shared" si="11"/>
        <v>0x0x0</v>
      </c>
      <c r="W182">
        <f t="shared" si="10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323</v>
      </c>
      <c r="C183" t="s">
        <v>213</v>
      </c>
      <c r="E183" t="s">
        <v>431</v>
      </c>
      <c r="O183" s="4" t="str">
        <f t="shared" si="9"/>
        <v/>
      </c>
      <c r="V183" t="str">
        <f t="shared" si="11"/>
        <v>0x0x0</v>
      </c>
      <c r="W183">
        <f t="shared" si="10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436</v>
      </c>
      <c r="C184" t="s">
        <v>438</v>
      </c>
      <c r="E184" t="s">
        <v>443</v>
      </c>
      <c r="F184">
        <v>1800</v>
      </c>
      <c r="K184">
        <v>5</v>
      </c>
      <c r="M184">
        <v>5</v>
      </c>
      <c r="O184" s="4" t="str">
        <f t="shared" si="9"/>
        <v/>
      </c>
      <c r="P184">
        <v>35</v>
      </c>
      <c r="Q184">
        <v>4.9000000000000004</v>
      </c>
      <c r="R184">
        <v>6</v>
      </c>
      <c r="U184">
        <v>20</v>
      </c>
      <c r="V184" t="str">
        <f t="shared" si="11"/>
        <v>49x0x0</v>
      </c>
      <c r="W184">
        <f t="shared" si="10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441</v>
      </c>
    </row>
    <row r="185" spans="1:29" x14ac:dyDescent="0.25">
      <c r="A185" t="s">
        <v>170</v>
      </c>
      <c r="B185" t="s">
        <v>437</v>
      </c>
      <c r="C185" t="s">
        <v>213</v>
      </c>
      <c r="E185" t="s">
        <v>431</v>
      </c>
      <c r="O185" s="4" t="str">
        <f t="shared" si="9"/>
        <v/>
      </c>
      <c r="V185" t="str">
        <f t="shared" si="11"/>
        <v>0x0x0</v>
      </c>
      <c r="W185">
        <f t="shared" si="10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324</v>
      </c>
      <c r="C186" t="s">
        <v>213</v>
      </c>
      <c r="E186" t="s">
        <v>431</v>
      </c>
      <c r="O186" s="4" t="str">
        <f t="shared" si="9"/>
        <v/>
      </c>
      <c r="V186" t="str">
        <f t="shared" si="11"/>
        <v>0x0x0</v>
      </c>
      <c r="W186">
        <f t="shared" si="10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325</v>
      </c>
      <c r="C187" t="s">
        <v>213</v>
      </c>
      <c r="E187" t="s">
        <v>431</v>
      </c>
      <c r="O187" s="4" t="str">
        <f t="shared" si="9"/>
        <v/>
      </c>
      <c r="V187" t="str">
        <f t="shared" si="11"/>
        <v>0x0x0</v>
      </c>
      <c r="W187">
        <f t="shared" si="10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412</v>
      </c>
      <c r="C188" t="s">
        <v>438</v>
      </c>
      <c r="E188" t="s">
        <v>443</v>
      </c>
      <c r="F188">
        <v>1800</v>
      </c>
      <c r="K188">
        <v>5</v>
      </c>
      <c r="M188">
        <v>5</v>
      </c>
      <c r="O188" s="4" t="str">
        <f t="shared" si="9"/>
        <v/>
      </c>
      <c r="P188">
        <v>35</v>
      </c>
      <c r="Q188">
        <v>4.9000000000000004</v>
      </c>
      <c r="R188">
        <v>6</v>
      </c>
      <c r="U188">
        <v>20</v>
      </c>
      <c r="V188" t="str">
        <f t="shared" si="11"/>
        <v>49x0x0</v>
      </c>
      <c r="W188">
        <f>CEILING((R188/57)*32,1)</f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444</v>
      </c>
    </row>
    <row r="189" spans="1:29" x14ac:dyDescent="0.25">
      <c r="A189" t="s">
        <v>174</v>
      </c>
      <c r="B189" t="s">
        <v>413</v>
      </c>
      <c r="C189" t="s">
        <v>213</v>
      </c>
      <c r="E189" t="s">
        <v>431</v>
      </c>
      <c r="O189" s="4" t="str">
        <f t="shared" si="9"/>
        <v/>
      </c>
      <c r="V189" t="str">
        <f t="shared" si="11"/>
        <v>0x0x0</v>
      </c>
      <c r="W189">
        <f t="shared" ref="W189:W200" si="12">CEILING((R189/57)*32,1)</f>
        <v>0</v>
      </c>
      <c r="Y189" t="str">
        <f>CONCATENATE(VLOOKUP(W189,'Articulated Lengths'!$A$2:$B$16, 2, FALSE),IF(X189&lt;&gt;"",CONCATENATE(",",VLOOKUP(X189,$B$2:$Y$200,24,FALSE)),""))</f>
        <v>na</v>
      </c>
      <c r="AA189">
        <v>10</v>
      </c>
      <c r="AB189">
        <v>10</v>
      </c>
    </row>
    <row r="190" spans="1:29" x14ac:dyDescent="0.25">
      <c r="A190" t="s">
        <v>175</v>
      </c>
      <c r="B190" t="s">
        <v>326</v>
      </c>
      <c r="C190" t="s">
        <v>213</v>
      </c>
      <c r="E190" t="s">
        <v>431</v>
      </c>
      <c r="O190" s="4" t="str">
        <f t="shared" si="9"/>
        <v/>
      </c>
      <c r="V190" t="str">
        <f t="shared" si="11"/>
        <v>0x0x0</v>
      </c>
      <c r="W190">
        <f t="shared" si="12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327</v>
      </c>
      <c r="C191" t="s">
        <v>213</v>
      </c>
      <c r="E191" t="s">
        <v>431</v>
      </c>
      <c r="O191" s="4" t="str">
        <f t="shared" si="9"/>
        <v/>
      </c>
      <c r="V191" t="str">
        <f t="shared" si="11"/>
        <v>0x0x0</v>
      </c>
      <c r="W191">
        <f t="shared" si="12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328</v>
      </c>
      <c r="C192" t="s">
        <v>213</v>
      </c>
      <c r="E192" t="s">
        <v>431</v>
      </c>
      <c r="O192" s="4" t="str">
        <f t="shared" si="9"/>
        <v/>
      </c>
      <c r="V192" t="str">
        <f t="shared" si="11"/>
        <v>0x0x0</v>
      </c>
      <c r="W192">
        <f t="shared" si="12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329</v>
      </c>
      <c r="C193" t="s">
        <v>213</v>
      </c>
      <c r="E193" t="s">
        <v>431</v>
      </c>
      <c r="O193" s="4" t="str">
        <f t="shared" si="9"/>
        <v/>
      </c>
      <c r="V193" t="str">
        <f t="shared" si="11"/>
        <v>0x0x0</v>
      </c>
      <c r="W193">
        <f t="shared" si="12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330</v>
      </c>
      <c r="C194" t="s">
        <v>213</v>
      </c>
      <c r="E194" t="s">
        <v>431</v>
      </c>
      <c r="O194" s="4" t="str">
        <f t="shared" si="9"/>
        <v/>
      </c>
      <c r="V194" t="str">
        <f t="shared" si="11"/>
        <v>0x0x0</v>
      </c>
      <c r="W194">
        <f t="shared" si="12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331</v>
      </c>
      <c r="C195" t="s">
        <v>213</v>
      </c>
      <c r="E195" t="s">
        <v>431</v>
      </c>
      <c r="O195" s="4" t="str">
        <f t="shared" si="9"/>
        <v/>
      </c>
      <c r="V195" t="str">
        <f t="shared" si="11"/>
        <v>0x0x0</v>
      </c>
      <c r="W195">
        <f t="shared" si="12"/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332</v>
      </c>
      <c r="C196" t="s">
        <v>213</v>
      </c>
      <c r="E196" t="s">
        <v>431</v>
      </c>
      <c r="O196" s="4" t="str">
        <f t="shared" si="9"/>
        <v/>
      </c>
      <c r="V196" t="str">
        <f t="shared" si="11"/>
        <v>0x0x0</v>
      </c>
      <c r="W196">
        <f t="shared" si="12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333</v>
      </c>
      <c r="C197" t="s">
        <v>213</v>
      </c>
      <c r="E197" t="s">
        <v>431</v>
      </c>
      <c r="O197" s="4" t="str">
        <f t="shared" si="9"/>
        <v/>
      </c>
      <c r="V197" t="str">
        <f t="shared" si="11"/>
        <v>0x0x0</v>
      </c>
      <c r="W197">
        <f t="shared" si="12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334</v>
      </c>
      <c r="C198" t="s">
        <v>213</v>
      </c>
      <c r="E198" t="s">
        <v>431</v>
      </c>
      <c r="O198" s="4" t="str">
        <f t="shared" si="9"/>
        <v/>
      </c>
      <c r="V198" t="str">
        <f t="shared" si="11"/>
        <v>0x0x0</v>
      </c>
      <c r="W198">
        <f t="shared" si="12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335</v>
      </c>
      <c r="C199" t="s">
        <v>213</v>
      </c>
      <c r="E199" t="s">
        <v>431</v>
      </c>
      <c r="O199" s="4" t="str">
        <f t="shared" si="9"/>
        <v/>
      </c>
      <c r="V199" t="str">
        <f t="shared" si="11"/>
        <v>0x0x0</v>
      </c>
      <c r="W199">
        <f t="shared" si="12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336</v>
      </c>
      <c r="C200" t="s">
        <v>213</v>
      </c>
      <c r="E200" t="s">
        <v>431</v>
      </c>
      <c r="O200" s="4" t="str">
        <f t="shared" si="9"/>
        <v/>
      </c>
      <c r="V200" t="str">
        <f t="shared" si="11"/>
        <v>0x0x0</v>
      </c>
      <c r="W200">
        <f t="shared" si="12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4" sqref="B4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385</v>
      </c>
      <c r="B1" s="1" t="s">
        <v>386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450</v>
      </c>
    </row>
    <row r="4" spans="1:2" x14ac:dyDescent="0.25">
      <c r="A4">
        <v>4</v>
      </c>
      <c r="B4" t="s">
        <v>387</v>
      </c>
    </row>
    <row r="5" spans="1:2" x14ac:dyDescent="0.25">
      <c r="A5">
        <v>5</v>
      </c>
      <c r="B5" t="s">
        <v>388</v>
      </c>
    </row>
    <row r="6" spans="1:2" x14ac:dyDescent="0.25">
      <c r="A6">
        <v>6</v>
      </c>
      <c r="B6" t="s">
        <v>389</v>
      </c>
    </row>
    <row r="7" spans="1:2" x14ac:dyDescent="0.25">
      <c r="A7">
        <v>7</v>
      </c>
      <c r="B7" t="s">
        <v>389</v>
      </c>
    </row>
    <row r="8" spans="1:2" x14ac:dyDescent="0.25">
      <c r="A8">
        <v>8</v>
      </c>
      <c r="B8" t="s">
        <v>390</v>
      </c>
    </row>
    <row r="9" spans="1:2" x14ac:dyDescent="0.25">
      <c r="A9">
        <v>9</v>
      </c>
      <c r="B9" t="s">
        <v>393</v>
      </c>
    </row>
    <row r="10" spans="1:2" x14ac:dyDescent="0.25">
      <c r="A10">
        <v>10</v>
      </c>
      <c r="B10" t="s">
        <v>391</v>
      </c>
    </row>
    <row r="11" spans="1:2" x14ac:dyDescent="0.25">
      <c r="A11">
        <v>11</v>
      </c>
      <c r="B11" t="s">
        <v>392</v>
      </c>
    </row>
    <row r="12" spans="1:2" x14ac:dyDescent="0.25">
      <c r="A12">
        <v>12</v>
      </c>
      <c r="B12" t="s">
        <v>394</v>
      </c>
    </row>
    <row r="13" spans="1:2" x14ac:dyDescent="0.25">
      <c r="A13">
        <v>13</v>
      </c>
      <c r="B13" t="s">
        <v>395</v>
      </c>
    </row>
    <row r="14" spans="1:2" x14ac:dyDescent="0.25">
      <c r="A14">
        <v>14</v>
      </c>
      <c r="B14" t="s">
        <v>396</v>
      </c>
    </row>
    <row r="15" spans="1:2" x14ac:dyDescent="0.25">
      <c r="A15">
        <v>15</v>
      </c>
      <c r="B15" t="s">
        <v>397</v>
      </c>
    </row>
    <row r="16" spans="1:2" x14ac:dyDescent="0.25">
      <c r="A16">
        <v>16</v>
      </c>
      <c r="B16" t="s">
        <v>398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2020-06-07T19:22:36Z</dcterms:modified>
</cp:coreProperties>
</file>