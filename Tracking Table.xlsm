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CF39B923-315D-4CC3-91C3-9BF489F77D9E}" xr6:coauthVersionLast="47" xr6:coauthVersionMax="47" xr10:uidLastSave="{00000000-0000-0000-0000-000000000000}"/>
  <bookViews>
    <workbookView xWindow="0" yWindow="612"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Table!$A$1:$BZ$302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302" i="1" l="1"/>
  <c r="AK301" i="1"/>
  <c r="AK300" i="1"/>
  <c r="AK299" i="1"/>
  <c r="AK298" i="1"/>
  <c r="AK297" i="1"/>
  <c r="AK296" i="1"/>
  <c r="AK295" i="1"/>
  <c r="AK294" i="1"/>
  <c r="AK293" i="1"/>
  <c r="AK292" i="1"/>
  <c r="AK291" i="1"/>
  <c r="AK290" i="1"/>
  <c r="AK289" i="1"/>
  <c r="AK288" i="1"/>
  <c r="AK287" i="1"/>
  <c r="AK286" i="1"/>
  <c r="AK285" i="1"/>
  <c r="AK284" i="1"/>
  <c r="AK283" i="1"/>
  <c r="AK282" i="1"/>
  <c r="AK281" i="1"/>
  <c r="AK280" i="1"/>
  <c r="AK279" i="1"/>
  <c r="AK278" i="1"/>
  <c r="AK277" i="1"/>
  <c r="AK276" i="1"/>
  <c r="AK275" i="1"/>
  <c r="AK274" i="1"/>
  <c r="AK273" i="1"/>
  <c r="AK272" i="1"/>
  <c r="AK271" i="1"/>
  <c r="AK270" i="1"/>
  <c r="AK269" i="1"/>
  <c r="AK268" i="1"/>
  <c r="AK267" i="1"/>
  <c r="AK266" i="1"/>
  <c r="AK265" i="1"/>
  <c r="AK264" i="1"/>
  <c r="AK263" i="1"/>
  <c r="AK262" i="1"/>
  <c r="AK261" i="1"/>
  <c r="AK260" i="1"/>
  <c r="AK259" i="1"/>
  <c r="AK258" i="1"/>
  <c r="AK257" i="1"/>
  <c r="AK256" i="1"/>
  <c r="AK255" i="1"/>
  <c r="AK254" i="1"/>
  <c r="AK253" i="1"/>
  <c r="AK252" i="1"/>
  <c r="AK251" i="1"/>
  <c r="AK250" i="1"/>
  <c r="AK249" i="1"/>
  <c r="AK248" i="1"/>
  <c r="AK247" i="1"/>
  <c r="AK246" i="1"/>
  <c r="AK245" i="1"/>
  <c r="AK244" i="1"/>
  <c r="AK243" i="1"/>
  <c r="AK242" i="1"/>
  <c r="AK241" i="1"/>
  <c r="AK240" i="1"/>
  <c r="AK239" i="1"/>
  <c r="AK238" i="1"/>
  <c r="AK237" i="1"/>
  <c r="AK236" i="1"/>
  <c r="AK235" i="1"/>
  <c r="AK234" i="1"/>
  <c r="AK233" i="1"/>
  <c r="AK232" i="1"/>
  <c r="AK231" i="1"/>
  <c r="AK230" i="1"/>
  <c r="AK229" i="1"/>
  <c r="AK228" i="1"/>
  <c r="AK227" i="1"/>
  <c r="AK226" i="1"/>
  <c r="AK225" i="1"/>
  <c r="AK224" i="1"/>
  <c r="AK223" i="1"/>
  <c r="AK222" i="1"/>
  <c r="AK221" i="1"/>
  <c r="AK220" i="1"/>
  <c r="AK219" i="1"/>
  <c r="AK218" i="1"/>
  <c r="AK217" i="1"/>
  <c r="AK216" i="1"/>
  <c r="AK215" i="1"/>
  <c r="AK214" i="1"/>
  <c r="AK213" i="1"/>
  <c r="AK212" i="1"/>
  <c r="AK211" i="1"/>
  <c r="AK210" i="1"/>
  <c r="AK209" i="1"/>
  <c r="AK208" i="1"/>
  <c r="AK207" i="1"/>
  <c r="AK206" i="1"/>
  <c r="AK205" i="1"/>
  <c r="AK204" i="1"/>
  <c r="AK203" i="1"/>
  <c r="AK202" i="1"/>
  <c r="AK201" i="1"/>
  <c r="AK200" i="1"/>
  <c r="AK199" i="1"/>
  <c r="AK198" i="1"/>
  <c r="AK197" i="1"/>
  <c r="AK196" i="1"/>
  <c r="AK195" i="1"/>
  <c r="AK194" i="1"/>
  <c r="AK193" i="1"/>
  <c r="AK192" i="1"/>
  <c r="AK191" i="1"/>
  <c r="AK190" i="1"/>
  <c r="AK189" i="1"/>
  <c r="AK188" i="1"/>
  <c r="AK187" i="1"/>
  <c r="AK186" i="1"/>
  <c r="AK185" i="1"/>
  <c r="AK184" i="1"/>
  <c r="AK183" i="1"/>
  <c r="AK182" i="1"/>
  <c r="AK181" i="1"/>
  <c r="AK180" i="1"/>
  <c r="AK179" i="1"/>
  <c r="AK178" i="1"/>
  <c r="AK177" i="1"/>
  <c r="AK176" i="1"/>
  <c r="AK175" i="1"/>
  <c r="AK174" i="1"/>
  <c r="AK173" i="1"/>
  <c r="AK172" i="1"/>
  <c r="AK171" i="1"/>
  <c r="AK170" i="1"/>
  <c r="AK169" i="1"/>
  <c r="AK168" i="1"/>
  <c r="AK167" i="1"/>
  <c r="AK166" i="1"/>
  <c r="AK165" i="1"/>
  <c r="AK164" i="1"/>
  <c r="AK162" i="1"/>
  <c r="AK160" i="1"/>
  <c r="AK159" i="1"/>
  <c r="AK155" i="1"/>
  <c r="AK154" i="1"/>
  <c r="AK153" i="1"/>
  <c r="AK152" i="1"/>
  <c r="AK144" i="1"/>
  <c r="AK143" i="1"/>
  <c r="AK142" i="1"/>
  <c r="AK141" i="1"/>
  <c r="AK137" i="1"/>
  <c r="AK136" i="1"/>
  <c r="AK133" i="1"/>
  <c r="AK132" i="1"/>
  <c r="AK131" i="1"/>
  <c r="AK130" i="1"/>
  <c r="AK129" i="1"/>
  <c r="AK127" i="1"/>
  <c r="AK126" i="1"/>
  <c r="AK125" i="1"/>
  <c r="AK124" i="1"/>
  <c r="AK123" i="1"/>
  <c r="AK122" i="1"/>
  <c r="AK121" i="1"/>
  <c r="AK120" i="1"/>
  <c r="AK118" i="1"/>
  <c r="AK117" i="1"/>
  <c r="AK116" i="1"/>
  <c r="AK114" i="1"/>
  <c r="AK112" i="1"/>
  <c r="AK111" i="1"/>
  <c r="AK110" i="1"/>
  <c r="AK108" i="1"/>
  <c r="AK107" i="1"/>
  <c r="AK106" i="1"/>
  <c r="AK105" i="1"/>
  <c r="AK104" i="1"/>
  <c r="AK103" i="1"/>
  <c r="AK93" i="1"/>
  <c r="AK91" i="1"/>
  <c r="AK90" i="1"/>
  <c r="AK89" i="1"/>
  <c r="AK88" i="1"/>
  <c r="AK87" i="1"/>
  <c r="AK86" i="1"/>
  <c r="AK85" i="1"/>
  <c r="AK84" i="1"/>
  <c r="AK83" i="1"/>
  <c r="AK82" i="1"/>
  <c r="AK81" i="1"/>
  <c r="AK80" i="1"/>
  <c r="AK79" i="1"/>
  <c r="AK78" i="1"/>
  <c r="AK77" i="1"/>
  <c r="AK76" i="1"/>
  <c r="AK75" i="1"/>
  <c r="AK74" i="1"/>
  <c r="AK73" i="1"/>
  <c r="AK72" i="1"/>
  <c r="AK71" i="1"/>
  <c r="AK70" i="1"/>
  <c r="AK69" i="1"/>
  <c r="AK68" i="1"/>
  <c r="AK67" i="1"/>
  <c r="AK66" i="1"/>
  <c r="AK65" i="1"/>
  <c r="AK64" i="1"/>
  <c r="AK63" i="1"/>
  <c r="AK62" i="1"/>
  <c r="AK61" i="1"/>
  <c r="AK60" i="1"/>
  <c r="AK59" i="1"/>
  <c r="AK58" i="1"/>
  <c r="AK57" i="1"/>
  <c r="AK56" i="1"/>
  <c r="AK55" i="1"/>
  <c r="AK54" i="1"/>
  <c r="AK53" i="1"/>
  <c r="AK52" i="1"/>
  <c r="AK51" i="1"/>
  <c r="AK50" i="1"/>
  <c r="AK49" i="1"/>
  <c r="AK48" i="1"/>
  <c r="AK47" i="1"/>
  <c r="AK46" i="1"/>
  <c r="AK45" i="1"/>
  <c r="AK44" i="1"/>
  <c r="AK43" i="1"/>
  <c r="AK42" i="1"/>
  <c r="AK41" i="1"/>
  <c r="AK40" i="1"/>
  <c r="AK39" i="1"/>
  <c r="AK38" i="1"/>
  <c r="AK37" i="1"/>
  <c r="AK36" i="1"/>
  <c r="AK35" i="1"/>
  <c r="AK34" i="1"/>
  <c r="AK33" i="1"/>
  <c r="AK32" i="1"/>
  <c r="AK31" i="1"/>
  <c r="AK30" i="1"/>
  <c r="AK29" i="1"/>
  <c r="AK28" i="1"/>
  <c r="AK27" i="1"/>
  <c r="AK26" i="1"/>
  <c r="AK25" i="1"/>
  <c r="AK24" i="1"/>
  <c r="AK161" i="1" s="1"/>
  <c r="AK23" i="1"/>
  <c r="AK156" i="1" s="1"/>
  <c r="AK22" i="1"/>
  <c r="AK21" i="1"/>
  <c r="AK20" i="1"/>
  <c r="AK151" i="1" s="1"/>
  <c r="AK19" i="1"/>
  <c r="AK139" i="1" s="1"/>
  <c r="AK18" i="1"/>
  <c r="AK147" i="1" s="1"/>
  <c r="AK17" i="1"/>
  <c r="AK140" i="1" s="1"/>
  <c r="AK16" i="1"/>
  <c r="AK15" i="1"/>
  <c r="AK14" i="1"/>
  <c r="AK135" i="1" s="1"/>
  <c r="AK13" i="1"/>
  <c r="AK12" i="1"/>
  <c r="AK119" i="1" s="1"/>
  <c r="AK11" i="1"/>
  <c r="AK115" i="1" s="1"/>
  <c r="AK10" i="1"/>
  <c r="AK109" i="1" s="1"/>
  <c r="AK9" i="1"/>
  <c r="AK8" i="1"/>
  <c r="AK100" i="1" s="1"/>
  <c r="AK7" i="1"/>
  <c r="AK98" i="1" s="1"/>
  <c r="AK6" i="1"/>
  <c r="AK99" i="1" s="1"/>
  <c r="AK5" i="1"/>
  <c r="AK96" i="1" s="1"/>
  <c r="AK4" i="1"/>
  <c r="AK94" i="1" s="1"/>
  <c r="AK3" i="1"/>
  <c r="AK92" i="1" s="1"/>
  <c r="AK2" i="1"/>
  <c r="AK157" i="1" s="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26" i="1"/>
  <c r="CA278" i="1"/>
  <c r="N28" i="2"/>
  <c r="BX278" i="1" s="1"/>
  <c r="CB278" i="1" s="1"/>
  <c r="BV278" i="1"/>
  <c r="BD278" i="1"/>
  <c r="BE278" i="1"/>
  <c r="BC278" i="1"/>
  <c r="AI278" i="1"/>
  <c r="AH278" i="1" s="1"/>
  <c r="AY278" i="1"/>
  <c r="X278" i="1"/>
  <c r="BA278" i="1"/>
  <c r="AZ278" i="1"/>
  <c r="BY278" i="1"/>
  <c r="AV278" i="1"/>
  <c r="BB278" i="1"/>
  <c r="BW278" i="1"/>
  <c r="BC301" i="1"/>
  <c r="AC301" i="1"/>
  <c r="CA301" i="1"/>
  <c r="BY301" i="1"/>
  <c r="BW301" i="1"/>
  <c r="BT301" i="1"/>
  <c r="BV301" i="1" s="1"/>
  <c r="BE301" i="1"/>
  <c r="BD301" i="1"/>
  <c r="BB301" i="1"/>
  <c r="BA301" i="1"/>
  <c r="AZ301" i="1"/>
  <c r="AY301" i="1"/>
  <c r="AV301" i="1"/>
  <c r="AI301" i="1"/>
  <c r="X301" i="1"/>
  <c r="N27" i="2"/>
  <c r="AV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9" i="1"/>
  <c r="AV280" i="1"/>
  <c r="AV281" i="1"/>
  <c r="AV282" i="1"/>
  <c r="AV283" i="1"/>
  <c r="AV284" i="1"/>
  <c r="AV285" i="1"/>
  <c r="AV286" i="1"/>
  <c r="AV287" i="1"/>
  <c r="AV288" i="1"/>
  <c r="AV289" i="1"/>
  <c r="AV290" i="1"/>
  <c r="AV291" i="1"/>
  <c r="AV292" i="1"/>
  <c r="AV293" i="1"/>
  <c r="AV294" i="1"/>
  <c r="AV295" i="1"/>
  <c r="AV296" i="1"/>
  <c r="AV297" i="1"/>
  <c r="AV298" i="1"/>
  <c r="AV299" i="1"/>
  <c r="AV300" i="1"/>
  <c r="AV302" i="1"/>
  <c r="AV2" i="1"/>
  <c r="N26" i="2"/>
  <c r="CA113" i="1"/>
  <c r="BY113" i="1"/>
  <c r="BW113" i="1"/>
  <c r="BT113" i="1"/>
  <c r="BV113" i="1" s="1"/>
  <c r="BE113" i="1"/>
  <c r="BD113" i="1"/>
  <c r="BC113" i="1"/>
  <c r="BB113" i="1"/>
  <c r="BA113" i="1"/>
  <c r="AZ113" i="1"/>
  <c r="AY113" i="1"/>
  <c r="AI113" i="1"/>
  <c r="X113" i="1"/>
  <c r="Q113" i="1"/>
  <c r="S113" i="1" s="1"/>
  <c r="CA9" i="1"/>
  <c r="BY9" i="1"/>
  <c r="BW9" i="1"/>
  <c r="BT9" i="1"/>
  <c r="BV9" i="1" s="1"/>
  <c r="BE9" i="1"/>
  <c r="BD9" i="1"/>
  <c r="BC9" i="1"/>
  <c r="BB9" i="1"/>
  <c r="BA9" i="1"/>
  <c r="AZ9" i="1"/>
  <c r="AY9" i="1"/>
  <c r="AI9" i="1"/>
  <c r="AK101" i="1" s="1"/>
  <c r="X9" i="1"/>
  <c r="CA101" i="1"/>
  <c r="BY101" i="1"/>
  <c r="BW101" i="1"/>
  <c r="BT101" i="1"/>
  <c r="BV101" i="1" s="1"/>
  <c r="BE101" i="1"/>
  <c r="BD101" i="1"/>
  <c r="BC101" i="1"/>
  <c r="BB101" i="1"/>
  <c r="BA101" i="1"/>
  <c r="AZ101" i="1"/>
  <c r="AY101" i="1"/>
  <c r="AI101" i="1"/>
  <c r="AH101" i="1" s="1"/>
  <c r="X101" i="1"/>
  <c r="Q101" i="1"/>
  <c r="S101" i="1" s="1"/>
  <c r="CA104" i="1"/>
  <c r="BV104" i="1"/>
  <c r="BE104" i="1"/>
  <c r="BD104" i="1"/>
  <c r="BC104" i="1"/>
  <c r="AZ104" i="1"/>
  <c r="AI104" i="1"/>
  <c r="AH104" i="1" s="1"/>
  <c r="AY104" i="1"/>
  <c r="X104" i="1"/>
  <c r="BA104" i="1"/>
  <c r="Q104" i="1"/>
  <c r="S104" i="1" s="1"/>
  <c r="BB104" i="1"/>
  <c r="BW104" i="1"/>
  <c r="CA293" i="1"/>
  <c r="BY293" i="1"/>
  <c r="BW293" i="1"/>
  <c r="BT293" i="1"/>
  <c r="BV293" i="1" s="1"/>
  <c r="BE293" i="1"/>
  <c r="BD293" i="1"/>
  <c r="BC293" i="1"/>
  <c r="BB293" i="1"/>
  <c r="BA293" i="1"/>
  <c r="AZ293" i="1"/>
  <c r="AY293" i="1"/>
  <c r="AI293" i="1"/>
  <c r="T293" i="1"/>
  <c r="X293" i="1" s="1"/>
  <c r="AK158" i="1" l="1"/>
  <c r="AK128" i="1"/>
  <c r="AK113" i="1"/>
  <c r="AK145" i="1"/>
  <c r="AK146" i="1"/>
  <c r="AK163" i="1"/>
  <c r="AK148" i="1"/>
  <c r="AK149" i="1"/>
  <c r="AK102" i="1"/>
  <c r="AK134" i="1"/>
  <c r="AK150" i="1"/>
  <c r="AK138" i="1"/>
  <c r="AK97" i="1"/>
  <c r="AK95" i="1"/>
  <c r="BF278" i="1"/>
  <c r="BH278" i="1" s="1"/>
  <c r="BG278" i="1"/>
  <c r="BI278" i="1" s="1"/>
  <c r="AH301" i="1"/>
  <c r="BG301" i="1"/>
  <c r="BI301" i="1" s="1"/>
  <c r="BF301" i="1"/>
  <c r="BH301" i="1" s="1"/>
  <c r="BG113" i="1"/>
  <c r="BI113" i="1" s="1"/>
  <c r="AH113" i="1"/>
  <c r="BG9" i="1"/>
  <c r="BI9" i="1" s="1"/>
  <c r="BF113" i="1"/>
  <c r="BH113" i="1" s="1"/>
  <c r="AH9" i="1"/>
  <c r="BF9" i="1"/>
  <c r="BH9" i="1" s="1"/>
  <c r="BF101" i="1"/>
  <c r="BH101" i="1" s="1"/>
  <c r="BG101" i="1"/>
  <c r="BI101" i="1" s="1"/>
  <c r="BG104" i="1"/>
  <c r="BI104" i="1" s="1"/>
  <c r="BF104" i="1"/>
  <c r="BH104" i="1" s="1"/>
  <c r="BG293" i="1"/>
  <c r="BI293" i="1" s="1"/>
  <c r="BF293" i="1"/>
  <c r="BH293" i="1" s="1"/>
  <c r="AH293" i="1"/>
  <c r="T284" i="1" l="1"/>
  <c r="N25" i="2" l="1"/>
  <c r="BT302" i="1" l="1"/>
  <c r="BV302" i="1" s="1"/>
  <c r="CA302" i="1"/>
  <c r="BE302" i="1"/>
  <c r="BD302" i="1"/>
  <c r="BC302" i="1"/>
  <c r="AI302" i="1"/>
  <c r="AH302" i="1" s="1"/>
  <c r="AY302" i="1"/>
  <c r="X302" i="1"/>
  <c r="BA302" i="1"/>
  <c r="AZ302" i="1"/>
  <c r="BY302" i="1"/>
  <c r="BB302" i="1"/>
  <c r="BW302" i="1"/>
  <c r="BG302" i="1" l="1"/>
  <c r="BI302" i="1" s="1"/>
  <c r="BF302" i="1"/>
  <c r="BH302" i="1" s="1"/>
  <c r="N24" i="2"/>
  <c r="T300" i="1" l="1"/>
  <c r="X300" i="1" s="1"/>
  <c r="CA300" i="1"/>
  <c r="BY300" i="1"/>
  <c r="BW300" i="1"/>
  <c r="BT300" i="1"/>
  <c r="BV300" i="1" s="1"/>
  <c r="BE300" i="1"/>
  <c r="BD300" i="1"/>
  <c r="BC300" i="1"/>
  <c r="BB300" i="1"/>
  <c r="BA300" i="1"/>
  <c r="AZ300" i="1"/>
  <c r="AY300" i="1"/>
  <c r="AI300" i="1"/>
  <c r="AH300" i="1" s="1"/>
  <c r="BG300" i="1" l="1"/>
  <c r="BI300" i="1" s="1"/>
  <c r="BF300" i="1"/>
  <c r="BH300" i="1" s="1"/>
  <c r="T298" i="1"/>
  <c r="CA233" i="1"/>
  <c r="BY233" i="1"/>
  <c r="BW233" i="1"/>
  <c r="BT233" i="1"/>
  <c r="BV233" i="1" s="1"/>
  <c r="BE233" i="1"/>
  <c r="BD233" i="1"/>
  <c r="BC233" i="1"/>
  <c r="BB233" i="1"/>
  <c r="BA233" i="1"/>
  <c r="AY233" i="1"/>
  <c r="AI233" i="1"/>
  <c r="X233" i="1"/>
  <c r="AZ233" i="1"/>
  <c r="T297" i="1"/>
  <c r="AH233" i="1" l="1"/>
  <c r="BG233" i="1"/>
  <c r="BI233" i="1" s="1"/>
  <c r="BF233" i="1"/>
  <c r="BH233" i="1" s="1"/>
  <c r="T296" i="1"/>
  <c r="T294" i="1" l="1"/>
  <c r="BW290" i="1"/>
  <c r="T295" i="1"/>
  <c r="T292" i="1"/>
  <c r="BC291" i="1" l="1"/>
  <c r="T291" i="1"/>
  <c r="T290" i="1"/>
  <c r="N23" i="2" l="1"/>
  <c r="T287" i="1"/>
  <c r="BX301" i="1" l="1"/>
  <c r="CB301" i="1" s="1"/>
  <c r="BX293" i="1"/>
  <c r="CB293" i="1" s="1"/>
  <c r="BX302" i="1"/>
  <c r="CB302" i="1" s="1"/>
  <c r="BX300" i="1"/>
  <c r="CB300" i="1" s="1"/>
  <c r="CA140" i="1"/>
  <c r="BY140" i="1"/>
  <c r="BW140" i="1"/>
  <c r="BT140" i="1"/>
  <c r="BV140" i="1" s="1"/>
  <c r="BE140" i="1"/>
  <c r="BD140" i="1"/>
  <c r="BC140" i="1"/>
  <c r="BB140" i="1"/>
  <c r="BA140" i="1"/>
  <c r="AZ140" i="1"/>
  <c r="AY140" i="1"/>
  <c r="AI140" i="1"/>
  <c r="AH140" i="1" s="1"/>
  <c r="X140" i="1"/>
  <c r="BG140" i="1" l="1"/>
  <c r="BI140" i="1" s="1"/>
  <c r="BF140" i="1"/>
  <c r="BH140" i="1" s="1"/>
  <c r="Q102" i="1"/>
  <c r="S102" i="1" s="1"/>
  <c r="CA93" i="1"/>
  <c r="BY93" i="1"/>
  <c r="BW93" i="1"/>
  <c r="BT93" i="1"/>
  <c r="BV93" i="1" s="1"/>
  <c r="BE93" i="1"/>
  <c r="BD93" i="1"/>
  <c r="BC93" i="1"/>
  <c r="BB93" i="1"/>
  <c r="BA93" i="1"/>
  <c r="AZ93" i="1"/>
  <c r="AY93" i="1"/>
  <c r="AI93" i="1"/>
  <c r="AH93" i="1" s="1"/>
  <c r="X93" i="1"/>
  <c r="BG93" i="1" l="1"/>
  <c r="BI93" i="1" s="1"/>
  <c r="BF93" i="1"/>
  <c r="BH93" i="1" s="1"/>
  <c r="CA91" i="1"/>
  <c r="BY91" i="1"/>
  <c r="BW91" i="1"/>
  <c r="BT91" i="1"/>
  <c r="BV91" i="1" s="1"/>
  <c r="BE91" i="1"/>
  <c r="BD91" i="1"/>
  <c r="BC91" i="1"/>
  <c r="BB91" i="1"/>
  <c r="BA91" i="1"/>
  <c r="AZ91" i="1"/>
  <c r="AY91" i="1"/>
  <c r="AI91" i="1"/>
  <c r="AH91" i="1" s="1"/>
  <c r="X91" i="1"/>
  <c r="Q92" i="1"/>
  <c r="S92" i="1" s="1"/>
  <c r="X92" i="1"/>
  <c r="AI92" i="1"/>
  <c r="AH92" i="1" s="1"/>
  <c r="AY92" i="1"/>
  <c r="AZ92" i="1"/>
  <c r="BA92" i="1"/>
  <c r="BB92" i="1"/>
  <c r="BC92" i="1"/>
  <c r="BD92" i="1"/>
  <c r="BE92" i="1"/>
  <c r="BT92" i="1"/>
  <c r="BV92" i="1" s="1"/>
  <c r="BW92" i="1"/>
  <c r="BY92" i="1"/>
  <c r="CA92" i="1"/>
  <c r="N22" i="2"/>
  <c r="BX93" i="1" s="1"/>
  <c r="CB93" i="1" s="1"/>
  <c r="CA90" i="1"/>
  <c r="BY90" i="1"/>
  <c r="BW90" i="1"/>
  <c r="BT90" i="1"/>
  <c r="BV90" i="1" s="1"/>
  <c r="BE90" i="1"/>
  <c r="BD90" i="1"/>
  <c r="BC90" i="1"/>
  <c r="BB90" i="1"/>
  <c r="BA90" i="1"/>
  <c r="AZ90" i="1"/>
  <c r="AY90" i="1"/>
  <c r="AI90" i="1"/>
  <c r="AH90" i="1" s="1"/>
  <c r="X90" i="1"/>
  <c r="N21" i="2"/>
  <c r="N20" i="2"/>
  <c r="CA3" i="1"/>
  <c r="BY3" i="1"/>
  <c r="BW3" i="1"/>
  <c r="BT3" i="1"/>
  <c r="BV3" i="1" s="1"/>
  <c r="BE3" i="1"/>
  <c r="BD3" i="1"/>
  <c r="BC3" i="1"/>
  <c r="BB3" i="1"/>
  <c r="BA3" i="1"/>
  <c r="AZ3" i="1"/>
  <c r="AY3" i="1"/>
  <c r="AI3" i="1"/>
  <c r="AH3" i="1" s="1"/>
  <c r="X3" i="1"/>
  <c r="CA82" i="1"/>
  <c r="BY82" i="1"/>
  <c r="BW82" i="1"/>
  <c r="BT82" i="1"/>
  <c r="BV82" i="1" s="1"/>
  <c r="BE82" i="1"/>
  <c r="BD82" i="1"/>
  <c r="BC82" i="1"/>
  <c r="BB82" i="1"/>
  <c r="BA82" i="1"/>
  <c r="AZ82" i="1"/>
  <c r="AY82" i="1"/>
  <c r="AI82" i="1"/>
  <c r="AH82" i="1" s="1"/>
  <c r="X82" i="1"/>
  <c r="CA26" i="1"/>
  <c r="BY26" i="1"/>
  <c r="BW26" i="1"/>
  <c r="BT26" i="1"/>
  <c r="BV26" i="1" s="1"/>
  <c r="BE26" i="1"/>
  <c r="BD26" i="1"/>
  <c r="BC26" i="1"/>
  <c r="BB26" i="1"/>
  <c r="BA26" i="1"/>
  <c r="AZ26" i="1"/>
  <c r="AY26" i="1"/>
  <c r="AI26" i="1"/>
  <c r="AH26" i="1" s="1"/>
  <c r="X26" i="1"/>
  <c r="CA4" i="1"/>
  <c r="BY4" i="1"/>
  <c r="BW4" i="1"/>
  <c r="BT4" i="1"/>
  <c r="BV4" i="1" s="1"/>
  <c r="BE4" i="1"/>
  <c r="BD4" i="1"/>
  <c r="BC4" i="1"/>
  <c r="BB4" i="1"/>
  <c r="BA4" i="1"/>
  <c r="AZ4" i="1"/>
  <c r="AY4" i="1"/>
  <c r="AI4" i="1"/>
  <c r="AH4" i="1" s="1"/>
  <c r="X4" i="1"/>
  <c r="Q94" i="1"/>
  <c r="S94" i="1" s="1"/>
  <c r="X94" i="1"/>
  <c r="CA96" i="1"/>
  <c r="BY96" i="1"/>
  <c r="BW96" i="1"/>
  <c r="BT96" i="1"/>
  <c r="BV96" i="1" s="1"/>
  <c r="BE96" i="1"/>
  <c r="BD96" i="1"/>
  <c r="BC96" i="1"/>
  <c r="BB96" i="1"/>
  <c r="BA96" i="1"/>
  <c r="AZ96" i="1"/>
  <c r="AY96" i="1"/>
  <c r="AI96" i="1"/>
  <c r="AH96" i="1" s="1"/>
  <c r="X96" i="1"/>
  <c r="Q96" i="1"/>
  <c r="S96" i="1" s="1"/>
  <c r="Q95" i="1"/>
  <c r="S95" i="1" s="1"/>
  <c r="CA5" i="1"/>
  <c r="BY5" i="1"/>
  <c r="BW5" i="1"/>
  <c r="BT5" i="1"/>
  <c r="BV5" i="1" s="1"/>
  <c r="BE5" i="1"/>
  <c r="BD5" i="1"/>
  <c r="BC5" i="1"/>
  <c r="BB5" i="1"/>
  <c r="BA5" i="1"/>
  <c r="AZ5" i="1"/>
  <c r="AY5" i="1"/>
  <c r="AI5" i="1"/>
  <c r="AH5" i="1" s="1"/>
  <c r="X5" i="1"/>
  <c r="CA72" i="1"/>
  <c r="BY72" i="1"/>
  <c r="BW72" i="1"/>
  <c r="BT72" i="1"/>
  <c r="BV72" i="1" s="1"/>
  <c r="BE72" i="1"/>
  <c r="BD72" i="1"/>
  <c r="BC72" i="1"/>
  <c r="BB72" i="1"/>
  <c r="BA72" i="1"/>
  <c r="AZ72" i="1"/>
  <c r="AY72" i="1"/>
  <c r="AI72" i="1"/>
  <c r="AH72" i="1" s="1"/>
  <c r="X72" i="1"/>
  <c r="BX92" i="1" l="1"/>
  <c r="CB92" i="1" s="1"/>
  <c r="BX90" i="1"/>
  <c r="CB90" i="1" s="1"/>
  <c r="BX26" i="1"/>
  <c r="CB26" i="1" s="1"/>
  <c r="BX91" i="1"/>
  <c r="CB91" i="1" s="1"/>
  <c r="BF92" i="1"/>
  <c r="BH92" i="1" s="1"/>
  <c r="BF91" i="1"/>
  <c r="BH91" i="1" s="1"/>
  <c r="BG92" i="1"/>
  <c r="BI92" i="1" s="1"/>
  <c r="BG91" i="1"/>
  <c r="BI91" i="1" s="1"/>
  <c r="BG90" i="1"/>
  <c r="BI90" i="1" s="1"/>
  <c r="BF90" i="1"/>
  <c r="BH90" i="1" s="1"/>
  <c r="BX82" i="1"/>
  <c r="CB82" i="1" s="1"/>
  <c r="BF4" i="1"/>
  <c r="BH4" i="1" s="1"/>
  <c r="BF82" i="1"/>
  <c r="BH82" i="1" s="1"/>
  <c r="BG3" i="1"/>
  <c r="BI3" i="1" s="1"/>
  <c r="BF3" i="1"/>
  <c r="BH3" i="1" s="1"/>
  <c r="BG82" i="1"/>
  <c r="BI82" i="1" s="1"/>
  <c r="BG26" i="1"/>
  <c r="BI26" i="1" s="1"/>
  <c r="BG4" i="1"/>
  <c r="BI4" i="1" s="1"/>
  <c r="BF26" i="1"/>
  <c r="BH26" i="1" s="1"/>
  <c r="BG96" i="1"/>
  <c r="BI96" i="1" s="1"/>
  <c r="BF96" i="1"/>
  <c r="BH96" i="1" s="1"/>
  <c r="BF5" i="1"/>
  <c r="BH5" i="1" s="1"/>
  <c r="BG5" i="1"/>
  <c r="BI5" i="1" s="1"/>
  <c r="BG72" i="1"/>
  <c r="BI72" i="1" s="1"/>
  <c r="BF72" i="1"/>
  <c r="BH72" i="1" s="1"/>
  <c r="CA52" i="1"/>
  <c r="BY52" i="1"/>
  <c r="BW52" i="1"/>
  <c r="BT52" i="1"/>
  <c r="BV52" i="1" s="1"/>
  <c r="BE52" i="1"/>
  <c r="BD52" i="1"/>
  <c r="BC52" i="1"/>
  <c r="BB52" i="1"/>
  <c r="BA52" i="1"/>
  <c r="AZ52" i="1"/>
  <c r="AY52" i="1"/>
  <c r="AI52" i="1"/>
  <c r="AH52" i="1" s="1"/>
  <c r="X52" i="1"/>
  <c r="CA279" i="1"/>
  <c r="BY279" i="1"/>
  <c r="BW279" i="1"/>
  <c r="BX279" i="1" s="1"/>
  <c r="BT279" i="1"/>
  <c r="BV279" i="1" s="1"/>
  <c r="BE279" i="1"/>
  <c r="BD279" i="1"/>
  <c r="BC279" i="1"/>
  <c r="BB279" i="1"/>
  <c r="BA279" i="1"/>
  <c r="AZ279" i="1"/>
  <c r="AY279" i="1"/>
  <c r="AI279" i="1"/>
  <c r="AH279" i="1" s="1"/>
  <c r="X279" i="1"/>
  <c r="N19" i="2"/>
  <c r="BX72" i="1" s="1"/>
  <c r="CB72" i="1" s="1"/>
  <c r="CA38" i="1"/>
  <c r="BY38" i="1"/>
  <c r="BW38" i="1"/>
  <c r="BX38" i="1" s="1"/>
  <c r="BT38" i="1"/>
  <c r="BV38" i="1" s="1"/>
  <c r="BE38" i="1"/>
  <c r="BD38" i="1"/>
  <c r="BC38" i="1"/>
  <c r="BB38" i="1"/>
  <c r="BA38" i="1"/>
  <c r="AZ38" i="1"/>
  <c r="AY38" i="1"/>
  <c r="AI38" i="1"/>
  <c r="AH38" i="1" s="1"/>
  <c r="X38" i="1"/>
  <c r="Q97" i="1"/>
  <c r="S97" i="1" s="1"/>
  <c r="CA6" i="1"/>
  <c r="BY6" i="1"/>
  <c r="BW6" i="1"/>
  <c r="BT6" i="1"/>
  <c r="BV6" i="1" s="1"/>
  <c r="BE6" i="1"/>
  <c r="BD6" i="1"/>
  <c r="BC6" i="1"/>
  <c r="BB6" i="1"/>
  <c r="BA6" i="1"/>
  <c r="AZ6" i="1"/>
  <c r="AY6" i="1"/>
  <c r="AI6" i="1"/>
  <c r="AH6" i="1" s="1"/>
  <c r="X6" i="1"/>
  <c r="Q99" i="1"/>
  <c r="S99" i="1" s="1"/>
  <c r="CA7" i="1"/>
  <c r="BY7" i="1"/>
  <c r="BW7" i="1"/>
  <c r="BT7" i="1"/>
  <c r="BV7" i="1" s="1"/>
  <c r="BE7" i="1"/>
  <c r="BD7" i="1"/>
  <c r="BC7" i="1"/>
  <c r="BB7" i="1"/>
  <c r="BA7" i="1"/>
  <c r="AZ7" i="1"/>
  <c r="AY7" i="1"/>
  <c r="AI7" i="1"/>
  <c r="AH7" i="1" s="1"/>
  <c r="X7" i="1"/>
  <c r="Q98" i="1"/>
  <c r="S98" i="1" s="1"/>
  <c r="CA8" i="1"/>
  <c r="BY8" i="1"/>
  <c r="BW8" i="1"/>
  <c r="BT8" i="1"/>
  <c r="BV8" i="1" s="1"/>
  <c r="BE8" i="1"/>
  <c r="BD8" i="1"/>
  <c r="BC8" i="1"/>
  <c r="BB8" i="1"/>
  <c r="BA8" i="1"/>
  <c r="AZ8" i="1"/>
  <c r="AY8" i="1"/>
  <c r="AI8" i="1"/>
  <c r="AH8" i="1" s="1"/>
  <c r="X8" i="1"/>
  <c r="Q100" i="1"/>
  <c r="S100" i="1" s="1"/>
  <c r="BX52" i="1" l="1"/>
  <c r="CB52" i="1" s="1"/>
  <c r="CB279" i="1"/>
  <c r="CB38" i="1"/>
  <c r="BF52" i="1"/>
  <c r="BH52" i="1" s="1"/>
  <c r="BG52" i="1"/>
  <c r="BI52" i="1" s="1"/>
  <c r="BG6" i="1"/>
  <c r="BI6" i="1" s="1"/>
  <c r="BG279" i="1"/>
  <c r="BI279" i="1" s="1"/>
  <c r="BF8" i="1"/>
  <c r="BH8" i="1" s="1"/>
  <c r="BF6" i="1"/>
  <c r="BH6" i="1" s="1"/>
  <c r="BF279" i="1"/>
  <c r="BH279" i="1" s="1"/>
  <c r="BG38" i="1"/>
  <c r="BI38" i="1" s="1"/>
  <c r="BF38" i="1"/>
  <c r="BH38" i="1" s="1"/>
  <c r="BG7" i="1"/>
  <c r="BI7" i="1" s="1"/>
  <c r="BF7" i="1"/>
  <c r="BH7" i="1" s="1"/>
  <c r="BG8" i="1"/>
  <c r="BI8" i="1" s="1"/>
  <c r="Q103" i="1"/>
  <c r="S103" i="1" s="1"/>
  <c r="Q108" i="1"/>
  <c r="S108" i="1" s="1"/>
  <c r="Q107" i="1" l="1"/>
  <c r="S107" i="1" s="1"/>
  <c r="AY107" i="1"/>
  <c r="CB246" i="1" l="1"/>
  <c r="CB249" i="1"/>
  <c r="CB250" i="1"/>
  <c r="CA280" i="1"/>
  <c r="BY280" i="1"/>
  <c r="BW280" i="1"/>
  <c r="BT280" i="1"/>
  <c r="BV280" i="1" s="1"/>
  <c r="BE280" i="1"/>
  <c r="BD280" i="1"/>
  <c r="BC280" i="1"/>
  <c r="BB280" i="1"/>
  <c r="BA280" i="1"/>
  <c r="AZ280" i="1"/>
  <c r="AY280" i="1"/>
  <c r="AI280" i="1"/>
  <c r="X280" i="1"/>
  <c r="Q105" i="1"/>
  <c r="S105" i="1" s="1"/>
  <c r="CA84" i="1"/>
  <c r="BY84" i="1"/>
  <c r="BW84" i="1"/>
  <c r="BT84" i="1"/>
  <c r="BV84" i="1" s="1"/>
  <c r="BE84" i="1"/>
  <c r="BD84" i="1"/>
  <c r="BC84" i="1"/>
  <c r="BB84" i="1"/>
  <c r="BA84" i="1"/>
  <c r="AZ84" i="1"/>
  <c r="AY84" i="1"/>
  <c r="AI84" i="1"/>
  <c r="X84" i="1"/>
  <c r="CA83" i="1"/>
  <c r="BY83" i="1"/>
  <c r="BW83" i="1"/>
  <c r="BT83" i="1"/>
  <c r="BV83" i="1" s="1"/>
  <c r="BE83" i="1"/>
  <c r="BD83" i="1"/>
  <c r="BC83" i="1"/>
  <c r="BB83" i="1"/>
  <c r="BA83" i="1"/>
  <c r="AZ83" i="1"/>
  <c r="AY83" i="1"/>
  <c r="AI83" i="1"/>
  <c r="X83" i="1"/>
  <c r="CA106" i="1"/>
  <c r="BY106" i="1"/>
  <c r="BW106" i="1"/>
  <c r="BT106" i="1"/>
  <c r="BV106" i="1" s="1"/>
  <c r="BE106" i="1"/>
  <c r="BD106" i="1"/>
  <c r="BC106" i="1"/>
  <c r="BB106" i="1"/>
  <c r="BA106" i="1"/>
  <c r="AZ106" i="1"/>
  <c r="AY106" i="1"/>
  <c r="AI106" i="1"/>
  <c r="AH106" i="1" s="1"/>
  <c r="X106" i="1"/>
  <c r="Q106" i="1"/>
  <c r="S106" i="1" s="1"/>
  <c r="CA10" i="1"/>
  <c r="BY10" i="1"/>
  <c r="BW10" i="1"/>
  <c r="BT10" i="1"/>
  <c r="BV10" i="1" s="1"/>
  <c r="BE10" i="1"/>
  <c r="BD10" i="1"/>
  <c r="BC10" i="1"/>
  <c r="BB10" i="1"/>
  <c r="BA10" i="1"/>
  <c r="AZ10" i="1"/>
  <c r="AY10" i="1"/>
  <c r="AI10" i="1"/>
  <c r="X10" i="1"/>
  <c r="Q109" i="1"/>
  <c r="S109" i="1" s="1"/>
  <c r="Q110" i="1"/>
  <c r="BG280" i="1" l="1"/>
  <c r="BI280" i="1" s="1"/>
  <c r="BF280" i="1"/>
  <c r="BH280" i="1" s="1"/>
  <c r="AH280" i="1"/>
  <c r="BG84" i="1"/>
  <c r="BI84" i="1" s="1"/>
  <c r="BG83" i="1"/>
  <c r="BI83" i="1" s="1"/>
  <c r="AH83" i="1"/>
  <c r="AH84" i="1"/>
  <c r="BF83" i="1"/>
  <c r="BH83" i="1" s="1"/>
  <c r="BF84" i="1"/>
  <c r="BH84" i="1" s="1"/>
  <c r="BG106" i="1"/>
  <c r="BI106" i="1" s="1"/>
  <c r="BF106" i="1"/>
  <c r="BH106" i="1" s="1"/>
  <c r="BG10" i="1"/>
  <c r="BI10" i="1" s="1"/>
  <c r="AH10" i="1"/>
  <c r="BF10" i="1"/>
  <c r="BH10" i="1" s="1"/>
  <c r="S110" i="1"/>
  <c r="Q111" i="1"/>
  <c r="S111" i="1" s="1"/>
  <c r="BD262" i="1" l="1"/>
  <c r="N18" i="2"/>
  <c r="AI262" i="1"/>
  <c r="AH262" i="1" s="1"/>
  <c r="AY262" i="1"/>
  <c r="AZ262" i="1"/>
  <c r="BA262" i="1"/>
  <c r="BB262" i="1"/>
  <c r="BC262" i="1"/>
  <c r="BE262" i="1"/>
  <c r="BT262" i="1"/>
  <c r="BV262" i="1" s="1"/>
  <c r="BW262" i="1"/>
  <c r="BX262" i="1" s="1"/>
  <c r="CB262" i="1" s="1"/>
  <c r="X262" i="1"/>
  <c r="BF262" i="1" l="1"/>
  <c r="BH262" i="1" s="1"/>
  <c r="BG262" i="1"/>
  <c r="BI262" i="1" s="1"/>
  <c r="BB286" i="1"/>
  <c r="BB11" i="1"/>
  <c r="BB12" i="1"/>
  <c r="BB13" i="1"/>
  <c r="BB14" i="1"/>
  <c r="BB15" i="1"/>
  <c r="BB16" i="1"/>
  <c r="BB17" i="1"/>
  <c r="BB18" i="1"/>
  <c r="BB19" i="1"/>
  <c r="BB20" i="1"/>
  <c r="BB21" i="1"/>
  <c r="BB22" i="1"/>
  <c r="BB23" i="1"/>
  <c r="BB24" i="1"/>
  <c r="BB25" i="1"/>
  <c r="BB30" i="1"/>
  <c r="BB31" i="1"/>
  <c r="BB32" i="1"/>
  <c r="BB33" i="1"/>
  <c r="BB34" i="1"/>
  <c r="BB35" i="1"/>
  <c r="BB36" i="1"/>
  <c r="BB37" i="1"/>
  <c r="BB39" i="1"/>
  <c r="BB40" i="1"/>
  <c r="BB41" i="1"/>
  <c r="BB42" i="1"/>
  <c r="BB43" i="1"/>
  <c r="BB44" i="1"/>
  <c r="BB45" i="1"/>
  <c r="BB46" i="1"/>
  <c r="BB47" i="1"/>
  <c r="BB48" i="1"/>
  <c r="BB49" i="1"/>
  <c r="BB50" i="1"/>
  <c r="BB51" i="1"/>
  <c r="BB53" i="1"/>
  <c r="BB54" i="1"/>
  <c r="BB55" i="1"/>
  <c r="BB56" i="1"/>
  <c r="BB57" i="1"/>
  <c r="BB58" i="1"/>
  <c r="BB59" i="1"/>
  <c r="BB60" i="1"/>
  <c r="BB61" i="1"/>
  <c r="BB62" i="1"/>
  <c r="BB63" i="1"/>
  <c r="BB64" i="1"/>
  <c r="BB65" i="1"/>
  <c r="BB66" i="1"/>
  <c r="BB67" i="1"/>
  <c r="BB68" i="1"/>
  <c r="BB69" i="1"/>
  <c r="BB70" i="1"/>
  <c r="BB71" i="1"/>
  <c r="BB73" i="1"/>
  <c r="BB74" i="1"/>
  <c r="BB75" i="1"/>
  <c r="BB76" i="1"/>
  <c r="BB77" i="1"/>
  <c r="BB78" i="1"/>
  <c r="BB79" i="1"/>
  <c r="BB80" i="1"/>
  <c r="BB81" i="1"/>
  <c r="BB85" i="1"/>
  <c r="BB86" i="1"/>
  <c r="BB87" i="1"/>
  <c r="BB88" i="1"/>
  <c r="BB89" i="1"/>
  <c r="BB94" i="1"/>
  <c r="BB95" i="1"/>
  <c r="BB97" i="1"/>
  <c r="BB98" i="1"/>
  <c r="BB99" i="1"/>
  <c r="BB100" i="1"/>
  <c r="BB102" i="1"/>
  <c r="BB103" i="1"/>
  <c r="BB105" i="1"/>
  <c r="BB107" i="1"/>
  <c r="BB108" i="1"/>
  <c r="BB109" i="1"/>
  <c r="BB110" i="1"/>
  <c r="BB111" i="1"/>
  <c r="BB112"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3" i="1"/>
  <c r="BB264" i="1"/>
  <c r="BB265" i="1"/>
  <c r="BB266" i="1"/>
  <c r="BB277" i="1"/>
  <c r="BB267" i="1"/>
  <c r="BB268" i="1"/>
  <c r="BB269" i="1"/>
  <c r="BB281" i="1"/>
  <c r="BB282" i="1"/>
  <c r="BB27" i="1"/>
  <c r="BB28" i="1"/>
  <c r="BB29" i="1"/>
  <c r="BB283" i="1"/>
  <c r="BB284" i="1"/>
  <c r="BB285" i="1"/>
  <c r="BB271" i="1"/>
  <c r="BB274" i="1"/>
  <c r="BB275" i="1"/>
  <c r="BB273" i="1"/>
  <c r="BB270" i="1"/>
  <c r="BB276" i="1"/>
  <c r="BB272" i="1"/>
  <c r="BB287" i="1"/>
  <c r="BB288" i="1"/>
  <c r="BB289" i="1"/>
  <c r="BB290" i="1"/>
  <c r="BB291" i="1"/>
  <c r="BB292" i="1"/>
  <c r="BB294" i="1"/>
  <c r="BB295" i="1"/>
  <c r="BB298" i="1"/>
  <c r="BB299" i="1"/>
  <c r="BB297" i="1"/>
  <c r="BB296" i="1"/>
  <c r="BB204" i="1"/>
  <c r="BB2" i="1"/>
  <c r="CA264" i="1" l="1"/>
  <c r="BY264" i="1"/>
  <c r="BW264" i="1"/>
  <c r="BT264" i="1"/>
  <c r="BV264" i="1" s="1"/>
  <c r="BE264" i="1"/>
  <c r="BD264" i="1"/>
  <c r="BC264" i="1"/>
  <c r="BA264" i="1"/>
  <c r="AY264" i="1"/>
  <c r="AI264" i="1"/>
  <c r="AH264" i="1" s="1"/>
  <c r="X264" i="1"/>
  <c r="K264" i="1"/>
  <c r="AZ264" i="1" s="1"/>
  <c r="BW250" i="1"/>
  <c r="BT250" i="1"/>
  <c r="BV250" i="1" s="1"/>
  <c r="BE250" i="1"/>
  <c r="BD250" i="1"/>
  <c r="BC250" i="1"/>
  <c r="BA250" i="1"/>
  <c r="AY250" i="1"/>
  <c r="AI250" i="1"/>
  <c r="X250" i="1"/>
  <c r="K250" i="1"/>
  <c r="AZ250" i="1" s="1"/>
  <c r="CA277" i="1"/>
  <c r="BY277" i="1"/>
  <c r="BW277" i="1"/>
  <c r="BT277" i="1"/>
  <c r="BV277" i="1" s="1"/>
  <c r="BE277" i="1"/>
  <c r="BD277" i="1"/>
  <c r="BC277" i="1"/>
  <c r="BA277" i="1"/>
  <c r="AZ277" i="1"/>
  <c r="AY277" i="1"/>
  <c r="AI277" i="1"/>
  <c r="AH277" i="1" s="1"/>
  <c r="X277" i="1"/>
  <c r="CA276" i="1"/>
  <c r="BY276" i="1"/>
  <c r="BW276" i="1"/>
  <c r="BT276" i="1"/>
  <c r="BV276" i="1" s="1"/>
  <c r="BE276" i="1"/>
  <c r="BD276" i="1"/>
  <c r="BC276" i="1"/>
  <c r="BA276" i="1"/>
  <c r="AZ276" i="1"/>
  <c r="AY276" i="1"/>
  <c r="AI276" i="1"/>
  <c r="AH276" i="1" s="1"/>
  <c r="X276" i="1"/>
  <c r="CA275" i="1"/>
  <c r="BY275" i="1"/>
  <c r="BW275" i="1"/>
  <c r="BT275" i="1"/>
  <c r="BV275" i="1" s="1"/>
  <c r="BE275" i="1"/>
  <c r="BD275" i="1"/>
  <c r="BC275" i="1"/>
  <c r="BA275" i="1"/>
  <c r="AZ275" i="1"/>
  <c r="AY275" i="1"/>
  <c r="AI275" i="1"/>
  <c r="AH275" i="1" s="1"/>
  <c r="X275" i="1"/>
  <c r="CA274" i="1"/>
  <c r="BY274" i="1"/>
  <c r="BW274" i="1"/>
  <c r="BT274" i="1"/>
  <c r="BV274" i="1" s="1"/>
  <c r="BE274" i="1"/>
  <c r="BD274" i="1"/>
  <c r="BC274" i="1"/>
  <c r="BA274" i="1"/>
  <c r="AZ274" i="1"/>
  <c r="AY274" i="1"/>
  <c r="AI274" i="1"/>
  <c r="AH274" i="1" s="1"/>
  <c r="X274" i="1"/>
  <c r="AH250" i="1" l="1"/>
  <c r="BG264" i="1"/>
  <c r="BI264" i="1" s="1"/>
  <c r="BG274" i="1"/>
  <c r="BI274" i="1" s="1"/>
  <c r="BG276" i="1"/>
  <c r="BI276" i="1" s="1"/>
  <c r="BG277" i="1"/>
  <c r="BI277" i="1" s="1"/>
  <c r="BG250" i="1"/>
  <c r="BI250" i="1" s="1"/>
  <c r="BG275" i="1"/>
  <c r="BI275" i="1" s="1"/>
  <c r="BF264" i="1"/>
  <c r="BH264" i="1" s="1"/>
  <c r="BF250" i="1"/>
  <c r="BH250" i="1" s="1"/>
  <c r="BF277" i="1"/>
  <c r="BH277" i="1" s="1"/>
  <c r="BF276" i="1"/>
  <c r="BH276" i="1" s="1"/>
  <c r="BF275" i="1"/>
  <c r="BH275" i="1" s="1"/>
  <c r="BF274" i="1"/>
  <c r="BH274" i="1" s="1"/>
  <c r="K269" i="1" l="1"/>
  <c r="K246" i="1" l="1"/>
  <c r="BE246" i="1" l="1"/>
  <c r="BD246" i="1"/>
  <c r="BC246" i="1"/>
  <c r="BE249" i="1"/>
  <c r="BD249" i="1"/>
  <c r="BC249" i="1"/>
  <c r="BW246" i="1"/>
  <c r="BT246" i="1"/>
  <c r="BV246" i="1" s="1"/>
  <c r="BA246" i="1"/>
  <c r="AY246" i="1"/>
  <c r="AI246" i="1"/>
  <c r="AH246" i="1" s="1"/>
  <c r="X246" i="1"/>
  <c r="AZ246" i="1"/>
  <c r="CA272" i="1"/>
  <c r="BY272" i="1"/>
  <c r="BW272" i="1"/>
  <c r="BT272" i="1"/>
  <c r="BV272" i="1" s="1"/>
  <c r="BE272" i="1"/>
  <c r="BD272" i="1"/>
  <c r="BC272" i="1"/>
  <c r="BA272" i="1"/>
  <c r="AZ272" i="1"/>
  <c r="AY272" i="1"/>
  <c r="AI272" i="1"/>
  <c r="AH272" i="1" s="1"/>
  <c r="X272" i="1"/>
  <c r="CA270" i="1"/>
  <c r="BY270" i="1"/>
  <c r="BW270" i="1"/>
  <c r="BT270" i="1"/>
  <c r="BV270" i="1" s="1"/>
  <c r="BE270" i="1"/>
  <c r="BD270" i="1"/>
  <c r="BC270" i="1"/>
  <c r="BA270" i="1"/>
  <c r="AZ270" i="1"/>
  <c r="AY270" i="1"/>
  <c r="AI270" i="1"/>
  <c r="AH270" i="1" s="1"/>
  <c r="X270" i="1"/>
  <c r="CA273" i="1"/>
  <c r="BY273" i="1"/>
  <c r="BW273" i="1"/>
  <c r="BT273" i="1"/>
  <c r="BV273" i="1" s="1"/>
  <c r="BE273" i="1"/>
  <c r="BD273" i="1"/>
  <c r="BC273" i="1"/>
  <c r="BA273" i="1"/>
  <c r="AZ273" i="1"/>
  <c r="AY273" i="1"/>
  <c r="AI273" i="1"/>
  <c r="AH273" i="1" s="1"/>
  <c r="X273" i="1"/>
  <c r="K249" i="1"/>
  <c r="AZ249" i="1" s="1"/>
  <c r="X249" i="1"/>
  <c r="AI249" i="1"/>
  <c r="AH249" i="1" s="1"/>
  <c r="AY249" i="1"/>
  <c r="BA249" i="1"/>
  <c r="BT249" i="1"/>
  <c r="BV249" i="1" s="1"/>
  <c r="BW249" i="1"/>
  <c r="BG272" i="1" l="1"/>
  <c r="BI272" i="1" s="1"/>
  <c r="BG270" i="1"/>
  <c r="BI270" i="1" s="1"/>
  <c r="BG249" i="1"/>
  <c r="BI249" i="1" s="1"/>
  <c r="BG273" i="1"/>
  <c r="BI273" i="1" s="1"/>
  <c r="BG246" i="1"/>
  <c r="BI246" i="1" s="1"/>
  <c r="BF249" i="1"/>
  <c r="BH249" i="1" s="1"/>
  <c r="BF246" i="1"/>
  <c r="BH246" i="1" s="1"/>
  <c r="BF270" i="1"/>
  <c r="BH270" i="1" s="1"/>
  <c r="BF272" i="1"/>
  <c r="BH272" i="1" s="1"/>
  <c r="BF273" i="1"/>
  <c r="BH273" i="1" s="1"/>
  <c r="B50" i="6"/>
  <c r="B49" i="6"/>
  <c r="F46" i="6"/>
  <c r="F47" i="6" s="1"/>
  <c r="E46" i="6"/>
  <c r="E47" i="6" s="1"/>
  <c r="D46" i="6"/>
  <c r="D47" i="6" s="1"/>
  <c r="C46" i="6"/>
  <c r="C47" i="6" s="1"/>
  <c r="B46" i="6"/>
  <c r="B52" i="6" s="1"/>
  <c r="B47" i="6" l="1"/>
  <c r="B51" i="6" s="1"/>
  <c r="N17" i="2"/>
  <c r="BX277" i="1" s="1"/>
  <c r="CB277"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A257" i="1"/>
  <c r="BY257" i="1"/>
  <c r="BW257" i="1"/>
  <c r="BT257" i="1"/>
  <c r="BV257" i="1" s="1"/>
  <c r="BE257" i="1"/>
  <c r="BD257" i="1"/>
  <c r="BC257" i="1"/>
  <c r="BA257" i="1"/>
  <c r="AZ257" i="1"/>
  <c r="AY257" i="1"/>
  <c r="AI257" i="1"/>
  <c r="X257" i="1"/>
  <c r="BG257" i="1" l="1"/>
  <c r="BI257" i="1" s="1"/>
  <c r="B39" i="6"/>
  <c r="BF257" i="1"/>
  <c r="BH257" i="1" s="1"/>
  <c r="AH257" i="1"/>
  <c r="BT199" i="1"/>
  <c r="BV199" i="1" s="1"/>
  <c r="BT204" i="1"/>
  <c r="BV204" i="1" s="1"/>
  <c r="AY199" i="1"/>
  <c r="AZ199" i="1"/>
  <c r="BA199" i="1"/>
  <c r="AY204" i="1"/>
  <c r="AZ204" i="1"/>
  <c r="BA204" i="1"/>
  <c r="BW204" i="1"/>
  <c r="BE199" i="1"/>
  <c r="BE204" i="1"/>
  <c r="BD199" i="1"/>
  <c r="BD204" i="1"/>
  <c r="AI199" i="1"/>
  <c r="AH199" i="1" s="1"/>
  <c r="AI204" i="1"/>
  <c r="AH204" i="1" s="1"/>
  <c r="X287" i="1"/>
  <c r="X288" i="1"/>
  <c r="X289" i="1"/>
  <c r="X290" i="1"/>
  <c r="X291" i="1"/>
  <c r="X292" i="1"/>
  <c r="X294" i="1"/>
  <c r="X295" i="1"/>
  <c r="X298" i="1"/>
  <c r="X299" i="1"/>
  <c r="X297" i="1"/>
  <c r="X296" i="1"/>
  <c r="X199" i="1"/>
  <c r="X204" i="1"/>
  <c r="N13" i="2" l="1"/>
  <c r="BX280" i="1" s="1"/>
  <c r="CB280" i="1" s="1"/>
  <c r="N14" i="2"/>
  <c r="N15" i="2"/>
  <c r="N16" i="2"/>
  <c r="N3" i="2"/>
  <c r="N4" i="2"/>
  <c r="N5" i="2"/>
  <c r="BX272" i="1" s="1"/>
  <c r="CB272" i="1" s="1"/>
  <c r="N6" i="2"/>
  <c r="N7" i="2"/>
  <c r="N8" i="2"/>
  <c r="N9" i="2"/>
  <c r="N10" i="2"/>
  <c r="N11" i="2"/>
  <c r="N12" i="2"/>
  <c r="N2" i="2"/>
  <c r="BX204" i="1" s="1"/>
  <c r="CB204" i="1" s="1"/>
  <c r="BY11" i="1"/>
  <c r="BY12" i="1"/>
  <c r="BY13" i="1"/>
  <c r="BY14" i="1"/>
  <c r="BY15" i="1"/>
  <c r="BY16" i="1"/>
  <c r="BY17" i="1"/>
  <c r="BY18" i="1"/>
  <c r="BY19" i="1"/>
  <c r="BY20" i="1"/>
  <c r="BY21" i="1"/>
  <c r="BY22" i="1"/>
  <c r="BY23" i="1"/>
  <c r="BY24" i="1"/>
  <c r="BY25" i="1"/>
  <c r="BY30" i="1"/>
  <c r="BY31" i="1"/>
  <c r="BY32" i="1"/>
  <c r="BY33" i="1"/>
  <c r="BY34" i="1"/>
  <c r="BY35" i="1"/>
  <c r="BY36" i="1"/>
  <c r="BY37" i="1"/>
  <c r="BY39" i="1"/>
  <c r="BY40" i="1"/>
  <c r="BY41" i="1"/>
  <c r="BY42" i="1"/>
  <c r="BY43" i="1"/>
  <c r="BY44" i="1"/>
  <c r="BY45" i="1"/>
  <c r="BY46" i="1"/>
  <c r="BY47" i="1"/>
  <c r="BY48" i="1"/>
  <c r="BY49" i="1"/>
  <c r="BY50" i="1"/>
  <c r="BY51" i="1"/>
  <c r="BY53" i="1"/>
  <c r="BY54" i="1"/>
  <c r="BY55" i="1"/>
  <c r="BY56" i="1"/>
  <c r="BY57" i="1"/>
  <c r="BY58" i="1"/>
  <c r="BY59" i="1"/>
  <c r="BY60" i="1"/>
  <c r="BY61" i="1"/>
  <c r="BY62" i="1"/>
  <c r="BY63" i="1"/>
  <c r="BY64" i="1"/>
  <c r="BY65" i="1"/>
  <c r="BY66" i="1"/>
  <c r="BY67" i="1"/>
  <c r="BY68" i="1"/>
  <c r="BY69" i="1"/>
  <c r="BY70" i="1"/>
  <c r="BY71" i="1"/>
  <c r="BY73" i="1"/>
  <c r="BY74" i="1"/>
  <c r="BY75" i="1"/>
  <c r="BY76" i="1"/>
  <c r="BY77" i="1"/>
  <c r="BY78" i="1"/>
  <c r="BY79" i="1"/>
  <c r="BY80" i="1"/>
  <c r="BY81" i="1"/>
  <c r="BY85" i="1"/>
  <c r="BY86" i="1"/>
  <c r="BY87" i="1"/>
  <c r="BY88" i="1"/>
  <c r="BY89" i="1"/>
  <c r="BY94" i="1"/>
  <c r="BY95" i="1"/>
  <c r="BY97" i="1"/>
  <c r="BY98" i="1"/>
  <c r="BY99" i="1"/>
  <c r="BY100" i="1"/>
  <c r="BY102" i="1"/>
  <c r="BY103" i="1"/>
  <c r="BY105" i="1"/>
  <c r="BY107" i="1"/>
  <c r="BY108" i="1"/>
  <c r="BY109" i="1"/>
  <c r="BY110" i="1"/>
  <c r="BY111" i="1"/>
  <c r="BY112" i="1"/>
  <c r="BY114" i="1"/>
  <c r="BY115" i="1"/>
  <c r="BY116" i="1"/>
  <c r="BY117" i="1"/>
  <c r="BY118" i="1"/>
  <c r="BY119" i="1"/>
  <c r="BY120" i="1"/>
  <c r="BY121" i="1"/>
  <c r="BY123" i="1"/>
  <c r="BY125" i="1"/>
  <c r="BY122" i="1"/>
  <c r="BY124" i="1"/>
  <c r="BY127" i="1"/>
  <c r="BY129" i="1"/>
  <c r="BY131" i="1"/>
  <c r="BY133" i="1"/>
  <c r="BY126" i="1"/>
  <c r="BY128" i="1"/>
  <c r="BY130" i="1"/>
  <c r="BY132" i="1"/>
  <c r="BY134" i="1"/>
  <c r="BY135" i="1"/>
  <c r="BY136" i="1"/>
  <c r="BY137" i="1"/>
  <c r="BY138" i="1"/>
  <c r="BY139"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5" i="1"/>
  <c r="BY186" i="1"/>
  <c r="BY187" i="1"/>
  <c r="BY188" i="1"/>
  <c r="BY189" i="1"/>
  <c r="BY190" i="1"/>
  <c r="BY191" i="1"/>
  <c r="BY192" i="1"/>
  <c r="BY193" i="1"/>
  <c r="BY194" i="1"/>
  <c r="BY195" i="1"/>
  <c r="BY196" i="1"/>
  <c r="BY197" i="1"/>
  <c r="BY198" i="1"/>
  <c r="BY200" i="1"/>
  <c r="BY201" i="1"/>
  <c r="BY202" i="1"/>
  <c r="BY203"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4" i="1"/>
  <c r="BY235" i="1"/>
  <c r="BY236" i="1"/>
  <c r="BY237" i="1"/>
  <c r="BY238" i="1"/>
  <c r="BY239" i="1"/>
  <c r="BY240" i="1"/>
  <c r="BY241" i="1"/>
  <c r="BY242" i="1"/>
  <c r="BY243" i="1"/>
  <c r="BY244" i="1"/>
  <c r="BY245" i="1"/>
  <c r="BY247" i="1"/>
  <c r="BY248" i="1"/>
  <c r="BY251" i="1"/>
  <c r="BY252" i="1"/>
  <c r="BY253" i="1"/>
  <c r="BY254" i="1"/>
  <c r="BY255" i="1"/>
  <c r="BY256" i="1"/>
  <c r="BY258" i="1"/>
  <c r="BY259" i="1"/>
  <c r="BY267" i="1"/>
  <c r="BY260" i="1"/>
  <c r="BY261" i="1"/>
  <c r="BY263" i="1"/>
  <c r="BY265" i="1"/>
  <c r="BY281" i="1"/>
  <c r="BY282" i="1"/>
  <c r="BY27" i="1"/>
  <c r="BY28" i="1"/>
  <c r="BY29" i="1"/>
  <c r="BY283" i="1"/>
  <c r="BY284" i="1"/>
  <c r="BY285" i="1"/>
  <c r="BY286" i="1"/>
  <c r="BY268" i="1"/>
  <c r="BY266" i="1"/>
  <c r="BY269" i="1"/>
  <c r="BY271" i="1"/>
  <c r="BY287" i="1"/>
  <c r="BY288" i="1"/>
  <c r="BY289" i="1"/>
  <c r="BY290" i="1"/>
  <c r="BY291" i="1"/>
  <c r="BY292" i="1"/>
  <c r="BY294" i="1"/>
  <c r="BY295" i="1"/>
  <c r="BY298" i="1"/>
  <c r="BY299" i="1"/>
  <c r="BY297" i="1"/>
  <c r="BY296" i="1"/>
  <c r="BY199" i="1"/>
  <c r="BY2" i="1"/>
  <c r="BW11" i="1"/>
  <c r="BW12" i="1"/>
  <c r="BW13" i="1"/>
  <c r="BW14" i="1"/>
  <c r="BW15" i="1"/>
  <c r="BW16" i="1"/>
  <c r="BW17" i="1"/>
  <c r="BW18" i="1"/>
  <c r="BW19" i="1"/>
  <c r="BW20" i="1"/>
  <c r="BW21" i="1"/>
  <c r="BW22" i="1"/>
  <c r="BW23" i="1"/>
  <c r="BW24" i="1"/>
  <c r="BW25" i="1"/>
  <c r="BW30" i="1"/>
  <c r="BX30" i="1" s="1"/>
  <c r="BW31" i="1"/>
  <c r="BW32" i="1"/>
  <c r="BW33" i="1"/>
  <c r="BW34" i="1"/>
  <c r="BW35" i="1"/>
  <c r="BW36" i="1"/>
  <c r="BW37" i="1"/>
  <c r="BW39" i="1"/>
  <c r="BW40" i="1"/>
  <c r="BW41" i="1"/>
  <c r="BW42" i="1"/>
  <c r="BW43" i="1"/>
  <c r="BW44" i="1"/>
  <c r="BW45" i="1"/>
  <c r="BX45" i="1" s="1"/>
  <c r="BW46" i="1"/>
  <c r="BW47" i="1"/>
  <c r="BW48" i="1"/>
  <c r="BW49" i="1"/>
  <c r="BW50" i="1"/>
  <c r="BW51" i="1"/>
  <c r="BW53" i="1"/>
  <c r="BW54" i="1"/>
  <c r="BW55" i="1"/>
  <c r="BW56" i="1"/>
  <c r="BW57" i="1"/>
  <c r="BW58" i="1"/>
  <c r="BW59" i="1"/>
  <c r="BW60" i="1"/>
  <c r="BW61" i="1"/>
  <c r="BW62" i="1"/>
  <c r="BX62" i="1" s="1"/>
  <c r="BW63" i="1"/>
  <c r="BW64" i="1"/>
  <c r="BW65" i="1"/>
  <c r="BW66" i="1"/>
  <c r="BW67" i="1"/>
  <c r="BW68" i="1"/>
  <c r="BW69" i="1"/>
  <c r="BW70" i="1"/>
  <c r="BW71" i="1"/>
  <c r="BW73" i="1"/>
  <c r="BW74" i="1"/>
  <c r="BW75" i="1"/>
  <c r="BW76" i="1"/>
  <c r="BW77" i="1"/>
  <c r="BW78" i="1"/>
  <c r="BW79" i="1"/>
  <c r="BX79" i="1" s="1"/>
  <c r="BW80" i="1"/>
  <c r="BW81" i="1"/>
  <c r="BW85" i="1"/>
  <c r="BW86" i="1"/>
  <c r="BW87" i="1"/>
  <c r="BW88" i="1"/>
  <c r="BW89" i="1"/>
  <c r="BW94" i="1"/>
  <c r="BX94" i="1" s="1"/>
  <c r="BW95" i="1"/>
  <c r="BX95" i="1" s="1"/>
  <c r="BW97" i="1"/>
  <c r="BX97" i="1" s="1"/>
  <c r="BW98" i="1"/>
  <c r="BX98" i="1" s="1"/>
  <c r="BW99" i="1"/>
  <c r="BX99" i="1" s="1"/>
  <c r="BW100" i="1"/>
  <c r="BX100" i="1" s="1"/>
  <c r="BW102" i="1"/>
  <c r="BX102" i="1" s="1"/>
  <c r="BW103" i="1"/>
  <c r="BX103" i="1" s="1"/>
  <c r="BW105" i="1"/>
  <c r="BX105" i="1" s="1"/>
  <c r="BW107" i="1"/>
  <c r="BX107" i="1" s="1"/>
  <c r="BW108" i="1"/>
  <c r="BX108" i="1" s="1"/>
  <c r="BW109" i="1"/>
  <c r="BW110" i="1"/>
  <c r="BW111" i="1"/>
  <c r="BW112" i="1"/>
  <c r="BW114" i="1"/>
  <c r="BW115" i="1"/>
  <c r="BW116" i="1"/>
  <c r="BW117" i="1"/>
  <c r="BX117" i="1" s="1"/>
  <c r="BW118" i="1"/>
  <c r="BX118" i="1" s="1"/>
  <c r="BW119" i="1"/>
  <c r="BX119" i="1" s="1"/>
  <c r="BW120" i="1"/>
  <c r="BX120" i="1" s="1"/>
  <c r="BW121" i="1"/>
  <c r="BX121" i="1" s="1"/>
  <c r="BW123" i="1"/>
  <c r="BX123" i="1" s="1"/>
  <c r="BW125" i="1"/>
  <c r="BX125" i="1" s="1"/>
  <c r="BW122" i="1"/>
  <c r="BX122" i="1" s="1"/>
  <c r="BW124" i="1"/>
  <c r="BX124" i="1" s="1"/>
  <c r="BW127" i="1"/>
  <c r="BW129" i="1"/>
  <c r="BW131" i="1"/>
  <c r="BW133" i="1"/>
  <c r="BW126" i="1"/>
  <c r="BW128" i="1"/>
  <c r="BW130" i="1"/>
  <c r="BW132" i="1"/>
  <c r="BX132" i="1" s="1"/>
  <c r="BW134" i="1"/>
  <c r="BX134" i="1" s="1"/>
  <c r="BW135" i="1"/>
  <c r="BX135" i="1" s="1"/>
  <c r="BW136" i="1"/>
  <c r="BX136" i="1" s="1"/>
  <c r="BW137" i="1"/>
  <c r="BX137" i="1" s="1"/>
  <c r="BW138" i="1"/>
  <c r="BX138" i="1" s="1"/>
  <c r="BW139" i="1"/>
  <c r="BX139" i="1" s="1"/>
  <c r="BW141" i="1"/>
  <c r="BX141" i="1" s="1"/>
  <c r="BW142" i="1"/>
  <c r="BX142" i="1" s="1"/>
  <c r="BW143" i="1"/>
  <c r="BX143" i="1" s="1"/>
  <c r="BW144" i="1"/>
  <c r="BW145" i="1"/>
  <c r="BW146" i="1"/>
  <c r="BW147" i="1"/>
  <c r="BW148" i="1"/>
  <c r="BW149" i="1"/>
  <c r="BW150" i="1"/>
  <c r="BX150" i="1" s="1"/>
  <c r="BW151" i="1"/>
  <c r="BX151" i="1" s="1"/>
  <c r="BW152" i="1"/>
  <c r="BX152" i="1" s="1"/>
  <c r="BW153" i="1"/>
  <c r="BX153" i="1" s="1"/>
  <c r="BW154" i="1"/>
  <c r="BX154" i="1" s="1"/>
  <c r="BW155" i="1"/>
  <c r="BX155" i="1" s="1"/>
  <c r="BW156" i="1"/>
  <c r="BX156" i="1" s="1"/>
  <c r="BW157" i="1"/>
  <c r="BX157" i="1" s="1"/>
  <c r="BW158" i="1"/>
  <c r="BX158" i="1" s="1"/>
  <c r="BW159" i="1"/>
  <c r="BW160" i="1"/>
  <c r="BW161" i="1"/>
  <c r="BW162" i="1"/>
  <c r="BX162" i="1" s="1"/>
  <c r="BW163" i="1"/>
  <c r="BW164" i="1"/>
  <c r="BW165" i="1"/>
  <c r="BW166" i="1"/>
  <c r="BX166" i="1" s="1"/>
  <c r="BW167" i="1"/>
  <c r="BX167" i="1" s="1"/>
  <c r="BW168" i="1"/>
  <c r="BX168" i="1" s="1"/>
  <c r="BW169" i="1"/>
  <c r="BX169" i="1" s="1"/>
  <c r="BW170" i="1"/>
  <c r="BX170" i="1" s="1"/>
  <c r="BW171" i="1"/>
  <c r="BX171" i="1" s="1"/>
  <c r="BW172" i="1"/>
  <c r="BX172" i="1" s="1"/>
  <c r="BW173" i="1"/>
  <c r="BX173" i="1" s="1"/>
  <c r="BW174" i="1"/>
  <c r="BX174" i="1" s="1"/>
  <c r="BW175" i="1"/>
  <c r="BX175" i="1" s="1"/>
  <c r="BW176" i="1"/>
  <c r="BX176" i="1" s="1"/>
  <c r="BW177" i="1"/>
  <c r="BX177" i="1" s="1"/>
  <c r="BW178" i="1"/>
  <c r="BW179" i="1"/>
  <c r="BX179" i="1" s="1"/>
  <c r="BW180" i="1"/>
  <c r="BX180" i="1" s="1"/>
  <c r="BW181" i="1"/>
  <c r="BW182" i="1"/>
  <c r="BX182" i="1" s="1"/>
  <c r="BW183" i="1"/>
  <c r="BX183" i="1" s="1"/>
  <c r="BW184" i="1"/>
  <c r="BX184" i="1" s="1"/>
  <c r="BW185" i="1"/>
  <c r="BX185" i="1" s="1"/>
  <c r="BW186" i="1"/>
  <c r="BX186" i="1" s="1"/>
  <c r="BW187" i="1"/>
  <c r="BX187" i="1" s="1"/>
  <c r="BW188" i="1"/>
  <c r="BX188" i="1" s="1"/>
  <c r="BW189" i="1"/>
  <c r="BX189" i="1" s="1"/>
  <c r="BW190" i="1"/>
  <c r="BX190" i="1" s="1"/>
  <c r="BW191" i="1"/>
  <c r="BW192" i="1"/>
  <c r="BW193" i="1"/>
  <c r="BX193" i="1" s="1"/>
  <c r="BW194" i="1"/>
  <c r="BW195" i="1"/>
  <c r="BX195" i="1" s="1"/>
  <c r="BW196" i="1"/>
  <c r="BX196" i="1" s="1"/>
  <c r="BW197" i="1"/>
  <c r="BX197" i="1" s="1"/>
  <c r="BW198" i="1"/>
  <c r="BX198" i="1" s="1"/>
  <c r="BW200" i="1"/>
  <c r="BX200" i="1" s="1"/>
  <c r="BW201" i="1"/>
  <c r="BX201" i="1" s="1"/>
  <c r="BW202" i="1"/>
  <c r="BX202" i="1" s="1"/>
  <c r="BW203" i="1"/>
  <c r="BX203" i="1" s="1"/>
  <c r="BW205" i="1"/>
  <c r="BX205" i="1" s="1"/>
  <c r="BW206" i="1"/>
  <c r="BX206" i="1" s="1"/>
  <c r="BW207" i="1"/>
  <c r="BX207" i="1" s="1"/>
  <c r="BW208" i="1"/>
  <c r="BX208" i="1" s="1"/>
  <c r="BW209" i="1"/>
  <c r="BX209" i="1" s="1"/>
  <c r="BW210" i="1"/>
  <c r="BX210" i="1" s="1"/>
  <c r="BW211" i="1"/>
  <c r="BX211" i="1" s="1"/>
  <c r="BW212" i="1"/>
  <c r="BW213" i="1"/>
  <c r="BW214" i="1"/>
  <c r="BW215" i="1"/>
  <c r="BW216" i="1"/>
  <c r="BW217" i="1"/>
  <c r="BX217" i="1" s="1"/>
  <c r="BW218" i="1"/>
  <c r="BX218" i="1" s="1"/>
  <c r="BW219" i="1"/>
  <c r="BX219" i="1" s="1"/>
  <c r="BW220" i="1"/>
  <c r="BX220" i="1" s="1"/>
  <c r="BW221" i="1"/>
  <c r="BX221" i="1" s="1"/>
  <c r="BW222" i="1"/>
  <c r="BX222" i="1" s="1"/>
  <c r="BW223" i="1"/>
  <c r="BX223" i="1" s="1"/>
  <c r="BW224" i="1"/>
  <c r="BX224" i="1" s="1"/>
  <c r="BW225" i="1"/>
  <c r="BW226" i="1"/>
  <c r="BW227" i="1"/>
  <c r="BW228" i="1"/>
  <c r="BW229" i="1"/>
  <c r="BW230" i="1"/>
  <c r="BX230" i="1" s="1"/>
  <c r="BW231" i="1"/>
  <c r="BX231" i="1" s="1"/>
  <c r="BW232" i="1"/>
  <c r="BX232" i="1" s="1"/>
  <c r="BW234" i="1"/>
  <c r="BX234" i="1" s="1"/>
  <c r="BW235" i="1"/>
  <c r="BX235" i="1" s="1"/>
  <c r="BW236" i="1"/>
  <c r="BX236" i="1" s="1"/>
  <c r="BW237" i="1"/>
  <c r="BX237" i="1" s="1"/>
  <c r="BW238" i="1"/>
  <c r="BX238" i="1" s="1"/>
  <c r="BW239" i="1"/>
  <c r="BX239" i="1" s="1"/>
  <c r="BW240" i="1"/>
  <c r="BX240" i="1" s="1"/>
  <c r="BW241" i="1"/>
  <c r="BX241" i="1" s="1"/>
  <c r="BW242" i="1"/>
  <c r="BX242" i="1" s="1"/>
  <c r="BW243" i="1"/>
  <c r="BX243" i="1" s="1"/>
  <c r="BW244" i="1"/>
  <c r="BX244" i="1" s="1"/>
  <c r="BW245" i="1"/>
  <c r="BX245" i="1" s="1"/>
  <c r="BW247" i="1"/>
  <c r="BW248" i="1"/>
  <c r="BW251" i="1"/>
  <c r="BW252" i="1"/>
  <c r="BW253" i="1"/>
  <c r="BX253" i="1" s="1"/>
  <c r="BW254" i="1"/>
  <c r="BX254" i="1" s="1"/>
  <c r="BW255" i="1"/>
  <c r="BX255" i="1" s="1"/>
  <c r="BW256" i="1"/>
  <c r="BX256" i="1" s="1"/>
  <c r="BW258" i="1"/>
  <c r="BX258" i="1" s="1"/>
  <c r="BW259" i="1"/>
  <c r="BX259" i="1" s="1"/>
  <c r="BW267" i="1"/>
  <c r="BX267" i="1" s="1"/>
  <c r="BW260" i="1"/>
  <c r="BX260" i="1" s="1"/>
  <c r="BW261" i="1"/>
  <c r="BW263" i="1"/>
  <c r="BX263" i="1" s="1"/>
  <c r="BW265" i="1"/>
  <c r="BX265" i="1" s="1"/>
  <c r="BW281" i="1"/>
  <c r="BX281" i="1" s="1"/>
  <c r="BW282" i="1"/>
  <c r="BX282" i="1" s="1"/>
  <c r="BW27" i="1"/>
  <c r="BW28" i="1"/>
  <c r="BW29" i="1"/>
  <c r="BX29" i="1" s="1"/>
  <c r="BW283" i="1"/>
  <c r="BX283" i="1" s="1"/>
  <c r="BW284" i="1"/>
  <c r="BX284" i="1" s="1"/>
  <c r="BW285" i="1"/>
  <c r="BW286" i="1"/>
  <c r="BW268" i="1"/>
  <c r="BX268" i="1" s="1"/>
  <c r="BW266" i="1"/>
  <c r="BX266" i="1" s="1"/>
  <c r="BW269" i="1"/>
  <c r="BX269" i="1" s="1"/>
  <c r="BW271" i="1"/>
  <c r="BX271" i="1" s="1"/>
  <c r="BW287" i="1"/>
  <c r="BW288" i="1"/>
  <c r="BW289" i="1"/>
  <c r="BW291" i="1"/>
  <c r="BW292" i="1"/>
  <c r="BW294" i="1"/>
  <c r="BX294" i="1" s="1"/>
  <c r="BW295" i="1"/>
  <c r="BX295" i="1" s="1"/>
  <c r="BW298" i="1"/>
  <c r="BW299" i="1"/>
  <c r="BW297" i="1"/>
  <c r="BW296" i="1"/>
  <c r="BW199" i="1"/>
  <c r="BX199" i="1" s="1"/>
  <c r="BW2" i="1"/>
  <c r="BX101" i="1" l="1"/>
  <c r="CB101" i="1" s="1"/>
  <c r="BX104" i="1"/>
  <c r="CB104" i="1" s="1"/>
  <c r="BX113" i="1"/>
  <c r="CB113" i="1" s="1"/>
  <c r="BX140" i="1"/>
  <c r="CB140" i="1" s="1"/>
  <c r="BX96" i="1"/>
  <c r="CB96" i="1" s="1"/>
  <c r="BX106" i="1"/>
  <c r="CB106" i="1" s="1"/>
  <c r="BX215" i="1"/>
  <c r="BX116" i="1"/>
  <c r="BX27" i="1"/>
  <c r="BX248" i="1"/>
  <c r="BX214" i="1"/>
  <c r="BX164" i="1"/>
  <c r="BX148" i="1"/>
  <c r="BX128" i="1"/>
  <c r="BX115" i="1"/>
  <c r="BX70" i="1"/>
  <c r="BX54" i="1"/>
  <c r="BX36" i="1"/>
  <c r="BX233" i="1"/>
  <c r="CB233" i="1" s="1"/>
  <c r="BX274" i="1"/>
  <c r="CB274" i="1" s="1"/>
  <c r="BX275" i="1"/>
  <c r="CB275" i="1" s="1"/>
  <c r="BX257" i="1"/>
  <c r="CB257" i="1" s="1"/>
  <c r="BX181" i="1"/>
  <c r="BX247" i="1"/>
  <c r="BX229" i="1"/>
  <c r="BX213" i="1"/>
  <c r="BX163" i="1"/>
  <c r="BX147" i="1"/>
  <c r="BX126" i="1"/>
  <c r="BX114" i="1"/>
  <c r="BX35" i="1"/>
  <c r="BX84" i="1"/>
  <c r="CB84" i="1" s="1"/>
  <c r="BX83" i="1"/>
  <c r="CB83" i="1" s="1"/>
  <c r="BX228" i="1"/>
  <c r="BX212" i="1"/>
  <c r="BX194" i="1"/>
  <c r="BX178" i="1"/>
  <c r="BX146" i="1"/>
  <c r="BX133" i="1"/>
  <c r="BX112" i="1"/>
  <c r="BX88" i="1"/>
  <c r="BX34" i="1"/>
  <c r="BX9" i="1"/>
  <c r="CB9" i="1" s="1"/>
  <c r="BX4" i="1"/>
  <c r="CB4" i="1" s="1"/>
  <c r="BX5" i="1"/>
  <c r="CB5" i="1" s="1"/>
  <c r="BX3" i="1"/>
  <c r="CB3" i="1" s="1"/>
  <c r="BX7" i="1"/>
  <c r="CB7" i="1" s="1"/>
  <c r="BX6" i="1"/>
  <c r="CB6" i="1" s="1"/>
  <c r="BX8" i="1"/>
  <c r="CB8" i="1" s="1"/>
  <c r="BX10" i="1"/>
  <c r="CB10" i="1" s="1"/>
  <c r="BX252" i="1"/>
  <c r="BX39" i="1"/>
  <c r="BX28" i="1"/>
  <c r="BX165" i="1"/>
  <c r="BX37" i="1"/>
  <c r="BX227" i="1"/>
  <c r="BX161" i="1"/>
  <c r="BX145" i="1"/>
  <c r="BX131" i="1"/>
  <c r="BX111" i="1"/>
  <c r="BX87" i="1"/>
  <c r="BX33" i="1"/>
  <c r="BX216" i="1"/>
  <c r="BX130" i="1"/>
  <c r="BX226" i="1"/>
  <c r="BX192" i="1"/>
  <c r="BX160" i="1"/>
  <c r="BX144" i="1"/>
  <c r="BX129" i="1"/>
  <c r="BX110" i="1"/>
  <c r="BX86" i="1"/>
  <c r="BX32" i="1"/>
  <c r="BX18" i="1"/>
  <c r="BX251" i="1"/>
  <c r="BX149" i="1"/>
  <c r="BX261" i="1"/>
  <c r="BX225" i="1"/>
  <c r="BX191" i="1"/>
  <c r="BX159" i="1"/>
  <c r="BX127" i="1"/>
  <c r="BX109" i="1"/>
  <c r="BX85" i="1"/>
  <c r="BX31" i="1"/>
  <c r="BX264" i="1"/>
  <c r="CB264" i="1" s="1"/>
  <c r="BX276" i="1"/>
  <c r="CB276" i="1" s="1"/>
  <c r="BX273" i="1"/>
  <c r="CB273" i="1" s="1"/>
  <c r="BX270" i="1"/>
  <c r="CB270" i="1" s="1"/>
  <c r="CB199" i="1"/>
  <c r="BX290" i="1"/>
  <c r="BX289" i="1"/>
  <c r="BX296" i="1"/>
  <c r="BX287" i="1"/>
  <c r="BX297" i="1"/>
  <c r="BX286" i="1"/>
  <c r="BX299" i="1"/>
  <c r="BX285" i="1"/>
  <c r="BX291" i="1"/>
  <c r="BX25" i="1"/>
  <c r="BX17" i="1"/>
  <c r="BX298" i="1"/>
  <c r="BX288" i="1"/>
  <c r="BX24" i="1"/>
  <c r="BX16" i="1"/>
  <c r="BX23" i="1"/>
  <c r="BX15" i="1"/>
  <c r="BX2" i="1"/>
  <c r="BX22" i="1"/>
  <c r="BX14" i="1"/>
  <c r="BX21" i="1"/>
  <c r="BX13" i="1"/>
  <c r="BX292" i="1"/>
  <c r="BX20" i="1"/>
  <c r="BX12" i="1"/>
  <c r="BX19" i="1"/>
  <c r="BX11" i="1"/>
  <c r="BX80" i="1"/>
  <c r="BX71" i="1"/>
  <c r="BX63" i="1"/>
  <c r="BX55" i="1"/>
  <c r="BX46" i="1"/>
  <c r="BX89" i="1"/>
  <c r="BX78" i="1"/>
  <c r="BX69" i="1"/>
  <c r="BX61" i="1"/>
  <c r="BX53" i="1"/>
  <c r="BX44" i="1"/>
  <c r="BX77" i="1"/>
  <c r="BX68" i="1"/>
  <c r="BX60" i="1"/>
  <c r="BX51" i="1"/>
  <c r="BX43" i="1"/>
  <c r="BX76" i="1"/>
  <c r="BX67" i="1"/>
  <c r="BX59" i="1"/>
  <c r="BX50" i="1"/>
  <c r="BX42" i="1"/>
  <c r="BX75" i="1"/>
  <c r="BX66" i="1"/>
  <c r="BX58" i="1"/>
  <c r="BX49" i="1"/>
  <c r="BX41" i="1"/>
  <c r="BX74" i="1"/>
  <c r="BX65" i="1"/>
  <c r="BX57" i="1"/>
  <c r="BX48" i="1"/>
  <c r="BX40" i="1"/>
  <c r="BX81" i="1"/>
  <c r="BX73" i="1"/>
  <c r="BX64" i="1"/>
  <c r="BX56" i="1"/>
  <c r="BX47" i="1"/>
  <c r="CA12" i="1"/>
  <c r="BT12" i="1"/>
  <c r="BV12" i="1" s="1"/>
  <c r="BE12" i="1"/>
  <c r="BD12" i="1"/>
  <c r="BC12" i="1"/>
  <c r="BA12" i="1"/>
  <c r="AZ12" i="1"/>
  <c r="AY12" i="1"/>
  <c r="AI12" i="1"/>
  <c r="X12" i="1"/>
  <c r="CB12" i="1" l="1"/>
  <c r="BG12" i="1"/>
  <c r="BI12" i="1" s="1"/>
  <c r="BF12" i="1"/>
  <c r="BH12" i="1" s="1"/>
  <c r="CA119" i="1"/>
  <c r="CB119" i="1" s="1"/>
  <c r="BT119" i="1"/>
  <c r="BV119" i="1" s="1"/>
  <c r="BE119" i="1"/>
  <c r="BD119" i="1"/>
  <c r="BC119" i="1"/>
  <c r="BA119" i="1"/>
  <c r="AZ119" i="1"/>
  <c r="AY119" i="1"/>
  <c r="AI119" i="1"/>
  <c r="X119" i="1"/>
  <c r="Q119" i="1"/>
  <c r="S119" i="1" s="1"/>
  <c r="BG119" i="1" l="1"/>
  <c r="BI119" i="1" s="1"/>
  <c r="BF119" i="1"/>
  <c r="BH119" i="1" s="1"/>
  <c r="BC204" i="1"/>
  <c r="BG204" i="1" s="1"/>
  <c r="BC199" i="1"/>
  <c r="BG199" i="1" s="1"/>
  <c r="BF199" i="1" l="1"/>
  <c r="BH199" i="1" s="1"/>
  <c r="BI199" i="1"/>
  <c r="BF204" i="1"/>
  <c r="BH204" i="1" s="1"/>
  <c r="BI204" i="1"/>
  <c r="CA33" i="1" l="1"/>
  <c r="CB33" i="1" s="1"/>
  <c r="CA34" i="1"/>
  <c r="CB34" i="1" s="1"/>
  <c r="CA35" i="1"/>
  <c r="CB35" i="1" s="1"/>
  <c r="CA36" i="1"/>
  <c r="CB36" i="1" s="1"/>
  <c r="CA37" i="1"/>
  <c r="CB37" i="1" s="1"/>
  <c r="CA39" i="1"/>
  <c r="CB39" i="1" s="1"/>
  <c r="CA40" i="1"/>
  <c r="CB40" i="1" s="1"/>
  <c r="CA41" i="1"/>
  <c r="CB41" i="1" s="1"/>
  <c r="CA42" i="1"/>
  <c r="CB42" i="1" s="1"/>
  <c r="CA43" i="1"/>
  <c r="CB43" i="1" s="1"/>
  <c r="CA44" i="1"/>
  <c r="CB44" i="1" s="1"/>
  <c r="CA45" i="1"/>
  <c r="CB45" i="1" s="1"/>
  <c r="CA46" i="1"/>
  <c r="CB46" i="1" s="1"/>
  <c r="CA47" i="1"/>
  <c r="CB47" i="1" s="1"/>
  <c r="CA48" i="1"/>
  <c r="CB48" i="1" s="1"/>
  <c r="CA49" i="1"/>
  <c r="CB49" i="1" s="1"/>
  <c r="CA50" i="1"/>
  <c r="CB50" i="1" s="1"/>
  <c r="CA51" i="1"/>
  <c r="CB51" i="1" s="1"/>
  <c r="CA53" i="1"/>
  <c r="CB53" i="1" s="1"/>
  <c r="CA54" i="1"/>
  <c r="CB54" i="1" s="1"/>
  <c r="CA55" i="1"/>
  <c r="CB55" i="1" s="1"/>
  <c r="CA56" i="1"/>
  <c r="CB56" i="1" s="1"/>
  <c r="CA57" i="1"/>
  <c r="CB57" i="1" s="1"/>
  <c r="CA58" i="1"/>
  <c r="CB58" i="1" s="1"/>
  <c r="CA59" i="1"/>
  <c r="CB59" i="1" s="1"/>
  <c r="CA60" i="1"/>
  <c r="CB60" i="1" s="1"/>
  <c r="CA61" i="1"/>
  <c r="CB61" i="1" s="1"/>
  <c r="CA62" i="1"/>
  <c r="CB62" i="1" s="1"/>
  <c r="CA63" i="1"/>
  <c r="CB63" i="1" s="1"/>
  <c r="CA64" i="1"/>
  <c r="CB64" i="1" s="1"/>
  <c r="CA65" i="1"/>
  <c r="CB65" i="1" s="1"/>
  <c r="CA66" i="1"/>
  <c r="CB66" i="1" s="1"/>
  <c r="CA67" i="1"/>
  <c r="CB67" i="1" s="1"/>
  <c r="CA68" i="1"/>
  <c r="CB68" i="1" s="1"/>
  <c r="CA69" i="1"/>
  <c r="CB69" i="1" s="1"/>
  <c r="CA70" i="1"/>
  <c r="CB70" i="1" s="1"/>
  <c r="CA71" i="1"/>
  <c r="CB71" i="1" s="1"/>
  <c r="CA73" i="1"/>
  <c r="CB73" i="1" s="1"/>
  <c r="CA74" i="1"/>
  <c r="CB74" i="1" s="1"/>
  <c r="CA75" i="1"/>
  <c r="CB75" i="1" s="1"/>
  <c r="CA76" i="1"/>
  <c r="CB76" i="1" s="1"/>
  <c r="CA77" i="1"/>
  <c r="CB77" i="1" s="1"/>
  <c r="CA78" i="1"/>
  <c r="CB78" i="1" s="1"/>
  <c r="CA79" i="1"/>
  <c r="CB79" i="1" s="1"/>
  <c r="CA80" i="1"/>
  <c r="CB80" i="1" s="1"/>
  <c r="CA81" i="1"/>
  <c r="CB81" i="1" s="1"/>
  <c r="CA85" i="1"/>
  <c r="CB85" i="1" s="1"/>
  <c r="CA86" i="1"/>
  <c r="CB86" i="1" s="1"/>
  <c r="CA87" i="1"/>
  <c r="CB87" i="1" s="1"/>
  <c r="CA88" i="1"/>
  <c r="CB88" i="1" s="1"/>
  <c r="CA89" i="1"/>
  <c r="CB89" i="1" s="1"/>
  <c r="CA94" i="1"/>
  <c r="CB94" i="1" s="1"/>
  <c r="CA95" i="1"/>
  <c r="CB95" i="1" s="1"/>
  <c r="CA97" i="1"/>
  <c r="CB97" i="1" s="1"/>
  <c r="CA98" i="1"/>
  <c r="CB98" i="1" s="1"/>
  <c r="CA99" i="1"/>
  <c r="CB99" i="1" s="1"/>
  <c r="CA100" i="1"/>
  <c r="CB100" i="1" s="1"/>
  <c r="CA102" i="1"/>
  <c r="CB102" i="1" s="1"/>
  <c r="CA103" i="1"/>
  <c r="CB103" i="1" s="1"/>
  <c r="CA105" i="1"/>
  <c r="CB105" i="1" s="1"/>
  <c r="CA107" i="1"/>
  <c r="CB107" i="1" s="1"/>
  <c r="CA108" i="1"/>
  <c r="CB108" i="1" s="1"/>
  <c r="CA109" i="1"/>
  <c r="CB109" i="1" s="1"/>
  <c r="CA110" i="1"/>
  <c r="CB110" i="1" s="1"/>
  <c r="CA111" i="1"/>
  <c r="CB111" i="1" s="1"/>
  <c r="CA112" i="1"/>
  <c r="CB112" i="1" s="1"/>
  <c r="CA114" i="1"/>
  <c r="CB114" i="1" s="1"/>
  <c r="CA115" i="1"/>
  <c r="CB115" i="1" s="1"/>
  <c r="CA116" i="1"/>
  <c r="CB116" i="1" s="1"/>
  <c r="CA117" i="1"/>
  <c r="CB117" i="1" s="1"/>
  <c r="CA118" i="1"/>
  <c r="CB118" i="1" s="1"/>
  <c r="CA120" i="1"/>
  <c r="CB120" i="1" s="1"/>
  <c r="CA121" i="1"/>
  <c r="CB121" i="1" s="1"/>
  <c r="CA123" i="1"/>
  <c r="CB123" i="1" s="1"/>
  <c r="CA125" i="1"/>
  <c r="CB125" i="1" s="1"/>
  <c r="CA122" i="1"/>
  <c r="CB122" i="1" s="1"/>
  <c r="CA124" i="1"/>
  <c r="CB124" i="1" s="1"/>
  <c r="CA127" i="1"/>
  <c r="CB127" i="1" s="1"/>
  <c r="CA129" i="1"/>
  <c r="CB129" i="1" s="1"/>
  <c r="CA131" i="1"/>
  <c r="CB131" i="1" s="1"/>
  <c r="CA133" i="1"/>
  <c r="CB133" i="1" s="1"/>
  <c r="CA126" i="1"/>
  <c r="CB126" i="1" s="1"/>
  <c r="CA128" i="1"/>
  <c r="CB128" i="1" s="1"/>
  <c r="CA130" i="1"/>
  <c r="CB130" i="1" s="1"/>
  <c r="CA132" i="1"/>
  <c r="CB132" i="1" s="1"/>
  <c r="CA134" i="1"/>
  <c r="CB134" i="1" s="1"/>
  <c r="CA135" i="1"/>
  <c r="CB135" i="1" s="1"/>
  <c r="CA136" i="1"/>
  <c r="CB136" i="1" s="1"/>
  <c r="CA137" i="1"/>
  <c r="CB137" i="1" s="1"/>
  <c r="CA138" i="1"/>
  <c r="CB138" i="1" s="1"/>
  <c r="CA139" i="1"/>
  <c r="CB139" i="1" s="1"/>
  <c r="CA141" i="1"/>
  <c r="CB141" i="1" s="1"/>
  <c r="CA142" i="1"/>
  <c r="CB142" i="1" s="1"/>
  <c r="CA143" i="1"/>
  <c r="CB143" i="1" s="1"/>
  <c r="CA144" i="1"/>
  <c r="CB144" i="1" s="1"/>
  <c r="CA145" i="1"/>
  <c r="CB145" i="1" s="1"/>
  <c r="CA146" i="1"/>
  <c r="CB146" i="1" s="1"/>
  <c r="CA147" i="1"/>
  <c r="CB147" i="1" s="1"/>
  <c r="CA148" i="1"/>
  <c r="CB148" i="1" s="1"/>
  <c r="CA149" i="1"/>
  <c r="CB149" i="1" s="1"/>
  <c r="CA150" i="1"/>
  <c r="CB150" i="1" s="1"/>
  <c r="CA151" i="1"/>
  <c r="CB151" i="1" s="1"/>
  <c r="CA152" i="1"/>
  <c r="CB152" i="1" s="1"/>
  <c r="CA153" i="1"/>
  <c r="CB153" i="1" s="1"/>
  <c r="CA154" i="1"/>
  <c r="CB154" i="1" s="1"/>
  <c r="CA155" i="1"/>
  <c r="CB155" i="1" s="1"/>
  <c r="CA156" i="1"/>
  <c r="CB156" i="1" s="1"/>
  <c r="CA157" i="1"/>
  <c r="CB157" i="1" s="1"/>
  <c r="CA158" i="1"/>
  <c r="CB158" i="1" s="1"/>
  <c r="CA159" i="1"/>
  <c r="CB159" i="1" s="1"/>
  <c r="CA160" i="1"/>
  <c r="CB160" i="1" s="1"/>
  <c r="CA161" i="1"/>
  <c r="CB161" i="1" s="1"/>
  <c r="CA162" i="1"/>
  <c r="CB162" i="1" s="1"/>
  <c r="CA163" i="1"/>
  <c r="CB163" i="1" s="1"/>
  <c r="CA164" i="1"/>
  <c r="CB164" i="1" s="1"/>
  <c r="CA165" i="1"/>
  <c r="CB165" i="1" s="1"/>
  <c r="CA166" i="1"/>
  <c r="CB166" i="1" s="1"/>
  <c r="CA167" i="1"/>
  <c r="CB167" i="1" s="1"/>
  <c r="CA168" i="1"/>
  <c r="CB168" i="1" s="1"/>
  <c r="CA169" i="1"/>
  <c r="CB169" i="1" s="1"/>
  <c r="CA170" i="1"/>
  <c r="CB170" i="1" s="1"/>
  <c r="CA171" i="1"/>
  <c r="CB171" i="1" s="1"/>
  <c r="CA172" i="1"/>
  <c r="CB172" i="1" s="1"/>
  <c r="CA173" i="1"/>
  <c r="CB173" i="1" s="1"/>
  <c r="CA174" i="1"/>
  <c r="CB174" i="1" s="1"/>
  <c r="CA175" i="1"/>
  <c r="CB175" i="1" s="1"/>
  <c r="CA176" i="1"/>
  <c r="CB176" i="1" s="1"/>
  <c r="CA177" i="1"/>
  <c r="CB177" i="1" s="1"/>
  <c r="CA178" i="1"/>
  <c r="CB178" i="1" s="1"/>
  <c r="CA179" i="1"/>
  <c r="CB179" i="1" s="1"/>
  <c r="CA180" i="1"/>
  <c r="CB180" i="1" s="1"/>
  <c r="CA181" i="1"/>
  <c r="CB181" i="1" s="1"/>
  <c r="CA182" i="1"/>
  <c r="CB182" i="1" s="1"/>
  <c r="CA183" i="1"/>
  <c r="CB183" i="1" s="1"/>
  <c r="CA184" i="1"/>
  <c r="CB184" i="1" s="1"/>
  <c r="CA185" i="1"/>
  <c r="CB185" i="1" s="1"/>
  <c r="CA186" i="1"/>
  <c r="CB186" i="1" s="1"/>
  <c r="CA187" i="1"/>
  <c r="CB187" i="1" s="1"/>
  <c r="CA188" i="1"/>
  <c r="CB188" i="1" s="1"/>
  <c r="CA189" i="1"/>
  <c r="CB189" i="1" s="1"/>
  <c r="CA190" i="1"/>
  <c r="CB190" i="1" s="1"/>
  <c r="CA191" i="1"/>
  <c r="CB191" i="1" s="1"/>
  <c r="CA192" i="1"/>
  <c r="CB192" i="1" s="1"/>
  <c r="CA193" i="1"/>
  <c r="CB193" i="1" s="1"/>
  <c r="CA194" i="1"/>
  <c r="CB194" i="1" s="1"/>
  <c r="CA195" i="1"/>
  <c r="CB195" i="1" s="1"/>
  <c r="CA196" i="1"/>
  <c r="CB196" i="1" s="1"/>
  <c r="CA197" i="1"/>
  <c r="CB197" i="1" s="1"/>
  <c r="CA198" i="1"/>
  <c r="CB198" i="1" s="1"/>
  <c r="CA200" i="1"/>
  <c r="CB200" i="1" s="1"/>
  <c r="CA201" i="1"/>
  <c r="CB201" i="1" s="1"/>
  <c r="CA202" i="1"/>
  <c r="CB202" i="1" s="1"/>
  <c r="CA203" i="1"/>
  <c r="CB203" i="1" s="1"/>
  <c r="CA205" i="1"/>
  <c r="CB205" i="1" s="1"/>
  <c r="CA206" i="1"/>
  <c r="CB206" i="1" s="1"/>
  <c r="CA207" i="1"/>
  <c r="CB207" i="1" s="1"/>
  <c r="CA208" i="1"/>
  <c r="CB208" i="1" s="1"/>
  <c r="CA209" i="1"/>
  <c r="CB209" i="1" s="1"/>
  <c r="CA210" i="1"/>
  <c r="CB210" i="1" s="1"/>
  <c r="CA211" i="1"/>
  <c r="CB211" i="1" s="1"/>
  <c r="CA212" i="1"/>
  <c r="CB212" i="1" s="1"/>
  <c r="CA213" i="1"/>
  <c r="CB213" i="1" s="1"/>
  <c r="CA214" i="1"/>
  <c r="CB214" i="1" s="1"/>
  <c r="CA215" i="1"/>
  <c r="CB215" i="1" s="1"/>
  <c r="CA216" i="1"/>
  <c r="CB216" i="1" s="1"/>
  <c r="CA217" i="1"/>
  <c r="CB217" i="1" s="1"/>
  <c r="CA218" i="1"/>
  <c r="CB218" i="1" s="1"/>
  <c r="CA219" i="1"/>
  <c r="CB219" i="1" s="1"/>
  <c r="CA220" i="1"/>
  <c r="CB220" i="1" s="1"/>
  <c r="CA221" i="1"/>
  <c r="CB221" i="1" s="1"/>
  <c r="CA222" i="1"/>
  <c r="CB222" i="1" s="1"/>
  <c r="CA223" i="1"/>
  <c r="CB223" i="1" s="1"/>
  <c r="CA224" i="1"/>
  <c r="CB224" i="1" s="1"/>
  <c r="CA225" i="1"/>
  <c r="CB225" i="1" s="1"/>
  <c r="CA226" i="1"/>
  <c r="CB226" i="1" s="1"/>
  <c r="CA227" i="1"/>
  <c r="CB227" i="1" s="1"/>
  <c r="CA228" i="1"/>
  <c r="CB228" i="1" s="1"/>
  <c r="CA229" i="1"/>
  <c r="CB229" i="1" s="1"/>
  <c r="CA230" i="1"/>
  <c r="CB230" i="1" s="1"/>
  <c r="CA231" i="1"/>
  <c r="CB231" i="1" s="1"/>
  <c r="CA232" i="1"/>
  <c r="CB232" i="1" s="1"/>
  <c r="CA234" i="1"/>
  <c r="CB234" i="1" s="1"/>
  <c r="CA235" i="1"/>
  <c r="CB235" i="1" s="1"/>
  <c r="CA236" i="1"/>
  <c r="CB236" i="1" s="1"/>
  <c r="CA237" i="1"/>
  <c r="CB237" i="1" s="1"/>
  <c r="CA238" i="1"/>
  <c r="CB238" i="1" s="1"/>
  <c r="CA239" i="1"/>
  <c r="CB239" i="1" s="1"/>
  <c r="CA240" i="1"/>
  <c r="CB240" i="1" s="1"/>
  <c r="CA241" i="1"/>
  <c r="CB241" i="1" s="1"/>
  <c r="CA242" i="1"/>
  <c r="CB242" i="1" s="1"/>
  <c r="CA243" i="1"/>
  <c r="CB243" i="1" s="1"/>
  <c r="CA244" i="1"/>
  <c r="CB244" i="1" s="1"/>
  <c r="CA245" i="1"/>
  <c r="CB245" i="1" s="1"/>
  <c r="CA247" i="1"/>
  <c r="CB247" i="1" s="1"/>
  <c r="CA248" i="1"/>
  <c r="CB248" i="1" s="1"/>
  <c r="CA251" i="1"/>
  <c r="CB251" i="1" s="1"/>
  <c r="CA252" i="1"/>
  <c r="CB252" i="1" s="1"/>
  <c r="CA253" i="1"/>
  <c r="CB253" i="1" s="1"/>
  <c r="CA254" i="1"/>
  <c r="CB254" i="1" s="1"/>
  <c r="CA255" i="1"/>
  <c r="CB255" i="1" s="1"/>
  <c r="CA256" i="1"/>
  <c r="CB256" i="1" s="1"/>
  <c r="CA258" i="1"/>
  <c r="CB258" i="1" s="1"/>
  <c r="CA259" i="1"/>
  <c r="CB259" i="1" s="1"/>
  <c r="CA267" i="1"/>
  <c r="CB267" i="1" s="1"/>
  <c r="CA260" i="1"/>
  <c r="CB260" i="1" s="1"/>
  <c r="CA261" i="1"/>
  <c r="CB261" i="1" s="1"/>
  <c r="CA263" i="1"/>
  <c r="CB263" i="1" s="1"/>
  <c r="CA265" i="1"/>
  <c r="CB265" i="1" s="1"/>
  <c r="CA281" i="1"/>
  <c r="CB281" i="1" s="1"/>
  <c r="CA282" i="1"/>
  <c r="CB282" i="1" s="1"/>
  <c r="CA27" i="1"/>
  <c r="CB27" i="1" s="1"/>
  <c r="CA28" i="1"/>
  <c r="CB28" i="1" s="1"/>
  <c r="CA29" i="1"/>
  <c r="CB29" i="1" s="1"/>
  <c r="CA283" i="1"/>
  <c r="CB283" i="1" s="1"/>
  <c r="CA284" i="1"/>
  <c r="CB284" i="1" s="1"/>
  <c r="CA285" i="1"/>
  <c r="CB285" i="1" s="1"/>
  <c r="CA286" i="1"/>
  <c r="CB286" i="1" s="1"/>
  <c r="CA268" i="1"/>
  <c r="CB268" i="1" s="1"/>
  <c r="CA266" i="1"/>
  <c r="CB266" i="1" s="1"/>
  <c r="CA269" i="1"/>
  <c r="CB269" i="1" s="1"/>
  <c r="CA271" i="1"/>
  <c r="CB271" i="1" s="1"/>
  <c r="CA287" i="1"/>
  <c r="CB287" i="1" s="1"/>
  <c r="CA288" i="1"/>
  <c r="CB288" i="1" s="1"/>
  <c r="CA289" i="1"/>
  <c r="CB289" i="1" s="1"/>
  <c r="CA290" i="1"/>
  <c r="CB290" i="1" s="1"/>
  <c r="CA291" i="1"/>
  <c r="CB291" i="1" s="1"/>
  <c r="CA292" i="1"/>
  <c r="CB292" i="1" s="1"/>
  <c r="CA294" i="1"/>
  <c r="CB294" i="1" s="1"/>
  <c r="CA295" i="1"/>
  <c r="CB295" i="1" s="1"/>
  <c r="CA298" i="1"/>
  <c r="CB298" i="1" s="1"/>
  <c r="CA299" i="1"/>
  <c r="CB299" i="1" s="1"/>
  <c r="CA297" i="1"/>
  <c r="CB297" i="1" s="1"/>
  <c r="CA296" i="1"/>
  <c r="CB296" i="1" s="1"/>
  <c r="CA2" i="1"/>
  <c r="CB2" i="1" s="1"/>
  <c r="CA11" i="1"/>
  <c r="CB11" i="1" s="1"/>
  <c r="CA13" i="1"/>
  <c r="CB13" i="1" s="1"/>
  <c r="CA14" i="1"/>
  <c r="CB14" i="1" s="1"/>
  <c r="CA15" i="1"/>
  <c r="CB15" i="1" s="1"/>
  <c r="CA16" i="1"/>
  <c r="CB16" i="1" s="1"/>
  <c r="CA17" i="1"/>
  <c r="CB17" i="1" s="1"/>
  <c r="CA18" i="1"/>
  <c r="CB18" i="1" s="1"/>
  <c r="CA19" i="1"/>
  <c r="CB19" i="1" s="1"/>
  <c r="CA20" i="1"/>
  <c r="CB20" i="1" s="1"/>
  <c r="CA21" i="1"/>
  <c r="CB21" i="1" s="1"/>
  <c r="CA22" i="1"/>
  <c r="CB22" i="1" s="1"/>
  <c r="CA23" i="1"/>
  <c r="CB23" i="1" s="1"/>
  <c r="CA24" i="1"/>
  <c r="CB24" i="1" s="1"/>
  <c r="CA25" i="1"/>
  <c r="CB25" i="1" s="1"/>
  <c r="CA30" i="1"/>
  <c r="CB30" i="1" s="1"/>
  <c r="CA31" i="1"/>
  <c r="CB31" i="1" s="1"/>
  <c r="CA32" i="1"/>
  <c r="CB32" i="1" s="1"/>
  <c r="BT13" i="1" l="1"/>
  <c r="BV13" i="1" s="1"/>
  <c r="BE13" i="1"/>
  <c r="BD13" i="1"/>
  <c r="BC13" i="1"/>
  <c r="BA13" i="1"/>
  <c r="AZ13" i="1"/>
  <c r="AY13" i="1"/>
  <c r="AI13" i="1"/>
  <c r="X13" i="1"/>
  <c r="BT15" i="1"/>
  <c r="BV15" i="1" s="1"/>
  <c r="BE15" i="1"/>
  <c r="BD15" i="1"/>
  <c r="BC15" i="1"/>
  <c r="BA15" i="1"/>
  <c r="AZ15" i="1"/>
  <c r="AY15" i="1"/>
  <c r="AI15" i="1"/>
  <c r="X15" i="1"/>
  <c r="U129" i="1"/>
  <c r="X129" i="1" s="1"/>
  <c r="Q131" i="1"/>
  <c r="S131" i="1" s="1"/>
  <c r="Q129" i="1"/>
  <c r="S129" i="1" s="1"/>
  <c r="U122" i="1"/>
  <c r="X122" i="1" s="1"/>
  <c r="BT129" i="1"/>
  <c r="BV129" i="1" s="1"/>
  <c r="BE129" i="1"/>
  <c r="BD129" i="1"/>
  <c r="BC129" i="1"/>
  <c r="BA129" i="1"/>
  <c r="AZ129" i="1"/>
  <c r="AY129" i="1"/>
  <c r="AI129" i="1"/>
  <c r="BT124" i="1"/>
  <c r="BV124" i="1" s="1"/>
  <c r="BE124" i="1"/>
  <c r="BD124" i="1"/>
  <c r="BC124" i="1"/>
  <c r="BA124" i="1"/>
  <c r="AZ124" i="1"/>
  <c r="AY124" i="1"/>
  <c r="AI124" i="1"/>
  <c r="X124" i="1"/>
  <c r="Q124" i="1"/>
  <c r="S124" i="1" s="1"/>
  <c r="BT133" i="1"/>
  <c r="BV133" i="1" s="1"/>
  <c r="BE133" i="1"/>
  <c r="BD133" i="1"/>
  <c r="BC133" i="1"/>
  <c r="BA133" i="1"/>
  <c r="AZ133" i="1"/>
  <c r="AY133" i="1"/>
  <c r="AI133" i="1"/>
  <c r="X133" i="1"/>
  <c r="Q133" i="1"/>
  <c r="S133" i="1" s="1"/>
  <c r="BT127" i="1"/>
  <c r="BV127" i="1" s="1"/>
  <c r="BE127" i="1"/>
  <c r="BD127" i="1"/>
  <c r="BC127" i="1"/>
  <c r="BA127" i="1"/>
  <c r="AZ127" i="1"/>
  <c r="AY127" i="1"/>
  <c r="AI127" i="1"/>
  <c r="X127" i="1"/>
  <c r="Q127" i="1"/>
  <c r="S127" i="1" s="1"/>
  <c r="BT122" i="1"/>
  <c r="BV122" i="1" s="1"/>
  <c r="BE122" i="1"/>
  <c r="BD122" i="1"/>
  <c r="BC122" i="1"/>
  <c r="BA122" i="1"/>
  <c r="AZ122" i="1"/>
  <c r="AY122" i="1"/>
  <c r="AI122" i="1"/>
  <c r="Q122" i="1"/>
  <c r="S122" i="1" s="1"/>
  <c r="BG129" i="1" l="1"/>
  <c r="BI129" i="1" s="1"/>
  <c r="BG133" i="1"/>
  <c r="BI133" i="1" s="1"/>
  <c r="BG122" i="1"/>
  <c r="BI122" i="1" s="1"/>
  <c r="BG15" i="1"/>
  <c r="BI15" i="1" s="1"/>
  <c r="BG124" i="1"/>
  <c r="BI124" i="1" s="1"/>
  <c r="BG13" i="1"/>
  <c r="BI13" i="1" s="1"/>
  <c r="BG127" i="1"/>
  <c r="BI127" i="1" s="1"/>
  <c r="BF13" i="1"/>
  <c r="BH13" i="1" s="1"/>
  <c r="BF15" i="1"/>
  <c r="BH15" i="1" s="1"/>
  <c r="BF129" i="1"/>
  <c r="BH129" i="1" s="1"/>
  <c r="BF124" i="1"/>
  <c r="BH124" i="1" s="1"/>
  <c r="BF127" i="1"/>
  <c r="BH127" i="1" s="1"/>
  <c r="BF133" i="1"/>
  <c r="BH133" i="1" s="1"/>
  <c r="BF122" i="1"/>
  <c r="BH122" i="1" s="1"/>
  <c r="BT88" i="1" l="1"/>
  <c r="BV88" i="1" s="1"/>
  <c r="BE88" i="1"/>
  <c r="BD88" i="1"/>
  <c r="BC88" i="1"/>
  <c r="BA88" i="1"/>
  <c r="AZ88" i="1"/>
  <c r="AY88" i="1"/>
  <c r="AI88" i="1"/>
  <c r="X88" i="1"/>
  <c r="BT85" i="1"/>
  <c r="BV85" i="1" s="1"/>
  <c r="BE85" i="1"/>
  <c r="BD85" i="1"/>
  <c r="BC85" i="1"/>
  <c r="BA85" i="1"/>
  <c r="AZ85" i="1"/>
  <c r="AY85" i="1"/>
  <c r="AI85" i="1"/>
  <c r="X85" i="1"/>
  <c r="BT87" i="1"/>
  <c r="BV87" i="1" s="1"/>
  <c r="BE87" i="1"/>
  <c r="BD87" i="1"/>
  <c r="BC87" i="1"/>
  <c r="BA87" i="1"/>
  <c r="AZ87" i="1"/>
  <c r="AY87" i="1"/>
  <c r="AI87" i="1"/>
  <c r="X87" i="1"/>
  <c r="BT86" i="1"/>
  <c r="BV86" i="1" s="1"/>
  <c r="BE86" i="1"/>
  <c r="BD86" i="1"/>
  <c r="BC86" i="1"/>
  <c r="BA86" i="1"/>
  <c r="AZ86" i="1"/>
  <c r="AY86" i="1"/>
  <c r="AI86" i="1"/>
  <c r="X86" i="1"/>
  <c r="AX37" i="1"/>
  <c r="AX36" i="1"/>
  <c r="AX35" i="1"/>
  <c r="AX34" i="1"/>
  <c r="AX33" i="1"/>
  <c r="AX32" i="1"/>
  <c r="AX31" i="1"/>
  <c r="AX30" i="1"/>
  <c r="BG85" i="1" l="1"/>
  <c r="BI85" i="1" s="1"/>
  <c r="BG86" i="1"/>
  <c r="BI86" i="1" s="1"/>
  <c r="BG88" i="1"/>
  <c r="BI88" i="1" s="1"/>
  <c r="BG87" i="1"/>
  <c r="BI87" i="1" s="1"/>
  <c r="BF87" i="1"/>
  <c r="BH87" i="1" s="1"/>
  <c r="BF88" i="1"/>
  <c r="BH88" i="1" s="1"/>
  <c r="BF85" i="1"/>
  <c r="BH85" i="1" s="1"/>
  <c r="BF86" i="1"/>
  <c r="BH86" i="1" s="1"/>
  <c r="Q112" i="1"/>
  <c r="S112" i="1" s="1"/>
  <c r="T253" i="1"/>
  <c r="X253" i="1" s="1"/>
  <c r="BT253" i="1"/>
  <c r="BV253" i="1" s="1"/>
  <c r="BE253" i="1"/>
  <c r="BD253" i="1"/>
  <c r="BC253" i="1"/>
  <c r="BA253" i="1"/>
  <c r="AZ253" i="1"/>
  <c r="AY253" i="1"/>
  <c r="AI253" i="1"/>
  <c r="T227" i="1"/>
  <c r="X227" i="1" s="1"/>
  <c r="BT227" i="1"/>
  <c r="BV227" i="1" s="1"/>
  <c r="BE227" i="1"/>
  <c r="BD227" i="1"/>
  <c r="BC227" i="1"/>
  <c r="BA227" i="1"/>
  <c r="AZ227" i="1"/>
  <c r="AY227" i="1"/>
  <c r="AI227" i="1"/>
  <c r="T248" i="1"/>
  <c r="BT247" i="1"/>
  <c r="BV247" i="1" s="1"/>
  <c r="BE247" i="1"/>
  <c r="BD247" i="1"/>
  <c r="BA247" i="1"/>
  <c r="AZ247" i="1"/>
  <c r="AY247" i="1"/>
  <c r="AI247" i="1"/>
  <c r="AG247" i="1"/>
  <c r="BC247" i="1" s="1"/>
  <c r="X247" i="1"/>
  <c r="T261" i="1"/>
  <c r="BT260" i="1"/>
  <c r="BV260" i="1" s="1"/>
  <c r="BE260" i="1"/>
  <c r="BD260" i="1"/>
  <c r="BC260" i="1"/>
  <c r="BA260" i="1"/>
  <c r="AZ260" i="1"/>
  <c r="AY260" i="1"/>
  <c r="AI260" i="1"/>
  <c r="X260" i="1"/>
  <c r="T256" i="1"/>
  <c r="X256" i="1" s="1"/>
  <c r="BT256" i="1"/>
  <c r="BV256" i="1" s="1"/>
  <c r="BE256" i="1"/>
  <c r="BD256" i="1"/>
  <c r="BC256" i="1"/>
  <c r="BA256" i="1"/>
  <c r="AY256" i="1"/>
  <c r="AI256" i="1"/>
  <c r="K256" i="1"/>
  <c r="AZ256" i="1" s="1"/>
  <c r="T236" i="1"/>
  <c r="X236" i="1" s="1"/>
  <c r="BT236" i="1"/>
  <c r="BV236" i="1" s="1"/>
  <c r="BE236" i="1"/>
  <c r="BD236" i="1"/>
  <c r="BC236" i="1"/>
  <c r="BA236" i="1"/>
  <c r="AZ236" i="1"/>
  <c r="AY236" i="1"/>
  <c r="AI236" i="1"/>
  <c r="T220" i="1"/>
  <c r="X220" i="1" s="1"/>
  <c r="BT220" i="1"/>
  <c r="BV220" i="1" s="1"/>
  <c r="BE220" i="1"/>
  <c r="BD220" i="1"/>
  <c r="BC220" i="1"/>
  <c r="BA220" i="1"/>
  <c r="AZ220" i="1"/>
  <c r="AY220" i="1"/>
  <c r="AI220" i="1"/>
  <c r="T243" i="1"/>
  <c r="X243" i="1" s="1"/>
  <c r="T252" i="1"/>
  <c r="X252" i="1" s="1"/>
  <c r="BT252" i="1"/>
  <c r="BV252" i="1" s="1"/>
  <c r="BE252" i="1"/>
  <c r="BD252" i="1"/>
  <c r="BC252" i="1"/>
  <c r="BA252" i="1"/>
  <c r="AZ252" i="1"/>
  <c r="AY252" i="1"/>
  <c r="AI252" i="1"/>
  <c r="T226" i="1"/>
  <c r="X226" i="1" s="1"/>
  <c r="BT226" i="1"/>
  <c r="BV226" i="1" s="1"/>
  <c r="BE226" i="1"/>
  <c r="BD226" i="1"/>
  <c r="BC226" i="1"/>
  <c r="BA226" i="1"/>
  <c r="AZ226" i="1"/>
  <c r="AY226" i="1"/>
  <c r="AI226" i="1"/>
  <c r="BT243" i="1"/>
  <c r="BV243" i="1" s="1"/>
  <c r="BE243" i="1"/>
  <c r="BD243" i="1"/>
  <c r="BC243" i="1"/>
  <c r="BA243" i="1"/>
  <c r="AZ243" i="1"/>
  <c r="AY243" i="1"/>
  <c r="AI243" i="1"/>
  <c r="BG253" i="1" l="1"/>
  <c r="BI253" i="1" s="1"/>
  <c r="BG260" i="1"/>
  <c r="BI260" i="1" s="1"/>
  <c r="BG220" i="1"/>
  <c r="BI220" i="1" s="1"/>
  <c r="BG243" i="1"/>
  <c r="BI243" i="1" s="1"/>
  <c r="BG236" i="1"/>
  <c r="BI236" i="1" s="1"/>
  <c r="BG247" i="1"/>
  <c r="BI247" i="1" s="1"/>
  <c r="BG226" i="1"/>
  <c r="BI226" i="1" s="1"/>
  <c r="BG256" i="1"/>
  <c r="BI256" i="1" s="1"/>
  <c r="BG227" i="1"/>
  <c r="BI227" i="1" s="1"/>
  <c r="BG252" i="1"/>
  <c r="BI252" i="1" s="1"/>
  <c r="BF260" i="1"/>
  <c r="BH260" i="1" s="1"/>
  <c r="BF247" i="1"/>
  <c r="BH247" i="1" s="1"/>
  <c r="BF243" i="1"/>
  <c r="BH243" i="1" s="1"/>
  <c r="BF252" i="1"/>
  <c r="BH252" i="1" s="1"/>
  <c r="BF256" i="1"/>
  <c r="BH256" i="1" s="1"/>
  <c r="BF236" i="1"/>
  <c r="BH236" i="1" s="1"/>
  <c r="BF253" i="1"/>
  <c r="BH253" i="1" s="1"/>
  <c r="BF227" i="1"/>
  <c r="BH227" i="1" s="1"/>
  <c r="AH260" i="1"/>
  <c r="AH236" i="1"/>
  <c r="BF220" i="1"/>
  <c r="BH220" i="1" s="1"/>
  <c r="BF226" i="1"/>
  <c r="BH226" i="1" s="1"/>
  <c r="AH243" i="1"/>
  <c r="BT33" i="1"/>
  <c r="BV33" i="1" s="1"/>
  <c r="BE33" i="1"/>
  <c r="BD33" i="1"/>
  <c r="BC33" i="1"/>
  <c r="BA33" i="1"/>
  <c r="AZ33" i="1"/>
  <c r="AY33" i="1"/>
  <c r="AI33" i="1"/>
  <c r="X33" i="1"/>
  <c r="BG33" i="1" l="1"/>
  <c r="BI33" i="1" s="1"/>
  <c r="BF33" i="1"/>
  <c r="BH33" i="1" s="1"/>
  <c r="BE32" i="1" l="1"/>
  <c r="BE30" i="1"/>
  <c r="BE31" i="1"/>
  <c r="BE282" i="1"/>
  <c r="BE73" i="1"/>
  <c r="BE67" i="1"/>
  <c r="BE53" i="1"/>
  <c r="BE39" i="1"/>
  <c r="BE35" i="1"/>
  <c r="BE37" i="1"/>
  <c r="BE36" i="1"/>
  <c r="BE34" i="1"/>
  <c r="BE62" i="1"/>
  <c r="BE80" i="1"/>
  <c r="BE74" i="1"/>
  <c r="BE89" i="1"/>
  <c r="BE40" i="1"/>
  <c r="BE63" i="1"/>
  <c r="BE54" i="1"/>
  <c r="BE68" i="1"/>
  <c r="BE55" i="1"/>
  <c r="BE81" i="1"/>
  <c r="BE48" i="1"/>
  <c r="BE75" i="1"/>
  <c r="BE56" i="1"/>
  <c r="BE64" i="1"/>
  <c r="BE69" i="1"/>
  <c r="BE57" i="1"/>
  <c r="BE41" i="1"/>
  <c r="BE49" i="1"/>
  <c r="BE66" i="1"/>
  <c r="BE42" i="1"/>
  <c r="BE50" i="1"/>
  <c r="BE79" i="1"/>
  <c r="BE77" i="1"/>
  <c r="BE70" i="1"/>
  <c r="BE60" i="1"/>
  <c r="BE43" i="1"/>
  <c r="BE65" i="1"/>
  <c r="BE76" i="1"/>
  <c r="BE61" i="1"/>
  <c r="BE51" i="1"/>
  <c r="BE44" i="1"/>
  <c r="BE58" i="1"/>
  <c r="BE78" i="1"/>
  <c r="BE46" i="1"/>
  <c r="BE45" i="1"/>
  <c r="BE47" i="1"/>
  <c r="BE59" i="1"/>
  <c r="BE71" i="1"/>
  <c r="BE2" i="1"/>
  <c r="BE11" i="1"/>
  <c r="BE14" i="1"/>
  <c r="BE16" i="1"/>
  <c r="BE17" i="1"/>
  <c r="BE18" i="1"/>
  <c r="BE19" i="1"/>
  <c r="BE20" i="1"/>
  <c r="BE21" i="1"/>
  <c r="BE22" i="1"/>
  <c r="BE23" i="1"/>
  <c r="BE24" i="1"/>
  <c r="BE25" i="1"/>
  <c r="BE94" i="1"/>
  <c r="BE95" i="1"/>
  <c r="BE97" i="1"/>
  <c r="BE98" i="1"/>
  <c r="BE99" i="1"/>
  <c r="BE100" i="1"/>
  <c r="BE102" i="1"/>
  <c r="BE103" i="1"/>
  <c r="BE105" i="1"/>
  <c r="BE107" i="1"/>
  <c r="BE108" i="1"/>
  <c r="BE109" i="1"/>
  <c r="BE110" i="1"/>
  <c r="BE111" i="1"/>
  <c r="BE112" i="1"/>
  <c r="BE131" i="1"/>
  <c r="BE263" i="1"/>
  <c r="BE211" i="1"/>
  <c r="BE27" i="1"/>
  <c r="BE28" i="1"/>
  <c r="BE29" i="1"/>
  <c r="BE283" i="1"/>
  <c r="BE284" i="1"/>
  <c r="BE285" i="1"/>
  <c r="BE286" i="1"/>
  <c r="BE268" i="1"/>
  <c r="BE266" i="1"/>
  <c r="BE269" i="1"/>
  <c r="BE271" i="1"/>
  <c r="BE287" i="1"/>
  <c r="BE288" i="1"/>
  <c r="BE289" i="1"/>
  <c r="BE290" i="1"/>
  <c r="BE291" i="1"/>
  <c r="BE292" i="1"/>
  <c r="BE294" i="1"/>
  <c r="BE295" i="1"/>
  <c r="BE298" i="1"/>
  <c r="BE299" i="1"/>
  <c r="BE297" i="1"/>
  <c r="BE296" i="1"/>
  <c r="BE213" i="1"/>
  <c r="BE214" i="1"/>
  <c r="BE215" i="1"/>
  <c r="BE216" i="1"/>
  <c r="BE217" i="1"/>
  <c r="BE171" i="1"/>
  <c r="BE218" i="1"/>
  <c r="BE219" i="1"/>
  <c r="BE221" i="1"/>
  <c r="BE222" i="1"/>
  <c r="BE223" i="1"/>
  <c r="BE224" i="1"/>
  <c r="BE225" i="1"/>
  <c r="BE228" i="1"/>
  <c r="BE229" i="1"/>
  <c r="BE230" i="1"/>
  <c r="BE231" i="1"/>
  <c r="BE232" i="1"/>
  <c r="BE234" i="1"/>
  <c r="BE235" i="1"/>
  <c r="BE237" i="1"/>
  <c r="BE238" i="1"/>
  <c r="BE239" i="1"/>
  <c r="BE240" i="1"/>
  <c r="BE241" i="1"/>
  <c r="BE244" i="1"/>
  <c r="BE245" i="1"/>
  <c r="BE248" i="1"/>
  <c r="BE251" i="1"/>
  <c r="BE254" i="1"/>
  <c r="BE255" i="1"/>
  <c r="BE258" i="1"/>
  <c r="BE259" i="1"/>
  <c r="BE261" i="1"/>
  <c r="BE265" i="1"/>
  <c r="BE267" i="1"/>
  <c r="BE242" i="1"/>
  <c r="BE114" i="1"/>
  <c r="BE115" i="1"/>
  <c r="BE116" i="1"/>
  <c r="BE212" i="1"/>
  <c r="BE117" i="1"/>
  <c r="BE118" i="1"/>
  <c r="BE120" i="1"/>
  <c r="BE121" i="1"/>
  <c r="BE123" i="1"/>
  <c r="BE125" i="1"/>
  <c r="BE126" i="1"/>
  <c r="BE128" i="1"/>
  <c r="BE130" i="1"/>
  <c r="BE132" i="1"/>
  <c r="BE134" i="1"/>
  <c r="BE135" i="1"/>
  <c r="BE136" i="1"/>
  <c r="BE137" i="1"/>
  <c r="BE138" i="1"/>
  <c r="BE139" i="1"/>
  <c r="BE141" i="1"/>
  <c r="BE142" i="1"/>
  <c r="BE144" i="1"/>
  <c r="BE143" i="1"/>
  <c r="BE145"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200" i="1"/>
  <c r="BE201" i="1"/>
  <c r="BE202" i="1"/>
  <c r="BE203" i="1"/>
  <c r="BE205" i="1"/>
  <c r="BE206" i="1"/>
  <c r="BE207" i="1"/>
  <c r="BE208" i="1"/>
  <c r="BE209" i="1"/>
  <c r="BE210" i="1"/>
  <c r="BE281" i="1"/>
  <c r="BC32" i="1"/>
  <c r="BC30" i="1"/>
  <c r="BC31" i="1"/>
  <c r="BC282" i="1"/>
  <c r="BC73" i="1"/>
  <c r="BC67" i="1"/>
  <c r="BC53" i="1"/>
  <c r="BC39" i="1"/>
  <c r="BC35" i="1"/>
  <c r="BC37" i="1"/>
  <c r="BC36" i="1"/>
  <c r="BC34" i="1"/>
  <c r="BC62" i="1"/>
  <c r="BC80" i="1"/>
  <c r="BC74" i="1"/>
  <c r="BC89" i="1"/>
  <c r="BC40" i="1"/>
  <c r="BC63" i="1"/>
  <c r="BC54" i="1"/>
  <c r="BC68" i="1"/>
  <c r="BC55" i="1"/>
  <c r="BC81" i="1"/>
  <c r="BC48" i="1"/>
  <c r="BC75" i="1"/>
  <c r="BC56" i="1"/>
  <c r="BC64" i="1"/>
  <c r="BC69" i="1"/>
  <c r="BC41" i="1"/>
  <c r="BC49" i="1"/>
  <c r="BC66" i="1"/>
  <c r="BC42" i="1"/>
  <c r="BC50" i="1"/>
  <c r="BC79" i="1"/>
  <c r="BC77" i="1"/>
  <c r="BC70" i="1"/>
  <c r="BC60" i="1"/>
  <c r="BC43" i="1"/>
  <c r="BC65" i="1"/>
  <c r="BC76" i="1"/>
  <c r="BC61" i="1"/>
  <c r="BC51" i="1"/>
  <c r="BC44" i="1"/>
  <c r="BC58" i="1"/>
  <c r="BC78" i="1"/>
  <c r="BC46" i="1"/>
  <c r="BC45" i="1"/>
  <c r="BC47" i="1"/>
  <c r="BC59" i="1"/>
  <c r="BC71" i="1"/>
  <c r="BC2" i="1"/>
  <c r="BC11" i="1"/>
  <c r="BC14" i="1"/>
  <c r="BC16" i="1"/>
  <c r="BC17" i="1"/>
  <c r="BC18" i="1"/>
  <c r="BC19" i="1"/>
  <c r="BC20" i="1"/>
  <c r="BC21" i="1"/>
  <c r="BC22" i="1"/>
  <c r="BC23" i="1"/>
  <c r="BC24" i="1"/>
  <c r="BC25" i="1"/>
  <c r="BC94" i="1"/>
  <c r="BC95" i="1"/>
  <c r="BC97" i="1"/>
  <c r="BC98" i="1"/>
  <c r="BC99" i="1"/>
  <c r="BC100" i="1"/>
  <c r="BC102" i="1"/>
  <c r="BC103" i="1"/>
  <c r="BC105" i="1"/>
  <c r="BC107" i="1"/>
  <c r="BC108" i="1"/>
  <c r="BC109" i="1"/>
  <c r="BC110" i="1"/>
  <c r="BC111" i="1"/>
  <c r="BC112" i="1"/>
  <c r="BC131" i="1"/>
  <c r="BC263" i="1"/>
  <c r="BC211" i="1"/>
  <c r="BC27" i="1"/>
  <c r="BC28" i="1"/>
  <c r="BC29" i="1"/>
  <c r="BC283" i="1"/>
  <c r="BC284" i="1"/>
  <c r="BC285" i="1"/>
  <c r="BC286" i="1"/>
  <c r="BC268" i="1"/>
  <c r="BC266" i="1"/>
  <c r="BC269" i="1"/>
  <c r="BC271" i="1"/>
  <c r="BC287" i="1"/>
  <c r="BC288" i="1"/>
  <c r="BC289" i="1"/>
  <c r="BC290" i="1"/>
  <c r="BC292" i="1"/>
  <c r="BC294" i="1"/>
  <c r="BC295" i="1"/>
  <c r="BC298" i="1"/>
  <c r="BC299" i="1"/>
  <c r="BC297" i="1"/>
  <c r="BC296" i="1"/>
  <c r="BC213" i="1"/>
  <c r="BC214" i="1"/>
  <c r="BC215" i="1"/>
  <c r="BC217" i="1"/>
  <c r="BC171" i="1"/>
  <c r="BC218" i="1"/>
  <c r="BC219" i="1"/>
  <c r="BC221" i="1"/>
  <c r="BC222" i="1"/>
  <c r="BC223" i="1"/>
  <c r="BC224" i="1"/>
  <c r="BC225" i="1"/>
  <c r="BC228" i="1"/>
  <c r="BC229" i="1"/>
  <c r="BC230" i="1"/>
  <c r="BC231" i="1"/>
  <c r="BC232" i="1"/>
  <c r="BC234" i="1"/>
  <c r="BC235" i="1"/>
  <c r="BC237" i="1"/>
  <c r="BC238" i="1"/>
  <c r="BC239" i="1"/>
  <c r="BC240" i="1"/>
  <c r="BC241" i="1"/>
  <c r="BC244" i="1"/>
  <c r="BC245" i="1"/>
  <c r="BC251" i="1"/>
  <c r="BC254" i="1"/>
  <c r="BC255" i="1"/>
  <c r="BC258" i="1"/>
  <c r="BC259" i="1"/>
  <c r="BC261" i="1"/>
  <c r="BC265" i="1"/>
  <c r="BC267" i="1"/>
  <c r="BC242" i="1"/>
  <c r="BC114" i="1"/>
  <c r="BC115" i="1"/>
  <c r="BC116" i="1"/>
  <c r="BC212" i="1"/>
  <c r="BC117" i="1"/>
  <c r="BC118" i="1"/>
  <c r="BC120" i="1"/>
  <c r="BC121" i="1"/>
  <c r="BC123" i="1"/>
  <c r="BC125" i="1"/>
  <c r="BC126" i="1"/>
  <c r="BC128" i="1"/>
  <c r="BC130" i="1"/>
  <c r="BC132" i="1"/>
  <c r="BC134" i="1"/>
  <c r="BC135" i="1"/>
  <c r="BC136" i="1"/>
  <c r="BC137" i="1"/>
  <c r="BC138" i="1"/>
  <c r="BC139" i="1"/>
  <c r="BC141" i="1"/>
  <c r="BC142" i="1"/>
  <c r="BC144" i="1"/>
  <c r="BC143"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200" i="1"/>
  <c r="BC201" i="1"/>
  <c r="BC202" i="1"/>
  <c r="BC203" i="1"/>
  <c r="BC205" i="1"/>
  <c r="BC206" i="1"/>
  <c r="BC207" i="1"/>
  <c r="BC208" i="1"/>
  <c r="BC209" i="1"/>
  <c r="BC210" i="1"/>
  <c r="BC281" i="1"/>
  <c r="AY32" i="1"/>
  <c r="AZ32" i="1"/>
  <c r="BA32" i="1"/>
  <c r="BD32" i="1"/>
  <c r="AY30" i="1"/>
  <c r="AZ30" i="1"/>
  <c r="BA30" i="1"/>
  <c r="BD30" i="1"/>
  <c r="AY31" i="1"/>
  <c r="AZ31" i="1"/>
  <c r="BA31" i="1"/>
  <c r="BD31" i="1"/>
  <c r="AY282" i="1"/>
  <c r="AZ282" i="1"/>
  <c r="BA282" i="1"/>
  <c r="BD282" i="1"/>
  <c r="AY73" i="1"/>
  <c r="AZ73" i="1"/>
  <c r="BA73" i="1"/>
  <c r="BD73" i="1"/>
  <c r="AY67" i="1"/>
  <c r="AZ67" i="1"/>
  <c r="BA67" i="1"/>
  <c r="BD67" i="1"/>
  <c r="AY53" i="1"/>
  <c r="AZ53" i="1"/>
  <c r="BA53" i="1"/>
  <c r="BD53" i="1"/>
  <c r="AY39" i="1"/>
  <c r="AZ39" i="1"/>
  <c r="BA39" i="1"/>
  <c r="BD39" i="1"/>
  <c r="AY35" i="1"/>
  <c r="AZ35" i="1"/>
  <c r="BA35" i="1"/>
  <c r="BD35" i="1"/>
  <c r="AY37" i="1"/>
  <c r="AZ37" i="1"/>
  <c r="BA37" i="1"/>
  <c r="BD37" i="1"/>
  <c r="AY36" i="1"/>
  <c r="AZ36" i="1"/>
  <c r="BA36" i="1"/>
  <c r="BD36" i="1"/>
  <c r="AY34" i="1"/>
  <c r="AZ34" i="1"/>
  <c r="BA34" i="1"/>
  <c r="BD34" i="1"/>
  <c r="AY62" i="1"/>
  <c r="AZ62" i="1"/>
  <c r="BA62" i="1"/>
  <c r="BD62" i="1"/>
  <c r="AY80" i="1"/>
  <c r="AZ80" i="1"/>
  <c r="BA80" i="1"/>
  <c r="BD80" i="1"/>
  <c r="AY74" i="1"/>
  <c r="AZ74" i="1"/>
  <c r="BA74" i="1"/>
  <c r="BD74" i="1"/>
  <c r="AY89" i="1"/>
  <c r="AZ89" i="1"/>
  <c r="BA89" i="1"/>
  <c r="BD89" i="1"/>
  <c r="AY40" i="1"/>
  <c r="AZ40" i="1"/>
  <c r="BA40" i="1"/>
  <c r="BD40" i="1"/>
  <c r="AY63" i="1"/>
  <c r="AZ63" i="1"/>
  <c r="BA63" i="1"/>
  <c r="BD63" i="1"/>
  <c r="AY54" i="1"/>
  <c r="AZ54" i="1"/>
  <c r="BA54" i="1"/>
  <c r="BD54" i="1"/>
  <c r="AY68" i="1"/>
  <c r="AZ68" i="1"/>
  <c r="BA68" i="1"/>
  <c r="BD68" i="1"/>
  <c r="AY55" i="1"/>
  <c r="AZ55" i="1"/>
  <c r="BA55" i="1"/>
  <c r="BD55" i="1"/>
  <c r="AY81" i="1"/>
  <c r="AZ81" i="1"/>
  <c r="BA81" i="1"/>
  <c r="BD81" i="1"/>
  <c r="AY48" i="1"/>
  <c r="AZ48" i="1"/>
  <c r="BA48" i="1"/>
  <c r="BD48" i="1"/>
  <c r="AY75" i="1"/>
  <c r="AZ75" i="1"/>
  <c r="BA75" i="1"/>
  <c r="BD75" i="1"/>
  <c r="AY56" i="1"/>
  <c r="AZ56" i="1"/>
  <c r="BA56" i="1"/>
  <c r="BD56" i="1"/>
  <c r="AY64" i="1"/>
  <c r="AZ64" i="1"/>
  <c r="BA64" i="1"/>
  <c r="BD64" i="1"/>
  <c r="AY69" i="1"/>
  <c r="AZ69" i="1"/>
  <c r="BA69" i="1"/>
  <c r="BD69" i="1"/>
  <c r="AY57" i="1"/>
  <c r="AZ57" i="1"/>
  <c r="BA57" i="1"/>
  <c r="BD57" i="1"/>
  <c r="AY41" i="1"/>
  <c r="AZ41" i="1"/>
  <c r="BA41" i="1"/>
  <c r="BD41" i="1"/>
  <c r="AY49" i="1"/>
  <c r="AZ49" i="1"/>
  <c r="BA49" i="1"/>
  <c r="BD49" i="1"/>
  <c r="AY66" i="1"/>
  <c r="AZ66" i="1"/>
  <c r="BA66" i="1"/>
  <c r="BD66" i="1"/>
  <c r="AY42" i="1"/>
  <c r="AZ42" i="1"/>
  <c r="BA42" i="1"/>
  <c r="BD42" i="1"/>
  <c r="AY50" i="1"/>
  <c r="AZ50" i="1"/>
  <c r="BA50" i="1"/>
  <c r="BD50" i="1"/>
  <c r="AY79" i="1"/>
  <c r="AZ79" i="1"/>
  <c r="BA79" i="1"/>
  <c r="BD79" i="1"/>
  <c r="AY77" i="1"/>
  <c r="AZ77" i="1"/>
  <c r="BA77" i="1"/>
  <c r="BD77" i="1"/>
  <c r="AY70" i="1"/>
  <c r="AZ70" i="1"/>
  <c r="BA70" i="1"/>
  <c r="BD70" i="1"/>
  <c r="AY60" i="1"/>
  <c r="AZ60" i="1"/>
  <c r="BA60" i="1"/>
  <c r="BD60" i="1"/>
  <c r="AY43" i="1"/>
  <c r="AZ43" i="1"/>
  <c r="BA43" i="1"/>
  <c r="BD43" i="1"/>
  <c r="AY65" i="1"/>
  <c r="AZ65" i="1"/>
  <c r="BA65" i="1"/>
  <c r="BD65" i="1"/>
  <c r="AY76" i="1"/>
  <c r="AZ76" i="1"/>
  <c r="BA76" i="1"/>
  <c r="BD76" i="1"/>
  <c r="AY61" i="1"/>
  <c r="AZ61" i="1"/>
  <c r="BA61" i="1"/>
  <c r="BD61" i="1"/>
  <c r="AY51" i="1"/>
  <c r="AZ51" i="1"/>
  <c r="BA51" i="1"/>
  <c r="BD51" i="1"/>
  <c r="AY44" i="1"/>
  <c r="AZ44" i="1"/>
  <c r="BA44" i="1"/>
  <c r="BD44" i="1"/>
  <c r="AY58" i="1"/>
  <c r="AZ58" i="1"/>
  <c r="BA58" i="1"/>
  <c r="BD58" i="1"/>
  <c r="AY78" i="1"/>
  <c r="AZ78" i="1"/>
  <c r="BA78" i="1"/>
  <c r="BD78" i="1"/>
  <c r="AY46" i="1"/>
  <c r="AZ46" i="1"/>
  <c r="BA46" i="1"/>
  <c r="BD46" i="1"/>
  <c r="AY45" i="1"/>
  <c r="AZ45" i="1"/>
  <c r="BA45" i="1"/>
  <c r="BD45" i="1"/>
  <c r="AY47" i="1"/>
  <c r="AZ47" i="1"/>
  <c r="BA47" i="1"/>
  <c r="BD47" i="1"/>
  <c r="AY59" i="1"/>
  <c r="AZ59" i="1"/>
  <c r="BA59" i="1"/>
  <c r="BD59" i="1"/>
  <c r="AY71" i="1"/>
  <c r="AZ71" i="1"/>
  <c r="BA71" i="1"/>
  <c r="BD71" i="1"/>
  <c r="AY2" i="1"/>
  <c r="AZ2" i="1"/>
  <c r="BA2" i="1"/>
  <c r="BD2" i="1"/>
  <c r="AY11" i="1"/>
  <c r="AZ11" i="1"/>
  <c r="BA11" i="1"/>
  <c r="BD11" i="1"/>
  <c r="AY14" i="1"/>
  <c r="AZ14" i="1"/>
  <c r="BA14" i="1"/>
  <c r="BD14" i="1"/>
  <c r="AY16" i="1"/>
  <c r="AZ16" i="1"/>
  <c r="BA16" i="1"/>
  <c r="BD16" i="1"/>
  <c r="AY17" i="1"/>
  <c r="AZ17" i="1"/>
  <c r="BA17" i="1"/>
  <c r="BD17" i="1"/>
  <c r="AY18" i="1"/>
  <c r="AZ18" i="1"/>
  <c r="BA18" i="1"/>
  <c r="BD18" i="1"/>
  <c r="AY19" i="1"/>
  <c r="AZ19" i="1"/>
  <c r="BA19" i="1"/>
  <c r="BD19" i="1"/>
  <c r="AY20" i="1"/>
  <c r="AZ20" i="1"/>
  <c r="BA20" i="1"/>
  <c r="BD20" i="1"/>
  <c r="AY21" i="1"/>
  <c r="AZ21" i="1"/>
  <c r="BA21" i="1"/>
  <c r="BD21" i="1"/>
  <c r="AY22" i="1"/>
  <c r="AZ22" i="1"/>
  <c r="BA22" i="1"/>
  <c r="BD22" i="1"/>
  <c r="AY23" i="1"/>
  <c r="AZ23" i="1"/>
  <c r="BA23" i="1"/>
  <c r="BD23" i="1"/>
  <c r="AY24" i="1"/>
  <c r="AZ24" i="1"/>
  <c r="BA24" i="1"/>
  <c r="BD24" i="1"/>
  <c r="AY25" i="1"/>
  <c r="AZ25" i="1"/>
  <c r="BA25" i="1"/>
  <c r="BD25" i="1"/>
  <c r="AY94" i="1"/>
  <c r="AZ94" i="1"/>
  <c r="BA94" i="1"/>
  <c r="BD94" i="1"/>
  <c r="AY95" i="1"/>
  <c r="AZ95" i="1"/>
  <c r="BA95" i="1"/>
  <c r="BD95" i="1"/>
  <c r="AY97" i="1"/>
  <c r="AZ97" i="1"/>
  <c r="BA97" i="1"/>
  <c r="BD97" i="1"/>
  <c r="AY98" i="1"/>
  <c r="AZ98" i="1"/>
  <c r="BA98" i="1"/>
  <c r="BD98" i="1"/>
  <c r="AY99" i="1"/>
  <c r="AZ99" i="1"/>
  <c r="BA99" i="1"/>
  <c r="BD99" i="1"/>
  <c r="AY100" i="1"/>
  <c r="AZ100" i="1"/>
  <c r="BA100" i="1"/>
  <c r="BD100" i="1"/>
  <c r="AY102" i="1"/>
  <c r="AZ102" i="1"/>
  <c r="BA102" i="1"/>
  <c r="BD102" i="1"/>
  <c r="AY103" i="1"/>
  <c r="AZ103" i="1"/>
  <c r="BA103" i="1"/>
  <c r="BD103" i="1"/>
  <c r="AY105" i="1"/>
  <c r="AZ105" i="1"/>
  <c r="BA105" i="1"/>
  <c r="BD105" i="1"/>
  <c r="AZ107" i="1"/>
  <c r="BA107" i="1"/>
  <c r="BD107" i="1"/>
  <c r="AY108" i="1"/>
  <c r="AZ108" i="1"/>
  <c r="BA108" i="1"/>
  <c r="BD108" i="1"/>
  <c r="AY109" i="1"/>
  <c r="AZ109" i="1"/>
  <c r="BA109" i="1"/>
  <c r="BD109" i="1"/>
  <c r="AY110" i="1"/>
  <c r="AZ110" i="1"/>
  <c r="BA110" i="1"/>
  <c r="BD110" i="1"/>
  <c r="AY111" i="1"/>
  <c r="AZ111" i="1"/>
  <c r="BA111" i="1"/>
  <c r="BD111" i="1"/>
  <c r="AY112" i="1"/>
  <c r="AZ112" i="1"/>
  <c r="BA112" i="1"/>
  <c r="BD112" i="1"/>
  <c r="AY131" i="1"/>
  <c r="AZ131" i="1"/>
  <c r="BA131" i="1"/>
  <c r="BD131" i="1"/>
  <c r="AY263" i="1"/>
  <c r="BA263" i="1"/>
  <c r="BD263" i="1"/>
  <c r="AY211" i="1"/>
  <c r="AZ211" i="1"/>
  <c r="BA211" i="1"/>
  <c r="BD211" i="1"/>
  <c r="AY27" i="1"/>
  <c r="AZ27" i="1"/>
  <c r="BA27" i="1"/>
  <c r="BD27" i="1"/>
  <c r="AY28" i="1"/>
  <c r="AZ28" i="1"/>
  <c r="BA28" i="1"/>
  <c r="BD28" i="1"/>
  <c r="AY29" i="1"/>
  <c r="AZ29" i="1"/>
  <c r="BA29" i="1"/>
  <c r="BD29" i="1"/>
  <c r="AY283" i="1"/>
  <c r="AZ283" i="1"/>
  <c r="BA283" i="1"/>
  <c r="BD283" i="1"/>
  <c r="AY284" i="1"/>
  <c r="AZ284" i="1"/>
  <c r="BA284" i="1"/>
  <c r="BD284" i="1"/>
  <c r="AY285" i="1"/>
  <c r="AZ285" i="1"/>
  <c r="BA285" i="1"/>
  <c r="BD285" i="1"/>
  <c r="AY286" i="1"/>
  <c r="AZ286" i="1"/>
  <c r="BA286" i="1"/>
  <c r="BD286" i="1"/>
  <c r="AY268" i="1"/>
  <c r="AZ268" i="1"/>
  <c r="BA268" i="1"/>
  <c r="BD268" i="1"/>
  <c r="AY266" i="1"/>
  <c r="AZ266" i="1"/>
  <c r="BA266" i="1"/>
  <c r="BD266" i="1"/>
  <c r="AY269" i="1"/>
  <c r="AZ269" i="1"/>
  <c r="BA269" i="1"/>
  <c r="BD269" i="1"/>
  <c r="AY271" i="1"/>
  <c r="AZ271" i="1"/>
  <c r="BA271" i="1"/>
  <c r="BD271" i="1"/>
  <c r="AY287" i="1"/>
  <c r="AZ287" i="1"/>
  <c r="BA287" i="1"/>
  <c r="BD287" i="1"/>
  <c r="AY288" i="1"/>
  <c r="AZ288" i="1"/>
  <c r="BA288" i="1"/>
  <c r="BD288" i="1"/>
  <c r="AY289" i="1"/>
  <c r="AZ289" i="1"/>
  <c r="BA289" i="1"/>
  <c r="BD289" i="1"/>
  <c r="AY290" i="1"/>
  <c r="AZ290" i="1"/>
  <c r="BA290" i="1"/>
  <c r="BD290" i="1"/>
  <c r="AY291" i="1"/>
  <c r="AZ291" i="1"/>
  <c r="BA291" i="1"/>
  <c r="BD291" i="1"/>
  <c r="AY292" i="1"/>
  <c r="AZ292" i="1"/>
  <c r="BA292" i="1"/>
  <c r="BD292" i="1"/>
  <c r="AY294" i="1"/>
  <c r="AZ294" i="1"/>
  <c r="BA294" i="1"/>
  <c r="BD294" i="1"/>
  <c r="AY295" i="1"/>
  <c r="AZ295" i="1"/>
  <c r="BA295" i="1"/>
  <c r="BD295" i="1"/>
  <c r="AY298" i="1"/>
  <c r="AZ298" i="1"/>
  <c r="BA298" i="1"/>
  <c r="BD298" i="1"/>
  <c r="AY299" i="1"/>
  <c r="AZ299" i="1"/>
  <c r="BA299" i="1"/>
  <c r="BD299" i="1"/>
  <c r="AY297" i="1"/>
  <c r="AZ297" i="1"/>
  <c r="BA297" i="1"/>
  <c r="BD297" i="1"/>
  <c r="AY296" i="1"/>
  <c r="AZ296" i="1"/>
  <c r="BA296" i="1"/>
  <c r="BD296" i="1"/>
  <c r="AY213" i="1"/>
  <c r="AZ213" i="1"/>
  <c r="BA213" i="1"/>
  <c r="BD213" i="1"/>
  <c r="AY214" i="1"/>
  <c r="AZ214" i="1"/>
  <c r="BA214" i="1"/>
  <c r="BD214" i="1"/>
  <c r="AY215" i="1"/>
  <c r="AZ215" i="1"/>
  <c r="BA215" i="1"/>
  <c r="BD215" i="1"/>
  <c r="AY216" i="1"/>
  <c r="AZ216" i="1"/>
  <c r="BA216" i="1"/>
  <c r="BD216" i="1"/>
  <c r="AY217" i="1"/>
  <c r="AZ217" i="1"/>
  <c r="BA217" i="1"/>
  <c r="BD217" i="1"/>
  <c r="AY171" i="1"/>
  <c r="AZ171" i="1"/>
  <c r="BA171" i="1"/>
  <c r="BD171" i="1"/>
  <c r="AY218" i="1"/>
  <c r="AZ218" i="1"/>
  <c r="BA218" i="1"/>
  <c r="BD218" i="1"/>
  <c r="AY219" i="1"/>
  <c r="AZ219" i="1"/>
  <c r="BA219" i="1"/>
  <c r="BD219" i="1"/>
  <c r="AY221" i="1"/>
  <c r="AZ221" i="1"/>
  <c r="BA221" i="1"/>
  <c r="BD221" i="1"/>
  <c r="AY222" i="1"/>
  <c r="AZ222" i="1"/>
  <c r="BA222" i="1"/>
  <c r="BD222" i="1"/>
  <c r="AY223" i="1"/>
  <c r="AZ223" i="1"/>
  <c r="BA223" i="1"/>
  <c r="BD223" i="1"/>
  <c r="AY224" i="1"/>
  <c r="AZ224" i="1"/>
  <c r="BA224" i="1"/>
  <c r="BD224" i="1"/>
  <c r="AY225" i="1"/>
  <c r="AZ225" i="1"/>
  <c r="BA225" i="1"/>
  <c r="BD225" i="1"/>
  <c r="AY228" i="1"/>
  <c r="AZ228" i="1"/>
  <c r="BA228" i="1"/>
  <c r="BD228" i="1"/>
  <c r="AY229" i="1"/>
  <c r="AZ229" i="1"/>
  <c r="BA229" i="1"/>
  <c r="BD229" i="1"/>
  <c r="AY230" i="1"/>
  <c r="BA230" i="1"/>
  <c r="BD230" i="1"/>
  <c r="AY231" i="1"/>
  <c r="AZ231" i="1"/>
  <c r="BA231" i="1"/>
  <c r="BD231" i="1"/>
  <c r="AY232" i="1"/>
  <c r="BA232" i="1"/>
  <c r="BD232" i="1"/>
  <c r="AY234" i="1"/>
  <c r="BA234" i="1"/>
  <c r="BD234" i="1"/>
  <c r="AY235" i="1"/>
  <c r="AZ235" i="1"/>
  <c r="BA235" i="1"/>
  <c r="BD235" i="1"/>
  <c r="AY237" i="1"/>
  <c r="BA237" i="1"/>
  <c r="BD237" i="1"/>
  <c r="AY238" i="1"/>
  <c r="AZ238" i="1"/>
  <c r="BA238" i="1"/>
  <c r="BD238" i="1"/>
  <c r="AY239" i="1"/>
  <c r="BA239" i="1"/>
  <c r="BD239" i="1"/>
  <c r="AY240" i="1"/>
  <c r="AZ240" i="1"/>
  <c r="BA240" i="1"/>
  <c r="BD240" i="1"/>
  <c r="AY241" i="1"/>
  <c r="AZ241" i="1"/>
  <c r="BA241" i="1"/>
  <c r="BD241" i="1"/>
  <c r="AY244" i="1"/>
  <c r="AZ244" i="1"/>
  <c r="BA244" i="1"/>
  <c r="BD244" i="1"/>
  <c r="AY245" i="1"/>
  <c r="AZ245" i="1"/>
  <c r="BA245" i="1"/>
  <c r="BD245" i="1"/>
  <c r="AY248" i="1"/>
  <c r="AZ248" i="1"/>
  <c r="BA248" i="1"/>
  <c r="BD248" i="1"/>
  <c r="AY251" i="1"/>
  <c r="AZ251" i="1"/>
  <c r="BA251" i="1"/>
  <c r="BD251" i="1"/>
  <c r="AY254" i="1"/>
  <c r="AZ254" i="1"/>
  <c r="BA254" i="1"/>
  <c r="BD254" i="1"/>
  <c r="AY255" i="1"/>
  <c r="BA255" i="1"/>
  <c r="BD255" i="1"/>
  <c r="AY258" i="1"/>
  <c r="AZ258" i="1"/>
  <c r="BA258" i="1"/>
  <c r="BD258" i="1"/>
  <c r="AY259" i="1"/>
  <c r="AZ259" i="1"/>
  <c r="BA259" i="1"/>
  <c r="BD259" i="1"/>
  <c r="AY261" i="1"/>
  <c r="AZ261" i="1"/>
  <c r="BA261" i="1"/>
  <c r="BD261" i="1"/>
  <c r="AY265" i="1"/>
  <c r="BA265" i="1"/>
  <c r="BD265" i="1"/>
  <c r="AY267" i="1"/>
  <c r="BA267" i="1"/>
  <c r="BD267" i="1"/>
  <c r="AY242" i="1"/>
  <c r="AZ242" i="1"/>
  <c r="BA242" i="1"/>
  <c r="BD242" i="1"/>
  <c r="AY114" i="1"/>
  <c r="AZ114" i="1"/>
  <c r="BA114" i="1"/>
  <c r="BD114" i="1"/>
  <c r="AY115" i="1"/>
  <c r="AZ115" i="1"/>
  <c r="BA115" i="1"/>
  <c r="BD115" i="1"/>
  <c r="AY116" i="1"/>
  <c r="AZ116" i="1"/>
  <c r="BA116" i="1"/>
  <c r="BD116" i="1"/>
  <c r="AY212" i="1"/>
  <c r="AZ212" i="1"/>
  <c r="BA212" i="1"/>
  <c r="BD212" i="1"/>
  <c r="AY117" i="1"/>
  <c r="AZ117" i="1"/>
  <c r="BA117" i="1"/>
  <c r="BD117" i="1"/>
  <c r="AY118" i="1"/>
  <c r="AZ118" i="1"/>
  <c r="BA118" i="1"/>
  <c r="BD118" i="1"/>
  <c r="AY120" i="1"/>
  <c r="AZ120" i="1"/>
  <c r="BA120" i="1"/>
  <c r="BD120" i="1"/>
  <c r="AY121" i="1"/>
  <c r="AZ121" i="1"/>
  <c r="BA121" i="1"/>
  <c r="BD121" i="1"/>
  <c r="AY123" i="1"/>
  <c r="AZ123" i="1"/>
  <c r="BA123" i="1"/>
  <c r="BD123" i="1"/>
  <c r="AY125" i="1"/>
  <c r="AZ125" i="1"/>
  <c r="BA125" i="1"/>
  <c r="BD125" i="1"/>
  <c r="AY126" i="1"/>
  <c r="AZ126" i="1"/>
  <c r="BA126" i="1"/>
  <c r="BD126" i="1"/>
  <c r="AY128" i="1"/>
  <c r="AZ128" i="1"/>
  <c r="BA128" i="1"/>
  <c r="BD128" i="1"/>
  <c r="AY130" i="1"/>
  <c r="AZ130" i="1"/>
  <c r="BA130" i="1"/>
  <c r="BD130" i="1"/>
  <c r="AY132" i="1"/>
  <c r="AZ132" i="1"/>
  <c r="BA132" i="1"/>
  <c r="BD132" i="1"/>
  <c r="AY134" i="1"/>
  <c r="AZ134" i="1"/>
  <c r="BA134" i="1"/>
  <c r="BD134" i="1"/>
  <c r="AY135" i="1"/>
  <c r="AZ135" i="1"/>
  <c r="BA135" i="1"/>
  <c r="BD135" i="1"/>
  <c r="AY136" i="1"/>
  <c r="AZ136" i="1"/>
  <c r="BA136" i="1"/>
  <c r="BD136" i="1"/>
  <c r="AY137" i="1"/>
  <c r="AZ137" i="1"/>
  <c r="BA137" i="1"/>
  <c r="BD137" i="1"/>
  <c r="AY138" i="1"/>
  <c r="AZ138" i="1"/>
  <c r="BA138" i="1"/>
  <c r="BD138" i="1"/>
  <c r="AY139" i="1"/>
  <c r="AZ139" i="1"/>
  <c r="BA139" i="1"/>
  <c r="BD139" i="1"/>
  <c r="AY141" i="1"/>
  <c r="AZ141" i="1"/>
  <c r="BA141" i="1"/>
  <c r="BD141" i="1"/>
  <c r="AY142" i="1"/>
  <c r="AZ142" i="1"/>
  <c r="BA142" i="1"/>
  <c r="BD142" i="1"/>
  <c r="AY144" i="1"/>
  <c r="AZ144" i="1"/>
  <c r="BA144" i="1"/>
  <c r="BD144" i="1"/>
  <c r="AY143" i="1"/>
  <c r="AZ143" i="1"/>
  <c r="BA143" i="1"/>
  <c r="BD143" i="1"/>
  <c r="AY145" i="1"/>
  <c r="AZ145" i="1"/>
  <c r="BA145" i="1"/>
  <c r="BD145" i="1"/>
  <c r="AY146" i="1"/>
  <c r="AZ146" i="1"/>
  <c r="BA146" i="1"/>
  <c r="BD146" i="1"/>
  <c r="AY147" i="1"/>
  <c r="AZ147" i="1"/>
  <c r="BA147" i="1"/>
  <c r="BD147" i="1"/>
  <c r="AY148" i="1"/>
  <c r="AZ148" i="1"/>
  <c r="BA148" i="1"/>
  <c r="BD148" i="1"/>
  <c r="AY149" i="1"/>
  <c r="AZ149" i="1"/>
  <c r="BA149" i="1"/>
  <c r="BD149" i="1"/>
  <c r="AY150" i="1"/>
  <c r="AZ150" i="1"/>
  <c r="BA150" i="1"/>
  <c r="BD150" i="1"/>
  <c r="AY151" i="1"/>
  <c r="AZ151" i="1"/>
  <c r="BA151" i="1"/>
  <c r="BD151" i="1"/>
  <c r="AY152" i="1"/>
  <c r="AZ152" i="1"/>
  <c r="BA152" i="1"/>
  <c r="BD152" i="1"/>
  <c r="AY153" i="1"/>
  <c r="AZ153" i="1"/>
  <c r="BA153" i="1"/>
  <c r="BD153" i="1"/>
  <c r="AY154" i="1"/>
  <c r="AZ154" i="1"/>
  <c r="BA154" i="1"/>
  <c r="BD154" i="1"/>
  <c r="AY155" i="1"/>
  <c r="AZ155" i="1"/>
  <c r="BA155" i="1"/>
  <c r="BD155" i="1"/>
  <c r="AY156" i="1"/>
  <c r="AZ156" i="1"/>
  <c r="BA156" i="1"/>
  <c r="BD156" i="1"/>
  <c r="AY157" i="1"/>
  <c r="AZ157" i="1"/>
  <c r="BA157" i="1"/>
  <c r="BD157" i="1"/>
  <c r="AY158" i="1"/>
  <c r="AZ158" i="1"/>
  <c r="BA158" i="1"/>
  <c r="BD158" i="1"/>
  <c r="AY159" i="1"/>
  <c r="AZ159" i="1"/>
  <c r="BA159" i="1"/>
  <c r="BD159" i="1"/>
  <c r="AY160" i="1"/>
  <c r="AZ160" i="1"/>
  <c r="BA160" i="1"/>
  <c r="BD160" i="1"/>
  <c r="AY161" i="1"/>
  <c r="AZ161" i="1"/>
  <c r="BA161" i="1"/>
  <c r="BD161" i="1"/>
  <c r="AY162" i="1"/>
  <c r="AZ162" i="1"/>
  <c r="BA162" i="1"/>
  <c r="BD162" i="1"/>
  <c r="AY163" i="1"/>
  <c r="AZ163" i="1"/>
  <c r="BA163" i="1"/>
  <c r="BD163" i="1"/>
  <c r="AY164" i="1"/>
  <c r="AZ164" i="1"/>
  <c r="BA164" i="1"/>
  <c r="BD164" i="1"/>
  <c r="AY165" i="1"/>
  <c r="AZ165" i="1"/>
  <c r="BA165" i="1"/>
  <c r="BD165" i="1"/>
  <c r="AY166" i="1"/>
  <c r="AZ166" i="1"/>
  <c r="BA166" i="1"/>
  <c r="BD166" i="1"/>
  <c r="AY167" i="1"/>
  <c r="AZ167" i="1"/>
  <c r="BA167" i="1"/>
  <c r="BD167" i="1"/>
  <c r="AY168" i="1"/>
  <c r="AZ168" i="1"/>
  <c r="BA168" i="1"/>
  <c r="BD168" i="1"/>
  <c r="AY169" i="1"/>
  <c r="AZ169" i="1"/>
  <c r="BA169" i="1"/>
  <c r="BD169" i="1"/>
  <c r="AY170" i="1"/>
  <c r="AZ170" i="1"/>
  <c r="BA170" i="1"/>
  <c r="BD170" i="1"/>
  <c r="AY172" i="1"/>
  <c r="AZ172" i="1"/>
  <c r="BA172" i="1"/>
  <c r="BD172" i="1"/>
  <c r="AY173" i="1"/>
  <c r="AZ173" i="1"/>
  <c r="BA173" i="1"/>
  <c r="BD173" i="1"/>
  <c r="AY174" i="1"/>
  <c r="AZ174" i="1"/>
  <c r="BA174" i="1"/>
  <c r="BD174" i="1"/>
  <c r="AY175" i="1"/>
  <c r="BA175" i="1"/>
  <c r="BD175" i="1"/>
  <c r="AY176" i="1"/>
  <c r="AZ176" i="1"/>
  <c r="BA176" i="1"/>
  <c r="BD176" i="1"/>
  <c r="AY177" i="1"/>
  <c r="AZ177" i="1"/>
  <c r="BA177" i="1"/>
  <c r="BD177" i="1"/>
  <c r="AY178" i="1"/>
  <c r="AZ178" i="1"/>
  <c r="BA178" i="1"/>
  <c r="BD178" i="1"/>
  <c r="AY179" i="1"/>
  <c r="AZ179" i="1"/>
  <c r="BA179" i="1"/>
  <c r="BD179" i="1"/>
  <c r="AY180" i="1"/>
  <c r="AZ180" i="1"/>
  <c r="BA180" i="1"/>
  <c r="BD180" i="1"/>
  <c r="AY181" i="1"/>
  <c r="BA181" i="1"/>
  <c r="BD181" i="1"/>
  <c r="AY182" i="1"/>
  <c r="AZ182" i="1"/>
  <c r="BA182" i="1"/>
  <c r="BD182" i="1"/>
  <c r="AY183" i="1"/>
  <c r="AZ183" i="1"/>
  <c r="BA183" i="1"/>
  <c r="BD183" i="1"/>
  <c r="AY184" i="1"/>
  <c r="AZ184" i="1"/>
  <c r="BA184" i="1"/>
  <c r="BD184" i="1"/>
  <c r="AY185" i="1"/>
  <c r="AZ185" i="1"/>
  <c r="BA185" i="1"/>
  <c r="BD185" i="1"/>
  <c r="AY186" i="1"/>
  <c r="AZ186" i="1"/>
  <c r="BA186" i="1"/>
  <c r="BD186" i="1"/>
  <c r="AY187" i="1"/>
  <c r="AZ187" i="1"/>
  <c r="BA187" i="1"/>
  <c r="BD187" i="1"/>
  <c r="AY188" i="1"/>
  <c r="AZ188" i="1"/>
  <c r="BA188" i="1"/>
  <c r="BD188" i="1"/>
  <c r="AY189" i="1"/>
  <c r="AZ189" i="1"/>
  <c r="BA189" i="1"/>
  <c r="BD189" i="1"/>
  <c r="AY190" i="1"/>
  <c r="AZ190" i="1"/>
  <c r="BA190" i="1"/>
  <c r="BD190" i="1"/>
  <c r="AY191" i="1"/>
  <c r="AZ191" i="1"/>
  <c r="BA191" i="1"/>
  <c r="BD191" i="1"/>
  <c r="AY192" i="1"/>
  <c r="AZ192" i="1"/>
  <c r="BA192" i="1"/>
  <c r="BD192" i="1"/>
  <c r="AY193" i="1"/>
  <c r="AZ193" i="1"/>
  <c r="BA193" i="1"/>
  <c r="BD193" i="1"/>
  <c r="AY194" i="1"/>
  <c r="AZ194" i="1"/>
  <c r="BA194" i="1"/>
  <c r="BD194" i="1"/>
  <c r="AY195" i="1"/>
  <c r="AZ195" i="1"/>
  <c r="BA195" i="1"/>
  <c r="BD195" i="1"/>
  <c r="AY196" i="1"/>
  <c r="AZ196" i="1"/>
  <c r="BA196" i="1"/>
  <c r="BD196" i="1"/>
  <c r="AY197" i="1"/>
  <c r="AZ197" i="1"/>
  <c r="BA197" i="1"/>
  <c r="BD197" i="1"/>
  <c r="AY198" i="1"/>
  <c r="AZ198" i="1"/>
  <c r="BA198" i="1"/>
  <c r="BD198" i="1"/>
  <c r="AY200" i="1"/>
  <c r="AZ200" i="1"/>
  <c r="BA200" i="1"/>
  <c r="BD200" i="1"/>
  <c r="AY201" i="1"/>
  <c r="AZ201" i="1"/>
  <c r="BA201" i="1"/>
  <c r="BD201" i="1"/>
  <c r="AY202" i="1"/>
  <c r="AZ202" i="1"/>
  <c r="BA202" i="1"/>
  <c r="BD202" i="1"/>
  <c r="AY203" i="1"/>
  <c r="AZ203" i="1"/>
  <c r="BA203" i="1"/>
  <c r="BD203" i="1"/>
  <c r="AY205" i="1"/>
  <c r="AZ205" i="1"/>
  <c r="BA205" i="1"/>
  <c r="BD205" i="1"/>
  <c r="AY206" i="1"/>
  <c r="AZ206" i="1"/>
  <c r="BA206" i="1"/>
  <c r="BD206" i="1"/>
  <c r="AY207" i="1"/>
  <c r="AZ207" i="1"/>
  <c r="BA207" i="1"/>
  <c r="BD207" i="1"/>
  <c r="AY208" i="1"/>
  <c r="AZ208" i="1"/>
  <c r="BA208" i="1"/>
  <c r="BD208" i="1"/>
  <c r="AY209" i="1"/>
  <c r="AZ209" i="1"/>
  <c r="BA209" i="1"/>
  <c r="BD209" i="1"/>
  <c r="AY210" i="1"/>
  <c r="AZ210" i="1"/>
  <c r="BA210" i="1"/>
  <c r="BD210" i="1"/>
  <c r="BA281" i="1"/>
  <c r="AZ281" i="1"/>
  <c r="AY281" i="1"/>
  <c r="BD281" i="1"/>
  <c r="BG289" i="1" l="1"/>
  <c r="BI289" i="1" s="1"/>
  <c r="BG235" i="1"/>
  <c r="BG131" i="1"/>
  <c r="BI131" i="1" s="1"/>
  <c r="BG107" i="1"/>
  <c r="BI107" i="1" s="1"/>
  <c r="BG25" i="1"/>
  <c r="BI25" i="1" s="1"/>
  <c r="BG23" i="1"/>
  <c r="BI23" i="1" s="1"/>
  <c r="BG17" i="1"/>
  <c r="BI17" i="1" s="1"/>
  <c r="BG14" i="1"/>
  <c r="BI14" i="1" s="1"/>
  <c r="BG45" i="1"/>
  <c r="BI45" i="1" s="1"/>
  <c r="BG78" i="1"/>
  <c r="BI78" i="1" s="1"/>
  <c r="BG100" i="1"/>
  <c r="BI100" i="1" s="1"/>
  <c r="BG19" i="1"/>
  <c r="BI19" i="1" s="1"/>
  <c r="BG59" i="1"/>
  <c r="BI59" i="1" s="1"/>
  <c r="BG61" i="1"/>
  <c r="BI61" i="1" s="1"/>
  <c r="BG180" i="1"/>
  <c r="BI180" i="1" s="1"/>
  <c r="BG178" i="1"/>
  <c r="BI178" i="1" s="1"/>
  <c r="BG251" i="1"/>
  <c r="BI251" i="1" s="1"/>
  <c r="BG241" i="1"/>
  <c r="BI241" i="1" s="1"/>
  <c r="BG245" i="1"/>
  <c r="BI245" i="1" s="1"/>
  <c r="BG103" i="1"/>
  <c r="BI103" i="1" s="1"/>
  <c r="BG95" i="1"/>
  <c r="BI95" i="1" s="1"/>
  <c r="BG21" i="1"/>
  <c r="BI21" i="1" s="1"/>
  <c r="BG2" i="1"/>
  <c r="BI2" i="1" s="1"/>
  <c r="BG44" i="1"/>
  <c r="BI44" i="1" s="1"/>
  <c r="BG65" i="1"/>
  <c r="BI65" i="1" s="1"/>
  <c r="BG60" i="1"/>
  <c r="BI60" i="1" s="1"/>
  <c r="BG77" i="1"/>
  <c r="BI77" i="1" s="1"/>
  <c r="BG50" i="1"/>
  <c r="BI50" i="1" s="1"/>
  <c r="BG66" i="1"/>
  <c r="BI66" i="1" s="1"/>
  <c r="BG41" i="1"/>
  <c r="BI41" i="1" s="1"/>
  <c r="BG69" i="1"/>
  <c r="BI69" i="1" s="1"/>
  <c r="BG176" i="1"/>
  <c r="BI176" i="1" s="1"/>
  <c r="BG210" i="1"/>
  <c r="BI210" i="1" s="1"/>
  <c r="BG208" i="1"/>
  <c r="BI208" i="1" s="1"/>
  <c r="BG206" i="1"/>
  <c r="BI206" i="1" s="1"/>
  <c r="BG203" i="1"/>
  <c r="BI203" i="1" s="1"/>
  <c r="BG201" i="1"/>
  <c r="BI201" i="1" s="1"/>
  <c r="BG198" i="1"/>
  <c r="BI198" i="1" s="1"/>
  <c r="BG196" i="1"/>
  <c r="BI196" i="1" s="1"/>
  <c r="BG194" i="1"/>
  <c r="BI194" i="1" s="1"/>
  <c r="BG192" i="1"/>
  <c r="BI192" i="1" s="1"/>
  <c r="BG190" i="1"/>
  <c r="BI190" i="1" s="1"/>
  <c r="BG188" i="1"/>
  <c r="BI188" i="1" s="1"/>
  <c r="BG186" i="1"/>
  <c r="BI186" i="1" s="1"/>
  <c r="BG184" i="1"/>
  <c r="BI184" i="1" s="1"/>
  <c r="BG182" i="1"/>
  <c r="BI182" i="1" s="1"/>
  <c r="BG259" i="1"/>
  <c r="BI259" i="1" s="1"/>
  <c r="BG56" i="1"/>
  <c r="BI56" i="1" s="1"/>
  <c r="BG48" i="1"/>
  <c r="BI48" i="1" s="1"/>
  <c r="BG55" i="1"/>
  <c r="BI55" i="1" s="1"/>
  <c r="BG54" i="1"/>
  <c r="BI54" i="1" s="1"/>
  <c r="BG40" i="1"/>
  <c r="BI40" i="1" s="1"/>
  <c r="BG74" i="1"/>
  <c r="BI74" i="1" s="1"/>
  <c r="BG62" i="1"/>
  <c r="BI62" i="1" s="1"/>
  <c r="BG36" i="1"/>
  <c r="BI36" i="1" s="1"/>
  <c r="BG35" i="1"/>
  <c r="BI35" i="1" s="1"/>
  <c r="BG53" i="1"/>
  <c r="BI53" i="1" s="1"/>
  <c r="BG73" i="1"/>
  <c r="BI73" i="1" s="1"/>
  <c r="BG173" i="1"/>
  <c r="BI173" i="1" s="1"/>
  <c r="BG168" i="1"/>
  <c r="BI168" i="1" s="1"/>
  <c r="BG164" i="1"/>
  <c r="BI164" i="1" s="1"/>
  <c r="BG160" i="1"/>
  <c r="BI160" i="1" s="1"/>
  <c r="BG156" i="1"/>
  <c r="BI156" i="1" s="1"/>
  <c r="BG152" i="1"/>
  <c r="BI152" i="1" s="1"/>
  <c r="BG148" i="1"/>
  <c r="BI148" i="1" s="1"/>
  <c r="BG143" i="1"/>
  <c r="BI143" i="1" s="1"/>
  <c r="BG139" i="1"/>
  <c r="BI139" i="1" s="1"/>
  <c r="BG135" i="1"/>
  <c r="BI135" i="1" s="1"/>
  <c r="BG125" i="1"/>
  <c r="BI125" i="1" s="1"/>
  <c r="BG118" i="1"/>
  <c r="BI118" i="1" s="1"/>
  <c r="BG115" i="1"/>
  <c r="BI115" i="1" s="1"/>
  <c r="BG238" i="1"/>
  <c r="BI238" i="1" s="1"/>
  <c r="BG229" i="1"/>
  <c r="BI229" i="1" s="1"/>
  <c r="BG225" i="1"/>
  <c r="BI225" i="1" s="1"/>
  <c r="BG223" i="1"/>
  <c r="BI223" i="1" s="1"/>
  <c r="BG221" i="1"/>
  <c r="BI221" i="1" s="1"/>
  <c r="BG218" i="1"/>
  <c r="BI218" i="1" s="1"/>
  <c r="BG217" i="1"/>
  <c r="BI217" i="1" s="1"/>
  <c r="BG215" i="1"/>
  <c r="BI215" i="1" s="1"/>
  <c r="BG213" i="1"/>
  <c r="BI213" i="1" s="1"/>
  <c r="BG297" i="1"/>
  <c r="BI297" i="1" s="1"/>
  <c r="BG298" i="1"/>
  <c r="BI298" i="1" s="1"/>
  <c r="BG292" i="1"/>
  <c r="BI292" i="1" s="1"/>
  <c r="BG290" i="1"/>
  <c r="BI290" i="1" s="1"/>
  <c r="BG288" i="1"/>
  <c r="BI288" i="1" s="1"/>
  <c r="BG271" i="1"/>
  <c r="BI271" i="1" s="1"/>
  <c r="BG266" i="1"/>
  <c r="BI266" i="1" s="1"/>
  <c r="BG284" i="1"/>
  <c r="BI284" i="1" s="1"/>
  <c r="BG29" i="1"/>
  <c r="BI29" i="1" s="1"/>
  <c r="BG27" i="1"/>
  <c r="BI27" i="1" s="1"/>
  <c r="BG211" i="1"/>
  <c r="BI211" i="1" s="1"/>
  <c r="BG170" i="1"/>
  <c r="BI170" i="1" s="1"/>
  <c r="BG166" i="1"/>
  <c r="BI166" i="1" s="1"/>
  <c r="BG162" i="1"/>
  <c r="BI162" i="1" s="1"/>
  <c r="BG158" i="1"/>
  <c r="BI158" i="1" s="1"/>
  <c r="BG154" i="1"/>
  <c r="BI154" i="1" s="1"/>
  <c r="BG150" i="1"/>
  <c r="BI150" i="1" s="1"/>
  <c r="BG146" i="1"/>
  <c r="BI146" i="1" s="1"/>
  <c r="BG142" i="1"/>
  <c r="BI142" i="1" s="1"/>
  <c r="BG137" i="1"/>
  <c r="BI137" i="1" s="1"/>
  <c r="BG132" i="1"/>
  <c r="BI132" i="1" s="1"/>
  <c r="BG128" i="1"/>
  <c r="BI128" i="1" s="1"/>
  <c r="BG121" i="1"/>
  <c r="BI121" i="1" s="1"/>
  <c r="BG212" i="1"/>
  <c r="BI212" i="1" s="1"/>
  <c r="BG242" i="1"/>
  <c r="BI242" i="1" s="1"/>
  <c r="BG179" i="1"/>
  <c r="BI179" i="1" s="1"/>
  <c r="BG177" i="1"/>
  <c r="BI177" i="1" s="1"/>
  <c r="BG254" i="1"/>
  <c r="BI254" i="1" s="1"/>
  <c r="BG244" i="1"/>
  <c r="BI244" i="1" s="1"/>
  <c r="BG240" i="1"/>
  <c r="BI240" i="1" s="1"/>
  <c r="BG231" i="1"/>
  <c r="BI231" i="1" s="1"/>
  <c r="BG281" i="1"/>
  <c r="BI281" i="1" s="1"/>
  <c r="BG209" i="1"/>
  <c r="BI209" i="1" s="1"/>
  <c r="BG207" i="1"/>
  <c r="BI207" i="1" s="1"/>
  <c r="BG205" i="1"/>
  <c r="BI205" i="1" s="1"/>
  <c r="BG202" i="1"/>
  <c r="BI202" i="1" s="1"/>
  <c r="BG200" i="1"/>
  <c r="BI200" i="1" s="1"/>
  <c r="BG197" i="1"/>
  <c r="BI197" i="1" s="1"/>
  <c r="BG195" i="1"/>
  <c r="BI195" i="1" s="1"/>
  <c r="BG193" i="1"/>
  <c r="BI193" i="1" s="1"/>
  <c r="BG191" i="1"/>
  <c r="BI191" i="1" s="1"/>
  <c r="BG189" i="1"/>
  <c r="BI189" i="1" s="1"/>
  <c r="BG187" i="1"/>
  <c r="BI187" i="1" s="1"/>
  <c r="BG185" i="1"/>
  <c r="BI185" i="1" s="1"/>
  <c r="BG183" i="1"/>
  <c r="BI183" i="1" s="1"/>
  <c r="BG261" i="1"/>
  <c r="BI261" i="1" s="1"/>
  <c r="BG258" i="1"/>
  <c r="BI258" i="1" s="1"/>
  <c r="BG112" i="1"/>
  <c r="BI112" i="1" s="1"/>
  <c r="BG108" i="1"/>
  <c r="BI108" i="1" s="1"/>
  <c r="BG105" i="1"/>
  <c r="BI105" i="1" s="1"/>
  <c r="BG102" i="1"/>
  <c r="BI102" i="1" s="1"/>
  <c r="BG99" i="1"/>
  <c r="BI99" i="1" s="1"/>
  <c r="BG98" i="1"/>
  <c r="BI98" i="1" s="1"/>
  <c r="BG97" i="1"/>
  <c r="BI97" i="1" s="1"/>
  <c r="BG94" i="1"/>
  <c r="BI94" i="1" s="1"/>
  <c r="BG24" i="1"/>
  <c r="BI24" i="1" s="1"/>
  <c r="BG22" i="1"/>
  <c r="BI22" i="1" s="1"/>
  <c r="BG20" i="1"/>
  <c r="BI20" i="1" s="1"/>
  <c r="BG18" i="1"/>
  <c r="BI18" i="1" s="1"/>
  <c r="BG16" i="1"/>
  <c r="BI16" i="1" s="1"/>
  <c r="BG11" i="1"/>
  <c r="BI11" i="1" s="1"/>
  <c r="BG71" i="1"/>
  <c r="BI71" i="1" s="1"/>
  <c r="BG47" i="1"/>
  <c r="BI47" i="1" s="1"/>
  <c r="BG46" i="1"/>
  <c r="BI46" i="1" s="1"/>
  <c r="BG58" i="1"/>
  <c r="BI58" i="1" s="1"/>
  <c r="BG51" i="1"/>
  <c r="BI51" i="1" s="1"/>
  <c r="BG76" i="1"/>
  <c r="BI76" i="1" s="1"/>
  <c r="BG43" i="1"/>
  <c r="BI43" i="1" s="1"/>
  <c r="BG70" i="1"/>
  <c r="BI70" i="1" s="1"/>
  <c r="BG79" i="1"/>
  <c r="BI79" i="1" s="1"/>
  <c r="BG42" i="1"/>
  <c r="BI42" i="1" s="1"/>
  <c r="BG49" i="1"/>
  <c r="BI49" i="1" s="1"/>
  <c r="BG64" i="1"/>
  <c r="BI64" i="1" s="1"/>
  <c r="BG75" i="1"/>
  <c r="BI75" i="1" s="1"/>
  <c r="BG81" i="1"/>
  <c r="BI81" i="1" s="1"/>
  <c r="BG68" i="1"/>
  <c r="BI68" i="1" s="1"/>
  <c r="BG63" i="1"/>
  <c r="BI63" i="1" s="1"/>
  <c r="BG89" i="1"/>
  <c r="BI89" i="1" s="1"/>
  <c r="BG80" i="1"/>
  <c r="BI80" i="1" s="1"/>
  <c r="BG34" i="1"/>
  <c r="BI34" i="1" s="1"/>
  <c r="BG37" i="1"/>
  <c r="BI37" i="1" s="1"/>
  <c r="BG39" i="1"/>
  <c r="BI39" i="1" s="1"/>
  <c r="BG67" i="1"/>
  <c r="BI67" i="1" s="1"/>
  <c r="BG282" i="1"/>
  <c r="BI282" i="1" s="1"/>
  <c r="BG174" i="1"/>
  <c r="BI174" i="1" s="1"/>
  <c r="BG172" i="1"/>
  <c r="BI172" i="1" s="1"/>
  <c r="BG169" i="1"/>
  <c r="BI169" i="1" s="1"/>
  <c r="BG167" i="1"/>
  <c r="BI167" i="1" s="1"/>
  <c r="BG165" i="1"/>
  <c r="BI165" i="1" s="1"/>
  <c r="BG163" i="1"/>
  <c r="BI163" i="1" s="1"/>
  <c r="BG161" i="1"/>
  <c r="BI161" i="1" s="1"/>
  <c r="BG159" i="1"/>
  <c r="BI159" i="1" s="1"/>
  <c r="BG157" i="1"/>
  <c r="BI157" i="1" s="1"/>
  <c r="BG155" i="1"/>
  <c r="BI155" i="1" s="1"/>
  <c r="BG153" i="1"/>
  <c r="BI153" i="1" s="1"/>
  <c r="BG151" i="1"/>
  <c r="BI151" i="1" s="1"/>
  <c r="BG149" i="1"/>
  <c r="BI149" i="1" s="1"/>
  <c r="BG147" i="1"/>
  <c r="BI147" i="1" s="1"/>
  <c r="BG145" i="1"/>
  <c r="BI145" i="1" s="1"/>
  <c r="BG144" i="1"/>
  <c r="BI144" i="1" s="1"/>
  <c r="BG141" i="1"/>
  <c r="BI141" i="1" s="1"/>
  <c r="BG138" i="1"/>
  <c r="BI138" i="1" s="1"/>
  <c r="BG136" i="1"/>
  <c r="BI136" i="1" s="1"/>
  <c r="BG134" i="1"/>
  <c r="BI134" i="1" s="1"/>
  <c r="BG130" i="1"/>
  <c r="BI130" i="1" s="1"/>
  <c r="BG126" i="1"/>
  <c r="BI126" i="1" s="1"/>
  <c r="BG123" i="1"/>
  <c r="BI123" i="1" s="1"/>
  <c r="BG120" i="1"/>
  <c r="BI120" i="1" s="1"/>
  <c r="BG117" i="1"/>
  <c r="BI117" i="1" s="1"/>
  <c r="BG116" i="1"/>
  <c r="BI116" i="1" s="1"/>
  <c r="BG114" i="1"/>
  <c r="BI114" i="1" s="1"/>
  <c r="BG228" i="1"/>
  <c r="BI228" i="1" s="1"/>
  <c r="BG224" i="1"/>
  <c r="BI224" i="1" s="1"/>
  <c r="BG222" i="1"/>
  <c r="BI222" i="1" s="1"/>
  <c r="BG219" i="1"/>
  <c r="BI219" i="1" s="1"/>
  <c r="BG171" i="1"/>
  <c r="BI171" i="1" s="1"/>
  <c r="BG214" i="1"/>
  <c r="BI214" i="1" s="1"/>
  <c r="BG296" i="1"/>
  <c r="BI296" i="1" s="1"/>
  <c r="BG299" i="1"/>
  <c r="BI299" i="1" s="1"/>
  <c r="BG295" i="1"/>
  <c r="BI295" i="1" s="1"/>
  <c r="BG294" i="1"/>
  <c r="BI294" i="1" s="1"/>
  <c r="BG291" i="1"/>
  <c r="BI291" i="1" s="1"/>
  <c r="BG287" i="1"/>
  <c r="BI287" i="1" s="1"/>
  <c r="BG269" i="1"/>
  <c r="BI269" i="1" s="1"/>
  <c r="BG268" i="1"/>
  <c r="BI268" i="1" s="1"/>
  <c r="BG286" i="1"/>
  <c r="BI286" i="1" s="1"/>
  <c r="BG285" i="1"/>
  <c r="BI285" i="1" s="1"/>
  <c r="BG283" i="1"/>
  <c r="BI283" i="1" s="1"/>
  <c r="BG28" i="1"/>
  <c r="BI28" i="1" s="1"/>
  <c r="BG109" i="1"/>
  <c r="BI109" i="1" s="1"/>
  <c r="BG32" i="1"/>
  <c r="BI32" i="1" s="1"/>
  <c r="BG31" i="1"/>
  <c r="BI31" i="1" s="1"/>
  <c r="BG30" i="1"/>
  <c r="BI30" i="1" s="1"/>
  <c r="BG110" i="1"/>
  <c r="BI110" i="1" s="1"/>
  <c r="BG111" i="1"/>
  <c r="BI111" i="1" s="1"/>
  <c r="BF297" i="1"/>
  <c r="BH297" i="1" s="1"/>
  <c r="BF295" i="1"/>
  <c r="BH295" i="1" s="1"/>
  <c r="BF292" i="1"/>
  <c r="BH292" i="1" s="1"/>
  <c r="BF288" i="1"/>
  <c r="BH288" i="1" s="1"/>
  <c r="BF271" i="1"/>
  <c r="BH271" i="1" s="1"/>
  <c r="BF268" i="1"/>
  <c r="BH268" i="1" s="1"/>
  <c r="BF285" i="1"/>
  <c r="BH285" i="1" s="1"/>
  <c r="BF29" i="1"/>
  <c r="BH29" i="1" s="1"/>
  <c r="BF251" i="1"/>
  <c r="BH251" i="1" s="1"/>
  <c r="BF245" i="1"/>
  <c r="BH245" i="1" s="1"/>
  <c r="BF241" i="1"/>
  <c r="BH241" i="1" s="1"/>
  <c r="BF261" i="1"/>
  <c r="BH261" i="1" s="1"/>
  <c r="BF259" i="1"/>
  <c r="BH259" i="1" s="1"/>
  <c r="BF258" i="1"/>
  <c r="BH258" i="1" s="1"/>
  <c r="BF238" i="1"/>
  <c r="BH238" i="1" s="1"/>
  <c r="BF296" i="1"/>
  <c r="BH296" i="1" s="1"/>
  <c r="BF298" i="1"/>
  <c r="BH298" i="1" s="1"/>
  <c r="BF294" i="1"/>
  <c r="BH294" i="1" s="1"/>
  <c r="BF290" i="1"/>
  <c r="BH290" i="1" s="1"/>
  <c r="BF287" i="1"/>
  <c r="BH287" i="1" s="1"/>
  <c r="BF266" i="1"/>
  <c r="BH266" i="1" s="1"/>
  <c r="BF283" i="1"/>
  <c r="BH283" i="1" s="1"/>
  <c r="BF27" i="1"/>
  <c r="BH27" i="1" s="1"/>
  <c r="BF254" i="1"/>
  <c r="BH254" i="1" s="1"/>
  <c r="BI235" i="1"/>
  <c r="BF235" i="1"/>
  <c r="BH235" i="1" s="1"/>
  <c r="BF282" i="1"/>
  <c r="BH282" i="1" s="1"/>
  <c r="BF281" i="1"/>
  <c r="BH281" i="1" s="1"/>
  <c r="BF242" i="1"/>
  <c r="BH242" i="1" s="1"/>
  <c r="BF299" i="1"/>
  <c r="BH299" i="1" s="1"/>
  <c r="BF291" i="1"/>
  <c r="BH291" i="1" s="1"/>
  <c r="BF289" i="1"/>
  <c r="BH289" i="1" s="1"/>
  <c r="BF269" i="1"/>
  <c r="BH269" i="1" s="1"/>
  <c r="BF286" i="1"/>
  <c r="BH286" i="1" s="1"/>
  <c r="BF284" i="1"/>
  <c r="BH284" i="1" s="1"/>
  <c r="BF28" i="1"/>
  <c r="BH28" i="1" s="1"/>
  <c r="BF244" i="1"/>
  <c r="BH244" i="1" s="1"/>
  <c r="BF240" i="1"/>
  <c r="BH240" i="1" s="1"/>
  <c r="BF231" i="1"/>
  <c r="BH231" i="1" s="1"/>
  <c r="BF25" i="1"/>
  <c r="BH25" i="1" s="1"/>
  <c r="BF24" i="1"/>
  <c r="BH24" i="1" s="1"/>
  <c r="BF23" i="1"/>
  <c r="BH23" i="1" s="1"/>
  <c r="BF22" i="1"/>
  <c r="BH22" i="1" s="1"/>
  <c r="BF21" i="1"/>
  <c r="BH21" i="1" s="1"/>
  <c r="BF20" i="1"/>
  <c r="BH20" i="1" s="1"/>
  <c r="BF19" i="1"/>
  <c r="BH19" i="1" s="1"/>
  <c r="BF18" i="1"/>
  <c r="BH18" i="1" s="1"/>
  <c r="BF17" i="1"/>
  <c r="BH17" i="1" s="1"/>
  <c r="BF16" i="1"/>
  <c r="BH16" i="1" s="1"/>
  <c r="BF14" i="1"/>
  <c r="BH14" i="1" s="1"/>
  <c r="BF11" i="1"/>
  <c r="BH11" i="1" s="1"/>
  <c r="BF2" i="1"/>
  <c r="BH2" i="1" s="1"/>
  <c r="BF209" i="1"/>
  <c r="BH209" i="1" s="1"/>
  <c r="BF195" i="1"/>
  <c r="BH195" i="1" s="1"/>
  <c r="BF111" i="1"/>
  <c r="BH111" i="1" s="1"/>
  <c r="BF105" i="1"/>
  <c r="BH105" i="1" s="1"/>
  <c r="BF98" i="1"/>
  <c r="BH98" i="1" s="1"/>
  <c r="BF94" i="1"/>
  <c r="BH94" i="1" s="1"/>
  <c r="BF71" i="1"/>
  <c r="BH71" i="1" s="1"/>
  <c r="BF47" i="1"/>
  <c r="BH47" i="1" s="1"/>
  <c r="BF46" i="1"/>
  <c r="BH46" i="1" s="1"/>
  <c r="BF58" i="1"/>
  <c r="BH58" i="1" s="1"/>
  <c r="BF76" i="1"/>
  <c r="BH76" i="1" s="1"/>
  <c r="BF43" i="1"/>
  <c r="BH43" i="1" s="1"/>
  <c r="BF70" i="1"/>
  <c r="BH70" i="1" s="1"/>
  <c r="BF79" i="1"/>
  <c r="BH79" i="1" s="1"/>
  <c r="BF42" i="1"/>
  <c r="BH42" i="1" s="1"/>
  <c r="BF49" i="1"/>
  <c r="BH49" i="1" s="1"/>
  <c r="BF64" i="1"/>
  <c r="BH64" i="1" s="1"/>
  <c r="BF75" i="1"/>
  <c r="BH75" i="1" s="1"/>
  <c r="BF81" i="1"/>
  <c r="BH81" i="1" s="1"/>
  <c r="BF68" i="1"/>
  <c r="BH68" i="1" s="1"/>
  <c r="BF63" i="1"/>
  <c r="BH63" i="1" s="1"/>
  <c r="BF89" i="1"/>
  <c r="BH89" i="1" s="1"/>
  <c r="BF80" i="1"/>
  <c r="BH80" i="1" s="1"/>
  <c r="BF34" i="1"/>
  <c r="BH34" i="1" s="1"/>
  <c r="BF37" i="1"/>
  <c r="BH37" i="1" s="1"/>
  <c r="BF39" i="1"/>
  <c r="BH39" i="1" s="1"/>
  <c r="BF67" i="1"/>
  <c r="BH67" i="1" s="1"/>
  <c r="BF30" i="1"/>
  <c r="BH30" i="1" s="1"/>
  <c r="BF200" i="1"/>
  <c r="BH200" i="1" s="1"/>
  <c r="BF189" i="1"/>
  <c r="BH189" i="1" s="1"/>
  <c r="BF112" i="1"/>
  <c r="BH112" i="1" s="1"/>
  <c r="BF108" i="1"/>
  <c r="BH108" i="1" s="1"/>
  <c r="BF102" i="1"/>
  <c r="BH102" i="1" s="1"/>
  <c r="BF99" i="1"/>
  <c r="BH99" i="1" s="1"/>
  <c r="BF97" i="1"/>
  <c r="BH97" i="1" s="1"/>
  <c r="BF51" i="1"/>
  <c r="BH51" i="1" s="1"/>
  <c r="BF174" i="1"/>
  <c r="BH174" i="1" s="1"/>
  <c r="BF172" i="1"/>
  <c r="BH172" i="1" s="1"/>
  <c r="BF169" i="1"/>
  <c r="BH169" i="1" s="1"/>
  <c r="BF167" i="1"/>
  <c r="BH167" i="1" s="1"/>
  <c r="BF165" i="1"/>
  <c r="BH165" i="1" s="1"/>
  <c r="BF163" i="1"/>
  <c r="BH163" i="1" s="1"/>
  <c r="BF161" i="1"/>
  <c r="BH161" i="1" s="1"/>
  <c r="BF159" i="1"/>
  <c r="BH159" i="1" s="1"/>
  <c r="BF157" i="1"/>
  <c r="BH157" i="1" s="1"/>
  <c r="BF155" i="1"/>
  <c r="BH155" i="1" s="1"/>
  <c r="BF153" i="1"/>
  <c r="BH153" i="1" s="1"/>
  <c r="BF151" i="1"/>
  <c r="BH151" i="1" s="1"/>
  <c r="BF149" i="1"/>
  <c r="BH149" i="1" s="1"/>
  <c r="BF147" i="1"/>
  <c r="BH147" i="1" s="1"/>
  <c r="BF145" i="1"/>
  <c r="BH145" i="1" s="1"/>
  <c r="BF144" i="1"/>
  <c r="BH144" i="1" s="1"/>
  <c r="BF141" i="1"/>
  <c r="BH141" i="1" s="1"/>
  <c r="BF138" i="1"/>
  <c r="BH138" i="1" s="1"/>
  <c r="BF136" i="1"/>
  <c r="BH136" i="1" s="1"/>
  <c r="BF134" i="1"/>
  <c r="BH134" i="1" s="1"/>
  <c r="BF130" i="1"/>
  <c r="BH130" i="1" s="1"/>
  <c r="BF126" i="1"/>
  <c r="BH126" i="1" s="1"/>
  <c r="BF123" i="1"/>
  <c r="BH123" i="1" s="1"/>
  <c r="BF120" i="1"/>
  <c r="BH120" i="1" s="1"/>
  <c r="BF117" i="1"/>
  <c r="BH117" i="1" s="1"/>
  <c r="BF116" i="1"/>
  <c r="BH116" i="1" s="1"/>
  <c r="BF114" i="1"/>
  <c r="BH114" i="1" s="1"/>
  <c r="BF228" i="1"/>
  <c r="BH228" i="1" s="1"/>
  <c r="BF224" i="1"/>
  <c r="BH224" i="1" s="1"/>
  <c r="BF222" i="1"/>
  <c r="BH222" i="1" s="1"/>
  <c r="BF219" i="1"/>
  <c r="BH219" i="1" s="1"/>
  <c r="BF171" i="1"/>
  <c r="BH171" i="1" s="1"/>
  <c r="BF214" i="1"/>
  <c r="BH214" i="1" s="1"/>
  <c r="BF207" i="1"/>
  <c r="BH207" i="1" s="1"/>
  <c r="BF193" i="1"/>
  <c r="BH193" i="1" s="1"/>
  <c r="BF180" i="1"/>
  <c r="BH180" i="1" s="1"/>
  <c r="BF178" i="1"/>
  <c r="BH178" i="1" s="1"/>
  <c r="BF176" i="1"/>
  <c r="BH176" i="1" s="1"/>
  <c r="BF210" i="1"/>
  <c r="BH210" i="1" s="1"/>
  <c r="BF208" i="1"/>
  <c r="BH208" i="1" s="1"/>
  <c r="BF206" i="1"/>
  <c r="BH206" i="1" s="1"/>
  <c r="BF203" i="1"/>
  <c r="BH203" i="1" s="1"/>
  <c r="BF201" i="1"/>
  <c r="BH201" i="1" s="1"/>
  <c r="BF198" i="1"/>
  <c r="BH198" i="1" s="1"/>
  <c r="BF196" i="1"/>
  <c r="BH196" i="1" s="1"/>
  <c r="BF194" i="1"/>
  <c r="BH194" i="1" s="1"/>
  <c r="BF192" i="1"/>
  <c r="BH192" i="1" s="1"/>
  <c r="BF190" i="1"/>
  <c r="BH190" i="1" s="1"/>
  <c r="BF188" i="1"/>
  <c r="BH188" i="1" s="1"/>
  <c r="BF186" i="1"/>
  <c r="BH186" i="1" s="1"/>
  <c r="BF184" i="1"/>
  <c r="BH184" i="1" s="1"/>
  <c r="BF182" i="1"/>
  <c r="BH182" i="1" s="1"/>
  <c r="BF202" i="1"/>
  <c r="BH202" i="1" s="1"/>
  <c r="BF191" i="1"/>
  <c r="BH191" i="1" s="1"/>
  <c r="BF185" i="1"/>
  <c r="BH185" i="1" s="1"/>
  <c r="BF131" i="1"/>
  <c r="BH131" i="1" s="1"/>
  <c r="BF110" i="1"/>
  <c r="BH110" i="1" s="1"/>
  <c r="BF107" i="1"/>
  <c r="BH107" i="1" s="1"/>
  <c r="BF103" i="1"/>
  <c r="BH103" i="1" s="1"/>
  <c r="BF100" i="1"/>
  <c r="BH100" i="1" s="1"/>
  <c r="BF95" i="1"/>
  <c r="BH95" i="1" s="1"/>
  <c r="BF59" i="1"/>
  <c r="BH59" i="1" s="1"/>
  <c r="BF78" i="1"/>
  <c r="BH78" i="1" s="1"/>
  <c r="BF61" i="1"/>
  <c r="BH61" i="1" s="1"/>
  <c r="BF60" i="1"/>
  <c r="BH60" i="1" s="1"/>
  <c r="BF50" i="1"/>
  <c r="BH50" i="1" s="1"/>
  <c r="BF69" i="1"/>
  <c r="BH69" i="1" s="1"/>
  <c r="BF48" i="1"/>
  <c r="BH48" i="1" s="1"/>
  <c r="BF54" i="1"/>
  <c r="BH54" i="1" s="1"/>
  <c r="BF74" i="1"/>
  <c r="BH74" i="1" s="1"/>
  <c r="BF36" i="1"/>
  <c r="BH36" i="1" s="1"/>
  <c r="BF73" i="1"/>
  <c r="BH73" i="1" s="1"/>
  <c r="BF32" i="1"/>
  <c r="BH32" i="1" s="1"/>
  <c r="BF173" i="1"/>
  <c r="BH173" i="1" s="1"/>
  <c r="BF170" i="1"/>
  <c r="BH170" i="1" s="1"/>
  <c r="BF168" i="1"/>
  <c r="BH168" i="1" s="1"/>
  <c r="BF166" i="1"/>
  <c r="BH166" i="1" s="1"/>
  <c r="BF164" i="1"/>
  <c r="BH164" i="1" s="1"/>
  <c r="BF162" i="1"/>
  <c r="BH162" i="1" s="1"/>
  <c r="BF160" i="1"/>
  <c r="BH160" i="1" s="1"/>
  <c r="BF158" i="1"/>
  <c r="BH158" i="1" s="1"/>
  <c r="BF156" i="1"/>
  <c r="BH156" i="1" s="1"/>
  <c r="BF154" i="1"/>
  <c r="BH154" i="1" s="1"/>
  <c r="BF152" i="1"/>
  <c r="BH152" i="1" s="1"/>
  <c r="BF150" i="1"/>
  <c r="BH150" i="1" s="1"/>
  <c r="BF148" i="1"/>
  <c r="BH148" i="1" s="1"/>
  <c r="BF146" i="1"/>
  <c r="BH146" i="1" s="1"/>
  <c r="BF143" i="1"/>
  <c r="BH143" i="1" s="1"/>
  <c r="BF142" i="1"/>
  <c r="BH142" i="1" s="1"/>
  <c r="BF139" i="1"/>
  <c r="BH139" i="1" s="1"/>
  <c r="BF137" i="1"/>
  <c r="BH137" i="1" s="1"/>
  <c r="BF135" i="1"/>
  <c r="BH135" i="1" s="1"/>
  <c r="BF132" i="1"/>
  <c r="BH132" i="1" s="1"/>
  <c r="BF128" i="1"/>
  <c r="BH128" i="1" s="1"/>
  <c r="BF125" i="1"/>
  <c r="BH125" i="1" s="1"/>
  <c r="BF121" i="1"/>
  <c r="BH121" i="1" s="1"/>
  <c r="BF118" i="1"/>
  <c r="BH118" i="1" s="1"/>
  <c r="BF212" i="1"/>
  <c r="BH212" i="1" s="1"/>
  <c r="BF115" i="1"/>
  <c r="BH115" i="1" s="1"/>
  <c r="BF229" i="1"/>
  <c r="BH229" i="1" s="1"/>
  <c r="BF225" i="1"/>
  <c r="BH225" i="1" s="1"/>
  <c r="BF223" i="1"/>
  <c r="BH223" i="1" s="1"/>
  <c r="BF221" i="1"/>
  <c r="BH221" i="1" s="1"/>
  <c r="BF218" i="1"/>
  <c r="BH218" i="1" s="1"/>
  <c r="BF217" i="1"/>
  <c r="BH217" i="1" s="1"/>
  <c r="BF215" i="1"/>
  <c r="BH215" i="1" s="1"/>
  <c r="BF213" i="1"/>
  <c r="BH213" i="1" s="1"/>
  <c r="BF211" i="1"/>
  <c r="BH211" i="1" s="1"/>
  <c r="BF205" i="1"/>
  <c r="BH205" i="1" s="1"/>
  <c r="BF197" i="1"/>
  <c r="BH197" i="1" s="1"/>
  <c r="BF187" i="1"/>
  <c r="BH187" i="1" s="1"/>
  <c r="BF183" i="1"/>
  <c r="BH183" i="1" s="1"/>
  <c r="BF109" i="1"/>
  <c r="BH109" i="1" s="1"/>
  <c r="BF45" i="1"/>
  <c r="BH45" i="1" s="1"/>
  <c r="BF44" i="1"/>
  <c r="BH44" i="1" s="1"/>
  <c r="BF65" i="1"/>
  <c r="BH65" i="1" s="1"/>
  <c r="BF77" i="1"/>
  <c r="BH77" i="1" s="1"/>
  <c r="BF66" i="1"/>
  <c r="BH66" i="1" s="1"/>
  <c r="BF41" i="1"/>
  <c r="BH41" i="1" s="1"/>
  <c r="BF56" i="1"/>
  <c r="BH56" i="1" s="1"/>
  <c r="BF55" i="1"/>
  <c r="BH55" i="1" s="1"/>
  <c r="BF40" i="1"/>
  <c r="BH40" i="1" s="1"/>
  <c r="BF62" i="1"/>
  <c r="BH62" i="1" s="1"/>
  <c r="BF35" i="1"/>
  <c r="BH35" i="1" s="1"/>
  <c r="BF53" i="1"/>
  <c r="BH53" i="1" s="1"/>
  <c r="BF31" i="1"/>
  <c r="BH31" i="1" s="1"/>
  <c r="BF179" i="1"/>
  <c r="BH179" i="1" s="1"/>
  <c r="BF177" i="1"/>
  <c r="BH177"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T80" i="1" l="1"/>
  <c r="BV80" i="1" s="1"/>
  <c r="AI80" i="1"/>
  <c r="X80" i="1"/>
  <c r="BT48" i="1" l="1"/>
  <c r="BV48" i="1" s="1"/>
  <c r="AI48" i="1"/>
  <c r="X48" i="1"/>
  <c r="BT81" i="1" l="1"/>
  <c r="BV81" i="1" s="1"/>
  <c r="AI81" i="1"/>
  <c r="X81" i="1"/>
  <c r="BT89" i="1"/>
  <c r="BV89" i="1" s="1"/>
  <c r="AI89" i="1"/>
  <c r="X89" i="1"/>
  <c r="BT61" i="1"/>
  <c r="BV61" i="1" s="1"/>
  <c r="AI61" i="1"/>
  <c r="X61" i="1"/>
  <c r="BT53" i="1"/>
  <c r="BV53" i="1" s="1"/>
  <c r="AI53" i="1"/>
  <c r="X53" i="1"/>
  <c r="BT59" i="1"/>
  <c r="BV59" i="1" s="1"/>
  <c r="AI59" i="1"/>
  <c r="X59" i="1"/>
  <c r="AG57" i="1"/>
  <c r="BC57" i="1" s="1"/>
  <c r="BT57" i="1"/>
  <c r="BV57" i="1" s="1"/>
  <c r="AI57" i="1"/>
  <c r="X57" i="1"/>
  <c r="BT58" i="1"/>
  <c r="BV58" i="1" s="1"/>
  <c r="AI58" i="1"/>
  <c r="X58" i="1"/>
  <c r="BT56" i="1"/>
  <c r="BV56" i="1" s="1"/>
  <c r="AI56" i="1"/>
  <c r="X56" i="1"/>
  <c r="BT51" i="1"/>
  <c r="BV51" i="1" s="1"/>
  <c r="AI51" i="1"/>
  <c r="X51" i="1"/>
  <c r="BT50" i="1"/>
  <c r="BV50" i="1" s="1"/>
  <c r="AI50" i="1"/>
  <c r="X50" i="1"/>
  <c r="BG57" i="1" l="1"/>
  <c r="BI57" i="1" s="1"/>
  <c r="BF57" i="1"/>
  <c r="BH57" i="1" s="1"/>
  <c r="BT71" i="1"/>
  <c r="BV71" i="1" s="1"/>
  <c r="AI71" i="1"/>
  <c r="X71" i="1"/>
  <c r="BT70" i="1"/>
  <c r="BV70" i="1" s="1"/>
  <c r="AI70" i="1"/>
  <c r="X70" i="1"/>
  <c r="BT69" i="1"/>
  <c r="BV69" i="1" s="1"/>
  <c r="AI69" i="1"/>
  <c r="X69" i="1"/>
  <c r="BT68" i="1"/>
  <c r="BV68" i="1" s="1"/>
  <c r="AI68" i="1"/>
  <c r="X68" i="1"/>
  <c r="BT73" i="1"/>
  <c r="BV73" i="1" s="1"/>
  <c r="AI73" i="1"/>
  <c r="X73" i="1"/>
  <c r="BT79" i="1"/>
  <c r="BV79" i="1" s="1"/>
  <c r="AI79" i="1"/>
  <c r="X79" i="1"/>
  <c r="BT78" i="1"/>
  <c r="BV78" i="1" s="1"/>
  <c r="AI78" i="1"/>
  <c r="X78" i="1"/>
  <c r="BT76" i="1"/>
  <c r="BV76" i="1" s="1"/>
  <c r="AI76" i="1"/>
  <c r="X76" i="1"/>
  <c r="BT64" i="1" l="1"/>
  <c r="BV64" i="1" s="1"/>
  <c r="BT65" i="1"/>
  <c r="AI64" i="1"/>
  <c r="AI65" i="1"/>
  <c r="BT46" i="1"/>
  <c r="BV46" i="1" s="1"/>
  <c r="AI46" i="1"/>
  <c r="X46" i="1"/>
  <c r="BT44" i="1" l="1"/>
  <c r="BV44" i="1" s="1"/>
  <c r="BT45" i="1"/>
  <c r="BV45" i="1" s="1"/>
  <c r="BT47" i="1"/>
  <c r="AI44" i="1"/>
  <c r="X44" i="1"/>
  <c r="AI43" i="1" l="1"/>
  <c r="X43" i="1"/>
  <c r="BT42" i="1"/>
  <c r="BV42" i="1" s="1"/>
  <c r="BT43" i="1"/>
  <c r="BV43" i="1" s="1"/>
  <c r="BV47" i="1"/>
  <c r="AI42" i="1"/>
  <c r="X42" i="1"/>
  <c r="G23" i="6" l="1"/>
  <c r="B26" i="6"/>
  <c r="B25" i="6"/>
  <c r="I23" i="6"/>
  <c r="H23" i="6"/>
  <c r="F23" i="6"/>
  <c r="E23" i="6"/>
  <c r="D23" i="6"/>
  <c r="C23" i="6"/>
  <c r="B22" i="6"/>
  <c r="B23" i="6" s="1"/>
  <c r="T242" i="1"/>
  <c r="BT241" i="1"/>
  <c r="BV241" i="1" s="1"/>
  <c r="AI241" i="1"/>
  <c r="X241" i="1"/>
  <c r="AH241" i="1" l="1"/>
  <c r="B27" i="6"/>
  <c r="B14" i="6"/>
  <c r="B13" i="6"/>
  <c r="E11" i="6"/>
  <c r="F11" i="6"/>
  <c r="G11" i="6"/>
  <c r="H11" i="6"/>
  <c r="I11" i="6"/>
  <c r="J11" i="6"/>
  <c r="K11" i="6"/>
  <c r="L11" i="6"/>
  <c r="M11" i="6"/>
  <c r="N11" i="6"/>
  <c r="O11" i="6"/>
  <c r="P11" i="6"/>
  <c r="Q11" i="6"/>
  <c r="R11" i="6"/>
  <c r="S11" i="6"/>
  <c r="T11" i="6"/>
  <c r="U11" i="6"/>
  <c r="C11" i="6"/>
  <c r="D11" i="6"/>
  <c r="B10" i="6"/>
  <c r="B11" i="6" s="1"/>
  <c r="AI225" i="1"/>
  <c r="BT268" i="1"/>
  <c r="BV268" i="1" s="1"/>
  <c r="BT266" i="1"/>
  <c r="BV266" i="1" s="1"/>
  <c r="BT269" i="1"/>
  <c r="BV269" i="1" s="1"/>
  <c r="BT271" i="1"/>
  <c r="BV271" i="1" s="1"/>
  <c r="AI268" i="1"/>
  <c r="AI266" i="1"/>
  <c r="AI269" i="1"/>
  <c r="AI271" i="1"/>
  <c r="B15" i="6" l="1"/>
  <c r="K255" i="1"/>
  <c r="AZ255" i="1" s="1"/>
  <c r="BG255" i="1" s="1"/>
  <c r="K267" i="1"/>
  <c r="AZ267" i="1" s="1"/>
  <c r="BG267" i="1" s="1"/>
  <c r="BF267" i="1" l="1"/>
  <c r="BH267" i="1" s="1"/>
  <c r="BI267" i="1"/>
  <c r="BF255" i="1"/>
  <c r="BH255" i="1" s="1"/>
  <c r="BI255" i="1"/>
  <c r="T231" i="1"/>
  <c r="K239" i="1"/>
  <c r="AZ239" i="1" s="1"/>
  <c r="BG239" i="1" s="1"/>
  <c r="BT25" i="1"/>
  <c r="BV25" i="1" s="1"/>
  <c r="AI25" i="1"/>
  <c r="X25" i="1"/>
  <c r="BT237" i="1"/>
  <c r="K237" i="1"/>
  <c r="AZ237" i="1" s="1"/>
  <c r="BG237" i="1" s="1"/>
  <c r="T237" i="1"/>
  <c r="BI239" i="1" l="1"/>
  <c r="BF239" i="1"/>
  <c r="BH239" i="1" s="1"/>
  <c r="BI237" i="1"/>
  <c r="BF237" i="1"/>
  <c r="BH237" i="1" s="1"/>
  <c r="K234" i="1"/>
  <c r="AZ234" i="1" s="1"/>
  <c r="BG234" i="1" s="1"/>
  <c r="T234" i="1"/>
  <c r="BF234" i="1" l="1"/>
  <c r="BH234" i="1" s="1"/>
  <c r="BI234" i="1"/>
  <c r="K230" i="1"/>
  <c r="AZ230" i="1" s="1"/>
  <c r="BG230" i="1" s="1"/>
  <c r="T230" i="1"/>
  <c r="BI230" i="1" l="1"/>
  <c r="BF230" i="1"/>
  <c r="BH230" i="1" s="1"/>
  <c r="AC222" i="1"/>
  <c r="T218" i="1" l="1"/>
  <c r="T217" i="1"/>
  <c r="BT203" i="1"/>
  <c r="BV203" i="1" s="1"/>
  <c r="AI203" i="1"/>
  <c r="X203" i="1"/>
  <c r="AH203" i="1" l="1"/>
  <c r="K265" i="1"/>
  <c r="AZ265" i="1" s="1"/>
  <c r="BG265" i="1" s="1"/>
  <c r="BT211" i="1"/>
  <c r="BV211" i="1" s="1"/>
  <c r="AI211" i="1"/>
  <c r="X211" i="1"/>
  <c r="BF265" i="1" l="1"/>
  <c r="BH265" i="1" s="1"/>
  <c r="BI265" i="1"/>
  <c r="AG248" i="1"/>
  <c r="BC248" i="1" s="1"/>
  <c r="BG248" i="1" s="1"/>
  <c r="BF248" i="1" l="1"/>
  <c r="BH248" i="1" s="1"/>
  <c r="BI248" i="1"/>
  <c r="BT37" i="1"/>
  <c r="BV37" i="1" s="1"/>
  <c r="AI37" i="1"/>
  <c r="X37" i="1"/>
  <c r="BT201" i="1"/>
  <c r="BV201" i="1" s="1"/>
  <c r="AI201" i="1"/>
  <c r="X201" i="1"/>
  <c r="AH37" i="1" l="1"/>
  <c r="X228" i="1"/>
  <c r="X224" i="1"/>
  <c r="Q169" i="1" l="1"/>
  <c r="S169" i="1" s="1"/>
  <c r="Q165" i="1" l="1"/>
  <c r="S165" i="1" s="1"/>
  <c r="AD165" i="1"/>
  <c r="AD166" i="1"/>
  <c r="Q166" i="1"/>
  <c r="S166" i="1" s="1"/>
  <c r="AD163" i="1" l="1"/>
  <c r="AI163" i="1" s="1"/>
  <c r="BT24" i="1"/>
  <c r="BV24" i="1" s="1"/>
  <c r="AI24" i="1"/>
  <c r="X24" i="1"/>
  <c r="AD161" i="1"/>
  <c r="Q161" i="1"/>
  <c r="S161" i="1" s="1"/>
  <c r="Q160" i="1"/>
  <c r="S160" i="1" s="1"/>
  <c r="Q159" i="1" l="1"/>
  <c r="S159" i="1" s="1"/>
  <c r="Q158" i="1"/>
  <c r="S158" i="1" s="1"/>
  <c r="Q157" i="1"/>
  <c r="S157" i="1" s="1"/>
  <c r="BT23" i="1"/>
  <c r="BV23" i="1" s="1"/>
  <c r="AI23" i="1"/>
  <c r="X23" i="1"/>
  <c r="Q156" i="1"/>
  <c r="S156" i="1" s="1"/>
  <c r="Q130" i="1"/>
  <c r="S130" i="1" s="1"/>
  <c r="Q155" i="1"/>
  <c r="S155" i="1" s="1"/>
  <c r="BT22" i="1" l="1"/>
  <c r="BV22" i="1" s="1"/>
  <c r="AI22" i="1"/>
  <c r="X22" i="1"/>
  <c r="U154" i="1"/>
  <c r="Q154" i="1"/>
  <c r="S154" i="1" s="1"/>
  <c r="BT21" i="1" l="1"/>
  <c r="BV21" i="1" s="1"/>
  <c r="AI21" i="1"/>
  <c r="X21" i="1"/>
  <c r="AD152" i="1"/>
  <c r="Q152" i="1"/>
  <c r="S152" i="1" s="1"/>
  <c r="AG216" i="1"/>
  <c r="BC216" i="1" s="1"/>
  <c r="BG216" i="1" l="1"/>
  <c r="BI216" i="1" s="1"/>
  <c r="BF216" i="1"/>
  <c r="BH216" i="1" s="1"/>
  <c r="BT20" i="1"/>
  <c r="BV20" i="1" s="1"/>
  <c r="AI20" i="1"/>
  <c r="X20" i="1"/>
  <c r="AD151" i="1"/>
  <c r="AD150" i="1"/>
  <c r="Q150" i="1"/>
  <c r="S150" i="1" s="1"/>
  <c r="AD149" i="1" l="1"/>
  <c r="Q149" i="1"/>
  <c r="S149" i="1" s="1"/>
  <c r="X150" i="1"/>
  <c r="X151" i="1"/>
  <c r="X215" i="1"/>
  <c r="X216" i="1"/>
  <c r="X152" i="1"/>
  <c r="X153" i="1"/>
  <c r="X154" i="1"/>
  <c r="X155" i="1"/>
  <c r="X156" i="1"/>
  <c r="X157" i="1"/>
  <c r="X158" i="1"/>
  <c r="X159" i="1"/>
  <c r="X160" i="1"/>
  <c r="X161" i="1"/>
  <c r="X162" i="1"/>
  <c r="X163" i="1"/>
  <c r="X164" i="1"/>
  <c r="X165" i="1"/>
  <c r="X166" i="1"/>
  <c r="X167" i="1"/>
  <c r="X168" i="1"/>
  <c r="X169" i="1"/>
  <c r="X170" i="1"/>
  <c r="X35" i="1"/>
  <c r="X172" i="1"/>
  <c r="X173" i="1"/>
  <c r="X174" i="1"/>
  <c r="X175" i="1"/>
  <c r="X176" i="1"/>
  <c r="X177" i="1"/>
  <c r="X178" i="1"/>
  <c r="X180" i="1"/>
  <c r="X181" i="1"/>
  <c r="X182" i="1"/>
  <c r="X183" i="1"/>
  <c r="X184" i="1"/>
  <c r="X219" i="1"/>
  <c r="X221" i="1"/>
  <c r="X185" i="1"/>
  <c r="X186" i="1"/>
  <c r="X187" i="1"/>
  <c r="X179" i="1"/>
  <c r="X188" i="1"/>
  <c r="X189" i="1"/>
  <c r="X190" i="1"/>
  <c r="X191" i="1"/>
  <c r="X192" i="1"/>
  <c r="X193" i="1"/>
  <c r="X194" i="1"/>
  <c r="X195" i="1"/>
  <c r="X36" i="1"/>
  <c r="X196" i="1"/>
  <c r="X197" i="1"/>
  <c r="X198" i="1"/>
  <c r="X200" i="1"/>
  <c r="X232" i="1"/>
  <c r="X202" i="1"/>
  <c r="X240" i="1"/>
  <c r="X205" i="1"/>
  <c r="X206" i="1"/>
  <c r="X207" i="1"/>
  <c r="X208" i="1"/>
  <c r="X248" i="1"/>
  <c r="X258" i="1"/>
  <c r="X263" i="1"/>
  <c r="X209" i="1"/>
  <c r="X210" i="1"/>
  <c r="X245" i="1"/>
  <c r="X265" i="1"/>
  <c r="X259" i="1"/>
  <c r="X261" i="1"/>
  <c r="X229" i="1"/>
  <c r="X238" i="1"/>
  <c r="X217" i="1"/>
  <c r="X218" i="1"/>
  <c r="X223" i="1"/>
  <c r="X222" i="1"/>
  <c r="X230" i="1"/>
  <c r="X234" i="1"/>
  <c r="X237" i="1"/>
  <c r="X239" i="1"/>
  <c r="X231" i="1"/>
  <c r="X267" i="1"/>
  <c r="X244" i="1"/>
  <c r="X225" i="1"/>
  <c r="X251" i="1"/>
  <c r="X254" i="1"/>
  <c r="X255" i="1"/>
  <c r="X235" i="1"/>
  <c r="X242" i="1"/>
  <c r="X283" i="1"/>
  <c r="X284" i="1"/>
  <c r="X285" i="1"/>
  <c r="X286" i="1"/>
  <c r="X27" i="1"/>
  <c r="X28" i="1"/>
  <c r="X30" i="1"/>
  <c r="X29" i="1"/>
  <c r="X34" i="1"/>
  <c r="X281" i="1"/>
  <c r="X282" i="1"/>
  <c r="X65" i="1"/>
  <c r="X66" i="1"/>
  <c r="X41" i="1"/>
  <c r="X45" i="1"/>
  <c r="X47" i="1"/>
  <c r="X55" i="1"/>
  <c r="X49" i="1"/>
  <c r="X75" i="1"/>
  <c r="X67" i="1"/>
  <c r="X77" i="1"/>
  <c r="X60" i="1"/>
  <c r="X268" i="1"/>
  <c r="X266" i="1"/>
  <c r="X269" i="1"/>
  <c r="X271" i="1"/>
  <c r="X39" i="1"/>
  <c r="X95" i="1"/>
  <c r="X97" i="1"/>
  <c r="X98" i="1"/>
  <c r="X99" i="1"/>
  <c r="X100" i="1"/>
  <c r="X102" i="1"/>
  <c r="X62" i="1"/>
  <c r="X103" i="1"/>
  <c r="X105" i="1"/>
  <c r="X108" i="1"/>
  <c r="X109" i="1"/>
  <c r="X110" i="1"/>
  <c r="X111" i="1"/>
  <c r="X112" i="1"/>
  <c r="X2" i="1"/>
  <c r="X11" i="1"/>
  <c r="X19" i="1"/>
  <c r="X14" i="1"/>
  <c r="X114" i="1"/>
  <c r="X115" i="1"/>
  <c r="X40" i="1"/>
  <c r="X116" i="1"/>
  <c r="X212" i="1"/>
  <c r="X74" i="1"/>
  <c r="X54" i="1"/>
  <c r="X63" i="1"/>
  <c r="X31" i="1"/>
  <c r="X32" i="1"/>
  <c r="X117" i="1"/>
  <c r="X118" i="1"/>
  <c r="X120" i="1"/>
  <c r="X121" i="1"/>
  <c r="X123" i="1"/>
  <c r="X125" i="1"/>
  <c r="X213" i="1"/>
  <c r="X131" i="1"/>
  <c r="X128" i="1"/>
  <c r="X130" i="1"/>
  <c r="X132" i="1"/>
  <c r="X16" i="1"/>
  <c r="X17" i="1"/>
  <c r="X18" i="1"/>
  <c r="X134" i="1"/>
  <c r="X135" i="1"/>
  <c r="X136" i="1"/>
  <c r="X137" i="1"/>
  <c r="X138" i="1"/>
  <c r="X139" i="1"/>
  <c r="X141" i="1"/>
  <c r="X142" i="1"/>
  <c r="X144" i="1"/>
  <c r="X214" i="1"/>
  <c r="X143" i="1"/>
  <c r="X145" i="1"/>
  <c r="X146" i="1"/>
  <c r="X147" i="1"/>
  <c r="X148" i="1"/>
  <c r="X149" i="1"/>
  <c r="AD148" i="1"/>
  <c r="AD147" i="1" l="1"/>
  <c r="Q144" i="1" l="1"/>
  <c r="S144" i="1" s="1"/>
  <c r="BT16" i="1"/>
  <c r="BV16" i="1" s="1"/>
  <c r="AI16" i="1"/>
  <c r="Q142" i="1"/>
  <c r="S142" i="1" s="1"/>
  <c r="AD142" i="1"/>
  <c r="Q141" i="1" l="1"/>
  <c r="S141" i="1" s="1"/>
  <c r="BT19" i="1" l="1"/>
  <c r="BV19" i="1" s="1"/>
  <c r="AI19" i="1"/>
  <c r="Q139" i="1"/>
  <c r="S139" i="1" s="1"/>
  <c r="AD139" i="1"/>
  <c r="Q138" i="1"/>
  <c r="S138" i="1" s="1"/>
  <c r="AD138" i="1"/>
  <c r="Q137" i="1"/>
  <c r="S137" i="1" s="1"/>
  <c r="AD136" i="1"/>
  <c r="Q136" i="1"/>
  <c r="S136" i="1" s="1"/>
  <c r="AD135" i="1"/>
  <c r="Q135" i="1"/>
  <c r="S135" i="1" s="1"/>
  <c r="Q134" i="1"/>
  <c r="S134" i="1" s="1"/>
  <c r="AD128" i="1"/>
  <c r="BT2" i="1"/>
  <c r="BV2" i="1" s="1"/>
  <c r="AI2" i="1"/>
  <c r="Q128" i="1"/>
  <c r="S128" i="1" s="1"/>
  <c r="Q126" i="1"/>
  <c r="S126" i="1" s="1"/>
  <c r="BT74" i="1"/>
  <c r="BV74" i="1" s="1"/>
  <c r="AI74" i="1"/>
  <c r="BT54" i="1"/>
  <c r="BV54" i="1" s="1"/>
  <c r="BT63" i="1"/>
  <c r="BV63" i="1" s="1"/>
  <c r="AI54" i="1"/>
  <c r="AI63" i="1"/>
  <c r="BT114" i="1" l="1"/>
  <c r="BV114" i="1" s="1"/>
  <c r="AI114" i="1"/>
  <c r="Q114" i="1"/>
  <c r="S114" i="1" s="1"/>
  <c r="BT31" i="1"/>
  <c r="BV31" i="1" s="1"/>
  <c r="AI31" i="1"/>
  <c r="BT14" i="1" l="1"/>
  <c r="BV14" i="1" s="1"/>
  <c r="AI14" i="1"/>
  <c r="Q121" i="1"/>
  <c r="S121" i="1" s="1"/>
  <c r="Q123" i="1"/>
  <c r="S123" i="1" s="1"/>
  <c r="Q120" i="1" l="1"/>
  <c r="S120" i="1" s="1"/>
  <c r="Q118" i="1"/>
  <c r="S118" i="1" s="1"/>
  <c r="P115" i="1" l="1"/>
  <c r="Q115" i="1"/>
  <c r="Q117" i="1"/>
  <c r="S117" i="1" s="1"/>
  <c r="Q163" i="1"/>
  <c r="S163" i="1" s="1"/>
  <c r="S115" i="1" l="1"/>
  <c r="B4" i="4"/>
  <c r="B5" i="4"/>
  <c r="B6" i="4"/>
  <c r="B7" i="4"/>
  <c r="B8" i="4"/>
  <c r="B9" i="4"/>
  <c r="B10" i="4"/>
  <c r="B11" i="4"/>
  <c r="B3" i="4"/>
  <c r="BT105" i="1"/>
  <c r="BV105" i="1" s="1"/>
  <c r="BT107" i="1"/>
  <c r="BV107" i="1" s="1"/>
  <c r="BT108" i="1"/>
  <c r="BV108" i="1" s="1"/>
  <c r="BT109" i="1"/>
  <c r="BV109" i="1" s="1"/>
  <c r="BT110" i="1"/>
  <c r="BV110" i="1" s="1"/>
  <c r="BT111" i="1"/>
  <c r="BV111" i="1" s="1"/>
  <c r="BT115" i="1"/>
  <c r="BV115" i="1" s="1"/>
  <c r="BT116" i="1"/>
  <c r="BV116" i="1" s="1"/>
  <c r="BT212" i="1"/>
  <c r="BV212" i="1" s="1"/>
  <c r="BT117" i="1"/>
  <c r="BV117" i="1" s="1"/>
  <c r="BT118" i="1"/>
  <c r="BV118" i="1" s="1"/>
  <c r="BT120" i="1"/>
  <c r="BV120" i="1" s="1"/>
  <c r="BT121" i="1"/>
  <c r="BV121" i="1" s="1"/>
  <c r="BT123" i="1"/>
  <c r="BV123" i="1" s="1"/>
  <c r="BT125" i="1"/>
  <c r="BV125" i="1" s="1"/>
  <c r="BT131" i="1"/>
  <c r="BV131" i="1" s="1"/>
  <c r="BT126" i="1"/>
  <c r="BV126" i="1" s="1"/>
  <c r="BT128" i="1"/>
  <c r="BV128" i="1" s="1"/>
  <c r="BT112" i="1"/>
  <c r="BV112" i="1" s="1"/>
  <c r="BT130" i="1"/>
  <c r="BV130" i="1" s="1"/>
  <c r="BT132" i="1"/>
  <c r="BV132" i="1" s="1"/>
  <c r="BT134" i="1"/>
  <c r="BV134" i="1" s="1"/>
  <c r="BT135" i="1"/>
  <c r="BV135" i="1" s="1"/>
  <c r="BT136" i="1"/>
  <c r="BV136" i="1" s="1"/>
  <c r="BT137" i="1"/>
  <c r="BV137" i="1" s="1"/>
  <c r="BT138" i="1"/>
  <c r="BV138" i="1" s="1"/>
  <c r="BT139" i="1"/>
  <c r="BV139" i="1" s="1"/>
  <c r="BT141" i="1"/>
  <c r="BV141" i="1" s="1"/>
  <c r="BT142" i="1"/>
  <c r="BV142" i="1" s="1"/>
  <c r="BT144" i="1"/>
  <c r="BV144" i="1" s="1"/>
  <c r="BT145" i="1"/>
  <c r="BV145" i="1" s="1"/>
  <c r="BT146" i="1"/>
  <c r="BV146" i="1" s="1"/>
  <c r="BT147" i="1"/>
  <c r="BV147" i="1" s="1"/>
  <c r="BT148" i="1"/>
  <c r="BV148" i="1" s="1"/>
  <c r="BT149" i="1"/>
  <c r="BV149" i="1" s="1"/>
  <c r="BT150" i="1"/>
  <c r="BV150" i="1" s="1"/>
  <c r="BT151" i="1"/>
  <c r="BV151" i="1" s="1"/>
  <c r="BT152" i="1"/>
  <c r="BV152" i="1" s="1"/>
  <c r="BT153" i="1"/>
  <c r="BV153" i="1" s="1"/>
  <c r="BT154" i="1"/>
  <c r="BV154" i="1" s="1"/>
  <c r="BT155" i="1"/>
  <c r="BV155" i="1" s="1"/>
  <c r="BT156" i="1"/>
  <c r="BV156" i="1" s="1"/>
  <c r="BT157" i="1"/>
  <c r="BV157" i="1" s="1"/>
  <c r="BT158" i="1"/>
  <c r="BV158" i="1" s="1"/>
  <c r="BT159" i="1"/>
  <c r="BV159" i="1" s="1"/>
  <c r="BT160" i="1"/>
  <c r="BV160" i="1" s="1"/>
  <c r="BT161" i="1"/>
  <c r="BV161" i="1" s="1"/>
  <c r="BT162" i="1"/>
  <c r="BV162" i="1" s="1"/>
  <c r="BT163" i="1"/>
  <c r="BV163" i="1" s="1"/>
  <c r="BT164" i="1"/>
  <c r="BV164" i="1" s="1"/>
  <c r="BT165" i="1"/>
  <c r="BV165" i="1" s="1"/>
  <c r="BT166" i="1"/>
  <c r="BV166" i="1" s="1"/>
  <c r="BT167" i="1"/>
  <c r="BV167" i="1" s="1"/>
  <c r="BT168" i="1"/>
  <c r="BV168" i="1" s="1"/>
  <c r="BT169" i="1"/>
  <c r="BV169" i="1" s="1"/>
  <c r="BT170" i="1"/>
  <c r="BV170" i="1" s="1"/>
  <c r="BT172" i="1"/>
  <c r="BV172" i="1" s="1"/>
  <c r="BT173" i="1"/>
  <c r="BV173" i="1" s="1"/>
  <c r="BT174" i="1"/>
  <c r="BV174" i="1" s="1"/>
  <c r="BT175" i="1"/>
  <c r="BV175" i="1" s="1"/>
  <c r="BT176" i="1"/>
  <c r="BV176" i="1" s="1"/>
  <c r="BT177" i="1"/>
  <c r="BV177" i="1" s="1"/>
  <c r="BT178" i="1"/>
  <c r="BV178" i="1" s="1"/>
  <c r="BT180" i="1"/>
  <c r="BV180" i="1" s="1"/>
  <c r="BT181" i="1"/>
  <c r="BV181" i="1" s="1"/>
  <c r="BT182" i="1"/>
  <c r="BV182" i="1" s="1"/>
  <c r="BT183" i="1"/>
  <c r="BV183" i="1" s="1"/>
  <c r="BT184" i="1"/>
  <c r="BV184" i="1" s="1"/>
  <c r="BT219" i="1"/>
  <c r="BV219" i="1" s="1"/>
  <c r="BT185" i="1"/>
  <c r="BV185" i="1" s="1"/>
  <c r="BT186" i="1"/>
  <c r="BV186" i="1" s="1"/>
  <c r="BT187" i="1"/>
  <c r="BV187" i="1" s="1"/>
  <c r="BT179" i="1"/>
  <c r="BV179" i="1" s="1"/>
  <c r="BT188" i="1"/>
  <c r="BV188" i="1" s="1"/>
  <c r="BT189" i="1"/>
  <c r="BV189" i="1" s="1"/>
  <c r="BT190" i="1"/>
  <c r="BV190" i="1" s="1"/>
  <c r="BT191" i="1"/>
  <c r="BV191" i="1" s="1"/>
  <c r="BT192" i="1"/>
  <c r="BV192" i="1" s="1"/>
  <c r="BT193" i="1"/>
  <c r="BV193" i="1" s="1"/>
  <c r="BT194" i="1"/>
  <c r="BV194" i="1" s="1"/>
  <c r="BT195" i="1"/>
  <c r="BV195" i="1" s="1"/>
  <c r="BT196" i="1"/>
  <c r="BV196" i="1" s="1"/>
  <c r="BT197" i="1"/>
  <c r="BV197" i="1" s="1"/>
  <c r="BT198" i="1"/>
  <c r="BV198" i="1" s="1"/>
  <c r="BT200" i="1"/>
  <c r="BV200" i="1" s="1"/>
  <c r="BT202" i="1"/>
  <c r="BV202" i="1" s="1"/>
  <c r="BT205" i="1"/>
  <c r="BV205" i="1" s="1"/>
  <c r="BT206" i="1"/>
  <c r="BV206" i="1" s="1"/>
  <c r="BT207" i="1"/>
  <c r="BV207" i="1" s="1"/>
  <c r="BT208" i="1"/>
  <c r="BV208" i="1" s="1"/>
  <c r="BT209" i="1"/>
  <c r="BV209" i="1" s="1"/>
  <c r="BT210" i="1"/>
  <c r="BV210" i="1" s="1"/>
  <c r="BT143" i="1"/>
  <c r="BV143" i="1" s="1"/>
  <c r="BT213" i="1"/>
  <c r="BV213" i="1" s="1"/>
  <c r="BT214" i="1"/>
  <c r="BV214" i="1" s="1"/>
  <c r="BT215" i="1"/>
  <c r="BV215" i="1" s="1"/>
  <c r="BT216" i="1"/>
  <c r="BV216" i="1" s="1"/>
  <c r="BT171" i="1"/>
  <c r="BV171" i="1" s="1"/>
  <c r="BT221" i="1"/>
  <c r="BV221" i="1" s="1"/>
  <c r="BT258" i="1"/>
  <c r="BV258" i="1" s="1"/>
  <c r="BT240" i="1"/>
  <c r="BV240" i="1" s="1"/>
  <c r="BT248" i="1"/>
  <c r="BV248" i="1" s="1"/>
  <c r="BT263" i="1"/>
  <c r="BV263" i="1" s="1"/>
  <c r="BT232" i="1"/>
  <c r="BV232" i="1" s="1"/>
  <c r="BT228" i="1"/>
  <c r="BV228" i="1" s="1"/>
  <c r="BT224" i="1"/>
  <c r="BV224" i="1" s="1"/>
  <c r="BT245" i="1"/>
  <c r="BV245" i="1" s="1"/>
  <c r="BT265" i="1"/>
  <c r="BV265" i="1" s="1"/>
  <c r="BT259" i="1"/>
  <c r="BV259" i="1" s="1"/>
  <c r="BT261" i="1"/>
  <c r="BV261" i="1" s="1"/>
  <c r="BT229" i="1"/>
  <c r="BV229" i="1" s="1"/>
  <c r="BT238" i="1"/>
  <c r="BV238" i="1" s="1"/>
  <c r="BT217" i="1"/>
  <c r="BV217" i="1" s="1"/>
  <c r="BT218" i="1"/>
  <c r="BV218" i="1" s="1"/>
  <c r="BT223" i="1"/>
  <c r="BV223" i="1" s="1"/>
  <c r="BT222" i="1"/>
  <c r="BV222" i="1" s="1"/>
  <c r="BT230" i="1"/>
  <c r="BV230" i="1" s="1"/>
  <c r="BT234" i="1"/>
  <c r="BV234" i="1" s="1"/>
  <c r="BV237" i="1"/>
  <c r="BT239" i="1"/>
  <c r="BV239" i="1" s="1"/>
  <c r="BT231" i="1"/>
  <c r="BV231" i="1" s="1"/>
  <c r="BT267" i="1"/>
  <c r="BV267" i="1" s="1"/>
  <c r="BT244" i="1"/>
  <c r="BV244" i="1" s="1"/>
  <c r="BT225" i="1"/>
  <c r="BV225" i="1" s="1"/>
  <c r="BT251" i="1"/>
  <c r="BV251" i="1" s="1"/>
  <c r="BT254" i="1"/>
  <c r="BV254" i="1" s="1"/>
  <c r="BT255" i="1"/>
  <c r="BV255" i="1" s="1"/>
  <c r="BT235" i="1"/>
  <c r="BV235" i="1" s="1"/>
  <c r="BT242" i="1"/>
  <c r="BV242" i="1" s="1"/>
  <c r="BT283" i="1"/>
  <c r="BV283" i="1" s="1"/>
  <c r="BT287" i="1"/>
  <c r="BV287" i="1" s="1"/>
  <c r="BT284" i="1"/>
  <c r="BV284" i="1" s="1"/>
  <c r="BT285" i="1"/>
  <c r="BV285" i="1" s="1"/>
  <c r="BT286" i="1"/>
  <c r="BV286" i="1" s="1"/>
  <c r="BT288" i="1"/>
  <c r="BV288" i="1" s="1"/>
  <c r="BT289" i="1"/>
  <c r="BV289" i="1" s="1"/>
  <c r="BT290" i="1"/>
  <c r="BV290" i="1" s="1"/>
  <c r="BT291" i="1"/>
  <c r="BV291" i="1" s="1"/>
  <c r="BT292" i="1"/>
  <c r="BV292" i="1" s="1"/>
  <c r="BT294" i="1"/>
  <c r="BV294" i="1" s="1"/>
  <c r="BT295" i="1"/>
  <c r="BV295" i="1" s="1"/>
  <c r="BT296" i="1"/>
  <c r="BV296" i="1" s="1"/>
  <c r="BT297" i="1"/>
  <c r="BV297" i="1" s="1"/>
  <c r="BT298" i="1"/>
  <c r="BV298" i="1" s="1"/>
  <c r="BT299" i="1"/>
  <c r="BV299" i="1" s="1"/>
  <c r="BT27" i="1"/>
  <c r="BV27" i="1" s="1"/>
  <c r="BT28" i="1"/>
  <c r="BV28" i="1" s="1"/>
  <c r="BT30" i="1"/>
  <c r="BV30" i="1" s="1"/>
  <c r="BT32" i="1"/>
  <c r="BV32" i="1" s="1"/>
  <c r="BT29" i="1"/>
  <c r="BV29" i="1" s="1"/>
  <c r="BT34" i="1"/>
  <c r="BV34" i="1" s="1"/>
  <c r="BT35" i="1"/>
  <c r="BV35" i="1" s="1"/>
  <c r="BT36" i="1"/>
  <c r="BV36" i="1" s="1"/>
  <c r="BT281" i="1"/>
  <c r="BV281" i="1" s="1"/>
  <c r="BT282" i="1"/>
  <c r="BV282" i="1" s="1"/>
  <c r="BT62" i="1"/>
  <c r="BV62" i="1" s="1"/>
  <c r="BV65" i="1"/>
  <c r="BT66" i="1"/>
  <c r="BV66" i="1" s="1"/>
  <c r="BT39" i="1"/>
  <c r="BV39" i="1" s="1"/>
  <c r="BT40" i="1"/>
  <c r="BV40" i="1" s="1"/>
  <c r="BT41" i="1"/>
  <c r="BV41" i="1" s="1"/>
  <c r="BT55" i="1"/>
  <c r="BV55" i="1" s="1"/>
  <c r="BT49" i="1"/>
  <c r="BV49" i="1" s="1"/>
  <c r="BT75" i="1"/>
  <c r="BV75" i="1" s="1"/>
  <c r="BT67" i="1"/>
  <c r="BV67" i="1" s="1"/>
  <c r="BT77" i="1"/>
  <c r="BV77" i="1" s="1"/>
  <c r="BT60" i="1"/>
  <c r="BV60" i="1" s="1"/>
  <c r="BT18" i="1"/>
  <c r="BV18" i="1" s="1"/>
  <c r="BT11" i="1"/>
  <c r="BV11" i="1" s="1"/>
  <c r="BT94" i="1"/>
  <c r="BV94" i="1" s="1"/>
  <c r="BT95" i="1"/>
  <c r="BV95" i="1" s="1"/>
  <c r="BT97" i="1"/>
  <c r="BV97" i="1" s="1"/>
  <c r="BT98" i="1"/>
  <c r="BV98" i="1" s="1"/>
  <c r="BT99" i="1"/>
  <c r="BV99" i="1" s="1"/>
  <c r="BT100" i="1"/>
  <c r="BV100" i="1" s="1"/>
  <c r="BT102" i="1"/>
  <c r="BV102" i="1" s="1"/>
  <c r="BT103" i="1"/>
  <c r="BV103" i="1" s="1"/>
  <c r="BT17" i="1"/>
  <c r="BV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D115" i="1"/>
  <c r="AI11" i="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H86" i="1" l="1"/>
  <c r="AH33" i="1"/>
  <c r="AH31" i="1"/>
  <c r="AH85" i="1"/>
  <c r="AH80" i="1"/>
  <c r="AH58" i="1"/>
  <c r="AH122" i="1"/>
  <c r="AH133" i="1"/>
  <c r="AH79" i="1"/>
  <c r="AH11" i="1"/>
  <c r="AH53" i="1"/>
  <c r="AH73" i="1"/>
  <c r="AH24" i="1"/>
  <c r="AH23" i="1"/>
  <c r="AH22" i="1"/>
  <c r="AH114" i="1"/>
  <c r="AH119" i="1"/>
  <c r="AH81" i="1"/>
  <c r="AH71" i="1"/>
  <c r="AH129" i="1"/>
  <c r="AH124" i="1"/>
  <c r="AH56" i="1"/>
  <c r="AH70" i="1"/>
  <c r="AH65" i="1"/>
  <c r="AH46" i="1"/>
  <c r="AH44" i="1"/>
  <c r="AH43" i="1"/>
  <c r="AH50" i="1"/>
  <c r="AH61" i="1"/>
  <c r="AH51" i="1"/>
  <c r="AH201" i="1"/>
  <c r="AH12" i="1"/>
  <c r="AH15" i="1"/>
  <c r="AH127" i="1"/>
  <c r="AH13" i="1"/>
  <c r="AH48" i="1"/>
  <c r="AH76" i="1"/>
  <c r="AH69" i="1"/>
  <c r="AH68" i="1"/>
  <c r="AH78" i="1"/>
  <c r="AH64" i="1"/>
  <c r="AH42" i="1"/>
  <c r="AH25" i="1"/>
  <c r="AH21" i="1"/>
  <c r="AH20" i="1"/>
  <c r="AH16" i="1"/>
  <c r="AH2" i="1"/>
  <c r="AH19" i="1"/>
  <c r="AH63" i="1"/>
  <c r="AH74" i="1"/>
  <c r="AH54" i="1"/>
  <c r="AH14" i="1"/>
  <c r="AH253" i="1"/>
  <c r="AH252" i="1"/>
  <c r="AH256" i="1"/>
  <c r="AH88" i="1"/>
  <c r="AH87" i="1"/>
  <c r="AH226" i="1"/>
  <c r="AH227" i="1"/>
  <c r="AH220" i="1"/>
  <c r="AH247" i="1"/>
  <c r="AH57" i="1"/>
  <c r="AH59" i="1"/>
  <c r="AH89" i="1"/>
  <c r="AH211" i="1"/>
  <c r="AH268" i="1"/>
  <c r="AH271" i="1"/>
  <c r="AH266" i="1"/>
  <c r="AH269" i="1"/>
  <c r="AI168" i="1"/>
  <c r="AI169" i="1"/>
  <c r="AI18" i="1"/>
  <c r="AI94" i="1"/>
  <c r="AI95" i="1"/>
  <c r="AI97" i="1"/>
  <c r="AI98" i="1"/>
  <c r="AI99" i="1"/>
  <c r="AI100" i="1"/>
  <c r="AI102" i="1"/>
  <c r="AI103" i="1"/>
  <c r="AI105" i="1"/>
  <c r="AI107" i="1"/>
  <c r="AI108" i="1"/>
  <c r="AI109" i="1"/>
  <c r="AI110" i="1"/>
  <c r="AI111" i="1"/>
  <c r="AI115" i="1"/>
  <c r="AI116" i="1"/>
  <c r="AI212" i="1"/>
  <c r="AI117" i="1"/>
  <c r="AI118" i="1"/>
  <c r="AI120" i="1"/>
  <c r="AI121" i="1"/>
  <c r="AI123" i="1"/>
  <c r="AI125" i="1"/>
  <c r="AI131" i="1"/>
  <c r="AI126" i="1"/>
  <c r="AI128" i="1"/>
  <c r="AI112" i="1"/>
  <c r="AI130" i="1"/>
  <c r="AI132" i="1"/>
  <c r="AI134" i="1"/>
  <c r="AI135" i="1"/>
  <c r="AI136" i="1"/>
  <c r="AI137" i="1"/>
  <c r="AI138" i="1"/>
  <c r="AI139" i="1"/>
  <c r="AI141" i="1"/>
  <c r="AI142" i="1"/>
  <c r="AI144" i="1"/>
  <c r="AI145" i="1"/>
  <c r="AI146" i="1"/>
  <c r="AI147" i="1"/>
  <c r="AI148" i="1"/>
  <c r="AI149" i="1"/>
  <c r="AI150" i="1"/>
  <c r="AI151" i="1"/>
  <c r="AI152" i="1"/>
  <c r="AI153" i="1"/>
  <c r="AI154" i="1"/>
  <c r="AI155" i="1"/>
  <c r="AI156" i="1"/>
  <c r="AI157" i="1"/>
  <c r="AI158" i="1"/>
  <c r="AI159" i="1"/>
  <c r="AI160" i="1"/>
  <c r="AI161" i="1"/>
  <c r="AI162" i="1"/>
  <c r="AI164" i="1"/>
  <c r="AI165" i="1"/>
  <c r="AI166" i="1"/>
  <c r="AI167" i="1"/>
  <c r="AI170" i="1"/>
  <c r="AI172" i="1"/>
  <c r="AI173" i="1"/>
  <c r="AI174" i="1"/>
  <c r="AI175" i="1"/>
  <c r="AI176" i="1"/>
  <c r="AI177" i="1"/>
  <c r="AI178" i="1"/>
  <c r="AI180" i="1"/>
  <c r="AI181" i="1"/>
  <c r="AI182" i="1"/>
  <c r="AI183" i="1"/>
  <c r="AI184" i="1"/>
  <c r="AI219" i="1"/>
  <c r="AI185" i="1"/>
  <c r="AI186" i="1"/>
  <c r="AI187" i="1"/>
  <c r="AI179" i="1"/>
  <c r="AI188" i="1"/>
  <c r="AI189" i="1"/>
  <c r="AI190" i="1"/>
  <c r="AI191" i="1"/>
  <c r="AI192" i="1"/>
  <c r="AI193" i="1"/>
  <c r="AI194" i="1"/>
  <c r="AI195" i="1"/>
  <c r="AI196" i="1"/>
  <c r="AI197" i="1"/>
  <c r="AI198" i="1"/>
  <c r="AI200" i="1"/>
  <c r="AI202" i="1"/>
  <c r="AI205" i="1"/>
  <c r="AI206" i="1"/>
  <c r="AI207" i="1"/>
  <c r="AI208" i="1"/>
  <c r="AI209" i="1"/>
  <c r="AI210" i="1"/>
  <c r="AI143" i="1"/>
  <c r="AI213" i="1"/>
  <c r="AI214" i="1"/>
  <c r="AI215" i="1"/>
  <c r="AI216" i="1"/>
  <c r="AI171" i="1"/>
  <c r="AI221" i="1"/>
  <c r="AI258" i="1"/>
  <c r="AI240" i="1"/>
  <c r="AI248" i="1"/>
  <c r="AI263" i="1"/>
  <c r="AI232" i="1"/>
  <c r="AI228" i="1"/>
  <c r="AI224" i="1"/>
  <c r="AI245" i="1"/>
  <c r="AI265" i="1"/>
  <c r="AI259" i="1"/>
  <c r="AI261" i="1"/>
  <c r="AI229" i="1"/>
  <c r="AI238" i="1"/>
  <c r="AI217" i="1"/>
  <c r="AI218" i="1"/>
  <c r="AI223" i="1"/>
  <c r="AI222" i="1"/>
  <c r="AI230" i="1"/>
  <c r="AI234" i="1"/>
  <c r="AI237" i="1"/>
  <c r="AI239" i="1"/>
  <c r="AI231" i="1"/>
  <c r="AI267" i="1"/>
  <c r="AI244" i="1"/>
  <c r="AI251" i="1"/>
  <c r="AI254" i="1"/>
  <c r="AI255" i="1"/>
  <c r="AI235" i="1"/>
  <c r="AI242" i="1"/>
  <c r="AI283" i="1"/>
  <c r="AI287" i="1"/>
  <c r="AI284" i="1"/>
  <c r="AI285" i="1"/>
  <c r="AI286" i="1"/>
  <c r="AI288" i="1"/>
  <c r="AI289" i="1"/>
  <c r="AI290" i="1"/>
  <c r="AI291" i="1"/>
  <c r="AI292" i="1"/>
  <c r="AI294" i="1"/>
  <c r="AI295" i="1"/>
  <c r="AI296" i="1"/>
  <c r="AI297" i="1"/>
  <c r="AI298" i="1"/>
  <c r="AI299" i="1"/>
  <c r="AI27" i="1"/>
  <c r="AI28" i="1"/>
  <c r="AI30" i="1"/>
  <c r="AI32" i="1"/>
  <c r="AI29" i="1"/>
  <c r="AI34" i="1"/>
  <c r="AI35" i="1"/>
  <c r="AI36" i="1"/>
  <c r="AI281" i="1"/>
  <c r="AI282" i="1"/>
  <c r="AI62" i="1"/>
  <c r="AI66" i="1"/>
  <c r="AI39" i="1"/>
  <c r="AI40" i="1"/>
  <c r="AI41" i="1"/>
  <c r="AI45" i="1"/>
  <c r="AI47" i="1"/>
  <c r="AI55" i="1"/>
  <c r="AI49" i="1"/>
  <c r="AI75" i="1"/>
  <c r="AI67" i="1"/>
  <c r="AI77" i="1"/>
  <c r="AI60" i="1"/>
  <c r="AI17" i="1"/>
  <c r="AH296" i="1" l="1"/>
  <c r="AH47" i="1"/>
  <c r="AH45" i="1"/>
  <c r="AH134" i="1"/>
  <c r="AH146" i="1"/>
  <c r="AH145" i="1"/>
  <c r="AH17" i="1"/>
  <c r="AH128" i="1"/>
  <c r="AH125" i="1"/>
  <c r="AH118" i="1"/>
  <c r="AH115" i="1"/>
  <c r="AH105" i="1"/>
  <c r="AH99" i="1"/>
  <c r="AH97" i="1"/>
  <c r="AH32" i="1"/>
  <c r="AH235" i="1"/>
  <c r="AH222" i="1"/>
  <c r="AH232" i="1"/>
  <c r="AH208" i="1"/>
  <c r="AH192" i="1"/>
  <c r="AH182" i="1"/>
  <c r="AH166" i="1"/>
  <c r="AH158" i="1"/>
  <c r="AH148" i="1"/>
  <c r="AH295" i="1"/>
  <c r="AH255" i="1"/>
  <c r="AH223" i="1"/>
  <c r="AH245" i="1"/>
  <c r="AH216" i="1"/>
  <c r="AH200" i="1"/>
  <c r="AH179" i="1"/>
  <c r="AH176" i="1"/>
  <c r="AH165" i="1"/>
  <c r="AH157" i="1"/>
  <c r="AH147" i="1"/>
  <c r="AH137" i="1"/>
  <c r="AH132" i="1"/>
  <c r="AH126" i="1"/>
  <c r="AH117" i="1"/>
  <c r="AH109" i="1"/>
  <c r="AH103" i="1"/>
  <c r="AH95" i="1"/>
  <c r="AH18" i="1"/>
  <c r="AH77" i="1"/>
  <c r="AH66" i="1"/>
  <c r="AH291" i="1"/>
  <c r="AH284" i="1"/>
  <c r="AH239" i="1"/>
  <c r="AH265" i="1"/>
  <c r="AH171" i="1"/>
  <c r="AH202" i="1"/>
  <c r="AH188" i="1"/>
  <c r="AH177" i="1"/>
  <c r="AH162" i="1"/>
  <c r="AH151" i="1"/>
  <c r="AH144" i="1"/>
  <c r="AH41" i="1"/>
  <c r="AH282" i="1"/>
  <c r="AH30" i="1"/>
  <c r="AH290" i="1"/>
  <c r="AH287" i="1"/>
  <c r="AH244" i="1"/>
  <c r="AH229" i="1"/>
  <c r="AH207" i="1"/>
  <c r="AH195" i="1"/>
  <c r="AH191" i="1"/>
  <c r="AH181" i="1"/>
  <c r="AH172" i="1"/>
  <c r="AH161" i="1"/>
  <c r="AH150" i="1"/>
  <c r="AH142" i="1"/>
  <c r="AH67" i="1"/>
  <c r="AH55" i="1"/>
  <c r="AH34" i="1"/>
  <c r="AH28" i="1"/>
  <c r="AH297" i="1"/>
  <c r="AH294" i="1"/>
  <c r="AH289" i="1"/>
  <c r="AH283" i="1"/>
  <c r="AH254" i="1"/>
  <c r="AH267" i="1"/>
  <c r="AH234" i="1"/>
  <c r="AH218" i="1"/>
  <c r="AH261" i="1"/>
  <c r="AH224" i="1"/>
  <c r="AH248" i="1"/>
  <c r="AH221" i="1"/>
  <c r="AH215" i="1"/>
  <c r="AH210" i="1"/>
  <c r="AH206" i="1"/>
  <c r="AH198" i="1"/>
  <c r="AH194" i="1"/>
  <c r="AH190" i="1"/>
  <c r="AH187" i="1"/>
  <c r="AH184" i="1"/>
  <c r="AH180" i="1"/>
  <c r="AH175" i="1"/>
  <c r="AH170" i="1"/>
  <c r="AH164" i="1"/>
  <c r="AH160" i="1"/>
  <c r="AH156" i="1"/>
  <c r="AH153" i="1"/>
  <c r="AH149" i="1"/>
  <c r="AH141" i="1"/>
  <c r="AH136" i="1"/>
  <c r="AH130" i="1"/>
  <c r="AH212" i="1"/>
  <c r="AH111" i="1"/>
  <c r="AH108" i="1"/>
  <c r="AH102" i="1"/>
  <c r="AH98" i="1"/>
  <c r="AH94" i="1"/>
  <c r="AH169" i="1"/>
  <c r="AH36" i="1"/>
  <c r="AH299" i="1"/>
  <c r="AH225" i="1"/>
  <c r="AH238" i="1"/>
  <c r="AH258" i="1"/>
  <c r="AH213" i="1"/>
  <c r="AH196" i="1"/>
  <c r="AH185" i="1"/>
  <c r="AH173" i="1"/>
  <c r="AH154" i="1"/>
  <c r="AH138" i="1"/>
  <c r="AH49" i="1"/>
  <c r="AH35" i="1"/>
  <c r="AH298" i="1"/>
  <c r="AH286" i="1"/>
  <c r="AH237" i="1"/>
  <c r="AH263" i="1"/>
  <c r="AH143" i="1"/>
  <c r="AH219" i="1"/>
  <c r="AH40" i="1"/>
  <c r="AH281" i="1"/>
  <c r="AH60" i="1"/>
  <c r="AH75" i="1"/>
  <c r="AH39" i="1"/>
  <c r="AH62" i="1"/>
  <c r="AH29" i="1"/>
  <c r="AH27" i="1"/>
  <c r="AH292" i="1"/>
  <c r="AH288" i="1"/>
  <c r="AH285" i="1"/>
  <c r="AH242" i="1"/>
  <c r="AH251" i="1"/>
  <c r="AH231" i="1"/>
  <c r="AH230" i="1"/>
  <c r="AH217" i="1"/>
  <c r="AH259" i="1"/>
  <c r="AH228" i="1"/>
  <c r="AH240" i="1"/>
  <c r="AH214" i="1"/>
  <c r="AH209" i="1"/>
  <c r="AH205" i="1"/>
  <c r="AH197" i="1"/>
  <c r="AH193" i="1"/>
  <c r="AH189" i="1"/>
  <c r="AH186" i="1"/>
  <c r="AH183" i="1"/>
  <c r="AH178" i="1"/>
  <c r="AH174" i="1"/>
  <c r="AH167" i="1"/>
  <c r="AH163" i="1"/>
  <c r="AH159" i="1"/>
  <c r="AH155" i="1"/>
  <c r="AH152" i="1"/>
  <c r="AH139" i="1"/>
  <c r="AH135" i="1"/>
  <c r="AH112" i="1"/>
  <c r="AH131" i="1"/>
  <c r="AH120" i="1"/>
  <c r="AH116" i="1"/>
  <c r="AH110" i="1"/>
  <c r="AH107" i="1"/>
  <c r="AH100" i="1"/>
  <c r="AH168" i="1"/>
  <c r="AH123" i="1"/>
  <c r="AH121" i="1"/>
  <c r="K232" i="1" l="1"/>
  <c r="AZ232" i="1" s="1"/>
  <c r="BG232" i="1" s="1"/>
  <c r="K263" i="1"/>
  <c r="AZ263" i="1" s="1"/>
  <c r="BG263" i="1" s="1"/>
  <c r="BI263" i="1" l="1"/>
  <c r="BF263" i="1"/>
  <c r="BH263" i="1" s="1"/>
  <c r="BI232" i="1"/>
  <c r="BF232" i="1"/>
  <c r="BH232" i="1" s="1"/>
  <c r="T171" i="1"/>
  <c r="X171" i="1" s="1"/>
  <c r="K181" i="1" l="1"/>
  <c r="AZ181" i="1" s="1"/>
  <c r="K175" i="1"/>
  <c r="AZ175" i="1" s="1"/>
  <c r="BG175" i="1" l="1"/>
  <c r="BI175" i="1" s="1"/>
  <c r="BG181" i="1"/>
  <c r="BI181" i="1" s="1"/>
  <c r="BF175" i="1"/>
  <c r="BH175" i="1" s="1"/>
  <c r="BF181" i="1"/>
  <c r="BH181" i="1" s="1"/>
  <c r="T126" i="1"/>
  <c r="X126" i="1" s="1"/>
  <c r="T107" i="1"/>
  <c r="X107" i="1" s="1"/>
</calcChain>
</file>

<file path=xl/sharedStrings.xml><?xml version="1.0" encoding="utf-8"?>
<sst xmlns="http://schemas.openxmlformats.org/spreadsheetml/2006/main" count="3351" uniqueCount="1507">
  <si>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</si>
  <si>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</si>
  <si>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</si>
  <si>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</si>
  <si>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</si>
  <si>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</si>
  <si>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</si>
  <si>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</si>
  <si>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</si>
  <si>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</si>
  <si>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</si>
  <si>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</si>
  <si>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</si>
  <si>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</si>
  <si>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</si>
  <si>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</si>
  <si>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</si>
  <si>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</si>
  <si>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</si>
  <si>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</si>
  <si>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</si>
  <si>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</si>
  <si>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</si>
  <si>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</si>
  <si>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</si>
  <si>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</si>
  <si>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</si>
  <si>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</si>
  <si>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</si>
  <si>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</si>
  <si>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</si>
  <si>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</si>
  <si>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</si>
  <si>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</si>
  <si>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</si>
  <si>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</si>
  <si>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</si>
  <si>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</si>
  <si>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</si>
  <si>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</si>
  <si>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</si>
  <si>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</si>
  <si>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</si>
  <si>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</si>
  <si>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</si>
  <si>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</si>
  <si>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</si>
  <si>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</si>
  <si>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</si>
  <si>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</si>
  <si>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</si>
  <si>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</si>
  <si>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</si>
  <si>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</si>
  <si>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</si>
  <si>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</si>
  <si>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</si>
  <si>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</si>
  <si>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</si>
  <si>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</si>
  <si>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</si>
  <si>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</si>
  <si>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</si>
  <si>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</si>
  <si>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</si>
  <si>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</si>
  <si>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</si>
  <si>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</si>
  <si>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</si>
  <si>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</si>
  <si>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</si>
  <si>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</si>
  <si>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</si>
  <si>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</si>
  <si>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</si>
  <si>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</si>
  <si>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</si>
  <si>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</si>
  <si>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</si>
  <si>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</si>
  <si>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</si>
  <si>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</si>
  <si>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</si>
  <si>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</si>
  <si>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</si>
  <si>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</si>
  <si>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</si>
  <si>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</si>
  <si>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</si>
  <si>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</si>
  <si>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</si>
  <si>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</si>
  <si>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</si>
  <si>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</si>
  <si>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</si>
  <si>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</si>
  <si>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</si>
  <si>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</si>
  <si>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</si>
  <si>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</si>
  <si>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</si>
  <si>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</si>
  <si>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</si>
  <si>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</si>
  <si>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</si>
  <si>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</si>
  <si>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</si>
  <si>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</si>
  <si>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</si>
  <si>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</si>
  <si>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</si>
  <si>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</si>
  <si>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</si>
  <si>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</si>
  <si>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</si>
  <si>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</si>
  <si>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</si>
  <si>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</si>
  <si>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</si>
  <si>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</si>
  <si>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</si>
  <si>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</si>
  <si>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</si>
  <si>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</si>
  <si>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</si>
  <si>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</si>
  <si>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</si>
  <si>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</si>
  <si>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</si>
  <si>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</si>
  <si>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</si>
  <si>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</si>
  <si>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</si>
  <si>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</si>
  <si>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</si>
  <si>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</si>
  <si>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</si>
  <si>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</si>
  <si>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</si>
  <si>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</si>
  <si>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</si>
  <si>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</si>
  <si>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</si>
  <si>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</si>
  <si>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</si>
  <si>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</si>
  <si>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</si>
  <si>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</si>
  <si>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</si>
  <si>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</si>
  <si>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</si>
  <si>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</si>
  <si>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</si>
  <si>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</si>
  <si>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</si>
  <si>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</si>
  <si>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</si>
  <si>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</si>
  <si>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</si>
  <si>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</si>
  <si>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</si>
  <si>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</si>
  <si>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</si>
  <si>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</si>
  <si>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</si>
  <si>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</si>
  <si>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</si>
  <si>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</si>
  <si>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</si>
  <si>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</si>
  <si>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</si>
  <si>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</si>
  <si>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</si>
  <si>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</si>
  <si>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</si>
  <si>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</si>
  <si>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</si>
  <si>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</si>
  <si>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</si>
  <si>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</si>
  <si>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</si>
  <si>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</si>
  <si>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</si>
  <si>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</si>
  <si>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</si>
  <si>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</si>
  <si>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</si>
  <si>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</si>
  <si>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</si>
  <si>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</si>
  <si>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</si>
  <si>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</si>
  <si>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</si>
  <si>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</si>
  <si>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</si>
  <si>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</si>
  <si>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</si>
  <si>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</si>
  <si>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</si>
  <si>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</si>
  <si>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</si>
  <si>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</si>
  <si>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</si>
  <si>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</si>
  <si>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</si>
  <si>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</si>
  <si>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10t_brake_van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</si>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</sst>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B302"/>
  <sheetViews>
    <sheetView tabSelected="1" zoomScaleNormal="100" workbookViewId="0">
      <pane xSplit="1" ySplit="1" topLeftCell="AG84" activePane="bottomRight" state="frozenSplit"/>
      <selection pane="topRight" activeCell="B1" sqref="B1"/>
      <selection pane="bottomLeft" activeCell="A2" sqref="A2"/>
      <selection pane="bottomRight" activeCell="AM85" sqref="AM85"/>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8" customWidth="1"/>
    <col min="13" max="13" width="5.109375" style="5" bestFit="1" customWidth="1"/>
    <col min="14" max="14" width="7.33203125" style="5" bestFit="1" customWidth="1"/>
    <col min="15" max="15" width="5.5546875" style="5" bestFit="1" customWidth="1"/>
    <col min="16" max="16" width="10" style="5" bestFit="1" customWidth="1"/>
    <col min="17" max="17" width="7.6640625" style="5" bestFit="1" customWidth="1"/>
    <col min="18" max="18" width="11" style="5" bestFit="1" customWidth="1"/>
    <col min="19" max="19" width="7.6640625" style="5" customWidth="1"/>
    <col min="20" max="20" width="10" bestFit="1" customWidth="1"/>
    <col min="21" max="21" width="19.6640625" style="8" customWidth="1"/>
    <col min="22" max="22" width="13.33203125" customWidth="1"/>
    <col min="23" max="23" width="18" bestFit="1" customWidth="1"/>
    <col min="24" max="24" width="8.44140625" style="3" bestFit="1" customWidth="1"/>
    <col min="25" max="25" width="12.44140625" bestFit="1" customWidth="1"/>
    <col min="26" max="28" width="12.44140625" customWidth="1"/>
    <col min="29" max="29" width="10.5546875" bestFit="1" customWidth="1"/>
    <col min="30" max="30" width="9.33203125" bestFit="1" customWidth="1"/>
    <col min="31" max="31" width="10.5546875" customWidth="1"/>
    <col min="32" max="32" width="10.44140625" bestFit="1" customWidth="1"/>
    <col min="33" max="33" width="9.109375" style="10"/>
    <col min="34" max="34" width="10.33203125" bestFit="1" customWidth="1"/>
    <col min="35" max="35" width="10.33203125" customWidth="1"/>
    <col min="36" max="36" width="26.88671875" customWidth="1"/>
    <col min="37" max="37" width="18.44140625" bestFit="1" customWidth="1"/>
    <col min="38" max="38" width="18.44140625" customWidth="1"/>
    <col min="39" max="40" width="18.44140625" style="12" customWidth="1"/>
    <col min="41" max="41" width="31.109375" customWidth="1"/>
    <col min="42" max="42" width="17" customWidth="1"/>
    <col min="43" max="43" width="11.88671875" bestFit="1" customWidth="1"/>
    <col min="44" max="44" width="13.109375" bestFit="1" customWidth="1"/>
    <col min="45" max="45" width="9.44140625" bestFit="1" customWidth="1"/>
    <col min="46" max="48" width="9.44140625" customWidth="1"/>
    <col min="49" max="49" width="18.6640625" bestFit="1" customWidth="1"/>
    <col min="50" max="50" width="19.109375" bestFit="1" customWidth="1"/>
    <col min="51" max="51" width="15" hidden="1" customWidth="1"/>
    <col min="52" max="52" width="10" hidden="1" customWidth="1"/>
    <col min="53" max="53" width="9.109375" hidden="1" customWidth="1"/>
    <col min="54" max="54" width="9.6640625" hidden="1" customWidth="1"/>
    <col min="55" max="55" width="12.44140625" hidden="1" customWidth="1"/>
    <col min="56" max="57" width="16" hidden="1" customWidth="1"/>
    <col min="59" max="59" width="11" bestFit="1" customWidth="1"/>
    <col min="60" max="61" width="11" customWidth="1"/>
    <col min="67" max="67" width="31.109375" customWidth="1"/>
    <col min="69" max="69" width="19.109375" bestFit="1" customWidth="1"/>
    <col min="70" max="70" width="16.88671875" bestFit="1" customWidth="1"/>
    <col min="71" max="71" width="15.5546875" bestFit="1" customWidth="1"/>
    <col min="73" max="73" width="15.6640625" bestFit="1" customWidth="1"/>
    <col min="74" max="74" width="21.6640625" bestFit="1" customWidth="1"/>
    <col min="75" max="75" width="26.33203125" bestFit="1" customWidth="1"/>
    <col min="76" max="76" width="44.21875" customWidth="1"/>
    <col min="77" max="77" width="38.44140625" customWidth="1"/>
    <col min="78" max="78" width="255.6640625" bestFit="1" customWidth="1"/>
  </cols>
  <sheetData>
    <row r="1" spans="1:80" s="1" customFormat="1" x14ac:dyDescent="0.3">
      <c r="A1" s="1" t="s">
        <v>133</v>
      </c>
      <c r="B1" s="1" t="s">
        <v>134</v>
      </c>
      <c r="C1" s="1" t="s">
        <v>716</v>
      </c>
      <c r="D1" s="1" t="s">
        <v>132</v>
      </c>
      <c r="E1" s="1" t="s">
        <v>271</v>
      </c>
      <c r="F1" s="1" t="s">
        <v>274</v>
      </c>
      <c r="G1" s="1" t="s">
        <v>136</v>
      </c>
      <c r="H1" s="1" t="s">
        <v>137</v>
      </c>
      <c r="I1" s="1" t="s">
        <v>138</v>
      </c>
      <c r="J1" s="1" t="s">
        <v>139</v>
      </c>
      <c r="K1" s="1" t="s">
        <v>140</v>
      </c>
      <c r="L1" s="7" t="s">
        <v>542</v>
      </c>
      <c r="M1" s="4" t="s">
        <v>375</v>
      </c>
      <c r="N1" s="4" t="s">
        <v>372</v>
      </c>
      <c r="O1" s="4" t="s">
        <v>373</v>
      </c>
      <c r="P1" s="4" t="s">
        <v>370</v>
      </c>
      <c r="Q1" s="4" t="s">
        <v>371</v>
      </c>
      <c r="R1" s="4" t="s">
        <v>376</v>
      </c>
      <c r="S1" s="4" t="s">
        <v>374</v>
      </c>
      <c r="T1" s="1" t="s">
        <v>141</v>
      </c>
      <c r="U1" s="7" t="s">
        <v>142</v>
      </c>
      <c r="V1" s="1" t="s">
        <v>276</v>
      </c>
      <c r="W1" s="1" t="s">
        <v>143</v>
      </c>
      <c r="X1" s="2" t="s">
        <v>265</v>
      </c>
      <c r="Y1" s="1" t="s">
        <v>144</v>
      </c>
      <c r="Z1" s="1" t="s">
        <v>1505</v>
      </c>
      <c r="AA1" s="1" t="s">
        <v>1500</v>
      </c>
      <c r="AB1" s="1" t="s">
        <v>380</v>
      </c>
      <c r="AC1" s="1" t="s">
        <v>145</v>
      </c>
      <c r="AD1" s="1" t="s">
        <v>285</v>
      </c>
      <c r="AE1" s="1" t="s">
        <v>244</v>
      </c>
      <c r="AF1" s="1" t="s">
        <v>146</v>
      </c>
      <c r="AG1" s="9" t="s">
        <v>264</v>
      </c>
      <c r="AH1" s="1" t="s">
        <v>135</v>
      </c>
      <c r="AI1" s="1" t="s">
        <v>269</v>
      </c>
      <c r="AJ1" s="1" t="s">
        <v>291</v>
      </c>
      <c r="AK1" s="1" t="s">
        <v>245</v>
      </c>
      <c r="AL1" s="1" t="s">
        <v>1255</v>
      </c>
      <c r="AM1" s="11" t="s">
        <v>678</v>
      </c>
      <c r="AN1" s="11" t="s">
        <v>1237</v>
      </c>
      <c r="AO1" s="1" t="s">
        <v>401</v>
      </c>
      <c r="AP1" s="1" t="s">
        <v>553</v>
      </c>
      <c r="AQ1" s="1" t="s">
        <v>402</v>
      </c>
      <c r="AR1" s="1" t="s">
        <v>483</v>
      </c>
      <c r="AS1" s="1" t="s">
        <v>270</v>
      </c>
      <c r="AT1" s="1" t="s">
        <v>1168</v>
      </c>
      <c r="AU1" s="1" t="s">
        <v>1092</v>
      </c>
      <c r="AV1" s="1" t="s">
        <v>1118</v>
      </c>
      <c r="AW1" s="1" t="s">
        <v>1093</v>
      </c>
      <c r="AX1" s="1" t="s">
        <v>1110</v>
      </c>
      <c r="AY1" s="1" t="s">
        <v>1094</v>
      </c>
      <c r="AZ1" s="1" t="s">
        <v>1095</v>
      </c>
      <c r="BA1" s="1" t="s">
        <v>1096</v>
      </c>
      <c r="BB1" s="1" t="s">
        <v>1099</v>
      </c>
      <c r="BC1" s="1" t="s">
        <v>1105</v>
      </c>
      <c r="BD1" s="1" t="s">
        <v>1100</v>
      </c>
      <c r="BE1" s="1" t="s">
        <v>1104</v>
      </c>
      <c r="BF1" s="1" t="s">
        <v>277</v>
      </c>
      <c r="BG1" s="1" t="s">
        <v>278</v>
      </c>
      <c r="BH1" s="1" t="s">
        <v>1170</v>
      </c>
      <c r="BI1" s="1" t="s">
        <v>1171</v>
      </c>
      <c r="BJ1" s="1" t="s">
        <v>307</v>
      </c>
      <c r="BK1" s="1" t="s">
        <v>567</v>
      </c>
      <c r="BL1" s="1" t="s">
        <v>659</v>
      </c>
      <c r="BM1" s="1" t="s">
        <v>1111</v>
      </c>
      <c r="BN1" s="1" t="s">
        <v>1123</v>
      </c>
      <c r="BO1" s="1" t="s">
        <v>1145</v>
      </c>
      <c r="BP1" s="1" t="s">
        <v>1154</v>
      </c>
      <c r="BQ1" s="1" t="s">
        <v>1155</v>
      </c>
      <c r="BR1" s="1" t="s">
        <v>1042</v>
      </c>
      <c r="BS1" s="1" t="s">
        <v>282</v>
      </c>
      <c r="BT1" s="1" t="s">
        <v>323</v>
      </c>
      <c r="BU1" s="1" t="s">
        <v>344</v>
      </c>
      <c r="BV1" s="1" t="s">
        <v>346</v>
      </c>
      <c r="BW1" s="1" t="s">
        <v>1208</v>
      </c>
      <c r="BX1" s="1" t="s">
        <v>1202</v>
      </c>
      <c r="BY1" s="1" t="s">
        <v>1152</v>
      </c>
      <c r="BZ1" s="1" t="s">
        <v>1119</v>
      </c>
      <c r="CA1" s="1" t="s">
        <v>1153</v>
      </c>
      <c r="CB1" s="1" t="s">
        <v>347</v>
      </c>
    </row>
    <row r="2" spans="1:80" x14ac:dyDescent="0.3">
      <c r="A2" t="s">
        <v>420</v>
      </c>
      <c r="B2" t="s">
        <v>421</v>
      </c>
      <c r="C2">
        <v>-1</v>
      </c>
      <c r="D2" t="s">
        <v>291</v>
      </c>
      <c r="E2" t="s">
        <v>291</v>
      </c>
      <c r="F2" t="s">
        <v>275</v>
      </c>
      <c r="G2">
        <v>1900</v>
      </c>
      <c r="T2">
        <v>42</v>
      </c>
      <c r="X2" s="3" t="str">
        <f t="shared" ref="X2:X33" si="0">IF(AND(T2&gt;0,W2&gt;0),(W2/((T2+U2)*10)),"")</f>
        <v/>
      </c>
      <c r="AC2">
        <v>7.5</v>
      </c>
      <c r="AD2">
        <v>8</v>
      </c>
      <c r="AG2" s="10">
        <v>0</v>
      </c>
      <c r="AH2" t="str">
        <f>CONCATENATE(VLOOKUP(AI2, 'Voxel Sizes'!$A$2:$B$18,2,FALSE),"x",INT(AE2*15), "x", INT(AF2*15))</f>
        <v>82x0x0</v>
      </c>
      <c r="AI2">
        <f t="shared" ref="AI2:AI65" si="1">ROUND(15*((AD2*10)/256),0)</f>
        <v>5</v>
      </c>
      <c r="AK2" t="str">
        <f>CONCATENATE(VLOOKUP(AI2,Constants!$A$2:$C$16,IF(AJ2&lt;&gt;"", 3, 2), FALSE),IF(AJ2&lt;&gt;"",CONCATENATE(",",VLOOKUP(AJ2,$B:$AK,36,FALSE)),""))</f>
        <v>2,1,2</v>
      </c>
      <c r="AU2">
        <v>30</v>
      </c>
      <c r="AV2" s="15" t="str">
        <f t="shared" ref="AV2:AV65" si="2">IF(I2&lt;&gt;"",MAX(16,(I2-G2)+8),"")</f>
        <v/>
      </c>
      <c r="AY2">
        <f t="shared" ref="AY2:AY65" si="3">MIN(Y2/150, 1)*30</f>
        <v>0</v>
      </c>
      <c r="AZ2">
        <f t="shared" ref="AZ2:AZ65" si="4">MIN(K2/4000, 1)*20</f>
        <v>0</v>
      </c>
      <c r="BA2">
        <f t="shared" ref="BA2:BA65" si="5">MIN(W2/400,1)*20</f>
        <v>0</v>
      </c>
      <c r="BB2" s="3">
        <f t="shared" ref="BB2:BB65" si="6">1-(MAX(G2-1900, 0)/750)</f>
        <v>1</v>
      </c>
      <c r="BC2">
        <f t="shared" ref="BC2:BC65" si="7">((MAX($J2,1)*MIN($AG2/300,1)))*IF(D2="Wagon",50,10)</f>
        <v>0</v>
      </c>
      <c r="BD2">
        <f>VLOOKUP($E2,Constants!$I:$K, 2, FALSE)</f>
        <v>0</v>
      </c>
      <c r="BE2">
        <f>VLOOKUP($E2,Constants!$I:$K, 3, FALSE)*IF(AND(D2="multiple_unit",Y2&lt;110),0.75,1)</f>
        <v>0</v>
      </c>
      <c r="BF2">
        <f>INT(POWER(((Constants!$G$2+$AY2+$AZ2+$BA2+$BC2)*$BB2)*$BE2, 1.05))+$AX2</f>
        <v>0</v>
      </c>
      <c r="BG2">
        <f>INT(POWER((((Constants!$G$1+$AY2+$AZ2+$BA2+$BC2)*($BB2))*$BD2),IF($D2="wagon",1,1.2)))+$AW2</f>
        <v>0</v>
      </c>
      <c r="BH2" s="14">
        <f t="shared" ref="BH2:BH65" si="8">BF2*IF($D2="wagon",62.5,781.25)</f>
        <v>0</v>
      </c>
      <c r="BI2" s="14">
        <f t="shared" ref="BI2:BI65" si="9">BG2*IF($D2="wagon",2.73,81.25)</f>
        <v>0</v>
      </c>
      <c r="BT2" t="str">
        <f>VLOOKUP(G2,Eras!$A$2:$C$10, 2, TRUE)</f>
        <v>edw</v>
      </c>
      <c r="BV2" t="str">
        <f t="shared" ref="BV2:BV65" si="10">CONCATENATE(BT2,"_",BU2)</f>
        <v>edw_</v>
      </c>
      <c r="BW2" t="str">
        <f t="shared" ref="BW2:BW65" si="11">_xlfn.CONCAT(E2, "_",F2)</f>
        <v>tender_RAIL</v>
      </c>
      <c r="BX2" t="str">
        <f>VLOOKUP($BW2, Constants!$M:$N, 2, FALSE)</f>
        <v/>
      </c>
      <c r="BY2" t="str">
        <f t="shared" ref="BY2:BY33" si="12">IF(J2&gt;1,_xlfn.CONCAT("{BLACK}Cars: {GOLD}", J2),"")</f>
        <v/>
      </c>
      <c r="CA2" t="str">
        <f t="shared" ref="CA2:CA33" si="13">IF(BS2="BRAKE","{YELLOW}Speed bonus for slow wagons{}",IF(BQ2&gt;190,CONCATENATE("{YELLOW}",INT((BQ2-185)/1.85),"% Bonus for long distance travel{}"),IF(AND(BQ2&lt;180,BQ2&lt;&gt;0),CONCATENATE("{YELLOW}",INT((185-BQ2)/1.85),"% Penalty for long distance travel{}"),"")))</f>
        <v/>
      </c>
      <c r="CB2" t="str">
        <f t="shared" ref="CB2:CB65" si="14">_xlfn.CONCAT(BX2,IF(BX2 &lt;&gt; "", " ", ""),BY2,IF(OR(BY2&lt;&gt;"", BX2&lt;&gt;""), "{}",""), CA2,"{SILVER}", BZ2)</f>
        <v>{SILVER}</v>
      </c>
    </row>
    <row r="3" spans="1:80" x14ac:dyDescent="0.3">
      <c r="A3" t="s">
        <v>1382</v>
      </c>
      <c r="B3" t="s">
        <v>1383</v>
      </c>
      <c r="C3">
        <v>-1</v>
      </c>
      <c r="D3" t="s">
        <v>291</v>
      </c>
      <c r="E3" t="s">
        <v>291</v>
      </c>
      <c r="F3" t="s">
        <v>275</v>
      </c>
      <c r="G3">
        <v>1815</v>
      </c>
      <c r="T3">
        <v>42</v>
      </c>
      <c r="X3" s="3" t="str">
        <f t="shared" si="0"/>
        <v/>
      </c>
      <c r="AC3">
        <v>7.5</v>
      </c>
      <c r="AD3">
        <v>6</v>
      </c>
      <c r="AG3" s="10">
        <v>0</v>
      </c>
      <c r="AH3" t="str">
        <f>CONCATENATE(VLOOKUP(AI3, 'Voxel Sizes'!$A$2:$B$18,2,FALSE),"x",INT(AE3*15), "x", INT(AF3*15))</f>
        <v>60x0x0</v>
      </c>
      <c r="AI3">
        <f t="shared" si="1"/>
        <v>4</v>
      </c>
      <c r="AK3" t="str">
        <f>CONCATENATE(VLOOKUP(AI3,Constants!$A$2:$C$16,IF(AJ3&lt;&gt;"", 3, 2), FALSE),IF(AJ3&lt;&gt;"",CONCATENATE(",",VLOOKUP(AJ3,$B:$AK,36,FALSE)),""))</f>
        <v>1,2,1</v>
      </c>
      <c r="AU3">
        <v>30</v>
      </c>
      <c r="AV3" s="15" t="str">
        <f t="shared" si="2"/>
        <v/>
      </c>
      <c r="AY3">
        <f t="shared" si="3"/>
        <v>0</v>
      </c>
      <c r="AZ3">
        <f t="shared" si="4"/>
        <v>0</v>
      </c>
      <c r="BA3">
        <f t="shared" si="5"/>
        <v>0</v>
      </c>
      <c r="BB3" s="3">
        <f t="shared" si="6"/>
        <v>1</v>
      </c>
      <c r="BC3">
        <f t="shared" si="7"/>
        <v>0</v>
      </c>
      <c r="BD3">
        <f>VLOOKUP($E3,Constants!$I:$K, 2, FALSE)</f>
        <v>0</v>
      </c>
      <c r="BE3">
        <f>VLOOKUP($E3,Constants!$I:$K, 3, FALSE)*IF(AND(D3="multiple_unit",Y3&lt;110),0.75,1)</f>
        <v>0</v>
      </c>
      <c r="BF3">
        <f>INT(POWER(((Constants!$G$2+$AY3+$AZ3+$BA3+$BC3)*$BB3)*$BE3, 1.05))+$AX3</f>
        <v>0</v>
      </c>
      <c r="BG3">
        <f>INT(POWER((((Constants!$G$1+$AY3+$AZ3+$BA3+$BC3)*($BB3))*$BD3),IF($D3="wagon",1,1.2)))+$AW3</f>
        <v>0</v>
      </c>
      <c r="BH3" s="14">
        <f t="shared" si="8"/>
        <v>0</v>
      </c>
      <c r="BI3" s="14">
        <f t="shared" si="9"/>
        <v>0</v>
      </c>
      <c r="BT3" t="str">
        <f>VLOOKUP(G3,Eras!$A$2:$C$10, 2, TRUE)</f>
        <v>early</v>
      </c>
      <c r="BV3" t="str">
        <f t="shared" si="10"/>
        <v>early_</v>
      </c>
      <c r="BW3" t="str">
        <f t="shared" si="11"/>
        <v>tender_RAIL</v>
      </c>
      <c r="BX3" t="str">
        <f>VLOOKUP($BW3, Constants!$M:$N, 2, FALSE)</f>
        <v/>
      </c>
      <c r="BY3" t="str">
        <f t="shared" si="12"/>
        <v/>
      </c>
      <c r="CA3" t="str">
        <f t="shared" si="13"/>
        <v/>
      </c>
      <c r="CB3" t="str">
        <f t="shared" si="14"/>
        <v>{SILVER}</v>
      </c>
    </row>
    <row r="4" spans="1:80" x14ac:dyDescent="0.3">
      <c r="A4" t="s">
        <v>1371</v>
      </c>
      <c r="B4" t="s">
        <v>1370</v>
      </c>
      <c r="C4">
        <v>-1</v>
      </c>
      <c r="D4" t="s">
        <v>291</v>
      </c>
      <c r="E4" t="s">
        <v>291</v>
      </c>
      <c r="F4" t="s">
        <v>275</v>
      </c>
      <c r="G4">
        <v>1815</v>
      </c>
      <c r="T4">
        <v>42</v>
      </c>
      <c r="X4" s="3" t="str">
        <f t="shared" si="0"/>
        <v/>
      </c>
      <c r="AC4">
        <v>7.5</v>
      </c>
      <c r="AD4">
        <v>6</v>
      </c>
      <c r="AG4" s="10">
        <v>0</v>
      </c>
      <c r="AH4" t="str">
        <f>CONCATENATE(VLOOKUP(AI4, 'Voxel Sizes'!$A$2:$B$18,2,FALSE),"x",INT(AE4*15), "x", INT(AF4*15))</f>
        <v>60x0x0</v>
      </c>
      <c r="AI4">
        <f t="shared" si="1"/>
        <v>4</v>
      </c>
      <c r="AK4" t="str">
        <f>CONCATENATE(VLOOKUP(AI4,Constants!$A$2:$C$16,IF(AJ4&lt;&gt;"", 3, 2), FALSE),IF(AJ4&lt;&gt;"",CONCATENATE(",",VLOOKUP(AJ4,$B:$AK,36,FALSE)),""))</f>
        <v>1,2,1</v>
      </c>
      <c r="AU4">
        <v>30</v>
      </c>
      <c r="AV4" s="15" t="str">
        <f t="shared" si="2"/>
        <v/>
      </c>
      <c r="AY4">
        <f t="shared" si="3"/>
        <v>0</v>
      </c>
      <c r="AZ4">
        <f t="shared" si="4"/>
        <v>0</v>
      </c>
      <c r="BA4">
        <f t="shared" si="5"/>
        <v>0</v>
      </c>
      <c r="BB4" s="3">
        <f t="shared" si="6"/>
        <v>1</v>
      </c>
      <c r="BC4">
        <f t="shared" si="7"/>
        <v>0</v>
      </c>
      <c r="BD4">
        <f>VLOOKUP($E4,Constants!$I:$K, 2, FALSE)</f>
        <v>0</v>
      </c>
      <c r="BE4">
        <f>VLOOKUP($E4,Constants!$I:$K, 3, FALSE)*IF(AND(D4="multiple_unit",Y4&lt;110),0.75,1)</f>
        <v>0</v>
      </c>
      <c r="BF4">
        <f>INT(POWER(((Constants!$G$2+$AY4+$AZ4+$BA4+$BC4)*$BB4)*$BE4, 1.05))+$AX4</f>
        <v>0</v>
      </c>
      <c r="BG4">
        <f>INT(POWER((((Constants!$G$1+$AY4+$AZ4+$BA4+$BC4)*($BB4))*$BD4),IF($D4="wagon",1,1.2)))+$AW4</f>
        <v>0</v>
      </c>
      <c r="BH4" s="14">
        <f t="shared" si="8"/>
        <v>0</v>
      </c>
      <c r="BI4" s="14">
        <f t="shared" si="9"/>
        <v>0</v>
      </c>
      <c r="BT4" t="str">
        <f>VLOOKUP(G4,Eras!$A$2:$C$10, 2, TRUE)</f>
        <v>early</v>
      </c>
      <c r="BV4" t="str">
        <f t="shared" si="10"/>
        <v>early_</v>
      </c>
      <c r="BW4" t="str">
        <f t="shared" si="11"/>
        <v>tender_RAIL</v>
      </c>
      <c r="BX4" t="str">
        <f>VLOOKUP($BW4, Constants!$M:$N, 2, FALSE)</f>
        <v/>
      </c>
      <c r="BY4" t="str">
        <f t="shared" si="12"/>
        <v/>
      </c>
      <c r="CA4" t="str">
        <f t="shared" si="13"/>
        <v/>
      </c>
      <c r="CB4" t="str">
        <f t="shared" si="14"/>
        <v>{SILVER}</v>
      </c>
    </row>
    <row r="5" spans="1:80" x14ac:dyDescent="0.3">
      <c r="A5" t="s">
        <v>1363</v>
      </c>
      <c r="B5" t="s">
        <v>1364</v>
      </c>
      <c r="C5">
        <v>-1</v>
      </c>
      <c r="D5" t="s">
        <v>291</v>
      </c>
      <c r="E5" t="s">
        <v>291</v>
      </c>
      <c r="F5" t="s">
        <v>275</v>
      </c>
      <c r="G5">
        <v>1815</v>
      </c>
      <c r="T5">
        <v>42</v>
      </c>
      <c r="X5" s="3" t="str">
        <f t="shared" si="0"/>
        <v/>
      </c>
      <c r="AC5">
        <v>7.5</v>
      </c>
      <c r="AD5">
        <v>6</v>
      </c>
      <c r="AG5" s="10">
        <v>0</v>
      </c>
      <c r="AH5" t="str">
        <f>CONCATENATE(VLOOKUP(AI5, 'Voxel Sizes'!$A$2:$B$18,2,FALSE),"x",INT(AE5*15), "x", INT(AF5*15))</f>
        <v>60x0x0</v>
      </c>
      <c r="AI5">
        <f t="shared" si="1"/>
        <v>4</v>
      </c>
      <c r="AK5" t="str">
        <f>CONCATENATE(VLOOKUP(AI5,Constants!$A$2:$C$16,IF(AJ5&lt;&gt;"", 3, 2), FALSE),IF(AJ5&lt;&gt;"",CONCATENATE(",",VLOOKUP(AJ5,$B:$AK,36,FALSE)),""))</f>
        <v>1,2,1</v>
      </c>
      <c r="AU5">
        <v>30</v>
      </c>
      <c r="AV5" s="15" t="str">
        <f t="shared" si="2"/>
        <v/>
      </c>
      <c r="AY5">
        <f t="shared" si="3"/>
        <v>0</v>
      </c>
      <c r="AZ5">
        <f t="shared" si="4"/>
        <v>0</v>
      </c>
      <c r="BA5">
        <f t="shared" si="5"/>
        <v>0</v>
      </c>
      <c r="BB5" s="3">
        <f t="shared" si="6"/>
        <v>1</v>
      </c>
      <c r="BC5">
        <f t="shared" si="7"/>
        <v>0</v>
      </c>
      <c r="BD5">
        <f>VLOOKUP($E5,Constants!$I:$K, 2, FALSE)</f>
        <v>0</v>
      </c>
      <c r="BE5">
        <f>VLOOKUP($E5,Constants!$I:$K, 3, FALSE)*IF(AND(D5="multiple_unit",Y5&lt;110),0.75,1)</f>
        <v>0</v>
      </c>
      <c r="BF5">
        <f>INT(POWER(((Constants!$G$2+$AY5+$AZ5+$BA5+$BC5)*$BB5)*$BE5, 1.05))+$AX5</f>
        <v>0</v>
      </c>
      <c r="BG5">
        <f>INT(POWER((((Constants!$G$1+$AY5+$AZ5+$BA5+$BC5)*($BB5))*$BD5),IF($D5="wagon",1,1.2)))+$AW5</f>
        <v>0</v>
      </c>
      <c r="BH5" s="14">
        <f t="shared" si="8"/>
        <v>0</v>
      </c>
      <c r="BI5" s="14">
        <f t="shared" si="9"/>
        <v>0</v>
      </c>
      <c r="BT5" t="str">
        <f>VLOOKUP(G5,Eras!$A$2:$C$10, 2, TRUE)</f>
        <v>early</v>
      </c>
      <c r="BV5" t="str">
        <f t="shared" si="10"/>
        <v>early_</v>
      </c>
      <c r="BW5" t="str">
        <f t="shared" si="11"/>
        <v>tender_RAIL</v>
      </c>
      <c r="BX5" t="str">
        <f>VLOOKUP($BW5, Constants!$M:$N, 2, FALSE)</f>
        <v/>
      </c>
      <c r="BY5" t="str">
        <f t="shared" si="12"/>
        <v/>
      </c>
      <c r="CA5" t="str">
        <f t="shared" si="13"/>
        <v/>
      </c>
      <c r="CB5" t="str">
        <f t="shared" si="14"/>
        <v>{SILVER}</v>
      </c>
    </row>
    <row r="6" spans="1:80" x14ac:dyDescent="0.3">
      <c r="A6" t="s">
        <v>1347</v>
      </c>
      <c r="B6" t="s">
        <v>1348</v>
      </c>
      <c r="C6">
        <v>-1</v>
      </c>
      <c r="D6" t="s">
        <v>291</v>
      </c>
      <c r="E6" t="s">
        <v>291</v>
      </c>
      <c r="F6" t="s">
        <v>275</v>
      </c>
      <c r="G6">
        <v>1830</v>
      </c>
      <c r="T6">
        <v>42</v>
      </c>
      <c r="X6" s="3" t="str">
        <f t="shared" si="0"/>
        <v/>
      </c>
      <c r="AC6">
        <v>7.5</v>
      </c>
      <c r="AD6">
        <v>6</v>
      </c>
      <c r="AG6" s="10">
        <v>0</v>
      </c>
      <c r="AH6" t="str">
        <f>CONCATENATE(VLOOKUP(AI6, 'Voxel Sizes'!$A$2:$B$18,2,FALSE),"x",INT(AE6*15), "x", INT(AF6*15))</f>
        <v>60x0x0</v>
      </c>
      <c r="AI6">
        <f t="shared" si="1"/>
        <v>4</v>
      </c>
      <c r="AK6" t="str">
        <f>CONCATENATE(VLOOKUP(AI6,Constants!$A$2:$C$16,IF(AJ6&lt;&gt;"", 3, 2), FALSE),IF(AJ6&lt;&gt;"",CONCATENATE(",",VLOOKUP(AJ6,$B:$AK,36,FALSE)),""))</f>
        <v>1,2,1</v>
      </c>
      <c r="AU6">
        <v>30</v>
      </c>
      <c r="AV6" s="15" t="str">
        <f t="shared" si="2"/>
        <v/>
      </c>
      <c r="AY6">
        <f t="shared" si="3"/>
        <v>0</v>
      </c>
      <c r="AZ6">
        <f t="shared" si="4"/>
        <v>0</v>
      </c>
      <c r="BA6">
        <f t="shared" si="5"/>
        <v>0</v>
      </c>
      <c r="BB6" s="3">
        <f t="shared" si="6"/>
        <v>1</v>
      </c>
      <c r="BC6">
        <f t="shared" si="7"/>
        <v>0</v>
      </c>
      <c r="BD6">
        <f>VLOOKUP($E6,Constants!$I:$K, 2, FALSE)</f>
        <v>0</v>
      </c>
      <c r="BE6">
        <f>VLOOKUP($E6,Constants!$I:$K, 3, FALSE)*IF(AND(D6="multiple_unit",Y6&lt;110),0.75,1)</f>
        <v>0</v>
      </c>
      <c r="BF6">
        <f>INT(POWER(((Constants!$G$2+$AY6+$AZ6+$BA6+$BC6)*$BB6)*$BE6, 1.05))+$AX6</f>
        <v>0</v>
      </c>
      <c r="BG6">
        <f>INT(POWER((((Constants!$G$1+$AY6+$AZ6+$BA6+$BC6)*($BB6))*$BD6),IF($D6="wagon",1,1.2)))+$AW6</f>
        <v>0</v>
      </c>
      <c r="BH6" s="14">
        <f t="shared" si="8"/>
        <v>0</v>
      </c>
      <c r="BI6" s="14">
        <f t="shared" si="9"/>
        <v>0</v>
      </c>
      <c r="BT6" t="str">
        <f>VLOOKUP(G6,Eras!$A$2:$C$10, 2, TRUE)</f>
        <v>early</v>
      </c>
      <c r="BV6" t="str">
        <f t="shared" si="10"/>
        <v>early_</v>
      </c>
      <c r="BW6" t="str">
        <f t="shared" si="11"/>
        <v>tender_RAIL</v>
      </c>
      <c r="BX6" t="str">
        <f>VLOOKUP($BW6, Constants!$M:$N, 2, FALSE)</f>
        <v/>
      </c>
      <c r="BY6" t="str">
        <f t="shared" si="12"/>
        <v/>
      </c>
      <c r="CA6" t="str">
        <f t="shared" si="13"/>
        <v/>
      </c>
      <c r="CB6" t="str">
        <f t="shared" si="14"/>
        <v>{SILVER}</v>
      </c>
    </row>
    <row r="7" spans="1:80" x14ac:dyDescent="0.3">
      <c r="A7" t="s">
        <v>1345</v>
      </c>
      <c r="B7" t="s">
        <v>1346</v>
      </c>
      <c r="C7">
        <v>-1</v>
      </c>
      <c r="D7" t="s">
        <v>291</v>
      </c>
      <c r="E7" t="s">
        <v>291</v>
      </c>
      <c r="F7" t="s">
        <v>275</v>
      </c>
      <c r="G7">
        <v>1830</v>
      </c>
      <c r="T7">
        <v>42</v>
      </c>
      <c r="X7" s="3" t="str">
        <f t="shared" si="0"/>
        <v/>
      </c>
      <c r="AC7">
        <v>7.5</v>
      </c>
      <c r="AD7">
        <v>6</v>
      </c>
      <c r="AG7" s="10">
        <v>0</v>
      </c>
      <c r="AH7" t="str">
        <f>CONCATENATE(VLOOKUP(AI7, 'Voxel Sizes'!$A$2:$B$18,2,FALSE),"x",INT(AE7*15), "x", INT(AF7*15))</f>
        <v>60x0x0</v>
      </c>
      <c r="AI7">
        <f t="shared" si="1"/>
        <v>4</v>
      </c>
      <c r="AK7" t="str">
        <f>CONCATENATE(VLOOKUP(AI7,Constants!$A$2:$C$16,IF(AJ7&lt;&gt;"", 3, 2), FALSE),IF(AJ7&lt;&gt;"",CONCATENATE(",",VLOOKUP(AJ7,$B:$AK,36,FALSE)),""))</f>
        <v>1,2,1</v>
      </c>
      <c r="AU7">
        <v>30</v>
      </c>
      <c r="AV7" s="15" t="str">
        <f t="shared" si="2"/>
        <v/>
      </c>
      <c r="AY7">
        <f t="shared" si="3"/>
        <v>0</v>
      </c>
      <c r="AZ7">
        <f t="shared" si="4"/>
        <v>0</v>
      </c>
      <c r="BA7">
        <f t="shared" si="5"/>
        <v>0</v>
      </c>
      <c r="BB7" s="3">
        <f t="shared" si="6"/>
        <v>1</v>
      </c>
      <c r="BC7">
        <f t="shared" si="7"/>
        <v>0</v>
      </c>
      <c r="BD7">
        <f>VLOOKUP($E7,Constants!$I:$K, 2, FALSE)</f>
        <v>0</v>
      </c>
      <c r="BE7">
        <f>VLOOKUP($E7,Constants!$I:$K, 3, FALSE)*IF(AND(D7="multiple_unit",Y7&lt;110),0.75,1)</f>
        <v>0</v>
      </c>
      <c r="BF7">
        <f>INT(POWER(((Constants!$G$2+$AY7+$AZ7+$BA7+$BC7)*$BB7)*$BE7, 1.05))+$AX7</f>
        <v>0</v>
      </c>
      <c r="BG7">
        <f>INT(POWER((((Constants!$G$1+$AY7+$AZ7+$BA7+$BC7)*($BB7))*$BD7),IF($D7="wagon",1,1.2)))+$AW7</f>
        <v>0</v>
      </c>
      <c r="BH7" s="14">
        <f t="shared" si="8"/>
        <v>0</v>
      </c>
      <c r="BI7" s="14">
        <f t="shared" si="9"/>
        <v>0</v>
      </c>
      <c r="BT7" t="str">
        <f>VLOOKUP(G7,Eras!$A$2:$C$10, 2, TRUE)</f>
        <v>early</v>
      </c>
      <c r="BV7" t="str">
        <f t="shared" si="10"/>
        <v>early_</v>
      </c>
      <c r="BW7" t="str">
        <f t="shared" si="11"/>
        <v>tender_RAIL</v>
      </c>
      <c r="BX7" t="str">
        <f>VLOOKUP($BW7, Constants!$M:$N, 2, FALSE)</f>
        <v/>
      </c>
      <c r="BY7" t="str">
        <f t="shared" si="12"/>
        <v/>
      </c>
      <c r="CA7" t="str">
        <f t="shared" si="13"/>
        <v/>
      </c>
      <c r="CB7" t="str">
        <f t="shared" si="14"/>
        <v>{SILVER}</v>
      </c>
    </row>
    <row r="8" spans="1:80" x14ac:dyDescent="0.3">
      <c r="A8" t="s">
        <v>1342</v>
      </c>
      <c r="B8" t="s">
        <v>1343</v>
      </c>
      <c r="C8">
        <v>-1</v>
      </c>
      <c r="D8" t="s">
        <v>291</v>
      </c>
      <c r="E8" t="s">
        <v>291</v>
      </c>
      <c r="F8" t="s">
        <v>275</v>
      </c>
      <c r="G8">
        <v>1850</v>
      </c>
      <c r="T8">
        <v>42</v>
      </c>
      <c r="X8" s="3" t="str">
        <f t="shared" si="0"/>
        <v/>
      </c>
      <c r="AC8">
        <v>7.5</v>
      </c>
      <c r="AD8">
        <v>6</v>
      </c>
      <c r="AG8" s="10">
        <v>0</v>
      </c>
      <c r="AH8" t="str">
        <f>CONCATENATE(VLOOKUP(AI8, 'Voxel Sizes'!$A$2:$B$18,2,FALSE),"x",INT(AE8*15), "x", INT(AF8*15))</f>
        <v>60x0x0</v>
      </c>
      <c r="AI8">
        <f t="shared" si="1"/>
        <v>4</v>
      </c>
      <c r="AK8" t="str">
        <f>CONCATENATE(VLOOKUP(AI8,Constants!$A$2:$C$16,IF(AJ8&lt;&gt;"", 3, 2), FALSE),IF(AJ8&lt;&gt;"",CONCATENATE(",",VLOOKUP(AJ8,$B:$AK,36,FALSE)),""))</f>
        <v>1,2,1</v>
      </c>
      <c r="AU8">
        <v>30</v>
      </c>
      <c r="AV8" s="15" t="str">
        <f t="shared" si="2"/>
        <v/>
      </c>
      <c r="AY8">
        <f t="shared" si="3"/>
        <v>0</v>
      </c>
      <c r="AZ8">
        <f t="shared" si="4"/>
        <v>0</v>
      </c>
      <c r="BA8">
        <f t="shared" si="5"/>
        <v>0</v>
      </c>
      <c r="BB8" s="3">
        <f t="shared" si="6"/>
        <v>1</v>
      </c>
      <c r="BC8">
        <f t="shared" si="7"/>
        <v>0</v>
      </c>
      <c r="BD8">
        <f>VLOOKUP($E8,Constants!$I:$K, 2, FALSE)</f>
        <v>0</v>
      </c>
      <c r="BE8">
        <f>VLOOKUP($E8,Constants!$I:$K, 3, FALSE)*IF(AND(D8="multiple_unit",Y8&lt;110),0.75,1)</f>
        <v>0</v>
      </c>
      <c r="BF8">
        <f>INT(POWER(((Constants!$G$2+$AY8+$AZ8+$BA8+$BC8)*$BB8)*$BE8, 1.05))+$AX8</f>
        <v>0</v>
      </c>
      <c r="BG8">
        <f>INT(POWER((((Constants!$G$1+$AY8+$AZ8+$BA8+$BC8)*($BB8))*$BD8),IF($D8="wagon",1,1.2)))+$AW8</f>
        <v>0</v>
      </c>
      <c r="BH8" s="14">
        <f t="shared" si="8"/>
        <v>0</v>
      </c>
      <c r="BI8" s="14">
        <f t="shared" si="9"/>
        <v>0</v>
      </c>
      <c r="BT8" t="str">
        <f>VLOOKUP(G8,Eras!$A$2:$C$10, 2, TRUE)</f>
        <v>vct</v>
      </c>
      <c r="BV8" t="str">
        <f t="shared" si="10"/>
        <v>vct_</v>
      </c>
      <c r="BW8" t="str">
        <f t="shared" si="11"/>
        <v>tender_RAIL</v>
      </c>
      <c r="BX8" t="str">
        <f>VLOOKUP($BW8, Constants!$M:$N, 2, FALSE)</f>
        <v/>
      </c>
      <c r="BY8" t="str">
        <f t="shared" si="12"/>
        <v/>
      </c>
      <c r="CA8" t="str">
        <f t="shared" si="13"/>
        <v/>
      </c>
      <c r="CB8" t="str">
        <f t="shared" si="14"/>
        <v>{SILVER}</v>
      </c>
    </row>
    <row r="9" spans="1:80" x14ac:dyDescent="0.3">
      <c r="A9" t="s">
        <v>1478</v>
      </c>
      <c r="B9" t="s">
        <v>1477</v>
      </c>
      <c r="C9">
        <v>-1</v>
      </c>
      <c r="D9" t="s">
        <v>291</v>
      </c>
      <c r="E9" t="s">
        <v>291</v>
      </c>
      <c r="F9" t="s">
        <v>275</v>
      </c>
      <c r="G9">
        <v>1850</v>
      </c>
      <c r="T9">
        <v>42</v>
      </c>
      <c r="X9" s="3" t="str">
        <f t="shared" si="0"/>
        <v/>
      </c>
      <c r="AC9">
        <v>7.5</v>
      </c>
      <c r="AD9">
        <v>6</v>
      </c>
      <c r="AG9" s="10">
        <v>0</v>
      </c>
      <c r="AH9" t="str">
        <f>CONCATENATE(VLOOKUP(AI9, 'Voxel Sizes'!$A$2:$B$18,2,FALSE),"x",INT(AE9*15), "x", INT(AF9*15))</f>
        <v>60x0x0</v>
      </c>
      <c r="AI9">
        <f t="shared" si="1"/>
        <v>4</v>
      </c>
      <c r="AK9" t="str">
        <f>CONCATENATE(VLOOKUP(AI9,Constants!$A$2:$C$16,IF(AJ9&lt;&gt;"", 3, 2), FALSE),IF(AJ9&lt;&gt;"",CONCATENATE(",",VLOOKUP(AJ9,$B:$AK,36,FALSE)),""))</f>
        <v>1,2,1</v>
      </c>
      <c r="AU9">
        <v>30</v>
      </c>
      <c r="AV9" s="15" t="str">
        <f t="shared" si="2"/>
        <v/>
      </c>
      <c r="AY9">
        <f t="shared" si="3"/>
        <v>0</v>
      </c>
      <c r="AZ9">
        <f t="shared" si="4"/>
        <v>0</v>
      </c>
      <c r="BA9">
        <f t="shared" si="5"/>
        <v>0</v>
      </c>
      <c r="BB9" s="3">
        <f t="shared" si="6"/>
        <v>1</v>
      </c>
      <c r="BC9">
        <f t="shared" si="7"/>
        <v>0</v>
      </c>
      <c r="BD9">
        <f>VLOOKUP($E9,Constants!$I:$K, 2, FALSE)</f>
        <v>0</v>
      </c>
      <c r="BE9">
        <f>VLOOKUP($E9,Constants!$I:$K, 3, FALSE)*IF(AND(D9="multiple_unit",Y9&lt;110),0.75,1)</f>
        <v>0</v>
      </c>
      <c r="BF9">
        <f>INT(POWER(((Constants!$G$2+$AY9+$AZ9+$BA9+$BC9)*$BB9)*$BE9, 1.05))+$AX9</f>
        <v>0</v>
      </c>
      <c r="BG9">
        <f>INT(POWER((((Constants!$G$1+$AY9+$AZ9+$BA9+$BC9)*($BB9))*$BD9),IF($D9="wagon",1,1.2)))+$AW9</f>
        <v>0</v>
      </c>
      <c r="BH9" s="14">
        <f t="shared" si="8"/>
        <v>0</v>
      </c>
      <c r="BI9" s="14">
        <f t="shared" si="9"/>
        <v>0</v>
      </c>
      <c r="BT9" t="str">
        <f>VLOOKUP(G9,Eras!$A$2:$C$10, 2, TRUE)</f>
        <v>vct</v>
      </c>
      <c r="BV9" t="str">
        <f t="shared" si="10"/>
        <v>vct_</v>
      </c>
      <c r="BW9" t="str">
        <f t="shared" si="11"/>
        <v>tender_RAIL</v>
      </c>
      <c r="BX9" t="str">
        <f>VLOOKUP($BW9, Constants!$M:$N, 2, FALSE)</f>
        <v/>
      </c>
      <c r="BY9" t="str">
        <f t="shared" si="12"/>
        <v/>
      </c>
      <c r="CA9" t="str">
        <f t="shared" si="13"/>
        <v/>
      </c>
      <c r="CB9" t="str">
        <f t="shared" si="14"/>
        <v>{SILVER}</v>
      </c>
    </row>
    <row r="10" spans="1:80" x14ac:dyDescent="0.3">
      <c r="A10" t="s">
        <v>1321</v>
      </c>
      <c r="B10" t="s">
        <v>1322</v>
      </c>
      <c r="C10">
        <v>-1</v>
      </c>
      <c r="D10" t="s">
        <v>291</v>
      </c>
      <c r="E10" t="s">
        <v>291</v>
      </c>
      <c r="F10" t="s">
        <v>275</v>
      </c>
      <c r="G10">
        <v>1875</v>
      </c>
      <c r="T10">
        <v>42</v>
      </c>
      <c r="X10" s="3" t="str">
        <f t="shared" si="0"/>
        <v/>
      </c>
      <c r="AC10">
        <v>7.5</v>
      </c>
      <c r="AD10">
        <v>8</v>
      </c>
      <c r="AG10" s="10">
        <v>0</v>
      </c>
      <c r="AH10" t="str">
        <f>CONCATENATE(VLOOKUP(AI10, 'Voxel Sizes'!$A$2:$B$18,2,FALSE),"x",INT(AE10*15), "x", INT(AF10*15))</f>
        <v>82x0x0</v>
      </c>
      <c r="AI10">
        <f t="shared" si="1"/>
        <v>5</v>
      </c>
      <c r="AK10" t="str">
        <f>CONCATENATE(VLOOKUP(AI10,Constants!$A$2:$C$16,IF(AJ10&lt;&gt;"", 3, 2), FALSE),IF(AJ10&lt;&gt;"",CONCATENATE(",",VLOOKUP(AJ10,$B:$AK,36,FALSE)),""))</f>
        <v>2,1,2</v>
      </c>
      <c r="AU10">
        <v>30</v>
      </c>
      <c r="AV10" s="15" t="str">
        <f t="shared" si="2"/>
        <v/>
      </c>
      <c r="AY10">
        <f t="shared" si="3"/>
        <v>0</v>
      </c>
      <c r="AZ10">
        <f t="shared" si="4"/>
        <v>0</v>
      </c>
      <c r="BA10">
        <f t="shared" si="5"/>
        <v>0</v>
      </c>
      <c r="BB10" s="3">
        <f t="shared" si="6"/>
        <v>1</v>
      </c>
      <c r="BC10">
        <f t="shared" si="7"/>
        <v>0</v>
      </c>
      <c r="BD10">
        <f>VLOOKUP($E10,Constants!$I:$K, 2, FALSE)</f>
        <v>0</v>
      </c>
      <c r="BE10">
        <f>VLOOKUP($E10,Constants!$I:$K, 3, FALSE)*IF(AND(D10="multiple_unit",Y10&lt;110),0.75,1)</f>
        <v>0</v>
      </c>
      <c r="BF10">
        <f>INT(POWER(((Constants!$G$2+$AY10+$AZ10+$BA10+$BC10)*$BB10)*$BE10, 1.05))+$AX10</f>
        <v>0</v>
      </c>
      <c r="BG10">
        <f>INT(POWER((((Constants!$G$1+$AY10+$AZ10+$BA10+$BC10)*($BB10))*$BD10),IF($D10="wagon",1,1.2)))+$AW10</f>
        <v>0</v>
      </c>
      <c r="BH10" s="14">
        <f t="shared" si="8"/>
        <v>0</v>
      </c>
      <c r="BI10" s="14">
        <f t="shared" si="9"/>
        <v>0</v>
      </c>
      <c r="BT10" t="str">
        <f>VLOOKUP(G10,Eras!$A$2:$C$10, 2, TRUE)</f>
        <v>vct</v>
      </c>
      <c r="BV10" t="str">
        <f t="shared" si="10"/>
        <v>vct_</v>
      </c>
      <c r="BW10" t="str">
        <f t="shared" si="11"/>
        <v>tender_RAIL</v>
      </c>
      <c r="BX10" t="str">
        <f>VLOOKUP($BW10, Constants!$M:$N, 2, FALSE)</f>
        <v/>
      </c>
      <c r="BY10" t="str">
        <f t="shared" si="12"/>
        <v/>
      </c>
      <c r="CA10" t="str">
        <f t="shared" si="13"/>
        <v/>
      </c>
      <c r="CB10" t="str">
        <f t="shared" si="14"/>
        <v>{SILVER}</v>
      </c>
    </row>
    <row r="11" spans="1:80" x14ac:dyDescent="0.3">
      <c r="A11" t="s">
        <v>308</v>
      </c>
      <c r="B11" t="s">
        <v>309</v>
      </c>
      <c r="C11">
        <v>-1</v>
      </c>
      <c r="D11" t="s">
        <v>291</v>
      </c>
      <c r="E11" t="s">
        <v>291</v>
      </c>
      <c r="F11" t="s">
        <v>275</v>
      </c>
      <c r="G11">
        <v>1900</v>
      </c>
      <c r="T11">
        <v>42</v>
      </c>
      <c r="X11" s="3" t="str">
        <f t="shared" si="0"/>
        <v/>
      </c>
      <c r="AC11">
        <v>7.5</v>
      </c>
      <c r="AD11">
        <v>8</v>
      </c>
      <c r="AG11" s="10">
        <v>0</v>
      </c>
      <c r="AH11" t="str">
        <f>CONCATENATE(VLOOKUP(AI11, 'Voxel Sizes'!$A$2:$B$18,2,FALSE),"x",INT(AE11*15), "x", INT(AF11*15))</f>
        <v>82x0x0</v>
      </c>
      <c r="AI11">
        <f t="shared" si="1"/>
        <v>5</v>
      </c>
      <c r="AK11" t="str">
        <f>CONCATENATE(VLOOKUP(AI11,Constants!$A$2:$C$16,IF(AJ11&lt;&gt;"", 3, 2), FALSE),IF(AJ11&lt;&gt;"",CONCATENATE(",",VLOOKUP(AJ11,$B:$AK,36,FALSE)),""))</f>
        <v>2,1,2</v>
      </c>
      <c r="AU11">
        <v>30</v>
      </c>
      <c r="AV11" s="15" t="str">
        <f t="shared" si="2"/>
        <v/>
      </c>
      <c r="AY11">
        <f t="shared" si="3"/>
        <v>0</v>
      </c>
      <c r="AZ11">
        <f t="shared" si="4"/>
        <v>0</v>
      </c>
      <c r="BA11">
        <f t="shared" si="5"/>
        <v>0</v>
      </c>
      <c r="BB11" s="3">
        <f t="shared" si="6"/>
        <v>1</v>
      </c>
      <c r="BC11">
        <f t="shared" si="7"/>
        <v>0</v>
      </c>
      <c r="BD11">
        <f>VLOOKUP($E11,Constants!$I:$K, 2, FALSE)</f>
        <v>0</v>
      </c>
      <c r="BE11">
        <f>VLOOKUP($E11,Constants!$I:$K, 3, FALSE)*IF(AND(D11="multiple_unit",Y11&lt;110),0.75,1)</f>
        <v>0</v>
      </c>
      <c r="BF11">
        <f>INT(POWER(((Constants!$G$2+$AY11+$AZ11+$BA11+$BC11)*$BB11)*$BE11, 1.05))+$AX11</f>
        <v>0</v>
      </c>
      <c r="BG11">
        <f>INT(POWER((((Constants!$G$1+$AY11+$AZ11+$BA11+$BC11)*($BB11))*$BD11),IF($D11="wagon",1,1.2)))+$AW11</f>
        <v>0</v>
      </c>
      <c r="BH11" s="14">
        <f t="shared" si="8"/>
        <v>0</v>
      </c>
      <c r="BI11" s="14">
        <f t="shared" si="9"/>
        <v>0</v>
      </c>
      <c r="BT11" t="str">
        <f>VLOOKUP(G11,Eras!$A$2:$C$10, 2, TRUE)</f>
        <v>edw</v>
      </c>
      <c r="BV11" t="str">
        <f t="shared" si="10"/>
        <v>edw_</v>
      </c>
      <c r="BW11" t="str">
        <f t="shared" si="11"/>
        <v>tender_RAIL</v>
      </c>
      <c r="BX11" t="str">
        <f>VLOOKUP($BW11, Constants!$M:$N, 2, FALSE)</f>
        <v/>
      </c>
      <c r="BY11" t="str">
        <f t="shared" si="12"/>
        <v/>
      </c>
      <c r="CA11" t="str">
        <f t="shared" si="13"/>
        <v/>
      </c>
      <c r="CB11" t="str">
        <f t="shared" si="14"/>
        <v>{SILVER}</v>
      </c>
    </row>
    <row r="12" spans="1:80" x14ac:dyDescent="0.3">
      <c r="A12" t="s">
        <v>1200</v>
      </c>
      <c r="B12" t="s">
        <v>1201</v>
      </c>
      <c r="C12">
        <v>-1</v>
      </c>
      <c r="D12" t="s">
        <v>291</v>
      </c>
      <c r="E12" t="s">
        <v>291</v>
      </c>
      <c r="F12" t="s">
        <v>275</v>
      </c>
      <c r="G12">
        <v>1900</v>
      </c>
      <c r="T12">
        <v>42</v>
      </c>
      <c r="X12" s="3" t="str">
        <f t="shared" si="0"/>
        <v/>
      </c>
      <c r="AC12">
        <v>7.5</v>
      </c>
      <c r="AD12">
        <v>8</v>
      </c>
      <c r="AG12" s="10">
        <v>0</v>
      </c>
      <c r="AH12" t="str">
        <f>CONCATENATE(VLOOKUP(AI12, 'Voxel Sizes'!$A$2:$B$18,2,FALSE),"x",INT(AE12*15), "x", INT(AF12*15))</f>
        <v>82x0x0</v>
      </c>
      <c r="AI12">
        <f t="shared" si="1"/>
        <v>5</v>
      </c>
      <c r="AK12" t="str">
        <f>CONCATENATE(VLOOKUP(AI12,Constants!$A$2:$C$16,IF(AJ12&lt;&gt;"", 3, 2), FALSE),IF(AJ12&lt;&gt;"",CONCATENATE(",",VLOOKUP(AJ12,$B:$AK,36,FALSE)),""))</f>
        <v>2,1,2</v>
      </c>
      <c r="AU12">
        <v>30</v>
      </c>
      <c r="AV12" s="15" t="str">
        <f t="shared" si="2"/>
        <v/>
      </c>
      <c r="AY12">
        <f t="shared" si="3"/>
        <v>0</v>
      </c>
      <c r="AZ12">
        <f t="shared" si="4"/>
        <v>0</v>
      </c>
      <c r="BA12">
        <f t="shared" si="5"/>
        <v>0</v>
      </c>
      <c r="BB12" s="3">
        <f t="shared" si="6"/>
        <v>1</v>
      </c>
      <c r="BC12">
        <f t="shared" si="7"/>
        <v>0</v>
      </c>
      <c r="BD12">
        <f>VLOOKUP($E12,Constants!$I:$K, 2, FALSE)</f>
        <v>0</v>
      </c>
      <c r="BE12">
        <f>VLOOKUP($E12,Constants!$I:$K, 3, FALSE)*IF(AND(D12="multiple_unit",Y12&lt;110),0.75,1)</f>
        <v>0</v>
      </c>
      <c r="BF12">
        <f>INT(POWER(((Constants!$G$2+$AY12+$AZ12+$BA12+$BC12)*$BB12)*$BE12, 1.05))+$AX12</f>
        <v>0</v>
      </c>
      <c r="BG12">
        <f>INT(POWER((((Constants!$G$1+$AY12+$AZ12+$BA12+$BC12)*($BB12))*$BD12),IF($D12="wagon",1,1.2)))+$AW12</f>
        <v>0</v>
      </c>
      <c r="BH12" s="14">
        <f t="shared" si="8"/>
        <v>0</v>
      </c>
      <c r="BI12" s="14">
        <f t="shared" si="9"/>
        <v>0</v>
      </c>
      <c r="BT12" t="str">
        <f>VLOOKUP(G12,Eras!$A$2:$C$10, 2, TRUE)</f>
        <v>edw</v>
      </c>
      <c r="BV12" t="str">
        <f t="shared" si="10"/>
        <v>edw_</v>
      </c>
      <c r="BW12" t="str">
        <f t="shared" si="11"/>
        <v>tender_RAIL</v>
      </c>
      <c r="BX12" t="str">
        <f>VLOOKUP($BW12, Constants!$M:$N, 2, FALSE)</f>
        <v/>
      </c>
      <c r="BY12" t="str">
        <f t="shared" si="12"/>
        <v/>
      </c>
      <c r="CA12" t="str">
        <f t="shared" si="13"/>
        <v/>
      </c>
      <c r="CB12" t="str">
        <f t="shared" si="14"/>
        <v>{SILVER}</v>
      </c>
    </row>
    <row r="13" spans="1:80" x14ac:dyDescent="0.3">
      <c r="A13" t="s">
        <v>1191</v>
      </c>
      <c r="B13" t="s">
        <v>1190</v>
      </c>
      <c r="C13">
        <v>-1</v>
      </c>
      <c r="D13" t="s">
        <v>291</v>
      </c>
      <c r="E13" t="s">
        <v>291</v>
      </c>
      <c r="F13" t="s">
        <v>275</v>
      </c>
      <c r="G13">
        <v>1900</v>
      </c>
      <c r="T13">
        <v>42</v>
      </c>
      <c r="X13" s="3" t="str">
        <f t="shared" si="0"/>
        <v/>
      </c>
      <c r="AC13">
        <v>7.5</v>
      </c>
      <c r="AD13">
        <v>8</v>
      </c>
      <c r="AG13" s="10">
        <v>0</v>
      </c>
      <c r="AH13" t="str">
        <f>CONCATENATE(VLOOKUP(AI13, 'Voxel Sizes'!$A$2:$B$18,2,FALSE),"x",INT(AE13*15), "x", INT(AF13*15))</f>
        <v>82x0x0</v>
      </c>
      <c r="AI13">
        <f t="shared" si="1"/>
        <v>5</v>
      </c>
      <c r="AK13" t="str">
        <f>CONCATENATE(VLOOKUP(AI13,Constants!$A$2:$C$16,IF(AJ13&lt;&gt;"", 3, 2), FALSE),IF(AJ13&lt;&gt;"",CONCATENATE(",",VLOOKUP(AJ13,$B:$AK,36,FALSE)),""))</f>
        <v>2,1,2</v>
      </c>
      <c r="AU13">
        <v>30</v>
      </c>
      <c r="AV13" s="15" t="str">
        <f t="shared" si="2"/>
        <v/>
      </c>
      <c r="AY13">
        <f t="shared" si="3"/>
        <v>0</v>
      </c>
      <c r="AZ13">
        <f t="shared" si="4"/>
        <v>0</v>
      </c>
      <c r="BA13">
        <f t="shared" si="5"/>
        <v>0</v>
      </c>
      <c r="BB13" s="3">
        <f t="shared" si="6"/>
        <v>1</v>
      </c>
      <c r="BC13">
        <f t="shared" si="7"/>
        <v>0</v>
      </c>
      <c r="BD13">
        <f>VLOOKUP($E13,Constants!$I:$K, 2, FALSE)</f>
        <v>0</v>
      </c>
      <c r="BE13">
        <f>VLOOKUP($E13,Constants!$I:$K, 3, FALSE)*IF(AND(D13="multiple_unit",Y13&lt;110),0.75,1)</f>
        <v>0</v>
      </c>
      <c r="BF13">
        <f>INT(POWER(((Constants!$G$2+$AY13+$AZ13+$BA13+$BC13)*$BB13)*$BE13, 1.05))+$AX13</f>
        <v>0</v>
      </c>
      <c r="BG13">
        <f>INT(POWER((((Constants!$G$1+$AY13+$AZ13+$BA13+$BC13)*($BB13))*$BD13),IF($D13="wagon",1,1.2)))+$AW13</f>
        <v>0</v>
      </c>
      <c r="BH13" s="14">
        <f t="shared" si="8"/>
        <v>0</v>
      </c>
      <c r="BI13" s="14">
        <f t="shared" si="9"/>
        <v>0</v>
      </c>
      <c r="BT13" t="str">
        <f>VLOOKUP(G13,Eras!$A$2:$C$10, 2, TRUE)</f>
        <v>edw</v>
      </c>
      <c r="BV13" t="str">
        <f t="shared" si="10"/>
        <v>edw_</v>
      </c>
      <c r="BW13" t="str">
        <f t="shared" si="11"/>
        <v>tender_RAIL</v>
      </c>
      <c r="BX13" t="str">
        <f>VLOOKUP($BW13, Constants!$M:$N, 2, FALSE)</f>
        <v/>
      </c>
      <c r="BY13" t="str">
        <f t="shared" si="12"/>
        <v/>
      </c>
      <c r="CA13" t="str">
        <f t="shared" si="13"/>
        <v/>
      </c>
      <c r="CB13" t="str">
        <f t="shared" si="14"/>
        <v>{SILVER}</v>
      </c>
    </row>
    <row r="14" spans="1:80" x14ac:dyDescent="0.3">
      <c r="A14" t="s">
        <v>389</v>
      </c>
      <c r="B14" t="s">
        <v>390</v>
      </c>
      <c r="C14">
        <v>-1</v>
      </c>
      <c r="D14" t="s">
        <v>291</v>
      </c>
      <c r="E14" t="s">
        <v>291</v>
      </c>
      <c r="F14" t="s">
        <v>275</v>
      </c>
      <c r="G14">
        <v>1900</v>
      </c>
      <c r="T14">
        <v>42</v>
      </c>
      <c r="X14" s="3" t="str">
        <f t="shared" si="0"/>
        <v/>
      </c>
      <c r="AC14">
        <v>7.5</v>
      </c>
      <c r="AD14">
        <v>8</v>
      </c>
      <c r="AG14" s="10">
        <v>0</v>
      </c>
      <c r="AH14" t="str">
        <f>CONCATENATE(VLOOKUP(AI14, 'Voxel Sizes'!$A$2:$B$18,2,FALSE),"x",INT(AE14*15), "x", INT(AF14*15))</f>
        <v>82x0x0</v>
      </c>
      <c r="AI14">
        <f t="shared" si="1"/>
        <v>5</v>
      </c>
      <c r="AK14" t="str">
        <f>CONCATENATE(VLOOKUP(AI14,Constants!$A$2:$C$16,IF(AJ14&lt;&gt;"", 3, 2), FALSE),IF(AJ14&lt;&gt;"",CONCATENATE(",",VLOOKUP(AJ14,$B:$AK,36,FALSE)),""))</f>
        <v>2,1,2</v>
      </c>
      <c r="AU14">
        <v>30</v>
      </c>
      <c r="AV14" s="15" t="str">
        <f t="shared" si="2"/>
        <v/>
      </c>
      <c r="AY14">
        <f t="shared" si="3"/>
        <v>0</v>
      </c>
      <c r="AZ14">
        <f t="shared" si="4"/>
        <v>0</v>
      </c>
      <c r="BA14">
        <f t="shared" si="5"/>
        <v>0</v>
      </c>
      <c r="BB14" s="3">
        <f t="shared" si="6"/>
        <v>1</v>
      </c>
      <c r="BC14">
        <f t="shared" si="7"/>
        <v>0</v>
      </c>
      <c r="BD14">
        <f>VLOOKUP($E14,Constants!$I:$K, 2, FALSE)</f>
        <v>0</v>
      </c>
      <c r="BE14">
        <f>VLOOKUP($E14,Constants!$I:$K, 3, FALSE)*IF(AND(D14="multiple_unit",Y14&lt;110),0.75,1)</f>
        <v>0</v>
      </c>
      <c r="BF14">
        <f>INT(POWER(((Constants!$G$2+$AY14+$AZ14+$BA14+$BC14)*$BB14)*$BE14, 1.05))+$AX14</f>
        <v>0</v>
      </c>
      <c r="BG14">
        <f>INT(POWER((((Constants!$G$1+$AY14+$AZ14+$BA14+$BC14)*($BB14))*$BD14),IF($D14="wagon",1,1.2)))+$AW14</f>
        <v>0</v>
      </c>
      <c r="BH14" s="14">
        <f t="shared" si="8"/>
        <v>0</v>
      </c>
      <c r="BI14" s="14">
        <f t="shared" si="9"/>
        <v>0</v>
      </c>
      <c r="BT14" t="str">
        <f>VLOOKUP(G14,Eras!$A$2:$C$10, 2, TRUE)</f>
        <v>edw</v>
      </c>
      <c r="BV14" t="str">
        <f t="shared" si="10"/>
        <v>edw_</v>
      </c>
      <c r="BW14" t="str">
        <f t="shared" si="11"/>
        <v>tender_RAIL</v>
      </c>
      <c r="BX14" t="str">
        <f>VLOOKUP($BW14, Constants!$M:$N, 2, FALSE)</f>
        <v/>
      </c>
      <c r="BY14" t="str">
        <f t="shared" si="12"/>
        <v/>
      </c>
      <c r="CA14" t="str">
        <f t="shared" si="13"/>
        <v/>
      </c>
      <c r="CB14" t="str">
        <f t="shared" si="14"/>
        <v>{SILVER}</v>
      </c>
    </row>
    <row r="15" spans="1:80" x14ac:dyDescent="0.3">
      <c r="A15" t="s">
        <v>1186</v>
      </c>
      <c r="B15" t="s">
        <v>1185</v>
      </c>
      <c r="C15">
        <v>-1</v>
      </c>
      <c r="D15" t="s">
        <v>291</v>
      </c>
      <c r="E15" t="s">
        <v>291</v>
      </c>
      <c r="F15" t="s">
        <v>275</v>
      </c>
      <c r="G15">
        <v>1920</v>
      </c>
      <c r="T15">
        <v>52</v>
      </c>
      <c r="X15" s="3" t="str">
        <f t="shared" si="0"/>
        <v/>
      </c>
      <c r="AC15">
        <v>7.64</v>
      </c>
      <c r="AD15">
        <v>8</v>
      </c>
      <c r="AG15" s="10">
        <v>0</v>
      </c>
      <c r="AH15" t="str">
        <f>CONCATENATE(VLOOKUP(AI15, 'Voxel Sizes'!$A$2:$B$18,2,FALSE),"x",INT(AE15*15), "x", INT(AF15*15))</f>
        <v>82x0x0</v>
      </c>
      <c r="AI15">
        <f t="shared" si="1"/>
        <v>5</v>
      </c>
      <c r="AK15" t="str">
        <f>CONCATENATE(VLOOKUP(AI15,Constants!$A$2:$C$16,IF(AJ15&lt;&gt;"", 3, 2), FALSE),IF(AJ15&lt;&gt;"",CONCATENATE(",",VLOOKUP(AJ15,$B:$AK,36,FALSE)),""))</f>
        <v>2,1,2</v>
      </c>
      <c r="AU15">
        <v>30</v>
      </c>
      <c r="AV15" s="15" t="str">
        <f t="shared" si="2"/>
        <v/>
      </c>
      <c r="AY15">
        <f t="shared" si="3"/>
        <v>0</v>
      </c>
      <c r="AZ15">
        <f t="shared" si="4"/>
        <v>0</v>
      </c>
      <c r="BA15">
        <f t="shared" si="5"/>
        <v>0</v>
      </c>
      <c r="BB15" s="3">
        <f t="shared" si="6"/>
        <v>0.97333333333333338</v>
      </c>
      <c r="BC15">
        <f t="shared" si="7"/>
        <v>0</v>
      </c>
      <c r="BD15">
        <f>VLOOKUP($E15,Constants!$I:$K, 2, FALSE)</f>
        <v>0</v>
      </c>
      <c r="BE15">
        <f>VLOOKUP($E15,Constants!$I:$K, 3, FALSE)*IF(AND(D15="multiple_unit",Y15&lt;110),0.75,1)</f>
        <v>0</v>
      </c>
      <c r="BF15">
        <f>INT(POWER(((Constants!$G$2+$AY15+$AZ15+$BA15+$BC15)*$BB15)*$BE15, 1.05))+$AX15</f>
        <v>0</v>
      </c>
      <c r="BG15">
        <f>INT(POWER((((Constants!$G$1+$AY15+$AZ15+$BA15+$BC15)*($BB15))*$BD15),IF($D15="wagon",1,1.2)))+$AW15</f>
        <v>0</v>
      </c>
      <c r="BH15" s="14">
        <f t="shared" si="8"/>
        <v>0</v>
      </c>
      <c r="BI15" s="14">
        <f t="shared" si="9"/>
        <v>0</v>
      </c>
      <c r="BT15" t="str">
        <f>VLOOKUP(G15,Eras!$A$2:$C$10, 2, TRUE)</f>
        <v>edw</v>
      </c>
      <c r="BV15" t="str">
        <f t="shared" si="10"/>
        <v>edw_</v>
      </c>
      <c r="BW15" t="str">
        <f t="shared" si="11"/>
        <v>tender_RAIL</v>
      </c>
      <c r="BX15" t="str">
        <f>VLOOKUP($BW15, Constants!$M:$N, 2, FALSE)</f>
        <v/>
      </c>
      <c r="BY15" t="str">
        <f t="shared" si="12"/>
        <v/>
      </c>
      <c r="CA15" t="str">
        <f t="shared" si="13"/>
        <v/>
      </c>
      <c r="CB15" t="str">
        <f t="shared" si="14"/>
        <v>{SILVER}</v>
      </c>
    </row>
    <row r="16" spans="1:80" x14ac:dyDescent="0.3">
      <c r="A16" t="s">
        <v>440</v>
      </c>
      <c r="B16" t="s">
        <v>441</v>
      </c>
      <c r="C16">
        <v>-1</v>
      </c>
      <c r="D16" t="s">
        <v>291</v>
      </c>
      <c r="E16" t="s">
        <v>291</v>
      </c>
      <c r="F16" t="s">
        <v>275</v>
      </c>
      <c r="G16">
        <v>1925</v>
      </c>
      <c r="T16">
        <v>52</v>
      </c>
      <c r="X16" s="3" t="str">
        <f t="shared" si="0"/>
        <v/>
      </c>
      <c r="AC16">
        <v>7.64</v>
      </c>
      <c r="AD16">
        <v>8</v>
      </c>
      <c r="AG16" s="10">
        <v>0</v>
      </c>
      <c r="AH16" t="str">
        <f>CONCATENATE(VLOOKUP(AI16, 'Voxel Sizes'!$A$2:$B$18,2,FALSE),"x",INT(AE16*15), "x", INT(AF16*15))</f>
        <v>82x0x0</v>
      </c>
      <c r="AI16">
        <f t="shared" si="1"/>
        <v>5</v>
      </c>
      <c r="AK16" t="str">
        <f>CONCATENATE(VLOOKUP(AI16,Constants!$A$2:$C$16,IF(AJ16&lt;&gt;"", 3, 2), FALSE),IF(AJ16&lt;&gt;"",CONCATENATE(",",VLOOKUP(AJ16,$B:$AK,36,FALSE)),""))</f>
        <v>2,1,2</v>
      </c>
      <c r="AU16">
        <v>30</v>
      </c>
      <c r="AV16" s="15" t="str">
        <f t="shared" si="2"/>
        <v/>
      </c>
      <c r="AY16">
        <f t="shared" si="3"/>
        <v>0</v>
      </c>
      <c r="AZ16">
        <f t="shared" si="4"/>
        <v>0</v>
      </c>
      <c r="BA16">
        <f t="shared" si="5"/>
        <v>0</v>
      </c>
      <c r="BB16" s="3">
        <f t="shared" si="6"/>
        <v>0.96666666666666667</v>
      </c>
      <c r="BC16">
        <f t="shared" si="7"/>
        <v>0</v>
      </c>
      <c r="BD16">
        <f>VLOOKUP($E16,Constants!$I:$K, 2, FALSE)</f>
        <v>0</v>
      </c>
      <c r="BE16">
        <f>VLOOKUP($E16,Constants!$I:$K, 3, FALSE)*IF(AND(D16="multiple_unit",Y16&lt;110),0.75,1)</f>
        <v>0</v>
      </c>
      <c r="BF16">
        <f>INT(POWER(((Constants!$G$2+$AY16+$AZ16+$BA16+$BC16)*$BB16)*$BE16, 1.05))+$AX16</f>
        <v>0</v>
      </c>
      <c r="BG16">
        <f>INT(POWER((((Constants!$G$1+$AY16+$AZ16+$BA16+$BC16)*($BB16))*$BD16),IF($D16="wagon",1,1.2)))+$AW16</f>
        <v>0</v>
      </c>
      <c r="BH16" s="14">
        <f t="shared" si="8"/>
        <v>0</v>
      </c>
      <c r="BI16" s="14">
        <f t="shared" si="9"/>
        <v>0</v>
      </c>
      <c r="BT16" t="str">
        <f>VLOOKUP(G16,Eras!$A$2:$C$10, 2, TRUE)</f>
        <v>big4</v>
      </c>
      <c r="BV16" t="str">
        <f t="shared" si="10"/>
        <v>big4_</v>
      </c>
      <c r="BW16" t="str">
        <f t="shared" si="11"/>
        <v>tender_RAIL</v>
      </c>
      <c r="BX16" t="str">
        <f>VLOOKUP($BW16, Constants!$M:$N, 2, FALSE)</f>
        <v/>
      </c>
      <c r="BY16" t="str">
        <f t="shared" si="12"/>
        <v/>
      </c>
      <c r="CA16" t="str">
        <f t="shared" si="13"/>
        <v/>
      </c>
      <c r="CB16" t="str">
        <f t="shared" si="14"/>
        <v>{SILVER}</v>
      </c>
    </row>
    <row r="17" spans="1:80" x14ac:dyDescent="0.3">
      <c r="A17" t="s">
        <v>290</v>
      </c>
      <c r="B17" t="s">
        <v>289</v>
      </c>
      <c r="C17">
        <v>-1</v>
      </c>
      <c r="D17" t="s">
        <v>291</v>
      </c>
      <c r="E17" t="s">
        <v>291</v>
      </c>
      <c r="F17" t="s">
        <v>275</v>
      </c>
      <c r="G17">
        <v>1925</v>
      </c>
      <c r="T17">
        <v>52</v>
      </c>
      <c r="X17" s="3" t="str">
        <f t="shared" si="0"/>
        <v/>
      </c>
      <c r="AC17">
        <v>7.64</v>
      </c>
      <c r="AD17">
        <v>8</v>
      </c>
      <c r="AG17" s="10">
        <v>0</v>
      </c>
      <c r="AH17" t="str">
        <f>CONCATENATE(VLOOKUP(AI17, 'Voxel Sizes'!$A$2:$B$18,2,FALSE),"x",INT(AE17*15), "x", INT(AF17*15))</f>
        <v>82x0x0</v>
      </c>
      <c r="AI17">
        <f t="shared" si="1"/>
        <v>5</v>
      </c>
      <c r="AK17" t="str">
        <f>CONCATENATE(VLOOKUP(AI17,Constants!$A$2:$C$16,IF(AJ17&lt;&gt;"", 3, 2), FALSE),IF(AJ17&lt;&gt;"",CONCATENATE(",",VLOOKUP(AJ17,$B:$AK,36,FALSE)),""))</f>
        <v>2,1,2</v>
      </c>
      <c r="AU17">
        <v>30</v>
      </c>
      <c r="AV17" s="15" t="str">
        <f t="shared" si="2"/>
        <v/>
      </c>
      <c r="AY17">
        <f t="shared" si="3"/>
        <v>0</v>
      </c>
      <c r="AZ17">
        <f t="shared" si="4"/>
        <v>0</v>
      </c>
      <c r="BA17">
        <f t="shared" si="5"/>
        <v>0</v>
      </c>
      <c r="BB17" s="3">
        <f t="shared" si="6"/>
        <v>0.96666666666666667</v>
      </c>
      <c r="BC17">
        <f t="shared" si="7"/>
        <v>0</v>
      </c>
      <c r="BD17">
        <f>VLOOKUP($E17,Constants!$I:$K, 2, FALSE)</f>
        <v>0</v>
      </c>
      <c r="BE17">
        <f>VLOOKUP($E17,Constants!$I:$K, 3, FALSE)*IF(AND(D17="multiple_unit",Y17&lt;110),0.75,1)</f>
        <v>0</v>
      </c>
      <c r="BF17">
        <f>INT(POWER(((Constants!$G$2+$AY17+$AZ17+$BA17+$BC17)*$BB17)*$BE17, 1.05))+$AX17</f>
        <v>0</v>
      </c>
      <c r="BG17">
        <f>INT(POWER((((Constants!$G$1+$AY17+$AZ17+$BA17+$BC17)*($BB17))*$BD17),IF($D17="wagon",1,1.2)))+$AW17</f>
        <v>0</v>
      </c>
      <c r="BH17" s="14">
        <f t="shared" si="8"/>
        <v>0</v>
      </c>
      <c r="BI17" s="14">
        <f t="shared" si="9"/>
        <v>0</v>
      </c>
      <c r="BT17" t="str">
        <f>VLOOKUP(G17,Eras!$A$2:$C$10, 2, TRUE)</f>
        <v>big4</v>
      </c>
      <c r="BV17" t="str">
        <f t="shared" si="10"/>
        <v>big4_</v>
      </c>
      <c r="BW17" t="str">
        <f t="shared" si="11"/>
        <v>tender_RAIL</v>
      </c>
      <c r="BX17" t="str">
        <f>VLOOKUP($BW17, Constants!$M:$N, 2, FALSE)</f>
        <v/>
      </c>
      <c r="BY17" t="str">
        <f t="shared" si="12"/>
        <v/>
      </c>
      <c r="CA17" t="str">
        <f t="shared" si="13"/>
        <v/>
      </c>
      <c r="CB17" t="str">
        <f t="shared" si="14"/>
        <v>{SILVER}</v>
      </c>
    </row>
    <row r="18" spans="1:80" x14ac:dyDescent="0.3">
      <c r="A18" t="s">
        <v>293</v>
      </c>
      <c r="B18" t="s">
        <v>294</v>
      </c>
      <c r="C18">
        <v>-1</v>
      </c>
      <c r="D18" t="s">
        <v>291</v>
      </c>
      <c r="E18" t="s">
        <v>291</v>
      </c>
      <c r="F18" t="s">
        <v>275</v>
      </c>
      <c r="G18">
        <v>1925</v>
      </c>
      <c r="T18">
        <v>52</v>
      </c>
      <c r="X18" s="3" t="str">
        <f t="shared" si="0"/>
        <v/>
      </c>
      <c r="AC18">
        <v>7.64</v>
      </c>
      <c r="AD18">
        <v>8</v>
      </c>
      <c r="AG18" s="10">
        <v>0</v>
      </c>
      <c r="AH18" t="str">
        <f>CONCATENATE(VLOOKUP(AI18, 'Voxel Sizes'!$A$2:$B$18,2,FALSE),"x",INT(AE18*15), "x", INT(AF18*15))</f>
        <v>82x0x0</v>
      </c>
      <c r="AI18">
        <f t="shared" si="1"/>
        <v>5</v>
      </c>
      <c r="AK18" t="str">
        <f>CONCATENATE(VLOOKUP(AI18,Constants!$A$2:$C$16,IF(AJ18&lt;&gt;"", 3, 2), FALSE),IF(AJ18&lt;&gt;"",CONCATENATE(",",VLOOKUP(AJ18,$B:$AK,36,FALSE)),""))</f>
        <v>2,1,2</v>
      </c>
      <c r="AU18">
        <v>30</v>
      </c>
      <c r="AV18" s="15" t="str">
        <f t="shared" si="2"/>
        <v/>
      </c>
      <c r="AY18">
        <f t="shared" si="3"/>
        <v>0</v>
      </c>
      <c r="AZ18">
        <f t="shared" si="4"/>
        <v>0</v>
      </c>
      <c r="BA18">
        <f t="shared" si="5"/>
        <v>0</v>
      </c>
      <c r="BB18" s="3">
        <f t="shared" si="6"/>
        <v>0.96666666666666667</v>
      </c>
      <c r="BC18">
        <f t="shared" si="7"/>
        <v>0</v>
      </c>
      <c r="BD18">
        <f>VLOOKUP($E18,Constants!$I:$K, 2, FALSE)</f>
        <v>0</v>
      </c>
      <c r="BE18">
        <f>VLOOKUP($E18,Constants!$I:$K, 3, FALSE)*IF(AND(D18="multiple_unit",Y18&lt;110),0.75,1)</f>
        <v>0</v>
      </c>
      <c r="BF18">
        <f>INT(POWER(((Constants!$G$2+$AY18+$AZ18+$BA18+$BC18)*$BB18)*$BE18, 1.05))+$AX18</f>
        <v>0</v>
      </c>
      <c r="BG18">
        <f>INT(POWER((((Constants!$G$1+$AY18+$AZ18+$BA18+$BC18)*($BB18))*$BD18),IF($D18="wagon",1,1.2)))+$AW18</f>
        <v>0</v>
      </c>
      <c r="BH18" s="14">
        <f t="shared" si="8"/>
        <v>0</v>
      </c>
      <c r="BI18" s="14">
        <f t="shared" si="9"/>
        <v>0</v>
      </c>
      <c r="BT18" t="str">
        <f>VLOOKUP(G18,Eras!$A$2:$C$10, 2, TRUE)</f>
        <v>big4</v>
      </c>
      <c r="BV18" t="str">
        <f t="shared" si="10"/>
        <v>big4_</v>
      </c>
      <c r="BW18" t="str">
        <f t="shared" si="11"/>
        <v>tender_RAIL</v>
      </c>
      <c r="BX18" t="str">
        <f>VLOOKUP($BW18, Constants!$M:$N, 2, FALSE)</f>
        <v/>
      </c>
      <c r="BY18" t="str">
        <f t="shared" si="12"/>
        <v/>
      </c>
      <c r="CA18" t="str">
        <f t="shared" si="13"/>
        <v/>
      </c>
      <c r="CB18" t="str">
        <f t="shared" si="14"/>
        <v>{SILVER}</v>
      </c>
    </row>
    <row r="19" spans="1:80" x14ac:dyDescent="0.3">
      <c r="A19" t="s">
        <v>435</v>
      </c>
      <c r="B19" t="s">
        <v>436</v>
      </c>
      <c r="C19">
        <v>-1</v>
      </c>
      <c r="D19" t="s">
        <v>291</v>
      </c>
      <c r="E19" t="s">
        <v>291</v>
      </c>
      <c r="F19" t="s">
        <v>275</v>
      </c>
      <c r="G19">
        <v>1927</v>
      </c>
      <c r="T19">
        <v>53</v>
      </c>
      <c r="X19" s="3" t="str">
        <f t="shared" si="0"/>
        <v/>
      </c>
      <c r="AC19">
        <v>7.5</v>
      </c>
      <c r="AD19">
        <v>8</v>
      </c>
      <c r="AG19" s="10">
        <v>0</v>
      </c>
      <c r="AH19" t="str">
        <f>CONCATENATE(VLOOKUP(AI19, 'Voxel Sizes'!$A$2:$B$18,2,FALSE),"x",INT(AE19*15), "x", INT(AF19*15))</f>
        <v>82x0x0</v>
      </c>
      <c r="AI19">
        <f t="shared" si="1"/>
        <v>5</v>
      </c>
      <c r="AK19" t="str">
        <f>CONCATENATE(VLOOKUP(AI19,Constants!$A$2:$C$16,IF(AJ19&lt;&gt;"", 3, 2), FALSE),IF(AJ19&lt;&gt;"",CONCATENATE(",",VLOOKUP(AJ19,$B:$AK,36,FALSE)),""))</f>
        <v>2,1,2</v>
      </c>
      <c r="AU19">
        <v>30</v>
      </c>
      <c r="AV19" s="15" t="str">
        <f t="shared" si="2"/>
        <v/>
      </c>
      <c r="AY19">
        <f t="shared" si="3"/>
        <v>0</v>
      </c>
      <c r="AZ19">
        <f t="shared" si="4"/>
        <v>0</v>
      </c>
      <c r="BA19">
        <f t="shared" si="5"/>
        <v>0</v>
      </c>
      <c r="BB19" s="3">
        <f t="shared" si="6"/>
        <v>0.96399999999999997</v>
      </c>
      <c r="BC19">
        <f t="shared" si="7"/>
        <v>0</v>
      </c>
      <c r="BD19">
        <f>VLOOKUP($E19,Constants!$I:$K, 2, FALSE)</f>
        <v>0</v>
      </c>
      <c r="BE19">
        <f>VLOOKUP($E19,Constants!$I:$K, 3, FALSE)*IF(AND(D19="multiple_unit",Y19&lt;110),0.75,1)</f>
        <v>0</v>
      </c>
      <c r="BF19">
        <f>INT(POWER(((Constants!$G$2+$AY19+$AZ19+$BA19+$BC19)*$BB19)*$BE19, 1.05))+$AX19</f>
        <v>0</v>
      </c>
      <c r="BG19">
        <f>INT(POWER((((Constants!$G$1+$AY19+$AZ19+$BA19+$BC19)*($BB19))*$BD19),IF($D19="wagon",1,1.2)))+$AW19</f>
        <v>0</v>
      </c>
      <c r="BH19" s="14">
        <f t="shared" si="8"/>
        <v>0</v>
      </c>
      <c r="BI19" s="14">
        <f t="shared" si="9"/>
        <v>0</v>
      </c>
      <c r="BT19" t="str">
        <f>VLOOKUP(G19,Eras!$A$2:$C$10, 2, TRUE)</f>
        <v>big4</v>
      </c>
      <c r="BV19" t="str">
        <f t="shared" si="10"/>
        <v>big4_</v>
      </c>
      <c r="BW19" t="str">
        <f t="shared" si="11"/>
        <v>tender_RAIL</v>
      </c>
      <c r="BX19" t="str">
        <f>VLOOKUP($BW19, Constants!$M:$N, 2, FALSE)</f>
        <v/>
      </c>
      <c r="BY19" t="str">
        <f t="shared" si="12"/>
        <v/>
      </c>
      <c r="CA19" t="str">
        <f t="shared" si="13"/>
        <v/>
      </c>
      <c r="CB19" t="str">
        <f t="shared" si="14"/>
        <v>{SILVER}</v>
      </c>
    </row>
    <row r="20" spans="1:80" x14ac:dyDescent="0.3">
      <c r="A20" t="s">
        <v>461</v>
      </c>
      <c r="B20" t="s">
        <v>460</v>
      </c>
      <c r="C20">
        <v>-1</v>
      </c>
      <c r="D20" t="s">
        <v>291</v>
      </c>
      <c r="E20" t="s">
        <v>291</v>
      </c>
      <c r="F20" t="s">
        <v>275</v>
      </c>
      <c r="G20">
        <v>1935</v>
      </c>
      <c r="T20">
        <v>42</v>
      </c>
      <c r="X20" s="3" t="str">
        <f t="shared" si="0"/>
        <v/>
      </c>
      <c r="AC20">
        <v>7.5</v>
      </c>
      <c r="AD20">
        <v>8</v>
      </c>
      <c r="AG20" s="10">
        <v>0</v>
      </c>
      <c r="AH20" t="str">
        <f>CONCATENATE(VLOOKUP(AI20, 'Voxel Sizes'!$A$2:$B$18,2,FALSE),"x",INT(AE20*15), "x", INT(AF20*15))</f>
        <v>82x0x0</v>
      </c>
      <c r="AI20">
        <f t="shared" si="1"/>
        <v>5</v>
      </c>
      <c r="AK20" t="str">
        <f>CONCATENATE(VLOOKUP(AI20,Constants!$A$2:$C$16,IF(AJ20&lt;&gt;"", 3, 2), FALSE),IF(AJ20&lt;&gt;"",CONCATENATE(",",VLOOKUP(AJ20,$B:$AK,36,FALSE)),""))</f>
        <v>2,1,2</v>
      </c>
      <c r="AU20">
        <v>30</v>
      </c>
      <c r="AV20" s="15" t="str">
        <f t="shared" si="2"/>
        <v/>
      </c>
      <c r="AY20">
        <f t="shared" si="3"/>
        <v>0</v>
      </c>
      <c r="AZ20">
        <f t="shared" si="4"/>
        <v>0</v>
      </c>
      <c r="BA20">
        <f t="shared" si="5"/>
        <v>0</v>
      </c>
      <c r="BB20" s="3">
        <f t="shared" si="6"/>
        <v>0.95333333333333337</v>
      </c>
      <c r="BC20">
        <f t="shared" si="7"/>
        <v>0</v>
      </c>
      <c r="BD20">
        <f>VLOOKUP($E20,Constants!$I:$K, 2, FALSE)</f>
        <v>0</v>
      </c>
      <c r="BE20">
        <f>VLOOKUP($E20,Constants!$I:$K, 3, FALSE)*IF(AND(D20="multiple_unit",Y20&lt;110),0.75,1)</f>
        <v>0</v>
      </c>
      <c r="BF20">
        <f>INT(POWER(((Constants!$G$2+$AY20+$AZ20+$BA20+$BC20)*$BB20)*$BE20, 1.05))+$AX20</f>
        <v>0</v>
      </c>
      <c r="BG20">
        <f>INT(POWER((((Constants!$G$1+$AY20+$AZ20+$BA20+$BC20)*($BB20))*$BD20),IF($D20="wagon",1,1.2)))+$AW20</f>
        <v>0</v>
      </c>
      <c r="BH20" s="14">
        <f t="shared" si="8"/>
        <v>0</v>
      </c>
      <c r="BI20" s="14">
        <f t="shared" si="9"/>
        <v>0</v>
      </c>
      <c r="BT20" t="str">
        <f>VLOOKUP(G20,Eras!$A$2:$C$10, 2, TRUE)</f>
        <v>big4</v>
      </c>
      <c r="BV20" t="str">
        <f t="shared" si="10"/>
        <v>big4_</v>
      </c>
      <c r="BW20" t="str">
        <f t="shared" si="11"/>
        <v>tender_RAIL</v>
      </c>
      <c r="BX20" t="str">
        <f>VLOOKUP($BW20, Constants!$M:$N, 2, FALSE)</f>
        <v/>
      </c>
      <c r="BY20" t="str">
        <f t="shared" si="12"/>
        <v/>
      </c>
      <c r="CA20" t="str">
        <f t="shared" si="13"/>
        <v/>
      </c>
      <c r="CB20" t="str">
        <f t="shared" si="14"/>
        <v>{SILVER}</v>
      </c>
    </row>
    <row r="21" spans="1:80" ht="13.5" customHeight="1" x14ac:dyDescent="0.3">
      <c r="A21" t="s">
        <v>468</v>
      </c>
      <c r="B21" t="s">
        <v>469</v>
      </c>
      <c r="C21">
        <v>-1</v>
      </c>
      <c r="D21" t="s">
        <v>291</v>
      </c>
      <c r="E21" t="s">
        <v>291</v>
      </c>
      <c r="F21" t="s">
        <v>275</v>
      </c>
      <c r="G21">
        <v>1941</v>
      </c>
      <c r="T21">
        <v>52</v>
      </c>
      <c r="X21" s="3" t="str">
        <f t="shared" si="0"/>
        <v/>
      </c>
      <c r="AC21">
        <v>7.64</v>
      </c>
      <c r="AD21">
        <v>8</v>
      </c>
      <c r="AG21" s="10">
        <v>0</v>
      </c>
      <c r="AH21" t="str">
        <f>CONCATENATE(VLOOKUP(AI21, 'Voxel Sizes'!$A$2:$B$18,2,FALSE),"x",INT(AE21*15), "x", INT(AF21*15))</f>
        <v>82x0x0</v>
      </c>
      <c r="AI21">
        <f t="shared" si="1"/>
        <v>5</v>
      </c>
      <c r="AK21" t="str">
        <f>CONCATENATE(VLOOKUP(AI21,Constants!$A$2:$C$16,IF(AJ21&lt;&gt;"", 3, 2), FALSE),IF(AJ21&lt;&gt;"",CONCATENATE(",",VLOOKUP(AJ21,$B:$AK,36,FALSE)),""))</f>
        <v>2,1,2</v>
      </c>
      <c r="AU21">
        <v>30</v>
      </c>
      <c r="AV21" s="15" t="str">
        <f t="shared" si="2"/>
        <v/>
      </c>
      <c r="AY21">
        <f t="shared" si="3"/>
        <v>0</v>
      </c>
      <c r="AZ21">
        <f t="shared" si="4"/>
        <v>0</v>
      </c>
      <c r="BA21">
        <f t="shared" si="5"/>
        <v>0</v>
      </c>
      <c r="BB21" s="3">
        <f t="shared" si="6"/>
        <v>0.94533333333333336</v>
      </c>
      <c r="BC21">
        <f t="shared" si="7"/>
        <v>0</v>
      </c>
      <c r="BD21">
        <f>VLOOKUP($E21,Constants!$I:$K, 2, FALSE)</f>
        <v>0</v>
      </c>
      <c r="BE21">
        <f>VLOOKUP($E21,Constants!$I:$K, 3, FALSE)*IF(AND(D21="multiple_unit",Y21&lt;110),0.75,1)</f>
        <v>0</v>
      </c>
      <c r="BF21">
        <f>INT(POWER(((Constants!$G$2+$AY21+$AZ21+$BA21+$BC21)*$BB21)*$BE21, 1.05))+$AX21</f>
        <v>0</v>
      </c>
      <c r="BG21">
        <f>INT(POWER((((Constants!$G$1+$AY21+$AZ21+$BA21+$BC21)*($BB21))*$BD21),IF($D21="wagon",1,1.2)))+$AW21</f>
        <v>0</v>
      </c>
      <c r="BH21" s="14">
        <f t="shared" si="8"/>
        <v>0</v>
      </c>
      <c r="BI21" s="14">
        <f t="shared" si="9"/>
        <v>0</v>
      </c>
      <c r="BT21" t="str">
        <f>VLOOKUP(G21,Eras!$A$2:$C$10, 2, TRUE)</f>
        <v>big4</v>
      </c>
      <c r="BV21" t="str">
        <f t="shared" si="10"/>
        <v>big4_</v>
      </c>
      <c r="BW21" t="str">
        <f t="shared" si="11"/>
        <v>tender_RAIL</v>
      </c>
      <c r="BX21" t="str">
        <f>VLOOKUP($BW21, Constants!$M:$N, 2, FALSE)</f>
        <v/>
      </c>
      <c r="BY21" t="str">
        <f t="shared" si="12"/>
        <v/>
      </c>
      <c r="CA21" t="str">
        <f t="shared" si="13"/>
        <v/>
      </c>
      <c r="CB21" t="str">
        <f t="shared" si="14"/>
        <v>{SILVER}</v>
      </c>
    </row>
    <row r="22" spans="1:80" x14ac:dyDescent="0.3">
      <c r="A22" t="s">
        <v>476</v>
      </c>
      <c r="B22" t="s">
        <v>475</v>
      </c>
      <c r="C22">
        <v>-1</v>
      </c>
      <c r="D22" t="s">
        <v>291</v>
      </c>
      <c r="E22" t="s">
        <v>291</v>
      </c>
      <c r="F22" t="s">
        <v>275</v>
      </c>
      <c r="G22">
        <v>1942</v>
      </c>
      <c r="T22">
        <v>52</v>
      </c>
      <c r="X22" s="3" t="str">
        <f t="shared" si="0"/>
        <v/>
      </c>
      <c r="AC22">
        <v>6</v>
      </c>
      <c r="AD22">
        <v>6</v>
      </c>
      <c r="AG22" s="10">
        <v>0</v>
      </c>
      <c r="AH22" t="str">
        <f>CONCATENATE(VLOOKUP(AI22, 'Voxel Sizes'!$A$2:$B$18,2,FALSE),"x",INT(AE22*15), "x", INT(AF22*15))</f>
        <v>60x0x0</v>
      </c>
      <c r="AI22">
        <f t="shared" si="1"/>
        <v>4</v>
      </c>
      <c r="AK22" t="str">
        <f>CONCATENATE(VLOOKUP(AI22,Constants!$A$2:$C$16,IF(AJ22&lt;&gt;"", 3, 2), FALSE),IF(AJ22&lt;&gt;"",CONCATENATE(",",VLOOKUP(AJ22,$B:$AK,36,FALSE)),""))</f>
        <v>1,2,1</v>
      </c>
      <c r="AU22">
        <v>30</v>
      </c>
      <c r="AV22" s="15" t="str">
        <f t="shared" si="2"/>
        <v/>
      </c>
      <c r="AY22">
        <f t="shared" si="3"/>
        <v>0</v>
      </c>
      <c r="AZ22">
        <f t="shared" si="4"/>
        <v>0</v>
      </c>
      <c r="BA22">
        <f t="shared" si="5"/>
        <v>0</v>
      </c>
      <c r="BB22" s="3">
        <f t="shared" si="6"/>
        <v>0.94399999999999995</v>
      </c>
      <c r="BC22">
        <f t="shared" si="7"/>
        <v>0</v>
      </c>
      <c r="BD22">
        <f>VLOOKUP($E22,Constants!$I:$K, 2, FALSE)</f>
        <v>0</v>
      </c>
      <c r="BE22">
        <f>VLOOKUP($E22,Constants!$I:$K, 3, FALSE)*IF(AND(D22="multiple_unit",Y22&lt;110),0.75,1)</f>
        <v>0</v>
      </c>
      <c r="BF22">
        <f>INT(POWER(((Constants!$G$2+$AY22+$AZ22+$BA22+$BC22)*$BB22)*$BE22, 1.05))+$AX22</f>
        <v>0</v>
      </c>
      <c r="BG22">
        <f>INT(POWER((((Constants!$G$1+$AY22+$AZ22+$BA22+$BC22)*($BB22))*$BD22),IF($D22="wagon",1,1.2)))+$AW22</f>
        <v>0</v>
      </c>
      <c r="BH22" s="14">
        <f t="shared" si="8"/>
        <v>0</v>
      </c>
      <c r="BI22" s="14">
        <f t="shared" si="9"/>
        <v>0</v>
      </c>
      <c r="BT22" t="str">
        <f>VLOOKUP(G22,Eras!$A$2:$C$10, 2, TRUE)</f>
        <v>big4</v>
      </c>
      <c r="BV22" t="str">
        <f t="shared" si="10"/>
        <v>big4_</v>
      </c>
      <c r="BW22" t="str">
        <f t="shared" si="11"/>
        <v>tender_RAIL</v>
      </c>
      <c r="BX22" t="str">
        <f>VLOOKUP($BW22, Constants!$M:$N, 2, FALSE)</f>
        <v/>
      </c>
      <c r="BY22" t="str">
        <f t="shared" si="12"/>
        <v/>
      </c>
      <c r="CA22" t="str">
        <f t="shared" si="13"/>
        <v/>
      </c>
      <c r="CB22" t="str">
        <f t="shared" si="14"/>
        <v>{SILVER}</v>
      </c>
    </row>
    <row r="23" spans="1:80" x14ac:dyDescent="0.3">
      <c r="A23" t="s">
        <v>481</v>
      </c>
      <c r="B23" t="s">
        <v>482</v>
      </c>
      <c r="C23">
        <v>-1</v>
      </c>
      <c r="D23" t="s">
        <v>291</v>
      </c>
      <c r="E23" t="s">
        <v>291</v>
      </c>
      <c r="F23" t="s">
        <v>275</v>
      </c>
      <c r="G23">
        <v>1943</v>
      </c>
      <c r="T23">
        <v>52</v>
      </c>
      <c r="X23" s="3" t="str">
        <f t="shared" si="0"/>
        <v/>
      </c>
      <c r="AC23">
        <v>6</v>
      </c>
      <c r="AD23">
        <v>6</v>
      </c>
      <c r="AG23" s="10">
        <v>0</v>
      </c>
      <c r="AH23" t="str">
        <f>CONCATENATE(VLOOKUP(AI23, 'Voxel Sizes'!$A$2:$B$18,2,FALSE),"x",INT(AE23*15), "x", INT(AF23*15))</f>
        <v>60x0x0</v>
      </c>
      <c r="AI23">
        <f t="shared" si="1"/>
        <v>4</v>
      </c>
      <c r="AK23" t="str">
        <f>CONCATENATE(VLOOKUP(AI23,Constants!$A$2:$C$16,IF(AJ23&lt;&gt;"", 3, 2), FALSE),IF(AJ23&lt;&gt;"",CONCATENATE(",",VLOOKUP(AJ23,$B:$AK,36,FALSE)),""))</f>
        <v>1,2,1</v>
      </c>
      <c r="AU23">
        <v>30</v>
      </c>
      <c r="AV23" s="15" t="str">
        <f t="shared" si="2"/>
        <v/>
      </c>
      <c r="AY23">
        <f t="shared" si="3"/>
        <v>0</v>
      </c>
      <c r="AZ23">
        <f t="shared" si="4"/>
        <v>0</v>
      </c>
      <c r="BA23">
        <f t="shared" si="5"/>
        <v>0</v>
      </c>
      <c r="BB23" s="3">
        <f t="shared" si="6"/>
        <v>0.94266666666666665</v>
      </c>
      <c r="BC23">
        <f t="shared" si="7"/>
        <v>0</v>
      </c>
      <c r="BD23">
        <f>VLOOKUP($E23,Constants!$I:$K, 2, FALSE)</f>
        <v>0</v>
      </c>
      <c r="BE23">
        <f>VLOOKUP($E23,Constants!$I:$K, 3, FALSE)*IF(AND(D23="multiple_unit",Y23&lt;110),0.75,1)</f>
        <v>0</v>
      </c>
      <c r="BF23">
        <f>INT(POWER(((Constants!$G$2+$AY23+$AZ23+$BA23+$BC23)*$BB23)*$BE23, 1.05))+$AX23</f>
        <v>0</v>
      </c>
      <c r="BG23">
        <f>INT(POWER((((Constants!$G$1+$AY23+$AZ23+$BA23+$BC23)*($BB23))*$BD23),IF($D23="wagon",1,1.2)))+$AW23</f>
        <v>0</v>
      </c>
      <c r="BH23" s="14">
        <f t="shared" si="8"/>
        <v>0</v>
      </c>
      <c r="BI23" s="14">
        <f t="shared" si="9"/>
        <v>0</v>
      </c>
      <c r="BT23" t="str">
        <f>VLOOKUP(G23,Eras!$A$2:$C$10, 2, TRUE)</f>
        <v>big4</v>
      </c>
      <c r="BV23" t="str">
        <f t="shared" si="10"/>
        <v>big4_</v>
      </c>
      <c r="BW23" t="str">
        <f t="shared" si="11"/>
        <v>tender_RAIL</v>
      </c>
      <c r="BX23" t="str">
        <f>VLOOKUP($BW23, Constants!$M:$N, 2, FALSE)</f>
        <v/>
      </c>
      <c r="BY23" t="str">
        <f t="shared" si="12"/>
        <v/>
      </c>
      <c r="CA23" t="str">
        <f t="shared" si="13"/>
        <v/>
      </c>
      <c r="CB23" t="str">
        <f t="shared" si="14"/>
        <v>{SILVER}</v>
      </c>
    </row>
    <row r="24" spans="1:80" x14ac:dyDescent="0.3">
      <c r="A24" t="s">
        <v>496</v>
      </c>
      <c r="B24" t="s">
        <v>495</v>
      </c>
      <c r="C24">
        <v>-1</v>
      </c>
      <c r="D24" t="s">
        <v>291</v>
      </c>
      <c r="E24" t="s">
        <v>291</v>
      </c>
      <c r="F24" t="s">
        <v>275</v>
      </c>
      <c r="G24">
        <v>1946</v>
      </c>
      <c r="T24">
        <v>52</v>
      </c>
      <c r="X24" s="3" t="str">
        <f t="shared" si="0"/>
        <v/>
      </c>
      <c r="AC24">
        <v>6</v>
      </c>
      <c r="AD24">
        <v>6</v>
      </c>
      <c r="AG24" s="10">
        <v>0</v>
      </c>
      <c r="AH24" t="str">
        <f>CONCATENATE(VLOOKUP(AI24, 'Voxel Sizes'!$A$2:$B$18,2,FALSE),"x",INT(AE24*15), "x", INT(AF24*15))</f>
        <v>60x0x0</v>
      </c>
      <c r="AI24">
        <f t="shared" si="1"/>
        <v>4</v>
      </c>
      <c r="AK24" t="str">
        <f>CONCATENATE(VLOOKUP(AI24,Constants!$A$2:$C$16,IF(AJ24&lt;&gt;"", 3, 2), FALSE),IF(AJ24&lt;&gt;"",CONCATENATE(",",VLOOKUP(AJ24,$B:$AK,36,FALSE)),""))</f>
        <v>1,2,1</v>
      </c>
      <c r="AU24">
        <v>30</v>
      </c>
      <c r="AV24" s="15" t="str">
        <f t="shared" si="2"/>
        <v/>
      </c>
      <c r="AY24">
        <f t="shared" si="3"/>
        <v>0</v>
      </c>
      <c r="AZ24">
        <f t="shared" si="4"/>
        <v>0</v>
      </c>
      <c r="BA24">
        <f t="shared" si="5"/>
        <v>0</v>
      </c>
      <c r="BB24" s="3">
        <f t="shared" si="6"/>
        <v>0.93866666666666665</v>
      </c>
      <c r="BC24">
        <f t="shared" si="7"/>
        <v>0</v>
      </c>
      <c r="BD24">
        <f>VLOOKUP($E24,Constants!$I:$K, 2, FALSE)</f>
        <v>0</v>
      </c>
      <c r="BE24">
        <f>VLOOKUP($E24,Constants!$I:$K, 3, FALSE)*IF(AND(D24="multiple_unit",Y24&lt;110),0.75,1)</f>
        <v>0</v>
      </c>
      <c r="BF24">
        <f>INT(POWER(((Constants!$G$2+$AY24+$AZ24+$BA24+$BC24)*$BB24)*$BE24, 1.05))+$AX24</f>
        <v>0</v>
      </c>
      <c r="BG24">
        <f>INT(POWER((((Constants!$G$1+$AY24+$AZ24+$BA24+$BC24)*($BB24))*$BD24),IF($D24="wagon",1,1.2)))+$AW24</f>
        <v>0</v>
      </c>
      <c r="BH24" s="14">
        <f t="shared" si="8"/>
        <v>0</v>
      </c>
      <c r="BI24" s="14">
        <f t="shared" si="9"/>
        <v>0</v>
      </c>
      <c r="BT24" t="str">
        <f>VLOOKUP(G24,Eras!$A$2:$C$10, 2, TRUE)</f>
        <v>big4</v>
      </c>
      <c r="BV24" t="str">
        <f t="shared" si="10"/>
        <v>big4_</v>
      </c>
      <c r="BW24" t="str">
        <f t="shared" si="11"/>
        <v>tender_RAIL</v>
      </c>
      <c r="BX24" t="str">
        <f>VLOOKUP($BW24, Constants!$M:$N, 2, FALSE)</f>
        <v/>
      </c>
      <c r="BY24" t="str">
        <f t="shared" si="12"/>
        <v/>
      </c>
      <c r="CA24" t="str">
        <f t="shared" si="13"/>
        <v/>
      </c>
      <c r="CB24" t="str">
        <f t="shared" si="14"/>
        <v>{SILVER}</v>
      </c>
    </row>
    <row r="25" spans="1:80" x14ac:dyDescent="0.3">
      <c r="A25" t="s">
        <v>635</v>
      </c>
      <c r="B25" t="s">
        <v>636</v>
      </c>
      <c r="C25">
        <v>-1</v>
      </c>
      <c r="D25" t="s">
        <v>291</v>
      </c>
      <c r="E25" t="s">
        <v>291</v>
      </c>
      <c r="F25" t="s">
        <v>275</v>
      </c>
      <c r="G25">
        <v>1958</v>
      </c>
      <c r="T25">
        <v>52</v>
      </c>
      <c r="X25" s="3" t="str">
        <f t="shared" si="0"/>
        <v/>
      </c>
      <c r="AC25">
        <v>6</v>
      </c>
      <c r="AD25">
        <v>8</v>
      </c>
      <c r="AG25" s="10">
        <v>0</v>
      </c>
      <c r="AH25" t="str">
        <f>CONCATENATE(VLOOKUP(AI25, 'Voxel Sizes'!$A$2:$B$18,2,FALSE),"x",INT(AE25*15), "x", INT(AF25*15))</f>
        <v>82x0x0</v>
      </c>
      <c r="AI25">
        <f t="shared" si="1"/>
        <v>5</v>
      </c>
      <c r="AK25" t="str">
        <f>CONCATENATE(VLOOKUP(AI25,Constants!$A$2:$C$16,IF(AJ25&lt;&gt;"", 3, 2), FALSE),IF(AJ25&lt;&gt;"",CONCATENATE(",",VLOOKUP(AJ25,$B:$AK,36,FALSE)),""))</f>
        <v>2,1,2</v>
      </c>
      <c r="AU25">
        <v>30</v>
      </c>
      <c r="AV25" s="15" t="str">
        <f t="shared" si="2"/>
        <v/>
      </c>
      <c r="AY25">
        <f t="shared" si="3"/>
        <v>0</v>
      </c>
      <c r="AZ25">
        <f t="shared" si="4"/>
        <v>0</v>
      </c>
      <c r="BA25">
        <f t="shared" si="5"/>
        <v>0</v>
      </c>
      <c r="BB25" s="3">
        <f t="shared" si="6"/>
        <v>0.92266666666666663</v>
      </c>
      <c r="BC25">
        <f t="shared" si="7"/>
        <v>0</v>
      </c>
      <c r="BD25">
        <f>VLOOKUP($E25,Constants!$I:$K, 2, FALSE)</f>
        <v>0</v>
      </c>
      <c r="BE25">
        <f>VLOOKUP($E25,Constants!$I:$K, 3, FALSE)*IF(AND(D25="multiple_unit",Y25&lt;110),0.75,1)</f>
        <v>0</v>
      </c>
      <c r="BF25">
        <f>INT(POWER(((Constants!$G$2+$AY25+$AZ25+$BA25+$BC25)*$BB25)*$BE25, 1.05))+$AX25</f>
        <v>0</v>
      </c>
      <c r="BG25">
        <f>INT(POWER((((Constants!$G$1+$AY25+$AZ25+$BA25+$BC25)*($BB25))*$BD25),IF($D25="wagon",1,1.2)))+$AW25</f>
        <v>0</v>
      </c>
      <c r="BH25" s="14">
        <f t="shared" si="8"/>
        <v>0</v>
      </c>
      <c r="BI25" s="14">
        <f t="shared" si="9"/>
        <v>0</v>
      </c>
      <c r="BT25" t="str">
        <f>VLOOKUP(G25,Eras!$A$2:$C$10, 2, TRUE)</f>
        <v>dsl</v>
      </c>
      <c r="BV25" t="str">
        <f t="shared" si="10"/>
        <v>dsl_</v>
      </c>
      <c r="BW25" t="str">
        <f t="shared" si="11"/>
        <v>tender_RAIL</v>
      </c>
      <c r="BX25" t="str">
        <f>VLOOKUP($BW25, Constants!$M:$N, 2, FALSE)</f>
        <v/>
      </c>
      <c r="BY25" t="str">
        <f t="shared" si="12"/>
        <v/>
      </c>
      <c r="CA25" t="str">
        <f t="shared" si="13"/>
        <v/>
      </c>
      <c r="CB25" t="str">
        <f t="shared" si="14"/>
        <v>{SILVER}</v>
      </c>
    </row>
    <row r="26" spans="1:80" x14ac:dyDescent="0.3">
      <c r="A26" t="s">
        <v>1375</v>
      </c>
      <c r="B26" t="s">
        <v>1376</v>
      </c>
      <c r="C26">
        <v>4</v>
      </c>
      <c r="D26" t="s">
        <v>281</v>
      </c>
      <c r="E26" t="s">
        <v>1106</v>
      </c>
      <c r="F26" t="s">
        <v>1381</v>
      </c>
      <c r="G26">
        <v>1700</v>
      </c>
      <c r="I26">
        <v>1870</v>
      </c>
      <c r="T26">
        <v>8</v>
      </c>
      <c r="V26">
        <v>3</v>
      </c>
      <c r="X26" s="3" t="str">
        <f t="shared" si="0"/>
        <v/>
      </c>
      <c r="Y26">
        <v>45</v>
      </c>
      <c r="Z26">
        <f>ROUND(Y26*1.6, 0)</f>
        <v>72</v>
      </c>
      <c r="AC26">
        <v>8</v>
      </c>
      <c r="AD26">
        <v>8</v>
      </c>
      <c r="AG26" s="10">
        <v>18</v>
      </c>
      <c r="AH26" t="str">
        <f>CONCATENATE(VLOOKUP(AI26, 'Voxel Sizes'!$A$2:$B$18,2,FALSE),"x",INT(AE26*15), "x", INT(AF26*15))</f>
        <v>82x0x0</v>
      </c>
      <c r="AI26">
        <f t="shared" si="1"/>
        <v>5</v>
      </c>
      <c r="AK26" t="str">
        <f>CONCATENATE(VLOOKUP(AI26,Constants!$A$2:$C$16,IF(AJ26&lt;&gt;"", 3, 2), FALSE),IF(AJ26&lt;&gt;"",CONCATENATE(",",VLOOKUP(AJ26,$B:$AK,36,FALSE)),""))</f>
        <v>2,1,2</v>
      </c>
      <c r="AU26">
        <v>30</v>
      </c>
      <c r="AV26" s="15">
        <f t="shared" si="2"/>
        <v>178</v>
      </c>
      <c r="AW26">
        <v>10</v>
      </c>
      <c r="AX26">
        <v>10</v>
      </c>
      <c r="AY26">
        <f t="shared" si="3"/>
        <v>9</v>
      </c>
      <c r="AZ26">
        <f t="shared" si="4"/>
        <v>0</v>
      </c>
      <c r="BA26">
        <f t="shared" si="5"/>
        <v>0</v>
      </c>
      <c r="BB26" s="3">
        <f t="shared" si="6"/>
        <v>1</v>
      </c>
      <c r="BC26">
        <f t="shared" si="7"/>
        <v>3</v>
      </c>
      <c r="BD26">
        <f>VLOOKUP($E26,Constants!$I:$K, 2, FALSE)</f>
        <v>1.2</v>
      </c>
      <c r="BE26">
        <f>VLOOKUP($E26,Constants!$I:$K, 3, FALSE)*IF(AND(D26="multiple_unit",Y26&lt;110),0.75,1)</f>
        <v>0.6</v>
      </c>
      <c r="BF26">
        <f>INT(POWER(((Constants!$G$2+$AY26+$AZ26+$BA26+$BC26)*$BB26)*$BE26, 1.05))+$AX26</f>
        <v>21</v>
      </c>
      <c r="BG26">
        <f>INT(POWER((((Constants!$G$1+$AY26+$AZ26+$BA26+$BC26)*($BB26))*$BD26),IF($D26="wagon",1,1.2)))+$AW26</f>
        <v>42</v>
      </c>
      <c r="BH26" s="14">
        <f t="shared" si="8"/>
        <v>1312.5</v>
      </c>
      <c r="BI26" s="14">
        <f t="shared" si="9"/>
        <v>114.66</v>
      </c>
      <c r="BP26">
        <v>10</v>
      </c>
      <c r="BQ26">
        <v>185</v>
      </c>
      <c r="BR26" t="s">
        <v>874</v>
      </c>
      <c r="BS26" t="s">
        <v>283</v>
      </c>
      <c r="BT26" t="str">
        <f>VLOOKUP(G26,Eras!$A$2:$C$10, 2, TRUE)</f>
        <v>early</v>
      </c>
      <c r="BU26" t="s">
        <v>335</v>
      </c>
      <c r="BV26" t="str">
        <f t="shared" si="10"/>
        <v>early_Carriage</v>
      </c>
      <c r="BW26" t="str">
        <f t="shared" si="11"/>
        <v>carriage_PLATEWAY</v>
      </c>
      <c r="BX26" t="str">
        <f>VLOOKUP($BW26, Constants!$M:$N, 2, FALSE)</f>
        <v/>
      </c>
      <c r="BY26" t="str">
        <f t="shared" si="12"/>
        <v/>
      </c>
      <c r="BZ26" t="s">
        <v>1377</v>
      </c>
      <c r="CA26" t="str">
        <f t="shared" si="13"/>
        <v/>
      </c>
      <c r="CB26" t="str">
        <f t="shared" si="14"/>
        <v>{SILVER}The first enclosed passenger carriages were adapted from stagecoach bodies, with wooden frames.</v>
      </c>
    </row>
    <row r="27" spans="1:80" x14ac:dyDescent="0.3">
      <c r="A27" t="s">
        <v>108</v>
      </c>
      <c r="B27" t="s">
        <v>254</v>
      </c>
      <c r="C27">
        <v>6</v>
      </c>
      <c r="D27" t="s">
        <v>281</v>
      </c>
      <c r="E27" t="s">
        <v>1106</v>
      </c>
      <c r="F27" t="s">
        <v>275</v>
      </c>
      <c r="G27">
        <v>1855</v>
      </c>
      <c r="I27">
        <v>1900</v>
      </c>
      <c r="T27">
        <v>18</v>
      </c>
      <c r="V27">
        <v>4</v>
      </c>
      <c r="X27" s="3" t="str">
        <f t="shared" si="0"/>
        <v/>
      </c>
      <c r="Y27">
        <v>65</v>
      </c>
      <c r="Z27">
        <f t="shared" ref="Z27:Z90" si="15">ROUND(Y27*1.6, 0)</f>
        <v>104</v>
      </c>
      <c r="AC27">
        <v>10</v>
      </c>
      <c r="AD27">
        <v>10</v>
      </c>
      <c r="AG27" s="10">
        <v>24</v>
      </c>
      <c r="AH27" t="str">
        <f>CONCATENATE(VLOOKUP(AI27, 'Voxel Sizes'!$A$2:$B$18,2,FALSE),"x",INT(AE27*15), "x", INT(AF27*15))</f>
        <v>102x0x0</v>
      </c>
      <c r="AI27">
        <f t="shared" si="1"/>
        <v>6</v>
      </c>
      <c r="AK27" t="str">
        <f>CONCATENATE(VLOOKUP(AI27,Constants!$A$2:$C$16,IF(AJ27&lt;&gt;"", 3, 2), FALSE),IF(AJ27&lt;&gt;"",CONCATENATE(",",VLOOKUP(AJ27,$B:$AK,36,FALSE)),""))</f>
        <v>2,2,2</v>
      </c>
      <c r="AU27">
        <v>30</v>
      </c>
      <c r="AV27" s="15">
        <f t="shared" si="2"/>
        <v>53</v>
      </c>
      <c r="AW27">
        <v>35</v>
      </c>
      <c r="AX27">
        <v>42</v>
      </c>
      <c r="AY27">
        <f t="shared" si="3"/>
        <v>13</v>
      </c>
      <c r="AZ27">
        <f t="shared" si="4"/>
        <v>0</v>
      </c>
      <c r="BA27">
        <f t="shared" si="5"/>
        <v>0</v>
      </c>
      <c r="BB27" s="3">
        <f t="shared" si="6"/>
        <v>1</v>
      </c>
      <c r="BC27">
        <f t="shared" si="7"/>
        <v>4</v>
      </c>
      <c r="BD27">
        <f>VLOOKUP($E27,Constants!$I:$K, 2, FALSE)</f>
        <v>1.2</v>
      </c>
      <c r="BE27">
        <f>VLOOKUP($E27,Constants!$I:$K, 3, FALSE)*IF(AND(D27="multiple_unit",Y27&lt;110),0.75,1)</f>
        <v>0.6</v>
      </c>
      <c r="BF27">
        <f>INT(POWER(((Constants!$G$2+$AY27+$AZ27+$BA27+$BC27)*$BB27)*$BE27, 1.05))+$AX27</f>
        <v>57</v>
      </c>
      <c r="BG27">
        <f>INT(POWER((((Constants!$G$1+$AY27+$AZ27+$BA27+$BC27)*($BB27))*$BD27),IF($D27="wagon",1,1.2)))+$AW27</f>
        <v>73</v>
      </c>
      <c r="BH27" s="14">
        <f t="shared" si="8"/>
        <v>3562.5</v>
      </c>
      <c r="BI27" s="14">
        <f t="shared" si="9"/>
        <v>199.29</v>
      </c>
      <c r="BP27">
        <v>10</v>
      </c>
      <c r="BQ27">
        <v>185</v>
      </c>
      <c r="BR27" t="s">
        <v>874</v>
      </c>
      <c r="BS27" t="s">
        <v>283</v>
      </c>
      <c r="BT27" t="str">
        <f>VLOOKUP(G27,Eras!$A$2:$C$10, 2, TRUE)</f>
        <v>vct</v>
      </c>
      <c r="BU27" t="s">
        <v>335</v>
      </c>
      <c r="BV27" t="str">
        <f t="shared" si="10"/>
        <v>vct_Carriage</v>
      </c>
      <c r="BW27" t="str">
        <f t="shared" si="11"/>
        <v>carriage_RAIL</v>
      </c>
      <c r="BX27" t="str">
        <f>VLOOKUP($BW27, Constants!$M:$N, 2, FALSE)</f>
        <v/>
      </c>
      <c r="BY27" t="str">
        <f t="shared" si="12"/>
        <v/>
      </c>
      <c r="BZ27" t="s">
        <v>1328</v>
      </c>
      <c r="CA27" t="str">
        <f t="shared" si="13"/>
        <v/>
      </c>
      <c r="CB27" t="str">
        <f t="shared" si="14"/>
        <v>{SILVER}Railway carriages from the 1850s to 1870s tended to be built on wooden or wrought iron frames of around 20-24ft in length, with oil lighting internally.</v>
      </c>
    </row>
    <row r="28" spans="1:80" ht="14.25" customHeight="1" x14ac:dyDescent="0.3">
      <c r="A28" t="s">
        <v>109</v>
      </c>
      <c r="B28" t="s">
        <v>255</v>
      </c>
      <c r="C28">
        <v>8</v>
      </c>
      <c r="D28" t="s">
        <v>281</v>
      </c>
      <c r="E28" t="s">
        <v>1106</v>
      </c>
      <c r="F28" t="s">
        <v>275</v>
      </c>
      <c r="G28">
        <v>1875</v>
      </c>
      <c r="I28">
        <v>1915</v>
      </c>
      <c r="T28">
        <v>21</v>
      </c>
      <c r="V28">
        <v>4</v>
      </c>
      <c r="X28" s="3" t="str">
        <f t="shared" si="0"/>
        <v/>
      </c>
      <c r="Y28">
        <v>75</v>
      </c>
      <c r="Z28">
        <f t="shared" si="15"/>
        <v>120</v>
      </c>
      <c r="AC28">
        <v>12</v>
      </c>
      <c r="AD28">
        <v>12</v>
      </c>
      <c r="AG28" s="10">
        <v>30</v>
      </c>
      <c r="AH28" t="str">
        <f>CONCATENATE(VLOOKUP(AI28, 'Voxel Sizes'!$A$2:$B$18,2,FALSE),"x",INT(AE28*15), "x", INT(AF28*15))</f>
        <v>120x0x0</v>
      </c>
      <c r="AI28">
        <f t="shared" si="1"/>
        <v>7</v>
      </c>
      <c r="AK28" t="str">
        <f>CONCATENATE(VLOOKUP(AI28,Constants!$A$2:$C$16,IF(AJ28&lt;&gt;"", 3, 2), FALSE),IF(AJ28&lt;&gt;"",CONCATENATE(",",VLOOKUP(AJ28,$B:$AK,36,FALSE)),""))</f>
        <v>2,3,2</v>
      </c>
      <c r="AU28">
        <v>30</v>
      </c>
      <c r="AV28" s="15">
        <f t="shared" si="2"/>
        <v>48</v>
      </c>
      <c r="AW28">
        <v>58</v>
      </c>
      <c r="AX28">
        <v>48</v>
      </c>
      <c r="AY28">
        <f t="shared" si="3"/>
        <v>15</v>
      </c>
      <c r="AZ28">
        <f t="shared" si="4"/>
        <v>0</v>
      </c>
      <c r="BA28">
        <f t="shared" si="5"/>
        <v>0</v>
      </c>
      <c r="BB28" s="3">
        <f t="shared" si="6"/>
        <v>1</v>
      </c>
      <c r="BC28">
        <f t="shared" si="7"/>
        <v>5</v>
      </c>
      <c r="BD28">
        <f>VLOOKUP($E28,Constants!$I:$K, 2, FALSE)</f>
        <v>1.2</v>
      </c>
      <c r="BE28">
        <f>VLOOKUP($E28,Constants!$I:$K, 3, FALSE)*IF(AND(D28="multiple_unit",Y28&lt;110),0.75,1)</f>
        <v>0.6</v>
      </c>
      <c r="BF28">
        <f>INT(POWER(((Constants!$G$2+$AY28+$AZ28+$BA28+$BC28)*$BB28)*$BE28, 1.05))+$AX28</f>
        <v>65</v>
      </c>
      <c r="BG28">
        <f>INT(POWER((((Constants!$G$1+$AY28+$AZ28+$BA28+$BC28)*($BB28))*$BD28),IF($D28="wagon",1,1.2)))+$AW28</f>
        <v>100</v>
      </c>
      <c r="BH28" s="14">
        <f t="shared" si="8"/>
        <v>4062.5</v>
      </c>
      <c r="BI28" s="14">
        <f t="shared" si="9"/>
        <v>273</v>
      </c>
      <c r="BP28">
        <v>11</v>
      </c>
      <c r="BQ28">
        <v>185</v>
      </c>
      <c r="BR28" t="s">
        <v>874</v>
      </c>
      <c r="BS28" t="s">
        <v>283</v>
      </c>
      <c r="BT28" t="str">
        <f>VLOOKUP(G28,Eras!$A$2:$C$10, 2, TRUE)</f>
        <v>vct</v>
      </c>
      <c r="BU28" t="s">
        <v>335</v>
      </c>
      <c r="BV28" t="str">
        <f t="shared" si="10"/>
        <v>vct_Carriage</v>
      </c>
      <c r="BW28" t="str">
        <f t="shared" si="11"/>
        <v>carriage_RAIL</v>
      </c>
      <c r="BX28" t="str">
        <f>VLOOKUP($BW28, Constants!$M:$N, 2, FALSE)</f>
        <v/>
      </c>
      <c r="BY28" t="str">
        <f t="shared" si="12"/>
        <v/>
      </c>
      <c r="BZ28" t="s">
        <v>1405</v>
      </c>
      <c r="CA28" t="str">
        <f t="shared" si="13"/>
        <v/>
      </c>
      <c r="CB28" t="str">
        <f t="shared" si="14"/>
        <v>{SILVER}After early experiments for royal saloons, smoother and faster-running six wheel carriages with then-modern fixtures such as gas lighting became common from the 1870s, displacing older four wheeled stock to smaller suburban lines.</v>
      </c>
    </row>
    <row r="29" spans="1:80" x14ac:dyDescent="0.3">
      <c r="A29" t="s">
        <v>1455</v>
      </c>
      <c r="B29" t="s">
        <v>1456</v>
      </c>
      <c r="C29">
        <v>9</v>
      </c>
      <c r="D29" t="s">
        <v>281</v>
      </c>
      <c r="E29" t="s">
        <v>1106</v>
      </c>
      <c r="F29" t="s">
        <v>1411</v>
      </c>
      <c r="G29">
        <v>1889</v>
      </c>
      <c r="I29">
        <v>1924</v>
      </c>
      <c r="T29">
        <v>15</v>
      </c>
      <c r="V29">
        <v>7</v>
      </c>
      <c r="X29" s="3" t="str">
        <f t="shared" si="0"/>
        <v/>
      </c>
      <c r="Y29">
        <v>30</v>
      </c>
      <c r="Z29">
        <f t="shared" si="15"/>
        <v>48</v>
      </c>
      <c r="AC29">
        <v>14</v>
      </c>
      <c r="AD29">
        <v>14</v>
      </c>
      <c r="AG29" s="10">
        <v>66</v>
      </c>
      <c r="AH29" t="str">
        <f>CONCATENATE(VLOOKUP(AI29, 'Voxel Sizes'!$A$2:$B$18,2,FALSE),"x",INT(AE29*15), "x", INT(AF29*15))</f>
        <v>136x0x0</v>
      </c>
      <c r="AI29">
        <f t="shared" si="1"/>
        <v>8</v>
      </c>
      <c r="AK29" t="str">
        <f>CONCATENATE(VLOOKUP(AI29,Constants!$A$2:$C$16,IF(AJ29&lt;&gt;"", 3, 2), FALSE),IF(AJ29&lt;&gt;"",CONCATENATE(",",VLOOKUP(AJ29,$B:$AK,36,FALSE)),""))</f>
        <v>2,4,2</v>
      </c>
      <c r="AU29">
        <v>30</v>
      </c>
      <c r="AV29" s="15">
        <f t="shared" si="2"/>
        <v>43</v>
      </c>
      <c r="AW29">
        <v>41</v>
      </c>
      <c r="AX29">
        <v>20</v>
      </c>
      <c r="AY29">
        <f t="shared" si="3"/>
        <v>6</v>
      </c>
      <c r="AZ29">
        <f t="shared" si="4"/>
        <v>0</v>
      </c>
      <c r="BA29">
        <f t="shared" si="5"/>
        <v>0</v>
      </c>
      <c r="BB29" s="3">
        <f t="shared" si="6"/>
        <v>1</v>
      </c>
      <c r="BC29">
        <f t="shared" si="7"/>
        <v>11</v>
      </c>
      <c r="BD29">
        <f>VLOOKUP($E29,Constants!$I:$K, 2, FALSE)</f>
        <v>1.2</v>
      </c>
      <c r="BE29">
        <f>VLOOKUP($E29,Constants!$I:$K, 3, FALSE)*IF(AND(D29="multiple_unit",Y29&lt;110),0.75,1)</f>
        <v>0.6</v>
      </c>
      <c r="BF29">
        <f>INT(POWER(((Constants!$G$2+$AY29+$AZ29+$BA29+$BC29)*$BB29)*$BE29, 1.05))+$AX29</f>
        <v>35</v>
      </c>
      <c r="BG29">
        <f>INT(POWER((((Constants!$G$1+$AY29+$AZ29+$BA29+$BC29)*($BB29))*$BD29),IF($D29="wagon",1,1.2)))+$AW29</f>
        <v>79</v>
      </c>
      <c r="BH29" s="14">
        <f t="shared" si="8"/>
        <v>2187.5</v>
      </c>
      <c r="BI29" s="14">
        <f t="shared" si="9"/>
        <v>215.67</v>
      </c>
      <c r="BP29">
        <v>1</v>
      </c>
      <c r="BQ29">
        <v>120</v>
      </c>
      <c r="BR29" t="s">
        <v>874</v>
      </c>
      <c r="BS29" t="s">
        <v>283</v>
      </c>
      <c r="BT29" t="str">
        <f>VLOOKUP(G29,Eras!$A$2:$C$10, 2, TRUE)</f>
        <v>vct</v>
      </c>
      <c r="BU29" t="s">
        <v>335</v>
      </c>
      <c r="BV29" t="str">
        <f t="shared" si="10"/>
        <v>vct_Carriage</v>
      </c>
      <c r="BW29" t="str">
        <f t="shared" si="11"/>
        <v>carriage_FOURTH_RAIL</v>
      </c>
      <c r="BX29" t="str">
        <f>VLOOKUP($BW29, Constants!$M:$N, 2, FALSE)</f>
        <v/>
      </c>
      <c r="BY29" t="str">
        <f t="shared" si="12"/>
        <v/>
      </c>
      <c r="BZ29" t="s">
        <v>1457</v>
      </c>
      <c r="CA29" t="str">
        <f t="shared" si="13"/>
        <v>{YELLOW}35% Penalty for long distance travel{}</v>
      </c>
      <c r="CB29" t="str">
        <f t="shared" si="14"/>
        <v>{YELLOW}35% Penalty for long distance travel{}{SILVER}Early Tube carriages were nicknamed "Padded Cell" due to their tall cushion-backed seats and small windows.</v>
      </c>
    </row>
    <row r="30" spans="1:80" x14ac:dyDescent="0.3">
      <c r="A30" t="s">
        <v>110</v>
      </c>
      <c r="B30" t="s">
        <v>203</v>
      </c>
      <c r="C30">
        <v>10</v>
      </c>
      <c r="D30" t="s">
        <v>281</v>
      </c>
      <c r="E30" t="s">
        <v>1106</v>
      </c>
      <c r="F30" t="s">
        <v>275</v>
      </c>
      <c r="G30">
        <v>1892</v>
      </c>
      <c r="I30">
        <v>1935</v>
      </c>
      <c r="T30">
        <v>28</v>
      </c>
      <c r="V30">
        <v>4</v>
      </c>
      <c r="X30" s="3" t="str">
        <f t="shared" si="0"/>
        <v/>
      </c>
      <c r="Y30">
        <v>90</v>
      </c>
      <c r="Z30">
        <f t="shared" si="15"/>
        <v>144</v>
      </c>
      <c r="AC30">
        <v>16.2</v>
      </c>
      <c r="AD30">
        <v>16.2</v>
      </c>
      <c r="AE30">
        <v>2.8</v>
      </c>
      <c r="AG30" s="10">
        <v>42</v>
      </c>
      <c r="AH30" t="str">
        <f>CONCATENATE(VLOOKUP(AI30, 'Voxel Sizes'!$A$2:$B$18,2,FALSE),"x",INT(AE30*15), "x", INT(AF30*15))</f>
        <v>152x42x0</v>
      </c>
      <c r="AI30">
        <f t="shared" si="1"/>
        <v>9</v>
      </c>
      <c r="AK30" t="str">
        <f>CONCATENATE(VLOOKUP(AI30,Constants!$A$2:$C$16,IF(AJ30&lt;&gt;"", 3, 2), FALSE),IF(AJ30&lt;&gt;"",CONCATENATE(",",VLOOKUP(AJ30,$B:$AK,36,FALSE)),""))</f>
        <v>2,5,2</v>
      </c>
      <c r="AU30">
        <v>30</v>
      </c>
      <c r="AV30" s="15">
        <f t="shared" si="2"/>
        <v>51</v>
      </c>
      <c r="AW30">
        <v>69</v>
      </c>
      <c r="AX30">
        <f>19*3</f>
        <v>57</v>
      </c>
      <c r="AY30">
        <f t="shared" si="3"/>
        <v>18</v>
      </c>
      <c r="AZ30">
        <f t="shared" si="4"/>
        <v>0</v>
      </c>
      <c r="BA30">
        <f t="shared" si="5"/>
        <v>0</v>
      </c>
      <c r="BB30" s="3">
        <f t="shared" si="6"/>
        <v>1</v>
      </c>
      <c r="BC30">
        <f t="shared" si="7"/>
        <v>7.0000000000000009</v>
      </c>
      <c r="BD30">
        <f>VLOOKUP($E30,Constants!$I:$K, 2, FALSE)</f>
        <v>1.2</v>
      </c>
      <c r="BE30">
        <f>VLOOKUP($E30,Constants!$I:$K, 3, FALSE)*IF(AND(D30="multiple_unit",Y30&lt;110),0.75,1)</f>
        <v>0.6</v>
      </c>
      <c r="BF30">
        <f>INT(POWER(((Constants!$G$2+$AY30+$AZ30+$BA30+$BC30)*$BB30)*$BE30, 1.05))+$AX30</f>
        <v>77</v>
      </c>
      <c r="BG30">
        <f>INT(POWER((((Constants!$G$1+$AY30+$AZ30+$BA30+$BC30)*($BB30))*$BD30),IF($D30="wagon",1,1.2)))+$AW30</f>
        <v>117</v>
      </c>
      <c r="BH30" s="14">
        <f t="shared" si="8"/>
        <v>4812.5</v>
      </c>
      <c r="BI30" s="14">
        <f t="shared" si="9"/>
        <v>319.41000000000003</v>
      </c>
      <c r="BP30">
        <v>1</v>
      </c>
      <c r="BQ30">
        <v>185</v>
      </c>
      <c r="BR30" t="s">
        <v>874</v>
      </c>
      <c r="BS30" t="s">
        <v>283</v>
      </c>
      <c r="BT30" t="str">
        <f>VLOOKUP(G30,Eras!$A$2:$C$10, 2, TRUE)</f>
        <v>vct</v>
      </c>
      <c r="BU30" t="s">
        <v>335</v>
      </c>
      <c r="BV30" t="str">
        <f t="shared" si="10"/>
        <v>vct_Carriage</v>
      </c>
      <c r="BW30" t="str">
        <f t="shared" si="11"/>
        <v>carriage_RAIL</v>
      </c>
      <c r="BX30" t="str">
        <f>VLOOKUP($BW30, Constants!$M:$N, 2, FALSE)</f>
        <v/>
      </c>
      <c r="BY30" t="str">
        <f t="shared" si="12"/>
        <v/>
      </c>
      <c r="BZ30" t="s">
        <v>709</v>
      </c>
      <c r="CA30" t="str">
        <f t="shared" si="13"/>
        <v/>
      </c>
      <c r="CB30" t="str">
        <f t="shared" si="14"/>
        <v>{SILVER}Toward the end of the Victorian era, passenger carriages began to be mounted on bogies rather than fixed axles. Many featured clerestory-style roofs.</v>
      </c>
    </row>
    <row r="31" spans="1:80" x14ac:dyDescent="0.3">
      <c r="A31" t="s">
        <v>395</v>
      </c>
      <c r="B31" t="s">
        <v>396</v>
      </c>
      <c r="C31">
        <v>12</v>
      </c>
      <c r="D31" t="s">
        <v>281</v>
      </c>
      <c r="E31" t="s">
        <v>1106</v>
      </c>
      <c r="F31" t="s">
        <v>275</v>
      </c>
      <c r="G31">
        <v>1904</v>
      </c>
      <c r="I31">
        <v>1955</v>
      </c>
      <c r="T31">
        <v>34</v>
      </c>
      <c r="V31">
        <v>5</v>
      </c>
      <c r="X31" s="3" t="str">
        <f t="shared" si="0"/>
        <v/>
      </c>
      <c r="Y31">
        <v>100</v>
      </c>
      <c r="Z31">
        <f t="shared" si="15"/>
        <v>160</v>
      </c>
      <c r="AC31">
        <v>17.7</v>
      </c>
      <c r="AD31">
        <v>17.7</v>
      </c>
      <c r="AE31">
        <v>2.83</v>
      </c>
      <c r="AF31">
        <v>3.79</v>
      </c>
      <c r="AG31" s="10">
        <v>48</v>
      </c>
      <c r="AH31" t="str">
        <f>CONCATENATE(VLOOKUP(AI31, 'Voxel Sizes'!$A$2:$B$18,2,FALSE),"x",INT(AE31*15), "x", INT(AF31*15))</f>
        <v>164x42x56</v>
      </c>
      <c r="AI31">
        <f t="shared" si="1"/>
        <v>10</v>
      </c>
      <c r="AK31" t="str">
        <f>CONCATENATE(VLOOKUP(AI31,Constants!$A$2:$C$16,IF(AJ31&lt;&gt;"", 3, 2), FALSE),IF(AJ31&lt;&gt;"",CONCATENATE(",",VLOOKUP(AJ31,$B:$AK,36,FALSE)),""))</f>
        <v>4,2,4</v>
      </c>
      <c r="AU31">
        <v>30</v>
      </c>
      <c r="AV31" s="15">
        <f t="shared" si="2"/>
        <v>59</v>
      </c>
      <c r="AW31">
        <v>72</v>
      </c>
      <c r="AX31">
        <f>20*3</f>
        <v>60</v>
      </c>
      <c r="AY31">
        <f t="shared" si="3"/>
        <v>20</v>
      </c>
      <c r="AZ31">
        <f t="shared" si="4"/>
        <v>0</v>
      </c>
      <c r="BA31">
        <f t="shared" si="5"/>
        <v>0</v>
      </c>
      <c r="BB31" s="3">
        <f t="shared" si="6"/>
        <v>0.9946666666666667</v>
      </c>
      <c r="BC31">
        <f t="shared" si="7"/>
        <v>8</v>
      </c>
      <c r="BD31">
        <f>VLOOKUP($E31,Constants!$I:$K, 2, FALSE)</f>
        <v>1.2</v>
      </c>
      <c r="BE31">
        <f>VLOOKUP($E31,Constants!$I:$K, 3, FALSE)*IF(AND(D31="multiple_unit",Y31&lt;110),0.75,1)</f>
        <v>0.6</v>
      </c>
      <c r="BF31">
        <f>INT(POWER(((Constants!$G$2+$AY31+$AZ31+$BA31+$BC31)*$BB31)*$BE31, 1.05))+$AX31</f>
        <v>82</v>
      </c>
      <c r="BG31">
        <f>INT(POWER((((Constants!$G$1+$AY31+$AZ31+$BA31+$BC31)*($BB31))*$BD31),IF($D31="wagon",1,1.2)))+$AW31</f>
        <v>123</v>
      </c>
      <c r="BH31" s="14">
        <f t="shared" si="8"/>
        <v>5125</v>
      </c>
      <c r="BI31" s="14">
        <f t="shared" si="9"/>
        <v>335.79</v>
      </c>
      <c r="BP31">
        <v>1</v>
      </c>
      <c r="BQ31">
        <v>185</v>
      </c>
      <c r="BR31" t="s">
        <v>874</v>
      </c>
      <c r="BS31" t="s">
        <v>283</v>
      </c>
      <c r="BT31" t="str">
        <f>VLOOKUP(G31,Eras!$A$2:$C$10, 2, TRUE)</f>
        <v>edw</v>
      </c>
      <c r="BU31" t="s">
        <v>335</v>
      </c>
      <c r="BV31" t="str">
        <f t="shared" si="10"/>
        <v>edw_Carriage</v>
      </c>
      <c r="BW31" t="str">
        <f t="shared" si="11"/>
        <v>carriage_RAIL</v>
      </c>
      <c r="BX31" t="str">
        <f>VLOOKUP($BW31, Constants!$M:$N, 2, FALSE)</f>
        <v/>
      </c>
      <c r="BY31" t="str">
        <f t="shared" si="12"/>
        <v/>
      </c>
      <c r="BZ31" t="s">
        <v>397</v>
      </c>
      <c r="CA31" t="str">
        <f t="shared" si="13"/>
        <v/>
      </c>
      <c r="CB31" t="str">
        <f t="shared" si="14"/>
        <v>{SILVER}In the early 20th century passenger coaches were stretched to greater lengths. This is a typical LNWR design.</v>
      </c>
    </row>
    <row r="32" spans="1:80" x14ac:dyDescent="0.3">
      <c r="A32" t="s">
        <v>111</v>
      </c>
      <c r="B32" t="s">
        <v>447</v>
      </c>
      <c r="C32">
        <v>14</v>
      </c>
      <c r="D32" t="s">
        <v>281</v>
      </c>
      <c r="E32" t="s">
        <v>1107</v>
      </c>
      <c r="F32" t="s">
        <v>275</v>
      </c>
      <c r="G32">
        <v>1928</v>
      </c>
      <c r="I32">
        <v>1970</v>
      </c>
      <c r="T32">
        <v>40</v>
      </c>
      <c r="V32">
        <v>4</v>
      </c>
      <c r="X32" s="3" t="str">
        <f t="shared" si="0"/>
        <v/>
      </c>
      <c r="Y32">
        <v>105</v>
      </c>
      <c r="Z32">
        <f t="shared" si="15"/>
        <v>168</v>
      </c>
      <c r="AC32">
        <v>20</v>
      </c>
      <c r="AD32">
        <v>20</v>
      </c>
      <c r="AG32" s="10">
        <v>48</v>
      </c>
      <c r="AH32" t="str">
        <f>CONCATENATE(VLOOKUP(AI32, 'Voxel Sizes'!$A$2:$B$18,2,FALSE),"x",INT(AE32*15), "x", INT(AF32*15))</f>
        <v>198x0x0</v>
      </c>
      <c r="AI32">
        <f t="shared" si="1"/>
        <v>12</v>
      </c>
      <c r="AK32" t="str">
        <f>CONCATENATE(VLOOKUP(AI32,Constants!$A$2:$C$16,IF(AJ32&lt;&gt;"", 3, 2), FALSE),IF(AJ32&lt;&gt;"",CONCATENATE(",",VLOOKUP(AJ32,$B:$AK,36,FALSE)),""))</f>
        <v>4,4,4</v>
      </c>
      <c r="AU32">
        <v>30</v>
      </c>
      <c r="AV32" s="15">
        <f t="shared" si="2"/>
        <v>50</v>
      </c>
      <c r="AW32">
        <v>93</v>
      </c>
      <c r="AX32">
        <f>26*3</f>
        <v>78</v>
      </c>
      <c r="AY32">
        <f t="shared" si="3"/>
        <v>21</v>
      </c>
      <c r="AZ32">
        <f t="shared" si="4"/>
        <v>0</v>
      </c>
      <c r="BA32">
        <f t="shared" si="5"/>
        <v>0</v>
      </c>
      <c r="BB32" s="3">
        <f t="shared" si="6"/>
        <v>0.96266666666666667</v>
      </c>
      <c r="BC32">
        <f t="shared" si="7"/>
        <v>8</v>
      </c>
      <c r="BD32">
        <f>VLOOKUP($E32,Constants!$I:$K, 2, FALSE)</f>
        <v>1.5</v>
      </c>
      <c r="BE32">
        <f>VLOOKUP($E32,Constants!$I:$K, 3, FALSE)*IF(AND(D32="multiple_unit",Y32&lt;110),0.75,1)</f>
        <v>0.7</v>
      </c>
      <c r="BF32">
        <f>INT(POWER(((Constants!$G$2+$AY32+$AZ32+$BA32+$BC32)*$BB32)*$BE32, 1.05))+$AX32</f>
        <v>104</v>
      </c>
      <c r="BG32">
        <f>INT(POWER((((Constants!$G$1+$AY32+$AZ32+$BA32+$BC32)*($BB32))*$BD32),IF($D32="wagon",1,1.2)))+$AW32</f>
        <v>156</v>
      </c>
      <c r="BH32" s="14">
        <f t="shared" si="8"/>
        <v>6500</v>
      </c>
      <c r="BI32" s="14">
        <f t="shared" si="9"/>
        <v>425.88</v>
      </c>
      <c r="BP32">
        <v>1</v>
      </c>
      <c r="BQ32">
        <v>260</v>
      </c>
      <c r="BR32" t="s">
        <v>874</v>
      </c>
      <c r="BS32" t="s">
        <v>283</v>
      </c>
      <c r="BT32" t="str">
        <f>VLOOKUP(G32,Eras!$A$2:$C$10, 2, TRUE)</f>
        <v>big4</v>
      </c>
      <c r="BU32" t="s">
        <v>335</v>
      </c>
      <c r="BV32" t="str">
        <f t="shared" si="10"/>
        <v>big4_Carriage</v>
      </c>
      <c r="BW32" t="str">
        <f t="shared" si="11"/>
        <v>luxury_carriage_RAIL</v>
      </c>
      <c r="BX32" t="str">
        <f>VLOOKUP($BW32, Constants!$M:$N, 2, FALSE)</f>
        <v/>
      </c>
      <c r="BY32" t="str">
        <f t="shared" si="12"/>
        <v/>
      </c>
      <c r="BZ32" t="s">
        <v>1406</v>
      </c>
      <c r="CA32" t="str">
        <f t="shared" si="13"/>
        <v>{YELLOW}40% Bonus for long distance travel{}</v>
      </c>
      <c r="CB32" t="str">
        <f t="shared" si="14"/>
        <v>{YELLOW}40% Bonus for long distance travel{}{SILVER}The luxurious Pullman cars were large and heavy, with many still in use today for restaurant services.</v>
      </c>
    </row>
    <row r="33" spans="1:80" x14ac:dyDescent="0.3">
      <c r="A33" t="s">
        <v>1120</v>
      </c>
      <c r="B33" t="s">
        <v>1121</v>
      </c>
      <c r="C33">
        <v>15</v>
      </c>
      <c r="D33" t="s">
        <v>281</v>
      </c>
      <c r="E33" t="s">
        <v>1107</v>
      </c>
      <c r="F33" t="s">
        <v>275</v>
      </c>
      <c r="G33">
        <v>1931</v>
      </c>
      <c r="I33">
        <v>1965</v>
      </c>
      <c r="T33">
        <v>36</v>
      </c>
      <c r="V33">
        <v>5</v>
      </c>
      <c r="X33" s="3" t="str">
        <f t="shared" si="0"/>
        <v/>
      </c>
      <c r="Y33">
        <v>130</v>
      </c>
      <c r="Z33">
        <f t="shared" si="15"/>
        <v>208</v>
      </c>
      <c r="AC33">
        <v>17.7</v>
      </c>
      <c r="AD33">
        <v>17.7</v>
      </c>
      <c r="AE33">
        <v>2.83</v>
      </c>
      <c r="AF33">
        <v>3.79</v>
      </c>
      <c r="AG33" s="10">
        <v>45</v>
      </c>
      <c r="AH33" t="str">
        <f>CONCATENATE(VLOOKUP(AI33, 'Voxel Sizes'!$A$2:$B$18,2,FALSE),"x",INT(AE33*15), "x", INT(AF33*15))</f>
        <v>164x42x56</v>
      </c>
      <c r="AI33">
        <f t="shared" si="1"/>
        <v>10</v>
      </c>
      <c r="AK33" t="str">
        <f>CONCATENATE(VLOOKUP(AI33,Constants!$A$2:$C$16,IF(AJ33&lt;&gt;"", 3, 2), FALSE),IF(AJ33&lt;&gt;"",CONCATENATE(",",VLOOKUP(AJ33,$B:$AK,36,FALSE)),""))</f>
        <v>4,2,4</v>
      </c>
      <c r="AT33" t="s">
        <v>1169</v>
      </c>
      <c r="AU33">
        <v>30</v>
      </c>
      <c r="AV33" s="15">
        <f t="shared" si="2"/>
        <v>42</v>
      </c>
      <c r="AW33">
        <v>102</v>
      </c>
      <c r="AX33">
        <f>31*3</f>
        <v>93</v>
      </c>
      <c r="AY33">
        <f t="shared" si="3"/>
        <v>26</v>
      </c>
      <c r="AZ33">
        <f t="shared" si="4"/>
        <v>0</v>
      </c>
      <c r="BA33">
        <f t="shared" si="5"/>
        <v>0</v>
      </c>
      <c r="BB33" s="3">
        <f t="shared" si="6"/>
        <v>0.95866666666666667</v>
      </c>
      <c r="BC33">
        <f t="shared" si="7"/>
        <v>7.5</v>
      </c>
      <c r="BD33">
        <f>VLOOKUP($E33,Constants!$I:$K, 2, FALSE)</f>
        <v>1.5</v>
      </c>
      <c r="BE33">
        <f>VLOOKUP($E33,Constants!$I:$K, 3, FALSE)*IF(AND(D33="multiple_unit",Y33&lt;110),0.75,1)</f>
        <v>0.7</v>
      </c>
      <c r="BF33">
        <f>INT(POWER(((Constants!$G$2+$AY33+$AZ33+$BA33+$BC33)*$BB33)*$BE33, 1.05))+$AX33</f>
        <v>123</v>
      </c>
      <c r="BG33">
        <f>INT(POWER((((Constants!$G$1+$AY33+$AZ33+$BA33+$BC33)*($BB33))*$BD33),IF($D33="wagon",1,1.2)))+$AW33</f>
        <v>171</v>
      </c>
      <c r="BH33" s="14">
        <f t="shared" si="8"/>
        <v>7687.5</v>
      </c>
      <c r="BI33" s="14">
        <f t="shared" si="9"/>
        <v>466.83</v>
      </c>
      <c r="BP33">
        <v>1</v>
      </c>
      <c r="BQ33">
        <v>222</v>
      </c>
      <c r="BR33" t="s">
        <v>874</v>
      </c>
      <c r="BS33" t="s">
        <v>283</v>
      </c>
      <c r="BT33" t="str">
        <f>VLOOKUP(G33,Eras!$A$2:$C$10, 2, TRUE)</f>
        <v>big4</v>
      </c>
      <c r="BU33" t="s">
        <v>335</v>
      </c>
      <c r="BV33" t="str">
        <f t="shared" si="10"/>
        <v>big4_Carriage</v>
      </c>
      <c r="BW33" t="str">
        <f t="shared" si="11"/>
        <v>luxury_carriage_RAIL</v>
      </c>
      <c r="BX33" t="str">
        <f>VLOOKUP($BW33, Constants!$M:$N, 2, FALSE)</f>
        <v/>
      </c>
      <c r="BY33" t="str">
        <f t="shared" si="12"/>
        <v/>
      </c>
      <c r="BZ33" t="s">
        <v>1122</v>
      </c>
      <c r="CA33" t="str">
        <f t="shared" si="13"/>
        <v>{YELLOW}20% Bonus for long distance travel{}</v>
      </c>
      <c r="CB33" t="str">
        <f t="shared" si="14"/>
        <v>{YELLOW}20% Bonus for long distance travel{}{SILVER}As express services increased in speed, carriages were streamlined with valances between bogies and flexible walls connecting each carriage.</v>
      </c>
    </row>
    <row r="34" spans="1:80" x14ac:dyDescent="0.3">
      <c r="A34" t="s">
        <v>112</v>
      </c>
      <c r="B34" t="s">
        <v>259</v>
      </c>
      <c r="C34">
        <v>16</v>
      </c>
      <c r="D34" t="s">
        <v>281</v>
      </c>
      <c r="E34" t="s">
        <v>1106</v>
      </c>
      <c r="F34" t="s">
        <v>275</v>
      </c>
      <c r="G34">
        <v>1951</v>
      </c>
      <c r="H34">
        <v>1963</v>
      </c>
      <c r="I34">
        <v>1974</v>
      </c>
      <c r="T34">
        <v>32.5</v>
      </c>
      <c r="V34">
        <v>5</v>
      </c>
      <c r="X34" s="3" t="str">
        <f t="shared" ref="X34:X63" si="16">IF(AND(T34&gt;0,W34&gt;0),(W34/((T34+U34)*10)),"")</f>
        <v/>
      </c>
      <c r="Y34">
        <v>100</v>
      </c>
      <c r="Z34">
        <f t="shared" si="15"/>
        <v>160</v>
      </c>
      <c r="AC34">
        <v>19.3</v>
      </c>
      <c r="AD34">
        <v>20</v>
      </c>
      <c r="AG34" s="10">
        <v>54</v>
      </c>
      <c r="AH34" t="str">
        <f>CONCATENATE(VLOOKUP(AI34, 'Voxel Sizes'!$A$2:$B$18,2,FALSE),"x",INT(AE34*15), "x", INT(AF34*15))</f>
        <v>198x0x0</v>
      </c>
      <c r="AI34">
        <f t="shared" si="1"/>
        <v>12</v>
      </c>
      <c r="AK34" t="str">
        <f>CONCATENATE(VLOOKUP(AI34,Constants!$A$2:$C$16,IF(AJ34&lt;&gt;"", 3, 2), FALSE),IF(AJ34&lt;&gt;"",CONCATENATE(",",VLOOKUP(AJ34,$B:$AK,36,FALSE)),""))</f>
        <v>4,4,4</v>
      </c>
      <c r="AU34">
        <v>30</v>
      </c>
      <c r="AV34" s="15">
        <f t="shared" si="2"/>
        <v>31</v>
      </c>
      <c r="AW34">
        <v>76</v>
      </c>
      <c r="AX34">
        <f>23*3</f>
        <v>69</v>
      </c>
      <c r="AY34">
        <f t="shared" si="3"/>
        <v>20</v>
      </c>
      <c r="AZ34">
        <f t="shared" si="4"/>
        <v>0</v>
      </c>
      <c r="BA34">
        <f t="shared" si="5"/>
        <v>0</v>
      </c>
      <c r="BB34" s="3">
        <f t="shared" si="6"/>
        <v>0.93199999999999994</v>
      </c>
      <c r="BC34">
        <f t="shared" si="7"/>
        <v>9</v>
      </c>
      <c r="BD34">
        <f>VLOOKUP($E34,Constants!$I:$K, 2, FALSE)</f>
        <v>1.2</v>
      </c>
      <c r="BE34">
        <f>VLOOKUP($E34,Constants!$I:$K, 3, FALSE)*IF(AND(D34="multiple_unit",Y34&lt;110),0.75,1)</f>
        <v>0.6</v>
      </c>
      <c r="BF34">
        <f>INT(POWER(((Constants!$G$2+$AY34+$AZ34+$BA34+$BC34)*$BB34)*$BE34, 1.05))+$AX34</f>
        <v>91</v>
      </c>
      <c r="BG34">
        <f>INT(POWER((((Constants!$G$1+$AY34+$AZ34+$BA34+$BC34)*($BB34))*$BD34),IF($D34="wagon",1,1.2)))+$AW34</f>
        <v>125</v>
      </c>
      <c r="BH34" s="14">
        <f t="shared" si="8"/>
        <v>5687.5</v>
      </c>
      <c r="BI34" s="14">
        <f t="shared" si="9"/>
        <v>341.25</v>
      </c>
      <c r="BP34">
        <v>1</v>
      </c>
      <c r="BQ34">
        <v>185</v>
      </c>
      <c r="BR34" t="s">
        <v>874</v>
      </c>
      <c r="BS34" t="s">
        <v>283</v>
      </c>
      <c r="BT34" t="str">
        <f>VLOOKUP(G34,Eras!$A$2:$C$10, 2, TRUE)</f>
        <v>ebr</v>
      </c>
      <c r="BU34" t="s">
        <v>335</v>
      </c>
      <c r="BV34" t="str">
        <f t="shared" si="10"/>
        <v>ebr_Carriage</v>
      </c>
      <c r="BW34" t="str">
        <f t="shared" si="11"/>
        <v>carriage_RAIL</v>
      </c>
      <c r="BX34" t="str">
        <f>VLOOKUP($BW34, Constants!$M:$N, 2, FALSE)</f>
        <v/>
      </c>
      <c r="BY34" t="str">
        <f t="shared" ref="BY34:BY65" si="17">IF(J34&gt;1,_xlfn.CONCAT("{BLACK}Cars: {GOLD}", J34),"")</f>
        <v/>
      </c>
      <c r="BZ34" t="s">
        <v>625</v>
      </c>
      <c r="CA34" t="str">
        <f t="shared" ref="CA34:CA65" si="18">IF(BS34="BRAKE","{YELLOW}Speed bonus for slow wagons{}",IF(BQ34&gt;190,CONCATENATE("{YELLOW}",INT((BQ34-185)/1.85),"% Bonus for long distance travel{}"),IF(AND(BQ34&lt;180,BQ34&lt;&gt;0),CONCATENATE("{YELLOW}",INT((185-BQ34)/1.85),"% Penalty for long distance travel{}"),"")))</f>
        <v/>
      </c>
      <c r="CB34" t="str">
        <f t="shared" si="14"/>
        <v>{SILVER}The Mk1 carriage combined best practice from the different Big Four carriage designs into a single standard design that could be used across the BR network.</v>
      </c>
    </row>
    <row r="35" spans="1:80" x14ac:dyDescent="0.3">
      <c r="A35" t="s">
        <v>113</v>
      </c>
      <c r="B35" t="s">
        <v>258</v>
      </c>
      <c r="C35">
        <v>17</v>
      </c>
      <c r="D35" t="s">
        <v>281</v>
      </c>
      <c r="E35" t="s">
        <v>1106</v>
      </c>
      <c r="F35" t="s">
        <v>275</v>
      </c>
      <c r="G35">
        <v>1956</v>
      </c>
      <c r="I35">
        <v>2010</v>
      </c>
      <c r="T35">
        <v>40</v>
      </c>
      <c r="V35">
        <v>5</v>
      </c>
      <c r="X35" s="3" t="str">
        <f t="shared" si="16"/>
        <v/>
      </c>
      <c r="Y35">
        <v>110</v>
      </c>
      <c r="Z35">
        <f t="shared" si="15"/>
        <v>176</v>
      </c>
      <c r="AC35">
        <v>19.66</v>
      </c>
      <c r="AD35">
        <v>19.66</v>
      </c>
      <c r="AE35">
        <v>2.83</v>
      </c>
      <c r="AF35">
        <v>3.79</v>
      </c>
      <c r="AG35" s="10">
        <v>57</v>
      </c>
      <c r="AH35" t="str">
        <f>CONCATENATE(VLOOKUP(AI35, 'Voxel Sizes'!$A$2:$B$18,2,FALSE),"x",INT(AE35*15), "x", INT(AF35*15))</f>
        <v>198x42x56</v>
      </c>
      <c r="AI35">
        <f t="shared" si="1"/>
        <v>12</v>
      </c>
      <c r="AK35" t="str">
        <f>CONCATENATE(VLOOKUP(AI35,Constants!$A$2:$C$16,IF(AJ35&lt;&gt;"", 3, 2), FALSE),IF(AJ35&lt;&gt;"",CONCATENATE(",",VLOOKUP(AJ35,$B:$AK,36,FALSE)),""))</f>
        <v>4,4,4</v>
      </c>
      <c r="AU35">
        <v>30</v>
      </c>
      <c r="AV35" s="15">
        <f t="shared" si="2"/>
        <v>62</v>
      </c>
      <c r="AW35">
        <v>79</v>
      </c>
      <c r="AX35">
        <f>25*3</f>
        <v>75</v>
      </c>
      <c r="AY35">
        <f t="shared" si="3"/>
        <v>22</v>
      </c>
      <c r="AZ35">
        <f t="shared" si="4"/>
        <v>0</v>
      </c>
      <c r="BA35">
        <f t="shared" si="5"/>
        <v>0</v>
      </c>
      <c r="BB35" s="3">
        <f t="shared" si="6"/>
        <v>0.92533333333333334</v>
      </c>
      <c r="BC35">
        <f t="shared" si="7"/>
        <v>9.5</v>
      </c>
      <c r="BD35">
        <f>VLOOKUP($E35,Constants!$I:$K, 2, FALSE)</f>
        <v>1.2</v>
      </c>
      <c r="BE35">
        <f>VLOOKUP($E35,Constants!$I:$K, 3, FALSE)*IF(AND(D35="multiple_unit",Y35&lt;110),0.75,1)</f>
        <v>0.6</v>
      </c>
      <c r="BF35">
        <f>INT(POWER(((Constants!$G$2+$AY35+$AZ35+$BA35+$BC35)*$BB35)*$BE35, 1.05))+$AX35</f>
        <v>98</v>
      </c>
      <c r="BG35">
        <f>INT(POWER((((Constants!$G$1+$AY35+$AZ35+$BA35+$BC35)*($BB35))*$BD35),IF($D35="wagon",1,1.2)))+$AW35</f>
        <v>130</v>
      </c>
      <c r="BH35" s="14">
        <f t="shared" si="8"/>
        <v>6125</v>
      </c>
      <c r="BI35" s="14">
        <f t="shared" si="9"/>
        <v>354.9</v>
      </c>
      <c r="BP35">
        <v>1</v>
      </c>
      <c r="BQ35">
        <v>185</v>
      </c>
      <c r="BR35" t="s">
        <v>874</v>
      </c>
      <c r="BS35" t="s">
        <v>283</v>
      </c>
      <c r="BT35" t="str">
        <f>VLOOKUP(G35,Eras!$A$2:$C$10, 2, TRUE)</f>
        <v>dsl</v>
      </c>
      <c r="BU35" t="s">
        <v>335</v>
      </c>
      <c r="BV35" t="str">
        <f t="shared" si="10"/>
        <v>dsl_Carriage</v>
      </c>
      <c r="BW35" t="str">
        <f t="shared" si="11"/>
        <v>carriage_RAIL</v>
      </c>
      <c r="BX35" t="str">
        <f>VLOOKUP($BW35, Constants!$M:$N, 2, FALSE)</f>
        <v/>
      </c>
      <c r="BY35" t="str">
        <f t="shared" si="17"/>
        <v/>
      </c>
      <c r="BZ35" t="s">
        <v>361</v>
      </c>
      <c r="CA35" t="str">
        <f t="shared" si="18"/>
        <v/>
      </c>
      <c r="CB35" t="str">
        <f t="shared" si="14"/>
        <v>{SILVER}The Mk2 carriage is the second BR carriage design. It was built to be stronger than the Mk1, giving better corrosion resistance and being safer for passengers in an accident.</v>
      </c>
    </row>
    <row r="36" spans="1:80" x14ac:dyDescent="0.3">
      <c r="A36" t="s">
        <v>114</v>
      </c>
      <c r="B36" t="s">
        <v>260</v>
      </c>
      <c r="C36">
        <v>18</v>
      </c>
      <c r="D36" t="s">
        <v>281</v>
      </c>
      <c r="E36" t="s">
        <v>1106</v>
      </c>
      <c r="F36" t="s">
        <v>275</v>
      </c>
      <c r="G36">
        <v>1975</v>
      </c>
      <c r="T36">
        <v>34</v>
      </c>
      <c r="V36">
        <v>5</v>
      </c>
      <c r="X36" s="3" t="str">
        <f t="shared" si="16"/>
        <v/>
      </c>
      <c r="Y36">
        <v>125</v>
      </c>
      <c r="Z36">
        <f t="shared" si="15"/>
        <v>200</v>
      </c>
      <c r="AC36">
        <v>23</v>
      </c>
      <c r="AD36">
        <v>23</v>
      </c>
      <c r="AE36">
        <v>2.82</v>
      </c>
      <c r="AF36">
        <v>3.79</v>
      </c>
      <c r="AG36" s="10">
        <v>72</v>
      </c>
      <c r="AH36" t="str">
        <f>CONCATENATE(VLOOKUP(AI36, 'Voxel Sizes'!$A$2:$B$18,2,FALSE),"x",INT(AE36*15), "x", INT(AF36*15))</f>
        <v>214x42x56</v>
      </c>
      <c r="AI36">
        <f t="shared" si="1"/>
        <v>13</v>
      </c>
      <c r="AK36" t="str">
        <f>CONCATENATE(VLOOKUP(AI36,Constants!$A$2:$C$16,IF(AJ36&lt;&gt;"", 3, 2), FALSE),IF(AJ36&lt;&gt;"",CONCATENATE(",",VLOOKUP(AJ36,$B:$AK,36,FALSE)),""))</f>
        <v>4,5,4</v>
      </c>
      <c r="AU36">
        <v>30</v>
      </c>
      <c r="AV36" s="15" t="str">
        <f t="shared" si="2"/>
        <v/>
      </c>
      <c r="AW36">
        <v>86</v>
      </c>
      <c r="AX36">
        <f>29*3</f>
        <v>87</v>
      </c>
      <c r="AY36">
        <f t="shared" si="3"/>
        <v>25</v>
      </c>
      <c r="AZ36">
        <f t="shared" si="4"/>
        <v>0</v>
      </c>
      <c r="BA36">
        <f t="shared" si="5"/>
        <v>0</v>
      </c>
      <c r="BB36" s="3">
        <f t="shared" si="6"/>
        <v>0.9</v>
      </c>
      <c r="BC36">
        <f t="shared" si="7"/>
        <v>12</v>
      </c>
      <c r="BD36">
        <f>VLOOKUP($E36,Constants!$I:$K, 2, FALSE)</f>
        <v>1.2</v>
      </c>
      <c r="BE36">
        <f>VLOOKUP($E36,Constants!$I:$K, 3, FALSE)*IF(AND(D36="multiple_unit",Y36&lt;110),0.75,1)</f>
        <v>0.6</v>
      </c>
      <c r="BF36">
        <f>INT(POWER(((Constants!$G$2+$AY36+$AZ36+$BA36+$BC36)*$BB36)*$BE36, 1.05))+$AX36</f>
        <v>113</v>
      </c>
      <c r="BG36">
        <f>INT(POWER((((Constants!$G$1+$AY36+$AZ36+$BA36+$BC36)*($BB36))*$BD36),IF($D36="wagon",1,1.2)))+$AW36</f>
        <v>142</v>
      </c>
      <c r="BH36" s="14">
        <f t="shared" si="8"/>
        <v>7062.5</v>
      </c>
      <c r="BI36" s="14">
        <f t="shared" si="9"/>
        <v>387.66</v>
      </c>
      <c r="BP36">
        <v>2</v>
      </c>
      <c r="BQ36">
        <v>205</v>
      </c>
      <c r="BR36" t="s">
        <v>874</v>
      </c>
      <c r="BS36" t="s">
        <v>283</v>
      </c>
      <c r="BT36" t="str">
        <f>VLOOKUP(G36,Eras!$A$2:$C$10, 2, TRUE)</f>
        <v>lbr</v>
      </c>
      <c r="BU36" t="s">
        <v>335</v>
      </c>
      <c r="BV36" t="str">
        <f t="shared" si="10"/>
        <v>lbr_Carriage</v>
      </c>
      <c r="BW36" t="str">
        <f t="shared" si="11"/>
        <v>carriage_RAIL</v>
      </c>
      <c r="BX36" t="str">
        <f>VLOOKUP($BW36, Constants!$M:$N, 2, FALSE)</f>
        <v/>
      </c>
      <c r="BY36" t="str">
        <f t="shared" si="17"/>
        <v/>
      </c>
      <c r="BZ36" t="s">
        <v>362</v>
      </c>
      <c r="CA36" t="str">
        <f t="shared" si="18"/>
        <v>{YELLOW}10% Bonus for long distance travel{}</v>
      </c>
      <c r="CB36" t="str">
        <f t="shared" si="14"/>
        <v xml:space="preserve">{YELLOW}10% Bonus for long distance travel{}{SILVER}The Mk3 carriage is designed for higher speed operation, capable of running at up to 125mph. The first Mk3 carriages were built for the prototype HST. </v>
      </c>
    </row>
    <row r="37" spans="1:80" x14ac:dyDescent="0.3">
      <c r="A37" t="s">
        <v>115</v>
      </c>
      <c r="B37" t="s">
        <v>261</v>
      </c>
      <c r="C37">
        <v>19</v>
      </c>
      <c r="D37" t="s">
        <v>281</v>
      </c>
      <c r="E37" t="s">
        <v>1106</v>
      </c>
      <c r="F37" t="s">
        <v>275</v>
      </c>
      <c r="G37">
        <v>1988</v>
      </c>
      <c r="T37">
        <v>40</v>
      </c>
      <c r="V37">
        <v>5</v>
      </c>
      <c r="X37" s="3" t="str">
        <f t="shared" si="16"/>
        <v/>
      </c>
      <c r="Y37">
        <v>140</v>
      </c>
      <c r="Z37">
        <f t="shared" si="15"/>
        <v>224</v>
      </c>
      <c r="AC37">
        <v>23</v>
      </c>
      <c r="AD37">
        <v>23</v>
      </c>
      <c r="AE37">
        <v>2.82</v>
      </c>
      <c r="AF37">
        <v>3.79</v>
      </c>
      <c r="AG37" s="10">
        <v>72</v>
      </c>
      <c r="AH37" t="str">
        <f>CONCATENATE(VLOOKUP(AI37, 'Voxel Sizes'!$A$2:$B$18,2,FALSE),"x",INT(AE37*15), "x", INT(AF37*15))</f>
        <v>214x42x56</v>
      </c>
      <c r="AI37">
        <f t="shared" si="1"/>
        <v>13</v>
      </c>
      <c r="AK37" t="str">
        <f>CONCATENATE(VLOOKUP(AI37,Constants!$A$2:$C$16,IF(AJ37&lt;&gt;"", 3, 2), FALSE),IF(AJ37&lt;&gt;"",CONCATENATE(",",VLOOKUP(AJ37,$B:$AK,36,FALSE)),""))</f>
        <v>4,5,4</v>
      </c>
      <c r="AU37">
        <v>30</v>
      </c>
      <c r="AV37" s="15" t="str">
        <f t="shared" si="2"/>
        <v/>
      </c>
      <c r="AW37">
        <v>90</v>
      </c>
      <c r="AX37">
        <f>31*3</f>
        <v>93</v>
      </c>
      <c r="AY37">
        <f t="shared" si="3"/>
        <v>28</v>
      </c>
      <c r="AZ37">
        <f t="shared" si="4"/>
        <v>0</v>
      </c>
      <c r="BA37">
        <f t="shared" si="5"/>
        <v>0</v>
      </c>
      <c r="BB37" s="3">
        <f t="shared" si="6"/>
        <v>0.88266666666666671</v>
      </c>
      <c r="BC37">
        <f t="shared" si="7"/>
        <v>12</v>
      </c>
      <c r="BD37">
        <f>VLOOKUP($E37,Constants!$I:$K, 2, FALSE)</f>
        <v>1.2</v>
      </c>
      <c r="BE37">
        <f>VLOOKUP($E37,Constants!$I:$K, 3, FALSE)*IF(AND(D37="multiple_unit",Y37&lt;110),0.75,1)</f>
        <v>0.6</v>
      </c>
      <c r="BF37">
        <f>INT(POWER(((Constants!$G$2+$AY37+$AZ37+$BA37+$BC37)*$BB37)*$BE37, 1.05))+$AX37</f>
        <v>120</v>
      </c>
      <c r="BG37">
        <f>INT(POWER((((Constants!$G$1+$AY37+$AZ37+$BA37+$BC37)*($BB37))*$BD37),IF($D37="wagon",1,1.2)))+$AW37</f>
        <v>148</v>
      </c>
      <c r="BH37" s="14">
        <f t="shared" si="8"/>
        <v>7500</v>
      </c>
      <c r="BI37" s="14">
        <f t="shared" si="9"/>
        <v>404.04</v>
      </c>
      <c r="BP37">
        <v>7</v>
      </c>
      <c r="BQ37">
        <v>222</v>
      </c>
      <c r="BR37" t="s">
        <v>874</v>
      </c>
      <c r="BS37" t="s">
        <v>283</v>
      </c>
      <c r="BT37" t="str">
        <f>VLOOKUP(G37,Eras!$A$2:$C$10, 2, TRUE)</f>
        <v>lbr</v>
      </c>
      <c r="BU37" t="s">
        <v>335</v>
      </c>
      <c r="BV37" t="str">
        <f t="shared" si="10"/>
        <v>lbr_Carriage</v>
      </c>
      <c r="BW37" t="str">
        <f t="shared" si="11"/>
        <v>carriage_RAIL</v>
      </c>
      <c r="BX37" t="str">
        <f>VLOOKUP($BW37, Constants!$M:$N, 2, FALSE)</f>
        <v/>
      </c>
      <c r="BY37" t="str">
        <f t="shared" si="17"/>
        <v/>
      </c>
      <c r="BZ37" t="s">
        <v>572</v>
      </c>
      <c r="CA37" t="str">
        <f t="shared" si="18"/>
        <v>{YELLOW}20% Bonus for long distance travel{}</v>
      </c>
      <c r="CB37" t="str">
        <f t="shared" si="14"/>
        <v>{YELLOW}20% Bonus for long distance travel{}{SILVER}The Mk4 carriage is a further improvement on the Mk3. It's designed for use with the Class 91 for Intercity 225 services.</v>
      </c>
    </row>
    <row r="38" spans="1:80" x14ac:dyDescent="0.3">
      <c r="A38" t="s">
        <v>1350</v>
      </c>
      <c r="B38" t="s">
        <v>1351</v>
      </c>
      <c r="C38">
        <v>20</v>
      </c>
      <c r="D38" t="s">
        <v>281</v>
      </c>
      <c r="E38" t="s">
        <v>281</v>
      </c>
      <c r="F38" t="s">
        <v>1381</v>
      </c>
      <c r="G38">
        <v>1700</v>
      </c>
      <c r="I38">
        <v>1875</v>
      </c>
      <c r="T38">
        <v>2</v>
      </c>
      <c r="V38">
        <v>3</v>
      </c>
      <c r="X38" s="3" t="str">
        <f t="shared" si="16"/>
        <v/>
      </c>
      <c r="Y38">
        <v>30</v>
      </c>
      <c r="Z38">
        <f t="shared" si="15"/>
        <v>48</v>
      </c>
      <c r="AC38">
        <v>4.9000000000000004</v>
      </c>
      <c r="AD38">
        <v>6</v>
      </c>
      <c r="AG38" s="10">
        <v>12</v>
      </c>
      <c r="AH38" t="str">
        <f>CONCATENATE(VLOOKUP(AI38, 'Voxel Sizes'!$A$2:$B$18,2,FALSE),"x",INT(AE38*15), "x", INT(AF38*15))</f>
        <v>60x0x0</v>
      </c>
      <c r="AI38">
        <f t="shared" si="1"/>
        <v>4</v>
      </c>
      <c r="AK38" t="str">
        <f>CONCATENATE(VLOOKUP(AI38,Constants!$A$2:$C$16,IF(AJ38&lt;&gt;"", 3, 2), FALSE),IF(AJ38&lt;&gt;"",CONCATENATE(",",VLOOKUP(AJ38,$B:$AK,36,FALSE)),""))</f>
        <v>1,2,1</v>
      </c>
      <c r="AU38">
        <v>30</v>
      </c>
      <c r="AV38" s="15">
        <f t="shared" si="2"/>
        <v>183</v>
      </c>
      <c r="AW38">
        <v>-15</v>
      </c>
      <c r="AX38">
        <v>-2</v>
      </c>
      <c r="AY38">
        <f t="shared" si="3"/>
        <v>6</v>
      </c>
      <c r="AZ38">
        <f t="shared" si="4"/>
        <v>0</v>
      </c>
      <c r="BA38">
        <f t="shared" si="5"/>
        <v>0</v>
      </c>
      <c r="BB38" s="3">
        <f t="shared" si="6"/>
        <v>1</v>
      </c>
      <c r="BC38">
        <f t="shared" si="7"/>
        <v>2</v>
      </c>
      <c r="BD38">
        <f>VLOOKUP($E38,Constants!$I:$K, 2, FALSE)</f>
        <v>1</v>
      </c>
      <c r="BE38">
        <f>VLOOKUP($E38,Constants!$I:$K, 3, FALSE)*IF(AND(D38="multiple_unit",Y38&lt;110),0.75,1)</f>
        <v>0.45</v>
      </c>
      <c r="BF38">
        <f>INT(POWER(((Constants!$G$2+$AY38+$AZ38+$BA38+$BC38)*$BB38)*$BE38, 1.05))+$AX38</f>
        <v>4</v>
      </c>
      <c r="BG38">
        <f>INT(POWER((((Constants!$G$1+$AY38+$AZ38+$BA38+$BC38)*($BB38))*$BD38),IF($D38="wagon",1,1.2)))+$AW38</f>
        <v>8</v>
      </c>
      <c r="BH38" s="14">
        <f t="shared" si="8"/>
        <v>250</v>
      </c>
      <c r="BI38" s="14">
        <f t="shared" si="9"/>
        <v>21.84</v>
      </c>
      <c r="BP38">
        <v>1</v>
      </c>
      <c r="BQ38">
        <v>185</v>
      </c>
      <c r="BR38" t="s">
        <v>1362</v>
      </c>
      <c r="BS38" t="s">
        <v>714</v>
      </c>
      <c r="BT38" t="str">
        <f>VLOOKUP(G38,Eras!$A$2:$C$10, 2, TRUE)</f>
        <v>early</v>
      </c>
      <c r="BU38" t="s">
        <v>340</v>
      </c>
      <c r="BV38" t="str">
        <f t="shared" si="10"/>
        <v>early_Open Wagon</v>
      </c>
      <c r="BW38" t="str">
        <f t="shared" si="11"/>
        <v>wagon_PLATEWAY</v>
      </c>
      <c r="BX38" t="str">
        <f>VLOOKUP($BW38, Constants!$M:$N, 2, FALSE)</f>
        <v/>
      </c>
      <c r="BY38" t="str">
        <f t="shared" si="17"/>
        <v/>
      </c>
      <c r="BZ38" t="s">
        <v>1352</v>
      </c>
      <c r="CA38" t="str">
        <f t="shared" si="18"/>
        <v/>
      </c>
      <c r="CB38" t="str">
        <f t="shared" si="14"/>
        <v>{SILVER}Early open wagons had simple four-wheeled structures and were typically pulled by horses on quarry lines.</v>
      </c>
    </row>
    <row r="39" spans="1:80" x14ac:dyDescent="0.3">
      <c r="A39" t="s">
        <v>120</v>
      </c>
      <c r="B39" t="s">
        <v>256</v>
      </c>
      <c r="C39">
        <v>22</v>
      </c>
      <c r="D39" t="s">
        <v>281</v>
      </c>
      <c r="E39" t="s">
        <v>281</v>
      </c>
      <c r="F39" t="s">
        <v>275</v>
      </c>
      <c r="G39">
        <v>1850</v>
      </c>
      <c r="I39">
        <v>1920</v>
      </c>
      <c r="T39">
        <v>5</v>
      </c>
      <c r="V39">
        <v>3</v>
      </c>
      <c r="X39" s="3" t="str">
        <f t="shared" si="16"/>
        <v/>
      </c>
      <c r="Y39">
        <v>35</v>
      </c>
      <c r="Z39">
        <f t="shared" si="15"/>
        <v>56</v>
      </c>
      <c r="AC39">
        <v>4.9000000000000004</v>
      </c>
      <c r="AD39">
        <v>6</v>
      </c>
      <c r="AG39" s="10">
        <v>15</v>
      </c>
      <c r="AH39" t="str">
        <f>CONCATENATE(VLOOKUP(AI39, 'Voxel Sizes'!$A$2:$B$18,2,FALSE),"x",INT(AE39*15), "x", INT(AF39*15))</f>
        <v>60x0x0</v>
      </c>
      <c r="AI39">
        <f t="shared" si="1"/>
        <v>4</v>
      </c>
      <c r="AK39" t="str">
        <f>CONCATENATE(VLOOKUP(AI39,Constants!$A$2:$C$16,IF(AJ39&lt;&gt;"", 3, 2), FALSE),IF(AJ39&lt;&gt;"",CONCATENATE(",",VLOOKUP(AJ39,$B:$AK,36,FALSE)),""))</f>
        <v>1,2,1</v>
      </c>
      <c r="AU39">
        <v>30</v>
      </c>
      <c r="AV39" s="15">
        <f t="shared" si="2"/>
        <v>78</v>
      </c>
      <c r="AY39">
        <f t="shared" si="3"/>
        <v>7</v>
      </c>
      <c r="AZ39">
        <f t="shared" si="4"/>
        <v>0</v>
      </c>
      <c r="BA39">
        <f t="shared" si="5"/>
        <v>0</v>
      </c>
      <c r="BB39" s="3">
        <f t="shared" si="6"/>
        <v>1</v>
      </c>
      <c r="BC39">
        <f t="shared" si="7"/>
        <v>2.5</v>
      </c>
      <c r="BD39">
        <f>VLOOKUP($E39,Constants!$I:$K, 2, FALSE)</f>
        <v>1</v>
      </c>
      <c r="BE39">
        <f>VLOOKUP($E39,Constants!$I:$K, 3, FALSE)*IF(AND(D39="multiple_unit",Y39&lt;110),0.75,1)</f>
        <v>0.45</v>
      </c>
      <c r="BF39">
        <f>INT(POWER(((Constants!$G$2+$AY39+$AZ39+$BA39+$BC39)*$BB39)*$BE39, 1.05))+$AX39</f>
        <v>7</v>
      </c>
      <c r="BG39">
        <f>INT(POWER((((Constants!$G$1+$AY39+$AZ39+$BA39+$BC39)*($BB39))*$BD39),IF($D39="wagon",1,1.2)))+$AW39</f>
        <v>24</v>
      </c>
      <c r="BH39" s="14">
        <f t="shared" si="8"/>
        <v>437.5</v>
      </c>
      <c r="BI39" s="14">
        <f t="shared" si="9"/>
        <v>65.52</v>
      </c>
      <c r="BP39">
        <v>1</v>
      </c>
      <c r="BQ39">
        <v>185</v>
      </c>
      <c r="BR39" t="s">
        <v>1362</v>
      </c>
      <c r="BS39" t="s">
        <v>714</v>
      </c>
      <c r="BT39" t="str">
        <f>VLOOKUP(G39,Eras!$A$2:$C$10, 2, TRUE)</f>
        <v>vct</v>
      </c>
      <c r="BU39" t="s">
        <v>340</v>
      </c>
      <c r="BV39" t="str">
        <f t="shared" si="10"/>
        <v>vct_Open Wagon</v>
      </c>
      <c r="BW39" t="str">
        <f t="shared" si="11"/>
        <v>wagon_RAIL</v>
      </c>
      <c r="BX39" t="str">
        <f>VLOOKUP($BW39, Constants!$M:$N, 2, FALSE)</f>
        <v/>
      </c>
      <c r="BY39" t="str">
        <f t="shared" si="17"/>
        <v/>
      </c>
      <c r="BZ39" t="s">
        <v>364</v>
      </c>
      <c r="CA39" t="str">
        <f t="shared" si="18"/>
        <v/>
      </c>
      <c r="CB39" t="str">
        <f t="shared" si="14"/>
        <v>{SILVER}Open "plank" wagons are named for the number of planks used in the construction of their sides.</v>
      </c>
    </row>
    <row r="40" spans="1:80" x14ac:dyDescent="0.3">
      <c r="A40" t="s">
        <v>121</v>
      </c>
      <c r="B40" t="s">
        <v>257</v>
      </c>
      <c r="C40">
        <v>23</v>
      </c>
      <c r="D40" t="s">
        <v>281</v>
      </c>
      <c r="E40" t="s">
        <v>281</v>
      </c>
      <c r="F40" t="s">
        <v>275</v>
      </c>
      <c r="G40">
        <v>1902</v>
      </c>
      <c r="I40">
        <v>1965</v>
      </c>
      <c r="T40">
        <v>8</v>
      </c>
      <c r="V40">
        <v>3</v>
      </c>
      <c r="X40" s="3" t="str">
        <f t="shared" si="16"/>
        <v/>
      </c>
      <c r="Y40">
        <v>45</v>
      </c>
      <c r="Z40">
        <f t="shared" si="15"/>
        <v>72</v>
      </c>
      <c r="AC40">
        <v>4.9000000000000004</v>
      </c>
      <c r="AD40">
        <v>6</v>
      </c>
      <c r="AG40" s="10">
        <v>21</v>
      </c>
      <c r="AH40" t="str">
        <f>CONCATENATE(VLOOKUP(AI40, 'Voxel Sizes'!$A$2:$B$18,2,FALSE),"x",INT(AE40*15), "x", INT(AF40*15))</f>
        <v>60x0x0</v>
      </c>
      <c r="AI40">
        <f t="shared" si="1"/>
        <v>4</v>
      </c>
      <c r="AK40" t="str">
        <f>CONCATENATE(VLOOKUP(AI40,Constants!$A$2:$C$16,IF(AJ40&lt;&gt;"", 3, 2), FALSE),IF(AJ40&lt;&gt;"",CONCATENATE(",",VLOOKUP(AJ40,$B:$AK,36,FALSE)),""))</f>
        <v>1,2,1</v>
      </c>
      <c r="AU40">
        <v>30</v>
      </c>
      <c r="AV40" s="15">
        <f t="shared" si="2"/>
        <v>71</v>
      </c>
      <c r="AY40">
        <f t="shared" si="3"/>
        <v>9</v>
      </c>
      <c r="AZ40">
        <f t="shared" si="4"/>
        <v>0</v>
      </c>
      <c r="BA40">
        <f t="shared" si="5"/>
        <v>0</v>
      </c>
      <c r="BB40" s="3">
        <f t="shared" si="6"/>
        <v>0.99733333333333329</v>
      </c>
      <c r="BC40">
        <f t="shared" si="7"/>
        <v>3.5000000000000004</v>
      </c>
      <c r="BD40">
        <f>VLOOKUP($E40,Constants!$I:$K, 2, FALSE)</f>
        <v>1</v>
      </c>
      <c r="BE40">
        <f>VLOOKUP($E40,Constants!$I:$K, 3, FALSE)*IF(AND(D40="multiple_unit",Y40&lt;110),0.75,1)</f>
        <v>0.45</v>
      </c>
      <c r="BF40">
        <f>INT(POWER(((Constants!$G$2+$AY40+$AZ40+$BA40+$BC40)*$BB40)*$BE40, 1.05))+$AX40</f>
        <v>8</v>
      </c>
      <c r="BG40">
        <f>INT(POWER((((Constants!$G$1+$AY40+$AZ40+$BA40+$BC40)*($BB40))*$BD40),IF($D40="wagon",1,1.2)))+$AW40</f>
        <v>27</v>
      </c>
      <c r="BH40" s="14">
        <f t="shared" si="8"/>
        <v>500</v>
      </c>
      <c r="BI40" s="14">
        <f t="shared" si="9"/>
        <v>73.709999999999994</v>
      </c>
      <c r="BP40">
        <v>1</v>
      </c>
      <c r="BQ40">
        <v>185</v>
      </c>
      <c r="BR40" t="s">
        <v>1041</v>
      </c>
      <c r="BS40" t="s">
        <v>714</v>
      </c>
      <c r="BT40" t="str">
        <f>VLOOKUP(G40,Eras!$A$2:$C$10, 2, TRUE)</f>
        <v>edw</v>
      </c>
      <c r="BU40" t="s">
        <v>340</v>
      </c>
      <c r="BV40" t="str">
        <f t="shared" si="10"/>
        <v>edw_Open Wagon</v>
      </c>
      <c r="BW40" t="str">
        <f t="shared" si="11"/>
        <v>wagon_RAIL</v>
      </c>
      <c r="BX40" t="str">
        <f>VLOOKUP($BW40, Constants!$M:$N, 2, FALSE)</f>
        <v/>
      </c>
      <c r="BY40" t="str">
        <f t="shared" si="17"/>
        <v/>
      </c>
      <c r="BZ40" t="s">
        <v>365</v>
      </c>
      <c r="CA40" t="str">
        <f t="shared" si="18"/>
        <v/>
      </c>
      <c r="CB40" t="str">
        <f t="shared" si="14"/>
        <v>{SILVER}The 5 plank wagon became one of the common standard types used by the GWR, with thousands built.</v>
      </c>
    </row>
    <row r="41" spans="1:80" x14ac:dyDescent="0.3">
      <c r="A41" t="s">
        <v>122</v>
      </c>
      <c r="B41" t="s">
        <v>207</v>
      </c>
      <c r="C41">
        <v>24</v>
      </c>
      <c r="D41" t="s">
        <v>281</v>
      </c>
      <c r="E41" t="s">
        <v>281</v>
      </c>
      <c r="F41" t="s">
        <v>275</v>
      </c>
      <c r="G41">
        <v>1935</v>
      </c>
      <c r="I41">
        <v>1970</v>
      </c>
      <c r="T41">
        <v>10</v>
      </c>
      <c r="V41">
        <v>4</v>
      </c>
      <c r="X41" s="3" t="str">
        <f t="shared" si="16"/>
        <v/>
      </c>
      <c r="Y41">
        <v>50</v>
      </c>
      <c r="Z41">
        <f t="shared" si="15"/>
        <v>80</v>
      </c>
      <c r="AC41">
        <v>8</v>
      </c>
      <c r="AD41">
        <v>8</v>
      </c>
      <c r="AG41" s="10">
        <v>27</v>
      </c>
      <c r="AH41" t="str">
        <f>CONCATENATE(VLOOKUP(AI41, 'Voxel Sizes'!$A$2:$B$18,2,FALSE),"x",INT(AE41*15), "x", INT(AF41*15))</f>
        <v>82x0x0</v>
      </c>
      <c r="AI41">
        <f t="shared" si="1"/>
        <v>5</v>
      </c>
      <c r="AK41" t="str">
        <f>CONCATENATE(VLOOKUP(AI41,Constants!$A$2:$C$16,IF(AJ41&lt;&gt;"", 3, 2), FALSE),IF(AJ41&lt;&gt;"",CONCATENATE(",",VLOOKUP(AJ41,$B:$AK,36,FALSE)),""))</f>
        <v>2,1,2</v>
      </c>
      <c r="AU41">
        <v>30</v>
      </c>
      <c r="AV41" s="15">
        <f t="shared" si="2"/>
        <v>43</v>
      </c>
      <c r="AY41">
        <f t="shared" si="3"/>
        <v>10</v>
      </c>
      <c r="AZ41">
        <f t="shared" si="4"/>
        <v>0</v>
      </c>
      <c r="BA41">
        <f t="shared" si="5"/>
        <v>0</v>
      </c>
      <c r="BB41" s="3">
        <f t="shared" si="6"/>
        <v>0.95333333333333337</v>
      </c>
      <c r="BC41">
        <f t="shared" si="7"/>
        <v>4.5</v>
      </c>
      <c r="BD41">
        <f>VLOOKUP($E41,Constants!$I:$K, 2, FALSE)</f>
        <v>1</v>
      </c>
      <c r="BE41">
        <f>VLOOKUP($E41,Constants!$I:$K, 3, FALSE)*IF(AND(D41="multiple_unit",Y41&lt;110),0.75,1)</f>
        <v>0.45</v>
      </c>
      <c r="BF41">
        <f>INT(POWER(((Constants!$G$2+$AY41+$AZ41+$BA41+$BC41)*$BB41)*$BE41, 1.05))+$AX41</f>
        <v>9</v>
      </c>
      <c r="BG41">
        <f>INT(POWER((((Constants!$G$1+$AY41+$AZ41+$BA41+$BC41)*($BB41))*$BD41),IF($D41="wagon",1,1.2)))+$AW41</f>
        <v>28</v>
      </c>
      <c r="BH41" s="14">
        <f t="shared" si="8"/>
        <v>562.5</v>
      </c>
      <c r="BI41" s="14">
        <f t="shared" si="9"/>
        <v>76.44</v>
      </c>
      <c r="BP41">
        <v>1</v>
      </c>
      <c r="BQ41">
        <v>185</v>
      </c>
      <c r="BR41" t="s">
        <v>1041</v>
      </c>
      <c r="BS41" t="s">
        <v>714</v>
      </c>
      <c r="BT41" t="str">
        <f>VLOOKUP(G41,Eras!$A$2:$C$10, 2, TRUE)</f>
        <v>big4</v>
      </c>
      <c r="BU41" t="s">
        <v>340</v>
      </c>
      <c r="BV41" t="str">
        <f t="shared" si="10"/>
        <v>big4_Open Wagon</v>
      </c>
      <c r="BW41" t="str">
        <f t="shared" si="11"/>
        <v>wagon_RAIL</v>
      </c>
      <c r="BX41" t="str">
        <f>VLOOKUP($BW41, Constants!$M:$N, 2, FALSE)</f>
        <v/>
      </c>
      <c r="BY41" t="str">
        <f t="shared" si="17"/>
        <v/>
      </c>
      <c r="BZ41" t="s">
        <v>715</v>
      </c>
      <c r="CA41" t="str">
        <f t="shared" si="18"/>
        <v/>
      </c>
      <c r="CB41" t="str">
        <f t="shared" si="14"/>
        <v>{SILVER}Steel wagons were introduced in the 1930s to have a longer service life than wooden wagons, which were proving uneconomical for many owners to operate after recessions at the start of the decade.</v>
      </c>
    </row>
    <row r="42" spans="1:80" x14ac:dyDescent="0.3">
      <c r="A42" t="s">
        <v>719</v>
      </c>
      <c r="B42" t="s">
        <v>720</v>
      </c>
      <c r="C42">
        <v>26</v>
      </c>
      <c r="D42" t="s">
        <v>281</v>
      </c>
      <c r="E42" t="s">
        <v>281</v>
      </c>
      <c r="F42" t="s">
        <v>275</v>
      </c>
      <c r="G42">
        <v>1951</v>
      </c>
      <c r="I42">
        <v>1985</v>
      </c>
      <c r="T42">
        <v>10</v>
      </c>
      <c r="V42">
        <v>4</v>
      </c>
      <c r="X42" s="3" t="str">
        <f t="shared" si="16"/>
        <v/>
      </c>
      <c r="Y42">
        <v>60</v>
      </c>
      <c r="Z42">
        <f t="shared" si="15"/>
        <v>96</v>
      </c>
      <c r="AC42">
        <v>8</v>
      </c>
      <c r="AD42">
        <v>8</v>
      </c>
      <c r="AG42" s="10">
        <v>27</v>
      </c>
      <c r="AH42" t="str">
        <f>CONCATENATE(VLOOKUP(AI42, 'Voxel Sizes'!$A$2:$B$18,2,FALSE),"x",INT(AE42*15), "x", INT(AF42*15))</f>
        <v>82x0x0</v>
      </c>
      <c r="AI42">
        <f t="shared" si="1"/>
        <v>5</v>
      </c>
      <c r="AK42" t="str">
        <f>CONCATENATE(VLOOKUP(AI42,Constants!$A$2:$C$16,IF(AJ42&lt;&gt;"", 3, 2), FALSE),IF(AJ42&lt;&gt;"",CONCATENATE(",",VLOOKUP(AJ42,$B:$AK,36,FALSE)),""))</f>
        <v>2,1,2</v>
      </c>
      <c r="AU42">
        <v>30</v>
      </c>
      <c r="AV42" s="15">
        <f t="shared" si="2"/>
        <v>42</v>
      </c>
      <c r="AY42">
        <f t="shared" si="3"/>
        <v>12</v>
      </c>
      <c r="AZ42">
        <f t="shared" si="4"/>
        <v>0</v>
      </c>
      <c r="BA42">
        <f t="shared" si="5"/>
        <v>0</v>
      </c>
      <c r="BB42" s="3">
        <f t="shared" si="6"/>
        <v>0.93199999999999994</v>
      </c>
      <c r="BC42">
        <f t="shared" si="7"/>
        <v>4.5</v>
      </c>
      <c r="BD42">
        <f>VLOOKUP($E42,Constants!$I:$K, 2, FALSE)</f>
        <v>1</v>
      </c>
      <c r="BE42">
        <f>VLOOKUP($E42,Constants!$I:$K, 3, FALSE)*IF(AND(D42="multiple_unit",Y42&lt;110),0.75,1)</f>
        <v>0.45</v>
      </c>
      <c r="BF42">
        <f>INT(POWER(((Constants!$G$2+$AY42+$AZ42+$BA42+$BC42)*$BB42)*$BE42, 1.05))+$AX42</f>
        <v>10</v>
      </c>
      <c r="BG42">
        <f>INT(POWER((((Constants!$G$1+$AY42+$AZ42+$BA42+$BC42)*($BB42))*$BD42),IF($D42="wagon",1,1.2)))+$AW42</f>
        <v>29</v>
      </c>
      <c r="BH42" s="14">
        <f t="shared" si="8"/>
        <v>625</v>
      </c>
      <c r="BI42" s="14">
        <f t="shared" si="9"/>
        <v>79.17</v>
      </c>
      <c r="BP42">
        <v>1</v>
      </c>
      <c r="BQ42">
        <v>185</v>
      </c>
      <c r="BR42" t="s">
        <v>1041</v>
      </c>
      <c r="BS42" t="s">
        <v>714</v>
      </c>
      <c r="BT42" t="str">
        <f>VLOOKUP(G42,Eras!$A$2:$C$10, 2, TRUE)</f>
        <v>ebr</v>
      </c>
      <c r="BU42" t="s">
        <v>340</v>
      </c>
      <c r="BV42" t="str">
        <f t="shared" si="10"/>
        <v>ebr_Open Wagon</v>
      </c>
      <c r="BW42" t="str">
        <f t="shared" si="11"/>
        <v>wagon_RAIL</v>
      </c>
      <c r="BX42" t="str">
        <f>VLOOKUP($BW42, Constants!$M:$N, 2, FALSE)</f>
        <v/>
      </c>
      <c r="BY42" t="str">
        <f t="shared" si="17"/>
        <v/>
      </c>
      <c r="BZ42" t="s">
        <v>721</v>
      </c>
      <c r="CA42" t="str">
        <f t="shared" si="18"/>
        <v/>
      </c>
      <c r="CB42" t="str">
        <f t="shared" si="14"/>
        <v>{SILVER}BR continued to make steel bodied wagons following LNER designs, gradually altering the body style.</v>
      </c>
    </row>
    <row r="43" spans="1:80" x14ac:dyDescent="0.3">
      <c r="A43" t="s">
        <v>717</v>
      </c>
      <c r="B43" t="s">
        <v>718</v>
      </c>
      <c r="C43">
        <v>28</v>
      </c>
      <c r="D43" t="s">
        <v>281</v>
      </c>
      <c r="E43" t="s">
        <v>281</v>
      </c>
      <c r="F43" t="s">
        <v>275</v>
      </c>
      <c r="G43">
        <v>1971</v>
      </c>
      <c r="I43">
        <v>2018</v>
      </c>
      <c r="T43">
        <v>14</v>
      </c>
      <c r="V43">
        <v>5</v>
      </c>
      <c r="X43" s="3" t="str">
        <f t="shared" si="16"/>
        <v/>
      </c>
      <c r="Y43">
        <v>70</v>
      </c>
      <c r="Z43">
        <f t="shared" si="15"/>
        <v>112</v>
      </c>
      <c r="AC43">
        <v>10</v>
      </c>
      <c r="AD43">
        <v>10</v>
      </c>
      <c r="AG43" s="10">
        <v>33</v>
      </c>
      <c r="AH43" t="str">
        <f>CONCATENATE(VLOOKUP(AI43, 'Voxel Sizes'!$A$2:$B$18,2,FALSE),"x",INT(AE43*15), "x", INT(AF43*15))</f>
        <v>102x0x0</v>
      </c>
      <c r="AI43">
        <f t="shared" si="1"/>
        <v>6</v>
      </c>
      <c r="AK43" t="str">
        <f>CONCATENATE(VLOOKUP(AI43,Constants!$A$2:$C$16,IF(AJ43&lt;&gt;"", 3, 2), FALSE),IF(AJ43&lt;&gt;"",CONCATENATE(",",VLOOKUP(AJ43,$B:$AK,36,FALSE)),""))</f>
        <v>2,2,2</v>
      </c>
      <c r="AU43">
        <v>30</v>
      </c>
      <c r="AV43" s="15">
        <f t="shared" si="2"/>
        <v>55</v>
      </c>
      <c r="AY43">
        <f t="shared" si="3"/>
        <v>14</v>
      </c>
      <c r="AZ43">
        <f t="shared" si="4"/>
        <v>0</v>
      </c>
      <c r="BA43">
        <f t="shared" si="5"/>
        <v>0</v>
      </c>
      <c r="BB43" s="3">
        <f t="shared" si="6"/>
        <v>0.90533333333333332</v>
      </c>
      <c r="BC43">
        <f t="shared" si="7"/>
        <v>5.5</v>
      </c>
      <c r="BD43">
        <f>VLOOKUP($E43,Constants!$I:$K, 2, FALSE)</f>
        <v>1</v>
      </c>
      <c r="BE43">
        <f>VLOOKUP($E43,Constants!$I:$K, 3, FALSE)*IF(AND(D43="multiple_unit",Y43&lt;110),0.75,1)</f>
        <v>0.45</v>
      </c>
      <c r="BF43">
        <f>INT(POWER(((Constants!$G$2+$AY43+$AZ43+$BA43+$BC43)*$BB43)*$BE43, 1.05))+$AX43</f>
        <v>11</v>
      </c>
      <c r="BG43">
        <f>INT(POWER((((Constants!$G$1+$AY43+$AZ43+$BA43+$BC43)*($BB43))*$BD43),IF($D43="wagon",1,1.2)))+$AW43</f>
        <v>31</v>
      </c>
      <c r="BH43" s="14">
        <f t="shared" si="8"/>
        <v>687.5</v>
      </c>
      <c r="BI43" s="14">
        <f t="shared" si="9"/>
        <v>84.63</v>
      </c>
      <c r="BP43">
        <v>1</v>
      </c>
      <c r="BQ43">
        <v>185</v>
      </c>
      <c r="BR43" t="s">
        <v>1041</v>
      </c>
      <c r="BS43" t="s">
        <v>714</v>
      </c>
      <c r="BT43" t="str">
        <f>VLOOKUP(G43,Eras!$A$2:$C$10, 2, TRUE)</f>
        <v>lbr</v>
      </c>
      <c r="BU43" t="s">
        <v>340</v>
      </c>
      <c r="BV43" t="str">
        <f t="shared" si="10"/>
        <v>lbr_Open Wagon</v>
      </c>
      <c r="BW43" t="str">
        <f t="shared" si="11"/>
        <v>wagon_RAIL</v>
      </c>
      <c r="BX43" t="str">
        <f>VLOOKUP($BW43, Constants!$M:$N, 2, FALSE)</f>
        <v/>
      </c>
      <c r="BY43" t="str">
        <f t="shared" si="17"/>
        <v/>
      </c>
      <c r="BZ43" t="s">
        <v>722</v>
      </c>
      <c r="CA43" t="str">
        <f t="shared" si="18"/>
        <v/>
      </c>
      <c r="CB43" t="str">
        <f t="shared" si="14"/>
        <v>{SILVER}The OAA/OBA wagons were BR's first air braked open wagons, later forming part of the Speedlink network. They featured steel end frames with wooden drop sides.</v>
      </c>
    </row>
    <row r="44" spans="1:80" x14ac:dyDescent="0.3">
      <c r="A44" t="s">
        <v>723</v>
      </c>
      <c r="B44" t="s">
        <v>725</v>
      </c>
      <c r="C44">
        <v>30</v>
      </c>
      <c r="D44" t="s">
        <v>281</v>
      </c>
      <c r="E44" t="s">
        <v>281</v>
      </c>
      <c r="F44" t="s">
        <v>275</v>
      </c>
      <c r="G44">
        <v>1989</v>
      </c>
      <c r="T44">
        <v>12</v>
      </c>
      <c r="V44">
        <v>6</v>
      </c>
      <c r="X44" s="3" t="str">
        <f t="shared" si="16"/>
        <v/>
      </c>
      <c r="Y44">
        <v>80</v>
      </c>
      <c r="Z44">
        <f t="shared" si="15"/>
        <v>128</v>
      </c>
      <c r="AC44">
        <v>10</v>
      </c>
      <c r="AD44">
        <v>10</v>
      </c>
      <c r="AG44" s="10">
        <v>45</v>
      </c>
      <c r="AH44" t="str">
        <f>CONCATENATE(VLOOKUP(AI44, 'Voxel Sizes'!$A$2:$B$18,2,FALSE),"x",INT(AE44*15), "x", INT(AF44*15))</f>
        <v>102x0x0</v>
      </c>
      <c r="AI44">
        <f t="shared" si="1"/>
        <v>6</v>
      </c>
      <c r="AK44" t="str">
        <f>CONCATENATE(VLOOKUP(AI44,Constants!$A$2:$C$16,IF(AJ44&lt;&gt;"", 3, 2), FALSE),IF(AJ44&lt;&gt;"",CONCATENATE(",",VLOOKUP(AJ44,$B:$AK,36,FALSE)),""))</f>
        <v>2,2,2</v>
      </c>
      <c r="AU44">
        <v>30</v>
      </c>
      <c r="AV44" s="15" t="str">
        <f t="shared" si="2"/>
        <v/>
      </c>
      <c r="AY44">
        <f t="shared" si="3"/>
        <v>16</v>
      </c>
      <c r="AZ44">
        <f t="shared" si="4"/>
        <v>0</v>
      </c>
      <c r="BA44">
        <f t="shared" si="5"/>
        <v>0</v>
      </c>
      <c r="BB44" s="3">
        <f t="shared" si="6"/>
        <v>0.8813333333333333</v>
      </c>
      <c r="BC44">
        <f t="shared" si="7"/>
        <v>7.5</v>
      </c>
      <c r="BD44">
        <f>VLOOKUP($E44,Constants!$I:$K, 2, FALSE)</f>
        <v>1</v>
      </c>
      <c r="BE44">
        <f>VLOOKUP($E44,Constants!$I:$K, 3, FALSE)*IF(AND(D44="multiple_unit",Y44&lt;110),0.75,1)</f>
        <v>0.45</v>
      </c>
      <c r="BF44">
        <f>INT(POWER(((Constants!$G$2+$AY44+$AZ44+$BA44+$BC44)*$BB44)*$BE44, 1.05))+$AX44</f>
        <v>12</v>
      </c>
      <c r="BG44">
        <f>INT(POWER((((Constants!$G$1+$AY44+$AZ44+$BA44+$BC44)*($BB44))*$BD44),IF($D44="wagon",1,1.2)))+$AW44</f>
        <v>33</v>
      </c>
      <c r="BH44" s="14">
        <f t="shared" si="8"/>
        <v>750</v>
      </c>
      <c r="BI44" s="14">
        <f t="shared" si="9"/>
        <v>90.09</v>
      </c>
      <c r="BP44">
        <v>1</v>
      </c>
      <c r="BQ44">
        <v>185</v>
      </c>
      <c r="BR44" t="s">
        <v>1041</v>
      </c>
      <c r="BS44" t="s">
        <v>714</v>
      </c>
      <c r="BT44" t="str">
        <f>VLOOKUP(G44,Eras!$A$2:$C$10, 2, TRUE)</f>
        <v>lbr</v>
      </c>
      <c r="BU44" t="s">
        <v>340</v>
      </c>
      <c r="BV44" t="str">
        <f t="shared" si="10"/>
        <v>lbr_Open Wagon</v>
      </c>
      <c r="BW44" t="str">
        <f t="shared" si="11"/>
        <v>wagon_RAIL</v>
      </c>
      <c r="BX44" t="str">
        <f>VLOOKUP($BW44, Constants!$M:$N, 2, FALSE)</f>
        <v/>
      </c>
      <c r="BY44" t="str">
        <f t="shared" si="17"/>
        <v/>
      </c>
      <c r="BZ44" t="s">
        <v>726</v>
      </c>
      <c r="CA44" t="str">
        <f t="shared" si="18"/>
        <v/>
      </c>
      <c r="CB44" t="str">
        <f t="shared" si="14"/>
        <v>{SILVER}MEA wagons used frames from old hopper wagons combined with a new box body.</v>
      </c>
    </row>
    <row r="45" spans="1:80" x14ac:dyDescent="0.3">
      <c r="A45" t="s">
        <v>724</v>
      </c>
      <c r="B45" t="s">
        <v>208</v>
      </c>
      <c r="C45">
        <v>32</v>
      </c>
      <c r="D45" t="s">
        <v>281</v>
      </c>
      <c r="E45" t="s">
        <v>281</v>
      </c>
      <c r="F45" t="s">
        <v>275</v>
      </c>
      <c r="G45">
        <v>2015</v>
      </c>
      <c r="T45">
        <v>24</v>
      </c>
      <c r="V45">
        <v>5</v>
      </c>
      <c r="X45" s="3" t="str">
        <f t="shared" si="16"/>
        <v/>
      </c>
      <c r="Y45">
        <v>80</v>
      </c>
      <c r="Z45">
        <f t="shared" si="15"/>
        <v>128</v>
      </c>
      <c r="AC45">
        <v>17</v>
      </c>
      <c r="AD45">
        <v>17</v>
      </c>
      <c r="AG45" s="10">
        <v>78</v>
      </c>
      <c r="AH45" t="str">
        <f>CONCATENATE(VLOOKUP(AI45, 'Voxel Sizes'!$A$2:$B$18,2,FALSE),"x",INT(AE45*15), "x", INT(AF45*15))</f>
        <v>164x0x0</v>
      </c>
      <c r="AI45">
        <f t="shared" si="1"/>
        <v>10</v>
      </c>
      <c r="AK45" t="str">
        <f>CONCATENATE(VLOOKUP(AI45,Constants!$A$2:$C$16,IF(AJ45&lt;&gt;"", 3, 2), FALSE),IF(AJ45&lt;&gt;"",CONCATENATE(",",VLOOKUP(AJ45,$B:$AK,36,FALSE)),""))</f>
        <v>4,2,4</v>
      </c>
      <c r="AU45">
        <v>30</v>
      </c>
      <c r="AV45" s="15" t="str">
        <f t="shared" si="2"/>
        <v/>
      </c>
      <c r="AY45">
        <f t="shared" si="3"/>
        <v>16</v>
      </c>
      <c r="AZ45">
        <f t="shared" si="4"/>
        <v>0</v>
      </c>
      <c r="BA45">
        <f t="shared" si="5"/>
        <v>0</v>
      </c>
      <c r="BB45" s="3">
        <f t="shared" si="6"/>
        <v>0.84666666666666668</v>
      </c>
      <c r="BC45">
        <f t="shared" si="7"/>
        <v>13</v>
      </c>
      <c r="BD45">
        <f>VLOOKUP($E45,Constants!$I:$K, 2, FALSE)</f>
        <v>1</v>
      </c>
      <c r="BE45">
        <f>VLOOKUP($E45,Constants!$I:$K, 3, FALSE)*IF(AND(D45="multiple_unit",Y45&lt;110),0.75,1)</f>
        <v>0.45</v>
      </c>
      <c r="BF45">
        <f>INT(POWER(((Constants!$G$2+$AY45+$AZ45+$BA45+$BC45)*$BB45)*$BE45, 1.05))+$AX45</f>
        <v>14</v>
      </c>
      <c r="BG45">
        <f>INT(POWER((((Constants!$G$1+$AY45+$AZ45+$BA45+$BC45)*($BB45))*$BD45),IF($D45="wagon",1,1.2)))+$AW45</f>
        <v>37</v>
      </c>
      <c r="BH45" s="14">
        <f t="shared" si="8"/>
        <v>875</v>
      </c>
      <c r="BI45" s="14">
        <f t="shared" si="9"/>
        <v>101.01</v>
      </c>
      <c r="BP45">
        <v>1</v>
      </c>
      <c r="BQ45">
        <v>185</v>
      </c>
      <c r="BR45" t="s">
        <v>1041</v>
      </c>
      <c r="BS45" t="s">
        <v>714</v>
      </c>
      <c r="BT45" t="str">
        <f>VLOOKUP(G45,Eras!$A$2:$C$10, 2, TRUE)</f>
        <v>mod</v>
      </c>
      <c r="BU45" t="s">
        <v>340</v>
      </c>
      <c r="BV45" t="str">
        <f t="shared" si="10"/>
        <v>mod_Open Wagon</v>
      </c>
      <c r="BW45" t="str">
        <f t="shared" si="11"/>
        <v>wagon_RAIL</v>
      </c>
      <c r="BX45" t="str">
        <f>VLOOKUP($BW45, Constants!$M:$N, 2, FALSE)</f>
        <v/>
      </c>
      <c r="BY45" t="str">
        <f t="shared" si="17"/>
        <v/>
      </c>
      <c r="BZ45" t="s">
        <v>727</v>
      </c>
      <c r="CA45" t="str">
        <f t="shared" si="18"/>
        <v/>
      </c>
      <c r="CB45" t="str">
        <f t="shared" si="14"/>
        <v>{SILVER}The MWA is another wagon rebuilt using new bodies on an old frame, resulting in a high capacity bogie open wagon.</v>
      </c>
    </row>
    <row r="46" spans="1:80" x14ac:dyDescent="0.3">
      <c r="A46" t="s">
        <v>729</v>
      </c>
      <c r="B46" t="s">
        <v>731</v>
      </c>
      <c r="C46">
        <v>40</v>
      </c>
      <c r="D46" t="s">
        <v>281</v>
      </c>
      <c r="E46" t="s">
        <v>281</v>
      </c>
      <c r="F46" t="s">
        <v>275</v>
      </c>
      <c r="G46">
        <v>1968</v>
      </c>
      <c r="I46">
        <v>2010</v>
      </c>
      <c r="T46">
        <v>17</v>
      </c>
      <c r="V46">
        <v>8</v>
      </c>
      <c r="X46" s="3" t="str">
        <f t="shared" si="16"/>
        <v/>
      </c>
      <c r="Y46">
        <v>60</v>
      </c>
      <c r="Z46">
        <f t="shared" si="15"/>
        <v>96</v>
      </c>
      <c r="AC46">
        <v>10</v>
      </c>
      <c r="AD46">
        <v>10</v>
      </c>
      <c r="AG46" s="10">
        <v>45</v>
      </c>
      <c r="AH46" t="str">
        <f>CONCATENATE(VLOOKUP(AI46, 'Voxel Sizes'!$A$2:$B$18,2,FALSE),"x",INT(AE46*15), "x", INT(AF46*15))</f>
        <v>102x0x0</v>
      </c>
      <c r="AI46">
        <f t="shared" si="1"/>
        <v>6</v>
      </c>
      <c r="AK46" t="str">
        <f>CONCATENATE(VLOOKUP(AI46,Constants!$A$2:$C$16,IF(AJ46&lt;&gt;"", 3, 2), FALSE),IF(AJ46&lt;&gt;"",CONCATENATE(",",VLOOKUP(AJ46,$B:$AK,36,FALSE)),""))</f>
        <v>2,2,2</v>
      </c>
      <c r="AU46">
        <v>30</v>
      </c>
      <c r="AV46" s="15">
        <f t="shared" si="2"/>
        <v>50</v>
      </c>
      <c r="AY46">
        <f t="shared" si="3"/>
        <v>12</v>
      </c>
      <c r="AZ46">
        <f t="shared" si="4"/>
        <v>0</v>
      </c>
      <c r="BA46">
        <f t="shared" si="5"/>
        <v>0</v>
      </c>
      <c r="BB46" s="3">
        <f t="shared" si="6"/>
        <v>0.90933333333333333</v>
      </c>
      <c r="BC46">
        <f t="shared" si="7"/>
        <v>7.5</v>
      </c>
      <c r="BD46">
        <f>VLOOKUP($E46,Constants!$I:$K, 2, FALSE)</f>
        <v>1</v>
      </c>
      <c r="BE46">
        <f>VLOOKUP($E46,Constants!$I:$K, 3, FALSE)*IF(AND(D46="multiple_unit",Y46&lt;110),0.75,1)</f>
        <v>0.45</v>
      </c>
      <c r="BF46">
        <f>INT(POWER(((Constants!$G$2+$AY46+$AZ46+$BA46+$BC46)*$BB46)*$BE46, 1.05))+$AX46</f>
        <v>11</v>
      </c>
      <c r="BG46">
        <f>INT(POWER((((Constants!$G$1+$AY46+$AZ46+$BA46+$BC46)*($BB46))*$BD46),IF($D46="wagon",1,1.2)))+$AW46</f>
        <v>31</v>
      </c>
      <c r="BH46" s="14">
        <f t="shared" si="8"/>
        <v>687.5</v>
      </c>
      <c r="BI46" s="14">
        <f t="shared" si="9"/>
        <v>84.63</v>
      </c>
      <c r="BP46">
        <v>1</v>
      </c>
      <c r="BQ46">
        <v>185</v>
      </c>
      <c r="BR46" t="s">
        <v>1041</v>
      </c>
      <c r="BS46" t="s">
        <v>714</v>
      </c>
      <c r="BT46" t="str">
        <f>VLOOKUP(G46,Eras!$A$2:$C$10, 2, TRUE)</f>
        <v>dsl</v>
      </c>
      <c r="BU46" t="s">
        <v>340</v>
      </c>
      <c r="BV46" t="str">
        <f t="shared" si="10"/>
        <v>dsl_Open Wagon</v>
      </c>
      <c r="BW46" t="str">
        <f t="shared" si="11"/>
        <v>wagon_RAIL</v>
      </c>
      <c r="BX46" t="str">
        <f>VLOOKUP($BW46, Constants!$M:$N, 2, FALSE)</f>
        <v/>
      </c>
      <c r="BY46" t="str">
        <f t="shared" si="17"/>
        <v/>
      </c>
      <c r="BZ46" t="s">
        <v>732</v>
      </c>
      <c r="CA46" t="str">
        <f t="shared" si="18"/>
        <v/>
      </c>
      <c r="CB46" t="str">
        <f t="shared" si="14"/>
        <v>{SILVER}MGR "merry-go-round" hoppers enabled coal trains to load and unload without stopping, emptying coal into discharge hoppers underneath the wagons. In OpenTTD this is represented by faster loading speeds.</v>
      </c>
    </row>
    <row r="47" spans="1:80" x14ac:dyDescent="0.3">
      <c r="A47" t="s">
        <v>730</v>
      </c>
      <c r="B47" t="s">
        <v>209</v>
      </c>
      <c r="C47">
        <v>41</v>
      </c>
      <c r="D47" t="s">
        <v>281</v>
      </c>
      <c r="E47" t="s">
        <v>281</v>
      </c>
      <c r="F47" t="s">
        <v>275</v>
      </c>
      <c r="G47">
        <v>2000</v>
      </c>
      <c r="T47">
        <v>24</v>
      </c>
      <c r="V47">
        <v>8</v>
      </c>
      <c r="X47" s="3" t="str">
        <f t="shared" si="16"/>
        <v/>
      </c>
      <c r="Y47">
        <v>80</v>
      </c>
      <c r="Z47">
        <f t="shared" si="15"/>
        <v>128</v>
      </c>
      <c r="AC47">
        <v>19.7</v>
      </c>
      <c r="AD47">
        <v>19.399999999999999</v>
      </c>
      <c r="AG47" s="10">
        <v>78</v>
      </c>
      <c r="AH47" t="str">
        <f>CONCATENATE(VLOOKUP(AI47, 'Voxel Sizes'!$A$2:$B$18,2,FALSE),"x",INT(AE47*15), "x", INT(AF47*15))</f>
        <v>186x0x0</v>
      </c>
      <c r="AI47">
        <f t="shared" si="1"/>
        <v>11</v>
      </c>
      <c r="AK47" t="str">
        <f>CONCATENATE(VLOOKUP(AI47,Constants!$A$2:$C$16,IF(AJ47&lt;&gt;"", 3, 2), FALSE),IF(AJ47&lt;&gt;"",CONCATENATE(",",VLOOKUP(AJ47,$B:$AK,36,FALSE)),""))</f>
        <v>4,3,4</v>
      </c>
      <c r="AU47">
        <v>30</v>
      </c>
      <c r="AV47" s="15" t="str">
        <f t="shared" si="2"/>
        <v/>
      </c>
      <c r="AY47">
        <f t="shared" si="3"/>
        <v>16</v>
      </c>
      <c r="AZ47">
        <f t="shared" si="4"/>
        <v>0</v>
      </c>
      <c r="BA47">
        <f t="shared" si="5"/>
        <v>0</v>
      </c>
      <c r="BB47" s="3">
        <f t="shared" si="6"/>
        <v>0.8666666666666667</v>
      </c>
      <c r="BC47">
        <f t="shared" si="7"/>
        <v>13</v>
      </c>
      <c r="BD47">
        <f>VLOOKUP($E47,Constants!$I:$K, 2, FALSE)</f>
        <v>1</v>
      </c>
      <c r="BE47">
        <f>VLOOKUP($E47,Constants!$I:$K, 3, FALSE)*IF(AND(D47="multiple_unit",Y47&lt;110),0.75,1)</f>
        <v>0.45</v>
      </c>
      <c r="BF47">
        <f>INT(POWER(((Constants!$G$2+$AY47+$AZ47+$BA47+$BC47)*$BB47)*$BE47, 1.05))+$AX47</f>
        <v>15</v>
      </c>
      <c r="BG47">
        <f>INT(POWER((((Constants!$G$1+$AY47+$AZ47+$BA47+$BC47)*($BB47))*$BD47),IF($D47="wagon",1,1.2)))+$AW47</f>
        <v>38</v>
      </c>
      <c r="BH47" s="14">
        <f t="shared" si="8"/>
        <v>937.5</v>
      </c>
      <c r="BI47" s="14">
        <f t="shared" si="9"/>
        <v>103.74</v>
      </c>
      <c r="BP47">
        <v>1</v>
      </c>
      <c r="BQ47">
        <v>185</v>
      </c>
      <c r="BR47" t="s">
        <v>1041</v>
      </c>
      <c r="BS47" t="s">
        <v>714</v>
      </c>
      <c r="BT47" t="str">
        <f>VLOOKUP(G47,Eras!$A$2:$C$10, 2, TRUE)</f>
        <v>prv</v>
      </c>
      <c r="BU47" t="s">
        <v>340</v>
      </c>
      <c r="BV47" t="str">
        <f t="shared" si="10"/>
        <v>prv_Open Wagon</v>
      </c>
      <c r="BW47" t="str">
        <f t="shared" si="11"/>
        <v>wagon_RAIL</v>
      </c>
      <c r="BX47" t="str">
        <f>VLOOKUP($BW47, Constants!$M:$N, 2, FALSE)</f>
        <v/>
      </c>
      <c r="BY47" t="str">
        <f t="shared" si="17"/>
        <v/>
      </c>
      <c r="BZ47" t="s">
        <v>728</v>
      </c>
      <c r="CA47" t="str">
        <f t="shared" si="18"/>
        <v/>
      </c>
      <c r="CB47" t="str">
        <f t="shared" si="14"/>
        <v>{SILVER}The HHA is a large self-discharging hopper built for Freightliner to use on coal trains.</v>
      </c>
    </row>
    <row r="48" spans="1:80" x14ac:dyDescent="0.3">
      <c r="A48" t="s">
        <v>795</v>
      </c>
      <c r="B48" t="s">
        <v>796</v>
      </c>
      <c r="C48">
        <v>50</v>
      </c>
      <c r="D48" t="s">
        <v>281</v>
      </c>
      <c r="E48" t="s">
        <v>281</v>
      </c>
      <c r="F48" t="s">
        <v>275</v>
      </c>
      <c r="G48">
        <v>1930</v>
      </c>
      <c r="I48">
        <v>1970</v>
      </c>
      <c r="T48">
        <v>7</v>
      </c>
      <c r="V48">
        <v>9</v>
      </c>
      <c r="X48" s="3" t="str">
        <f t="shared" si="16"/>
        <v/>
      </c>
      <c r="Y48">
        <v>60</v>
      </c>
      <c r="Z48">
        <f t="shared" si="15"/>
        <v>96</v>
      </c>
      <c r="AC48">
        <v>8</v>
      </c>
      <c r="AD48">
        <v>8</v>
      </c>
      <c r="AG48" s="10">
        <v>27</v>
      </c>
      <c r="AH48" t="str">
        <f>CONCATENATE(VLOOKUP(AI48, 'Voxel Sizes'!$A$2:$B$18,2,FALSE),"x",INT(AE48*15), "x", INT(AF48*15))</f>
        <v>82x0x0</v>
      </c>
      <c r="AI48">
        <f t="shared" si="1"/>
        <v>5</v>
      </c>
      <c r="AK48" t="str">
        <f>CONCATENATE(VLOOKUP(AI48,Constants!$A$2:$C$16,IF(AJ48&lt;&gt;"", 3, 2), FALSE),IF(AJ48&lt;&gt;"",CONCATENATE(",",VLOOKUP(AJ48,$B:$AK,36,FALSE)),""))</f>
        <v>2,1,2</v>
      </c>
      <c r="AU48">
        <v>30</v>
      </c>
      <c r="AV48" s="15">
        <f t="shared" si="2"/>
        <v>48</v>
      </c>
      <c r="AY48">
        <f t="shared" si="3"/>
        <v>12</v>
      </c>
      <c r="AZ48">
        <f t="shared" si="4"/>
        <v>0</v>
      </c>
      <c r="BA48">
        <f t="shared" si="5"/>
        <v>0</v>
      </c>
      <c r="BB48" s="3">
        <f t="shared" si="6"/>
        <v>0.96</v>
      </c>
      <c r="BC48">
        <f t="shared" si="7"/>
        <v>4.5</v>
      </c>
      <c r="BD48">
        <f>VLOOKUP($E48,Constants!$I:$K, 2, FALSE)</f>
        <v>1</v>
      </c>
      <c r="BE48">
        <f>VLOOKUP($E48,Constants!$I:$K, 3, FALSE)*IF(AND(D48="multiple_unit",Y48&lt;110),0.75,1)</f>
        <v>0.45</v>
      </c>
      <c r="BF48">
        <f>INT(POWER(((Constants!$G$2+$AY48+$AZ48+$BA48+$BC48)*$BB48)*$BE48, 1.05))+$AX48</f>
        <v>10</v>
      </c>
      <c r="BG48">
        <f>INT(POWER((((Constants!$G$1+$AY48+$AZ48+$BA48+$BC48)*($BB48))*$BD48),IF($D48="wagon",1,1.2)))+$AW48</f>
        <v>30</v>
      </c>
      <c r="BH48" s="14">
        <f t="shared" si="8"/>
        <v>625</v>
      </c>
      <c r="BI48" s="14">
        <f t="shared" si="9"/>
        <v>81.900000000000006</v>
      </c>
      <c r="BP48">
        <v>1</v>
      </c>
      <c r="BQ48">
        <v>185</v>
      </c>
      <c r="BR48" t="s">
        <v>1044</v>
      </c>
      <c r="BS48" t="s">
        <v>286</v>
      </c>
      <c r="BT48" t="str">
        <f>VLOOKUP(G48,Eras!$A$2:$C$10, 2, TRUE)</f>
        <v>big4</v>
      </c>
      <c r="BU48" t="s">
        <v>695</v>
      </c>
      <c r="BV48" t="str">
        <f t="shared" si="10"/>
        <v>big4_Extra</v>
      </c>
      <c r="BW48" t="str">
        <f t="shared" si="11"/>
        <v>wagon_RAIL</v>
      </c>
      <c r="BX48" t="str">
        <f>VLOOKUP($BW48, Constants!$M:$N, 2, FALSE)</f>
        <v/>
      </c>
      <c r="BY48" t="str">
        <f t="shared" si="17"/>
        <v/>
      </c>
      <c r="BZ48" t="s">
        <v>1407</v>
      </c>
      <c r="CA48" t="str">
        <f t="shared" si="18"/>
        <v/>
      </c>
      <c r="CB48" t="str">
        <f t="shared" si="14"/>
        <v>{SILVER}Conflats were built to carry containers, meaning goods could be loaded separately and then the whole container placed on the train in one operation.</v>
      </c>
    </row>
    <row r="49" spans="1:80" x14ac:dyDescent="0.3">
      <c r="A49" t="s">
        <v>764</v>
      </c>
      <c r="B49" t="s">
        <v>765</v>
      </c>
      <c r="C49">
        <v>52</v>
      </c>
      <c r="D49" t="s">
        <v>281</v>
      </c>
      <c r="E49" t="s">
        <v>281</v>
      </c>
      <c r="F49" t="s">
        <v>275</v>
      </c>
      <c r="G49">
        <v>1964</v>
      </c>
      <c r="I49">
        <v>1995</v>
      </c>
      <c r="T49">
        <v>17</v>
      </c>
      <c r="V49">
        <v>9</v>
      </c>
      <c r="X49" s="3" t="str">
        <f t="shared" si="16"/>
        <v/>
      </c>
      <c r="Y49">
        <v>70</v>
      </c>
      <c r="Z49">
        <f t="shared" si="15"/>
        <v>112</v>
      </c>
      <c r="AC49">
        <v>19.3</v>
      </c>
      <c r="AD49">
        <v>19.3</v>
      </c>
      <c r="AG49" s="10">
        <v>60</v>
      </c>
      <c r="AH49" t="str">
        <f>CONCATENATE(VLOOKUP(AI49, 'Voxel Sizes'!$A$2:$B$18,2,FALSE),"x",INT(AE49*15), "x", INT(AF49*15))</f>
        <v>186x0x0</v>
      </c>
      <c r="AI49">
        <f t="shared" si="1"/>
        <v>11</v>
      </c>
      <c r="AK49" t="str">
        <f>CONCATENATE(VLOOKUP(AI49,Constants!$A$2:$C$16,IF(AJ49&lt;&gt;"", 3, 2), FALSE),IF(AJ49&lt;&gt;"",CONCATENATE(",",VLOOKUP(AJ49,$B:$AK,36,FALSE)),""))</f>
        <v>4,3,4</v>
      </c>
      <c r="AU49">
        <v>30</v>
      </c>
      <c r="AV49" s="15">
        <f t="shared" si="2"/>
        <v>39</v>
      </c>
      <c r="AY49">
        <f t="shared" si="3"/>
        <v>14</v>
      </c>
      <c r="AZ49">
        <f t="shared" si="4"/>
        <v>0</v>
      </c>
      <c r="BA49">
        <f t="shared" si="5"/>
        <v>0</v>
      </c>
      <c r="BB49" s="3">
        <f t="shared" si="6"/>
        <v>0.91466666666666663</v>
      </c>
      <c r="BC49">
        <f t="shared" si="7"/>
        <v>10</v>
      </c>
      <c r="BD49">
        <f>VLOOKUP($E49,Constants!$I:$K, 2, FALSE)</f>
        <v>1</v>
      </c>
      <c r="BE49">
        <f>VLOOKUP($E49,Constants!$I:$K, 3, FALSE)*IF(AND(D49="multiple_unit",Y49&lt;110),0.75,1)</f>
        <v>0.45</v>
      </c>
      <c r="BF49">
        <f>INT(POWER(((Constants!$G$2+$AY49+$AZ49+$BA49+$BC49)*$BB49)*$BE49, 1.05))+$AX49</f>
        <v>13</v>
      </c>
      <c r="BG49">
        <f>INT(POWER((((Constants!$G$1+$AY49+$AZ49+$BA49+$BC49)*($BB49))*$BD49),IF($D49="wagon",1,1.2)))+$AW49</f>
        <v>35</v>
      </c>
      <c r="BH49" s="14">
        <f t="shared" si="8"/>
        <v>812.5</v>
      </c>
      <c r="BI49" s="14">
        <f t="shared" si="9"/>
        <v>95.55</v>
      </c>
      <c r="BP49">
        <v>1</v>
      </c>
      <c r="BQ49">
        <v>185</v>
      </c>
      <c r="BR49" t="s">
        <v>1044</v>
      </c>
      <c r="BS49" t="s">
        <v>286</v>
      </c>
      <c r="BT49" t="str">
        <f>VLOOKUP(G49,Eras!$A$2:$C$10, 2, TRUE)</f>
        <v>dsl</v>
      </c>
      <c r="BU49" t="s">
        <v>695</v>
      </c>
      <c r="BV49" t="str">
        <f t="shared" si="10"/>
        <v>dsl_Extra</v>
      </c>
      <c r="BW49" t="str">
        <f t="shared" si="11"/>
        <v>wagon_RAIL</v>
      </c>
      <c r="BX49" t="str">
        <f>VLOOKUP($BW49, Constants!$M:$N, 2, FALSE)</f>
        <v/>
      </c>
      <c r="BY49" t="str">
        <f t="shared" si="17"/>
        <v/>
      </c>
      <c r="BZ49" t="s">
        <v>797</v>
      </c>
      <c r="CA49" t="str">
        <f t="shared" si="18"/>
        <v/>
      </c>
      <c r="CB49" t="str">
        <f t="shared" si="14"/>
        <v>{SILVER}The FFA container wagons were a major advance over short-wheelbase conflats when built, and being easily adapted to the then-new ISO container standard only increased this advantage.</v>
      </c>
    </row>
    <row r="50" spans="1:80" x14ac:dyDescent="0.3">
      <c r="A50" t="s">
        <v>766</v>
      </c>
      <c r="B50" t="s">
        <v>767</v>
      </c>
      <c r="C50">
        <v>54</v>
      </c>
      <c r="D50" t="s">
        <v>281</v>
      </c>
      <c r="E50" t="s">
        <v>281</v>
      </c>
      <c r="F50" t="s">
        <v>275</v>
      </c>
      <c r="G50">
        <v>1991</v>
      </c>
      <c r="T50">
        <v>17</v>
      </c>
      <c r="V50">
        <v>9</v>
      </c>
      <c r="X50" s="3" t="str">
        <f t="shared" si="16"/>
        <v/>
      </c>
      <c r="Y50">
        <v>90</v>
      </c>
      <c r="Z50">
        <f t="shared" si="15"/>
        <v>144</v>
      </c>
      <c r="AC50">
        <v>19.3</v>
      </c>
      <c r="AD50">
        <v>19.3</v>
      </c>
      <c r="AG50" s="10">
        <v>60</v>
      </c>
      <c r="AH50" t="str">
        <f>CONCATENATE(VLOOKUP(AI50, 'Voxel Sizes'!$A$2:$B$18,2,FALSE),"x",INT(AE50*15), "x", INT(AF50*15))</f>
        <v>186x0x0</v>
      </c>
      <c r="AI50">
        <f t="shared" si="1"/>
        <v>11</v>
      </c>
      <c r="AK50" t="str">
        <f>CONCATENATE(VLOOKUP(AI50,Constants!$A$2:$C$16,IF(AJ50&lt;&gt;"", 3, 2), FALSE),IF(AJ50&lt;&gt;"",CONCATENATE(",",VLOOKUP(AJ50,$B:$AK,36,FALSE)),""))</f>
        <v>4,3,4</v>
      </c>
      <c r="AU50">
        <v>30</v>
      </c>
      <c r="AV50" s="15" t="str">
        <f t="shared" si="2"/>
        <v/>
      </c>
      <c r="AY50">
        <f t="shared" si="3"/>
        <v>18</v>
      </c>
      <c r="AZ50">
        <f t="shared" si="4"/>
        <v>0</v>
      </c>
      <c r="BA50">
        <f t="shared" si="5"/>
        <v>0</v>
      </c>
      <c r="BB50" s="3">
        <f t="shared" si="6"/>
        <v>0.87866666666666671</v>
      </c>
      <c r="BC50">
        <f t="shared" si="7"/>
        <v>10</v>
      </c>
      <c r="BD50">
        <f>VLOOKUP($E50,Constants!$I:$K, 2, FALSE)</f>
        <v>1</v>
      </c>
      <c r="BE50">
        <f>VLOOKUP($E50,Constants!$I:$K, 3, FALSE)*IF(AND(D50="multiple_unit",Y50&lt;110),0.75,1)</f>
        <v>0.45</v>
      </c>
      <c r="BF50">
        <f>INT(POWER(((Constants!$G$2+$AY50+$AZ50+$BA50+$BC50)*$BB50)*$BE50, 1.05))+$AX50</f>
        <v>14</v>
      </c>
      <c r="BG50">
        <f>INT(POWER((((Constants!$G$1+$AY50+$AZ50+$BA50+$BC50)*($BB50))*$BD50),IF($D50="wagon",1,1.2)))+$AW50</f>
        <v>37</v>
      </c>
      <c r="BH50" s="14">
        <f t="shared" si="8"/>
        <v>875</v>
      </c>
      <c r="BI50" s="14">
        <f t="shared" si="9"/>
        <v>101.01</v>
      </c>
      <c r="BP50">
        <v>1</v>
      </c>
      <c r="BQ50">
        <v>185</v>
      </c>
      <c r="BR50" t="s">
        <v>1044</v>
      </c>
      <c r="BS50" t="s">
        <v>286</v>
      </c>
      <c r="BT50" t="str">
        <f>VLOOKUP(G50,Eras!$A$2:$C$10, 2, TRUE)</f>
        <v>lbr</v>
      </c>
      <c r="BU50" t="s">
        <v>695</v>
      </c>
      <c r="BV50" t="str">
        <f t="shared" si="10"/>
        <v>lbr_Extra</v>
      </c>
      <c r="BW50" t="str">
        <f t="shared" si="11"/>
        <v>wagon_RAIL</v>
      </c>
      <c r="BX50" t="str">
        <f>VLOOKUP($BW50, Constants!$M:$N, 2, FALSE)</f>
        <v/>
      </c>
      <c r="BY50" t="str">
        <f t="shared" si="17"/>
        <v/>
      </c>
      <c r="BZ50" t="s">
        <v>798</v>
      </c>
      <c r="CA50" t="str">
        <f t="shared" si="18"/>
        <v/>
      </c>
      <c r="CB50" t="str">
        <f t="shared" si="14"/>
        <v>{SILVER}Freightliner had considered replacing the FFA wagons with a shorter 40ft container flat, but the poor running quality of fixed axle wagons resulted in the choice of another standard bogie flat.</v>
      </c>
    </row>
    <row r="51" spans="1:80" x14ac:dyDescent="0.3">
      <c r="A51" t="s">
        <v>799</v>
      </c>
      <c r="B51" t="s">
        <v>800</v>
      </c>
      <c r="C51">
        <v>56</v>
      </c>
      <c r="D51" t="s">
        <v>281</v>
      </c>
      <c r="E51" t="s">
        <v>281</v>
      </c>
      <c r="F51" t="s">
        <v>275</v>
      </c>
      <c r="G51">
        <v>1997</v>
      </c>
      <c r="T51">
        <v>23</v>
      </c>
      <c r="V51">
        <v>9</v>
      </c>
      <c r="X51" s="3" t="str">
        <f t="shared" si="16"/>
        <v/>
      </c>
      <c r="Y51">
        <v>90</v>
      </c>
      <c r="Z51">
        <f t="shared" si="15"/>
        <v>144</v>
      </c>
      <c r="AC51">
        <v>19.3</v>
      </c>
      <c r="AD51">
        <v>19.3</v>
      </c>
      <c r="AG51" s="10">
        <v>51</v>
      </c>
      <c r="AH51" t="str">
        <f>CONCATENATE(VLOOKUP(AI51, 'Voxel Sizes'!$A$2:$B$18,2,FALSE),"x",INT(AE51*15), "x", INT(AF51*15))</f>
        <v>186x0x0</v>
      </c>
      <c r="AI51">
        <f t="shared" si="1"/>
        <v>11</v>
      </c>
      <c r="AK51" t="str">
        <f>CONCATENATE(VLOOKUP(AI51,Constants!$A$2:$C$16,IF(AJ51&lt;&gt;"", 3, 2), FALSE),IF(AJ51&lt;&gt;"",CONCATENATE(",",VLOOKUP(AJ51,$B:$AK,36,FALSE)),""))</f>
        <v>4,3,4</v>
      </c>
      <c r="AU51">
        <v>30</v>
      </c>
      <c r="AV51" s="15" t="str">
        <f t="shared" si="2"/>
        <v/>
      </c>
      <c r="AY51">
        <f t="shared" si="3"/>
        <v>18</v>
      </c>
      <c r="AZ51">
        <f t="shared" si="4"/>
        <v>0</v>
      </c>
      <c r="BA51">
        <f t="shared" si="5"/>
        <v>0</v>
      </c>
      <c r="BB51" s="3">
        <f t="shared" si="6"/>
        <v>0.8706666666666667</v>
      </c>
      <c r="BC51">
        <f t="shared" si="7"/>
        <v>8.5</v>
      </c>
      <c r="BD51">
        <f>VLOOKUP($E51,Constants!$I:$K, 2, FALSE)</f>
        <v>1</v>
      </c>
      <c r="BE51">
        <f>VLOOKUP($E51,Constants!$I:$K, 3, FALSE)*IF(AND(D51="multiple_unit",Y51&lt;110),0.75,1)</f>
        <v>0.45</v>
      </c>
      <c r="BF51">
        <f>INT(POWER(((Constants!$G$2+$AY51+$AZ51+$BA51+$BC51)*$BB51)*$BE51, 1.05))+$AX51</f>
        <v>13</v>
      </c>
      <c r="BG51">
        <f>INT(POWER((((Constants!$G$1+$AY51+$AZ51+$BA51+$BC51)*($BB51))*$BD51),IF($D51="wagon",1,1.2)))+$AW51</f>
        <v>36</v>
      </c>
      <c r="BH51" s="14">
        <f t="shared" si="8"/>
        <v>812.5</v>
      </c>
      <c r="BI51" s="14">
        <f t="shared" si="9"/>
        <v>98.28</v>
      </c>
      <c r="BP51">
        <v>1</v>
      </c>
      <c r="BQ51">
        <v>185</v>
      </c>
      <c r="BR51" t="s">
        <v>1044</v>
      </c>
      <c r="BS51" t="s">
        <v>286</v>
      </c>
      <c r="BT51" t="str">
        <f>VLOOKUP(G51,Eras!$A$2:$C$10, 2, TRUE)</f>
        <v>prv</v>
      </c>
      <c r="BU51" t="s">
        <v>695</v>
      </c>
      <c r="BV51" t="str">
        <f t="shared" si="10"/>
        <v>prv_Extra</v>
      </c>
      <c r="BW51" t="str">
        <f t="shared" si="11"/>
        <v>wagon_RAIL</v>
      </c>
      <c r="BX51" t="str">
        <f>VLOOKUP($BW51, Constants!$M:$N, 2, FALSE)</f>
        <v/>
      </c>
      <c r="BY51" t="str">
        <f t="shared" si="17"/>
        <v/>
      </c>
      <c r="BZ51" t="s">
        <v>811</v>
      </c>
      <c r="CA51" t="str">
        <f t="shared" si="18"/>
        <v/>
      </c>
      <c r="CB51" t="str">
        <f t="shared" si="14"/>
        <v>{SILVER}KTA wagons solve the problem of carrying high-cube containers in the small British loading gauge, using a "pocket" between the axles that can take either a single 40ft container or two 20ft ones.</v>
      </c>
    </row>
    <row r="52" spans="1:80" x14ac:dyDescent="0.3">
      <c r="A52" t="s">
        <v>1357</v>
      </c>
      <c r="B52" t="s">
        <v>1356</v>
      </c>
      <c r="C52">
        <v>59</v>
      </c>
      <c r="D52" t="s">
        <v>281</v>
      </c>
      <c r="E52" t="s">
        <v>281</v>
      </c>
      <c r="F52" t="s">
        <v>1381</v>
      </c>
      <c r="G52">
        <v>1700</v>
      </c>
      <c r="I52">
        <v>1875</v>
      </c>
      <c r="T52">
        <v>2</v>
      </c>
      <c r="V52">
        <v>3</v>
      </c>
      <c r="X52" s="3" t="str">
        <f t="shared" si="16"/>
        <v/>
      </c>
      <c r="Y52">
        <v>30</v>
      </c>
      <c r="Z52">
        <f t="shared" si="15"/>
        <v>48</v>
      </c>
      <c r="AC52">
        <v>6</v>
      </c>
      <c r="AD52">
        <v>6</v>
      </c>
      <c r="AG52" s="10">
        <v>18</v>
      </c>
      <c r="AH52" t="str">
        <f>CONCATENATE(VLOOKUP(AI52, 'Voxel Sizes'!$A$2:$B$18,2,FALSE),"x",INT(AE52*15), "x", INT(AF52*15))</f>
        <v>60x0x0</v>
      </c>
      <c r="AI52">
        <f t="shared" si="1"/>
        <v>4</v>
      </c>
      <c r="AK52" t="str">
        <f>CONCATENATE(VLOOKUP(AI52,Constants!$A$2:$C$16,IF(AJ52&lt;&gt;"", 3, 2), FALSE),IF(AJ52&lt;&gt;"",CONCATENATE(",",VLOOKUP(AJ52,$B:$AK,36,FALSE)),""))</f>
        <v>1,2,1</v>
      </c>
      <c r="AU52">
        <v>30</v>
      </c>
      <c r="AV52" s="15">
        <f t="shared" si="2"/>
        <v>183</v>
      </c>
      <c r="AW52">
        <v>-15</v>
      </c>
      <c r="AX52">
        <v>-2</v>
      </c>
      <c r="AY52">
        <f t="shared" si="3"/>
        <v>6</v>
      </c>
      <c r="AZ52">
        <f t="shared" si="4"/>
        <v>0</v>
      </c>
      <c r="BA52">
        <f t="shared" si="5"/>
        <v>0</v>
      </c>
      <c r="BB52" s="3">
        <f t="shared" si="6"/>
        <v>1</v>
      </c>
      <c r="BC52">
        <f t="shared" si="7"/>
        <v>3</v>
      </c>
      <c r="BD52">
        <f>VLOOKUP($E52,Constants!$I:$K, 2, FALSE)</f>
        <v>1</v>
      </c>
      <c r="BE52">
        <f>VLOOKUP($E52,Constants!$I:$K, 3, FALSE)*IF(AND(D52="multiple_unit",Y52&lt;110),0.75,1)</f>
        <v>0.45</v>
      </c>
      <c r="BF52">
        <f>INT(POWER(((Constants!$G$2+$AY52+$AZ52+$BA52+$BC52)*$BB52)*$BE52, 1.05))+$AX52</f>
        <v>4</v>
      </c>
      <c r="BG52">
        <f>INT(POWER((((Constants!$G$1+$AY52+$AZ52+$BA52+$BC52)*($BB52))*$BD52),IF($D52="wagon",1,1.2)))+$AW52</f>
        <v>9</v>
      </c>
      <c r="BH52" s="14">
        <f t="shared" si="8"/>
        <v>250</v>
      </c>
      <c r="BI52" s="14">
        <f t="shared" si="9"/>
        <v>24.57</v>
      </c>
      <c r="BP52">
        <v>1</v>
      </c>
      <c r="BQ52">
        <v>185</v>
      </c>
      <c r="BR52" t="s">
        <v>1043</v>
      </c>
      <c r="BS52" t="s">
        <v>411</v>
      </c>
      <c r="BT52" t="str">
        <f>VLOOKUP(G52,Eras!$A$2:$C$10, 2, TRUE)</f>
        <v>early</v>
      </c>
      <c r="BU52" t="s">
        <v>341</v>
      </c>
      <c r="BV52" t="str">
        <f t="shared" si="10"/>
        <v>early_Flat Wagon</v>
      </c>
      <c r="BW52" t="str">
        <f t="shared" si="11"/>
        <v>wagon_PLATEWAY</v>
      </c>
      <c r="BX52" t="str">
        <f>VLOOKUP($BW52, Constants!$M:$N, 2, FALSE)</f>
        <v/>
      </c>
      <c r="BY52" t="str">
        <f t="shared" si="17"/>
        <v/>
      </c>
      <c r="BZ52" t="s">
        <v>1358</v>
      </c>
      <c r="CA52" t="str">
        <f t="shared" si="18"/>
        <v/>
      </c>
      <c r="CB52" t="str">
        <f t="shared" si="14"/>
        <v>{SILVER}Early flat wagons had simple wooden construction, and sometimes featured stakes for securing loads.</v>
      </c>
    </row>
    <row r="53" spans="1:80" x14ac:dyDescent="0.3">
      <c r="A53" t="s">
        <v>780</v>
      </c>
      <c r="B53" t="s">
        <v>782</v>
      </c>
      <c r="C53">
        <v>60</v>
      </c>
      <c r="D53" t="s">
        <v>281</v>
      </c>
      <c r="E53" t="s">
        <v>281</v>
      </c>
      <c r="F53" t="s">
        <v>275</v>
      </c>
      <c r="G53">
        <v>1850</v>
      </c>
      <c r="I53">
        <v>1924</v>
      </c>
      <c r="T53">
        <v>5</v>
      </c>
      <c r="V53">
        <v>3</v>
      </c>
      <c r="X53" s="3" t="str">
        <f t="shared" si="16"/>
        <v/>
      </c>
      <c r="Y53">
        <v>35</v>
      </c>
      <c r="Z53">
        <f t="shared" si="15"/>
        <v>56</v>
      </c>
      <c r="AC53">
        <v>6</v>
      </c>
      <c r="AD53">
        <v>6</v>
      </c>
      <c r="AG53" s="10">
        <v>24</v>
      </c>
      <c r="AH53" t="str">
        <f>CONCATENATE(VLOOKUP(AI53, 'Voxel Sizes'!$A$2:$B$18,2,FALSE),"x",INT(AE53*15), "x", INT(AF53*15))</f>
        <v>60x0x0</v>
      </c>
      <c r="AI53">
        <f t="shared" si="1"/>
        <v>4</v>
      </c>
      <c r="AK53" t="str">
        <f>CONCATENATE(VLOOKUP(AI53,Constants!$A$2:$C$16,IF(AJ53&lt;&gt;"", 3, 2), FALSE),IF(AJ53&lt;&gt;"",CONCATENATE(",",VLOOKUP(AJ53,$B:$AK,36,FALSE)),""))</f>
        <v>1,2,1</v>
      </c>
      <c r="AU53">
        <v>30</v>
      </c>
      <c r="AV53" s="15">
        <f t="shared" si="2"/>
        <v>82</v>
      </c>
      <c r="AY53">
        <f t="shared" si="3"/>
        <v>7</v>
      </c>
      <c r="AZ53">
        <f t="shared" si="4"/>
        <v>0</v>
      </c>
      <c r="BA53">
        <f t="shared" si="5"/>
        <v>0</v>
      </c>
      <c r="BB53" s="3">
        <f t="shared" si="6"/>
        <v>1</v>
      </c>
      <c r="BC53">
        <f t="shared" si="7"/>
        <v>4</v>
      </c>
      <c r="BD53">
        <f>VLOOKUP($E53,Constants!$I:$K, 2, FALSE)</f>
        <v>1</v>
      </c>
      <c r="BE53">
        <f>VLOOKUP($E53,Constants!$I:$K, 3, FALSE)*IF(AND(D53="multiple_unit",Y53&lt;110),0.75,1)</f>
        <v>0.45</v>
      </c>
      <c r="BF53">
        <f>INT(POWER(((Constants!$G$2+$AY53+$AZ53+$BA53+$BC53)*$BB53)*$BE53, 1.05))+$AX53</f>
        <v>7</v>
      </c>
      <c r="BG53">
        <f>INT(POWER((((Constants!$G$1+$AY53+$AZ53+$BA53+$BC53)*($BB53))*$BD53),IF($D53="wagon",1,1.2)))+$AW53</f>
        <v>26</v>
      </c>
      <c r="BH53" s="14">
        <f t="shared" si="8"/>
        <v>437.5</v>
      </c>
      <c r="BI53" s="14">
        <f t="shared" si="9"/>
        <v>70.98</v>
      </c>
      <c r="BP53">
        <v>1</v>
      </c>
      <c r="BQ53">
        <v>185</v>
      </c>
      <c r="BR53" t="s">
        <v>1043</v>
      </c>
      <c r="BS53" t="s">
        <v>411</v>
      </c>
      <c r="BT53" t="str">
        <f>VLOOKUP(G53,Eras!$A$2:$C$10, 2, TRUE)</f>
        <v>vct</v>
      </c>
      <c r="BU53" t="s">
        <v>341</v>
      </c>
      <c r="BV53" t="str">
        <f t="shared" si="10"/>
        <v>vct_Flat Wagon</v>
      </c>
      <c r="BW53" t="str">
        <f t="shared" si="11"/>
        <v>wagon_RAIL</v>
      </c>
      <c r="BX53" t="str">
        <f>VLOOKUP($BW53, Constants!$M:$N, 2, FALSE)</f>
        <v/>
      </c>
      <c r="BY53" t="str">
        <f t="shared" si="17"/>
        <v/>
      </c>
      <c r="BZ53" t="s">
        <v>781</v>
      </c>
      <c r="CA53" t="str">
        <f t="shared" si="18"/>
        <v/>
      </c>
      <c r="CB53" t="str">
        <f t="shared" si="14"/>
        <v>{SILVER}Flat wagons carried goods such as metal pipes and wood, where a flat surface with bolsters for tying loads down was most convenient.</v>
      </c>
    </row>
    <row r="54" spans="1:80" x14ac:dyDescent="0.3">
      <c r="A54" t="s">
        <v>409</v>
      </c>
      <c r="B54" t="s">
        <v>410</v>
      </c>
      <c r="C54">
        <v>62</v>
      </c>
      <c r="D54" t="s">
        <v>281</v>
      </c>
      <c r="E54" t="s">
        <v>281</v>
      </c>
      <c r="F54" t="s">
        <v>275</v>
      </c>
      <c r="G54">
        <v>1906</v>
      </c>
      <c r="I54">
        <v>1960</v>
      </c>
      <c r="T54">
        <v>7</v>
      </c>
      <c r="V54">
        <v>3</v>
      </c>
      <c r="X54" s="3" t="str">
        <f t="shared" si="16"/>
        <v/>
      </c>
      <c r="Y54">
        <v>45</v>
      </c>
      <c r="Z54">
        <f t="shared" si="15"/>
        <v>72</v>
      </c>
      <c r="AC54">
        <v>8</v>
      </c>
      <c r="AD54">
        <v>8</v>
      </c>
      <c r="AG54" s="10">
        <v>24</v>
      </c>
      <c r="AH54" t="str">
        <f>CONCATENATE(VLOOKUP(AI54, 'Voxel Sizes'!$A$2:$B$18,2,FALSE),"x",INT(AE54*15), "x", INT(AF54*15))</f>
        <v>82x0x0</v>
      </c>
      <c r="AI54">
        <f t="shared" si="1"/>
        <v>5</v>
      </c>
      <c r="AK54" t="str">
        <f>CONCATENATE(VLOOKUP(AI54,Constants!$A$2:$C$16,IF(AJ54&lt;&gt;"", 3, 2), FALSE),IF(AJ54&lt;&gt;"",CONCATENATE(",",VLOOKUP(AJ54,$B:$AK,36,FALSE)),""))</f>
        <v>2,1,2</v>
      </c>
      <c r="AU54">
        <v>30</v>
      </c>
      <c r="AV54" s="15">
        <f t="shared" si="2"/>
        <v>62</v>
      </c>
      <c r="AY54">
        <f t="shared" si="3"/>
        <v>9</v>
      </c>
      <c r="AZ54">
        <f t="shared" si="4"/>
        <v>0</v>
      </c>
      <c r="BA54">
        <f t="shared" si="5"/>
        <v>0</v>
      </c>
      <c r="BB54" s="3">
        <f t="shared" si="6"/>
        <v>0.99199999999999999</v>
      </c>
      <c r="BC54">
        <f t="shared" si="7"/>
        <v>4</v>
      </c>
      <c r="BD54">
        <f>VLOOKUP($E54,Constants!$I:$K, 2, FALSE)</f>
        <v>1</v>
      </c>
      <c r="BE54">
        <f>VLOOKUP($E54,Constants!$I:$K, 3, FALSE)*IF(AND(D54="multiple_unit",Y54&lt;110),0.75,1)</f>
        <v>0.45</v>
      </c>
      <c r="BF54">
        <f>INT(POWER(((Constants!$G$2+$AY54+$AZ54+$BA54+$BC54)*$BB54)*$BE54, 1.05))+$AX54</f>
        <v>8</v>
      </c>
      <c r="BG54">
        <f>INT(POWER((((Constants!$G$1+$AY54+$AZ54+$BA54+$BC54)*($BB54))*$BD54),IF($D54="wagon",1,1.2)))+$AW54</f>
        <v>27</v>
      </c>
      <c r="BH54" s="14">
        <f t="shared" si="8"/>
        <v>500</v>
      </c>
      <c r="BI54" s="14">
        <f t="shared" si="9"/>
        <v>73.709999999999994</v>
      </c>
      <c r="BP54">
        <v>1</v>
      </c>
      <c r="BQ54">
        <v>185</v>
      </c>
      <c r="BR54" t="s">
        <v>1043</v>
      </c>
      <c r="BS54" t="s">
        <v>411</v>
      </c>
      <c r="BT54" t="str">
        <f>VLOOKUP(G54,Eras!$A$2:$C$10, 2, TRUE)</f>
        <v>edw</v>
      </c>
      <c r="BU54" t="s">
        <v>341</v>
      </c>
      <c r="BV54" t="str">
        <f t="shared" si="10"/>
        <v>edw_Flat Wagon</v>
      </c>
      <c r="BW54" t="str">
        <f t="shared" si="11"/>
        <v>wagon_RAIL</v>
      </c>
      <c r="BX54" t="str">
        <f>VLOOKUP($BW54, Constants!$M:$N, 2, FALSE)</f>
        <v/>
      </c>
      <c r="BY54" t="str">
        <f t="shared" si="17"/>
        <v/>
      </c>
      <c r="BZ54" t="s">
        <v>412</v>
      </c>
      <c r="CA54" t="str">
        <f t="shared" si="18"/>
        <v/>
      </c>
      <c r="CB54" t="str">
        <f t="shared" si="14"/>
        <v>{SILVER}"Beaver" was the GWR telegraph code for a flat wagon, with an additional letter used to identify the length.</v>
      </c>
    </row>
    <row r="55" spans="1:80" x14ac:dyDescent="0.3">
      <c r="A55" t="s">
        <v>123</v>
      </c>
      <c r="B55" t="s">
        <v>763</v>
      </c>
      <c r="C55">
        <v>64</v>
      </c>
      <c r="D55" t="s">
        <v>281</v>
      </c>
      <c r="E55" t="s">
        <v>281</v>
      </c>
      <c r="F55" t="s">
        <v>275</v>
      </c>
      <c r="G55">
        <v>1916</v>
      </c>
      <c r="I55">
        <v>1965</v>
      </c>
      <c r="T55">
        <v>14</v>
      </c>
      <c r="V55">
        <v>4</v>
      </c>
      <c r="X55" s="3" t="str">
        <f t="shared" si="16"/>
        <v/>
      </c>
      <c r="Y55">
        <v>45</v>
      </c>
      <c r="Z55">
        <f t="shared" si="15"/>
        <v>72</v>
      </c>
      <c r="AC55">
        <v>15.2</v>
      </c>
      <c r="AD55">
        <v>15.2</v>
      </c>
      <c r="AG55" s="10">
        <v>42</v>
      </c>
      <c r="AH55" t="str">
        <f>CONCATENATE(VLOOKUP(AI55, 'Voxel Sizes'!$A$2:$B$18,2,FALSE),"x",INT(AE55*15), "x", INT(AF55*15))</f>
        <v>152x0x0</v>
      </c>
      <c r="AI55">
        <f t="shared" si="1"/>
        <v>9</v>
      </c>
      <c r="AK55" t="str">
        <f>CONCATENATE(VLOOKUP(AI55,Constants!$A$2:$C$16,IF(AJ55&lt;&gt;"", 3, 2), FALSE),IF(AJ55&lt;&gt;"",CONCATENATE(",",VLOOKUP(AJ55,$B:$AK,36,FALSE)),""))</f>
        <v>2,5,2</v>
      </c>
      <c r="AU55">
        <v>30</v>
      </c>
      <c r="AV55" s="15">
        <f t="shared" si="2"/>
        <v>57</v>
      </c>
      <c r="AY55">
        <f t="shared" si="3"/>
        <v>9</v>
      </c>
      <c r="AZ55">
        <f t="shared" si="4"/>
        <v>0</v>
      </c>
      <c r="BA55">
        <f t="shared" si="5"/>
        <v>0</v>
      </c>
      <c r="BB55" s="3">
        <f t="shared" si="6"/>
        <v>0.97866666666666668</v>
      </c>
      <c r="BC55">
        <f t="shared" si="7"/>
        <v>7.0000000000000009</v>
      </c>
      <c r="BD55">
        <f>VLOOKUP($E55,Constants!$I:$K, 2, FALSE)</f>
        <v>1</v>
      </c>
      <c r="BE55">
        <f>VLOOKUP($E55,Constants!$I:$K, 3, FALSE)*IF(AND(D55="multiple_unit",Y55&lt;110),0.75,1)</f>
        <v>0.45</v>
      </c>
      <c r="BF55">
        <f>INT(POWER(((Constants!$G$2+$AY55+$AZ55+$BA55+$BC55)*$BB55)*$BE55, 1.05))+$AX55</f>
        <v>10</v>
      </c>
      <c r="BG55">
        <f>INT(POWER((((Constants!$G$1+$AY55+$AZ55+$BA55+$BC55)*($BB55))*$BD55),IF($D55="wagon",1,1.2)))+$AW55</f>
        <v>30</v>
      </c>
      <c r="BH55" s="14">
        <f t="shared" si="8"/>
        <v>625</v>
      </c>
      <c r="BI55" s="14">
        <f t="shared" si="9"/>
        <v>81.900000000000006</v>
      </c>
      <c r="BP55">
        <v>1</v>
      </c>
      <c r="BQ55">
        <v>185</v>
      </c>
      <c r="BR55" t="s">
        <v>1043</v>
      </c>
      <c r="BS55" t="s">
        <v>411</v>
      </c>
      <c r="BT55" t="str">
        <f>VLOOKUP(G55,Eras!$A$2:$C$10, 2, TRUE)</f>
        <v>edw</v>
      </c>
      <c r="BU55" t="s">
        <v>341</v>
      </c>
      <c r="BV55" t="str">
        <f t="shared" si="10"/>
        <v>edw_Flat Wagon</v>
      </c>
      <c r="BW55" t="str">
        <f t="shared" si="11"/>
        <v>wagon_RAIL</v>
      </c>
      <c r="BX55" t="str">
        <f>VLOOKUP($BW55, Constants!$M:$N, 2, FALSE)</f>
        <v/>
      </c>
      <c r="BY55" t="str">
        <f t="shared" si="17"/>
        <v/>
      </c>
      <c r="BZ55" t="s">
        <v>762</v>
      </c>
      <c r="CA55" t="str">
        <f t="shared" si="18"/>
        <v/>
      </c>
      <c r="CB55" t="str">
        <f t="shared" si="14"/>
        <v>{SILVER}Bolster wagons were some of the earliest goods vehicles to use bogies rather than fixed axles. The wooden bolsters running across the wagon made long, rigid loads easy to tie down.</v>
      </c>
    </row>
    <row r="56" spans="1:80" x14ac:dyDescent="0.3">
      <c r="A56" t="s">
        <v>768</v>
      </c>
      <c r="B56" t="s">
        <v>769</v>
      </c>
      <c r="C56">
        <v>66</v>
      </c>
      <c r="D56" t="s">
        <v>281</v>
      </c>
      <c r="E56" t="s">
        <v>281</v>
      </c>
      <c r="F56" t="s">
        <v>275</v>
      </c>
      <c r="G56">
        <v>1925</v>
      </c>
      <c r="I56">
        <v>1970</v>
      </c>
      <c r="T56">
        <v>7</v>
      </c>
      <c r="V56">
        <v>3</v>
      </c>
      <c r="X56" s="3" t="str">
        <f t="shared" si="16"/>
        <v/>
      </c>
      <c r="Y56">
        <v>50</v>
      </c>
      <c r="Z56">
        <f t="shared" si="15"/>
        <v>80</v>
      </c>
      <c r="AC56">
        <v>10</v>
      </c>
      <c r="AD56">
        <v>10</v>
      </c>
      <c r="AG56" s="10">
        <v>30</v>
      </c>
      <c r="AH56" t="str">
        <f>CONCATENATE(VLOOKUP(AI56, 'Voxel Sizes'!$A$2:$B$18,2,FALSE),"x",INT(AE56*15), "x", INT(AF56*15))</f>
        <v>102x0x0</v>
      </c>
      <c r="AI56">
        <f t="shared" si="1"/>
        <v>6</v>
      </c>
      <c r="AK56" t="str">
        <f>CONCATENATE(VLOOKUP(AI56,Constants!$A$2:$C$16,IF(AJ56&lt;&gt;"", 3, 2), FALSE),IF(AJ56&lt;&gt;"",CONCATENATE(",",VLOOKUP(AJ56,$B:$AK,36,FALSE)),""))</f>
        <v>2,2,2</v>
      </c>
      <c r="AU56">
        <v>30</v>
      </c>
      <c r="AV56" s="15">
        <f t="shared" si="2"/>
        <v>53</v>
      </c>
      <c r="AY56">
        <f t="shared" si="3"/>
        <v>10</v>
      </c>
      <c r="AZ56">
        <f t="shared" si="4"/>
        <v>0</v>
      </c>
      <c r="BA56">
        <f t="shared" si="5"/>
        <v>0</v>
      </c>
      <c r="BB56" s="3">
        <f t="shared" si="6"/>
        <v>0.96666666666666667</v>
      </c>
      <c r="BC56">
        <f t="shared" si="7"/>
        <v>5</v>
      </c>
      <c r="BD56">
        <f>VLOOKUP($E56,Constants!$I:$K, 2, FALSE)</f>
        <v>1</v>
      </c>
      <c r="BE56">
        <f>VLOOKUP($E56,Constants!$I:$K, 3, FALSE)*IF(AND(D56="multiple_unit",Y56&lt;110),0.75,1)</f>
        <v>0.45</v>
      </c>
      <c r="BF56">
        <f>INT(POWER(((Constants!$G$2+$AY56+$AZ56+$BA56+$BC56)*$BB56)*$BE56, 1.05))+$AX56</f>
        <v>9</v>
      </c>
      <c r="BG56">
        <f>INT(POWER((((Constants!$G$1+$AY56+$AZ56+$BA56+$BC56)*($BB56))*$BD56),IF($D56="wagon",1,1.2)))+$AW56</f>
        <v>29</v>
      </c>
      <c r="BH56" s="14">
        <f t="shared" si="8"/>
        <v>562.5</v>
      </c>
      <c r="BI56" s="14">
        <f t="shared" si="9"/>
        <v>79.17</v>
      </c>
      <c r="BP56">
        <v>1</v>
      </c>
      <c r="BQ56">
        <v>185</v>
      </c>
      <c r="BR56" t="s">
        <v>1043</v>
      </c>
      <c r="BS56" t="s">
        <v>411</v>
      </c>
      <c r="BT56" t="str">
        <f>VLOOKUP(G56,Eras!$A$2:$C$10, 2, TRUE)</f>
        <v>big4</v>
      </c>
      <c r="BU56" t="s">
        <v>341</v>
      </c>
      <c r="BV56" t="str">
        <f t="shared" si="10"/>
        <v>big4_Flat Wagon</v>
      </c>
      <c r="BW56" t="str">
        <f t="shared" si="11"/>
        <v>wagon_RAIL</v>
      </c>
      <c r="BX56" t="str">
        <f>VLOOKUP($BW56, Constants!$M:$N, 2, FALSE)</f>
        <v/>
      </c>
      <c r="BY56" t="str">
        <f t="shared" si="17"/>
        <v/>
      </c>
      <c r="BZ56" t="s">
        <v>770</v>
      </c>
      <c r="CA56" t="str">
        <f t="shared" si="18"/>
        <v/>
      </c>
      <c r="CB56" t="str">
        <f t="shared" si="14"/>
        <v>{SILVER}The LMS built double bolsters to carry welded rail, with single rails laid across multiple bolster wagons.</v>
      </c>
    </row>
    <row r="57" spans="1:80" x14ac:dyDescent="0.3">
      <c r="A57" t="s">
        <v>774</v>
      </c>
      <c r="B57" t="s">
        <v>775</v>
      </c>
      <c r="C57">
        <v>68</v>
      </c>
      <c r="D57" t="s">
        <v>281</v>
      </c>
      <c r="E57" t="s">
        <v>281</v>
      </c>
      <c r="F57" t="s">
        <v>275</v>
      </c>
      <c r="G57">
        <v>1949</v>
      </c>
      <c r="I57">
        <v>2010</v>
      </c>
      <c r="T57">
        <v>16</v>
      </c>
      <c r="V57">
        <v>5</v>
      </c>
      <c r="X57" s="3" t="str">
        <f t="shared" si="16"/>
        <v/>
      </c>
      <c r="Y57">
        <v>60</v>
      </c>
      <c r="Z57">
        <f t="shared" si="15"/>
        <v>96</v>
      </c>
      <c r="AC57">
        <v>15.8</v>
      </c>
      <c r="AD57">
        <v>19.8</v>
      </c>
      <c r="AG57" s="10">
        <f>19*3</f>
        <v>57</v>
      </c>
      <c r="AH57" t="str">
        <f>CONCATENATE(VLOOKUP(AI57, 'Voxel Sizes'!$A$2:$B$18,2,FALSE),"x",INT(AE57*15), "x", INT(AF57*15))</f>
        <v>198x0x0</v>
      </c>
      <c r="AI57">
        <f t="shared" si="1"/>
        <v>12</v>
      </c>
      <c r="AK57" t="str">
        <f>CONCATENATE(VLOOKUP(AI57,Constants!$A$2:$C$16,IF(AJ57&lt;&gt;"", 3, 2), FALSE),IF(AJ57&lt;&gt;"",CONCATENATE(",",VLOOKUP(AJ57,$B:$AK,36,FALSE)),""))</f>
        <v>4,4,4</v>
      </c>
      <c r="AU57">
        <v>30</v>
      </c>
      <c r="AV57" s="15">
        <f t="shared" si="2"/>
        <v>69</v>
      </c>
      <c r="AY57">
        <f t="shared" si="3"/>
        <v>12</v>
      </c>
      <c r="AZ57">
        <f t="shared" si="4"/>
        <v>0</v>
      </c>
      <c r="BA57">
        <f t="shared" si="5"/>
        <v>0</v>
      </c>
      <c r="BB57" s="3">
        <f t="shared" si="6"/>
        <v>0.93466666666666665</v>
      </c>
      <c r="BC57">
        <f t="shared" si="7"/>
        <v>9.5</v>
      </c>
      <c r="BD57">
        <f>VLOOKUP($E57,Constants!$I:$K, 2, FALSE)</f>
        <v>1</v>
      </c>
      <c r="BE57">
        <f>VLOOKUP($E57,Constants!$I:$K, 3, FALSE)*IF(AND(D57="multiple_unit",Y57&lt;110),0.75,1)</f>
        <v>0.45</v>
      </c>
      <c r="BF57">
        <f>INT(POWER(((Constants!$G$2+$AY57+$AZ57+$BA57+$BC57)*$BB57)*$BE57, 1.05))+$AX57</f>
        <v>12</v>
      </c>
      <c r="BG57">
        <f>INT(POWER((((Constants!$G$1+$AY57+$AZ57+$BA57+$BC57)*($BB57))*$BD57),IF($D57="wagon",1,1.2)))+$AW57</f>
        <v>34</v>
      </c>
      <c r="BH57" s="14">
        <f t="shared" si="8"/>
        <v>750</v>
      </c>
      <c r="BI57" s="14">
        <f t="shared" si="9"/>
        <v>92.82</v>
      </c>
      <c r="BP57">
        <v>1</v>
      </c>
      <c r="BQ57">
        <v>185</v>
      </c>
      <c r="BR57" t="s">
        <v>1043</v>
      </c>
      <c r="BS57" t="s">
        <v>411</v>
      </c>
      <c r="BT57" t="str">
        <f>VLOOKUP(G57,Eras!$A$2:$C$10, 2, TRUE)</f>
        <v>ebr</v>
      </c>
      <c r="BU57" t="s">
        <v>341</v>
      </c>
      <c r="BV57" t="str">
        <f t="shared" si="10"/>
        <v>ebr_Flat Wagon</v>
      </c>
      <c r="BW57" t="str">
        <f t="shared" si="11"/>
        <v>wagon_RAIL</v>
      </c>
      <c r="BX57" t="str">
        <f>VLOOKUP($BW57, Constants!$M:$N, 2, FALSE)</f>
        <v/>
      </c>
      <c r="BY57" t="str">
        <f t="shared" si="17"/>
        <v/>
      </c>
      <c r="BZ57" t="s">
        <v>776</v>
      </c>
      <c r="CA57" t="str">
        <f t="shared" si="18"/>
        <v/>
      </c>
      <c r="CB57"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8" spans="1:80" x14ac:dyDescent="0.3">
      <c r="A58" t="s">
        <v>771</v>
      </c>
      <c r="B58" t="s">
        <v>772</v>
      </c>
      <c r="C58">
        <v>70</v>
      </c>
      <c r="D58" t="s">
        <v>281</v>
      </c>
      <c r="E58" t="s">
        <v>281</v>
      </c>
      <c r="F58" t="s">
        <v>275</v>
      </c>
      <c r="G58">
        <v>1975</v>
      </c>
      <c r="T58">
        <v>16</v>
      </c>
      <c r="V58">
        <v>4</v>
      </c>
      <c r="X58" s="3" t="str">
        <f t="shared" si="16"/>
        <v/>
      </c>
      <c r="Y58">
        <v>70</v>
      </c>
      <c r="Z58">
        <f t="shared" si="15"/>
        <v>112</v>
      </c>
      <c r="AC58">
        <v>15.8</v>
      </c>
      <c r="AD58">
        <v>15.8</v>
      </c>
      <c r="AG58" s="10">
        <v>45</v>
      </c>
      <c r="AH58" t="str">
        <f>CONCATENATE(VLOOKUP(AI58, 'Voxel Sizes'!$A$2:$B$18,2,FALSE),"x",INT(AE58*15), "x", INT(AF58*15))</f>
        <v>152x0x0</v>
      </c>
      <c r="AI58">
        <f t="shared" si="1"/>
        <v>9</v>
      </c>
      <c r="AK58" t="str">
        <f>CONCATENATE(VLOOKUP(AI58,Constants!$A$2:$C$16,IF(AJ58&lt;&gt;"", 3, 2), FALSE),IF(AJ58&lt;&gt;"",CONCATENATE(",",VLOOKUP(AJ58,$B:$AK,36,FALSE)),""))</f>
        <v>2,5,2</v>
      </c>
      <c r="AU58">
        <v>30</v>
      </c>
      <c r="AV58" s="15" t="str">
        <f t="shared" si="2"/>
        <v/>
      </c>
      <c r="AY58">
        <f t="shared" si="3"/>
        <v>14</v>
      </c>
      <c r="AZ58">
        <f t="shared" si="4"/>
        <v>0</v>
      </c>
      <c r="BA58">
        <f t="shared" si="5"/>
        <v>0</v>
      </c>
      <c r="BB58" s="3">
        <f t="shared" si="6"/>
        <v>0.9</v>
      </c>
      <c r="BC58">
        <f t="shared" si="7"/>
        <v>7.5</v>
      </c>
      <c r="BD58">
        <f>VLOOKUP($E58,Constants!$I:$K, 2, FALSE)</f>
        <v>1</v>
      </c>
      <c r="BE58">
        <f>VLOOKUP($E58,Constants!$I:$K, 3, FALSE)*IF(AND(D58="multiple_unit",Y58&lt;110),0.75,1)</f>
        <v>0.45</v>
      </c>
      <c r="BF58">
        <f>INT(POWER(((Constants!$G$2+$AY58+$AZ58+$BA58+$BC58)*$BB58)*$BE58, 1.05))+$AX58</f>
        <v>12</v>
      </c>
      <c r="BG58">
        <f>INT(POWER((((Constants!$G$1+$AY58+$AZ58+$BA58+$BC58)*($BB58))*$BD58),IF($D58="wagon",1,1.2)))+$AW58</f>
        <v>32</v>
      </c>
      <c r="BH58" s="14">
        <f t="shared" si="8"/>
        <v>750</v>
      </c>
      <c r="BI58" s="14">
        <f t="shared" si="9"/>
        <v>87.36</v>
      </c>
      <c r="BP58">
        <v>1</v>
      </c>
      <c r="BQ58">
        <v>185</v>
      </c>
      <c r="BR58" t="s">
        <v>1043</v>
      </c>
      <c r="BS58" t="s">
        <v>411</v>
      </c>
      <c r="BT58" t="str">
        <f>VLOOKUP(G58,Eras!$A$2:$C$10, 2, TRUE)</f>
        <v>lbr</v>
      </c>
      <c r="BU58" t="s">
        <v>341</v>
      </c>
      <c r="BV58" t="str">
        <f t="shared" si="10"/>
        <v>lbr_Flat Wagon</v>
      </c>
      <c r="BW58" t="str">
        <f t="shared" si="11"/>
        <v>wagon_RAIL</v>
      </c>
      <c r="BX58" t="str">
        <f>VLOOKUP($BW58, Constants!$M:$N, 2, FALSE)</f>
        <v/>
      </c>
      <c r="BY58" t="str">
        <f t="shared" si="17"/>
        <v/>
      </c>
      <c r="BZ58" t="s">
        <v>773</v>
      </c>
      <c r="CA58" t="str">
        <f t="shared" si="18"/>
        <v/>
      </c>
      <c r="CB5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9" spans="1:80" x14ac:dyDescent="0.3">
      <c r="A59" t="s">
        <v>777</v>
      </c>
      <c r="B59" t="s">
        <v>778</v>
      </c>
      <c r="C59">
        <v>72</v>
      </c>
      <c r="D59" t="s">
        <v>281</v>
      </c>
      <c r="E59" t="s">
        <v>281</v>
      </c>
      <c r="F59" t="s">
        <v>275</v>
      </c>
      <c r="G59">
        <v>2009</v>
      </c>
      <c r="T59">
        <v>16</v>
      </c>
      <c r="V59">
        <v>4</v>
      </c>
      <c r="X59" s="3" t="str">
        <f t="shared" si="16"/>
        <v/>
      </c>
      <c r="Y59">
        <v>85</v>
      </c>
      <c r="Z59">
        <f t="shared" si="15"/>
        <v>136</v>
      </c>
      <c r="AC59">
        <v>15.8</v>
      </c>
      <c r="AD59">
        <v>19.8</v>
      </c>
      <c r="AG59" s="10">
        <v>60</v>
      </c>
      <c r="AH59" t="str">
        <f>CONCATENATE(VLOOKUP(AI59, 'Voxel Sizes'!$A$2:$B$18,2,FALSE),"x",INT(AE59*15), "x", INT(AF59*15))</f>
        <v>198x0x0</v>
      </c>
      <c r="AI59">
        <f t="shared" si="1"/>
        <v>12</v>
      </c>
      <c r="AK59" t="str">
        <f>CONCATENATE(VLOOKUP(AI59,Constants!$A$2:$C$16,IF(AJ59&lt;&gt;"", 3, 2), FALSE),IF(AJ59&lt;&gt;"",CONCATENATE(",",VLOOKUP(AJ59,$B:$AK,36,FALSE)),""))</f>
        <v>4,4,4</v>
      </c>
      <c r="AU59">
        <v>30</v>
      </c>
      <c r="AV59" s="15" t="str">
        <f t="shared" si="2"/>
        <v/>
      </c>
      <c r="AY59">
        <f t="shared" si="3"/>
        <v>17</v>
      </c>
      <c r="AZ59">
        <f t="shared" si="4"/>
        <v>0</v>
      </c>
      <c r="BA59">
        <f t="shared" si="5"/>
        <v>0</v>
      </c>
      <c r="BB59" s="3">
        <f t="shared" si="6"/>
        <v>0.85466666666666669</v>
      </c>
      <c r="BC59">
        <f t="shared" si="7"/>
        <v>10</v>
      </c>
      <c r="BD59">
        <f>VLOOKUP($E59,Constants!$I:$K, 2, FALSE)</f>
        <v>1</v>
      </c>
      <c r="BE59">
        <f>VLOOKUP($E59,Constants!$I:$K, 3, FALSE)*IF(AND(D59="multiple_unit",Y59&lt;110),0.75,1)</f>
        <v>0.45</v>
      </c>
      <c r="BF59">
        <f>INT(POWER(((Constants!$G$2+$AY59+$AZ59+$BA59+$BC59)*$BB59)*$BE59, 1.05))+$AX59</f>
        <v>13</v>
      </c>
      <c r="BG59">
        <f>INT(POWER((((Constants!$G$1+$AY59+$AZ59+$BA59+$BC59)*($BB59))*$BD59),IF($D59="wagon",1,1.2)))+$AW59</f>
        <v>35</v>
      </c>
      <c r="BH59" s="14">
        <f t="shared" si="8"/>
        <v>812.5</v>
      </c>
      <c r="BI59" s="14">
        <f t="shared" si="9"/>
        <v>95.55</v>
      </c>
      <c r="BP59">
        <v>1</v>
      </c>
      <c r="BQ59">
        <v>185</v>
      </c>
      <c r="BR59" t="s">
        <v>1043</v>
      </c>
      <c r="BS59" t="s">
        <v>411</v>
      </c>
      <c r="BT59" t="str">
        <f>VLOOKUP(G59,Eras!$A$2:$C$10, 2, TRUE)</f>
        <v>mod</v>
      </c>
      <c r="BU59" t="s">
        <v>341</v>
      </c>
      <c r="BV59" t="str">
        <f t="shared" si="10"/>
        <v>mod_Flat Wagon</v>
      </c>
      <c r="BW59" t="str">
        <f t="shared" si="11"/>
        <v>wagon_RAIL</v>
      </c>
      <c r="BX59" t="str">
        <f>VLOOKUP($BW59, Constants!$M:$N, 2, FALSE)</f>
        <v/>
      </c>
      <c r="BY59" t="str">
        <f t="shared" si="17"/>
        <v/>
      </c>
      <c r="BZ59" t="s">
        <v>779</v>
      </c>
      <c r="CA59" t="str">
        <f t="shared" si="18"/>
        <v/>
      </c>
      <c r="CB59" t="str">
        <f t="shared" si="14"/>
        <v>{SILVER}Despite the age of the "Salmon" bolster wagons, in 2009 they were refurbished with new end plates to make loading track panels simpler.</v>
      </c>
    </row>
    <row r="60" spans="1:80" x14ac:dyDescent="0.3">
      <c r="A60" t="s">
        <v>783</v>
      </c>
      <c r="B60" t="s">
        <v>784</v>
      </c>
      <c r="C60">
        <v>80</v>
      </c>
      <c r="D60" t="s">
        <v>281</v>
      </c>
      <c r="E60" t="s">
        <v>281</v>
      </c>
      <c r="F60" t="s">
        <v>275</v>
      </c>
      <c r="G60">
        <v>1972</v>
      </c>
      <c r="T60">
        <v>17</v>
      </c>
      <c r="V60">
        <v>5</v>
      </c>
      <c r="X60" s="3" t="str">
        <f t="shared" si="16"/>
        <v/>
      </c>
      <c r="Y60">
        <v>70</v>
      </c>
      <c r="Z60">
        <f t="shared" si="15"/>
        <v>112</v>
      </c>
      <c r="AC60">
        <v>13.3</v>
      </c>
      <c r="AD60">
        <v>13.3</v>
      </c>
      <c r="AG60" s="10">
        <v>42</v>
      </c>
      <c r="AH60" t="str">
        <f>CONCATENATE(VLOOKUP(AI60, 'Voxel Sizes'!$A$2:$B$18,2,FALSE),"x",INT(AE60*15), "x", INT(AF60*15))</f>
        <v>136x0x0</v>
      </c>
      <c r="AI60">
        <f t="shared" si="1"/>
        <v>8</v>
      </c>
      <c r="AK60" t="str">
        <f>CONCATENATE(VLOOKUP(AI60,Constants!$A$2:$C$16,IF(AJ60&lt;&gt;"", 3, 2), FALSE),IF(AJ60&lt;&gt;"",CONCATENATE(",",VLOOKUP(AJ60,$B:$AK,36,FALSE)),""))</f>
        <v>2,4,2</v>
      </c>
      <c r="AU60">
        <v>30</v>
      </c>
      <c r="AV60" s="15" t="str">
        <f t="shared" si="2"/>
        <v/>
      </c>
      <c r="AY60">
        <f t="shared" si="3"/>
        <v>14</v>
      </c>
      <c r="AZ60">
        <f t="shared" si="4"/>
        <v>0</v>
      </c>
      <c r="BA60">
        <f t="shared" si="5"/>
        <v>0</v>
      </c>
      <c r="BB60" s="3">
        <f t="shared" si="6"/>
        <v>0.90400000000000003</v>
      </c>
      <c r="BC60">
        <f t="shared" si="7"/>
        <v>7.0000000000000009</v>
      </c>
      <c r="BD60">
        <f>VLOOKUP($E60,Constants!$I:$K, 2, FALSE)</f>
        <v>1</v>
      </c>
      <c r="BE60">
        <f>VLOOKUP($E60,Constants!$I:$K, 3, FALSE)*IF(AND(D60="multiple_unit",Y60&lt;110),0.75,1)</f>
        <v>0.45</v>
      </c>
      <c r="BF60">
        <f>INT(POWER(((Constants!$G$2+$AY60+$AZ60+$BA60+$BC60)*$BB60)*$BE60, 1.05))+$AX60</f>
        <v>11</v>
      </c>
      <c r="BG60">
        <f>INT(POWER((((Constants!$G$1+$AY60+$AZ60+$BA60+$BC60)*($BB60))*$BD60),IF($D60="wagon",1,1.2)))+$AW60</f>
        <v>32</v>
      </c>
      <c r="BH60" s="14">
        <f t="shared" si="8"/>
        <v>687.5</v>
      </c>
      <c r="BI60" s="14">
        <f t="shared" si="9"/>
        <v>87.36</v>
      </c>
      <c r="BP60">
        <v>1</v>
      </c>
      <c r="BQ60">
        <v>185</v>
      </c>
      <c r="BR60" t="s">
        <v>889</v>
      </c>
      <c r="BS60" t="s">
        <v>793</v>
      </c>
      <c r="BT60" t="str">
        <f>VLOOKUP(G60,Eras!$A$2:$C$10, 2, TRUE)</f>
        <v>lbr</v>
      </c>
      <c r="BU60" t="s">
        <v>341</v>
      </c>
      <c r="BV60" t="str">
        <f t="shared" si="10"/>
        <v>lbr_Flat Wagon</v>
      </c>
      <c r="BW60" t="str">
        <f t="shared" si="11"/>
        <v>wagon_RAIL</v>
      </c>
      <c r="BX60" t="str">
        <f>VLOOKUP($BW60, Constants!$M:$N, 2, FALSE)</f>
        <v/>
      </c>
      <c r="BY60" t="str">
        <f t="shared" si="17"/>
        <v/>
      </c>
      <c r="BZ60" t="s">
        <v>794</v>
      </c>
      <c r="CA60" t="str">
        <f t="shared" si="18"/>
        <v/>
      </c>
      <c r="CB60" t="str">
        <f t="shared" si="14"/>
        <v>{SILVER}BAA wagons could initially carry steel in a large variety of forms, although many were later modified to be dedicated coil carriers.</v>
      </c>
    </row>
    <row r="61" spans="1:80" x14ac:dyDescent="0.3">
      <c r="A61" t="s">
        <v>785</v>
      </c>
      <c r="B61" t="s">
        <v>786</v>
      </c>
      <c r="C61">
        <v>82</v>
      </c>
      <c r="D61" t="s">
        <v>281</v>
      </c>
      <c r="E61" t="s">
        <v>281</v>
      </c>
      <c r="F61" t="s">
        <v>275</v>
      </c>
      <c r="G61">
        <v>1998</v>
      </c>
      <c r="T61">
        <v>24</v>
      </c>
      <c r="V61">
        <v>8</v>
      </c>
      <c r="X61" s="3" t="str">
        <f t="shared" si="16"/>
        <v/>
      </c>
      <c r="Y61">
        <v>85</v>
      </c>
      <c r="Z61">
        <f t="shared" si="15"/>
        <v>136</v>
      </c>
      <c r="AC61">
        <v>18.600000000000001</v>
      </c>
      <c r="AD61">
        <v>18.600000000000001</v>
      </c>
      <c r="AG61" s="10">
        <v>78</v>
      </c>
      <c r="AH61" t="str">
        <f>CONCATENATE(VLOOKUP(AI61, 'Voxel Sizes'!$A$2:$B$18,2,FALSE),"x",INT(AE61*15), "x", INT(AF61*15))</f>
        <v>186x0x0</v>
      </c>
      <c r="AI61">
        <f t="shared" si="1"/>
        <v>11</v>
      </c>
      <c r="AK61" t="str">
        <f>CONCATENATE(VLOOKUP(AI61,Constants!$A$2:$C$16,IF(AJ61&lt;&gt;"", 3, 2), FALSE),IF(AJ61&lt;&gt;"",CONCATENATE(",",VLOOKUP(AJ61,$B:$AK,36,FALSE)),""))</f>
        <v>4,3,4</v>
      </c>
      <c r="AU61">
        <v>30</v>
      </c>
      <c r="AV61" s="15" t="str">
        <f t="shared" si="2"/>
        <v/>
      </c>
      <c r="AY61">
        <f t="shared" si="3"/>
        <v>17</v>
      </c>
      <c r="AZ61">
        <f t="shared" si="4"/>
        <v>0</v>
      </c>
      <c r="BA61">
        <f t="shared" si="5"/>
        <v>0</v>
      </c>
      <c r="BB61" s="3">
        <f t="shared" si="6"/>
        <v>0.86933333333333329</v>
      </c>
      <c r="BC61">
        <f t="shared" si="7"/>
        <v>13</v>
      </c>
      <c r="BD61">
        <f>VLOOKUP($E61,Constants!$I:$K, 2, FALSE)</f>
        <v>1</v>
      </c>
      <c r="BE61">
        <f>VLOOKUP($E61,Constants!$I:$K, 3, FALSE)*IF(AND(D61="multiple_unit",Y61&lt;110),0.75,1)</f>
        <v>0.45</v>
      </c>
      <c r="BF61">
        <f>INT(POWER(((Constants!$G$2+$AY61+$AZ61+$BA61+$BC61)*$BB61)*$BE61, 1.05))+$AX61</f>
        <v>15</v>
      </c>
      <c r="BG61">
        <f>INT(POWER((((Constants!$G$1+$AY61+$AZ61+$BA61+$BC61)*($BB61))*$BD61),IF($D61="wagon",1,1.2)))+$AW61</f>
        <v>39</v>
      </c>
      <c r="BH61" s="14">
        <f t="shared" si="8"/>
        <v>937.5</v>
      </c>
      <c r="BI61" s="14">
        <f t="shared" si="9"/>
        <v>106.47</v>
      </c>
      <c r="BP61">
        <v>1</v>
      </c>
      <c r="BQ61">
        <v>185</v>
      </c>
      <c r="BR61" t="s">
        <v>889</v>
      </c>
      <c r="BS61" t="s">
        <v>793</v>
      </c>
      <c r="BT61" t="str">
        <f>VLOOKUP(G61,Eras!$A$2:$C$10, 2, TRUE)</f>
        <v>prv</v>
      </c>
      <c r="BU61" t="s">
        <v>341</v>
      </c>
      <c r="BV61" t="str">
        <f t="shared" si="10"/>
        <v>prv_Flat Wagon</v>
      </c>
      <c r="BW61" t="str">
        <f t="shared" si="11"/>
        <v>wagon_RAIL</v>
      </c>
      <c r="BX61" t="str">
        <f>VLOOKUP($BW61, Constants!$M:$N, 2, FALSE)</f>
        <v/>
      </c>
      <c r="BY61" t="str">
        <f t="shared" si="17"/>
        <v/>
      </c>
      <c r="BZ61" t="s">
        <v>792</v>
      </c>
      <c r="CA61" t="str">
        <f t="shared" si="18"/>
        <v/>
      </c>
      <c r="CB61" t="str">
        <f t="shared" si="14"/>
        <v>{SILVER}The BYA/BRA covered steel carriers gained their name from the corrugated sliding cover and its curved cross section.</v>
      </c>
    </row>
    <row r="62" spans="1:80" x14ac:dyDescent="0.3">
      <c r="A62" t="s">
        <v>119</v>
      </c>
      <c r="B62" t="s">
        <v>279</v>
      </c>
      <c r="C62">
        <v>93</v>
      </c>
      <c r="D62" t="s">
        <v>281</v>
      </c>
      <c r="E62" t="s">
        <v>281</v>
      </c>
      <c r="F62" t="s">
        <v>275</v>
      </c>
      <c r="G62">
        <v>1860</v>
      </c>
      <c r="I62">
        <v>1922</v>
      </c>
      <c r="T62">
        <v>5</v>
      </c>
      <c r="V62">
        <v>2</v>
      </c>
      <c r="X62" s="3" t="str">
        <f t="shared" si="16"/>
        <v/>
      </c>
      <c r="Y62">
        <v>35</v>
      </c>
      <c r="Z62">
        <f t="shared" si="15"/>
        <v>56</v>
      </c>
      <c r="AC62">
        <v>4.9000000000000004</v>
      </c>
      <c r="AD62">
        <v>6</v>
      </c>
      <c r="AG62" s="10">
        <v>15</v>
      </c>
      <c r="AH62" t="str">
        <f>CONCATENATE(VLOOKUP(AI62, 'Voxel Sizes'!$A$2:$B$18,2,FALSE),"x",INT(AE62*15), "x", INT(AF62*15))</f>
        <v>60x0x0</v>
      </c>
      <c r="AI62">
        <f t="shared" si="1"/>
        <v>4</v>
      </c>
      <c r="AK62" t="str">
        <f>CONCATENATE(VLOOKUP(AI62,Constants!$A$2:$C$16,IF(AJ62&lt;&gt;"", 3, 2), FALSE),IF(AJ62&lt;&gt;"",CONCATENATE(",",VLOOKUP(AJ62,$B:$AK,36,FALSE)),""))</f>
        <v>1,2,1</v>
      </c>
      <c r="AU62">
        <v>30</v>
      </c>
      <c r="AV62" s="15">
        <f t="shared" si="2"/>
        <v>70</v>
      </c>
      <c r="AY62">
        <f t="shared" si="3"/>
        <v>7</v>
      </c>
      <c r="AZ62">
        <f t="shared" si="4"/>
        <v>0</v>
      </c>
      <c r="BA62">
        <f t="shared" si="5"/>
        <v>0</v>
      </c>
      <c r="BB62" s="3">
        <f t="shared" si="6"/>
        <v>1</v>
      </c>
      <c r="BC62">
        <f t="shared" si="7"/>
        <v>2.5</v>
      </c>
      <c r="BD62">
        <f>VLOOKUP($E62,Constants!$I:$K, 2, FALSE)</f>
        <v>1</v>
      </c>
      <c r="BE62">
        <f>VLOOKUP($E62,Constants!$I:$K, 3, FALSE)*IF(AND(D62="multiple_unit",Y62&lt;110),0.75,1)</f>
        <v>0.45</v>
      </c>
      <c r="BF62">
        <f>INT(POWER(((Constants!$G$2+$AY62+$AZ62+$BA62+$BC62)*$BB62)*$BE62, 1.05))+$AX62</f>
        <v>7</v>
      </c>
      <c r="BG62">
        <f>INT(POWER((((Constants!$G$1+$AY62+$AZ62+$BA62+$BC62)*($BB62))*$BD62),IF($D62="wagon",1,1.2)))+$AW62</f>
        <v>24</v>
      </c>
      <c r="BH62" s="14">
        <f t="shared" si="8"/>
        <v>437.5</v>
      </c>
      <c r="BI62" s="14">
        <f t="shared" si="9"/>
        <v>65.52</v>
      </c>
      <c r="BP62">
        <v>1</v>
      </c>
      <c r="BQ62">
        <v>185</v>
      </c>
      <c r="BR62" t="s">
        <v>343</v>
      </c>
      <c r="BS62" t="s">
        <v>284</v>
      </c>
      <c r="BT62" t="str">
        <f>VLOOKUP(G62,Eras!$A$2:$C$10, 2, TRUE)</f>
        <v>vct</v>
      </c>
      <c r="BU62" t="s">
        <v>343</v>
      </c>
      <c r="BV62" t="str">
        <f t="shared" si="10"/>
        <v>vct_Tanker</v>
      </c>
      <c r="BW62" t="str">
        <f t="shared" si="11"/>
        <v>wagon_RAIL</v>
      </c>
      <c r="BX62" t="str">
        <f>VLOOKUP($BW62, Constants!$M:$N, 2, FALSE)</f>
        <v/>
      </c>
      <c r="BY62" t="str">
        <f t="shared" si="17"/>
        <v/>
      </c>
      <c r="BZ62" t="s">
        <v>363</v>
      </c>
      <c r="CA62" t="str">
        <f t="shared" si="18"/>
        <v/>
      </c>
      <c r="CB62" t="str">
        <f t="shared" si="14"/>
        <v>{SILVER}Early four wheel tank wagons are limited to low speeds by their construction and primitive suspension.</v>
      </c>
    </row>
    <row r="63" spans="1:80" x14ac:dyDescent="0.3">
      <c r="A63" t="s">
        <v>406</v>
      </c>
      <c r="B63" t="s">
        <v>407</v>
      </c>
      <c r="C63">
        <v>94</v>
      </c>
      <c r="D63" t="s">
        <v>281</v>
      </c>
      <c r="E63" t="s">
        <v>281</v>
      </c>
      <c r="F63" t="s">
        <v>275</v>
      </c>
      <c r="G63">
        <v>1901</v>
      </c>
      <c r="I63">
        <v>1939</v>
      </c>
      <c r="T63">
        <v>10</v>
      </c>
      <c r="V63">
        <v>3</v>
      </c>
      <c r="X63" s="3" t="str">
        <f t="shared" si="16"/>
        <v/>
      </c>
      <c r="Y63">
        <v>45</v>
      </c>
      <c r="Z63">
        <f t="shared" si="15"/>
        <v>72</v>
      </c>
      <c r="AC63">
        <v>8</v>
      </c>
      <c r="AD63">
        <v>8</v>
      </c>
      <c r="AG63" s="10">
        <v>21</v>
      </c>
      <c r="AH63" t="str">
        <f>CONCATENATE(VLOOKUP(AI63, 'Voxel Sizes'!$A$2:$B$18,2,FALSE),"x",INT(AE63*15), "x", INT(AF63*15))</f>
        <v>82x0x0</v>
      </c>
      <c r="AI63">
        <f t="shared" si="1"/>
        <v>5</v>
      </c>
      <c r="AK63" t="str">
        <f>CONCATENATE(VLOOKUP(AI63,Constants!$A$2:$C$16,IF(AJ63&lt;&gt;"", 3, 2), FALSE),IF(AJ63&lt;&gt;"",CONCATENATE(",",VLOOKUP(AJ63,$B:$AK,36,FALSE)),""))</f>
        <v>2,1,2</v>
      </c>
      <c r="AU63">
        <v>30</v>
      </c>
      <c r="AV63" s="15">
        <f t="shared" si="2"/>
        <v>46</v>
      </c>
      <c r="AY63">
        <f t="shared" si="3"/>
        <v>9</v>
      </c>
      <c r="AZ63">
        <f t="shared" si="4"/>
        <v>0</v>
      </c>
      <c r="BA63">
        <f t="shared" si="5"/>
        <v>0</v>
      </c>
      <c r="BB63" s="3">
        <f t="shared" si="6"/>
        <v>0.9986666666666667</v>
      </c>
      <c r="BC63">
        <f t="shared" si="7"/>
        <v>3.5000000000000004</v>
      </c>
      <c r="BD63">
        <f>VLOOKUP($E63,Constants!$I:$K, 2, FALSE)</f>
        <v>1</v>
      </c>
      <c r="BE63">
        <f>VLOOKUP($E63,Constants!$I:$K, 3, FALSE)*IF(AND(D63="multiple_unit",Y63&lt;110),0.75,1)</f>
        <v>0.45</v>
      </c>
      <c r="BF63">
        <f>INT(POWER(((Constants!$G$2+$AY63+$AZ63+$BA63+$BC63)*$BB63)*$BE63, 1.05))+$AX63</f>
        <v>8</v>
      </c>
      <c r="BG63">
        <f>INT(POWER((((Constants!$G$1+$AY63+$AZ63+$BA63+$BC63)*($BB63))*$BD63),IF($D63="wagon",1,1.2)))+$AW63</f>
        <v>27</v>
      </c>
      <c r="BH63" s="14">
        <f t="shared" si="8"/>
        <v>500</v>
      </c>
      <c r="BI63" s="14">
        <f t="shared" si="9"/>
        <v>73.709999999999994</v>
      </c>
      <c r="BP63">
        <v>1</v>
      </c>
      <c r="BQ63">
        <v>185</v>
      </c>
      <c r="BR63" t="s">
        <v>343</v>
      </c>
      <c r="BS63" t="s">
        <v>284</v>
      </c>
      <c r="BT63" t="str">
        <f>VLOOKUP(G63,Eras!$A$2:$C$10, 2, TRUE)</f>
        <v>edw</v>
      </c>
      <c r="BU63" t="s">
        <v>343</v>
      </c>
      <c r="BV63" t="str">
        <f t="shared" si="10"/>
        <v>edw_Tanker</v>
      </c>
      <c r="BW63" t="str">
        <f t="shared" si="11"/>
        <v>wagon_RAIL</v>
      </c>
      <c r="BX63" t="str">
        <f>VLOOKUP($BW63, Constants!$M:$N, 2, FALSE)</f>
        <v/>
      </c>
      <c r="BY63" t="str">
        <f t="shared" si="17"/>
        <v/>
      </c>
      <c r="BZ63" t="s">
        <v>408</v>
      </c>
      <c r="CA63" t="str">
        <f t="shared" si="18"/>
        <v/>
      </c>
      <c r="CB63" t="str">
        <f t="shared" si="14"/>
        <v>{SILVER}The GWR's cylindrical tank wagons were built by the Locomotive department, as the iron cylinders used similar techniques to steam engines.</v>
      </c>
    </row>
    <row r="64" spans="1:80" x14ac:dyDescent="0.3">
      <c r="A64" t="s">
        <v>735</v>
      </c>
      <c r="B64" t="s">
        <v>280</v>
      </c>
      <c r="C64">
        <v>96</v>
      </c>
      <c r="D64" t="s">
        <v>281</v>
      </c>
      <c r="E64" t="s">
        <v>281</v>
      </c>
      <c r="F64" t="s">
        <v>275</v>
      </c>
      <c r="G64">
        <v>1928</v>
      </c>
      <c r="I64">
        <v>1975</v>
      </c>
      <c r="T64">
        <v>11</v>
      </c>
      <c r="V64">
        <v>3</v>
      </c>
      <c r="Y64">
        <v>50</v>
      </c>
      <c r="Z64">
        <f t="shared" si="15"/>
        <v>80</v>
      </c>
      <c r="AC64">
        <v>8</v>
      </c>
      <c r="AD64">
        <v>8</v>
      </c>
      <c r="AG64" s="10">
        <v>27</v>
      </c>
      <c r="AH64" t="str">
        <f>CONCATENATE(VLOOKUP(AI64, 'Voxel Sizes'!$A$2:$B$18,2,FALSE),"x",INT(AE64*15), "x", INT(AF64*15))</f>
        <v>82x0x0</v>
      </c>
      <c r="AI64">
        <f t="shared" si="1"/>
        <v>5</v>
      </c>
      <c r="AK64" t="str">
        <f>CONCATENATE(VLOOKUP(AI64,Constants!$A$2:$C$16,IF(AJ64&lt;&gt;"", 3, 2), FALSE),IF(AJ64&lt;&gt;"",CONCATENATE(",",VLOOKUP(AJ64,$B:$AK,36,FALSE)),""))</f>
        <v>2,1,2</v>
      </c>
      <c r="AU64">
        <v>30</v>
      </c>
      <c r="AV64" s="15">
        <f t="shared" si="2"/>
        <v>55</v>
      </c>
      <c r="AY64">
        <f t="shared" si="3"/>
        <v>10</v>
      </c>
      <c r="AZ64">
        <f t="shared" si="4"/>
        <v>0</v>
      </c>
      <c r="BA64">
        <f t="shared" si="5"/>
        <v>0</v>
      </c>
      <c r="BB64" s="3">
        <f t="shared" si="6"/>
        <v>0.96266666666666667</v>
      </c>
      <c r="BC64">
        <f t="shared" si="7"/>
        <v>4.5</v>
      </c>
      <c r="BD64">
        <f>VLOOKUP($E64,Constants!$I:$K, 2, FALSE)</f>
        <v>1</v>
      </c>
      <c r="BE64">
        <f>VLOOKUP($E64,Constants!$I:$K, 3, FALSE)*IF(AND(D64="multiple_unit",Y64&lt;110),0.75,1)</f>
        <v>0.45</v>
      </c>
      <c r="BF64">
        <f>INT(POWER(((Constants!$G$2+$AY64+$AZ64+$BA64+$BC64)*$BB64)*$BE64, 1.05))+$AX64</f>
        <v>9</v>
      </c>
      <c r="BG64">
        <f>INT(POWER((((Constants!$G$1+$AY64+$AZ64+$BA64+$BC64)*($BB64))*$BD64),IF($D64="wagon",1,1.2)))+$AW64</f>
        <v>28</v>
      </c>
      <c r="BH64" s="14">
        <f t="shared" si="8"/>
        <v>562.5</v>
      </c>
      <c r="BI64" s="14">
        <f t="shared" si="9"/>
        <v>76.44</v>
      </c>
      <c r="BP64">
        <v>1</v>
      </c>
      <c r="BQ64">
        <v>185</v>
      </c>
      <c r="BR64" t="s">
        <v>343</v>
      </c>
      <c r="BS64" t="s">
        <v>284</v>
      </c>
      <c r="BT64" t="str">
        <f>VLOOKUP(G64,Eras!$A$2:$C$10, 2, TRUE)</f>
        <v>big4</v>
      </c>
      <c r="BU64" t="s">
        <v>343</v>
      </c>
      <c r="BV64" t="str">
        <f t="shared" si="10"/>
        <v>big4_Tanker</v>
      </c>
      <c r="BW64" t="str">
        <f t="shared" si="11"/>
        <v>wagon_RAIL</v>
      </c>
      <c r="BX64" t="str">
        <f>VLOOKUP($BW64, Constants!$M:$N, 2, FALSE)</f>
        <v/>
      </c>
      <c r="BY64" t="str">
        <f t="shared" si="17"/>
        <v/>
      </c>
      <c r="BZ64" t="s">
        <v>736</v>
      </c>
      <c r="CA64" t="str">
        <f t="shared" si="18"/>
        <v/>
      </c>
      <c r="CB64" t="str">
        <f t="shared" si="14"/>
        <v>{SILVER}Six wheeled tank wagons formed the core of the GWR (and later BR) "milk trains", long freight consists transporting milk from farms to cities.</v>
      </c>
    </row>
    <row r="65" spans="1:80" x14ac:dyDescent="0.3">
      <c r="A65" t="s">
        <v>733</v>
      </c>
      <c r="B65" t="s">
        <v>712</v>
      </c>
      <c r="C65">
        <v>97</v>
      </c>
      <c r="D65" t="s">
        <v>281</v>
      </c>
      <c r="E65" t="s">
        <v>281</v>
      </c>
      <c r="F65" t="s">
        <v>275</v>
      </c>
      <c r="G65">
        <v>1966</v>
      </c>
      <c r="T65">
        <v>12</v>
      </c>
      <c r="V65">
        <v>4</v>
      </c>
      <c r="X65" s="3" t="str">
        <f t="shared" ref="X65:X128" si="19">IF(AND(T65&gt;0,W65&gt;0),(W65/((T65+U65)*10)),"")</f>
        <v/>
      </c>
      <c r="Y65">
        <v>65</v>
      </c>
      <c r="Z65">
        <f t="shared" si="15"/>
        <v>104</v>
      </c>
      <c r="AC65">
        <v>9.8000000000000007</v>
      </c>
      <c r="AD65">
        <v>9.8000000000000007</v>
      </c>
      <c r="AG65" s="10">
        <v>33</v>
      </c>
      <c r="AH65" t="str">
        <f>CONCATENATE(VLOOKUP(AI65, 'Voxel Sizes'!$A$2:$B$18,2,FALSE),"x",INT(AE65*15), "x", INT(AF65*15))</f>
        <v>102x0x0</v>
      </c>
      <c r="AI65">
        <f t="shared" si="1"/>
        <v>6</v>
      </c>
      <c r="AK65" t="str">
        <f>CONCATENATE(VLOOKUP(AI65,Constants!$A$2:$C$16,IF(AJ65&lt;&gt;"", 3, 2), FALSE),IF(AJ65&lt;&gt;"",CONCATENATE(",",VLOOKUP(AJ65,$B:$AK,36,FALSE)),""))</f>
        <v>2,2,2</v>
      </c>
      <c r="AU65">
        <v>30</v>
      </c>
      <c r="AV65" s="15" t="str">
        <f t="shared" si="2"/>
        <v/>
      </c>
      <c r="AY65">
        <f t="shared" si="3"/>
        <v>13</v>
      </c>
      <c r="AZ65">
        <f t="shared" si="4"/>
        <v>0</v>
      </c>
      <c r="BA65">
        <f t="shared" si="5"/>
        <v>0</v>
      </c>
      <c r="BB65" s="3">
        <f t="shared" si="6"/>
        <v>0.91200000000000003</v>
      </c>
      <c r="BC65">
        <f t="shared" si="7"/>
        <v>5.5</v>
      </c>
      <c r="BD65">
        <f>VLOOKUP($E65,Constants!$I:$K, 2, FALSE)</f>
        <v>1</v>
      </c>
      <c r="BE65">
        <f>VLOOKUP($E65,Constants!$I:$K, 3, FALSE)*IF(AND(D65="multiple_unit",Y65&lt;110),0.75,1)</f>
        <v>0.45</v>
      </c>
      <c r="BF65">
        <f>INT(POWER(((Constants!$G$2+$AY65+$AZ65+$BA65+$BC65)*$BB65)*$BE65, 1.05))+$AX65</f>
        <v>10</v>
      </c>
      <c r="BG65">
        <f>INT(POWER((((Constants!$G$1+$AY65+$AZ65+$BA65+$BC65)*($BB65))*$BD65),IF($D65="wagon",1,1.2)))+$AW65</f>
        <v>30</v>
      </c>
      <c r="BH65" s="14">
        <f t="shared" si="8"/>
        <v>625</v>
      </c>
      <c r="BI65" s="14">
        <f t="shared" si="9"/>
        <v>81.900000000000006</v>
      </c>
      <c r="BP65">
        <v>1</v>
      </c>
      <c r="BQ65">
        <v>185</v>
      </c>
      <c r="BR65" t="s">
        <v>343</v>
      </c>
      <c r="BS65" t="s">
        <v>284</v>
      </c>
      <c r="BT65" t="str">
        <f>VLOOKUP(G65,Eras!$A$2:$C$10, 2, TRUE)</f>
        <v>dsl</v>
      </c>
      <c r="BU65" t="s">
        <v>343</v>
      </c>
      <c r="BV65" t="str">
        <f t="shared" si="10"/>
        <v>dsl_Tanker</v>
      </c>
      <c r="BW65" t="str">
        <f t="shared" si="11"/>
        <v>wagon_RAIL</v>
      </c>
      <c r="BX65" t="str">
        <f>VLOOKUP($BW65, Constants!$M:$N, 2, FALSE)</f>
        <v/>
      </c>
      <c r="BY65" t="str">
        <f t="shared" si="17"/>
        <v/>
      </c>
      <c r="BZ65" t="s">
        <v>710</v>
      </c>
      <c r="CA65" t="str">
        <f t="shared" si="18"/>
        <v/>
      </c>
      <c r="CB65" t="str">
        <f t="shared" si="14"/>
        <v>{SILVER}TTA tankers were constructed on "monobloc" principles and featured automatic braking.</v>
      </c>
    </row>
    <row r="66" spans="1:80" x14ac:dyDescent="0.3">
      <c r="A66" t="s">
        <v>734</v>
      </c>
      <c r="B66" t="s">
        <v>713</v>
      </c>
      <c r="C66">
        <v>99</v>
      </c>
      <c r="D66" t="s">
        <v>281</v>
      </c>
      <c r="E66" t="s">
        <v>281</v>
      </c>
      <c r="F66" t="s">
        <v>275</v>
      </c>
      <c r="G66">
        <v>1970</v>
      </c>
      <c r="T66">
        <v>24</v>
      </c>
      <c r="V66">
        <v>5</v>
      </c>
      <c r="X66" s="3" t="str">
        <f t="shared" si="19"/>
        <v/>
      </c>
      <c r="Y66">
        <v>70</v>
      </c>
      <c r="Z66">
        <f t="shared" si="15"/>
        <v>112</v>
      </c>
      <c r="AC66">
        <v>17.7</v>
      </c>
      <c r="AD66">
        <v>17.7</v>
      </c>
      <c r="AG66" s="10">
        <v>78</v>
      </c>
      <c r="AH66" t="str">
        <f>CONCATENATE(VLOOKUP(AI66, 'Voxel Sizes'!$A$2:$B$18,2,FALSE),"x",INT(AE66*15), "x", INT(AF66*15))</f>
        <v>164x0x0</v>
      </c>
      <c r="AI66">
        <f t="shared" ref="AI66:AI129" si="20">ROUND(15*((AD66*10)/256),0)</f>
        <v>10</v>
      </c>
      <c r="AK66" t="str">
        <f>CONCATENATE(VLOOKUP(AI66,Constants!$A$2:$C$16,IF(AJ66&lt;&gt;"", 3, 2), FALSE),IF(AJ66&lt;&gt;"",CONCATENATE(",",VLOOKUP(AJ66,$B:$AK,36,FALSE)),""))</f>
        <v>4,2,4</v>
      </c>
      <c r="AU66">
        <v>30</v>
      </c>
      <c r="AV66" s="15" t="str">
        <f t="shared" ref="AV66:AV129" si="21">IF(I66&lt;&gt;"",MAX(16,(I66-G66)+8),"")</f>
        <v/>
      </c>
      <c r="AY66">
        <f t="shared" ref="AY66:AY129" si="22">MIN(Y66/150, 1)*30</f>
        <v>14</v>
      </c>
      <c r="AZ66">
        <f t="shared" ref="AZ66:AZ129" si="23">MIN(K66/4000, 1)*20</f>
        <v>0</v>
      </c>
      <c r="BA66">
        <f t="shared" ref="BA66:BA129" si="24">MIN(W66/400,1)*20</f>
        <v>0</v>
      </c>
      <c r="BB66" s="3">
        <f t="shared" ref="BB66:BB129" si="25">1-(MAX(G66-1900, 0)/750)</f>
        <v>0.90666666666666662</v>
      </c>
      <c r="BC66">
        <f t="shared" ref="BC66:BC129" si="26">((MAX($J66,1)*MIN($AG66/300,1)))*IF(D66="Wagon",50,10)</f>
        <v>13</v>
      </c>
      <c r="BD66">
        <f>VLOOKUP($E66,Constants!$I:$K, 2, FALSE)</f>
        <v>1</v>
      </c>
      <c r="BE66">
        <f>VLOOKUP($E66,Constants!$I:$K, 3, FALSE)*IF(AND(D66="multiple_unit",Y66&lt;110),0.75,1)</f>
        <v>0.45</v>
      </c>
      <c r="BF66">
        <f>INT(POWER(((Constants!$G$2+$AY66+$AZ66+$BA66+$BC66)*$BB66)*$BE66, 1.05))+$AX66</f>
        <v>14</v>
      </c>
      <c r="BG66">
        <f>INT(POWER((((Constants!$G$1+$AY66+$AZ66+$BA66+$BC66)*($BB66))*$BD66),IF($D66="wagon",1,1.2)))+$AW66</f>
        <v>38</v>
      </c>
      <c r="BH66" s="14">
        <f t="shared" ref="BH66:BH129" si="27">BF66*IF($D66="wagon",62.5,781.25)</f>
        <v>875</v>
      </c>
      <c r="BI66" s="14">
        <f t="shared" ref="BI66:BI129" si="28">BG66*IF($D66="wagon",2.73,81.25)</f>
        <v>103.74</v>
      </c>
      <c r="BP66">
        <v>1</v>
      </c>
      <c r="BQ66">
        <v>185</v>
      </c>
      <c r="BR66" t="s">
        <v>343</v>
      </c>
      <c r="BS66" t="s">
        <v>284</v>
      </c>
      <c r="BT66" t="str">
        <f>VLOOKUP(G66,Eras!$A$2:$C$10, 2, TRUE)</f>
        <v>lbr</v>
      </c>
      <c r="BU66" t="s">
        <v>343</v>
      </c>
      <c r="BV66" t="str">
        <f t="shared" ref="BV66:BV129" si="29">CONCATENATE(BT66,"_",BU66)</f>
        <v>lbr_Tanker</v>
      </c>
      <c r="BW66" t="str">
        <f t="shared" ref="BW66:BW129" si="30">_xlfn.CONCAT(E66, "_",F66)</f>
        <v>wagon_RAIL</v>
      </c>
      <c r="BX66" t="str">
        <f>VLOOKUP($BW66, Constants!$M:$N, 2, FALSE)</f>
        <v/>
      </c>
      <c r="BY66" t="str">
        <f t="shared" ref="BY66:BY97" si="31">IF(J66&gt;1,_xlfn.CONCAT("{BLACK}Cars: {GOLD}", J66),"")</f>
        <v/>
      </c>
      <c r="BZ66" t="s">
        <v>711</v>
      </c>
      <c r="CA66" t="str">
        <f t="shared" ref="CA66:CA97" si="32">IF(BS66="BRAKE","{YELLOW}Speed bonus for slow wagons{}",IF(BQ66&gt;190,CONCATENATE("{YELLOW}",INT((BQ66-185)/1.85),"% Bonus for long distance travel{}"),IF(AND(BQ66&lt;180,BQ66&lt;&gt;0),CONCATENATE("{YELLOW}",INT((185-BQ66)/1.85),"% Penalty for long distance travel{}"),"")))</f>
        <v/>
      </c>
      <c r="CB66" t="str">
        <f t="shared" ref="CB66:CB129" si="33">_xlfn.CONCAT(BX66,IF(BX66 &lt;&gt; "", " ", ""),BY66,IF(OR(BY66&lt;&gt;"", BX66&lt;&gt;""), "{}",""), CA66,"{SILVER}", BZ66)</f>
        <v>{SILVER}Large bogie tankers allowed for carrying heavy loads of liquids at high speeds. The long frames allow tanks to take up more space without fouling axles.</v>
      </c>
    </row>
    <row r="67" spans="1:80" x14ac:dyDescent="0.3">
      <c r="A67" t="s">
        <v>803</v>
      </c>
      <c r="B67" t="s">
        <v>210</v>
      </c>
      <c r="C67">
        <v>100</v>
      </c>
      <c r="D67" t="s">
        <v>281</v>
      </c>
      <c r="E67" t="s">
        <v>281</v>
      </c>
      <c r="F67" t="s">
        <v>275</v>
      </c>
      <c r="G67">
        <v>1850</v>
      </c>
      <c r="I67">
        <v>1925</v>
      </c>
      <c r="T67">
        <v>8</v>
      </c>
      <c r="V67">
        <v>3</v>
      </c>
      <c r="X67" s="3" t="str">
        <f t="shared" si="19"/>
        <v/>
      </c>
      <c r="Y67">
        <v>40</v>
      </c>
      <c r="Z67">
        <f t="shared" si="15"/>
        <v>64</v>
      </c>
      <c r="AC67">
        <v>6</v>
      </c>
      <c r="AD67">
        <v>6</v>
      </c>
      <c r="AG67" s="10">
        <v>18</v>
      </c>
      <c r="AH67" t="str">
        <f>CONCATENATE(VLOOKUP(AI67, 'Voxel Sizes'!$A$2:$B$18,2,FALSE),"x",INT(AE67*15), "x", INT(AF67*15))</f>
        <v>60x0x0</v>
      </c>
      <c r="AI67">
        <f t="shared" si="20"/>
        <v>4</v>
      </c>
      <c r="AK67" t="str">
        <f>CONCATENATE(VLOOKUP(AI67,Constants!$A$2:$C$16,IF(AJ67&lt;&gt;"", 3, 2), FALSE),IF(AJ67&lt;&gt;"",CONCATENATE(",",VLOOKUP(AJ67,$B:$AK,36,FALSE)),""))</f>
        <v>1,2,1</v>
      </c>
      <c r="AU67">
        <v>30</v>
      </c>
      <c r="AV67" s="15">
        <f t="shared" si="21"/>
        <v>83</v>
      </c>
      <c r="AY67">
        <f t="shared" si="22"/>
        <v>8</v>
      </c>
      <c r="AZ67">
        <f t="shared" si="23"/>
        <v>0</v>
      </c>
      <c r="BA67">
        <f t="shared" si="24"/>
        <v>0</v>
      </c>
      <c r="BB67" s="3">
        <f t="shared" si="25"/>
        <v>1</v>
      </c>
      <c r="BC67">
        <f t="shared" si="26"/>
        <v>3</v>
      </c>
      <c r="BD67">
        <f>VLOOKUP($E67,Constants!$I:$K, 2, FALSE)</f>
        <v>1</v>
      </c>
      <c r="BE67">
        <f>VLOOKUP($E67,Constants!$I:$K, 3, FALSE)*IF(AND(D67="multiple_unit",Y67&lt;110),0.75,1)</f>
        <v>0.45</v>
      </c>
      <c r="BF67">
        <f>INT(POWER(((Constants!$G$2+$AY67+$AZ67+$BA67+$BC67)*$BB67)*$BE67, 1.05))+$AX67</f>
        <v>7</v>
      </c>
      <c r="BG67">
        <f>INT(POWER((((Constants!$G$1+$AY67+$AZ67+$BA67+$BC67)*($BB67))*$BD67),IF($D67="wagon",1,1.2)))+$AW67</f>
        <v>26</v>
      </c>
      <c r="BH67" s="14">
        <f t="shared" si="27"/>
        <v>437.5</v>
      </c>
      <c r="BI67" s="14">
        <f t="shared" si="28"/>
        <v>70.98</v>
      </c>
      <c r="BP67">
        <v>1</v>
      </c>
      <c r="BQ67">
        <v>185</v>
      </c>
      <c r="BR67" t="s">
        <v>905</v>
      </c>
      <c r="BS67" t="s">
        <v>753</v>
      </c>
      <c r="BT67" t="str">
        <f>VLOOKUP(G67,Eras!$A$2:$C$10, 2, TRUE)</f>
        <v>vct</v>
      </c>
      <c r="BU67" t="s">
        <v>342</v>
      </c>
      <c r="BV67" t="str">
        <f t="shared" si="29"/>
        <v>vct_Van</v>
      </c>
      <c r="BW67" t="str">
        <f t="shared" si="30"/>
        <v>wagon_RAIL</v>
      </c>
      <c r="BX67" t="str">
        <f>VLOOKUP($BW67, Constants!$M:$N, 2, FALSE)</f>
        <v/>
      </c>
      <c r="BY67" t="str">
        <f t="shared" si="31"/>
        <v/>
      </c>
      <c r="BZ67" t="s">
        <v>752</v>
      </c>
      <c r="CA67" t="str">
        <f t="shared" si="32"/>
        <v/>
      </c>
      <c r="CB67" t="str">
        <f t="shared" si="33"/>
        <v>{SILVER}Livestock traffic was common early on in railway history, with specialised cattle wagons and stations equipped to handle loading and unloading.</v>
      </c>
    </row>
    <row r="68" spans="1:80" x14ac:dyDescent="0.3">
      <c r="A68" t="s">
        <v>804</v>
      </c>
      <c r="B68" t="s">
        <v>754</v>
      </c>
      <c r="C68">
        <v>101</v>
      </c>
      <c r="D68" t="s">
        <v>281</v>
      </c>
      <c r="E68" t="s">
        <v>281</v>
      </c>
      <c r="F68" t="s">
        <v>275</v>
      </c>
      <c r="G68">
        <v>1905</v>
      </c>
      <c r="I68">
        <v>1955</v>
      </c>
      <c r="T68">
        <v>10</v>
      </c>
      <c r="V68">
        <v>3</v>
      </c>
      <c r="X68" s="3" t="str">
        <f t="shared" si="19"/>
        <v/>
      </c>
      <c r="Y68">
        <v>45</v>
      </c>
      <c r="Z68">
        <f t="shared" si="15"/>
        <v>72</v>
      </c>
      <c r="AC68">
        <v>8.9</v>
      </c>
      <c r="AD68">
        <v>8.9</v>
      </c>
      <c r="AG68" s="10">
        <v>24</v>
      </c>
      <c r="AH68" t="str">
        <f>CONCATENATE(VLOOKUP(AI68, 'Voxel Sizes'!$A$2:$B$18,2,FALSE),"x",INT(AE68*15), "x", INT(AF68*15))</f>
        <v>82x0x0</v>
      </c>
      <c r="AI68">
        <f t="shared" si="20"/>
        <v>5</v>
      </c>
      <c r="AK68" t="str">
        <f>CONCATENATE(VLOOKUP(AI68,Constants!$A$2:$C$16,IF(AJ68&lt;&gt;"", 3, 2), FALSE),IF(AJ68&lt;&gt;"",CONCATENATE(",",VLOOKUP(AJ68,$B:$AK,36,FALSE)),""))</f>
        <v>2,1,2</v>
      </c>
      <c r="AU68">
        <v>30</v>
      </c>
      <c r="AV68" s="15">
        <f t="shared" si="21"/>
        <v>58</v>
      </c>
      <c r="AY68">
        <f t="shared" si="22"/>
        <v>9</v>
      </c>
      <c r="AZ68">
        <f t="shared" si="23"/>
        <v>0</v>
      </c>
      <c r="BA68">
        <f t="shared" si="24"/>
        <v>0</v>
      </c>
      <c r="BB68" s="3">
        <f t="shared" si="25"/>
        <v>0.99333333333333329</v>
      </c>
      <c r="BC68">
        <f t="shared" si="26"/>
        <v>4</v>
      </c>
      <c r="BD68">
        <f>VLOOKUP($E68,Constants!$I:$K, 2, FALSE)</f>
        <v>1</v>
      </c>
      <c r="BE68">
        <f>VLOOKUP($E68,Constants!$I:$K, 3, FALSE)*IF(AND(D68="multiple_unit",Y68&lt;110),0.75,1)</f>
        <v>0.45</v>
      </c>
      <c r="BF68">
        <f>INT(POWER(((Constants!$G$2+$AY68+$AZ68+$BA68+$BC68)*$BB68)*$BE68, 1.05))+$AX68</f>
        <v>8</v>
      </c>
      <c r="BG68">
        <f>INT(POWER((((Constants!$G$1+$AY68+$AZ68+$BA68+$BC68)*($BB68))*$BD68),IF($D68="wagon",1,1.2)))+$AW68</f>
        <v>27</v>
      </c>
      <c r="BH68" s="14">
        <f t="shared" si="27"/>
        <v>500</v>
      </c>
      <c r="BI68" s="14">
        <f t="shared" si="28"/>
        <v>73.709999999999994</v>
      </c>
      <c r="BP68">
        <v>1</v>
      </c>
      <c r="BQ68">
        <v>185</v>
      </c>
      <c r="BR68" t="s">
        <v>905</v>
      </c>
      <c r="BS68" t="s">
        <v>753</v>
      </c>
      <c r="BT68" t="str">
        <f>VLOOKUP(G68,Eras!$A$2:$C$10, 2, TRUE)</f>
        <v>edw</v>
      </c>
      <c r="BU68" t="s">
        <v>342</v>
      </c>
      <c r="BV68" t="str">
        <f t="shared" si="29"/>
        <v>edw_Van</v>
      </c>
      <c r="BW68" t="str">
        <f t="shared" si="30"/>
        <v>wagon_RAIL</v>
      </c>
      <c r="BX68" t="str">
        <f>VLOOKUP($BW68, Constants!$M:$N, 2, FALSE)</f>
        <v/>
      </c>
      <c r="BY68" t="str">
        <f t="shared" si="31"/>
        <v/>
      </c>
      <c r="BZ68" t="s">
        <v>756</v>
      </c>
      <c r="CA68" t="str">
        <f t="shared" si="32"/>
        <v/>
      </c>
      <c r="CB68" t="str">
        <f t="shared" si="33"/>
        <v>{SILVER}Livestock vans evolved along with improvements in covered van design.</v>
      </c>
    </row>
    <row r="69" spans="1:80" x14ac:dyDescent="0.3">
      <c r="A69" t="s">
        <v>805</v>
      </c>
      <c r="B69" t="s">
        <v>755</v>
      </c>
      <c r="C69">
        <v>102</v>
      </c>
      <c r="D69" t="s">
        <v>281</v>
      </c>
      <c r="E69" t="s">
        <v>281</v>
      </c>
      <c r="F69" t="s">
        <v>275</v>
      </c>
      <c r="G69">
        <v>1930</v>
      </c>
      <c r="I69">
        <v>1975</v>
      </c>
      <c r="T69">
        <v>10</v>
      </c>
      <c r="V69">
        <v>3</v>
      </c>
      <c r="X69" s="3" t="str">
        <f t="shared" si="19"/>
        <v/>
      </c>
      <c r="Y69">
        <v>50</v>
      </c>
      <c r="Z69">
        <f t="shared" si="15"/>
        <v>80</v>
      </c>
      <c r="AC69">
        <v>8.9</v>
      </c>
      <c r="AD69">
        <v>8.9</v>
      </c>
      <c r="AG69" s="10">
        <v>24</v>
      </c>
      <c r="AH69" t="str">
        <f>CONCATENATE(VLOOKUP(AI69, 'Voxel Sizes'!$A$2:$B$18,2,FALSE),"x",INT(AE69*15), "x", INT(AF69*15))</f>
        <v>82x0x0</v>
      </c>
      <c r="AI69">
        <f t="shared" si="20"/>
        <v>5</v>
      </c>
      <c r="AK69" t="str">
        <f>CONCATENATE(VLOOKUP(AI69,Constants!$A$2:$C$16,IF(AJ69&lt;&gt;"", 3, 2), FALSE),IF(AJ69&lt;&gt;"",CONCATENATE(",",VLOOKUP(AJ69,$B:$AK,36,FALSE)),""))</f>
        <v>2,1,2</v>
      </c>
      <c r="AU69">
        <v>30</v>
      </c>
      <c r="AV69" s="15">
        <f t="shared" si="21"/>
        <v>53</v>
      </c>
      <c r="AY69">
        <f t="shared" si="22"/>
        <v>10</v>
      </c>
      <c r="AZ69">
        <f t="shared" si="23"/>
        <v>0</v>
      </c>
      <c r="BA69">
        <f t="shared" si="24"/>
        <v>0</v>
      </c>
      <c r="BB69" s="3">
        <f t="shared" si="25"/>
        <v>0.96</v>
      </c>
      <c r="BC69">
        <f t="shared" si="26"/>
        <v>4</v>
      </c>
      <c r="BD69">
        <f>VLOOKUP($E69,Constants!$I:$K, 2, FALSE)</f>
        <v>1</v>
      </c>
      <c r="BE69">
        <f>VLOOKUP($E69,Constants!$I:$K, 3, FALSE)*IF(AND(D69="multiple_unit",Y69&lt;110),0.75,1)</f>
        <v>0.45</v>
      </c>
      <c r="BF69">
        <f>INT(POWER(((Constants!$G$2+$AY69+$AZ69+$BA69+$BC69)*$BB69)*$BE69, 1.05))+$AX69</f>
        <v>9</v>
      </c>
      <c r="BG69">
        <f>INT(POWER((((Constants!$G$1+$AY69+$AZ69+$BA69+$BC69)*($BB69))*$BD69),IF($D69="wagon",1,1.2)))+$AW69</f>
        <v>27</v>
      </c>
      <c r="BH69" s="14">
        <f t="shared" si="27"/>
        <v>562.5</v>
      </c>
      <c r="BI69" s="14">
        <f t="shared" si="28"/>
        <v>73.709999999999994</v>
      </c>
      <c r="BP69">
        <v>1</v>
      </c>
      <c r="BQ69">
        <v>185</v>
      </c>
      <c r="BR69" t="s">
        <v>905</v>
      </c>
      <c r="BS69" t="s">
        <v>753</v>
      </c>
      <c r="BT69" t="str">
        <f>VLOOKUP(G69,Eras!$A$2:$C$10, 2, TRUE)</f>
        <v>big4</v>
      </c>
      <c r="BU69" t="s">
        <v>342</v>
      </c>
      <c r="BV69" t="str">
        <f t="shared" si="29"/>
        <v>big4_Van</v>
      </c>
      <c r="BW69" t="str">
        <f t="shared" si="30"/>
        <v>wagon_RAIL</v>
      </c>
      <c r="BX69" t="str">
        <f>VLOOKUP($BW69, Constants!$M:$N, 2, FALSE)</f>
        <v/>
      </c>
      <c r="BY69" t="str">
        <f t="shared" si="31"/>
        <v/>
      </c>
      <c r="BZ69" t="s">
        <v>757</v>
      </c>
      <c r="CA69" t="str">
        <f t="shared" si="32"/>
        <v/>
      </c>
      <c r="CB69" t="str">
        <f t="shared" si="33"/>
        <v>{SILVER}Specialised cattle vans such as this Southern Railway example were built from the 1930s to the 1950s, although livestock traffic reduced in the latter part of this period.</v>
      </c>
    </row>
    <row r="70" spans="1:80" x14ac:dyDescent="0.3">
      <c r="A70" t="s">
        <v>806</v>
      </c>
      <c r="B70" t="s">
        <v>758</v>
      </c>
      <c r="C70">
        <v>103</v>
      </c>
      <c r="D70" t="s">
        <v>281</v>
      </c>
      <c r="E70" t="s">
        <v>281</v>
      </c>
      <c r="F70" t="s">
        <v>275</v>
      </c>
      <c r="G70">
        <v>1960</v>
      </c>
      <c r="I70">
        <v>2000</v>
      </c>
      <c r="T70">
        <v>14</v>
      </c>
      <c r="V70">
        <v>4</v>
      </c>
      <c r="X70" s="3" t="str">
        <f t="shared" si="19"/>
        <v/>
      </c>
      <c r="Y70">
        <v>65</v>
      </c>
      <c r="Z70">
        <f t="shared" si="15"/>
        <v>104</v>
      </c>
      <c r="AC70">
        <v>10.6</v>
      </c>
      <c r="AD70">
        <v>10.6</v>
      </c>
      <c r="AG70" s="10">
        <v>39</v>
      </c>
      <c r="AH70" t="str">
        <f>CONCATENATE(VLOOKUP(AI70, 'Voxel Sizes'!$A$2:$B$18,2,FALSE),"x",INT(AE70*15), "x", INT(AF70*15))</f>
        <v>102x0x0</v>
      </c>
      <c r="AI70">
        <f t="shared" si="20"/>
        <v>6</v>
      </c>
      <c r="AK70" t="str">
        <f>CONCATENATE(VLOOKUP(AI70,Constants!$A$2:$C$16,IF(AJ70&lt;&gt;"", 3, 2), FALSE),IF(AJ70&lt;&gt;"",CONCATENATE(",",VLOOKUP(AJ70,$B:$AK,36,FALSE)),""))</f>
        <v>2,2,2</v>
      </c>
      <c r="AU70">
        <v>30</v>
      </c>
      <c r="AV70" s="15">
        <f t="shared" si="21"/>
        <v>48</v>
      </c>
      <c r="AY70">
        <f t="shared" si="22"/>
        <v>13</v>
      </c>
      <c r="AZ70">
        <f t="shared" si="23"/>
        <v>0</v>
      </c>
      <c r="BA70">
        <f t="shared" si="24"/>
        <v>0</v>
      </c>
      <c r="BB70" s="3">
        <f t="shared" si="25"/>
        <v>0.92</v>
      </c>
      <c r="BC70">
        <f t="shared" si="26"/>
        <v>6.5</v>
      </c>
      <c r="BD70">
        <f>VLOOKUP($E70,Constants!$I:$K, 2, FALSE)</f>
        <v>1</v>
      </c>
      <c r="BE70">
        <f>VLOOKUP($E70,Constants!$I:$K, 3, FALSE)*IF(AND(D70="multiple_unit",Y70&lt;110),0.75,1)</f>
        <v>0.45</v>
      </c>
      <c r="BF70">
        <f>INT(POWER(((Constants!$G$2+$AY70+$AZ70+$BA70+$BC70)*$BB70)*$BE70, 1.05))+$AX70</f>
        <v>11</v>
      </c>
      <c r="BG70">
        <f>INT(POWER((((Constants!$G$1+$AY70+$AZ70+$BA70+$BC70)*($BB70))*$BD70),IF($D70="wagon",1,1.2)))+$AW70</f>
        <v>31</v>
      </c>
      <c r="BH70" s="14">
        <f t="shared" si="27"/>
        <v>687.5</v>
      </c>
      <c r="BI70" s="14">
        <f t="shared" si="28"/>
        <v>84.63</v>
      </c>
      <c r="BP70">
        <v>1</v>
      </c>
      <c r="BQ70">
        <v>185</v>
      </c>
      <c r="BR70" t="s">
        <v>905</v>
      </c>
      <c r="BS70" t="s">
        <v>753</v>
      </c>
      <c r="BT70" t="str">
        <f>VLOOKUP(G70,Eras!$A$2:$C$10, 2, TRUE)</f>
        <v>dsl</v>
      </c>
      <c r="BU70" t="s">
        <v>342</v>
      </c>
      <c r="BV70" t="str">
        <f t="shared" si="29"/>
        <v>dsl_Van</v>
      </c>
      <c r="BW70" t="str">
        <f t="shared" si="30"/>
        <v>wagon_RAIL</v>
      </c>
      <c r="BX70" t="str">
        <f>VLOOKUP($BW70, Constants!$M:$N, 2, FALSE)</f>
        <v/>
      </c>
      <c r="BY70" t="str">
        <f t="shared" si="31"/>
        <v/>
      </c>
      <c r="BZ70" t="s">
        <v>761</v>
      </c>
      <c r="CA70" t="str">
        <f t="shared" si="32"/>
        <v/>
      </c>
      <c r="CB70" t="str">
        <f t="shared" si="33"/>
        <v>{SILVER}In reality by the 1960s cattle traffic on the railways had heavily declined with few stations still equipped to handle livestock, and eventually ceased altogether. This wagon represents a plausible development had mainline livestock traffic continued.</v>
      </c>
    </row>
    <row r="71" spans="1:80" x14ac:dyDescent="0.3">
      <c r="A71" t="s">
        <v>807</v>
      </c>
      <c r="B71" t="s">
        <v>759</v>
      </c>
      <c r="C71">
        <v>104</v>
      </c>
      <c r="D71" t="s">
        <v>281</v>
      </c>
      <c r="E71" t="s">
        <v>281</v>
      </c>
      <c r="F71" t="s">
        <v>275</v>
      </c>
      <c r="G71">
        <v>1990</v>
      </c>
      <c r="T71">
        <v>16</v>
      </c>
      <c r="V71">
        <v>4</v>
      </c>
      <c r="X71" s="3" t="str">
        <f t="shared" si="19"/>
        <v/>
      </c>
      <c r="Y71">
        <v>75</v>
      </c>
      <c r="Z71">
        <f t="shared" si="15"/>
        <v>120</v>
      </c>
      <c r="AC71">
        <v>12.2</v>
      </c>
      <c r="AD71">
        <v>12.2</v>
      </c>
      <c r="AG71" s="10">
        <v>39</v>
      </c>
      <c r="AH71" t="str">
        <f>CONCATENATE(VLOOKUP(AI71, 'Voxel Sizes'!$A$2:$B$18,2,FALSE),"x",INT(AE71*15), "x", INT(AF71*15))</f>
        <v>120x0x0</v>
      </c>
      <c r="AI71">
        <f t="shared" si="20"/>
        <v>7</v>
      </c>
      <c r="AK71" t="str">
        <f>CONCATENATE(VLOOKUP(AI71,Constants!$A$2:$C$16,IF(AJ71&lt;&gt;"", 3, 2), FALSE),IF(AJ71&lt;&gt;"",CONCATENATE(",",VLOOKUP(AJ71,$B:$AK,36,FALSE)),""))</f>
        <v>2,3,2</v>
      </c>
      <c r="AU71">
        <v>30</v>
      </c>
      <c r="AV71" s="15" t="str">
        <f t="shared" si="21"/>
        <v/>
      </c>
      <c r="AY71">
        <f t="shared" si="22"/>
        <v>15</v>
      </c>
      <c r="AZ71">
        <f t="shared" si="23"/>
        <v>0</v>
      </c>
      <c r="BA71">
        <f t="shared" si="24"/>
        <v>0</v>
      </c>
      <c r="BB71" s="3">
        <f t="shared" si="25"/>
        <v>0.88</v>
      </c>
      <c r="BC71">
        <f t="shared" si="26"/>
        <v>6.5</v>
      </c>
      <c r="BD71">
        <f>VLOOKUP($E71,Constants!$I:$K, 2, FALSE)</f>
        <v>1</v>
      </c>
      <c r="BE71">
        <f>VLOOKUP($E71,Constants!$I:$K, 3, FALSE)*IF(AND(D71="multiple_unit",Y71&lt;110),0.75,1)</f>
        <v>0.45</v>
      </c>
      <c r="BF71">
        <f>INT(POWER(((Constants!$G$2+$AY71+$AZ71+$BA71+$BC71)*$BB71)*$BE71, 1.05))+$AX71</f>
        <v>11</v>
      </c>
      <c r="BG71">
        <f>INT(POWER((((Constants!$G$1+$AY71+$AZ71+$BA71+$BC71)*($BB71))*$BD71),IF($D71="wagon",1,1.2)))+$AW71</f>
        <v>32</v>
      </c>
      <c r="BH71" s="14">
        <f t="shared" si="27"/>
        <v>687.5</v>
      </c>
      <c r="BI71" s="14">
        <f t="shared" si="28"/>
        <v>87.36</v>
      </c>
      <c r="BP71">
        <v>1</v>
      </c>
      <c r="BQ71">
        <v>185</v>
      </c>
      <c r="BR71" t="s">
        <v>905</v>
      </c>
      <c r="BS71" t="s">
        <v>753</v>
      </c>
      <c r="BT71" t="str">
        <f>VLOOKUP(G71,Eras!$A$2:$C$10, 2, TRUE)</f>
        <v>lbr</v>
      </c>
      <c r="BU71" t="s">
        <v>342</v>
      </c>
      <c r="BV71" t="str">
        <f t="shared" si="29"/>
        <v>lbr_Van</v>
      </c>
      <c r="BW71" t="str">
        <f t="shared" si="30"/>
        <v>wagon_RAIL</v>
      </c>
      <c r="BX71" t="str">
        <f>VLOOKUP($BW71, Constants!$M:$N, 2, FALSE)</f>
        <v/>
      </c>
      <c r="BY71" t="str">
        <f t="shared" si="31"/>
        <v/>
      </c>
      <c r="BZ71" t="s">
        <v>760</v>
      </c>
      <c r="CA71" t="str">
        <f t="shared" si="32"/>
        <v/>
      </c>
      <c r="CB71" t="str">
        <f t="shared" si="33"/>
        <v>{SILVER}Although there is no modern livestock traffic on railways in the UK, other countries have continued to build livestock wagons. This wagon is representative of contemporary livestock transport, if it were built to British loading gauge.</v>
      </c>
    </row>
    <row r="72" spans="1:80" x14ac:dyDescent="0.3">
      <c r="A72" t="s">
        <v>1359</v>
      </c>
      <c r="B72" t="s">
        <v>1360</v>
      </c>
      <c r="C72">
        <v>110</v>
      </c>
      <c r="D72" t="s">
        <v>281</v>
      </c>
      <c r="E72" t="s">
        <v>281</v>
      </c>
      <c r="F72" t="s">
        <v>1381</v>
      </c>
      <c r="G72">
        <v>1700</v>
      </c>
      <c r="I72">
        <v>1875</v>
      </c>
      <c r="T72">
        <v>3</v>
      </c>
      <c r="V72">
        <v>2</v>
      </c>
      <c r="X72" s="3" t="str">
        <f t="shared" si="19"/>
        <v/>
      </c>
      <c r="Y72">
        <v>35</v>
      </c>
      <c r="Z72">
        <f t="shared" si="15"/>
        <v>56</v>
      </c>
      <c r="AC72">
        <v>6</v>
      </c>
      <c r="AD72">
        <v>6</v>
      </c>
      <c r="AG72" s="10">
        <v>15</v>
      </c>
      <c r="AH72" t="str">
        <f>CONCATENATE(VLOOKUP(AI72, 'Voxel Sizes'!$A$2:$B$18,2,FALSE),"x",INT(AE72*15), "x", INT(AF72*15))</f>
        <v>60x0x0</v>
      </c>
      <c r="AI72">
        <f t="shared" si="20"/>
        <v>4</v>
      </c>
      <c r="AK72" t="str">
        <f>CONCATENATE(VLOOKUP(AI72,Constants!$A$2:$C$16,IF(AJ72&lt;&gt;"", 3, 2), FALSE),IF(AJ72&lt;&gt;"",CONCATENATE(",",VLOOKUP(AJ72,$B:$AK,36,FALSE)),""))</f>
        <v>1,2,1</v>
      </c>
      <c r="AU72">
        <v>30</v>
      </c>
      <c r="AV72" s="15">
        <f t="shared" si="21"/>
        <v>183</v>
      </c>
      <c r="AW72">
        <v>-15</v>
      </c>
      <c r="AX72">
        <v>-2</v>
      </c>
      <c r="AY72">
        <f t="shared" si="22"/>
        <v>7</v>
      </c>
      <c r="AZ72">
        <f t="shared" si="23"/>
        <v>0</v>
      </c>
      <c r="BA72">
        <f t="shared" si="24"/>
        <v>0</v>
      </c>
      <c r="BB72" s="3">
        <f t="shared" si="25"/>
        <v>1</v>
      </c>
      <c r="BC72">
        <f t="shared" si="26"/>
        <v>2.5</v>
      </c>
      <c r="BD72">
        <f>VLOOKUP($E72,Constants!$I:$K, 2, FALSE)</f>
        <v>1</v>
      </c>
      <c r="BE72">
        <f>VLOOKUP($E72,Constants!$I:$K, 3, FALSE)*IF(AND(D72="multiple_unit",Y72&lt;110),0.75,1)</f>
        <v>0.45</v>
      </c>
      <c r="BF72">
        <f>INT(POWER(((Constants!$G$2+$AY72+$AZ72+$BA72+$BC72)*$BB72)*$BE72, 1.05))+$AX72</f>
        <v>5</v>
      </c>
      <c r="BG72">
        <f>INT(POWER((((Constants!$G$1+$AY72+$AZ72+$BA72+$BC72)*($BB72))*$BD72),IF($D72="wagon",1,1.2)))+$AW72</f>
        <v>9</v>
      </c>
      <c r="BH72" s="14">
        <f t="shared" si="27"/>
        <v>312.5</v>
      </c>
      <c r="BI72" s="14">
        <f t="shared" si="28"/>
        <v>24.57</v>
      </c>
      <c r="BP72">
        <v>1</v>
      </c>
      <c r="BQ72">
        <v>185</v>
      </c>
      <c r="BR72" t="s">
        <v>342</v>
      </c>
      <c r="BS72" t="s">
        <v>286</v>
      </c>
      <c r="BT72" t="str">
        <f>VLOOKUP(G72,Eras!$A$2:$C$10, 2, TRUE)</f>
        <v>early</v>
      </c>
      <c r="BU72" t="s">
        <v>342</v>
      </c>
      <c r="BV72" t="str">
        <f t="shared" si="29"/>
        <v>early_Van</v>
      </c>
      <c r="BW72" t="str">
        <f t="shared" si="30"/>
        <v>wagon_PLATEWAY</v>
      </c>
      <c r="BX72" t="str">
        <f>VLOOKUP($BW72, Constants!$M:$N, 2, FALSE)</f>
        <v/>
      </c>
      <c r="BY72" t="str">
        <f t="shared" si="31"/>
        <v/>
      </c>
      <c r="BZ72" t="s">
        <v>1361</v>
      </c>
      <c r="CA72" t="str">
        <f t="shared" si="32"/>
        <v/>
      </c>
      <c r="CB72" t="str">
        <f t="shared" si="33"/>
        <v>{SILVER}Simple canvas-covered wagons were some of the earliest vehicles for moving piece goods which needed to be sheltered from the elements.</v>
      </c>
    </row>
    <row r="73" spans="1:80" x14ac:dyDescent="0.3">
      <c r="A73" t="s">
        <v>749</v>
      </c>
      <c r="B73" t="s">
        <v>750</v>
      </c>
      <c r="C73">
        <v>112</v>
      </c>
      <c r="D73" t="s">
        <v>281</v>
      </c>
      <c r="E73" t="s">
        <v>281</v>
      </c>
      <c r="F73" t="s">
        <v>275</v>
      </c>
      <c r="G73">
        <v>1850</v>
      </c>
      <c r="I73">
        <v>1930</v>
      </c>
      <c r="T73">
        <v>6</v>
      </c>
      <c r="V73">
        <v>3</v>
      </c>
      <c r="X73" s="3" t="str">
        <f t="shared" si="19"/>
        <v/>
      </c>
      <c r="Y73">
        <v>45</v>
      </c>
      <c r="Z73">
        <f t="shared" si="15"/>
        <v>72</v>
      </c>
      <c r="AC73">
        <v>6</v>
      </c>
      <c r="AD73">
        <v>6</v>
      </c>
      <c r="AG73" s="10">
        <v>18</v>
      </c>
      <c r="AH73" t="str">
        <f>CONCATENATE(VLOOKUP(AI73, 'Voxel Sizes'!$A$2:$B$18,2,FALSE),"x",INT(AE73*15), "x", INT(AF73*15))</f>
        <v>60x0x0</v>
      </c>
      <c r="AI73">
        <f t="shared" si="20"/>
        <v>4</v>
      </c>
      <c r="AK73" t="str">
        <f>CONCATENATE(VLOOKUP(AI73,Constants!$A$2:$C$16,IF(AJ73&lt;&gt;"", 3, 2), FALSE),IF(AJ73&lt;&gt;"",CONCATENATE(",",VLOOKUP(AJ73,$B:$AK,36,FALSE)),""))</f>
        <v>1,2,1</v>
      </c>
      <c r="AU73">
        <v>30</v>
      </c>
      <c r="AV73" s="15">
        <f t="shared" si="21"/>
        <v>88</v>
      </c>
      <c r="AY73">
        <f t="shared" si="22"/>
        <v>9</v>
      </c>
      <c r="AZ73">
        <f t="shared" si="23"/>
        <v>0</v>
      </c>
      <c r="BA73">
        <f t="shared" si="24"/>
        <v>0</v>
      </c>
      <c r="BB73" s="3">
        <f t="shared" si="25"/>
        <v>1</v>
      </c>
      <c r="BC73">
        <f t="shared" si="26"/>
        <v>3</v>
      </c>
      <c r="BD73">
        <f>VLOOKUP($E73,Constants!$I:$K, 2, FALSE)</f>
        <v>1</v>
      </c>
      <c r="BE73">
        <f>VLOOKUP($E73,Constants!$I:$K, 3, FALSE)*IF(AND(D73="multiple_unit",Y73&lt;110),0.75,1)</f>
        <v>0.45</v>
      </c>
      <c r="BF73">
        <f>INT(POWER(((Constants!$G$2+$AY73+$AZ73+$BA73+$BC73)*$BB73)*$BE73, 1.05))+$AX73</f>
        <v>8</v>
      </c>
      <c r="BG73">
        <f>INT(POWER((((Constants!$G$1+$AY73+$AZ73+$BA73+$BC73)*($BB73))*$BD73),IF($D73="wagon",1,1.2)))+$AW73</f>
        <v>27</v>
      </c>
      <c r="BH73" s="14">
        <f t="shared" si="27"/>
        <v>500</v>
      </c>
      <c r="BI73" s="14">
        <f t="shared" si="28"/>
        <v>73.709999999999994</v>
      </c>
      <c r="BP73">
        <v>1</v>
      </c>
      <c r="BQ73">
        <v>185</v>
      </c>
      <c r="BR73" t="s">
        <v>342</v>
      </c>
      <c r="BS73" t="s">
        <v>286</v>
      </c>
      <c r="BT73" t="str">
        <f>VLOOKUP(G73,Eras!$A$2:$C$10, 2, TRUE)</f>
        <v>vct</v>
      </c>
      <c r="BU73" t="s">
        <v>342</v>
      </c>
      <c r="BV73" t="str">
        <f t="shared" si="29"/>
        <v>vct_Van</v>
      </c>
      <c r="BW73" t="str">
        <f t="shared" si="30"/>
        <v>wagon_RAIL</v>
      </c>
      <c r="BX73" t="str">
        <f>VLOOKUP($BW73, Constants!$M:$N, 2, FALSE)</f>
        <v/>
      </c>
      <c r="BY73" t="str">
        <f t="shared" si="31"/>
        <v/>
      </c>
      <c r="BZ73" t="s">
        <v>751</v>
      </c>
      <c r="CA73" t="str">
        <f t="shared" si="32"/>
        <v/>
      </c>
      <c r="CB73" t="str">
        <f t="shared" si="33"/>
        <v>{SILVER}Piece goods were an important source of revenue for early railways, with most building large quantities of covered vans.</v>
      </c>
    </row>
    <row r="74" spans="1:80" x14ac:dyDescent="0.3">
      <c r="A74" t="s">
        <v>414</v>
      </c>
      <c r="B74" t="s">
        <v>415</v>
      </c>
      <c r="C74">
        <v>114</v>
      </c>
      <c r="D74" t="s">
        <v>281</v>
      </c>
      <c r="E74" t="s">
        <v>281</v>
      </c>
      <c r="F74" t="s">
        <v>275</v>
      </c>
      <c r="G74">
        <v>1902</v>
      </c>
      <c r="I74">
        <v>1960</v>
      </c>
      <c r="T74">
        <v>7</v>
      </c>
      <c r="V74">
        <v>3</v>
      </c>
      <c r="X74" s="3" t="str">
        <f t="shared" si="19"/>
        <v/>
      </c>
      <c r="Y74">
        <v>50</v>
      </c>
      <c r="Z74">
        <f t="shared" si="15"/>
        <v>80</v>
      </c>
      <c r="AC74">
        <v>8</v>
      </c>
      <c r="AD74">
        <v>8</v>
      </c>
      <c r="AG74" s="10">
        <v>24</v>
      </c>
      <c r="AH74" t="str">
        <f>CONCATENATE(VLOOKUP(AI74, 'Voxel Sizes'!$A$2:$B$18,2,FALSE),"x",INT(AE74*15), "x", INT(AF74*15))</f>
        <v>82x0x0</v>
      </c>
      <c r="AI74">
        <f t="shared" si="20"/>
        <v>5</v>
      </c>
      <c r="AK74" t="str">
        <f>CONCATENATE(VLOOKUP(AI74,Constants!$A$2:$C$16,IF(AJ74&lt;&gt;"", 3, 2), FALSE),IF(AJ74&lt;&gt;"",CONCATENATE(",",VLOOKUP(AJ74,$B:$AK,36,FALSE)),""))</f>
        <v>2,1,2</v>
      </c>
      <c r="AU74">
        <v>30</v>
      </c>
      <c r="AV74" s="15">
        <f t="shared" si="21"/>
        <v>66</v>
      </c>
      <c r="AY74">
        <f t="shared" si="22"/>
        <v>10</v>
      </c>
      <c r="AZ74">
        <f t="shared" si="23"/>
        <v>0</v>
      </c>
      <c r="BA74">
        <f t="shared" si="24"/>
        <v>0</v>
      </c>
      <c r="BB74" s="3">
        <f t="shared" si="25"/>
        <v>0.99733333333333329</v>
      </c>
      <c r="BC74">
        <f t="shared" si="26"/>
        <v>4</v>
      </c>
      <c r="BD74">
        <f>VLOOKUP($E74,Constants!$I:$K, 2, FALSE)</f>
        <v>1</v>
      </c>
      <c r="BE74">
        <f>VLOOKUP($E74,Constants!$I:$K, 3, FALSE)*IF(AND(D74="multiple_unit",Y74&lt;110),0.75,1)</f>
        <v>0.45</v>
      </c>
      <c r="BF74">
        <f>INT(POWER(((Constants!$G$2+$AY74+$AZ74+$BA74+$BC74)*$BB74)*$BE74, 1.05))+$AX74</f>
        <v>9</v>
      </c>
      <c r="BG74">
        <f>INT(POWER((((Constants!$G$1+$AY74+$AZ74+$BA74+$BC74)*($BB74))*$BD74),IF($D74="wagon",1,1.2)))+$AW74</f>
        <v>28</v>
      </c>
      <c r="BH74" s="14">
        <f t="shared" si="27"/>
        <v>562.5</v>
      </c>
      <c r="BI74" s="14">
        <f t="shared" si="28"/>
        <v>76.44</v>
      </c>
      <c r="BP74">
        <v>1</v>
      </c>
      <c r="BQ74">
        <v>185</v>
      </c>
      <c r="BR74" t="s">
        <v>342</v>
      </c>
      <c r="BS74" t="s">
        <v>286</v>
      </c>
      <c r="BT74" t="str">
        <f>VLOOKUP(G74,Eras!$A$2:$C$10, 2, TRUE)</f>
        <v>edw</v>
      </c>
      <c r="BU74" t="s">
        <v>342</v>
      </c>
      <c r="BV74" t="str">
        <f t="shared" si="29"/>
        <v>edw_Van</v>
      </c>
      <c r="BW74" t="str">
        <f t="shared" si="30"/>
        <v>wagon_RAIL</v>
      </c>
      <c r="BX74" t="str">
        <f>VLOOKUP($BW74, Constants!$M:$N, 2, FALSE)</f>
        <v/>
      </c>
      <c r="BY74" t="str">
        <f t="shared" si="31"/>
        <v/>
      </c>
      <c r="BZ74" t="s">
        <v>413</v>
      </c>
      <c r="CA74" t="str">
        <f t="shared" si="32"/>
        <v/>
      </c>
      <c r="CB74" t="str">
        <f t="shared" si="33"/>
        <v>{SILVER}This goods van uses an iron frame with a wooden body, making it stronger than earlier wooden-framed vans.</v>
      </c>
    </row>
    <row r="75" spans="1:80" x14ac:dyDescent="0.3">
      <c r="A75" t="s">
        <v>737</v>
      </c>
      <c r="B75" t="s">
        <v>738</v>
      </c>
      <c r="C75">
        <v>116</v>
      </c>
      <c r="D75" t="s">
        <v>281</v>
      </c>
      <c r="E75" t="s">
        <v>281</v>
      </c>
      <c r="F75" t="s">
        <v>275</v>
      </c>
      <c r="G75">
        <v>1932</v>
      </c>
      <c r="I75">
        <v>1970</v>
      </c>
      <c r="T75">
        <v>8</v>
      </c>
      <c r="V75">
        <v>3</v>
      </c>
      <c r="X75" s="3" t="str">
        <f t="shared" si="19"/>
        <v/>
      </c>
      <c r="Y75">
        <v>60</v>
      </c>
      <c r="Z75">
        <f t="shared" si="15"/>
        <v>96</v>
      </c>
      <c r="AC75">
        <v>8</v>
      </c>
      <c r="AD75">
        <v>8</v>
      </c>
      <c r="AG75" s="10">
        <v>27</v>
      </c>
      <c r="AH75" t="str">
        <f>CONCATENATE(VLOOKUP(AI75, 'Voxel Sizes'!$A$2:$B$18,2,FALSE),"x",INT(AE75*15), "x", INT(AF75*15))</f>
        <v>82x0x0</v>
      </c>
      <c r="AI75">
        <f t="shared" si="20"/>
        <v>5</v>
      </c>
      <c r="AK75" t="str">
        <f>CONCATENATE(VLOOKUP(AI75,Constants!$A$2:$C$16,IF(AJ75&lt;&gt;"", 3, 2), FALSE),IF(AJ75&lt;&gt;"",CONCATENATE(",",VLOOKUP(AJ75,$B:$AK,36,FALSE)),""))</f>
        <v>2,1,2</v>
      </c>
      <c r="AU75">
        <v>30</v>
      </c>
      <c r="AV75" s="15">
        <f t="shared" si="21"/>
        <v>46</v>
      </c>
      <c r="AY75">
        <f t="shared" si="22"/>
        <v>12</v>
      </c>
      <c r="AZ75">
        <f t="shared" si="23"/>
        <v>0</v>
      </c>
      <c r="BA75">
        <f t="shared" si="24"/>
        <v>0</v>
      </c>
      <c r="BB75" s="3">
        <f t="shared" si="25"/>
        <v>0.95733333333333337</v>
      </c>
      <c r="BC75">
        <f t="shared" si="26"/>
        <v>4.5</v>
      </c>
      <c r="BD75">
        <f>VLOOKUP($E75,Constants!$I:$K, 2, FALSE)</f>
        <v>1</v>
      </c>
      <c r="BE75">
        <f>VLOOKUP($E75,Constants!$I:$K, 3, FALSE)*IF(AND(D75="multiple_unit",Y75&lt;110),0.75,1)</f>
        <v>0.45</v>
      </c>
      <c r="BF75">
        <f>INT(POWER(((Constants!$G$2+$AY75+$AZ75+$BA75+$BC75)*$BB75)*$BE75, 1.05))+$AX75</f>
        <v>10</v>
      </c>
      <c r="BG75">
        <f>INT(POWER((((Constants!$G$1+$AY75+$AZ75+$BA75+$BC75)*($BB75))*$BD75),IF($D75="wagon",1,1.2)))+$AW75</f>
        <v>30</v>
      </c>
      <c r="BH75" s="14">
        <f t="shared" si="27"/>
        <v>625</v>
      </c>
      <c r="BI75" s="14">
        <f t="shared" si="28"/>
        <v>81.900000000000006</v>
      </c>
      <c r="BP75">
        <v>1</v>
      </c>
      <c r="BQ75">
        <v>185</v>
      </c>
      <c r="BR75" t="s">
        <v>342</v>
      </c>
      <c r="BS75" t="s">
        <v>286</v>
      </c>
      <c r="BT75" t="str">
        <f>VLOOKUP(G75,Eras!$A$2:$C$10, 2, TRUE)</f>
        <v>big4</v>
      </c>
      <c r="BU75" t="s">
        <v>342</v>
      </c>
      <c r="BV75" t="str">
        <f t="shared" si="29"/>
        <v>big4_Van</v>
      </c>
      <c r="BW75" t="str">
        <f t="shared" si="30"/>
        <v>wagon_RAIL</v>
      </c>
      <c r="BX75" t="str">
        <f>VLOOKUP($BW75, Constants!$M:$N, 2, FALSE)</f>
        <v/>
      </c>
      <c r="BY75" t="str">
        <f t="shared" si="31"/>
        <v/>
      </c>
      <c r="BZ75" t="s">
        <v>739</v>
      </c>
      <c r="CA75" t="str">
        <f t="shared" si="32"/>
        <v/>
      </c>
      <c r="CB75" t="str">
        <f t="shared" si="33"/>
        <v>{SILVER}Fitted vans had brakes which could be controlled from the locomotive or a brake van, allowing higher braking force and thus speed. This example is typical of a Southern Railways vacuum-braked model.</v>
      </c>
    </row>
    <row r="76" spans="1:80" x14ac:dyDescent="0.3">
      <c r="A76" t="s">
        <v>740</v>
      </c>
      <c r="B76" t="s">
        <v>741</v>
      </c>
      <c r="C76">
        <v>118</v>
      </c>
      <c r="D76" t="s">
        <v>281</v>
      </c>
      <c r="E76" t="s">
        <v>281</v>
      </c>
      <c r="F76" t="s">
        <v>275</v>
      </c>
      <c r="G76">
        <v>1962</v>
      </c>
      <c r="I76">
        <v>1985</v>
      </c>
      <c r="T76">
        <v>8</v>
      </c>
      <c r="V76">
        <v>4</v>
      </c>
      <c r="X76" s="3" t="str">
        <f t="shared" si="19"/>
        <v/>
      </c>
      <c r="Y76">
        <v>65</v>
      </c>
      <c r="Z76">
        <f t="shared" si="15"/>
        <v>104</v>
      </c>
      <c r="AC76">
        <v>8</v>
      </c>
      <c r="AD76">
        <v>8</v>
      </c>
      <c r="AG76" s="10">
        <v>27</v>
      </c>
      <c r="AH76" t="str">
        <f>CONCATENATE(VLOOKUP(AI76, 'Voxel Sizes'!$A$2:$B$18,2,FALSE),"x",INT(AE76*15), "x", INT(AF76*15))</f>
        <v>82x0x0</v>
      </c>
      <c r="AI76">
        <f t="shared" si="20"/>
        <v>5</v>
      </c>
      <c r="AK76" t="str">
        <f>CONCATENATE(VLOOKUP(AI76,Constants!$A$2:$C$16,IF(AJ76&lt;&gt;"", 3, 2), FALSE),IF(AJ76&lt;&gt;"",CONCATENATE(",",VLOOKUP(AJ76,$B:$AK,36,FALSE)),""))</f>
        <v>2,1,2</v>
      </c>
      <c r="AU76">
        <v>30</v>
      </c>
      <c r="AV76" s="15">
        <f t="shared" si="21"/>
        <v>31</v>
      </c>
      <c r="AY76">
        <f t="shared" si="22"/>
        <v>13</v>
      </c>
      <c r="AZ76">
        <f t="shared" si="23"/>
        <v>0</v>
      </c>
      <c r="BA76">
        <f t="shared" si="24"/>
        <v>0</v>
      </c>
      <c r="BB76" s="3">
        <f t="shared" si="25"/>
        <v>0.91733333333333333</v>
      </c>
      <c r="BC76">
        <f t="shared" si="26"/>
        <v>4.5</v>
      </c>
      <c r="BD76">
        <f>VLOOKUP($E76,Constants!$I:$K, 2, FALSE)</f>
        <v>1</v>
      </c>
      <c r="BE76">
        <f>VLOOKUP($E76,Constants!$I:$K, 3, FALSE)*IF(AND(D76="multiple_unit",Y76&lt;110),0.75,1)</f>
        <v>0.45</v>
      </c>
      <c r="BF76">
        <f>INT(POWER(((Constants!$G$2+$AY76+$AZ76+$BA76+$BC76)*$BB76)*$BE76, 1.05))+$AX76</f>
        <v>10</v>
      </c>
      <c r="BG76">
        <f>INT(POWER((((Constants!$G$1+$AY76+$AZ76+$BA76+$BC76)*($BB76))*$BD76),IF($D76="wagon",1,1.2)))+$AW76</f>
        <v>29</v>
      </c>
      <c r="BH76" s="14">
        <f t="shared" si="27"/>
        <v>625</v>
      </c>
      <c r="BI76" s="14">
        <f t="shared" si="28"/>
        <v>79.17</v>
      </c>
      <c r="BP76">
        <v>1</v>
      </c>
      <c r="BQ76">
        <v>185</v>
      </c>
      <c r="BR76" t="s">
        <v>342</v>
      </c>
      <c r="BS76" t="s">
        <v>286</v>
      </c>
      <c r="BT76" t="str">
        <f>VLOOKUP(G76,Eras!$A$2:$C$10, 2, TRUE)</f>
        <v>dsl</v>
      </c>
      <c r="BU76" t="s">
        <v>342</v>
      </c>
      <c r="BV76" t="str">
        <f t="shared" si="29"/>
        <v>dsl_Van</v>
      </c>
      <c r="BW76" t="str">
        <f t="shared" si="30"/>
        <v>wagon_RAIL</v>
      </c>
      <c r="BX76" t="str">
        <f>VLOOKUP($BW76, Constants!$M:$N, 2, FALSE)</f>
        <v/>
      </c>
      <c r="BY76" t="str">
        <f t="shared" si="31"/>
        <v/>
      </c>
      <c r="BZ76" t="s">
        <v>742</v>
      </c>
      <c r="CA76" t="str">
        <f t="shared" si="32"/>
        <v/>
      </c>
      <c r="CB76" t="str">
        <f t="shared" si="33"/>
        <v>{SILVER}The Vanwide was BR's final development of the traditional van design, featuring wider doors for increased loading speed.</v>
      </c>
    </row>
    <row r="77" spans="1:80" x14ac:dyDescent="0.3">
      <c r="A77" t="s">
        <v>801</v>
      </c>
      <c r="B77" t="s">
        <v>211</v>
      </c>
      <c r="C77">
        <v>121</v>
      </c>
      <c r="D77" t="s">
        <v>281</v>
      </c>
      <c r="E77" t="s">
        <v>281</v>
      </c>
      <c r="F77" t="s">
        <v>275</v>
      </c>
      <c r="G77">
        <v>1969</v>
      </c>
      <c r="I77">
        <v>2010</v>
      </c>
      <c r="T77">
        <v>16</v>
      </c>
      <c r="V77">
        <v>4</v>
      </c>
      <c r="X77" s="3" t="str">
        <f t="shared" si="19"/>
        <v/>
      </c>
      <c r="Y77">
        <v>75</v>
      </c>
      <c r="Z77">
        <f t="shared" si="15"/>
        <v>120</v>
      </c>
      <c r="AC77">
        <v>11.2</v>
      </c>
      <c r="AD77">
        <v>11.2</v>
      </c>
      <c r="AG77" s="10">
        <v>39</v>
      </c>
      <c r="AH77" t="str">
        <f>CONCATENATE(VLOOKUP(AI77, 'Voxel Sizes'!$A$2:$B$18,2,FALSE),"x",INT(AE77*15), "x", INT(AF77*15))</f>
        <v>120x0x0</v>
      </c>
      <c r="AI77">
        <f t="shared" si="20"/>
        <v>7</v>
      </c>
      <c r="AK77" t="str">
        <f>CONCATENATE(VLOOKUP(AI77,Constants!$A$2:$C$16,IF(AJ77&lt;&gt;"", 3, 2), FALSE),IF(AJ77&lt;&gt;"",CONCATENATE(",",VLOOKUP(AJ77,$B:$AK,36,FALSE)),""))</f>
        <v>2,3,2</v>
      </c>
      <c r="AU77">
        <v>30</v>
      </c>
      <c r="AV77" s="15">
        <f t="shared" si="21"/>
        <v>49</v>
      </c>
      <c r="AY77">
        <f t="shared" si="22"/>
        <v>15</v>
      </c>
      <c r="AZ77">
        <f t="shared" si="23"/>
        <v>0</v>
      </c>
      <c r="BA77">
        <f t="shared" si="24"/>
        <v>0</v>
      </c>
      <c r="BB77" s="3">
        <f t="shared" si="25"/>
        <v>0.90800000000000003</v>
      </c>
      <c r="BC77">
        <f t="shared" si="26"/>
        <v>6.5</v>
      </c>
      <c r="BD77">
        <f>VLOOKUP($E77,Constants!$I:$K, 2, FALSE)</f>
        <v>1</v>
      </c>
      <c r="BE77">
        <f>VLOOKUP($E77,Constants!$I:$K, 3, FALSE)*IF(AND(D77="multiple_unit",Y77&lt;110),0.75,1)</f>
        <v>0.45</v>
      </c>
      <c r="BF77">
        <f>INT(POWER(((Constants!$G$2+$AY77+$AZ77+$BA77+$BC77)*$BB77)*$BE77, 1.05))+$AX77</f>
        <v>12</v>
      </c>
      <c r="BG77">
        <f>INT(POWER((((Constants!$G$1+$AY77+$AZ77+$BA77+$BC77)*($BB77))*$BD77),IF($D77="wagon",1,1.2)))+$AW77</f>
        <v>33</v>
      </c>
      <c r="BH77" s="14">
        <f t="shared" si="27"/>
        <v>750</v>
      </c>
      <c r="BI77" s="14">
        <f t="shared" si="28"/>
        <v>90.09</v>
      </c>
      <c r="BP77">
        <v>1</v>
      </c>
      <c r="BQ77">
        <v>185</v>
      </c>
      <c r="BR77" t="s">
        <v>342</v>
      </c>
      <c r="BS77" t="s">
        <v>286</v>
      </c>
      <c r="BT77" t="str">
        <f>VLOOKUP(G77,Eras!$A$2:$C$10, 2, TRUE)</f>
        <v>dsl</v>
      </c>
      <c r="BU77" t="s">
        <v>342</v>
      </c>
      <c r="BV77" t="str">
        <f t="shared" si="29"/>
        <v>dsl_Van</v>
      </c>
      <c r="BW77" t="str">
        <f t="shared" si="30"/>
        <v>wagon_RAIL</v>
      </c>
      <c r="BX77" t="str">
        <f>VLOOKUP($BW77, Constants!$M:$N, 2, FALSE)</f>
        <v/>
      </c>
      <c r="BY77" t="str">
        <f t="shared" si="31"/>
        <v/>
      </c>
      <c r="BZ77" t="s">
        <v>746</v>
      </c>
      <c r="CA77" t="str">
        <f t="shared" si="32"/>
        <v/>
      </c>
      <c r="CB77" t="str">
        <f t="shared" si="33"/>
        <v>{SILVER}The VDA was BR's first air braked general purpose van, later used for the Speedlink freight network.</v>
      </c>
    </row>
    <row r="78" spans="1:80" x14ac:dyDescent="0.3">
      <c r="A78" t="s">
        <v>743</v>
      </c>
      <c r="B78" t="s">
        <v>744</v>
      </c>
      <c r="C78">
        <v>123</v>
      </c>
      <c r="D78" t="s">
        <v>281</v>
      </c>
      <c r="E78" t="s">
        <v>281</v>
      </c>
      <c r="F78" t="s">
        <v>275</v>
      </c>
      <c r="G78">
        <v>1978</v>
      </c>
      <c r="T78">
        <v>8</v>
      </c>
      <c r="V78">
        <v>4</v>
      </c>
      <c r="X78" s="3" t="str">
        <f t="shared" si="19"/>
        <v/>
      </c>
      <c r="Y78">
        <v>75</v>
      </c>
      <c r="Z78">
        <f t="shared" si="15"/>
        <v>120</v>
      </c>
      <c r="AC78">
        <v>8</v>
      </c>
      <c r="AD78">
        <v>8</v>
      </c>
      <c r="AG78" s="10">
        <v>27</v>
      </c>
      <c r="AH78" t="str">
        <f>CONCATENATE(VLOOKUP(AI78, 'Voxel Sizes'!$A$2:$B$18,2,FALSE),"x",INT(AE78*15), "x", INT(AF78*15))</f>
        <v>82x0x0</v>
      </c>
      <c r="AI78">
        <f t="shared" si="20"/>
        <v>5</v>
      </c>
      <c r="AK78" t="str">
        <f>CONCATENATE(VLOOKUP(AI78,Constants!$A$2:$C$16,IF(AJ78&lt;&gt;"", 3, 2), FALSE),IF(AJ78&lt;&gt;"",CONCATENATE(",",VLOOKUP(AJ78,$B:$AK,36,FALSE)),""))</f>
        <v>2,1,2</v>
      </c>
      <c r="AU78">
        <v>30</v>
      </c>
      <c r="AV78" s="15" t="str">
        <f t="shared" si="21"/>
        <v/>
      </c>
      <c r="AY78">
        <f t="shared" si="22"/>
        <v>15</v>
      </c>
      <c r="AZ78">
        <f t="shared" si="23"/>
        <v>0</v>
      </c>
      <c r="BA78">
        <f t="shared" si="24"/>
        <v>0</v>
      </c>
      <c r="BB78" s="3">
        <f t="shared" si="25"/>
        <v>0.89600000000000002</v>
      </c>
      <c r="BC78">
        <f t="shared" si="26"/>
        <v>4.5</v>
      </c>
      <c r="BD78">
        <f>VLOOKUP($E78,Constants!$I:$K, 2, FALSE)</f>
        <v>1</v>
      </c>
      <c r="BE78">
        <f>VLOOKUP($E78,Constants!$I:$K, 3, FALSE)*IF(AND(D78="multiple_unit",Y78&lt;110),0.75,1)</f>
        <v>0.45</v>
      </c>
      <c r="BF78">
        <f>INT(POWER(((Constants!$G$2+$AY78+$AZ78+$BA78+$BC78)*$BB78)*$BE78, 1.05))+$AX78</f>
        <v>11</v>
      </c>
      <c r="BG78">
        <f>INT(POWER((((Constants!$G$1+$AY78+$AZ78+$BA78+$BC78)*($BB78))*$BD78),IF($D78="wagon",1,1.2)))+$AW78</f>
        <v>30</v>
      </c>
      <c r="BH78" s="14">
        <f t="shared" si="27"/>
        <v>687.5</v>
      </c>
      <c r="BI78" s="14">
        <f t="shared" si="28"/>
        <v>81.900000000000006</v>
      </c>
      <c r="BP78">
        <v>1</v>
      </c>
      <c r="BQ78">
        <v>185</v>
      </c>
      <c r="BR78" t="s">
        <v>342</v>
      </c>
      <c r="BS78" t="s">
        <v>286</v>
      </c>
      <c r="BT78" t="str">
        <f>VLOOKUP(G78,Eras!$A$2:$C$10, 2, TRUE)</f>
        <v>lbr</v>
      </c>
      <c r="BU78" t="s">
        <v>342</v>
      </c>
      <c r="BV78" t="str">
        <f t="shared" si="29"/>
        <v>lbr_Van</v>
      </c>
      <c r="BW78" t="str">
        <f t="shared" si="30"/>
        <v>wagon_RAIL</v>
      </c>
      <c r="BX78" t="str">
        <f>VLOOKUP($BW78, Constants!$M:$N, 2, FALSE)</f>
        <v/>
      </c>
      <c r="BY78" t="str">
        <f t="shared" si="31"/>
        <v/>
      </c>
      <c r="BZ78" t="s">
        <v>745</v>
      </c>
      <c r="CA78" t="str">
        <f t="shared" si="32"/>
        <v/>
      </c>
      <c r="CB78" t="str">
        <f t="shared" si="33"/>
        <v>{SILVER}VEA vans were refurbished vans fitted with improved suspension and air brakes, allowing higher speed operation while still being suitable for narrow radius curves in small yards.</v>
      </c>
    </row>
    <row r="79" spans="1:80" x14ac:dyDescent="0.3">
      <c r="A79" t="s">
        <v>802</v>
      </c>
      <c r="B79" t="s">
        <v>747</v>
      </c>
      <c r="C79">
        <v>125</v>
      </c>
      <c r="D79" t="s">
        <v>281</v>
      </c>
      <c r="E79" t="s">
        <v>281</v>
      </c>
      <c r="F79" t="s">
        <v>275</v>
      </c>
      <c r="G79">
        <v>1982</v>
      </c>
      <c r="T79">
        <v>21</v>
      </c>
      <c r="V79">
        <v>6</v>
      </c>
      <c r="X79" s="3" t="str">
        <f t="shared" si="19"/>
        <v/>
      </c>
      <c r="Y79">
        <v>85</v>
      </c>
      <c r="Z79">
        <f t="shared" si="15"/>
        <v>136</v>
      </c>
      <c r="AC79">
        <v>12.8</v>
      </c>
      <c r="AD79">
        <v>12.8</v>
      </c>
      <c r="AG79" s="10">
        <v>45</v>
      </c>
      <c r="AH79" t="str">
        <f>CONCATENATE(VLOOKUP(AI79, 'Voxel Sizes'!$A$2:$B$18,2,FALSE),"x",INT(AE79*15), "x", INT(AF79*15))</f>
        <v>136x0x0</v>
      </c>
      <c r="AI79">
        <f t="shared" si="20"/>
        <v>8</v>
      </c>
      <c r="AK79" t="str">
        <f>CONCATENATE(VLOOKUP(AI79,Constants!$A$2:$C$16,IF(AJ79&lt;&gt;"", 3, 2), FALSE),IF(AJ79&lt;&gt;"",CONCATENATE(",",VLOOKUP(AJ79,$B:$AK,36,FALSE)),""))</f>
        <v>2,4,2</v>
      </c>
      <c r="AU79">
        <v>30</v>
      </c>
      <c r="AV79" s="15" t="str">
        <f t="shared" si="21"/>
        <v/>
      </c>
      <c r="AY79">
        <f t="shared" si="22"/>
        <v>17</v>
      </c>
      <c r="AZ79">
        <f t="shared" si="23"/>
        <v>0</v>
      </c>
      <c r="BA79">
        <f t="shared" si="24"/>
        <v>0</v>
      </c>
      <c r="BB79" s="3">
        <f t="shared" si="25"/>
        <v>0.89066666666666672</v>
      </c>
      <c r="BC79">
        <f t="shared" si="26"/>
        <v>7.5</v>
      </c>
      <c r="BD79">
        <f>VLOOKUP($E79,Constants!$I:$K, 2, FALSE)</f>
        <v>1</v>
      </c>
      <c r="BE79">
        <f>VLOOKUP($E79,Constants!$I:$K, 3, FALSE)*IF(AND(D79="multiple_unit",Y79&lt;110),0.75,1)</f>
        <v>0.45</v>
      </c>
      <c r="BF79">
        <f>INT(POWER(((Constants!$G$2+$AY79+$AZ79+$BA79+$BC79)*$BB79)*$BE79, 1.05))+$AX79</f>
        <v>13</v>
      </c>
      <c r="BG79">
        <f>INT(POWER((((Constants!$G$1+$AY79+$AZ79+$BA79+$BC79)*($BB79))*$BD79),IF($D79="wagon",1,1.2)))+$AW79</f>
        <v>35</v>
      </c>
      <c r="BH79" s="14">
        <f t="shared" si="27"/>
        <v>812.5</v>
      </c>
      <c r="BI79" s="14">
        <f t="shared" si="28"/>
        <v>95.55</v>
      </c>
      <c r="BP79">
        <v>1</v>
      </c>
      <c r="BQ79">
        <v>185</v>
      </c>
      <c r="BR79" t="s">
        <v>342</v>
      </c>
      <c r="BS79" t="s">
        <v>286</v>
      </c>
      <c r="BT79" t="str">
        <f>VLOOKUP(G79,Eras!$A$2:$C$10, 2, TRUE)</f>
        <v>lbr</v>
      </c>
      <c r="BU79" t="s">
        <v>342</v>
      </c>
      <c r="BV79" t="str">
        <f t="shared" si="29"/>
        <v>lbr_Van</v>
      </c>
      <c r="BW79" t="str">
        <f t="shared" si="30"/>
        <v>wagon_RAIL</v>
      </c>
      <c r="BX79" t="str">
        <f>VLOOKUP($BW79, Constants!$M:$N, 2, FALSE)</f>
        <v/>
      </c>
      <c r="BY79" t="str">
        <f t="shared" si="31"/>
        <v/>
      </c>
      <c r="BZ79" t="s">
        <v>748</v>
      </c>
      <c r="CA79" t="str">
        <f t="shared" si="32"/>
        <v/>
      </c>
      <c r="CB79" t="str">
        <f t="shared" si="33"/>
        <v>{SILVER}VGA vans followed continental practice with doors extending into the roof panel, providing a larger vertical opening.</v>
      </c>
    </row>
    <row r="80" spans="1:80" x14ac:dyDescent="0.3">
      <c r="A80" t="s">
        <v>809</v>
      </c>
      <c r="B80" t="s">
        <v>808</v>
      </c>
      <c r="C80">
        <v>131</v>
      </c>
      <c r="D80" t="s">
        <v>281</v>
      </c>
      <c r="E80" t="s">
        <v>281</v>
      </c>
      <c r="F80" t="s">
        <v>275</v>
      </c>
      <c r="G80">
        <v>1913</v>
      </c>
      <c r="H80">
        <v>1955</v>
      </c>
      <c r="I80">
        <v>1965</v>
      </c>
      <c r="T80">
        <v>20</v>
      </c>
      <c r="V80">
        <v>4</v>
      </c>
      <c r="X80" s="3" t="str">
        <f t="shared" si="19"/>
        <v/>
      </c>
      <c r="Y80">
        <v>70</v>
      </c>
      <c r="Z80">
        <f t="shared" si="15"/>
        <v>112</v>
      </c>
      <c r="AC80">
        <v>15</v>
      </c>
      <c r="AD80">
        <v>15</v>
      </c>
      <c r="AG80" s="10">
        <v>60</v>
      </c>
      <c r="AH80" t="str">
        <f>CONCATENATE(VLOOKUP(AI80, 'Voxel Sizes'!$A$2:$B$18,2,FALSE),"x",INT(AE80*15), "x", INT(AF80*15))</f>
        <v>152x0x0</v>
      </c>
      <c r="AI80">
        <f t="shared" si="20"/>
        <v>9</v>
      </c>
      <c r="AK80" t="str">
        <f>CONCATENATE(VLOOKUP(AI80,Constants!$A$2:$C$16,IF(AJ80&lt;&gt;"", 3, 2), FALSE),IF(AJ80&lt;&gt;"",CONCATENATE(",",VLOOKUP(AJ80,$B:$AK,36,FALSE)),""))</f>
        <v>2,5,2</v>
      </c>
      <c r="AU80">
        <v>30</v>
      </c>
      <c r="AV80" s="15">
        <f t="shared" si="21"/>
        <v>60</v>
      </c>
      <c r="AW80">
        <v>25</v>
      </c>
      <c r="AX80">
        <v>8</v>
      </c>
      <c r="AY80">
        <f t="shared" si="22"/>
        <v>14</v>
      </c>
      <c r="AZ80">
        <f t="shared" si="23"/>
        <v>0</v>
      </c>
      <c r="BA80">
        <f t="shared" si="24"/>
        <v>0</v>
      </c>
      <c r="BB80" s="3">
        <f t="shared" si="25"/>
        <v>0.98266666666666669</v>
      </c>
      <c r="BC80">
        <f t="shared" si="26"/>
        <v>10</v>
      </c>
      <c r="BD80">
        <f>VLOOKUP($E80,Constants!$I:$K, 2, FALSE)</f>
        <v>1</v>
      </c>
      <c r="BE80">
        <f>VLOOKUP($E80,Constants!$I:$K, 3, FALSE)*IF(AND(D80="multiple_unit",Y80&lt;110),0.75,1)</f>
        <v>0.45</v>
      </c>
      <c r="BF80">
        <f>INT(POWER(((Constants!$G$2+$AY80+$AZ80+$BA80+$BC80)*$BB80)*$BE80, 1.05))+$AX80</f>
        <v>22</v>
      </c>
      <c r="BG80">
        <f>INT(POWER((((Constants!$G$1+$AY80+$AZ80+$BA80+$BC80)*($BB80))*$BD80),IF($D80="wagon",1,1.2)))+$AW80</f>
        <v>63</v>
      </c>
      <c r="BH80" s="14">
        <f t="shared" si="27"/>
        <v>1375</v>
      </c>
      <c r="BI80" s="14">
        <f t="shared" si="28"/>
        <v>171.99</v>
      </c>
      <c r="BP80">
        <v>1</v>
      </c>
      <c r="BQ80">
        <v>185</v>
      </c>
      <c r="BR80" t="s">
        <v>1047</v>
      </c>
      <c r="BS80" t="s">
        <v>652</v>
      </c>
      <c r="BT80" t="str">
        <f>VLOOKUP(G80,Eras!$A$2:$C$10, 2, TRUE)</f>
        <v>edw</v>
      </c>
      <c r="BU80" t="s">
        <v>336</v>
      </c>
      <c r="BV80" t="str">
        <f t="shared" si="29"/>
        <v>edw_Mail Carriage</v>
      </c>
      <c r="BW80" t="str">
        <f t="shared" si="30"/>
        <v>wagon_RAIL</v>
      </c>
      <c r="BX80" t="str">
        <f>VLOOKUP($BW80, Constants!$M:$N, 2, FALSE)</f>
        <v/>
      </c>
      <c r="BY80" t="str">
        <f t="shared" si="31"/>
        <v/>
      </c>
      <c r="BZ80" t="s">
        <v>810</v>
      </c>
      <c r="CA80" t="str">
        <f t="shared" si="32"/>
        <v/>
      </c>
      <c r="CB80" t="str">
        <f t="shared" si="33"/>
        <v>{SILVER}GWR's "Siphon" vans were built to carry loads of milk churns at passenger train speeds. They were also used for parcel and newspaper traffic, the basic design being built well into the BR era.</v>
      </c>
    </row>
    <row r="81" spans="1:80" x14ac:dyDescent="0.3">
      <c r="A81" t="s">
        <v>787</v>
      </c>
      <c r="B81" t="s">
        <v>789</v>
      </c>
      <c r="C81">
        <v>133</v>
      </c>
      <c r="D81" t="s">
        <v>281</v>
      </c>
      <c r="E81" t="s">
        <v>281</v>
      </c>
      <c r="F81" t="s">
        <v>275</v>
      </c>
      <c r="G81">
        <v>1950</v>
      </c>
      <c r="I81">
        <v>1975</v>
      </c>
      <c r="T81">
        <v>18</v>
      </c>
      <c r="V81">
        <v>4</v>
      </c>
      <c r="X81" s="3" t="str">
        <f t="shared" si="19"/>
        <v/>
      </c>
      <c r="Y81">
        <v>80</v>
      </c>
      <c r="Z81">
        <f t="shared" si="15"/>
        <v>128</v>
      </c>
      <c r="AC81">
        <v>11.2</v>
      </c>
      <c r="AD81">
        <v>11.2</v>
      </c>
      <c r="AG81" s="10">
        <v>45</v>
      </c>
      <c r="AH81" t="str">
        <f>CONCATENATE(VLOOKUP(AI81, 'Voxel Sizes'!$A$2:$B$18,2,FALSE),"x",INT(AE81*15), "x", INT(AF81*15))</f>
        <v>120x0x0</v>
      </c>
      <c r="AI81">
        <f t="shared" si="20"/>
        <v>7</v>
      </c>
      <c r="AK81" t="str">
        <f>CONCATENATE(VLOOKUP(AI81,Constants!$A$2:$C$16,IF(AJ81&lt;&gt;"", 3, 2), FALSE),IF(AJ81&lt;&gt;"",CONCATENATE(",",VLOOKUP(AJ81,$B:$AK,36,FALSE)),""))</f>
        <v>2,3,2</v>
      </c>
      <c r="AU81">
        <v>30</v>
      </c>
      <c r="AV81" s="15">
        <f t="shared" si="21"/>
        <v>33</v>
      </c>
      <c r="AW81">
        <v>25</v>
      </c>
      <c r="AX81">
        <v>9</v>
      </c>
      <c r="AY81">
        <f t="shared" si="22"/>
        <v>16</v>
      </c>
      <c r="AZ81">
        <f t="shared" si="23"/>
        <v>0</v>
      </c>
      <c r="BA81">
        <f t="shared" si="24"/>
        <v>0</v>
      </c>
      <c r="BB81" s="3">
        <f t="shared" si="25"/>
        <v>0.93333333333333335</v>
      </c>
      <c r="BC81">
        <f t="shared" si="26"/>
        <v>7.5</v>
      </c>
      <c r="BD81">
        <f>VLOOKUP($E81,Constants!$I:$K, 2, FALSE)</f>
        <v>1</v>
      </c>
      <c r="BE81">
        <f>VLOOKUP($E81,Constants!$I:$K, 3, FALSE)*IF(AND(D81="multiple_unit",Y81&lt;110),0.75,1)</f>
        <v>0.45</v>
      </c>
      <c r="BF81">
        <f>INT(POWER(((Constants!$G$2+$AY81+$AZ81+$BA81+$BC81)*$BB81)*$BE81, 1.05))+$AX81</f>
        <v>22</v>
      </c>
      <c r="BG81">
        <f>INT(POWER((((Constants!$G$1+$AY81+$AZ81+$BA81+$BC81)*($BB81))*$BD81),IF($D81="wagon",1,1.2)))+$AW81</f>
        <v>60</v>
      </c>
      <c r="BH81" s="14">
        <f t="shared" si="27"/>
        <v>1375</v>
      </c>
      <c r="BI81" s="14">
        <f t="shared" si="28"/>
        <v>163.80000000000001</v>
      </c>
      <c r="BP81">
        <v>1</v>
      </c>
      <c r="BQ81">
        <v>185</v>
      </c>
      <c r="BR81" t="s">
        <v>1045</v>
      </c>
      <c r="BS81" t="s">
        <v>652</v>
      </c>
      <c r="BT81" t="str">
        <f>VLOOKUP(G81,Eras!$A$2:$C$10, 2, TRUE)</f>
        <v>ebr</v>
      </c>
      <c r="BU81" t="s">
        <v>336</v>
      </c>
      <c r="BV81" t="str">
        <f t="shared" si="29"/>
        <v>ebr_Mail Carriage</v>
      </c>
      <c r="BW81" t="str">
        <f t="shared" si="30"/>
        <v>wagon_RAIL</v>
      </c>
      <c r="BX81" t="str">
        <f>VLOOKUP($BW81, Constants!$M:$N, 2, FALSE)</f>
        <v/>
      </c>
      <c r="BY81" t="str">
        <f t="shared" si="31"/>
        <v/>
      </c>
      <c r="BZ81" t="s">
        <v>812</v>
      </c>
      <c r="CA81" t="str">
        <f t="shared" si="32"/>
        <v/>
      </c>
      <c r="CB81" t="str">
        <f t="shared" si="33"/>
        <v>{SILVER}BR built several of these six-wheeled parcels vans in the early 1950s.</v>
      </c>
    </row>
    <row r="82" spans="1:80" x14ac:dyDescent="0.3">
      <c r="A82" t="s">
        <v>1378</v>
      </c>
      <c r="B82" t="s">
        <v>1379</v>
      </c>
      <c r="C82">
        <v>134</v>
      </c>
      <c r="D82" t="s">
        <v>281</v>
      </c>
      <c r="E82" t="s">
        <v>1106</v>
      </c>
      <c r="F82" t="s">
        <v>1381</v>
      </c>
      <c r="G82">
        <v>1700</v>
      </c>
      <c r="I82">
        <v>1870</v>
      </c>
      <c r="T82">
        <v>8</v>
      </c>
      <c r="V82">
        <v>3</v>
      </c>
      <c r="X82" s="3" t="str">
        <f t="shared" si="19"/>
        <v/>
      </c>
      <c r="Y82">
        <v>45</v>
      </c>
      <c r="Z82">
        <f t="shared" si="15"/>
        <v>72</v>
      </c>
      <c r="AC82">
        <v>8</v>
      </c>
      <c r="AD82">
        <v>8</v>
      </c>
      <c r="AG82" s="10">
        <v>24</v>
      </c>
      <c r="AH82" t="str">
        <f>CONCATENATE(VLOOKUP(AI82, 'Voxel Sizes'!$A$2:$B$18,2,FALSE),"x",INT(AE82*15), "x", INT(AF82*15))</f>
        <v>82x0x0</v>
      </c>
      <c r="AI82">
        <f t="shared" si="20"/>
        <v>5</v>
      </c>
      <c r="AK82" t="str">
        <f>CONCATENATE(VLOOKUP(AI82,Constants!$A$2:$C$16,IF(AJ82&lt;&gt;"", 3, 2), FALSE),IF(AJ82&lt;&gt;"",CONCATENATE(",",VLOOKUP(AJ82,$B:$AK,36,FALSE)),""))</f>
        <v>2,1,2</v>
      </c>
      <c r="AU82">
        <v>30</v>
      </c>
      <c r="AV82" s="15">
        <f t="shared" si="21"/>
        <v>178</v>
      </c>
      <c r="AW82">
        <v>5</v>
      </c>
      <c r="AX82">
        <v>4</v>
      </c>
      <c r="AY82">
        <f t="shared" si="22"/>
        <v>9</v>
      </c>
      <c r="AZ82">
        <f t="shared" si="23"/>
        <v>0</v>
      </c>
      <c r="BA82">
        <f t="shared" si="24"/>
        <v>0</v>
      </c>
      <c r="BB82" s="3">
        <f t="shared" si="25"/>
        <v>1</v>
      </c>
      <c r="BC82">
        <f t="shared" si="26"/>
        <v>4</v>
      </c>
      <c r="BD82">
        <f>VLOOKUP($E82,Constants!$I:$K, 2, FALSE)</f>
        <v>1.2</v>
      </c>
      <c r="BE82">
        <f>VLOOKUP($E82,Constants!$I:$K, 3, FALSE)*IF(AND(D82="multiple_unit",Y82&lt;110),0.75,1)</f>
        <v>0.6</v>
      </c>
      <c r="BF82">
        <f>INT(POWER(((Constants!$G$2+$AY82+$AZ82+$BA82+$BC82)*$BB82)*$BE82, 1.05))+$AX82</f>
        <v>16</v>
      </c>
      <c r="BG82">
        <f>INT(POWER((((Constants!$G$1+$AY82+$AZ82+$BA82+$BC82)*($BB82))*$BD82),IF($D82="wagon",1,1.2)))+$AW82</f>
        <v>38</v>
      </c>
      <c r="BH82" s="14">
        <f t="shared" si="27"/>
        <v>1000</v>
      </c>
      <c r="BI82" s="14">
        <f t="shared" si="28"/>
        <v>103.74</v>
      </c>
      <c r="BP82">
        <v>10</v>
      </c>
      <c r="BQ82">
        <v>185</v>
      </c>
      <c r="BR82" t="s">
        <v>1045</v>
      </c>
      <c r="BS82" t="s">
        <v>652</v>
      </c>
      <c r="BT82" t="str">
        <f>VLOOKUP(G82,Eras!$A$2:$C$10, 2, TRUE)</f>
        <v>early</v>
      </c>
      <c r="BU82" t="s">
        <v>335</v>
      </c>
      <c r="BV82" t="str">
        <f t="shared" si="29"/>
        <v>early_Carriage</v>
      </c>
      <c r="BW82" t="str">
        <f t="shared" si="30"/>
        <v>carriage_PLATEWAY</v>
      </c>
      <c r="BX82" t="str">
        <f>VLOOKUP($BW82, Constants!$M:$N, 2, FALSE)</f>
        <v/>
      </c>
      <c r="BY82" t="str">
        <f t="shared" si="31"/>
        <v/>
      </c>
      <c r="BZ82" t="s">
        <v>1380</v>
      </c>
      <c r="CA82" t="str">
        <f t="shared" si="32"/>
        <v/>
      </c>
      <c r="CB82" t="str">
        <f t="shared" si="33"/>
        <v>{SILVER}Although dedicated brake carriages were not common until the 1840s, this one is included in the set to allow early parcel and mail transport.</v>
      </c>
    </row>
    <row r="83" spans="1:80" ht="14.25" customHeight="1" x14ac:dyDescent="0.3">
      <c r="A83" t="s">
        <v>1329</v>
      </c>
      <c r="B83" t="s">
        <v>1331</v>
      </c>
      <c r="C83">
        <v>136</v>
      </c>
      <c r="D83" t="s">
        <v>281</v>
      </c>
      <c r="E83" t="s">
        <v>1106</v>
      </c>
      <c r="F83" t="s">
        <v>275</v>
      </c>
      <c r="G83">
        <v>1855</v>
      </c>
      <c r="I83">
        <v>1900</v>
      </c>
      <c r="T83">
        <v>18</v>
      </c>
      <c r="V83">
        <v>4</v>
      </c>
      <c r="X83" s="3" t="str">
        <f t="shared" si="19"/>
        <v/>
      </c>
      <c r="Y83">
        <v>65</v>
      </c>
      <c r="Z83">
        <f t="shared" si="15"/>
        <v>104</v>
      </c>
      <c r="AC83">
        <v>10</v>
      </c>
      <c r="AD83">
        <v>10</v>
      </c>
      <c r="AG83" s="10">
        <v>24</v>
      </c>
      <c r="AH83" t="str">
        <f>CONCATENATE(VLOOKUP(AI83, 'Voxel Sizes'!$A$2:$B$18,2,FALSE),"x",INT(AE83*15), "x", INT(AF83*15))</f>
        <v>102x0x0</v>
      </c>
      <c r="AI83">
        <f t="shared" si="20"/>
        <v>6</v>
      </c>
      <c r="AK83" t="str">
        <f>CONCATENATE(VLOOKUP(AI83,Constants!$A$2:$C$16,IF(AJ83&lt;&gt;"", 3, 2), FALSE),IF(AJ83&lt;&gt;"",CONCATENATE(",",VLOOKUP(AJ83,$B:$AK,36,FALSE)),""))</f>
        <v>2,2,2</v>
      </c>
      <c r="AU83">
        <v>30</v>
      </c>
      <c r="AV83" s="15">
        <f t="shared" si="21"/>
        <v>53</v>
      </c>
      <c r="AW83">
        <v>20</v>
      </c>
      <c r="AX83">
        <v>10</v>
      </c>
      <c r="AY83">
        <f t="shared" si="22"/>
        <v>13</v>
      </c>
      <c r="AZ83">
        <f t="shared" si="23"/>
        <v>0</v>
      </c>
      <c r="BA83">
        <f t="shared" si="24"/>
        <v>0</v>
      </c>
      <c r="BB83" s="3">
        <f t="shared" si="25"/>
        <v>1</v>
      </c>
      <c r="BC83">
        <f t="shared" si="26"/>
        <v>4</v>
      </c>
      <c r="BD83">
        <f>VLOOKUP($E83,Constants!$I:$K, 2, FALSE)</f>
        <v>1.2</v>
      </c>
      <c r="BE83">
        <f>VLOOKUP($E83,Constants!$I:$K, 3, FALSE)*IF(AND(D83="multiple_unit",Y83&lt;110),0.75,1)</f>
        <v>0.6</v>
      </c>
      <c r="BF83">
        <f>INT(POWER(((Constants!$G$2+$AY83+$AZ83+$BA83+$BC83)*$BB83)*$BE83, 1.05))+$AX83</f>
        <v>25</v>
      </c>
      <c r="BG83">
        <f>INT(POWER((((Constants!$G$1+$AY83+$AZ83+$BA83+$BC83)*($BB83))*$BD83),IF($D83="wagon",1,1.2)))+$AW83</f>
        <v>58</v>
      </c>
      <c r="BH83" s="14">
        <f t="shared" si="27"/>
        <v>1562.5</v>
      </c>
      <c r="BI83" s="14">
        <f t="shared" si="28"/>
        <v>158.34</v>
      </c>
      <c r="BP83">
        <v>10</v>
      </c>
      <c r="BQ83">
        <v>185</v>
      </c>
      <c r="BR83" t="s">
        <v>1045</v>
      </c>
      <c r="BS83" t="s">
        <v>652</v>
      </c>
      <c r="BT83" t="str">
        <f>VLOOKUP(G83,Eras!$A$2:$C$10, 2, TRUE)</f>
        <v>vct</v>
      </c>
      <c r="BU83" t="s">
        <v>335</v>
      </c>
      <c r="BV83" t="str">
        <f t="shared" si="29"/>
        <v>vct_Carriage</v>
      </c>
      <c r="BW83" t="str">
        <f t="shared" si="30"/>
        <v>carriage_RAIL</v>
      </c>
      <c r="BX83" t="str">
        <f>VLOOKUP($BW83, Constants!$M:$N, 2, FALSE)</f>
        <v/>
      </c>
      <c r="BY83" t="str">
        <f t="shared" si="31"/>
        <v/>
      </c>
      <c r="BZ83" t="s">
        <v>1336</v>
      </c>
      <c r="CA83" t="str">
        <f t="shared" si="32"/>
        <v/>
      </c>
      <c r="CB83" t="str">
        <f t="shared" si="33"/>
        <v>{SILVER}Early four-wheel carriages did not have locomotive-controlled brakes so, like freight trains, were reliant on the brakes in the guard's van.</v>
      </c>
    </row>
    <row r="84" spans="1:80" x14ac:dyDescent="0.3">
      <c r="A84" t="s">
        <v>1330</v>
      </c>
      <c r="B84" t="s">
        <v>1332</v>
      </c>
      <c r="C84">
        <v>138</v>
      </c>
      <c r="D84" t="s">
        <v>281</v>
      </c>
      <c r="E84" t="s">
        <v>1106</v>
      </c>
      <c r="F84" t="s">
        <v>275</v>
      </c>
      <c r="G84">
        <v>1875</v>
      </c>
      <c r="I84">
        <v>1915</v>
      </c>
      <c r="T84">
        <v>21</v>
      </c>
      <c r="V84">
        <v>4</v>
      </c>
      <c r="X84" s="3" t="str">
        <f t="shared" si="19"/>
        <v/>
      </c>
      <c r="Y84">
        <v>75</v>
      </c>
      <c r="Z84">
        <f t="shared" si="15"/>
        <v>120</v>
      </c>
      <c r="AC84">
        <v>12</v>
      </c>
      <c r="AD84">
        <v>12</v>
      </c>
      <c r="AG84" s="10">
        <v>30</v>
      </c>
      <c r="AH84" t="str">
        <f>CONCATENATE(VLOOKUP(AI84, 'Voxel Sizes'!$A$2:$B$18,2,FALSE),"x",INT(AE84*15), "x", INT(AF84*15))</f>
        <v>120x0x0</v>
      </c>
      <c r="AI84">
        <f t="shared" si="20"/>
        <v>7</v>
      </c>
      <c r="AK84" t="str">
        <f>CONCATENATE(VLOOKUP(AI84,Constants!$A$2:$C$16,IF(AJ84&lt;&gt;"", 3, 2), FALSE),IF(AJ84&lt;&gt;"",CONCATENATE(",",VLOOKUP(AJ84,$B:$AK,36,FALSE)),""))</f>
        <v>2,3,2</v>
      </c>
      <c r="AU84">
        <v>30</v>
      </c>
      <c r="AV84" s="15">
        <f t="shared" si="21"/>
        <v>48</v>
      </c>
      <c r="AW84">
        <v>39</v>
      </c>
      <c r="AX84">
        <v>16</v>
      </c>
      <c r="AY84">
        <f t="shared" si="22"/>
        <v>15</v>
      </c>
      <c r="AZ84">
        <f t="shared" si="23"/>
        <v>0</v>
      </c>
      <c r="BA84">
        <f t="shared" si="24"/>
        <v>0</v>
      </c>
      <c r="BB84" s="3">
        <f t="shared" si="25"/>
        <v>1</v>
      </c>
      <c r="BC84">
        <f t="shared" si="26"/>
        <v>5</v>
      </c>
      <c r="BD84">
        <f>VLOOKUP($E84,Constants!$I:$K, 2, FALSE)</f>
        <v>1.2</v>
      </c>
      <c r="BE84">
        <f>VLOOKUP($E84,Constants!$I:$K, 3, FALSE)*IF(AND(D84="multiple_unit",Y84&lt;110),0.75,1)</f>
        <v>0.6</v>
      </c>
      <c r="BF84">
        <f>INT(POWER(((Constants!$G$2+$AY84+$AZ84+$BA84+$BC84)*$BB84)*$BE84, 1.05))+$AX84</f>
        <v>33</v>
      </c>
      <c r="BG84">
        <f>INT(POWER((((Constants!$G$1+$AY84+$AZ84+$BA84+$BC84)*($BB84))*$BD84),IF($D84="wagon",1,1.2)))+$AW84</f>
        <v>81</v>
      </c>
      <c r="BH84" s="14">
        <f t="shared" si="27"/>
        <v>2062.5</v>
      </c>
      <c r="BI84" s="14">
        <f t="shared" si="28"/>
        <v>221.13</v>
      </c>
      <c r="BP84">
        <v>11</v>
      </c>
      <c r="BQ84">
        <v>185</v>
      </c>
      <c r="BR84" t="s">
        <v>1045</v>
      </c>
      <c r="BS84" t="s">
        <v>652</v>
      </c>
      <c r="BT84" t="str">
        <f>VLOOKUP(G84,Eras!$A$2:$C$10, 2, TRUE)</f>
        <v>vct</v>
      </c>
      <c r="BU84" t="s">
        <v>335</v>
      </c>
      <c r="BV84" t="str">
        <f t="shared" si="29"/>
        <v>vct_Carriage</v>
      </c>
      <c r="BW84" t="str">
        <f t="shared" si="30"/>
        <v>carriage_RAIL</v>
      </c>
      <c r="BX84" t="str">
        <f>VLOOKUP($BW84, Constants!$M:$N, 2, FALSE)</f>
        <v/>
      </c>
      <c r="BY84" t="str">
        <f t="shared" si="31"/>
        <v/>
      </c>
      <c r="BZ84" t="s">
        <v>1333</v>
      </c>
      <c r="CA84" t="str">
        <f t="shared" si="32"/>
        <v/>
      </c>
      <c r="CB84" t="str">
        <f t="shared" si="33"/>
        <v>{SILVER}Although carriages gained more luxurious fixtures and fittings through the Victorian era, braking still required a guard's van.</v>
      </c>
    </row>
    <row r="85" spans="1:80" x14ac:dyDescent="0.3">
      <c r="A85" t="s">
        <v>1161</v>
      </c>
      <c r="B85" t="s">
        <v>1162</v>
      </c>
      <c r="C85">
        <v>140</v>
      </c>
      <c r="D85" t="s">
        <v>281</v>
      </c>
      <c r="E85" t="s">
        <v>1106</v>
      </c>
      <c r="F85" t="s">
        <v>275</v>
      </c>
      <c r="G85">
        <v>1892</v>
      </c>
      <c r="I85">
        <v>1935</v>
      </c>
      <c r="T85">
        <v>28</v>
      </c>
      <c r="V85">
        <v>4</v>
      </c>
      <c r="X85" s="3" t="str">
        <f t="shared" si="19"/>
        <v/>
      </c>
      <c r="Y85">
        <v>80</v>
      </c>
      <c r="Z85">
        <f t="shared" si="15"/>
        <v>128</v>
      </c>
      <c r="AC85">
        <v>16.2</v>
      </c>
      <c r="AD85">
        <v>16.2</v>
      </c>
      <c r="AE85">
        <v>2.8</v>
      </c>
      <c r="AG85" s="10">
        <v>51</v>
      </c>
      <c r="AH85" t="str">
        <f>CONCATENATE(VLOOKUP(AI85, 'Voxel Sizes'!$A$2:$B$18,2,FALSE),"x",INT(AE85*15), "x", INT(AF85*15))</f>
        <v>152x42x0</v>
      </c>
      <c r="AI85">
        <f t="shared" si="20"/>
        <v>9</v>
      </c>
      <c r="AK85" t="str">
        <f>CONCATENATE(VLOOKUP(AI85,Constants!$A$2:$C$16,IF(AJ85&lt;&gt;"", 3, 2), FALSE),IF(AJ85&lt;&gt;"",CONCATENATE(",",VLOOKUP(AJ85,$B:$AK,36,FALSE)),""))</f>
        <v>2,5,2</v>
      </c>
      <c r="AU85">
        <v>30</v>
      </c>
      <c r="AV85" s="15">
        <f t="shared" si="21"/>
        <v>51</v>
      </c>
      <c r="AW85">
        <v>47</v>
      </c>
      <c r="AX85">
        <v>20</v>
      </c>
      <c r="AY85">
        <f t="shared" si="22"/>
        <v>16</v>
      </c>
      <c r="AZ85">
        <f t="shared" si="23"/>
        <v>0</v>
      </c>
      <c r="BA85">
        <f t="shared" si="24"/>
        <v>0</v>
      </c>
      <c r="BB85" s="3">
        <f t="shared" si="25"/>
        <v>1</v>
      </c>
      <c r="BC85">
        <f t="shared" si="26"/>
        <v>8.5</v>
      </c>
      <c r="BD85">
        <f>VLOOKUP($E85,Constants!$I:$K, 2, FALSE)</f>
        <v>1.2</v>
      </c>
      <c r="BE85">
        <f>VLOOKUP($E85,Constants!$I:$K, 3, FALSE)*IF(AND(D85="multiple_unit",Y85&lt;110),0.75,1)</f>
        <v>0.6</v>
      </c>
      <c r="BF85">
        <f>INT(POWER(((Constants!$G$2+$AY85+$AZ85+$BA85+$BC85)*$BB85)*$BE85, 1.05))+$AX85</f>
        <v>40</v>
      </c>
      <c r="BG85">
        <f>INT(POWER((((Constants!$G$1+$AY85+$AZ85+$BA85+$BC85)*($BB85))*$BD85),IF($D85="wagon",1,1.2)))+$AW85</f>
        <v>94</v>
      </c>
      <c r="BH85" s="14">
        <f t="shared" si="27"/>
        <v>2500</v>
      </c>
      <c r="BI85" s="14">
        <f t="shared" si="28"/>
        <v>256.62</v>
      </c>
      <c r="BP85">
        <v>1</v>
      </c>
      <c r="BQ85">
        <v>185</v>
      </c>
      <c r="BR85" t="s">
        <v>1045</v>
      </c>
      <c r="BS85" t="s">
        <v>652</v>
      </c>
      <c r="BT85" t="str">
        <f>VLOOKUP(G85,Eras!$A$2:$C$10, 2, TRUE)</f>
        <v>vct</v>
      </c>
      <c r="BU85" t="s">
        <v>336</v>
      </c>
      <c r="BV85" t="str">
        <f t="shared" si="29"/>
        <v>vct_Mail Carriage</v>
      </c>
      <c r="BW85" t="str">
        <f t="shared" si="30"/>
        <v>carriage_RAIL</v>
      </c>
      <c r="BX85" t="str">
        <f>VLOOKUP($BW85, Constants!$M:$N, 2, FALSE)</f>
        <v/>
      </c>
      <c r="BY85" t="str">
        <f t="shared" si="31"/>
        <v/>
      </c>
      <c r="BZ85" t="s">
        <v>1163</v>
      </c>
      <c r="CA85" t="str">
        <f t="shared" si="32"/>
        <v/>
      </c>
      <c r="CB85" t="str">
        <f t="shared" si="33"/>
        <v>{SILVER}This brake carriage is designed for use with clerestory carriages. It can carry parcels and mail.</v>
      </c>
    </row>
    <row r="86" spans="1:80" x14ac:dyDescent="0.3">
      <c r="A86" t="s">
        <v>1157</v>
      </c>
      <c r="B86" t="s">
        <v>1156</v>
      </c>
      <c r="C86">
        <v>141</v>
      </c>
      <c r="D86" t="s">
        <v>281</v>
      </c>
      <c r="E86" t="s">
        <v>1106</v>
      </c>
      <c r="F86" t="s">
        <v>275</v>
      </c>
      <c r="G86">
        <v>1904</v>
      </c>
      <c r="I86">
        <v>1955</v>
      </c>
      <c r="T86">
        <v>29</v>
      </c>
      <c r="V86">
        <v>5</v>
      </c>
      <c r="X86" s="3" t="str">
        <f t="shared" si="19"/>
        <v/>
      </c>
      <c r="Y86">
        <v>85</v>
      </c>
      <c r="Z86">
        <f t="shared" si="15"/>
        <v>136</v>
      </c>
      <c r="AC86">
        <v>17.7</v>
      </c>
      <c r="AD86">
        <v>17.7</v>
      </c>
      <c r="AE86">
        <v>2.83</v>
      </c>
      <c r="AF86">
        <v>3.79</v>
      </c>
      <c r="AG86" s="10">
        <v>57</v>
      </c>
      <c r="AH86" t="str">
        <f>CONCATENATE(VLOOKUP(AI86, 'Voxel Sizes'!$A$2:$B$18,2,FALSE),"x",INT(AE86*15), "x", INT(AF86*15))</f>
        <v>164x42x56</v>
      </c>
      <c r="AI86">
        <f t="shared" si="20"/>
        <v>10</v>
      </c>
      <c r="AK86" t="str">
        <f>CONCATENATE(VLOOKUP(AI86,Constants!$A$2:$C$16,IF(AJ86&lt;&gt;"", 3, 2), FALSE),IF(AJ86&lt;&gt;"",CONCATENATE(",",VLOOKUP(AJ86,$B:$AK,36,FALSE)),""))</f>
        <v>4,2,4</v>
      </c>
      <c r="AU86">
        <v>30</v>
      </c>
      <c r="AV86" s="15">
        <f t="shared" si="21"/>
        <v>59</v>
      </c>
      <c r="AW86">
        <v>49</v>
      </c>
      <c r="AX86">
        <v>21</v>
      </c>
      <c r="AY86">
        <f t="shared" si="22"/>
        <v>17</v>
      </c>
      <c r="AZ86">
        <f t="shared" si="23"/>
        <v>0</v>
      </c>
      <c r="BA86">
        <f t="shared" si="24"/>
        <v>0</v>
      </c>
      <c r="BB86" s="3">
        <f t="shared" si="25"/>
        <v>0.9946666666666667</v>
      </c>
      <c r="BC86">
        <f t="shared" si="26"/>
        <v>9.5</v>
      </c>
      <c r="BD86">
        <f>VLOOKUP($E86,Constants!$I:$K, 2, FALSE)</f>
        <v>1.2</v>
      </c>
      <c r="BE86">
        <f>VLOOKUP($E86,Constants!$I:$K, 3, FALSE)*IF(AND(D86="multiple_unit",Y86&lt;110),0.75,1)</f>
        <v>0.6</v>
      </c>
      <c r="BF86">
        <f>INT(POWER(((Constants!$G$2+$AY86+$AZ86+$BA86+$BC86)*$BB86)*$BE86, 1.05))+$AX86</f>
        <v>42</v>
      </c>
      <c r="BG86">
        <f>INT(POWER((((Constants!$G$1+$AY86+$AZ86+$BA86+$BC86)*($BB86))*$BD86),IF($D86="wagon",1,1.2)))+$AW86</f>
        <v>98</v>
      </c>
      <c r="BH86" s="14">
        <f t="shared" si="27"/>
        <v>2625</v>
      </c>
      <c r="BI86" s="14">
        <f t="shared" si="28"/>
        <v>267.54000000000002</v>
      </c>
      <c r="BP86">
        <v>1</v>
      </c>
      <c r="BQ86">
        <v>185</v>
      </c>
      <c r="BR86" t="s">
        <v>1045</v>
      </c>
      <c r="BS86" t="s">
        <v>652</v>
      </c>
      <c r="BT86" t="str">
        <f>VLOOKUP(G86,Eras!$A$2:$C$10, 2, TRUE)</f>
        <v>edw</v>
      </c>
      <c r="BU86" t="s">
        <v>336</v>
      </c>
      <c r="BV86" t="str">
        <f t="shared" si="29"/>
        <v>edw_Mail Carriage</v>
      </c>
      <c r="BW86" t="str">
        <f t="shared" si="30"/>
        <v>carriage_RAIL</v>
      </c>
      <c r="BX86" t="str">
        <f>VLOOKUP($BW86, Constants!$M:$N, 2, FALSE)</f>
        <v/>
      </c>
      <c r="BY86" t="str">
        <f t="shared" si="31"/>
        <v/>
      </c>
      <c r="BZ86" t="s">
        <v>1164</v>
      </c>
      <c r="CA86" t="str">
        <f t="shared" si="32"/>
        <v/>
      </c>
      <c r="CB86" t="str">
        <f t="shared" si="33"/>
        <v>{SILVER}Brake carriages continued to be a fixture of passenger trains during the steam era, carrying bulky luggage and parcels.</v>
      </c>
    </row>
    <row r="87" spans="1:80" x14ac:dyDescent="0.3">
      <c r="A87" t="s">
        <v>1158</v>
      </c>
      <c r="B87" t="s">
        <v>1159</v>
      </c>
      <c r="C87">
        <v>142</v>
      </c>
      <c r="D87" t="s">
        <v>281</v>
      </c>
      <c r="E87" t="s">
        <v>1106</v>
      </c>
      <c r="F87" t="s">
        <v>275</v>
      </c>
      <c r="G87">
        <v>1951</v>
      </c>
      <c r="H87">
        <v>1963</v>
      </c>
      <c r="I87">
        <v>1974</v>
      </c>
      <c r="T87">
        <v>31</v>
      </c>
      <c r="V87">
        <v>5</v>
      </c>
      <c r="X87" s="3" t="str">
        <f t="shared" si="19"/>
        <v/>
      </c>
      <c r="Y87">
        <v>100</v>
      </c>
      <c r="Z87">
        <f t="shared" si="15"/>
        <v>160</v>
      </c>
      <c r="AC87">
        <v>19.3</v>
      </c>
      <c r="AD87">
        <v>20</v>
      </c>
      <c r="AG87" s="10">
        <v>66</v>
      </c>
      <c r="AH87" t="str">
        <f>CONCATENATE(VLOOKUP(AI87, 'Voxel Sizes'!$A$2:$B$18,2,FALSE),"x",INT(AE87*15), "x", INT(AF87*15))</f>
        <v>198x0x0</v>
      </c>
      <c r="AI87">
        <f t="shared" si="20"/>
        <v>12</v>
      </c>
      <c r="AK87" t="str">
        <f>CONCATENATE(VLOOKUP(AI87,Constants!$A$2:$C$16,IF(AJ87&lt;&gt;"", 3, 2), FALSE),IF(AJ87&lt;&gt;"",CONCATENATE(",",VLOOKUP(AJ87,$B:$AK,36,FALSE)),""))</f>
        <v>4,4,4</v>
      </c>
      <c r="AU87">
        <v>30</v>
      </c>
      <c r="AV87" s="15">
        <f t="shared" si="21"/>
        <v>31</v>
      </c>
      <c r="AW87">
        <v>55</v>
      </c>
      <c r="AX87">
        <v>25</v>
      </c>
      <c r="AY87">
        <f t="shared" si="22"/>
        <v>20</v>
      </c>
      <c r="AZ87">
        <f t="shared" si="23"/>
        <v>0</v>
      </c>
      <c r="BA87">
        <f t="shared" si="24"/>
        <v>0</v>
      </c>
      <c r="BB87" s="3">
        <f t="shared" si="25"/>
        <v>0.93199999999999994</v>
      </c>
      <c r="BC87">
        <f t="shared" si="26"/>
        <v>11</v>
      </c>
      <c r="BD87">
        <f>VLOOKUP($E87,Constants!$I:$K, 2, FALSE)</f>
        <v>1.2</v>
      </c>
      <c r="BE87">
        <f>VLOOKUP($E87,Constants!$I:$K, 3, FALSE)*IF(AND(D87="multiple_unit",Y87&lt;110),0.75,1)</f>
        <v>0.6</v>
      </c>
      <c r="BF87">
        <f>INT(POWER(((Constants!$G$2+$AY87+$AZ87+$BA87+$BC87)*$BB87)*$BE87, 1.05))+$AX87</f>
        <v>48</v>
      </c>
      <c r="BG87">
        <f>INT(POWER((((Constants!$G$1+$AY87+$AZ87+$BA87+$BC87)*($BB87))*$BD87),IF($D87="wagon",1,1.2)))+$AW87</f>
        <v>106</v>
      </c>
      <c r="BH87" s="14">
        <f t="shared" si="27"/>
        <v>3000</v>
      </c>
      <c r="BI87" s="14">
        <f t="shared" si="28"/>
        <v>289.38</v>
      </c>
      <c r="BP87">
        <v>1</v>
      </c>
      <c r="BQ87">
        <v>185</v>
      </c>
      <c r="BR87" t="s">
        <v>1045</v>
      </c>
      <c r="BS87" t="s">
        <v>652</v>
      </c>
      <c r="BT87" t="str">
        <f>VLOOKUP(G87,Eras!$A$2:$C$10, 2, TRUE)</f>
        <v>ebr</v>
      </c>
      <c r="BU87" t="s">
        <v>336</v>
      </c>
      <c r="BV87" t="str">
        <f t="shared" si="29"/>
        <v>ebr_Mail Carriage</v>
      </c>
      <c r="BW87" t="str">
        <f t="shared" si="30"/>
        <v>carriage_RAIL</v>
      </c>
      <c r="BX87" t="str">
        <f>VLOOKUP($BW87, Constants!$M:$N, 2, FALSE)</f>
        <v/>
      </c>
      <c r="BY87" t="str">
        <f t="shared" si="31"/>
        <v/>
      </c>
      <c r="BZ87" t="s">
        <v>1160</v>
      </c>
      <c r="CA87" t="str">
        <f t="shared" si="32"/>
        <v/>
      </c>
      <c r="CB87" t="str">
        <f t="shared" si="33"/>
        <v>{SILVER}BG for (Brake Gangway) is the BR designation for a brake coach. As well as a guard's compartment it had two large areas for storing luggage.</v>
      </c>
    </row>
    <row r="88" spans="1:80" x14ac:dyDescent="0.3">
      <c r="A88" t="s">
        <v>1165</v>
      </c>
      <c r="B88" t="s">
        <v>1166</v>
      </c>
      <c r="C88">
        <v>143</v>
      </c>
      <c r="D88" t="s">
        <v>281</v>
      </c>
      <c r="E88" t="s">
        <v>1106</v>
      </c>
      <c r="F88" t="s">
        <v>275</v>
      </c>
      <c r="G88">
        <v>1956</v>
      </c>
      <c r="I88">
        <v>2010</v>
      </c>
      <c r="T88">
        <v>33</v>
      </c>
      <c r="V88">
        <v>5</v>
      </c>
      <c r="X88" s="3" t="str">
        <f t="shared" si="19"/>
        <v/>
      </c>
      <c r="Y88">
        <v>110</v>
      </c>
      <c r="Z88">
        <f t="shared" si="15"/>
        <v>176</v>
      </c>
      <c r="AC88">
        <v>19.66</v>
      </c>
      <c r="AD88">
        <v>19.66</v>
      </c>
      <c r="AE88">
        <v>2.83</v>
      </c>
      <c r="AF88">
        <v>3.79</v>
      </c>
      <c r="AG88" s="10">
        <v>69</v>
      </c>
      <c r="AH88" t="str">
        <f>CONCATENATE(VLOOKUP(AI88, 'Voxel Sizes'!$A$2:$B$18,2,FALSE),"x",INT(AE88*15), "x", INT(AF88*15))</f>
        <v>198x42x56</v>
      </c>
      <c r="AI88">
        <f t="shared" si="20"/>
        <v>12</v>
      </c>
      <c r="AK88" t="str">
        <f>CONCATENATE(VLOOKUP(AI88,Constants!$A$2:$C$16,IF(AJ88&lt;&gt;"", 3, 2), FALSE),IF(AJ88&lt;&gt;"",CONCATENATE(",",VLOOKUP(AJ88,$B:$AK,36,FALSE)),""))</f>
        <v>4,4,4</v>
      </c>
      <c r="AU88">
        <v>30</v>
      </c>
      <c r="AV88" s="15">
        <f t="shared" si="21"/>
        <v>62</v>
      </c>
      <c r="AW88">
        <v>58</v>
      </c>
      <c r="AX88">
        <v>27</v>
      </c>
      <c r="AY88">
        <f t="shared" si="22"/>
        <v>22</v>
      </c>
      <c r="AZ88">
        <f t="shared" si="23"/>
        <v>0</v>
      </c>
      <c r="BA88">
        <f t="shared" si="24"/>
        <v>0</v>
      </c>
      <c r="BB88" s="3">
        <f t="shared" si="25"/>
        <v>0.92533333333333334</v>
      </c>
      <c r="BC88">
        <f t="shared" si="26"/>
        <v>11.5</v>
      </c>
      <c r="BD88">
        <f>VLOOKUP($E88,Constants!$I:$K, 2, FALSE)</f>
        <v>1.2</v>
      </c>
      <c r="BE88">
        <f>VLOOKUP($E88,Constants!$I:$K, 3, FALSE)*IF(AND(D88="multiple_unit",Y88&lt;110),0.75,1)</f>
        <v>0.6</v>
      </c>
      <c r="BF88">
        <f>INT(POWER(((Constants!$G$2+$AY88+$AZ88+$BA88+$BC88)*$BB88)*$BE88, 1.05))+$AX88</f>
        <v>51</v>
      </c>
      <c r="BG88">
        <f>INT(POWER((((Constants!$G$1+$AY88+$AZ88+$BA88+$BC88)*($BB88))*$BD88),IF($D88="wagon",1,1.2)))+$AW88</f>
        <v>111</v>
      </c>
      <c r="BH88" s="14">
        <f t="shared" si="27"/>
        <v>3187.5</v>
      </c>
      <c r="BI88" s="14">
        <f t="shared" si="28"/>
        <v>303.02999999999997</v>
      </c>
      <c r="BP88">
        <v>1</v>
      </c>
      <c r="BQ88">
        <v>185</v>
      </c>
      <c r="BR88" t="s">
        <v>1045</v>
      </c>
      <c r="BS88" t="s">
        <v>652</v>
      </c>
      <c r="BT88" t="str">
        <f>VLOOKUP(G88,Eras!$A$2:$C$10, 2, TRUE)</f>
        <v>dsl</v>
      </c>
      <c r="BU88" t="s">
        <v>335</v>
      </c>
      <c r="BV88" t="str">
        <f t="shared" si="29"/>
        <v>dsl_Carriage</v>
      </c>
      <c r="BW88" t="str">
        <f t="shared" si="30"/>
        <v>carriage_RAIL</v>
      </c>
      <c r="BX88" t="str">
        <f>VLOOKUP($BW88, Constants!$M:$N, 2, FALSE)</f>
        <v/>
      </c>
      <c r="BY88" t="str">
        <f t="shared" si="31"/>
        <v/>
      </c>
      <c r="BZ88" t="s">
        <v>1167</v>
      </c>
      <c r="CA88" t="str">
        <f t="shared" si="32"/>
        <v/>
      </c>
      <c r="CB88" t="str">
        <f t="shared" si="33"/>
        <v>{SILVER}The Mk2 carriage also featured the BG Full Brake style, with luggage and parcel compartments.</v>
      </c>
    </row>
    <row r="89" spans="1:80" x14ac:dyDescent="0.3">
      <c r="A89" t="s">
        <v>791</v>
      </c>
      <c r="B89" t="s">
        <v>788</v>
      </c>
      <c r="C89">
        <v>144</v>
      </c>
      <c r="D89" t="s">
        <v>281</v>
      </c>
      <c r="E89" t="s">
        <v>281</v>
      </c>
      <c r="F89" t="s">
        <v>275</v>
      </c>
      <c r="G89">
        <v>1958</v>
      </c>
      <c r="T89">
        <v>30</v>
      </c>
      <c r="V89">
        <v>6</v>
      </c>
      <c r="X89" s="3" t="str">
        <f t="shared" si="19"/>
        <v/>
      </c>
      <c r="Y89">
        <v>100</v>
      </c>
      <c r="Z89">
        <f t="shared" si="15"/>
        <v>160</v>
      </c>
      <c r="AC89">
        <v>19.3</v>
      </c>
      <c r="AD89">
        <v>20</v>
      </c>
      <c r="AG89" s="10">
        <v>78</v>
      </c>
      <c r="AH89" t="str">
        <f>CONCATENATE(VLOOKUP(AI89, 'Voxel Sizes'!$A$2:$B$18,2,FALSE),"x",INT(AE89*15), "x", INT(AF89*15))</f>
        <v>198x0x0</v>
      </c>
      <c r="AI89">
        <f t="shared" si="20"/>
        <v>12</v>
      </c>
      <c r="AK89" t="str">
        <f>CONCATENATE(VLOOKUP(AI89,Constants!$A$2:$C$16,IF(AJ89&lt;&gt;"", 3, 2), FALSE),IF(AJ89&lt;&gt;"",CONCATENATE(",",VLOOKUP(AJ89,$B:$AK,36,FALSE)),""))</f>
        <v>4,4,4</v>
      </c>
      <c r="AU89">
        <v>30</v>
      </c>
      <c r="AV89" s="15" t="str">
        <f t="shared" si="21"/>
        <v/>
      </c>
      <c r="AW89">
        <v>48</v>
      </c>
      <c r="AX89">
        <v>19</v>
      </c>
      <c r="AY89">
        <f t="shared" si="22"/>
        <v>20</v>
      </c>
      <c r="AZ89">
        <f t="shared" si="23"/>
        <v>0</v>
      </c>
      <c r="BA89">
        <f t="shared" si="24"/>
        <v>0</v>
      </c>
      <c r="BB89" s="3">
        <f t="shared" si="25"/>
        <v>0.92266666666666663</v>
      </c>
      <c r="BC89">
        <f t="shared" si="26"/>
        <v>13</v>
      </c>
      <c r="BD89">
        <f>VLOOKUP($E89,Constants!$I:$K, 2, FALSE)</f>
        <v>1</v>
      </c>
      <c r="BE89">
        <f>VLOOKUP($E89,Constants!$I:$K, 3, FALSE)*IF(AND(D89="multiple_unit",Y89&lt;110),0.75,1)</f>
        <v>0.45</v>
      </c>
      <c r="BF89">
        <f>INT(POWER(((Constants!$G$2+$AY89+$AZ89+$BA89+$BC89)*$BB89)*$BE89, 1.05))+$AX89</f>
        <v>37</v>
      </c>
      <c r="BG89">
        <f>INT(POWER((((Constants!$G$1+$AY89+$AZ89+$BA89+$BC89)*($BB89))*$BD89),IF($D89="wagon",1,1.2)))+$AW89</f>
        <v>92</v>
      </c>
      <c r="BH89" s="14">
        <f t="shared" si="27"/>
        <v>2312.5</v>
      </c>
      <c r="BI89" s="14">
        <f t="shared" si="28"/>
        <v>251.16</v>
      </c>
      <c r="BP89">
        <v>1</v>
      </c>
      <c r="BQ89">
        <v>233</v>
      </c>
      <c r="BR89" t="s">
        <v>1045</v>
      </c>
      <c r="BS89" t="s">
        <v>652</v>
      </c>
      <c r="BT89" t="str">
        <f>VLOOKUP(G89,Eras!$A$2:$C$10, 2, TRUE)</f>
        <v>dsl</v>
      </c>
      <c r="BU89" t="s">
        <v>336</v>
      </c>
      <c r="BV89" t="str">
        <f t="shared" si="29"/>
        <v>dsl_Mail Carriage</v>
      </c>
      <c r="BW89" t="str">
        <f t="shared" si="30"/>
        <v>wagon_RAIL</v>
      </c>
      <c r="BX89" t="str">
        <f>VLOOKUP($BW89, Constants!$M:$N, 2, FALSE)</f>
        <v/>
      </c>
      <c r="BY89" t="str">
        <f t="shared" si="31"/>
        <v/>
      </c>
      <c r="BZ89" t="s">
        <v>790</v>
      </c>
      <c r="CA89" t="str">
        <f t="shared" si="32"/>
        <v>{YELLOW}25% Bonus for long distance travel{}</v>
      </c>
      <c r="CB89" t="str">
        <f t="shared" si="33"/>
        <v>{YELLOW}25% Bonus for long distance travel{}{SILVER}Based on the Mark 1 carriage, the TPO (Travelling Post Office) allowed mail to be sorted as it was transported.</v>
      </c>
    </row>
    <row r="90" spans="1:80" x14ac:dyDescent="0.3">
      <c r="A90" t="s">
        <v>1390</v>
      </c>
      <c r="B90" t="s">
        <v>1391</v>
      </c>
      <c r="C90">
        <v>149</v>
      </c>
      <c r="D90" t="s">
        <v>1392</v>
      </c>
      <c r="E90" t="s">
        <v>1392</v>
      </c>
      <c r="F90" t="s">
        <v>1381</v>
      </c>
      <c r="G90">
        <v>1700</v>
      </c>
      <c r="I90">
        <v>1870</v>
      </c>
      <c r="K90">
        <v>5</v>
      </c>
      <c r="Q90" s="6"/>
      <c r="T90">
        <v>1</v>
      </c>
      <c r="W90">
        <v>3</v>
      </c>
      <c r="X90" s="3">
        <f t="shared" si="19"/>
        <v>0.3</v>
      </c>
      <c r="Y90">
        <v>18</v>
      </c>
      <c r="Z90">
        <f t="shared" si="15"/>
        <v>29</v>
      </c>
      <c r="AD90">
        <v>6</v>
      </c>
      <c r="AG90" s="10">
        <v>0</v>
      </c>
      <c r="AH90" t="str">
        <f>CONCATENATE(VLOOKUP(AI90, 'Voxel Sizes'!$A$2:$B$18,2,FALSE),"x",INT(AE90*15), "x", INT(AF90*15))</f>
        <v>60x0x0</v>
      </c>
      <c r="AI90">
        <f t="shared" si="20"/>
        <v>4</v>
      </c>
      <c r="AK90" t="str">
        <f>CONCATENATE(VLOOKUP(AI90,Constants!$A$2:$C$16,IF(AJ90&lt;&gt;"", 3, 2), FALSE),IF(AJ90&lt;&gt;"",CONCATENATE(",",VLOOKUP(AJ90,$B:$AK,36,FALSE)),""))</f>
        <v>1,2,1</v>
      </c>
      <c r="AS90">
        <v>1</v>
      </c>
      <c r="AU90">
        <v>12</v>
      </c>
      <c r="AV90" s="15">
        <f t="shared" si="21"/>
        <v>178</v>
      </c>
      <c r="AW90">
        <v>-13</v>
      </c>
      <c r="AX90">
        <v>-3</v>
      </c>
      <c r="AY90">
        <f t="shared" si="22"/>
        <v>3.5999999999999996</v>
      </c>
      <c r="AZ90">
        <f t="shared" si="23"/>
        <v>2.5000000000000001E-2</v>
      </c>
      <c r="BA90">
        <f t="shared" si="24"/>
        <v>0.15</v>
      </c>
      <c r="BB90" s="3">
        <f t="shared" si="25"/>
        <v>1</v>
      </c>
      <c r="BC90">
        <f t="shared" si="26"/>
        <v>0</v>
      </c>
      <c r="BD90">
        <f>VLOOKUP($E90,Constants!$I:$K, 2, FALSE)</f>
        <v>0.5</v>
      </c>
      <c r="BE90">
        <f>VLOOKUP($E90,Constants!$I:$K, 3, FALSE)*IF(AND(D90="multiple_unit",Y90&lt;110),0.75,1)</f>
        <v>0.5</v>
      </c>
      <c r="BF90">
        <f>INT(POWER(((Constants!$G$2+$AY90+$AZ90+$BA90+$BC90)*$BB90)*$BE90, 1.05))+$AX90</f>
        <v>1</v>
      </c>
      <c r="BG90">
        <f>INT(POWER((((Constants!$G$1+$AY90+$AZ90+$BA90+$BC90)*($BB90))*$BD90),IF($D90="wagon",1,1.2)))+$AW90</f>
        <v>1</v>
      </c>
      <c r="BH90" s="14">
        <f t="shared" si="27"/>
        <v>781.25</v>
      </c>
      <c r="BI90" s="14">
        <f t="shared" si="28"/>
        <v>81.25</v>
      </c>
      <c r="BP90">
        <v>1</v>
      </c>
      <c r="BT90" t="str">
        <f>VLOOKUP(G90,Eras!$A$2:$C$10, 2, TRUE)</f>
        <v>early</v>
      </c>
      <c r="BU90" t="s">
        <v>327</v>
      </c>
      <c r="BV90" t="str">
        <f t="shared" si="29"/>
        <v>early_Mixed Traffic</v>
      </c>
      <c r="BW90" t="str">
        <f t="shared" si="30"/>
        <v>horses_PLATEWAY</v>
      </c>
      <c r="BX90" t="str">
        <f>VLOOKUP($BW90, Constants!$M:$N, 2, FALSE)</f>
        <v>{BLACK}Powered by: {GOLD}Grass and hay</v>
      </c>
      <c r="BY90" t="str">
        <f t="shared" si="31"/>
        <v/>
      </c>
      <c r="BZ90" t="s">
        <v>1395</v>
      </c>
      <c r="CA90" t="str">
        <f t="shared" si="32"/>
        <v/>
      </c>
      <c r="CB90" t="str">
        <f t="shared" si="33"/>
        <v>{BLACK}Powered by: {GOLD}Grass and hay {}{SILVER}Most early industrial railways used two sources of power: horses and gravity. Often horses would ride downhill in dandy wagons, to save their energy for pulling the train uphill.</v>
      </c>
    </row>
    <row r="91" spans="1:80" x14ac:dyDescent="0.3">
      <c r="A91" t="s">
        <v>1396</v>
      </c>
      <c r="B91" t="s">
        <v>1392</v>
      </c>
      <c r="C91">
        <v>150</v>
      </c>
      <c r="D91" t="s">
        <v>1392</v>
      </c>
      <c r="E91" t="s">
        <v>1392</v>
      </c>
      <c r="F91" t="s">
        <v>1381</v>
      </c>
      <c r="G91">
        <v>1700</v>
      </c>
      <c r="I91">
        <v>1870</v>
      </c>
      <c r="K91">
        <v>10</v>
      </c>
      <c r="Q91" s="6"/>
      <c r="T91">
        <v>2</v>
      </c>
      <c r="W91">
        <v>6</v>
      </c>
      <c r="X91" s="3">
        <f t="shared" si="19"/>
        <v>0.3</v>
      </c>
      <c r="Y91">
        <v>18</v>
      </c>
      <c r="Z91">
        <f t="shared" ref="Z91:Z154" si="34">ROUND(Y91*1.6, 0)</f>
        <v>29</v>
      </c>
      <c r="AD91">
        <v>6</v>
      </c>
      <c r="AG91" s="10">
        <v>0</v>
      </c>
      <c r="AH91" t="str">
        <f>CONCATENATE(VLOOKUP(AI91, 'Voxel Sizes'!$A$2:$B$18,2,FALSE),"x",INT(AE91*15), "x", INT(AF91*15))</f>
        <v>60x0x0</v>
      </c>
      <c r="AI91">
        <f t="shared" si="20"/>
        <v>4</v>
      </c>
      <c r="AK91" t="str">
        <f>CONCATENATE(VLOOKUP(AI91,Constants!$A$2:$C$16,IF(AJ91&lt;&gt;"", 3, 2), FALSE),IF(AJ91&lt;&gt;"",CONCATENATE(",",VLOOKUP(AJ91,$B:$AK,36,FALSE)),""))</f>
        <v>1,2,1</v>
      </c>
      <c r="AS91">
        <v>1</v>
      </c>
      <c r="AU91">
        <v>12</v>
      </c>
      <c r="AV91" s="15">
        <f t="shared" si="21"/>
        <v>178</v>
      </c>
      <c r="AW91">
        <v>-12</v>
      </c>
      <c r="AX91">
        <v>-2</v>
      </c>
      <c r="AY91">
        <f t="shared" si="22"/>
        <v>3.5999999999999996</v>
      </c>
      <c r="AZ91">
        <f t="shared" si="23"/>
        <v>0.05</v>
      </c>
      <c r="BA91">
        <f t="shared" si="24"/>
        <v>0.3</v>
      </c>
      <c r="BB91" s="3">
        <f t="shared" si="25"/>
        <v>1</v>
      </c>
      <c r="BC91">
        <f t="shared" si="26"/>
        <v>0</v>
      </c>
      <c r="BD91">
        <f>VLOOKUP($E91,Constants!$I:$K, 2, FALSE)</f>
        <v>0.5</v>
      </c>
      <c r="BE91">
        <f>VLOOKUP($E91,Constants!$I:$K, 3, FALSE)*IF(AND(D91="multiple_unit",Y91&lt;110),0.75,1)</f>
        <v>0.5</v>
      </c>
      <c r="BF91">
        <f>INT(POWER(((Constants!$G$2+$AY91+$AZ91+$BA91+$BC91)*$BB91)*$BE91, 1.05))+$AX91</f>
        <v>2</v>
      </c>
      <c r="BG91">
        <f>INT(POWER((((Constants!$G$1+$AY91+$AZ91+$BA91+$BC91)*($BB91))*$BD91),IF($D91="wagon",1,1.2)))+$AW91</f>
        <v>2</v>
      </c>
      <c r="BH91" s="14">
        <f t="shared" si="27"/>
        <v>1562.5</v>
      </c>
      <c r="BI91" s="14">
        <f t="shared" si="28"/>
        <v>162.5</v>
      </c>
      <c r="BP91">
        <v>1</v>
      </c>
      <c r="BT91" t="str">
        <f>VLOOKUP(G91,Eras!$A$2:$C$10, 2, TRUE)</f>
        <v>early</v>
      </c>
      <c r="BU91" t="s">
        <v>327</v>
      </c>
      <c r="BV91" t="str">
        <f t="shared" si="29"/>
        <v>early_Mixed Traffic</v>
      </c>
      <c r="BW91" t="str">
        <f t="shared" si="30"/>
        <v>horses_PLATEWAY</v>
      </c>
      <c r="BX91" t="str">
        <f>VLOOKUP($BW91, Constants!$M:$N, 2, FALSE)</f>
        <v>{BLACK}Powered by: {GOLD}Grass and hay</v>
      </c>
      <c r="BY91" t="str">
        <f t="shared" si="31"/>
        <v/>
      </c>
      <c r="BZ91" t="s">
        <v>1397</v>
      </c>
      <c r="CA91" t="str">
        <f t="shared" si="32"/>
        <v/>
      </c>
      <c r="CB91" t="str">
        <f t="shared" si="33"/>
        <v>{BLACK}Powered by: {GOLD}Grass and hay {}{SILVER}The power of a horse-drawn train can easily be doubled by the expedient addition of a second horse.</v>
      </c>
    </row>
    <row r="92" spans="1:80" x14ac:dyDescent="0.3">
      <c r="A92" t="s">
        <v>1384</v>
      </c>
      <c r="B92" t="s">
        <v>1385</v>
      </c>
      <c r="C92">
        <v>151</v>
      </c>
      <c r="D92" t="s">
        <v>263</v>
      </c>
      <c r="E92" t="s">
        <v>272</v>
      </c>
      <c r="F92" t="s">
        <v>1381</v>
      </c>
      <c r="G92">
        <v>1813</v>
      </c>
      <c r="I92">
        <v>1862</v>
      </c>
      <c r="K92">
        <v>15</v>
      </c>
      <c r="M92" s="5">
        <v>9</v>
      </c>
      <c r="N92" s="5">
        <v>36</v>
      </c>
      <c r="O92" s="5">
        <v>2</v>
      </c>
      <c r="P92" s="5">
        <v>50</v>
      </c>
      <c r="Q92" s="6">
        <f>((($Y92/2)/60)*5280)/($R92*3.2*PI())</f>
        <v>60.788346319821144</v>
      </c>
      <c r="R92" s="5">
        <v>1.44</v>
      </c>
      <c r="S92" s="5">
        <f>((($M92*$M92/4)*PI())*($N92/12)*$O92*$P92*$Q92)/(33000*1.1)</f>
        <v>31.96022727272728</v>
      </c>
      <c r="T92">
        <v>4</v>
      </c>
      <c r="U92" s="8">
        <v>3</v>
      </c>
      <c r="W92">
        <v>7</v>
      </c>
      <c r="X92" s="3">
        <f t="shared" si="19"/>
        <v>0.1</v>
      </c>
      <c r="Y92">
        <v>20</v>
      </c>
      <c r="Z92">
        <f t="shared" si="34"/>
        <v>32</v>
      </c>
      <c r="AD92">
        <v>6</v>
      </c>
      <c r="AG92" s="10">
        <v>0</v>
      </c>
      <c r="AH92" t="str">
        <f>CONCATENATE(VLOOKUP(AI92, 'Voxel Sizes'!$A$2:$B$18,2,FALSE),"x",INT(AE92*15), "x", INT(AF92*15))</f>
        <v>60x0x0</v>
      </c>
      <c r="AI92">
        <f t="shared" si="20"/>
        <v>4</v>
      </c>
      <c r="AJ92" t="s">
        <v>1383</v>
      </c>
      <c r="AK92" t="str">
        <f>CONCATENATE(VLOOKUP(AI92,Constants!$A$2:$C$16,IF(AJ92&lt;&gt;"", 3, 2), FALSE),IF(AJ92&lt;&gt;"",CONCATENATE(",",VLOOKUP(AJ92,$B:$AK,36,FALSE)),""))</f>
        <v>1,2,1,1,2,1</v>
      </c>
      <c r="AU92">
        <v>28</v>
      </c>
      <c r="AV92" s="15">
        <f t="shared" si="21"/>
        <v>57</v>
      </c>
      <c r="AW92">
        <v>-35</v>
      </c>
      <c r="AX92">
        <v>-12</v>
      </c>
      <c r="AY92">
        <f t="shared" si="22"/>
        <v>4</v>
      </c>
      <c r="AZ92">
        <f t="shared" si="23"/>
        <v>7.4999999999999997E-2</v>
      </c>
      <c r="BA92">
        <f t="shared" si="24"/>
        <v>0.35000000000000003</v>
      </c>
      <c r="BB92" s="3">
        <f t="shared" si="25"/>
        <v>1</v>
      </c>
      <c r="BC92">
        <f t="shared" si="26"/>
        <v>0</v>
      </c>
      <c r="BD92">
        <f>VLOOKUP($E92,Constants!$I:$K, 2, FALSE)</f>
        <v>1.1499999999999999</v>
      </c>
      <c r="BE92">
        <f>VLOOKUP($E92,Constants!$I:$K, 3, FALSE)*IF(AND(D92="multiple_unit",Y92&lt;110),0.75,1)</f>
        <v>1.7</v>
      </c>
      <c r="BF92">
        <f>INT(POWER(((Constants!$G$2+$AY92+$AZ92+$BA92+$BC92)*$BB92)*$BE92, 1.05))+$AX92</f>
        <v>6</v>
      </c>
      <c r="BG92">
        <f>INT(POWER((((Constants!$G$1+$AY92+$AZ92+$BA92+$BC92)*($BB92))*$BD92),IF($D92="wagon",1,1.2)))+$AW92</f>
        <v>6</v>
      </c>
      <c r="BH92" s="14">
        <f t="shared" si="27"/>
        <v>4687.5</v>
      </c>
      <c r="BI92" s="14">
        <f t="shared" si="28"/>
        <v>487.5</v>
      </c>
      <c r="BP92">
        <v>3</v>
      </c>
      <c r="BT92" t="str">
        <f>VLOOKUP(G92,Eras!$A$2:$C$10, 2, TRUE)</f>
        <v>early</v>
      </c>
      <c r="BU92" t="s">
        <v>327</v>
      </c>
      <c r="BV92" t="str">
        <f t="shared" si="29"/>
        <v>early_Mixed Traffic</v>
      </c>
      <c r="BW92" t="str">
        <f t="shared" si="30"/>
        <v>steam_PLATEWAY</v>
      </c>
      <c r="BX92" t="str">
        <f>VLOOKUP($BW92, Constants!$M:$N, 2, FALSE)</f>
        <v>{BLACK}Powered by: {GOLD}Steam</v>
      </c>
      <c r="BY92" t="str">
        <f t="shared" si="31"/>
        <v/>
      </c>
      <c r="BZ92" t="s">
        <v>1388</v>
      </c>
      <c r="CA92" t="str">
        <f t="shared" si="32"/>
        <v/>
      </c>
      <c r="CB92" t="str">
        <f t="shared" si="33"/>
        <v>{BLACK}Powered by: {GOLD}Steam {}{SILVER}Puffing Billy was the first steam locomotive to operate by the adhesion of the wheels alone, all previous locomotives using a rack by the railside. The real version was very slow, capable only of walking speeds.</v>
      </c>
    </row>
    <row r="93" spans="1:80" x14ac:dyDescent="0.3">
      <c r="A93" t="s">
        <v>1398</v>
      </c>
      <c r="B93" t="s">
        <v>1399</v>
      </c>
      <c r="C93">
        <v>152</v>
      </c>
      <c r="D93" t="s">
        <v>1399</v>
      </c>
      <c r="E93" t="s">
        <v>1392</v>
      </c>
      <c r="F93" t="s">
        <v>1381</v>
      </c>
      <c r="G93">
        <v>1829</v>
      </c>
      <c r="I93">
        <v>1842</v>
      </c>
      <c r="K93">
        <v>10</v>
      </c>
      <c r="Q93" s="6"/>
      <c r="T93">
        <v>3</v>
      </c>
      <c r="W93">
        <v>8</v>
      </c>
      <c r="X93" s="3">
        <f t="shared" si="19"/>
        <v>0.26666666666666666</v>
      </c>
      <c r="Y93">
        <v>22</v>
      </c>
      <c r="Z93">
        <f t="shared" si="34"/>
        <v>35</v>
      </c>
      <c r="AD93">
        <v>8</v>
      </c>
      <c r="AG93" s="10">
        <v>0</v>
      </c>
      <c r="AH93" t="str">
        <f>CONCATENATE(VLOOKUP(AI93, 'Voxel Sizes'!$A$2:$B$18,2,FALSE),"x",INT(AE93*15), "x", INT(AF93*15))</f>
        <v>82x0x0</v>
      </c>
      <c r="AI93">
        <f t="shared" si="20"/>
        <v>5</v>
      </c>
      <c r="AK93" t="str">
        <f>CONCATENATE(VLOOKUP(AI93,Constants!$A$2:$C$16,IF(AJ93&lt;&gt;"", 3, 2), FALSE),IF(AJ93&lt;&gt;"",CONCATENATE(",",VLOOKUP(AJ93,$B:$AK,36,FALSE)),""))</f>
        <v>2,1,2</v>
      </c>
      <c r="AS93">
        <v>1</v>
      </c>
      <c r="AU93">
        <v>12</v>
      </c>
      <c r="AV93" s="15">
        <f t="shared" si="21"/>
        <v>21</v>
      </c>
      <c r="AW93">
        <v>-13</v>
      </c>
      <c r="AX93">
        <v>-1</v>
      </c>
      <c r="AY93">
        <f t="shared" si="22"/>
        <v>4.4000000000000004</v>
      </c>
      <c r="AZ93">
        <f t="shared" si="23"/>
        <v>0.05</v>
      </c>
      <c r="BA93">
        <f t="shared" si="24"/>
        <v>0.4</v>
      </c>
      <c r="BB93" s="3">
        <f t="shared" si="25"/>
        <v>1</v>
      </c>
      <c r="BC93">
        <f t="shared" si="26"/>
        <v>0</v>
      </c>
      <c r="BD93">
        <f>VLOOKUP($E93,Constants!$I:$K, 2, FALSE)</f>
        <v>0.5</v>
      </c>
      <c r="BE93">
        <f>VLOOKUP($E93,Constants!$I:$K, 3, FALSE)*IF(AND(D93="multiple_unit",Y93&lt;110),0.75,1)</f>
        <v>0.5</v>
      </c>
      <c r="BF93">
        <f>INT(POWER(((Constants!$G$2+$AY93+$AZ93+$BA93+$BC93)*$BB93)*$BE93, 1.05))+$AX93</f>
        <v>4</v>
      </c>
      <c r="BG93">
        <f>INT(POWER((((Constants!$G$1+$AY93+$AZ93+$BA93+$BC93)*($BB93))*$BD93),IF($D93="wagon",1,1.2)))+$AW93</f>
        <v>2</v>
      </c>
      <c r="BH93" s="14">
        <f t="shared" si="27"/>
        <v>3125</v>
      </c>
      <c r="BI93" s="14">
        <f t="shared" si="28"/>
        <v>162.5</v>
      </c>
      <c r="BP93">
        <v>3</v>
      </c>
      <c r="BT93" t="str">
        <f>VLOOKUP(G93,Eras!$A$2:$C$10, 2, TRUE)</f>
        <v>early</v>
      </c>
      <c r="BU93" t="s">
        <v>327</v>
      </c>
      <c r="BV93" t="str">
        <f t="shared" si="29"/>
        <v>early_Mixed Traffic</v>
      </c>
      <c r="BW93" t="str">
        <f t="shared" si="30"/>
        <v>horses_PLATEWAY</v>
      </c>
      <c r="BX93" t="str">
        <f>VLOOKUP($BW93, Constants!$M:$N, 2, FALSE)</f>
        <v>{BLACK}Powered by: {GOLD}Grass and hay</v>
      </c>
      <c r="BY93" t="str">
        <f t="shared" si="31"/>
        <v/>
      </c>
      <c r="BZ93" t="s">
        <v>1400</v>
      </c>
      <c r="CA93" t="str">
        <f t="shared" si="32"/>
        <v/>
      </c>
      <c r="CB93" t="str">
        <f t="shared" si="33"/>
        <v>{BLACK}Powered by: {GOLD}Grass and hay {}{SILVER}Brandreth's "Cycloped" was the only entry in the Rainhill Trials not powered by steam. Unfortunately during the trials the horse burst through the floor, withdrawing it from the competition.</v>
      </c>
    </row>
    <row r="94" spans="1:80" x14ac:dyDescent="0.3">
      <c r="A94" t="s">
        <v>1372</v>
      </c>
      <c r="B94" t="s">
        <v>1368</v>
      </c>
      <c r="C94">
        <v>153</v>
      </c>
      <c r="D94" t="s">
        <v>263</v>
      </c>
      <c r="E94" t="s">
        <v>272</v>
      </c>
      <c r="F94" t="s">
        <v>1381</v>
      </c>
      <c r="G94">
        <v>1829</v>
      </c>
      <c r="I94">
        <v>1846</v>
      </c>
      <c r="K94">
        <v>30</v>
      </c>
      <c r="M94" s="5">
        <v>8</v>
      </c>
      <c r="N94" s="5">
        <v>17</v>
      </c>
      <c r="O94" s="5">
        <v>2</v>
      </c>
      <c r="P94" s="5">
        <v>50</v>
      </c>
      <c r="Q94" s="6">
        <f t="shared" ref="Q94:Q115" si="35">((($Y94/2)/60)*5280)/($R94*3.2*PI())</f>
        <v>91.18251947973171</v>
      </c>
      <c r="R94" s="5">
        <v>1.44</v>
      </c>
      <c r="S94" s="5">
        <f t="shared" ref="S94:S115" si="36">((($M94*$M94/4)*PI())*($N94/12)*$O94*$P94*$Q94)/(33000*1.1)</f>
        <v>17.887205387205388</v>
      </c>
      <c r="T94">
        <v>4</v>
      </c>
      <c r="U94" s="8">
        <v>3</v>
      </c>
      <c r="W94">
        <v>8.5</v>
      </c>
      <c r="X94" s="3">
        <f t="shared" si="19"/>
        <v>0.12142857142857143</v>
      </c>
      <c r="Y94">
        <v>30</v>
      </c>
      <c r="Z94">
        <f t="shared" si="34"/>
        <v>48</v>
      </c>
      <c r="AD94">
        <v>6</v>
      </c>
      <c r="AG94" s="10">
        <v>0</v>
      </c>
      <c r="AH94" t="str">
        <f>CONCATENATE(VLOOKUP(AI94, 'Voxel Sizes'!$A$2:$B$18,2,FALSE),"x",INT(AE94*15), "x", INT(AF94*15))</f>
        <v>60x0x0</v>
      </c>
      <c r="AI94">
        <f t="shared" si="20"/>
        <v>4</v>
      </c>
      <c r="AJ94" t="s">
        <v>1370</v>
      </c>
      <c r="AK94" t="str">
        <f>CONCATENATE(VLOOKUP(AI94,Constants!$A$2:$C$16,IF(AJ94&lt;&gt;"", 3, 2), FALSE),IF(AJ94&lt;&gt;"",CONCATENATE(",",VLOOKUP(AJ94,$B:$AK,36,FALSE)),""))</f>
        <v>1,2,1,1,2,1</v>
      </c>
      <c r="AS94">
        <v>1</v>
      </c>
      <c r="AU94">
        <v>22</v>
      </c>
      <c r="AV94" s="15">
        <f t="shared" si="21"/>
        <v>25</v>
      </c>
      <c r="AW94">
        <v>-28</v>
      </c>
      <c r="AX94">
        <v>-12</v>
      </c>
      <c r="AY94">
        <f t="shared" si="22"/>
        <v>6</v>
      </c>
      <c r="AZ94">
        <f t="shared" si="23"/>
        <v>0.15</v>
      </c>
      <c r="BA94">
        <f t="shared" si="24"/>
        <v>0.42500000000000004</v>
      </c>
      <c r="BB94" s="3">
        <f t="shared" si="25"/>
        <v>1</v>
      </c>
      <c r="BC94">
        <f t="shared" si="26"/>
        <v>0</v>
      </c>
      <c r="BD94">
        <f>VLOOKUP($E94,Constants!$I:$K, 2, FALSE)</f>
        <v>1.1499999999999999</v>
      </c>
      <c r="BE94">
        <f>VLOOKUP($E94,Constants!$I:$K, 3, FALSE)*IF(AND(D94="multiple_unit",Y94&lt;110),0.75,1)</f>
        <v>1.7</v>
      </c>
      <c r="BF94">
        <f>INT(POWER(((Constants!$G$2+$AY94+$AZ94+$BA94+$BC94)*$BB94)*$BE94, 1.05))+$AX94</f>
        <v>10</v>
      </c>
      <c r="BG94">
        <f>INT(POWER((((Constants!$G$1+$AY94+$AZ94+$BA94+$BC94)*($BB94))*$BD94),IF($D94="wagon",1,1.2)))+$AW94</f>
        <v>19</v>
      </c>
      <c r="BH94" s="14">
        <f t="shared" si="27"/>
        <v>7812.5</v>
      </c>
      <c r="BI94" s="14">
        <f t="shared" si="28"/>
        <v>1543.75</v>
      </c>
      <c r="BP94">
        <v>3</v>
      </c>
      <c r="BT94" t="str">
        <f>VLOOKUP(G94,Eras!$A$2:$C$10, 2, TRUE)</f>
        <v>early</v>
      </c>
      <c r="BU94" t="s">
        <v>327</v>
      </c>
      <c r="BV94" t="str">
        <f t="shared" si="29"/>
        <v>early_Mixed Traffic</v>
      </c>
      <c r="BW94" t="str">
        <f t="shared" si="30"/>
        <v>steam_PLATEWAY</v>
      </c>
      <c r="BX94" t="str">
        <f>VLOOKUP($BW94, Constants!$M:$N, 2, FALSE)</f>
        <v>{BLACK}Powered by: {GOLD}Steam</v>
      </c>
      <c r="BY94" t="str">
        <f t="shared" si="31"/>
        <v/>
      </c>
      <c r="BZ94" t="s">
        <v>1369</v>
      </c>
      <c r="CA94" t="str">
        <f t="shared" si="32"/>
        <v/>
      </c>
      <c r="CB94" t="str">
        <f t="shared" si="33"/>
        <v>{BLACK}Powered by: {GOLD}Steam {}{SILVER}Although not the first steam locomotive, Rocket's advanced design and success in the Rainhill trials made it the pivotal design for steam engines to replace horses on the railway.</v>
      </c>
    </row>
    <row r="95" spans="1:80" x14ac:dyDescent="0.3">
      <c r="A95" t="s">
        <v>1373</v>
      </c>
      <c r="B95" t="s">
        <v>148</v>
      </c>
      <c r="C95">
        <v>154</v>
      </c>
      <c r="D95" t="s">
        <v>263</v>
      </c>
      <c r="E95" t="s">
        <v>272</v>
      </c>
      <c r="F95" t="s">
        <v>1381</v>
      </c>
      <c r="G95">
        <v>1830</v>
      </c>
      <c r="I95">
        <v>1850</v>
      </c>
      <c r="K95">
        <v>50</v>
      </c>
      <c r="M95" s="5">
        <v>11</v>
      </c>
      <c r="N95" s="5">
        <v>16</v>
      </c>
      <c r="O95" s="5">
        <v>2</v>
      </c>
      <c r="P95" s="5">
        <v>50</v>
      </c>
      <c r="Q95" s="6">
        <f t="shared" si="35"/>
        <v>100.78067942496661</v>
      </c>
      <c r="R95" s="5">
        <v>1.52</v>
      </c>
      <c r="S95" s="5">
        <f t="shared" si="36"/>
        <v>35.179093567251456</v>
      </c>
      <c r="T95">
        <v>4.3</v>
      </c>
      <c r="U95" s="8">
        <v>3</v>
      </c>
      <c r="W95">
        <v>8.5</v>
      </c>
      <c r="X95" s="3">
        <f t="shared" si="19"/>
        <v>0.11643835616438356</v>
      </c>
      <c r="Y95">
        <v>35</v>
      </c>
      <c r="Z95">
        <f t="shared" si="34"/>
        <v>56</v>
      </c>
      <c r="AD95">
        <v>6</v>
      </c>
      <c r="AG95" s="10">
        <v>0</v>
      </c>
      <c r="AH95" t="str">
        <f>CONCATENATE(VLOOKUP(AI95, 'Voxel Sizes'!$A$2:$B$18,2,FALSE),"x",INT(AE95*15), "x", INT(AF95*15))</f>
        <v>60x0x0</v>
      </c>
      <c r="AI95">
        <f t="shared" si="20"/>
        <v>4</v>
      </c>
      <c r="AJ95" t="s">
        <v>1364</v>
      </c>
      <c r="AK95" t="str">
        <f>CONCATENATE(VLOOKUP(AI95,Constants!$A$2:$C$16,IF(AJ95&lt;&gt;"", 3, 2), FALSE),IF(AJ95&lt;&gt;"",CONCATENATE(",",VLOOKUP(AJ95,$B:$AK,36,FALSE)),""))</f>
        <v>1,2,1,1,2,1</v>
      </c>
      <c r="AU95">
        <v>26</v>
      </c>
      <c r="AV95" s="15">
        <f t="shared" si="21"/>
        <v>28</v>
      </c>
      <c r="AW95">
        <v>-24</v>
      </c>
      <c r="AX95">
        <v>-12</v>
      </c>
      <c r="AY95">
        <f t="shared" si="22"/>
        <v>7</v>
      </c>
      <c r="AZ95">
        <f t="shared" si="23"/>
        <v>0.25</v>
      </c>
      <c r="BA95">
        <f t="shared" si="24"/>
        <v>0.42500000000000004</v>
      </c>
      <c r="BB95" s="3">
        <f t="shared" si="25"/>
        <v>1</v>
      </c>
      <c r="BC95">
        <f t="shared" si="26"/>
        <v>0</v>
      </c>
      <c r="BD95">
        <f>VLOOKUP($E95,Constants!$I:$K, 2, FALSE)</f>
        <v>1.1499999999999999</v>
      </c>
      <c r="BE95">
        <f>VLOOKUP($E95,Constants!$I:$K, 3, FALSE)*IF(AND(D95="multiple_unit",Y95&lt;110),0.75,1)</f>
        <v>1.7</v>
      </c>
      <c r="BF95">
        <f>INT(POWER(((Constants!$G$2+$AY95+$AZ95+$BA95+$BC95)*$BB95)*$BE95, 1.05))+$AX95</f>
        <v>13</v>
      </c>
      <c r="BG95">
        <f>INT(POWER((((Constants!$G$1+$AY95+$AZ95+$BA95+$BC95)*($BB95))*$BD95),IF($D95="wagon",1,1.2)))+$AW95</f>
        <v>26</v>
      </c>
      <c r="BH95" s="14">
        <f t="shared" si="27"/>
        <v>10156.25</v>
      </c>
      <c r="BI95" s="14">
        <f t="shared" si="28"/>
        <v>2112.5</v>
      </c>
      <c r="BP95">
        <v>9</v>
      </c>
      <c r="BT95" t="str">
        <f>VLOOKUP(G95,Eras!$A$2:$C$10, 2, TRUE)</f>
        <v>early</v>
      </c>
      <c r="BU95" t="s">
        <v>327</v>
      </c>
      <c r="BV95" t="str">
        <f t="shared" si="29"/>
        <v>early_Mixed Traffic</v>
      </c>
      <c r="BW95" t="str">
        <f t="shared" si="30"/>
        <v>steam_PLATEWAY</v>
      </c>
      <c r="BX95" t="str">
        <f>VLOOKUP($BW95, Constants!$M:$N, 2, FALSE)</f>
        <v>{BLACK}Powered by: {GOLD}Steam</v>
      </c>
      <c r="BY95" t="str">
        <f t="shared" si="31"/>
        <v/>
      </c>
      <c r="BZ95" t="s">
        <v>1365</v>
      </c>
      <c r="CA95" t="str">
        <f t="shared" si="32"/>
        <v/>
      </c>
      <c r="CB95" t="str">
        <f t="shared" si="33"/>
        <v>{BLACK}Powered by: {GOLD}Steam {}{SILVER}Stephenson's "Planet" locomotives made several improvements to the Rocket design, including being the first locomotive to feature cylinders inside the frame.</v>
      </c>
    </row>
    <row r="96" spans="1:80" x14ac:dyDescent="0.3">
      <c r="A96" t="s">
        <v>1374</v>
      </c>
      <c r="B96" t="s">
        <v>1366</v>
      </c>
      <c r="C96">
        <v>155</v>
      </c>
      <c r="D96" t="s">
        <v>263</v>
      </c>
      <c r="E96" t="s">
        <v>272</v>
      </c>
      <c r="F96" t="s">
        <v>275</v>
      </c>
      <c r="G96">
        <v>1833</v>
      </c>
      <c r="I96">
        <v>1865</v>
      </c>
      <c r="K96">
        <v>75</v>
      </c>
      <c r="M96" s="5">
        <v>11</v>
      </c>
      <c r="N96" s="5">
        <v>16</v>
      </c>
      <c r="O96" s="5">
        <v>2</v>
      </c>
      <c r="P96" s="5">
        <v>50</v>
      </c>
      <c r="Q96" s="6">
        <f t="shared" si="35"/>
        <v>109.41902337567804</v>
      </c>
      <c r="R96" s="5">
        <v>1.52</v>
      </c>
      <c r="S96" s="5">
        <f t="shared" si="36"/>
        <v>38.194444444444443</v>
      </c>
      <c r="T96">
        <v>5</v>
      </c>
      <c r="U96" s="8">
        <v>3</v>
      </c>
      <c r="W96">
        <v>11</v>
      </c>
      <c r="X96" s="3">
        <f t="shared" si="19"/>
        <v>0.13750000000000001</v>
      </c>
      <c r="Y96">
        <v>38</v>
      </c>
      <c r="Z96">
        <f t="shared" si="34"/>
        <v>61</v>
      </c>
      <c r="AD96">
        <v>8</v>
      </c>
      <c r="AG96" s="10">
        <v>0</v>
      </c>
      <c r="AH96" t="str">
        <f>CONCATENATE(VLOOKUP(AI96, 'Voxel Sizes'!$A$2:$B$18,2,FALSE),"x",INT(AE96*15), "x", INT(AF96*15))</f>
        <v>82x0x0</v>
      </c>
      <c r="AI96">
        <f t="shared" si="20"/>
        <v>5</v>
      </c>
      <c r="AJ96" t="s">
        <v>1364</v>
      </c>
      <c r="AK96" t="str">
        <f>CONCATENATE(VLOOKUP(AI96,Constants!$A$2:$C$16,IF(AJ96&lt;&gt;"", 3, 2), FALSE),IF(AJ96&lt;&gt;"",CONCATENATE(",",VLOOKUP(AJ96,$B:$AK,36,FALSE)),""))</f>
        <v>2,1,2,1,2,1</v>
      </c>
      <c r="AU96">
        <v>28</v>
      </c>
      <c r="AV96" s="15">
        <f t="shared" si="21"/>
        <v>40</v>
      </c>
      <c r="AW96">
        <v>-16</v>
      </c>
      <c r="AX96">
        <v>-10</v>
      </c>
      <c r="AY96">
        <f t="shared" si="22"/>
        <v>7.6000000000000005</v>
      </c>
      <c r="AZ96">
        <f t="shared" si="23"/>
        <v>0.375</v>
      </c>
      <c r="BA96">
        <f t="shared" si="24"/>
        <v>0.55000000000000004</v>
      </c>
      <c r="BB96" s="3">
        <f t="shared" si="25"/>
        <v>1</v>
      </c>
      <c r="BC96">
        <f t="shared" si="26"/>
        <v>0</v>
      </c>
      <c r="BD96">
        <f>VLOOKUP($E96,Constants!$I:$K, 2, FALSE)</f>
        <v>1.1499999999999999</v>
      </c>
      <c r="BE96">
        <f>VLOOKUP($E96,Constants!$I:$K, 3, FALSE)*IF(AND(D96="multiple_unit",Y96&lt;110),0.75,1)</f>
        <v>1.7</v>
      </c>
      <c r="BF96">
        <f>INT(POWER(((Constants!$G$2+$AY96+$AZ96+$BA96+$BC96)*$BB96)*$BE96, 1.05))+$AX96</f>
        <v>16</v>
      </c>
      <c r="BG96">
        <f>INT(POWER((((Constants!$G$1+$AY96+$AZ96+$BA96+$BC96)*($BB96))*$BD96),IF($D96="wagon",1,1.2)))+$AW96</f>
        <v>36</v>
      </c>
      <c r="BH96" s="14">
        <f t="shared" si="27"/>
        <v>12500</v>
      </c>
      <c r="BI96" s="14">
        <f t="shared" si="28"/>
        <v>2925</v>
      </c>
      <c r="BP96">
        <v>9</v>
      </c>
      <c r="BT96" t="str">
        <f>VLOOKUP(G96,Eras!$A$2:$C$10, 2, TRUE)</f>
        <v>early</v>
      </c>
      <c r="BU96" t="s">
        <v>327</v>
      </c>
      <c r="BV96" t="str">
        <f t="shared" si="29"/>
        <v>early_Mixed Traffic</v>
      </c>
      <c r="BW96" t="str">
        <f t="shared" si="30"/>
        <v>steam_RAIL</v>
      </c>
      <c r="BX96" t="str">
        <f>VLOOKUP($BW96, Constants!$M:$N, 2, FALSE)</f>
        <v>{BLACK}Powered by: {GOLD}Steam</v>
      </c>
      <c r="BY96" t="str">
        <f t="shared" si="31"/>
        <v/>
      </c>
      <c r="BZ96" t="s">
        <v>1367</v>
      </c>
      <c r="CA96" t="str">
        <f t="shared" si="32"/>
        <v/>
      </c>
      <c r="CB96" t="str">
        <f t="shared" si="33"/>
        <v>{BLACK}Powered by: {GOLD}Steam {}{SILVER}The Patentee was an enlarged version of the Planet type with an additional trailing rear axle, making it more stable and allowing a larger firebox.</v>
      </c>
    </row>
    <row r="97" spans="1:80" x14ac:dyDescent="0.3">
      <c r="A97" t="s">
        <v>124</v>
      </c>
      <c r="B97" t="s">
        <v>212</v>
      </c>
      <c r="C97">
        <v>156</v>
      </c>
      <c r="D97" t="s">
        <v>263</v>
      </c>
      <c r="E97" t="s">
        <v>272</v>
      </c>
      <c r="F97" t="s">
        <v>275</v>
      </c>
      <c r="G97">
        <v>1838</v>
      </c>
      <c r="I97">
        <v>1870</v>
      </c>
      <c r="K97">
        <v>100</v>
      </c>
      <c r="M97" s="5">
        <v>14</v>
      </c>
      <c r="N97" s="5">
        <v>18</v>
      </c>
      <c r="O97" s="5">
        <v>2</v>
      </c>
      <c r="P97" s="5">
        <v>50</v>
      </c>
      <c r="Q97" s="6">
        <f t="shared" si="35"/>
        <v>116.71362493405657</v>
      </c>
      <c r="R97" s="5">
        <v>1.5</v>
      </c>
      <c r="S97" s="5">
        <f t="shared" si="36"/>
        <v>74.242424242424235</v>
      </c>
      <c r="T97">
        <v>8</v>
      </c>
      <c r="U97" s="8">
        <v>4</v>
      </c>
      <c r="W97">
        <v>18</v>
      </c>
      <c r="X97" s="3">
        <f t="shared" si="19"/>
        <v>0.15</v>
      </c>
      <c r="Y97">
        <v>40</v>
      </c>
      <c r="Z97">
        <f t="shared" si="34"/>
        <v>64</v>
      </c>
      <c r="AD97">
        <v>8</v>
      </c>
      <c r="AG97" s="10">
        <v>0</v>
      </c>
      <c r="AH97" t="str">
        <f>CONCATENATE(VLOOKUP(AI97, 'Voxel Sizes'!$A$2:$B$18,2,FALSE),"x",INT(AE97*15), "x", INT(AF97*15))</f>
        <v>82x0x0</v>
      </c>
      <c r="AI97">
        <f t="shared" si="20"/>
        <v>5</v>
      </c>
      <c r="AJ97" t="s">
        <v>1348</v>
      </c>
      <c r="AK97" t="str">
        <f>CONCATENATE(VLOOKUP(AI97,Constants!$A$2:$C$16,IF(AJ97&lt;&gt;"", 3, 2), FALSE),IF(AJ97&lt;&gt;"",CONCATENATE(",",VLOOKUP(AJ97,$B:$AK,36,FALSE)),""))</f>
        <v>2,1,2,1,2,1</v>
      </c>
      <c r="AS97">
        <v>1</v>
      </c>
      <c r="AU97">
        <v>32</v>
      </c>
      <c r="AV97" s="15">
        <f t="shared" si="21"/>
        <v>40</v>
      </c>
      <c r="AW97">
        <v>-5</v>
      </c>
      <c r="AX97">
        <v>-8</v>
      </c>
      <c r="AY97">
        <f t="shared" si="22"/>
        <v>8</v>
      </c>
      <c r="AZ97">
        <f t="shared" si="23"/>
        <v>0.5</v>
      </c>
      <c r="BA97">
        <f t="shared" si="24"/>
        <v>0.89999999999999991</v>
      </c>
      <c r="BB97" s="3">
        <f t="shared" si="25"/>
        <v>1</v>
      </c>
      <c r="BC97">
        <f t="shared" si="26"/>
        <v>0</v>
      </c>
      <c r="BD97">
        <f>VLOOKUP($E97,Constants!$I:$K, 2, FALSE)</f>
        <v>1.1499999999999999</v>
      </c>
      <c r="BE97">
        <f>VLOOKUP($E97,Constants!$I:$K, 3, FALSE)*IF(AND(D97="multiple_unit",Y97&lt;110),0.75,1)</f>
        <v>1.7</v>
      </c>
      <c r="BF97">
        <f>INT(POWER(((Constants!$G$2+$AY97+$AZ97+$BA97+$BC97)*$BB97)*$BE97, 1.05))+$AX97</f>
        <v>20</v>
      </c>
      <c r="BG97">
        <f>INT(POWER((((Constants!$G$1+$AY97+$AZ97+$BA97+$BC97)*($BB97))*$BD97),IF($D97="wagon",1,1.2)))+$AW97</f>
        <v>49</v>
      </c>
      <c r="BH97" s="14">
        <f t="shared" si="27"/>
        <v>15625</v>
      </c>
      <c r="BI97" s="14">
        <f t="shared" si="28"/>
        <v>3981.25</v>
      </c>
      <c r="BP97">
        <v>5</v>
      </c>
      <c r="BT97" t="str">
        <f>VLOOKUP(G97,Eras!$A$2:$C$10, 2, TRUE)</f>
        <v>early</v>
      </c>
      <c r="BU97" t="s">
        <v>327</v>
      </c>
      <c r="BV97" t="str">
        <f t="shared" si="29"/>
        <v>early_Mixed Traffic</v>
      </c>
      <c r="BW97" t="str">
        <f t="shared" si="30"/>
        <v>steam_RAIL</v>
      </c>
      <c r="BX97" t="str">
        <f>VLOOKUP($BW97, Constants!$M:$N, 2, FALSE)</f>
        <v>{BLACK}Powered by: {GOLD}Steam</v>
      </c>
      <c r="BY97" t="str">
        <f t="shared" si="31"/>
        <v/>
      </c>
      <c r="BZ97" t="s">
        <v>1349</v>
      </c>
      <c r="CA97" t="str">
        <f t="shared" si="32"/>
        <v/>
      </c>
      <c r="CB97" t="str">
        <f t="shared" si="33"/>
        <v>{BLACK}Powered by: {GOLD}Steam {}{SILVER}The Liverpool and Manchester Railway's "Lion" is most famous for its appearance in the 1953 film "The Titfield Thunderbolt", in which it sustained a dent which can still be seen today.</v>
      </c>
    </row>
    <row r="98" spans="1:80" x14ac:dyDescent="0.3">
      <c r="A98" t="s">
        <v>0</v>
      </c>
      <c r="B98" t="s">
        <v>149</v>
      </c>
      <c r="C98">
        <v>160</v>
      </c>
      <c r="D98" t="s">
        <v>263</v>
      </c>
      <c r="E98" t="s">
        <v>272</v>
      </c>
      <c r="F98" t="s">
        <v>275</v>
      </c>
      <c r="G98">
        <v>1846</v>
      </c>
      <c r="I98">
        <v>1900</v>
      </c>
      <c r="K98">
        <v>250</v>
      </c>
      <c r="M98" s="5">
        <v>14</v>
      </c>
      <c r="N98" s="5">
        <v>24</v>
      </c>
      <c r="O98" s="5">
        <v>2</v>
      </c>
      <c r="P98" s="5">
        <v>110</v>
      </c>
      <c r="Q98" s="6">
        <f t="shared" si="35"/>
        <v>121.57669263964229</v>
      </c>
      <c r="R98" s="5">
        <v>1.44</v>
      </c>
      <c r="S98" s="5">
        <f t="shared" si="36"/>
        <v>226.85185185185185</v>
      </c>
      <c r="T98">
        <v>19</v>
      </c>
      <c r="U98" s="8">
        <v>11</v>
      </c>
      <c r="W98">
        <v>34</v>
      </c>
      <c r="X98" s="3">
        <f t="shared" si="19"/>
        <v>0.11333333333333333</v>
      </c>
      <c r="Y98">
        <v>40</v>
      </c>
      <c r="Z98">
        <f t="shared" si="34"/>
        <v>64</v>
      </c>
      <c r="AD98">
        <v>8</v>
      </c>
      <c r="AG98" s="10">
        <v>0</v>
      </c>
      <c r="AH98" t="str">
        <f>CONCATENATE(VLOOKUP(AI98, 'Voxel Sizes'!$A$2:$B$18,2,FALSE),"x",INT(AE98*15), "x", INT(AF98*15))</f>
        <v>82x0x0</v>
      </c>
      <c r="AI98">
        <f t="shared" si="20"/>
        <v>5</v>
      </c>
      <c r="AJ98" t="s">
        <v>1346</v>
      </c>
      <c r="AK98" t="str">
        <f>CONCATENATE(VLOOKUP(AI98,Constants!$A$2:$C$16,IF(AJ98&lt;&gt;"", 3, 2), FALSE),IF(AJ98&lt;&gt;"",CONCATENATE(",",VLOOKUP(AJ98,$B:$AK,36,FALSE)),""))</f>
        <v>2,1,2,1,2,1</v>
      </c>
      <c r="AS98">
        <v>1</v>
      </c>
      <c r="AU98">
        <v>30</v>
      </c>
      <c r="AV98" s="15">
        <f t="shared" si="21"/>
        <v>62</v>
      </c>
      <c r="AX98">
        <v>-5</v>
      </c>
      <c r="AY98">
        <f t="shared" si="22"/>
        <v>8</v>
      </c>
      <c r="AZ98">
        <f t="shared" si="23"/>
        <v>1.25</v>
      </c>
      <c r="BA98">
        <f t="shared" si="24"/>
        <v>1.7000000000000002</v>
      </c>
      <c r="BB98" s="3">
        <f t="shared" si="25"/>
        <v>1</v>
      </c>
      <c r="BC98">
        <f t="shared" si="26"/>
        <v>0</v>
      </c>
      <c r="BD98">
        <f>VLOOKUP($E98,Constants!$I:$K, 2, FALSE)</f>
        <v>1.1499999999999999</v>
      </c>
      <c r="BE98">
        <f>VLOOKUP($E98,Constants!$I:$K, 3, FALSE)*IF(AND(D98="multiple_unit",Y98&lt;110),0.75,1)</f>
        <v>1.7</v>
      </c>
      <c r="BF98">
        <f>INT(POWER(((Constants!$G$2+$AY98+$AZ98+$BA98+$BC98)*$BB98)*$BE98, 1.05))+$AX98</f>
        <v>26</v>
      </c>
      <c r="BG98">
        <f>INT(POWER((((Constants!$G$1+$AY98+$AZ98+$BA98+$BC98)*($BB98))*$BD98),IF($D98="wagon",1,1.2)))+$AW98</f>
        <v>58</v>
      </c>
      <c r="BH98" s="14">
        <f t="shared" si="27"/>
        <v>20312.5</v>
      </c>
      <c r="BI98" s="14">
        <f t="shared" si="28"/>
        <v>4712.5</v>
      </c>
      <c r="BP98">
        <v>7</v>
      </c>
      <c r="BT98" t="str">
        <f>VLOOKUP(G98,Eras!$A$2:$C$10, 2, TRUE)</f>
        <v>early</v>
      </c>
      <c r="BU98" t="s">
        <v>327</v>
      </c>
      <c r="BV98" t="str">
        <f t="shared" si="29"/>
        <v>early_Mixed Traffic</v>
      </c>
      <c r="BW98" t="str">
        <f t="shared" si="30"/>
        <v>steam_RAIL</v>
      </c>
      <c r="BX98" t="str">
        <f>VLOOKUP($BW98, Constants!$M:$N, 2, FALSE)</f>
        <v>{BLACK}Powered by: {GOLD}Steam</v>
      </c>
      <c r="BY98" t="str">
        <f t="shared" ref="BY98:BY103" si="37">IF(J98&gt;1,_xlfn.CONCAT("{BLACK}Cars: {GOLD}", J98),"")</f>
        <v/>
      </c>
      <c r="BZ98" t="s">
        <v>1344</v>
      </c>
      <c r="CA98" t="str">
        <f t="shared" ref="CA98:CA129" si="38">IF(BS98="BRAKE","{YELLOW}Speed bonus for slow wagons{}",IF(BQ98&gt;190,CONCATENATE("{YELLOW}",INT((BQ98-185)/1.85),"% Bonus for long distance travel{}"),IF(AND(BQ98&lt;180,BQ98&lt;&gt;0),CONCATENATE("{YELLOW}",INT((185-BQ98)/1.85),"% Penalty for long distance travel{}"),"")))</f>
        <v/>
      </c>
      <c r="CB98" t="str">
        <f t="shared" si="33"/>
        <v>{BLACK}Powered by: {GOLD}Steam {}{SILVER}Bury's bar frame locomotives used iron frames between the wheels to reduce weight. The "Coppernob" was named for its copper-plated firebox.</v>
      </c>
    </row>
    <row r="99" spans="1:80" x14ac:dyDescent="0.3">
      <c r="A99" t="s">
        <v>1</v>
      </c>
      <c r="B99" t="s">
        <v>150</v>
      </c>
      <c r="C99">
        <v>164</v>
      </c>
      <c r="D99" t="s">
        <v>263</v>
      </c>
      <c r="E99" t="s">
        <v>272</v>
      </c>
      <c r="F99" t="s">
        <v>275</v>
      </c>
      <c r="G99">
        <v>1847</v>
      </c>
      <c r="I99">
        <v>1885</v>
      </c>
      <c r="K99">
        <v>300</v>
      </c>
      <c r="M99" s="5">
        <v>14</v>
      </c>
      <c r="N99" s="5">
        <v>24</v>
      </c>
      <c r="O99" s="5">
        <v>2</v>
      </c>
      <c r="P99" s="5">
        <v>130</v>
      </c>
      <c r="Q99" s="6">
        <f t="shared" si="35"/>
        <v>131.30282805081364</v>
      </c>
      <c r="R99" s="5">
        <v>2</v>
      </c>
      <c r="S99" s="5">
        <f t="shared" si="36"/>
        <v>289.5454545454545</v>
      </c>
      <c r="T99">
        <v>21</v>
      </c>
      <c r="U99" s="8">
        <v>11</v>
      </c>
      <c r="W99">
        <v>28</v>
      </c>
      <c r="X99" s="3">
        <f t="shared" si="19"/>
        <v>8.7499999999999994E-2</v>
      </c>
      <c r="Y99">
        <v>60</v>
      </c>
      <c r="Z99">
        <f t="shared" si="34"/>
        <v>96</v>
      </c>
      <c r="AC99">
        <v>8</v>
      </c>
      <c r="AD99">
        <v>8</v>
      </c>
      <c r="AG99" s="10">
        <v>0</v>
      </c>
      <c r="AH99" t="str">
        <f>CONCATENATE(VLOOKUP(AI99, 'Voxel Sizes'!$A$2:$B$18,2,FALSE),"x",INT(AE99*15), "x", INT(AF99*15))</f>
        <v>82x0x0</v>
      </c>
      <c r="AI99">
        <f t="shared" si="20"/>
        <v>5</v>
      </c>
      <c r="AJ99" t="s">
        <v>1348</v>
      </c>
      <c r="AK99" t="str">
        <f>CONCATENATE(VLOOKUP(AI99,Constants!$A$2:$C$16,IF(AJ99&lt;&gt;"", 3, 2), FALSE),IF(AJ99&lt;&gt;"",CONCATENATE(",",VLOOKUP(AJ99,$B:$AK,36,FALSE)),""))</f>
        <v>2,1,2,1,2,1</v>
      </c>
      <c r="AS99">
        <v>1</v>
      </c>
      <c r="AU99">
        <v>28</v>
      </c>
      <c r="AV99" s="15">
        <f t="shared" si="21"/>
        <v>46</v>
      </c>
      <c r="AX99">
        <v>-5</v>
      </c>
      <c r="AY99">
        <f t="shared" si="22"/>
        <v>12</v>
      </c>
      <c r="AZ99">
        <f t="shared" si="23"/>
        <v>1.5</v>
      </c>
      <c r="BA99">
        <f t="shared" si="24"/>
        <v>1.4000000000000001</v>
      </c>
      <c r="BB99" s="3">
        <f t="shared" si="25"/>
        <v>1</v>
      </c>
      <c r="BC99">
        <f t="shared" si="26"/>
        <v>0</v>
      </c>
      <c r="BD99">
        <f>VLOOKUP($E99,Constants!$I:$K, 2, FALSE)</f>
        <v>1.1499999999999999</v>
      </c>
      <c r="BE99">
        <f>VLOOKUP($E99,Constants!$I:$K, 3, FALSE)*IF(AND(D99="multiple_unit",Y99&lt;110),0.75,1)</f>
        <v>1.7</v>
      </c>
      <c r="BF99">
        <f>INT(POWER(((Constants!$G$2+$AY99+$AZ99+$BA99+$BC99)*$BB99)*$BE99, 1.05))+$AX99</f>
        <v>35</v>
      </c>
      <c r="BG99">
        <f>INT(POWER((((Constants!$G$1+$AY99+$AZ99+$BA99+$BC99)*($BB99))*$BD99),IF($D99="wagon",1,1.2)))+$AW99</f>
        <v>69</v>
      </c>
      <c r="BH99" s="14">
        <f t="shared" si="27"/>
        <v>27343.75</v>
      </c>
      <c r="BI99" s="14">
        <f t="shared" si="28"/>
        <v>5606.25</v>
      </c>
      <c r="BP99">
        <v>9</v>
      </c>
      <c r="BT99" t="str">
        <f>VLOOKUP(G99,Eras!$A$2:$C$10, 2, TRUE)</f>
        <v>early</v>
      </c>
      <c r="BU99" t="s">
        <v>328</v>
      </c>
      <c r="BV99" t="str">
        <f t="shared" si="29"/>
        <v>early_Express</v>
      </c>
      <c r="BW99" t="str">
        <f t="shared" si="30"/>
        <v>steam_RAIL</v>
      </c>
      <c r="BX99" t="str">
        <f>VLOOKUP($BW99, Constants!$M:$N, 2, FALSE)</f>
        <v>{BLACK}Powered by: {GOLD}Steam</v>
      </c>
      <c r="BY99" t="str">
        <f t="shared" si="37"/>
        <v/>
      </c>
      <c r="BZ99" t="s">
        <v>1341</v>
      </c>
      <c r="CA99" t="str">
        <f t="shared" si="38"/>
        <v/>
      </c>
      <c r="CB99" t="str">
        <f t="shared" si="33"/>
        <v>{BLACK}Powered by: {GOLD}Steam {}{SILVER}Crampton locomotives were designed for a low centre of gravity, to run at higher speeds on standard gauge track. Features included large driving wheels and an oval boiler.</v>
      </c>
    </row>
    <row r="100" spans="1:80" x14ac:dyDescent="0.3">
      <c r="A100" t="s">
        <v>2</v>
      </c>
      <c r="B100" t="s">
        <v>151</v>
      </c>
      <c r="C100">
        <v>166</v>
      </c>
      <c r="D100" t="s">
        <v>263</v>
      </c>
      <c r="E100" t="s">
        <v>272</v>
      </c>
      <c r="F100" t="s">
        <v>275</v>
      </c>
      <c r="G100">
        <v>1852</v>
      </c>
      <c r="I100">
        <v>1923</v>
      </c>
      <c r="K100">
        <v>500</v>
      </c>
      <c r="M100" s="5">
        <v>17</v>
      </c>
      <c r="N100" s="5">
        <v>26</v>
      </c>
      <c r="O100" s="5">
        <v>2</v>
      </c>
      <c r="P100" s="5">
        <v>140</v>
      </c>
      <c r="Q100" s="6">
        <f t="shared" si="35"/>
        <v>145.89203116757071</v>
      </c>
      <c r="R100" s="5">
        <v>1.5</v>
      </c>
      <c r="S100" s="5">
        <f t="shared" si="36"/>
        <v>553.43013468013453</v>
      </c>
      <c r="T100">
        <v>36</v>
      </c>
      <c r="U100" s="8">
        <v>22.5</v>
      </c>
      <c r="W100">
        <v>65</v>
      </c>
      <c r="X100" s="3">
        <f t="shared" si="19"/>
        <v>0.1111111111111111</v>
      </c>
      <c r="Y100">
        <v>50</v>
      </c>
      <c r="Z100">
        <f t="shared" si="34"/>
        <v>80</v>
      </c>
      <c r="AD100">
        <v>10</v>
      </c>
      <c r="AG100" s="10">
        <v>0</v>
      </c>
      <c r="AH100" t="str">
        <f>CONCATENATE(VLOOKUP(AI100, 'Voxel Sizes'!$A$2:$B$18,2,FALSE),"x",INT(AE100*15), "x", INT(AF100*15))</f>
        <v>102x0x0</v>
      </c>
      <c r="AI100">
        <f t="shared" si="20"/>
        <v>6</v>
      </c>
      <c r="AJ100" t="s">
        <v>1343</v>
      </c>
      <c r="AK100" t="str">
        <f>CONCATENATE(VLOOKUP(AI100,Constants!$A$2:$C$16,IF(AJ100&lt;&gt;"", 3, 2), FALSE),IF(AJ100&lt;&gt;"",CONCATENATE(",",VLOOKUP(AJ100,$B:$AK,36,FALSE)),""))</f>
        <v>2,2,2,1,2,1</v>
      </c>
      <c r="AS100">
        <v>1</v>
      </c>
      <c r="AU100">
        <v>30</v>
      </c>
      <c r="AV100" s="15">
        <f t="shared" si="21"/>
        <v>79</v>
      </c>
      <c r="AY100">
        <f t="shared" si="22"/>
        <v>10</v>
      </c>
      <c r="AZ100">
        <f t="shared" si="23"/>
        <v>2.5</v>
      </c>
      <c r="BA100">
        <f t="shared" si="24"/>
        <v>3.25</v>
      </c>
      <c r="BB100" s="3">
        <f t="shared" si="25"/>
        <v>1</v>
      </c>
      <c r="BC100">
        <f t="shared" si="26"/>
        <v>0</v>
      </c>
      <c r="BD100">
        <f>VLOOKUP($E100,Constants!$I:$K, 2, FALSE)</f>
        <v>1.1499999999999999</v>
      </c>
      <c r="BE100">
        <f>VLOOKUP($E100,Constants!$I:$K, 3, FALSE)*IF(AND(D100="multiple_unit",Y100&lt;110),0.75,1)</f>
        <v>1.7</v>
      </c>
      <c r="BF100">
        <f>INT(POWER(((Constants!$G$2+$AY100+$AZ100+$BA100+$BC100)*$BB100)*$BE100, 1.05))+$AX100</f>
        <v>42</v>
      </c>
      <c r="BG100">
        <f>INT(POWER((((Constants!$G$1+$AY100+$AZ100+$BA100+$BC100)*($BB100))*$BD100),IF($D100="wagon",1,1.2)))+$AW100</f>
        <v>72</v>
      </c>
      <c r="BH100" s="14">
        <f t="shared" si="27"/>
        <v>32812.5</v>
      </c>
      <c r="BI100" s="14">
        <f t="shared" si="28"/>
        <v>5850</v>
      </c>
      <c r="BP100">
        <v>10</v>
      </c>
      <c r="BT100" t="str">
        <f>VLOOKUP(G100,Eras!$A$2:$C$10, 2, TRUE)</f>
        <v>vct</v>
      </c>
      <c r="BU100" t="s">
        <v>329</v>
      </c>
      <c r="BV100" t="str">
        <f t="shared" si="29"/>
        <v>vct_Freight</v>
      </c>
      <c r="BW100" t="str">
        <f t="shared" si="30"/>
        <v>steam_RAIL</v>
      </c>
      <c r="BX100" t="str">
        <f>VLOOKUP($BW100, Constants!$M:$N, 2, FALSE)</f>
        <v>{BLACK}Powered by: {GOLD}Steam</v>
      </c>
      <c r="BY100" t="str">
        <f t="shared" si="37"/>
        <v/>
      </c>
      <c r="BZ100" t="s">
        <v>1340</v>
      </c>
      <c r="CA100" t="str">
        <f t="shared" si="38"/>
        <v/>
      </c>
      <c r="CB100" t="str">
        <f t="shared" si="33"/>
        <v>{BLACK}Powered by: {GOLD}Steam {}{SILVER}The NER 1001 Class is typical of a "long boiler" freight engine, with a small firebox mounted behind the rear axle.</v>
      </c>
    </row>
    <row r="101" spans="1:80" x14ac:dyDescent="0.3">
      <c r="A101" t="s">
        <v>1474</v>
      </c>
      <c r="B101" t="s">
        <v>1475</v>
      </c>
      <c r="C101">
        <v>167</v>
      </c>
      <c r="D101" t="s">
        <v>263</v>
      </c>
      <c r="E101" t="s">
        <v>272</v>
      </c>
      <c r="F101" t="s">
        <v>275</v>
      </c>
      <c r="G101">
        <v>1858</v>
      </c>
      <c r="I101">
        <v>1930</v>
      </c>
      <c r="K101">
        <v>450</v>
      </c>
      <c r="M101" s="5">
        <v>17</v>
      </c>
      <c r="N101" s="5">
        <v>24</v>
      </c>
      <c r="O101" s="5">
        <v>2</v>
      </c>
      <c r="P101" s="5">
        <v>120</v>
      </c>
      <c r="Q101" s="6">
        <f t="shared" si="35"/>
        <v>111.15583327053008</v>
      </c>
      <c r="R101" s="5">
        <v>1.575</v>
      </c>
      <c r="S101" s="5">
        <f t="shared" si="36"/>
        <v>333.62193362193369</v>
      </c>
      <c r="T101">
        <v>19</v>
      </c>
      <c r="U101" s="8">
        <v>10</v>
      </c>
      <c r="W101">
        <v>51</v>
      </c>
      <c r="X101" s="3">
        <f t="shared" si="19"/>
        <v>0.17586206896551723</v>
      </c>
      <c r="Y101">
        <v>40</v>
      </c>
      <c r="Z101">
        <f t="shared" si="34"/>
        <v>64</v>
      </c>
      <c r="AD101">
        <v>10</v>
      </c>
      <c r="AG101" s="10">
        <v>0</v>
      </c>
      <c r="AH101" t="str">
        <f>CONCATENATE(VLOOKUP(AI101, 'Voxel Sizes'!$A$2:$B$18,2,FALSE),"x",INT(AE101*15), "x", INT(AF101*15))</f>
        <v>102x0x0</v>
      </c>
      <c r="AI101">
        <f t="shared" si="20"/>
        <v>6</v>
      </c>
      <c r="AJ101" t="s">
        <v>1477</v>
      </c>
      <c r="AK101" t="str">
        <f>CONCATENATE(VLOOKUP(AI101,Constants!$A$2:$C$16,IF(AJ101&lt;&gt;"", 3, 2), FALSE),IF(AJ101&lt;&gt;"",CONCATENATE(",",VLOOKUP(AJ101,$B:$AK,36,FALSE)),""))</f>
        <v>2,2,2,1,2,1</v>
      </c>
      <c r="AS101">
        <v>1</v>
      </c>
      <c r="AU101">
        <v>31</v>
      </c>
      <c r="AV101" s="15">
        <f t="shared" si="21"/>
        <v>80</v>
      </c>
      <c r="AY101">
        <f t="shared" si="22"/>
        <v>8</v>
      </c>
      <c r="AZ101">
        <f t="shared" si="23"/>
        <v>2.25</v>
      </c>
      <c r="BA101">
        <f t="shared" si="24"/>
        <v>2.5499999999999998</v>
      </c>
      <c r="BB101" s="3">
        <f t="shared" si="25"/>
        <v>1</v>
      </c>
      <c r="BC101">
        <f t="shared" si="26"/>
        <v>0</v>
      </c>
      <c r="BD101">
        <f>VLOOKUP($E101,Constants!$I:$K, 2, FALSE)</f>
        <v>1.1499999999999999</v>
      </c>
      <c r="BE101">
        <f>VLOOKUP($E101,Constants!$I:$K, 3, FALSE)*IF(AND(D101="multiple_unit",Y101&lt;110),0.75,1)</f>
        <v>1.7</v>
      </c>
      <c r="BF101">
        <f>INT(POWER(((Constants!$G$2+$AY101+$AZ101+$BA101+$BC101)*$BB101)*$BE101, 1.05))+$AX101</f>
        <v>35</v>
      </c>
      <c r="BG101">
        <f>INT(POWER((((Constants!$G$1+$AY101+$AZ101+$BA101+$BC101)*($BB101))*$BD101),IF($D101="wagon",1,1.2)))+$AW101</f>
        <v>63</v>
      </c>
      <c r="BH101" s="14">
        <f t="shared" si="27"/>
        <v>27343.75</v>
      </c>
      <c r="BI101" s="14">
        <f t="shared" si="28"/>
        <v>5118.75</v>
      </c>
      <c r="BP101">
        <v>9</v>
      </c>
      <c r="BT101" t="str">
        <f>VLOOKUP(G101,Eras!$A$2:$C$10, 2, TRUE)</f>
        <v>vct</v>
      </c>
      <c r="BU101" t="s">
        <v>328</v>
      </c>
      <c r="BV101" t="str">
        <f t="shared" si="29"/>
        <v>vct_Express</v>
      </c>
      <c r="BW101" t="str">
        <f t="shared" si="30"/>
        <v>steam_RAIL</v>
      </c>
      <c r="BX101" t="str">
        <f>VLOOKUP($BW101, Constants!$M:$N, 2, FALSE)</f>
        <v>{BLACK}Powered by: {GOLD}Steam</v>
      </c>
      <c r="BY101" t="str">
        <f t="shared" si="37"/>
        <v/>
      </c>
      <c r="BZ101" t="s">
        <v>1476</v>
      </c>
      <c r="CA101" t="str">
        <f t="shared" si="38"/>
        <v/>
      </c>
      <c r="CB101" t="str">
        <f t="shared" si="33"/>
        <v>{BLACK}Powered by: {GOLD}Steam {}{SILVER}More LNWR DX Goods locomotives were produced than any other steam locomotive class: 943 in total.</v>
      </c>
    </row>
    <row r="102" spans="1:80" x14ac:dyDescent="0.3">
      <c r="A102" t="s">
        <v>3</v>
      </c>
      <c r="B102" t="s">
        <v>213</v>
      </c>
      <c r="C102">
        <v>168</v>
      </c>
      <c r="D102" t="s">
        <v>263</v>
      </c>
      <c r="E102" t="s">
        <v>272</v>
      </c>
      <c r="F102" t="s">
        <v>275</v>
      </c>
      <c r="G102">
        <v>1859</v>
      </c>
      <c r="I102">
        <v>1907</v>
      </c>
      <c r="K102">
        <v>400</v>
      </c>
      <c r="M102" s="5">
        <v>16</v>
      </c>
      <c r="N102" s="5">
        <v>24</v>
      </c>
      <c r="O102" s="5">
        <v>2</v>
      </c>
      <c r="P102" s="5">
        <v>120</v>
      </c>
      <c r="Q102" s="6">
        <f t="shared" si="35"/>
        <v>134.37423923328885</v>
      </c>
      <c r="R102" s="5">
        <v>2.2799999999999998</v>
      </c>
      <c r="S102" s="5">
        <f t="shared" si="36"/>
        <v>357.25677830940992</v>
      </c>
      <c r="T102">
        <v>27.4</v>
      </c>
      <c r="U102" s="8">
        <v>15</v>
      </c>
      <c r="W102">
        <v>31</v>
      </c>
      <c r="X102" s="3">
        <f t="shared" si="19"/>
        <v>7.3113207547169809E-2</v>
      </c>
      <c r="Y102">
        <v>70</v>
      </c>
      <c r="Z102">
        <f t="shared" si="34"/>
        <v>112</v>
      </c>
      <c r="AD102">
        <v>8</v>
      </c>
      <c r="AG102" s="10">
        <v>0</v>
      </c>
      <c r="AH102" t="str">
        <f>CONCATENATE(VLOOKUP(AI102, 'Voxel Sizes'!$A$2:$B$18,2,FALSE),"x",INT(AE102*15), "x", INT(AF102*15))</f>
        <v>82x0x0</v>
      </c>
      <c r="AI102">
        <f t="shared" si="20"/>
        <v>5</v>
      </c>
      <c r="AJ102" t="s">
        <v>1348</v>
      </c>
      <c r="AK102" t="str">
        <f>CONCATENATE(VLOOKUP(AI102,Constants!$A$2:$C$16,IF(AJ102&lt;&gt;"", 3, 2), FALSE),IF(AJ102&lt;&gt;"",CONCATENATE(",",VLOOKUP(AJ102,$B:$AK,36,FALSE)),""))</f>
        <v>2,1,2,1,2,1</v>
      </c>
      <c r="AS102">
        <v>1</v>
      </c>
      <c r="AU102">
        <v>30</v>
      </c>
      <c r="AV102" s="15">
        <f t="shared" si="21"/>
        <v>56</v>
      </c>
      <c r="AW102">
        <v>5</v>
      </c>
      <c r="AX102">
        <v>6</v>
      </c>
      <c r="AY102">
        <f t="shared" si="22"/>
        <v>14</v>
      </c>
      <c r="AZ102">
        <f t="shared" si="23"/>
        <v>2</v>
      </c>
      <c r="BA102">
        <f t="shared" si="24"/>
        <v>1.55</v>
      </c>
      <c r="BB102" s="3">
        <f t="shared" si="25"/>
        <v>1</v>
      </c>
      <c r="BC102">
        <f t="shared" si="26"/>
        <v>0</v>
      </c>
      <c r="BD102">
        <f>VLOOKUP($E102,Constants!$I:$K, 2, FALSE)</f>
        <v>1.1499999999999999</v>
      </c>
      <c r="BE102">
        <f>VLOOKUP($E102,Constants!$I:$K, 3, FALSE)*IF(AND(D102="multiple_unit",Y102&lt;110),0.75,1)</f>
        <v>1.7</v>
      </c>
      <c r="BF102">
        <f>INT(POWER(((Constants!$G$2+$AY102+$AZ102+$BA102+$BC102)*$BB102)*$BE102, 1.05))+$AX102</f>
        <v>52</v>
      </c>
      <c r="BG102">
        <f>INT(POWER((((Constants!$G$1+$AY102+$AZ102+$BA102+$BC102)*($BB102))*$BD102),IF($D102="wagon",1,1.2)))+$AW102</f>
        <v>82</v>
      </c>
      <c r="BH102" s="14">
        <f t="shared" si="27"/>
        <v>40625</v>
      </c>
      <c r="BI102" s="14">
        <f t="shared" si="28"/>
        <v>6662.5</v>
      </c>
      <c r="BP102">
        <v>11</v>
      </c>
      <c r="BT102" t="str">
        <f>VLOOKUP(G102,Eras!$A$2:$C$10, 2, TRUE)</f>
        <v>vct</v>
      </c>
      <c r="BU102" t="s">
        <v>328</v>
      </c>
      <c r="BV102" t="str">
        <f t="shared" si="29"/>
        <v>vct_Express</v>
      </c>
      <c r="BW102" t="str">
        <f t="shared" si="30"/>
        <v>steam_RAIL</v>
      </c>
      <c r="BX102" t="str">
        <f>VLOOKUP($BW102, Constants!$M:$N, 2, FALSE)</f>
        <v>{BLACK}Powered by: {GOLD}Steam</v>
      </c>
      <c r="BY102" t="str">
        <f t="shared" si="37"/>
        <v/>
      </c>
      <c r="BZ102" t="s">
        <v>1401</v>
      </c>
      <c r="CA102" t="str">
        <f t="shared" si="38"/>
        <v/>
      </c>
      <c r="CB102" t="str">
        <f t="shared" si="33"/>
        <v>{BLACK}Powered by: {GOLD}Steam {}{SILVER}Cast iron coupling rods could not withstand high speeds, so early express locomotives used a large single driving wheel to reduce valve gear speeds.</v>
      </c>
    </row>
    <row r="103" spans="1:80" x14ac:dyDescent="0.3">
      <c r="A103" t="s">
        <v>10</v>
      </c>
      <c r="B103" t="s">
        <v>152</v>
      </c>
      <c r="C103">
        <v>170</v>
      </c>
      <c r="D103" t="s">
        <v>263</v>
      </c>
      <c r="E103" t="s">
        <v>272</v>
      </c>
      <c r="F103" t="s">
        <v>275</v>
      </c>
      <c r="G103">
        <v>1868</v>
      </c>
      <c r="I103">
        <v>1945</v>
      </c>
      <c r="K103">
        <v>350</v>
      </c>
      <c r="M103" s="5">
        <v>15</v>
      </c>
      <c r="N103" s="5">
        <v>24</v>
      </c>
      <c r="O103" s="5">
        <v>2</v>
      </c>
      <c r="P103" s="5">
        <v>150</v>
      </c>
      <c r="Q103" s="6">
        <f t="shared" si="35"/>
        <v>116.71362493405657</v>
      </c>
      <c r="R103" s="5">
        <v>1.5</v>
      </c>
      <c r="S103" s="5">
        <f t="shared" si="36"/>
        <v>340.90909090909088</v>
      </c>
      <c r="T103">
        <v>35.799999999999997</v>
      </c>
      <c r="W103">
        <v>65</v>
      </c>
      <c r="X103" s="3">
        <f t="shared" si="19"/>
        <v>0.18156424581005587</v>
      </c>
      <c r="Y103">
        <v>40</v>
      </c>
      <c r="Z103">
        <f t="shared" si="34"/>
        <v>64</v>
      </c>
      <c r="AC103">
        <v>8.65</v>
      </c>
      <c r="AD103">
        <v>8.65</v>
      </c>
      <c r="AF103">
        <v>3.7</v>
      </c>
      <c r="AG103" s="10">
        <v>0</v>
      </c>
      <c r="AH103" t="str">
        <f>CONCATENATE(VLOOKUP(AI103, 'Voxel Sizes'!$A$2:$B$18,2,FALSE),"x",INT(AE103*15), "x", INT(AF103*15))</f>
        <v>82x0x55</v>
      </c>
      <c r="AI103">
        <f t="shared" si="20"/>
        <v>5</v>
      </c>
      <c r="AK103" t="str">
        <f>CONCATENATE(VLOOKUP(AI103,Constants!$A$2:$C$16,IF(AJ103&lt;&gt;"", 3, 2), FALSE),IF(AJ103&lt;&gt;"",CONCATENATE(",",VLOOKUP(AJ103,$B:$AK,36,FALSE)),""))</f>
        <v>2,1,2</v>
      </c>
      <c r="AS103">
        <v>1</v>
      </c>
      <c r="AU103">
        <v>30</v>
      </c>
      <c r="AV103" s="15">
        <f t="shared" si="21"/>
        <v>85</v>
      </c>
      <c r="AY103">
        <f t="shared" si="22"/>
        <v>8</v>
      </c>
      <c r="AZ103">
        <f t="shared" si="23"/>
        <v>1.75</v>
      </c>
      <c r="BA103">
        <f t="shared" si="24"/>
        <v>3.25</v>
      </c>
      <c r="BB103" s="3">
        <f t="shared" si="25"/>
        <v>1</v>
      </c>
      <c r="BC103">
        <f t="shared" si="26"/>
        <v>0</v>
      </c>
      <c r="BD103">
        <f>VLOOKUP($E103,Constants!$I:$K, 2, FALSE)</f>
        <v>1.1499999999999999</v>
      </c>
      <c r="BE103">
        <f>VLOOKUP($E103,Constants!$I:$K, 3, FALSE)*IF(AND(D103="multiple_unit",Y103&lt;110),0.75,1)</f>
        <v>1.7</v>
      </c>
      <c r="BF103">
        <f>INT(POWER(((Constants!$G$2+$AY103+$AZ103+$BA103+$BC103)*$BB103)*$BE103, 1.05))+$AX103</f>
        <v>36</v>
      </c>
      <c r="BG103">
        <f>INT(POWER((((Constants!$G$1+$AY103+$AZ103+$BA103+$BC103)*($BB103))*$BD103),IF($D103="wagon",1,1.2)))+$AW103</f>
        <v>64</v>
      </c>
      <c r="BH103" s="14">
        <f t="shared" si="27"/>
        <v>28125</v>
      </c>
      <c r="BI103" s="14">
        <f t="shared" si="28"/>
        <v>5200</v>
      </c>
      <c r="BP103">
        <v>12</v>
      </c>
      <c r="BT103" t="str">
        <f>VLOOKUP(G103,Eras!$A$2:$C$10, 2, TRUE)</f>
        <v>vct</v>
      </c>
      <c r="BU103" t="s">
        <v>327</v>
      </c>
      <c r="BV103" t="str">
        <f t="shared" si="29"/>
        <v>vct_Mixed Traffic</v>
      </c>
      <c r="BW103" t="str">
        <f t="shared" si="30"/>
        <v>steam_RAIL</v>
      </c>
      <c r="BX103" t="str">
        <f>VLOOKUP($BW103, Constants!$M:$N, 2, FALSE)</f>
        <v>{BLACK}Powered by: {GOLD}Steam</v>
      </c>
      <c r="BY103" t="str">
        <f t="shared" si="37"/>
        <v/>
      </c>
      <c r="BZ103" t="s">
        <v>1339</v>
      </c>
      <c r="CA103" t="str">
        <f t="shared" si="38"/>
        <v/>
      </c>
      <c r="CB103" t="str">
        <f t="shared" si="33"/>
        <v>{BLACK}Powered by: {GOLD}Steam {}{SILVER}The GWR 517 class encompassed a variety of 0-4-2 side tank engines, some having been rebuilt from existing saddle tanks.</v>
      </c>
    </row>
    <row r="104" spans="1:80" x14ac:dyDescent="0.3">
      <c r="A104" t="s">
        <v>1471</v>
      </c>
      <c r="B104" t="s">
        <v>1472</v>
      </c>
      <c r="C104">
        <v>171</v>
      </c>
      <c r="D104" t="s">
        <v>263</v>
      </c>
      <c r="E104" t="s">
        <v>272</v>
      </c>
      <c r="F104" t="s">
        <v>275</v>
      </c>
      <c r="G104">
        <v>1869</v>
      </c>
      <c r="I104">
        <v>1951</v>
      </c>
      <c r="K104">
        <v>480</v>
      </c>
      <c r="M104" s="5">
        <v>17</v>
      </c>
      <c r="N104" s="5">
        <v>24</v>
      </c>
      <c r="O104" s="5">
        <v>2</v>
      </c>
      <c r="P104" s="5">
        <v>140</v>
      </c>
      <c r="Q104" s="6">
        <f t="shared" si="35"/>
        <v>138.5050928806051</v>
      </c>
      <c r="R104" s="5">
        <v>1.58</v>
      </c>
      <c r="S104" s="5">
        <f t="shared" si="36"/>
        <v>484.99232834675865</v>
      </c>
      <c r="T104">
        <v>36.6</v>
      </c>
      <c r="U104" s="8">
        <v>16</v>
      </c>
      <c r="W104">
        <v>72</v>
      </c>
      <c r="X104" s="3">
        <f t="shared" si="19"/>
        <v>0.13688212927756654</v>
      </c>
      <c r="Y104">
        <v>50</v>
      </c>
      <c r="Z104">
        <f t="shared" si="34"/>
        <v>80</v>
      </c>
      <c r="AD104">
        <v>10</v>
      </c>
      <c r="AG104" s="10">
        <v>0</v>
      </c>
      <c r="AH104" t="str">
        <f>CONCATENATE(VLOOKUP(AI104, 'Voxel Sizes'!$A$2:$B$18,2,FALSE),"x",INT(AE104*15), "x", INT(AF104*15))</f>
        <v>102x0x0</v>
      </c>
      <c r="AI104">
        <f t="shared" si="20"/>
        <v>6</v>
      </c>
      <c r="AJ104" t="s">
        <v>1343</v>
      </c>
      <c r="AK104" t="str">
        <f>CONCATENATE(VLOOKUP(AI104,Constants!$A$2:$C$16,IF(AJ104&lt;&gt;"", 3, 2), FALSE),IF(AJ104&lt;&gt;"",CONCATENATE(",",VLOOKUP(AJ104,$B:$AK,36,FALSE)),""))</f>
        <v>2,2,2,1,2,1</v>
      </c>
      <c r="AS104">
        <v>1</v>
      </c>
      <c r="AU104">
        <v>33</v>
      </c>
      <c r="AV104" s="15">
        <f t="shared" si="21"/>
        <v>90</v>
      </c>
      <c r="AW104">
        <v>2</v>
      </c>
      <c r="AX104">
        <v>-2</v>
      </c>
      <c r="AY104">
        <f t="shared" si="22"/>
        <v>10</v>
      </c>
      <c r="AZ104">
        <f t="shared" si="23"/>
        <v>2.4</v>
      </c>
      <c r="BA104">
        <f t="shared" si="24"/>
        <v>3.5999999999999996</v>
      </c>
      <c r="BB104" s="3">
        <f t="shared" si="25"/>
        <v>1</v>
      </c>
      <c r="BC104">
        <f t="shared" si="26"/>
        <v>0</v>
      </c>
      <c r="BD104">
        <f>VLOOKUP($E104,Constants!$I:$K, 2, FALSE)</f>
        <v>1.1499999999999999</v>
      </c>
      <c r="BE104">
        <f>VLOOKUP($E104,Constants!$I:$K, 3, FALSE)*IF(AND(D104="multiple_unit",Y104&lt;110),0.75,1)</f>
        <v>1.7</v>
      </c>
      <c r="BF104">
        <f>INT(POWER(((Constants!$G$2+$AY104+$AZ104+$BA104+$BC104)*$BB104)*$BE104, 1.05))+$AX104</f>
        <v>40</v>
      </c>
      <c r="BG104">
        <f>INT(POWER((((Constants!$G$1+$AY104+$AZ104+$BA104+$BC104)*($BB104))*$BD104),IF($D104="wagon",1,1.2)))+$AW104</f>
        <v>74</v>
      </c>
      <c r="BH104" s="14">
        <f t="shared" si="27"/>
        <v>31250</v>
      </c>
      <c r="BI104" s="14">
        <f t="shared" si="28"/>
        <v>6012.5</v>
      </c>
      <c r="BP104">
        <v>5</v>
      </c>
      <c r="BT104" t="s">
        <v>384</v>
      </c>
      <c r="BU104" t="s">
        <v>329</v>
      </c>
      <c r="BV104" t="str">
        <f t="shared" si="29"/>
        <v>vct_Freight</v>
      </c>
      <c r="BW104" t="str">
        <f t="shared" si="30"/>
        <v>steam_RAIL</v>
      </c>
      <c r="BX104" t="str">
        <f>VLOOKUP($BW104, Constants!$M:$N, 2, FALSE)</f>
        <v>{BLACK}Powered by: {GOLD}Steam</v>
      </c>
      <c r="BZ104" t="s">
        <v>1473</v>
      </c>
      <c r="CA104" t="str">
        <f t="shared" si="38"/>
        <v/>
      </c>
      <c r="CB104" t="str">
        <f t="shared" si="33"/>
        <v>{BLACK}Powered by: {GOLD}Steam {}{SILVER}The 700 class was a widely-produced freight engine. In its later years a sixth of the originally produced locomotives were sold to the Italian State Railway.</v>
      </c>
    </row>
    <row r="105" spans="1:80" x14ac:dyDescent="0.3">
      <c r="A105" t="s">
        <v>31</v>
      </c>
      <c r="B105" t="s">
        <v>214</v>
      </c>
      <c r="C105">
        <v>172</v>
      </c>
      <c r="D105" t="s">
        <v>263</v>
      </c>
      <c r="E105" t="s">
        <v>272</v>
      </c>
      <c r="F105" t="s">
        <v>275</v>
      </c>
      <c r="G105">
        <v>1872</v>
      </c>
      <c r="H105">
        <v>1880</v>
      </c>
      <c r="I105">
        <v>1963</v>
      </c>
      <c r="K105">
        <v>300</v>
      </c>
      <c r="M105" s="5">
        <v>12</v>
      </c>
      <c r="N105" s="5">
        <v>20</v>
      </c>
      <c r="O105" s="5">
        <v>2</v>
      </c>
      <c r="P105" s="5">
        <v>150</v>
      </c>
      <c r="Q105" s="6">
        <f t="shared" si="35"/>
        <v>164.12853506351709</v>
      </c>
      <c r="R105" s="5">
        <v>1.2</v>
      </c>
      <c r="S105" s="5">
        <f t="shared" si="36"/>
        <v>255.68181818181824</v>
      </c>
      <c r="T105">
        <v>28</v>
      </c>
      <c r="W105">
        <v>34</v>
      </c>
      <c r="X105" s="3">
        <f t="shared" si="19"/>
        <v>0.12142857142857143</v>
      </c>
      <c r="Y105">
        <v>45</v>
      </c>
      <c r="Z105">
        <f t="shared" si="34"/>
        <v>72</v>
      </c>
      <c r="AC105">
        <v>7.94</v>
      </c>
      <c r="AD105">
        <v>8</v>
      </c>
      <c r="AG105" s="10">
        <v>0</v>
      </c>
      <c r="AH105" t="str">
        <f>CONCATENATE(VLOOKUP(AI105, 'Voxel Sizes'!$A$2:$B$18,2,FALSE),"x",INT(AE105*15), "x", INT(AF105*15))</f>
        <v>82x0x0</v>
      </c>
      <c r="AI105">
        <f t="shared" si="20"/>
        <v>5</v>
      </c>
      <c r="AK105" t="str">
        <f>CONCATENATE(VLOOKUP(AI105,Constants!$A$2:$C$16,IF(AJ105&lt;&gt;"", 3, 2), FALSE),IF(AJ105&lt;&gt;"",CONCATENATE(",",VLOOKUP(AJ105,$B:$AK,36,FALSE)),""))</f>
        <v>2,1,2</v>
      </c>
      <c r="AS105">
        <v>1</v>
      </c>
      <c r="AU105">
        <v>35</v>
      </c>
      <c r="AV105" s="15">
        <f t="shared" si="21"/>
        <v>99</v>
      </c>
      <c r="AY105">
        <f t="shared" si="22"/>
        <v>9</v>
      </c>
      <c r="AZ105">
        <f t="shared" si="23"/>
        <v>1.5</v>
      </c>
      <c r="BA105">
        <f t="shared" si="24"/>
        <v>1.7000000000000002</v>
      </c>
      <c r="BB105" s="3">
        <f t="shared" si="25"/>
        <v>1</v>
      </c>
      <c r="BC105">
        <f t="shared" si="26"/>
        <v>0</v>
      </c>
      <c r="BD105">
        <f>VLOOKUP($E105,Constants!$I:$K, 2, FALSE)</f>
        <v>1.1499999999999999</v>
      </c>
      <c r="BE105">
        <f>VLOOKUP($E105,Constants!$I:$K, 3, FALSE)*IF(AND(D105="multiple_unit",Y105&lt;110),0.75,1)</f>
        <v>1.7</v>
      </c>
      <c r="BF105">
        <f>INT(POWER(((Constants!$G$2+$AY105+$AZ105+$BA105+$BC105)*$BB105)*$BE105, 1.05))+$AX105</f>
        <v>34</v>
      </c>
      <c r="BG105">
        <f>INT(POWER((((Constants!$G$1+$AY105+$AZ105+$BA105+$BC105)*($BB105))*$BD105),IF($D105="wagon",1,1.2)))+$AW105</f>
        <v>62</v>
      </c>
      <c r="BH105" s="14">
        <f t="shared" si="27"/>
        <v>26562.5</v>
      </c>
      <c r="BI105" s="14">
        <f t="shared" si="28"/>
        <v>5037.5</v>
      </c>
      <c r="BP105">
        <v>1</v>
      </c>
      <c r="BT105" t="str">
        <f>VLOOKUP(G105,Eras!$A$2:$C$10, 2, TRUE)</f>
        <v>vct</v>
      </c>
      <c r="BV105" t="str">
        <f t="shared" si="29"/>
        <v>vct_</v>
      </c>
      <c r="BW105" t="str">
        <f t="shared" si="30"/>
        <v>steam_RAIL</v>
      </c>
      <c r="BX105" t="str">
        <f>VLOOKUP($BW105, Constants!$M:$N, 2, FALSE)</f>
        <v>{BLACK}Powered by: {GOLD}Steam</v>
      </c>
      <c r="BY105" t="str">
        <f t="shared" ref="BY105:BY136" si="39">IF(J105&gt;1,_xlfn.CONCAT("{BLACK}Cars: {GOLD}", J105),"")</f>
        <v/>
      </c>
      <c r="BZ105" t="s">
        <v>1334</v>
      </c>
      <c r="CA105" t="str">
        <f t="shared" si="38"/>
        <v/>
      </c>
      <c r="CB105" t="str">
        <f t="shared" si="33"/>
        <v>{BLACK}Powered by: {GOLD}Steam {}{SILVER}Originally designed to operate commuter services, the small A1 tank locomotives were still used into the 1960s on the Hayling Island branch line.</v>
      </c>
    </row>
    <row r="106" spans="1:80" x14ac:dyDescent="0.3">
      <c r="A106" t="s">
        <v>1323</v>
      </c>
      <c r="B106" t="s">
        <v>1326</v>
      </c>
      <c r="C106">
        <v>173</v>
      </c>
      <c r="D106" t="s">
        <v>263</v>
      </c>
      <c r="E106" t="s">
        <v>272</v>
      </c>
      <c r="F106" t="s">
        <v>275</v>
      </c>
      <c r="G106">
        <v>1876</v>
      </c>
      <c r="I106">
        <v>1925</v>
      </c>
      <c r="K106">
        <v>750</v>
      </c>
      <c r="M106" s="5">
        <v>18</v>
      </c>
      <c r="N106" s="5">
        <v>26</v>
      </c>
      <c r="O106" s="5">
        <v>2</v>
      </c>
      <c r="P106" s="5">
        <v>165</v>
      </c>
      <c r="Q106" s="6">
        <f t="shared" si="35"/>
        <v>163.39907490767919</v>
      </c>
      <c r="R106" s="5">
        <v>1.5</v>
      </c>
      <c r="S106" s="5">
        <f t="shared" si="36"/>
        <v>818.99999999999966</v>
      </c>
      <c r="T106">
        <v>41</v>
      </c>
      <c r="U106" s="8">
        <v>40</v>
      </c>
      <c r="W106">
        <v>86</v>
      </c>
      <c r="X106" s="3">
        <f t="shared" si="19"/>
        <v>0.10617283950617284</v>
      </c>
      <c r="Y106">
        <v>56</v>
      </c>
      <c r="Z106">
        <f t="shared" si="34"/>
        <v>90</v>
      </c>
      <c r="AC106">
        <v>14.99</v>
      </c>
      <c r="AD106">
        <v>10</v>
      </c>
      <c r="AG106" s="10">
        <v>0</v>
      </c>
      <c r="AH106" t="str">
        <f>CONCATENATE(VLOOKUP(AI106, 'Voxel Sizes'!$A$2:$B$18,2,FALSE),"x",INT(AE106*15), "x", INT(AF106*15))</f>
        <v>102x0x0</v>
      </c>
      <c r="AI106">
        <f t="shared" si="20"/>
        <v>6</v>
      </c>
      <c r="AJ106" t="s">
        <v>1322</v>
      </c>
      <c r="AK106" t="str">
        <f>CONCATENATE(VLOOKUP(AI106,Constants!$A$2:$C$16,IF(AJ106&lt;&gt;"", 3, 2), FALSE),IF(AJ106&lt;&gt;"",CONCATENATE(",",VLOOKUP(AJ106,$B:$AK,36,FALSE)),""))</f>
        <v>2,2,2,2,1,2</v>
      </c>
      <c r="AS106">
        <v>1</v>
      </c>
      <c r="AU106">
        <v>32</v>
      </c>
      <c r="AV106" s="15">
        <f t="shared" si="21"/>
        <v>57</v>
      </c>
      <c r="AY106">
        <f t="shared" si="22"/>
        <v>11.200000000000001</v>
      </c>
      <c r="AZ106">
        <f t="shared" si="23"/>
        <v>3.75</v>
      </c>
      <c r="BA106">
        <f t="shared" si="24"/>
        <v>4.3</v>
      </c>
      <c r="BB106" s="3">
        <f t="shared" si="25"/>
        <v>1</v>
      </c>
      <c r="BC106">
        <f t="shared" si="26"/>
        <v>0</v>
      </c>
      <c r="BD106">
        <f>VLOOKUP($E106,Constants!$I:$K, 2, FALSE)</f>
        <v>1.1499999999999999</v>
      </c>
      <c r="BE106">
        <f>VLOOKUP($E106,Constants!$I:$K, 3, FALSE)*IF(AND(D106="multiple_unit",Y106&lt;110),0.75,1)</f>
        <v>1.7</v>
      </c>
      <c r="BF106">
        <f>INT(POWER(((Constants!$G$2+$AY106+$AZ106+$BA106+$BC106)*$BB106)*$BE106, 1.05))+$AX106</f>
        <v>49</v>
      </c>
      <c r="BG106">
        <f>INT(POWER((((Constants!$G$1+$AY106+$AZ106+$BA106+$BC106)*($BB106))*$BD106),IF($D106="wagon",1,1.2)))+$AW106</f>
        <v>82</v>
      </c>
      <c r="BH106" s="14">
        <f t="shared" si="27"/>
        <v>38281.25</v>
      </c>
      <c r="BI106" s="14">
        <f t="shared" si="28"/>
        <v>6662.5</v>
      </c>
      <c r="BP106">
        <v>4</v>
      </c>
      <c r="BT106" t="str">
        <f>VLOOKUP(G106,Eras!$A$2:$C$10, 2, TRUE)</f>
        <v>vct</v>
      </c>
      <c r="BU106" t="s">
        <v>327</v>
      </c>
      <c r="BV106" t="str">
        <f t="shared" si="29"/>
        <v>vct_Mixed Traffic</v>
      </c>
      <c r="BW106" t="str">
        <f t="shared" si="30"/>
        <v>steam_RAIL</v>
      </c>
      <c r="BX106" t="str">
        <f>VLOOKUP($BW106, Constants!$M:$N, 2, FALSE)</f>
        <v>{BLACK}Powered by: {GOLD}Steam</v>
      </c>
      <c r="BY106" t="str">
        <f t="shared" si="39"/>
        <v/>
      </c>
      <c r="BZ106" t="s">
        <v>1325</v>
      </c>
      <c r="CA106" t="str">
        <f t="shared" si="38"/>
        <v/>
      </c>
      <c r="CB106" t="str">
        <f t="shared" si="33"/>
        <v>{BLACK}Powered by: {GOLD}Steam {}{SILVER}Dugald Drummond's C Class used large (for the time) 18 inch cylinders. They survived into LNER ownership as class J32, although rebuilt to Holmes' later design by that point.</v>
      </c>
    </row>
    <row r="107" spans="1:80" x14ac:dyDescent="0.3">
      <c r="A107" t="s">
        <v>4</v>
      </c>
      <c r="B107" t="s">
        <v>153</v>
      </c>
      <c r="C107">
        <v>174</v>
      </c>
      <c r="D107" t="s">
        <v>263</v>
      </c>
      <c r="E107" t="s">
        <v>272</v>
      </c>
      <c r="F107" t="s">
        <v>275</v>
      </c>
      <c r="G107">
        <v>1883</v>
      </c>
      <c r="I107">
        <v>1957</v>
      </c>
      <c r="K107">
        <v>800</v>
      </c>
      <c r="M107" s="5">
        <v>17.5</v>
      </c>
      <c r="N107" s="5">
        <v>24</v>
      </c>
      <c r="O107" s="5">
        <v>2</v>
      </c>
      <c r="P107" s="5">
        <v>160</v>
      </c>
      <c r="Q107" s="6">
        <f t="shared" si="35"/>
        <v>189.65964051784192</v>
      </c>
      <c r="R107" s="5">
        <v>1.5</v>
      </c>
      <c r="S107" s="5">
        <f t="shared" si="36"/>
        <v>804.2929292929291</v>
      </c>
      <c r="T107">
        <f>41.6+34.3</f>
        <v>75.900000000000006</v>
      </c>
      <c r="U107" s="8">
        <v>30</v>
      </c>
      <c r="W107">
        <v>75.400000000000006</v>
      </c>
      <c r="X107" s="3">
        <f t="shared" si="19"/>
        <v>7.1199244570349388E-2</v>
      </c>
      <c r="Y107">
        <v>65</v>
      </c>
      <c r="Z107">
        <f t="shared" si="34"/>
        <v>104</v>
      </c>
      <c r="AC107">
        <v>14.4</v>
      </c>
      <c r="AD107">
        <v>10</v>
      </c>
      <c r="AG107" s="10">
        <v>0</v>
      </c>
      <c r="AH107" t="str">
        <f>CONCATENATE(VLOOKUP(AI107, 'Voxel Sizes'!$A$2:$B$18,2,FALSE),"x",INT(AE107*15), "x", INT(AF107*15))</f>
        <v>102x0x0</v>
      </c>
      <c r="AI107">
        <f t="shared" si="20"/>
        <v>6</v>
      </c>
      <c r="AJ107" t="s">
        <v>1322</v>
      </c>
      <c r="AK107" t="str">
        <f>CONCATENATE(VLOOKUP(AI107,Constants!$A$2:$C$16,IF(AJ107&lt;&gt;"", 3, 2), FALSE),IF(AJ107&lt;&gt;"",CONCATENATE(",",VLOOKUP(AJ107,$B:$AK,36,FALSE)),""))</f>
        <v>2,2,2,2,1,2</v>
      </c>
      <c r="AS107">
        <v>1</v>
      </c>
      <c r="AU107">
        <v>38</v>
      </c>
      <c r="AV107" s="15">
        <f t="shared" si="21"/>
        <v>82</v>
      </c>
      <c r="AY107">
        <f t="shared" si="22"/>
        <v>13</v>
      </c>
      <c r="AZ107">
        <f t="shared" si="23"/>
        <v>4</v>
      </c>
      <c r="BA107">
        <f t="shared" si="24"/>
        <v>3.77</v>
      </c>
      <c r="BB107" s="3">
        <f t="shared" si="25"/>
        <v>1</v>
      </c>
      <c r="BC107">
        <f t="shared" si="26"/>
        <v>0</v>
      </c>
      <c r="BD107">
        <f>VLOOKUP($E107,Constants!$I:$K, 2, FALSE)</f>
        <v>1.1499999999999999</v>
      </c>
      <c r="BE107">
        <f>VLOOKUP($E107,Constants!$I:$K, 3, FALSE)*IF(AND(D107="multiple_unit",Y107&lt;110),0.75,1)</f>
        <v>1.7</v>
      </c>
      <c r="BF107">
        <f>INT(POWER(((Constants!$G$2+$AY107+$AZ107+$BA107+$BC107)*$BB107)*$BE107, 1.05))+$AX107</f>
        <v>52</v>
      </c>
      <c r="BG107">
        <f>INT(POWER((((Constants!$G$1+$AY107+$AZ107+$BA107+$BC107)*($BB107))*$BD107),IF($D107="wagon",1,1.2)))+$AW107</f>
        <v>86</v>
      </c>
      <c r="BH107" s="14">
        <f t="shared" si="27"/>
        <v>40625</v>
      </c>
      <c r="BI107" s="14">
        <f t="shared" si="28"/>
        <v>6987.5</v>
      </c>
      <c r="BP107">
        <v>2</v>
      </c>
      <c r="BT107" t="str">
        <f>VLOOKUP(G107,Eras!$A$2:$C$10, 2, TRUE)</f>
        <v>vct</v>
      </c>
      <c r="BU107" t="s">
        <v>327</v>
      </c>
      <c r="BV107" t="str">
        <f t="shared" si="29"/>
        <v>vct_Mixed Traffic</v>
      </c>
      <c r="BW107" t="str">
        <f t="shared" si="30"/>
        <v>steam_RAIL</v>
      </c>
      <c r="BX107" t="str">
        <f>VLOOKUP($BW107, Constants!$M:$N, 2, FALSE)</f>
        <v>{BLACK}Powered by: {GOLD}Steam</v>
      </c>
      <c r="BY107" t="str">
        <f t="shared" si="39"/>
        <v/>
      </c>
      <c r="BZ107" t="s">
        <v>1481</v>
      </c>
      <c r="CA107" t="str">
        <f t="shared" si="38"/>
        <v/>
      </c>
      <c r="CB107" t="str">
        <f t="shared" si="33"/>
        <v>{BLACK}Powered by: {GOLD}Steam {}{SILVER}GER's Y14 was a highly successful design, being built in much the same form through to 1913. One was built by the Stratford works in under 10 hours.</v>
      </c>
    </row>
    <row r="108" spans="1:80" x14ac:dyDescent="0.3">
      <c r="A108" t="s">
        <v>125</v>
      </c>
      <c r="B108" t="s">
        <v>1338</v>
      </c>
      <c r="C108">
        <v>176</v>
      </c>
      <c r="D108" t="s">
        <v>263</v>
      </c>
      <c r="E108" t="s">
        <v>272</v>
      </c>
      <c r="F108" t="s">
        <v>275</v>
      </c>
      <c r="G108">
        <v>1883</v>
      </c>
      <c r="I108">
        <v>1957</v>
      </c>
      <c r="K108">
        <v>825</v>
      </c>
      <c r="M108" s="5">
        <v>17</v>
      </c>
      <c r="N108" s="5">
        <v>24</v>
      </c>
      <c r="O108" s="5">
        <v>2</v>
      </c>
      <c r="P108" s="5">
        <v>180</v>
      </c>
      <c r="Q108" s="6">
        <f t="shared" si="35"/>
        <v>183.64031895218693</v>
      </c>
      <c r="R108" s="5">
        <v>1.43</v>
      </c>
      <c r="S108" s="5">
        <f t="shared" si="36"/>
        <v>826.76414494596304</v>
      </c>
      <c r="T108">
        <v>41.2</v>
      </c>
      <c r="U108" s="8">
        <v>34</v>
      </c>
      <c r="W108">
        <v>80</v>
      </c>
      <c r="X108" s="3">
        <f t="shared" si="19"/>
        <v>0.10638297872340426</v>
      </c>
      <c r="Y108">
        <v>60</v>
      </c>
      <c r="Z108">
        <f t="shared" si="34"/>
        <v>96</v>
      </c>
      <c r="AC108">
        <v>14.4</v>
      </c>
      <c r="AD108">
        <v>10</v>
      </c>
      <c r="AG108" s="10">
        <v>0</v>
      </c>
      <c r="AH108" t="str">
        <f>CONCATENATE(VLOOKUP(AI108, 'Voxel Sizes'!$A$2:$B$18,2,FALSE),"x",INT(AE108*15), "x", INT(AF108*15))</f>
        <v>102x0x0</v>
      </c>
      <c r="AI108">
        <f t="shared" si="20"/>
        <v>6</v>
      </c>
      <c r="AJ108" t="s">
        <v>1201</v>
      </c>
      <c r="AK108" t="str">
        <f>CONCATENATE(VLOOKUP(AI108,Constants!$A$2:$C$16,IF(AJ108&lt;&gt;"", 3, 2), FALSE),IF(AJ108&lt;&gt;"",CONCATENATE(",",VLOOKUP(AJ108,$B:$AK,36,FALSE)),""))</f>
        <v>2,2,2,2,1,2</v>
      </c>
      <c r="AS108">
        <v>1</v>
      </c>
      <c r="AU108">
        <v>34</v>
      </c>
      <c r="AV108" s="15">
        <f t="shared" si="21"/>
        <v>82</v>
      </c>
      <c r="AX108">
        <v>-2</v>
      </c>
      <c r="AY108">
        <f t="shared" si="22"/>
        <v>12</v>
      </c>
      <c r="AZ108">
        <f t="shared" si="23"/>
        <v>4.125</v>
      </c>
      <c r="BA108">
        <f t="shared" si="24"/>
        <v>4</v>
      </c>
      <c r="BB108" s="3">
        <f t="shared" si="25"/>
        <v>1</v>
      </c>
      <c r="BC108">
        <f t="shared" si="26"/>
        <v>0</v>
      </c>
      <c r="BD108">
        <f>VLOOKUP($E108,Constants!$I:$K, 2, FALSE)</f>
        <v>1.1499999999999999</v>
      </c>
      <c r="BE108">
        <f>VLOOKUP($E108,Constants!$I:$K, 3, FALSE)*IF(AND(D108="multiple_unit",Y108&lt;110),0.75,1)</f>
        <v>1.7</v>
      </c>
      <c r="BF108">
        <f>INT(POWER(((Constants!$G$2+$AY108+$AZ108+$BA108+$BC108)*$BB108)*$BE108, 1.05))+$AX108</f>
        <v>49</v>
      </c>
      <c r="BG108">
        <f>INT(POWER((((Constants!$G$1+$AY108+$AZ108+$BA108+$BC108)*($BB108))*$BD108),IF($D108="wagon",1,1.2)))+$AW108</f>
        <v>84</v>
      </c>
      <c r="BH108" s="14">
        <f t="shared" si="27"/>
        <v>38281.25</v>
      </c>
      <c r="BI108" s="14">
        <f t="shared" si="28"/>
        <v>6825</v>
      </c>
      <c r="BP108">
        <v>3</v>
      </c>
      <c r="BT108" t="str">
        <f>VLOOKUP(G108,Eras!$A$2:$C$10, 2, TRUE)</f>
        <v>vct</v>
      </c>
      <c r="BU108" t="s">
        <v>329</v>
      </c>
      <c r="BV108" t="str">
        <f t="shared" si="29"/>
        <v>vct_Freight</v>
      </c>
      <c r="BW108" t="str">
        <f t="shared" si="30"/>
        <v>steam_RAIL</v>
      </c>
      <c r="BX108" t="str">
        <f>VLOOKUP($BW108, Constants!$M:$N, 2, FALSE)</f>
        <v>{BLACK}Powered by: {GOLD}Steam</v>
      </c>
      <c r="BY108" t="str">
        <f t="shared" si="39"/>
        <v/>
      </c>
      <c r="BZ108" t="s">
        <v>1337</v>
      </c>
      <c r="CA108" t="str">
        <f t="shared" si="38"/>
        <v/>
      </c>
      <c r="CB108" t="str">
        <f t="shared" si="33"/>
        <v>{BLACK}Powered by: {GOLD}Steam {}{SILVER}William Dean's 2301 class was the first GWR locomotive to have no outside frame. The light weight made them suited to branch lines.</v>
      </c>
    </row>
    <row r="109" spans="1:80" x14ac:dyDescent="0.3">
      <c r="A109" t="s">
        <v>1324</v>
      </c>
      <c r="B109" t="s">
        <v>1320</v>
      </c>
      <c r="C109">
        <v>178</v>
      </c>
      <c r="D109" t="s">
        <v>263</v>
      </c>
      <c r="E109" t="s">
        <v>272</v>
      </c>
      <c r="F109" t="s">
        <v>275</v>
      </c>
      <c r="G109">
        <v>1888</v>
      </c>
      <c r="I109">
        <v>1967</v>
      </c>
      <c r="K109">
        <v>850</v>
      </c>
      <c r="M109" s="5">
        <v>18</v>
      </c>
      <c r="N109" s="5">
        <v>26</v>
      </c>
      <c r="O109" s="5">
        <v>2</v>
      </c>
      <c r="P109" s="5">
        <v>165</v>
      </c>
      <c r="Q109" s="6">
        <f t="shared" si="35"/>
        <v>175.07043740108486</v>
      </c>
      <c r="R109" s="5">
        <v>1.5</v>
      </c>
      <c r="S109" s="5">
        <f t="shared" si="36"/>
        <v>877.49999999999966</v>
      </c>
      <c r="T109">
        <v>42.6</v>
      </c>
      <c r="U109" s="8">
        <v>40</v>
      </c>
      <c r="W109">
        <v>88</v>
      </c>
      <c r="X109" s="3">
        <f t="shared" si="19"/>
        <v>0.10653753026634383</v>
      </c>
      <c r="Y109">
        <v>60</v>
      </c>
      <c r="Z109">
        <f t="shared" si="34"/>
        <v>96</v>
      </c>
      <c r="AC109">
        <v>14.99</v>
      </c>
      <c r="AD109">
        <v>10</v>
      </c>
      <c r="AG109" s="10">
        <v>0</v>
      </c>
      <c r="AH109" t="str">
        <f>CONCATENATE(VLOOKUP(AI109, 'Voxel Sizes'!$A$2:$B$18,2,FALSE),"x",INT(AE109*15), "x", INT(AF109*15))</f>
        <v>102x0x0</v>
      </c>
      <c r="AI109">
        <f t="shared" si="20"/>
        <v>6</v>
      </c>
      <c r="AJ109" t="s">
        <v>1322</v>
      </c>
      <c r="AK109" t="str">
        <f>CONCATENATE(VLOOKUP(AI109,Constants!$A$2:$C$16,IF(AJ109&lt;&gt;"", 3, 2), FALSE),IF(AJ109&lt;&gt;"",CONCATENATE(",",VLOOKUP(AJ109,$B:$AK,36,FALSE)),""))</f>
        <v>2,2,2,2,1,2</v>
      </c>
      <c r="AS109">
        <v>1</v>
      </c>
      <c r="AU109">
        <v>36</v>
      </c>
      <c r="AV109" s="15">
        <f t="shared" si="21"/>
        <v>87</v>
      </c>
      <c r="AY109">
        <f t="shared" si="22"/>
        <v>12</v>
      </c>
      <c r="AZ109">
        <f t="shared" si="23"/>
        <v>4.25</v>
      </c>
      <c r="BA109">
        <f t="shared" si="24"/>
        <v>4.4000000000000004</v>
      </c>
      <c r="BB109" s="3">
        <f t="shared" si="25"/>
        <v>1</v>
      </c>
      <c r="BC109">
        <f t="shared" si="26"/>
        <v>0</v>
      </c>
      <c r="BD109">
        <f>VLOOKUP($E109,Constants!$I:$K, 2, FALSE)</f>
        <v>1.1499999999999999</v>
      </c>
      <c r="BE109">
        <f>VLOOKUP($E109,Constants!$I:$K, 3, FALSE)*IF(AND(D109="multiple_unit",Y109&lt;110),0.75,1)</f>
        <v>1.7</v>
      </c>
      <c r="BF109">
        <f>INT(POWER(((Constants!$G$2+$AY109+$AZ109+$BA109+$BC109)*$BB109)*$BE109, 1.05))+$AX109</f>
        <v>52</v>
      </c>
      <c r="BG109">
        <f>INT(POWER((((Constants!$G$1+$AY109+$AZ109+$BA109+$BC109)*($BB109))*$BD109),IF($D109="wagon",1,1.2)))+$AW109</f>
        <v>86</v>
      </c>
      <c r="BH109" s="14">
        <f t="shared" si="27"/>
        <v>40625</v>
      </c>
      <c r="BI109" s="14">
        <f t="shared" si="28"/>
        <v>6987.5</v>
      </c>
      <c r="BP109">
        <v>4</v>
      </c>
      <c r="BT109" t="str">
        <f>VLOOKUP(G109,Eras!$A$2:$C$10, 2, TRUE)</f>
        <v>vct</v>
      </c>
      <c r="BU109" t="s">
        <v>327</v>
      </c>
      <c r="BV109" t="str">
        <f t="shared" si="29"/>
        <v>vct_Mixed Traffic</v>
      </c>
      <c r="BW109" t="str">
        <f t="shared" si="30"/>
        <v>steam_RAIL</v>
      </c>
      <c r="BX109" t="str">
        <f>VLOOKUP($BW109, Constants!$M:$N, 2, FALSE)</f>
        <v>{BLACK}Powered by: {GOLD}Steam</v>
      </c>
      <c r="BY109" t="str">
        <f t="shared" si="39"/>
        <v/>
      </c>
      <c r="BZ109" t="s">
        <v>1327</v>
      </c>
      <c r="CA109" t="str">
        <f t="shared" si="38"/>
        <v/>
      </c>
      <c r="CB109" t="str">
        <f t="shared" si="33"/>
        <v>{BLACK}Powered by: {GOLD}Steam {}{SILVER}Matthew Holmes' Class C was an evolution of Drummond's design. They had a long career, becoming LNER class J36 and surviving to the last days of steam on British railways.</v>
      </c>
    </row>
    <row r="110" spans="1:80" x14ac:dyDescent="0.3">
      <c r="A110" t="s">
        <v>1318</v>
      </c>
      <c r="B110" t="s">
        <v>241</v>
      </c>
      <c r="C110">
        <v>182</v>
      </c>
      <c r="D110" t="s">
        <v>263</v>
      </c>
      <c r="E110" t="s">
        <v>272</v>
      </c>
      <c r="F110" t="s">
        <v>275</v>
      </c>
      <c r="G110">
        <v>1896</v>
      </c>
      <c r="I110">
        <v>1928</v>
      </c>
      <c r="K110">
        <v>850</v>
      </c>
      <c r="M110" s="5">
        <v>19.5</v>
      </c>
      <c r="N110" s="5">
        <v>26</v>
      </c>
      <c r="O110" s="5">
        <v>2</v>
      </c>
      <c r="P110" s="5">
        <v>170</v>
      </c>
      <c r="Q110" s="6">
        <f t="shared" si="35"/>
        <v>166.20611145672612</v>
      </c>
      <c r="R110" s="5">
        <v>2.37</v>
      </c>
      <c r="S110" s="5">
        <f t="shared" si="36"/>
        <v>1007.3270281933254</v>
      </c>
      <c r="T110">
        <v>48</v>
      </c>
      <c r="U110" s="8">
        <v>42</v>
      </c>
      <c r="W110">
        <v>68</v>
      </c>
      <c r="X110" s="3">
        <f t="shared" si="19"/>
        <v>7.5555555555555556E-2</v>
      </c>
      <c r="Y110">
        <v>90</v>
      </c>
      <c r="Z110">
        <f t="shared" si="34"/>
        <v>144</v>
      </c>
      <c r="AC110">
        <v>11</v>
      </c>
      <c r="AD110">
        <v>11</v>
      </c>
      <c r="AG110" s="10">
        <v>0</v>
      </c>
      <c r="AH110" t="str">
        <f>CONCATENATE(VLOOKUP(AI110, 'Voxel Sizes'!$A$2:$B$18,2,FALSE),"x",INT(AE110*15), "x", INT(AF110*15))</f>
        <v>102x0x0</v>
      </c>
      <c r="AI110">
        <f t="shared" si="20"/>
        <v>6</v>
      </c>
      <c r="AJ110" t="s">
        <v>309</v>
      </c>
      <c r="AK110" t="str">
        <f>CONCATENATE(VLOOKUP(AI110,Constants!$A$2:$C$16,IF(AJ110&lt;&gt;"", 3, 2), FALSE),IF(AJ110&lt;&gt;"",CONCATENATE(",",VLOOKUP(AJ110,$B:$AK,36,FALSE)),""))</f>
        <v>2,2,2,2,1,2</v>
      </c>
      <c r="AU110">
        <v>30</v>
      </c>
      <c r="AV110" s="15">
        <f t="shared" si="21"/>
        <v>40</v>
      </c>
      <c r="AY110">
        <f t="shared" si="22"/>
        <v>18</v>
      </c>
      <c r="AZ110">
        <f t="shared" si="23"/>
        <v>4.25</v>
      </c>
      <c r="BA110">
        <f t="shared" si="24"/>
        <v>3.4000000000000004</v>
      </c>
      <c r="BB110" s="3">
        <f t="shared" si="25"/>
        <v>1</v>
      </c>
      <c r="BC110">
        <f t="shared" si="26"/>
        <v>0</v>
      </c>
      <c r="BD110">
        <f>VLOOKUP($E110,Constants!$I:$K, 2, FALSE)</f>
        <v>1.1499999999999999</v>
      </c>
      <c r="BE110">
        <f>VLOOKUP($E110,Constants!$I:$K, 3, FALSE)*IF(AND(D110="multiple_unit",Y110&lt;110),0.75,1)</f>
        <v>1.7</v>
      </c>
      <c r="BF110">
        <f>INT(POWER(((Constants!$G$2+$AY110+$AZ110+$BA110+$BC110)*$BB110)*$BE110, 1.05))+$AX110</f>
        <v>63</v>
      </c>
      <c r="BG110">
        <f>INT(POWER((((Constants!$G$1+$AY110+$AZ110+$BA110+$BC110)*($BB110))*$BD110),IF($D110="wagon",1,1.2)))+$AW110</f>
        <v>100</v>
      </c>
      <c r="BH110" s="14">
        <f t="shared" si="27"/>
        <v>49218.75</v>
      </c>
      <c r="BI110" s="14">
        <f t="shared" si="28"/>
        <v>8125</v>
      </c>
      <c r="BP110">
        <v>6</v>
      </c>
      <c r="BT110" t="str">
        <f>VLOOKUP(G110,Eras!$A$2:$C$10, 2, TRUE)</f>
        <v>vct</v>
      </c>
      <c r="BU110" t="s">
        <v>328</v>
      </c>
      <c r="BV110" t="str">
        <f t="shared" si="29"/>
        <v>vct_Express</v>
      </c>
      <c r="BW110" t="str">
        <f t="shared" si="30"/>
        <v>steam_RAIL</v>
      </c>
      <c r="BX110" t="str">
        <f>VLOOKUP($BW110, Constants!$M:$N, 2, FALSE)</f>
        <v>{BLACK}Powered by: {GOLD}Steam</v>
      </c>
      <c r="BY110" t="str">
        <f t="shared" si="39"/>
        <v/>
      </c>
      <c r="BZ110" t="s">
        <v>1319</v>
      </c>
      <c r="CA110" t="str">
        <f t="shared" si="38"/>
        <v/>
      </c>
      <c r="CB110" t="str">
        <f t="shared" si="33"/>
        <v>{BLACK}Powered by: {GOLD}Steam {}{SILVER}The Midland 115 class gained the nickname "Spinner" due to the large single driving wheel. The Midland Railway compensated for the low tractive effort of the 4-2-2 layout by double-heading the trains on heavy loads.</v>
      </c>
    </row>
    <row r="111" spans="1:80" x14ac:dyDescent="0.3">
      <c r="A111" t="s">
        <v>131</v>
      </c>
      <c r="B111" t="s">
        <v>1317</v>
      </c>
      <c r="C111">
        <v>184</v>
      </c>
      <c r="D111" t="s">
        <v>263</v>
      </c>
      <c r="E111" t="s">
        <v>272</v>
      </c>
      <c r="F111" t="s">
        <v>275</v>
      </c>
      <c r="G111">
        <v>1897</v>
      </c>
      <c r="H111">
        <v>1911</v>
      </c>
      <c r="I111">
        <v>1957</v>
      </c>
      <c r="K111">
        <v>500</v>
      </c>
      <c r="M111" s="5">
        <v>18.5</v>
      </c>
      <c r="N111" s="5">
        <v>26</v>
      </c>
      <c r="O111" s="5">
        <v>2</v>
      </c>
      <c r="P111" s="5">
        <v>175</v>
      </c>
      <c r="Q111" s="6">
        <f t="shared" si="35"/>
        <v>90.109783956440737</v>
      </c>
      <c r="R111" s="5">
        <v>1.7</v>
      </c>
      <c r="S111" s="5">
        <f t="shared" si="36"/>
        <v>506.00966001931067</v>
      </c>
      <c r="T111">
        <v>61.2</v>
      </c>
      <c r="W111">
        <v>87</v>
      </c>
      <c r="X111" s="3">
        <f t="shared" si="19"/>
        <v>0.14215686274509803</v>
      </c>
      <c r="Y111">
        <v>35</v>
      </c>
      <c r="Z111">
        <f t="shared" si="34"/>
        <v>56</v>
      </c>
      <c r="AC111">
        <v>10.5</v>
      </c>
      <c r="AD111">
        <v>10.5</v>
      </c>
      <c r="AG111" s="10">
        <v>0</v>
      </c>
      <c r="AH111" t="str">
        <f>CONCATENATE(VLOOKUP(AI111, 'Voxel Sizes'!$A$2:$B$18,2,FALSE),"x",INT(AE111*15), "x", INT(AF111*15))</f>
        <v>102x0x0</v>
      </c>
      <c r="AI111">
        <f t="shared" si="20"/>
        <v>6</v>
      </c>
      <c r="AK111" t="str">
        <f>CONCATENATE(VLOOKUP(AI111,Constants!$A$2:$C$16,IF(AJ111&lt;&gt;"", 3, 2), FALSE),IF(AJ111&lt;&gt;"",CONCATENATE(",",VLOOKUP(AJ111,$B:$AK,36,FALSE)),""))</f>
        <v>2,2,2</v>
      </c>
      <c r="AS111">
        <v>1</v>
      </c>
      <c r="AU111">
        <v>34</v>
      </c>
      <c r="AV111" s="15">
        <f t="shared" si="21"/>
        <v>68</v>
      </c>
      <c r="AY111">
        <f t="shared" si="22"/>
        <v>7</v>
      </c>
      <c r="AZ111">
        <f t="shared" si="23"/>
        <v>2.5</v>
      </c>
      <c r="BA111">
        <f t="shared" si="24"/>
        <v>4.3499999999999996</v>
      </c>
      <c r="BB111" s="3">
        <f t="shared" si="25"/>
        <v>1</v>
      </c>
      <c r="BC111">
        <f t="shared" si="26"/>
        <v>0</v>
      </c>
      <c r="BD111">
        <f>VLOOKUP($E111,Constants!$I:$K, 2, FALSE)</f>
        <v>1.1499999999999999</v>
      </c>
      <c r="BE111">
        <f>VLOOKUP($E111,Constants!$I:$K, 3, FALSE)*IF(AND(D111="multiple_unit",Y111&lt;110),0.75,1)</f>
        <v>1.7</v>
      </c>
      <c r="BF111">
        <f>INT(POWER(((Constants!$G$2+$AY111+$AZ111+$BA111+$BC111)*$BB111)*$BE111, 1.05))+$AX111</f>
        <v>38</v>
      </c>
      <c r="BG111">
        <f>INT(POWER((((Constants!$G$1+$AY111+$AZ111+$BA111+$BC111)*($BB111))*$BD111),IF($D111="wagon",1,1.2)))+$AW111</f>
        <v>66</v>
      </c>
      <c r="BH111" s="14">
        <f t="shared" si="27"/>
        <v>29687.5</v>
      </c>
      <c r="BI111" s="14">
        <f t="shared" si="28"/>
        <v>5362.5</v>
      </c>
      <c r="BP111">
        <v>7</v>
      </c>
      <c r="BT111" t="str">
        <f>VLOOKUP(G111,Eras!$A$2:$C$10, 2, TRUE)</f>
        <v>vct</v>
      </c>
      <c r="BU111" t="s">
        <v>326</v>
      </c>
      <c r="BV111" t="str">
        <f t="shared" si="29"/>
        <v>vct_Cheap</v>
      </c>
      <c r="BW111" t="str">
        <f t="shared" si="30"/>
        <v>steam_RAIL</v>
      </c>
      <c r="BX111" t="str">
        <f>VLOOKUP($BW111, Constants!$M:$N, 2, FALSE)</f>
        <v>{BLACK}Powered by: {GOLD}Steam</v>
      </c>
      <c r="BY111" t="str">
        <f t="shared" si="39"/>
        <v/>
      </c>
      <c r="BZ111" t="s">
        <v>1316</v>
      </c>
      <c r="CA111" t="str">
        <f t="shared" si="38"/>
        <v/>
      </c>
      <c r="CB111" t="str">
        <f t="shared" si="33"/>
        <v>{BLACK}Powered by: {GOLD}Steam {}{SILVER}The Drummond M7 was built for the London &amp; South Western railway. Its usefulness saw it survive in operation until well into the BR era.</v>
      </c>
    </row>
    <row r="112" spans="1:80" x14ac:dyDescent="0.3">
      <c r="A112" t="s">
        <v>129</v>
      </c>
      <c r="B112" t="s">
        <v>239</v>
      </c>
      <c r="C112">
        <v>188</v>
      </c>
      <c r="D112" t="s">
        <v>263</v>
      </c>
      <c r="E112" t="s">
        <v>272</v>
      </c>
      <c r="F112" t="s">
        <v>275</v>
      </c>
      <c r="G112">
        <v>1899</v>
      </c>
      <c r="H112">
        <v>1902</v>
      </c>
      <c r="I112">
        <v>1954</v>
      </c>
      <c r="K112">
        <v>600</v>
      </c>
      <c r="M112" s="5">
        <v>18</v>
      </c>
      <c r="N112" s="5">
        <v>26</v>
      </c>
      <c r="O112" s="5">
        <v>2</v>
      </c>
      <c r="P112" s="5">
        <v>160</v>
      </c>
      <c r="Q112" s="6">
        <f t="shared" si="35"/>
        <v>125.05031242934635</v>
      </c>
      <c r="R112" s="5">
        <v>1.4</v>
      </c>
      <c r="S112" s="5">
        <f t="shared" si="36"/>
        <v>607.79220779220771</v>
      </c>
      <c r="T112">
        <v>49.5</v>
      </c>
      <c r="W112">
        <v>92</v>
      </c>
      <c r="X112" s="3">
        <f t="shared" si="19"/>
        <v>0.18585858585858586</v>
      </c>
      <c r="Y112">
        <v>40</v>
      </c>
      <c r="Z112">
        <f t="shared" si="34"/>
        <v>64</v>
      </c>
      <c r="AC112">
        <v>9.57</v>
      </c>
      <c r="AD112">
        <v>9.57</v>
      </c>
      <c r="AG112" s="10">
        <v>0</v>
      </c>
      <c r="AH112" t="str">
        <f>CONCATENATE(VLOOKUP(AI112, 'Voxel Sizes'!$A$2:$B$18,2,FALSE),"x",INT(AE112*15), "x", INT(AF112*15))</f>
        <v>102x0x0</v>
      </c>
      <c r="AI112">
        <f t="shared" si="20"/>
        <v>6</v>
      </c>
      <c r="AK112" t="str">
        <f>CONCATENATE(VLOOKUP(AI112,Constants!$A$2:$C$16,IF(AJ112&lt;&gt;"", 3, 2), FALSE),IF(AJ112&lt;&gt;"",CONCATENATE(",",VLOOKUP(AJ112,$B:$AK,36,FALSE)),""))</f>
        <v>2,2,2</v>
      </c>
      <c r="AS112">
        <v>1</v>
      </c>
      <c r="AU112">
        <v>30</v>
      </c>
      <c r="AV112" s="15">
        <f t="shared" si="21"/>
        <v>63</v>
      </c>
      <c r="AY112">
        <f t="shared" si="22"/>
        <v>8</v>
      </c>
      <c r="AZ112">
        <f t="shared" si="23"/>
        <v>3</v>
      </c>
      <c r="BA112">
        <f t="shared" si="24"/>
        <v>4.6000000000000005</v>
      </c>
      <c r="BB112" s="3">
        <f t="shared" si="25"/>
        <v>1</v>
      </c>
      <c r="BC112">
        <f t="shared" si="26"/>
        <v>0</v>
      </c>
      <c r="BD112">
        <f>VLOOKUP($E112,Constants!$I:$K, 2, FALSE)</f>
        <v>1.1499999999999999</v>
      </c>
      <c r="BE112">
        <f>VLOOKUP($E112,Constants!$I:$K, 3, FALSE)*IF(AND(D112="multiple_unit",Y112&lt;110),0.75,1)</f>
        <v>1.7</v>
      </c>
      <c r="BF112">
        <f>INT(POWER(((Constants!$G$2+$AY112+$AZ112+$BA112+$BC112)*$BB112)*$BE112, 1.05))+$AX112</f>
        <v>41</v>
      </c>
      <c r="BG112">
        <f>INT(POWER((((Constants!$G$1+$AY112+$AZ112+$BA112+$BC112)*($BB112))*$BD112),IF($D112="wagon",1,1.2)))+$AW112</f>
        <v>71</v>
      </c>
      <c r="BH112" s="14">
        <f t="shared" si="27"/>
        <v>32031.25</v>
      </c>
      <c r="BI112" s="14">
        <f t="shared" si="28"/>
        <v>5768.75</v>
      </c>
      <c r="BP112">
        <v>9</v>
      </c>
      <c r="BT112" t="str">
        <f>VLOOKUP(G112,Eras!$A$2:$C$10, 2, TRUE)</f>
        <v>vct</v>
      </c>
      <c r="BU112" t="s">
        <v>326</v>
      </c>
      <c r="BV112" t="str">
        <f t="shared" si="29"/>
        <v>vct_Cheap</v>
      </c>
      <c r="BW112" t="str">
        <f t="shared" si="30"/>
        <v>steam_RAIL</v>
      </c>
      <c r="BX112" t="str">
        <f>VLOOKUP($BW112, Constants!$M:$N, 2, FALSE)</f>
        <v>{BLACK}Powered by: {GOLD}Steam</v>
      </c>
      <c r="BY112" t="str">
        <f t="shared" si="39"/>
        <v/>
      </c>
      <c r="BZ112" t="s">
        <v>1151</v>
      </c>
      <c r="CA112" t="str">
        <f t="shared" si="38"/>
        <v/>
      </c>
      <c r="CB112" t="str">
        <f t="shared" si="33"/>
        <v>{BLACK}Powered by: {GOLD}Steam {}{SILVER}Samuel Johnson's tank engine design were rebuilt later in life by Henry Fowler, providing the inspiration for Fowler's own 3F "Jinty" design.</v>
      </c>
    </row>
    <row r="113" spans="1:80" x14ac:dyDescent="0.3">
      <c r="A113" t="s">
        <v>1480</v>
      </c>
      <c r="B113" t="s">
        <v>1479</v>
      </c>
      <c r="C113">
        <v>190</v>
      </c>
      <c r="D113" t="s">
        <v>263</v>
      </c>
      <c r="E113" t="s">
        <v>272</v>
      </c>
      <c r="F113" t="s">
        <v>275</v>
      </c>
      <c r="G113">
        <v>1900</v>
      </c>
      <c r="I113">
        <v>1954</v>
      </c>
      <c r="K113">
        <v>1100</v>
      </c>
      <c r="M113" s="5">
        <v>19</v>
      </c>
      <c r="N113" s="5">
        <v>26</v>
      </c>
      <c r="O113" s="5">
        <v>2</v>
      </c>
      <c r="P113" s="5">
        <v>180</v>
      </c>
      <c r="Q113" s="6">
        <f t="shared" si="35"/>
        <v>175.07043740108486</v>
      </c>
      <c r="R113" s="5">
        <v>1.5</v>
      </c>
      <c r="S113" s="5">
        <f t="shared" si="36"/>
        <v>1066.5909090909088</v>
      </c>
      <c r="T113">
        <v>45.3</v>
      </c>
      <c r="U113" s="8">
        <v>38.9</v>
      </c>
      <c r="W113">
        <v>109</v>
      </c>
      <c r="X113" s="3">
        <f t="shared" si="19"/>
        <v>0.12945368171021379</v>
      </c>
      <c r="Y113">
        <v>60</v>
      </c>
      <c r="Z113">
        <f t="shared" si="34"/>
        <v>96</v>
      </c>
      <c r="AC113">
        <v>14.4</v>
      </c>
      <c r="AD113">
        <v>10</v>
      </c>
      <c r="AG113" s="10">
        <v>0</v>
      </c>
      <c r="AH113" t="str">
        <f>CONCATENATE(VLOOKUP(AI113, 'Voxel Sizes'!$A$2:$B$18,2,FALSE),"x",INT(AE113*15), "x", INT(AF113*15))</f>
        <v>102x0x0</v>
      </c>
      <c r="AI113">
        <f t="shared" si="20"/>
        <v>6</v>
      </c>
      <c r="AJ113" t="s">
        <v>1322</v>
      </c>
      <c r="AK113" t="str">
        <f>CONCATENATE(VLOOKUP(AI113,Constants!$A$2:$C$16,IF(AJ113&lt;&gt;"", 3, 2), FALSE),IF(AJ113&lt;&gt;"",CONCATENATE(",",VLOOKUP(AJ113,$B:$AK,36,FALSE)),""))</f>
        <v>2,2,2,2,1,2</v>
      </c>
      <c r="AS113">
        <v>1</v>
      </c>
      <c r="AU113">
        <v>32</v>
      </c>
      <c r="AV113" s="15">
        <f t="shared" si="21"/>
        <v>62</v>
      </c>
      <c r="AW113">
        <v>2</v>
      </c>
      <c r="AX113">
        <v>2</v>
      </c>
      <c r="AY113">
        <f t="shared" si="22"/>
        <v>12</v>
      </c>
      <c r="AZ113">
        <f t="shared" si="23"/>
        <v>5.5</v>
      </c>
      <c r="BA113">
        <f t="shared" si="24"/>
        <v>5.45</v>
      </c>
      <c r="BB113" s="3">
        <f t="shared" si="25"/>
        <v>1</v>
      </c>
      <c r="BC113">
        <f t="shared" si="26"/>
        <v>0</v>
      </c>
      <c r="BD113">
        <f>VLOOKUP($E113,Constants!$I:$K, 2, FALSE)</f>
        <v>1.1499999999999999</v>
      </c>
      <c r="BE113">
        <f>VLOOKUP($E113,Constants!$I:$K, 3, FALSE)*IF(AND(D113="multiple_unit",Y113&lt;110),0.75,1)</f>
        <v>1.7</v>
      </c>
      <c r="BF113">
        <f>INT(POWER(((Constants!$G$2+$AY113+$AZ113+$BA113+$BC113)*$BB113)*$BE113, 1.05))+$AX113</f>
        <v>59</v>
      </c>
      <c r="BG113">
        <f>INT(POWER((((Constants!$G$1+$AY113+$AZ113+$BA113+$BC113)*($BB113))*$BD113),IF($D113="wagon",1,1.2)))+$AW113</f>
        <v>94</v>
      </c>
      <c r="BH113" s="14">
        <f t="shared" si="27"/>
        <v>46093.75</v>
      </c>
      <c r="BI113" s="14">
        <f t="shared" si="28"/>
        <v>7637.5</v>
      </c>
      <c r="BP113">
        <v>2</v>
      </c>
      <c r="BT113" t="str">
        <f>VLOOKUP(G113,Eras!$A$2:$C$10, 2, TRUE)</f>
        <v>edw</v>
      </c>
      <c r="BU113" t="s">
        <v>327</v>
      </c>
      <c r="BV113" t="str">
        <f t="shared" si="29"/>
        <v>edw_Mixed Traffic</v>
      </c>
      <c r="BW113" t="str">
        <f t="shared" si="30"/>
        <v>steam_RAIL</v>
      </c>
      <c r="BX113" t="str">
        <f>VLOOKUP($BW113, Constants!$M:$N, 2, FALSE)</f>
        <v>{BLACK}Powered by: {GOLD}Steam</v>
      </c>
      <c r="BY113" t="str">
        <f t="shared" si="39"/>
        <v/>
      </c>
      <c r="BZ113" t="s">
        <v>1483</v>
      </c>
      <c r="CA113" t="str">
        <f t="shared" si="38"/>
        <v/>
      </c>
      <c r="CB113" t="str">
        <f t="shared" si="33"/>
        <v>{BLACK}Powered by: {GOLD}Steam {}{SILVER}On introduction the GER F48 was nominally the most powerful 0-6-0 tender locomotive in Britain. Numerous variations of firebox were tried over the production run.</v>
      </c>
    </row>
    <row r="114" spans="1:80" x14ac:dyDescent="0.3">
      <c r="A114" t="s">
        <v>398</v>
      </c>
      <c r="B114" t="s">
        <v>399</v>
      </c>
      <c r="C114">
        <v>194</v>
      </c>
      <c r="D114" t="s">
        <v>263</v>
      </c>
      <c r="E114" t="s">
        <v>272</v>
      </c>
      <c r="F114" t="s">
        <v>275</v>
      </c>
      <c r="G114">
        <v>1901</v>
      </c>
      <c r="H114">
        <v>1914</v>
      </c>
      <c r="I114">
        <v>1955</v>
      </c>
      <c r="K114">
        <v>350</v>
      </c>
      <c r="M114" s="5">
        <v>14</v>
      </c>
      <c r="N114" s="5">
        <v>20</v>
      </c>
      <c r="O114" s="5">
        <v>2</v>
      </c>
      <c r="P114" s="5">
        <v>160</v>
      </c>
      <c r="Q114" s="6">
        <f t="shared" si="35"/>
        <v>145.89203116757074</v>
      </c>
      <c r="R114" s="5">
        <v>0.9</v>
      </c>
      <c r="S114" s="5">
        <f t="shared" si="36"/>
        <v>329.96632996632997</v>
      </c>
      <c r="T114">
        <v>23</v>
      </c>
      <c r="W114">
        <v>49</v>
      </c>
      <c r="X114" s="3">
        <f t="shared" si="19"/>
        <v>0.21304347826086956</v>
      </c>
      <c r="Y114">
        <v>30</v>
      </c>
      <c r="Z114">
        <f t="shared" si="34"/>
        <v>48</v>
      </c>
      <c r="AC114">
        <v>6.12</v>
      </c>
      <c r="AD114">
        <v>6.12</v>
      </c>
      <c r="AG114" s="10">
        <v>0</v>
      </c>
      <c r="AH114" t="str">
        <f>CONCATENATE(VLOOKUP(AI114, 'Voxel Sizes'!$A$2:$B$18,2,FALSE),"x",INT(AE114*15), "x", INT(AF114*15))</f>
        <v>60x0x0</v>
      </c>
      <c r="AI114">
        <f t="shared" si="20"/>
        <v>4</v>
      </c>
      <c r="AK114" t="str">
        <f>CONCATENATE(VLOOKUP(AI114,Constants!$A$2:$C$16,IF(AJ114&lt;&gt;"", 3, 2), FALSE),IF(AJ114&lt;&gt;"",CONCATENATE(",",VLOOKUP(AJ114,$B:$AK,36,FALSE)),""))</f>
        <v>1,2,1</v>
      </c>
      <c r="AS114">
        <v>1</v>
      </c>
      <c r="AU114">
        <v>30</v>
      </c>
      <c r="AV114" s="15">
        <f t="shared" si="21"/>
        <v>62</v>
      </c>
      <c r="AY114">
        <f t="shared" si="22"/>
        <v>6</v>
      </c>
      <c r="AZ114">
        <f t="shared" si="23"/>
        <v>1.75</v>
      </c>
      <c r="BA114">
        <f t="shared" si="24"/>
        <v>2.4500000000000002</v>
      </c>
      <c r="BB114" s="3">
        <f t="shared" si="25"/>
        <v>0.9986666666666667</v>
      </c>
      <c r="BC114">
        <f t="shared" si="26"/>
        <v>0</v>
      </c>
      <c r="BD114">
        <f>VLOOKUP($E114,Constants!$I:$K, 2, FALSE)</f>
        <v>1.1499999999999999</v>
      </c>
      <c r="BE114">
        <f>VLOOKUP($E114,Constants!$I:$K, 3, FALSE)*IF(AND(D114="multiple_unit",Y114&lt;110),0.75,1)</f>
        <v>1.7</v>
      </c>
      <c r="BF114">
        <f>INT(POWER(((Constants!$G$2+$AY114+$AZ114+$BA114+$BC114)*$BB114)*$BE114, 1.05))+$AX114</f>
        <v>30</v>
      </c>
      <c r="BG114">
        <f>INT(POWER((((Constants!$G$1+$AY114+$AZ114+$BA114+$BC114)*($BB114))*$BD114),IF($D114="wagon",1,1.2)))+$AW114</f>
        <v>56</v>
      </c>
      <c r="BH114" s="14">
        <f t="shared" si="27"/>
        <v>23437.5</v>
      </c>
      <c r="BI114" s="14">
        <f t="shared" si="28"/>
        <v>4550</v>
      </c>
      <c r="BP114">
        <v>10</v>
      </c>
      <c r="BT114" t="str">
        <f>VLOOKUP(G114,Eras!$A$2:$C$10, 2, TRUE)</f>
        <v>edw</v>
      </c>
      <c r="BU114" t="s">
        <v>326</v>
      </c>
      <c r="BV114" t="str">
        <f t="shared" si="29"/>
        <v>edw_Cheap</v>
      </c>
      <c r="BW114" t="str">
        <f t="shared" si="30"/>
        <v>steam_RAIL</v>
      </c>
      <c r="BX114" t="str">
        <f>VLOOKUP($BW114, Constants!$M:$N, 2, FALSE)</f>
        <v>{BLACK}Powered by: {GOLD}Steam</v>
      </c>
      <c r="BY114" t="str">
        <f t="shared" si="39"/>
        <v/>
      </c>
      <c r="BZ114" t="s">
        <v>400</v>
      </c>
      <c r="CA114" t="str">
        <f t="shared" si="38"/>
        <v/>
      </c>
      <c r="CB114" t="str">
        <f t="shared" si="33"/>
        <v>{BLACK}Powered by: {GOLD}Steam {}{SILVER}This 0-4-0 saddle tank engine is typical of the many acquired by the GWR from smaller railways during the 1923 grouping of railway companies into the Big Four.</v>
      </c>
    </row>
    <row r="115" spans="1:80" x14ac:dyDescent="0.3">
      <c r="A115" t="s">
        <v>8</v>
      </c>
      <c r="B115" t="s">
        <v>240</v>
      </c>
      <c r="C115">
        <v>196</v>
      </c>
      <c r="D115" t="s">
        <v>263</v>
      </c>
      <c r="E115" t="s">
        <v>272</v>
      </c>
      <c r="F115" t="s">
        <v>275</v>
      </c>
      <c r="G115">
        <v>1902</v>
      </c>
      <c r="I115">
        <v>1935</v>
      </c>
      <c r="K115">
        <v>950</v>
      </c>
      <c r="M115" s="5">
        <v>20.3</v>
      </c>
      <c r="N115" s="5">
        <v>26</v>
      </c>
      <c r="O115" s="5">
        <v>3</v>
      </c>
      <c r="P115" s="5">
        <f>220*0.5</f>
        <v>110</v>
      </c>
      <c r="Q115" s="6">
        <f t="shared" si="35"/>
        <v>166.73374990579512</v>
      </c>
      <c r="R115" s="5">
        <v>2.1</v>
      </c>
      <c r="S115" s="5">
        <f t="shared" si="36"/>
        <v>1062.9305555555557</v>
      </c>
      <c r="T115">
        <v>62</v>
      </c>
      <c r="U115" s="8">
        <v>42</v>
      </c>
      <c r="W115">
        <v>97</v>
      </c>
      <c r="X115" s="3">
        <f t="shared" si="19"/>
        <v>9.3269230769230771E-2</v>
      </c>
      <c r="Y115">
        <v>80</v>
      </c>
      <c r="Z115">
        <f t="shared" si="34"/>
        <v>128</v>
      </c>
      <c r="AC115">
        <v>17.268999999999998</v>
      </c>
      <c r="AD115">
        <f>AC115-7.5</f>
        <v>9.7689999999999984</v>
      </c>
      <c r="AG115" s="10">
        <v>0</v>
      </c>
      <c r="AH115" t="str">
        <f>CONCATENATE(VLOOKUP(AI115, 'Voxel Sizes'!$A$2:$B$18,2,FALSE),"x",INT(AE115*15), "x", INT(AF115*15))</f>
        <v>102x0x0</v>
      </c>
      <c r="AI115">
        <f t="shared" si="20"/>
        <v>6</v>
      </c>
      <c r="AJ115" t="s">
        <v>309</v>
      </c>
      <c r="AK115" t="str">
        <f>CONCATENATE(VLOOKUP(AI115,Constants!$A$2:$C$16,IF(AJ115&lt;&gt;"", 3, 2), FALSE),IF(AJ115&lt;&gt;"",CONCATENATE(",",VLOOKUP(AJ115,$B:$AK,36,FALSE)),""))</f>
        <v>2,2,2,2,1,2</v>
      </c>
      <c r="AS115">
        <v>1</v>
      </c>
      <c r="AU115">
        <v>30</v>
      </c>
      <c r="AV115" s="15">
        <f t="shared" si="21"/>
        <v>41</v>
      </c>
      <c r="AY115">
        <f t="shared" si="22"/>
        <v>16</v>
      </c>
      <c r="AZ115">
        <f t="shared" si="23"/>
        <v>4.75</v>
      </c>
      <c r="BA115">
        <f t="shared" si="24"/>
        <v>4.8499999999999996</v>
      </c>
      <c r="BB115" s="3">
        <f t="shared" si="25"/>
        <v>0.99733333333333329</v>
      </c>
      <c r="BC115">
        <f t="shared" si="26"/>
        <v>0</v>
      </c>
      <c r="BD115">
        <f>VLOOKUP($E115,Constants!$I:$K, 2, FALSE)</f>
        <v>1.1499999999999999</v>
      </c>
      <c r="BE115">
        <f>VLOOKUP($E115,Constants!$I:$K, 3, FALSE)*IF(AND(D115="multiple_unit",Y115&lt;110),0.75,1)</f>
        <v>1.7</v>
      </c>
      <c r="BF115">
        <f>INT(POWER(((Constants!$G$2+$AY115+$AZ115+$BA115+$BC115)*$BB115)*$BE115, 1.05))+$AX115</f>
        <v>63</v>
      </c>
      <c r="BG115">
        <f>INT(POWER((((Constants!$G$1+$AY115+$AZ115+$BA115+$BC115)*($BB115))*$BD115),IF($D115="wagon",1,1.2)))+$AW115</f>
        <v>100</v>
      </c>
      <c r="BH115" s="14">
        <f t="shared" si="27"/>
        <v>49218.75</v>
      </c>
      <c r="BI115" s="14">
        <f t="shared" si="28"/>
        <v>8125</v>
      </c>
      <c r="BP115">
        <v>11</v>
      </c>
      <c r="BT115" t="str">
        <f>VLOOKUP(G115,Eras!$A$2:$C$10, 2, TRUE)</f>
        <v>edw</v>
      </c>
      <c r="BU115" t="s">
        <v>328</v>
      </c>
      <c r="BV115" t="str">
        <f t="shared" si="29"/>
        <v>edw_Express</v>
      </c>
      <c r="BW115" t="str">
        <f t="shared" si="30"/>
        <v>steam_RAIL</v>
      </c>
      <c r="BX115" t="str">
        <f>VLOOKUP($BW115, Constants!$M:$N, 2, FALSE)</f>
        <v>{BLACK}Powered by: {GOLD}Steam</v>
      </c>
      <c r="BY115" t="str">
        <f t="shared" si="39"/>
        <v/>
      </c>
      <c r="BZ115" t="s">
        <v>348</v>
      </c>
      <c r="CA115" t="str">
        <f t="shared" si="38"/>
        <v/>
      </c>
      <c r="CB115" t="str">
        <f t="shared" si="33"/>
        <v>{BLACK}Powered by: {GOLD}Steam {}{SILVER}The 1000 class is an express locomotive with a three-cylinder arrangement, using a high pressure cylinder inside the frame and two low pressure cylinders on the outside.</v>
      </c>
    </row>
    <row r="116" spans="1:80" x14ac:dyDescent="0.3">
      <c r="A116" t="s">
        <v>55</v>
      </c>
      <c r="B116" t="s">
        <v>154</v>
      </c>
      <c r="C116">
        <v>198</v>
      </c>
      <c r="D116" t="s">
        <v>263</v>
      </c>
      <c r="E116" t="s">
        <v>296</v>
      </c>
      <c r="F116" t="s">
        <v>297</v>
      </c>
      <c r="G116">
        <v>1903</v>
      </c>
      <c r="H116">
        <v>1904</v>
      </c>
      <c r="I116">
        <v>1927</v>
      </c>
      <c r="K116">
        <v>640</v>
      </c>
      <c r="T116">
        <v>57</v>
      </c>
      <c r="W116">
        <v>111</v>
      </c>
      <c r="X116" s="3">
        <f t="shared" si="19"/>
        <v>0.19473684210526315</v>
      </c>
      <c r="Y116">
        <v>27</v>
      </c>
      <c r="Z116">
        <f t="shared" si="34"/>
        <v>43</v>
      </c>
      <c r="AC116">
        <v>11.56</v>
      </c>
      <c r="AD116">
        <v>11.56</v>
      </c>
      <c r="AF116">
        <v>3.93</v>
      </c>
      <c r="AG116" s="10">
        <v>0</v>
      </c>
      <c r="AH116" t="str">
        <f>CONCATENATE(VLOOKUP(AI116, 'Voxel Sizes'!$A$2:$B$18,2,FALSE),"x",INT(AE116*15), "x", INT(AF116*15))</f>
        <v>120x0x58</v>
      </c>
      <c r="AI116">
        <f t="shared" si="20"/>
        <v>7</v>
      </c>
      <c r="AK116" t="str">
        <f>CONCATENATE(VLOOKUP(AI116,Constants!$A$2:$C$16,IF(AJ116&lt;&gt;"", 3, 2), FALSE),IF(AJ116&lt;&gt;"",CONCATENATE(",",VLOOKUP(AJ116,$B:$AK,36,FALSE)),""))</f>
        <v>2,3,2</v>
      </c>
      <c r="AU116">
        <v>30</v>
      </c>
      <c r="AV116" s="15">
        <f t="shared" si="21"/>
        <v>32</v>
      </c>
      <c r="AY116">
        <f t="shared" si="22"/>
        <v>5.3999999999999995</v>
      </c>
      <c r="AZ116">
        <f t="shared" si="23"/>
        <v>3.2</v>
      </c>
      <c r="BA116">
        <f t="shared" si="24"/>
        <v>5.5500000000000007</v>
      </c>
      <c r="BB116" s="3">
        <f t="shared" si="25"/>
        <v>0.996</v>
      </c>
      <c r="BC116">
        <f t="shared" si="26"/>
        <v>0</v>
      </c>
      <c r="BD116">
        <f>VLOOKUP($E116,Constants!$I:$K, 2, FALSE)</f>
        <v>0.85</v>
      </c>
      <c r="BE116">
        <f>VLOOKUP($E116,Constants!$I:$K, 3, FALSE)*IF(AND(D116="multiple_unit",Y116&lt;110),0.75,1)</f>
        <v>2.2999999999999998</v>
      </c>
      <c r="BF116">
        <f>INT(POWER(((Constants!$G$2+$AY116+$AZ116+$BA116+$BC116)*$BB116)*$BE116, 1.05))+$AX116</f>
        <v>52</v>
      </c>
      <c r="BG116">
        <f>INT(POWER((((Constants!$G$1+$AY116+$AZ116+$BA116+$BC116)*($BB116))*$BD116),IF($D116="wagon",1,1.2)))+$AW116</f>
        <v>46</v>
      </c>
      <c r="BH116" s="14">
        <f t="shared" si="27"/>
        <v>40625</v>
      </c>
      <c r="BI116" s="14">
        <f t="shared" si="28"/>
        <v>3737.5</v>
      </c>
      <c r="BP116">
        <v>12</v>
      </c>
      <c r="BT116" t="str">
        <f>VLOOKUP(G116,Eras!$A$2:$C$10, 2, TRUE)</f>
        <v>edw</v>
      </c>
      <c r="BU116" t="s">
        <v>339</v>
      </c>
      <c r="BV116" t="str">
        <f t="shared" si="29"/>
        <v>edw_Freight (Electric)</v>
      </c>
      <c r="BW116" t="str">
        <f t="shared" si="30"/>
        <v>electric_ELRL</v>
      </c>
      <c r="BX116" t="str">
        <f>VLOOKUP($BW116, Constants!$M:$N, 2, FALSE)</f>
        <v>{BLACK}Powered by: {GOLD}25kV AC</v>
      </c>
      <c r="BY116" t="str">
        <f t="shared" si="39"/>
        <v/>
      </c>
      <c r="BZ116" t="s">
        <v>350</v>
      </c>
      <c r="CA116" t="str">
        <f t="shared" si="38"/>
        <v/>
      </c>
      <c r="CB116" t="str">
        <f t="shared" si="33"/>
        <v>{BLACK}Powered by: {GOLD}25kV AC {}{SILVER}The LNER ES1 (ES for Electric Shunter) is designed for hauling heavy freight trains on steep inclines.</v>
      </c>
    </row>
    <row r="117" spans="1:80" ht="14.25" customHeight="1" x14ac:dyDescent="0.3">
      <c r="A117" t="s">
        <v>9</v>
      </c>
      <c r="B117" t="s">
        <v>156</v>
      </c>
      <c r="C117">
        <v>202</v>
      </c>
      <c r="D117" t="s">
        <v>263</v>
      </c>
      <c r="E117" t="s">
        <v>272</v>
      </c>
      <c r="F117" t="s">
        <v>275</v>
      </c>
      <c r="G117">
        <v>1904</v>
      </c>
      <c r="I117">
        <v>1962</v>
      </c>
      <c r="K117">
        <v>730</v>
      </c>
      <c r="M117" s="5">
        <v>18</v>
      </c>
      <c r="N117" s="5">
        <v>26</v>
      </c>
      <c r="O117" s="5">
        <v>2</v>
      </c>
      <c r="P117" s="5">
        <v>160</v>
      </c>
      <c r="Q117" s="6">
        <f t="shared" ref="Q117:Q124" si="40">((($Y117/2)/60)*5280)/($R117*3.2*PI())</f>
        <v>150.4511571415573</v>
      </c>
      <c r="R117" s="5">
        <v>1.6</v>
      </c>
      <c r="S117" s="5">
        <f t="shared" ref="S117:S124" si="41">((($M117*$M117/4)*PI())*($N117/12)*$O117*$P117*$Q117)/(33000*1.1)</f>
        <v>731.24999999999977</v>
      </c>
      <c r="T117">
        <v>55</v>
      </c>
      <c r="W117">
        <v>77</v>
      </c>
      <c r="X117" s="3">
        <f t="shared" si="19"/>
        <v>0.14000000000000001</v>
      </c>
      <c r="Y117">
        <v>55</v>
      </c>
      <c r="Z117">
        <f t="shared" si="34"/>
        <v>88</v>
      </c>
      <c r="AC117">
        <v>10.02</v>
      </c>
      <c r="AD117">
        <v>10.02</v>
      </c>
      <c r="AG117" s="10">
        <v>0</v>
      </c>
      <c r="AH117" t="str">
        <f>CONCATENATE(VLOOKUP(AI117, 'Voxel Sizes'!$A$2:$B$18,2,FALSE),"x",INT(AE117*15), "x", INT(AF117*15))</f>
        <v>102x0x0</v>
      </c>
      <c r="AI117">
        <f t="shared" si="20"/>
        <v>6</v>
      </c>
      <c r="AK117" t="str">
        <f>CONCATENATE(VLOOKUP(AI117,Constants!$A$2:$C$16,IF(AJ117&lt;&gt;"", 3, 2), FALSE),IF(AJ117&lt;&gt;"",CONCATENATE(",",VLOOKUP(AJ117,$B:$AK,36,FALSE)),""))</f>
        <v>2,2,2</v>
      </c>
      <c r="AS117">
        <v>1</v>
      </c>
      <c r="AU117">
        <v>30</v>
      </c>
      <c r="AV117" s="15">
        <f t="shared" si="21"/>
        <v>66</v>
      </c>
      <c r="AY117">
        <f t="shared" si="22"/>
        <v>11</v>
      </c>
      <c r="AZ117">
        <f t="shared" si="23"/>
        <v>3.65</v>
      </c>
      <c r="BA117">
        <f t="shared" si="24"/>
        <v>3.85</v>
      </c>
      <c r="BB117" s="3">
        <f t="shared" si="25"/>
        <v>0.9946666666666667</v>
      </c>
      <c r="BC117">
        <f t="shared" si="26"/>
        <v>0</v>
      </c>
      <c r="BD117">
        <f>VLOOKUP($E117,Constants!$I:$K, 2, FALSE)</f>
        <v>1.1499999999999999</v>
      </c>
      <c r="BE117">
        <f>VLOOKUP($E117,Constants!$I:$K, 3, FALSE)*IF(AND(D117="multiple_unit",Y117&lt;110),0.75,1)</f>
        <v>1.7</v>
      </c>
      <c r="BF117">
        <f>INT(POWER(((Constants!$G$2+$AY117+$AZ117+$BA117+$BC117)*$BB117)*$BE117, 1.05))+$AX117</f>
        <v>47</v>
      </c>
      <c r="BG117">
        <f>INT(POWER((((Constants!$G$1+$AY117+$AZ117+$BA117+$BC117)*($BB117))*$BD117),IF($D117="wagon",1,1.2)))+$AW117</f>
        <v>79</v>
      </c>
      <c r="BH117" s="14">
        <f t="shared" si="27"/>
        <v>36718.75</v>
      </c>
      <c r="BI117" s="14">
        <f t="shared" si="28"/>
        <v>6418.75</v>
      </c>
      <c r="BP117">
        <v>1</v>
      </c>
      <c r="BT117" t="str">
        <f>VLOOKUP(G117,Eras!$A$2:$C$10, 2, TRUE)</f>
        <v>edw</v>
      </c>
      <c r="BU117" t="s">
        <v>377</v>
      </c>
      <c r="BV117" t="str">
        <f t="shared" si="29"/>
        <v>edw_Passenger</v>
      </c>
      <c r="BW117" t="str">
        <f t="shared" si="30"/>
        <v>steam_RAIL</v>
      </c>
      <c r="BX117" t="str">
        <f>VLOOKUP($BW117, Constants!$M:$N, 2, FALSE)</f>
        <v>{BLACK}Powered by: {GOLD}Steam</v>
      </c>
      <c r="BY117" t="str">
        <f t="shared" si="39"/>
        <v/>
      </c>
      <c r="BZ117" t="s">
        <v>369</v>
      </c>
      <c r="CA117" t="str">
        <f t="shared" si="38"/>
        <v/>
      </c>
      <c r="CB117" t="str">
        <f t="shared" si="33"/>
        <v>{BLACK}Powered by: {GOLD}Steam {}{SILVER}The South Eastern and Chatham Railway H Class is an 0-4-4T tank engine designed for suburban passenger routes. It was in use until the 1960s.</v>
      </c>
    </row>
    <row r="118" spans="1:80" ht="14.25" customHeight="1" x14ac:dyDescent="0.3">
      <c r="A118" t="s">
        <v>11</v>
      </c>
      <c r="B118" t="s">
        <v>379</v>
      </c>
      <c r="C118">
        <v>204</v>
      </c>
      <c r="D118" t="s">
        <v>263</v>
      </c>
      <c r="E118" t="s">
        <v>272</v>
      </c>
      <c r="F118" t="s">
        <v>275</v>
      </c>
      <c r="G118">
        <v>1904</v>
      </c>
      <c r="H118">
        <v>1914</v>
      </c>
      <c r="I118">
        <v>1955</v>
      </c>
      <c r="K118">
        <v>850</v>
      </c>
      <c r="M118" s="5">
        <v>17</v>
      </c>
      <c r="N118" s="5">
        <v>24</v>
      </c>
      <c r="O118" s="5">
        <v>2</v>
      </c>
      <c r="P118" s="5">
        <v>180</v>
      </c>
      <c r="Q118" s="6">
        <f t="shared" si="40"/>
        <v>192.57748114119337</v>
      </c>
      <c r="R118" s="5">
        <v>1.25</v>
      </c>
      <c r="S118" s="5">
        <f t="shared" si="41"/>
        <v>867</v>
      </c>
      <c r="T118">
        <v>63.4</v>
      </c>
      <c r="W118">
        <v>95</v>
      </c>
      <c r="X118" s="3">
        <f t="shared" si="19"/>
        <v>0.14984227129337541</v>
      </c>
      <c r="Y118">
        <v>55</v>
      </c>
      <c r="Z118">
        <f t="shared" si="34"/>
        <v>88</v>
      </c>
      <c r="AC118">
        <v>11.5</v>
      </c>
      <c r="AD118">
        <v>11.5</v>
      </c>
      <c r="AG118" s="10">
        <v>0</v>
      </c>
      <c r="AH118" t="str">
        <f>CONCATENATE(VLOOKUP(AI118, 'Voxel Sizes'!$A$2:$B$18,2,FALSE),"x",INT(AE118*15), "x", INT(AF118*15))</f>
        <v>120x0x0</v>
      </c>
      <c r="AI118">
        <f t="shared" si="20"/>
        <v>7</v>
      </c>
      <c r="AK118" t="str">
        <f>CONCATENATE(VLOOKUP(AI118,Constants!$A$2:$C$16,IF(AJ118&lt;&gt;"", 3, 2), FALSE),IF(AJ118&lt;&gt;"",CONCATENATE(",",VLOOKUP(AJ118,$B:$AK,36,FALSE)),""))</f>
        <v>2,3,2</v>
      </c>
      <c r="AS118">
        <v>1</v>
      </c>
      <c r="AU118">
        <v>38</v>
      </c>
      <c r="AV118" s="15">
        <f t="shared" si="21"/>
        <v>59</v>
      </c>
      <c r="AY118">
        <f t="shared" si="22"/>
        <v>11</v>
      </c>
      <c r="AZ118">
        <f t="shared" si="23"/>
        <v>4.25</v>
      </c>
      <c r="BA118">
        <f t="shared" si="24"/>
        <v>4.75</v>
      </c>
      <c r="BB118" s="3">
        <f t="shared" si="25"/>
        <v>0.9946666666666667</v>
      </c>
      <c r="BC118">
        <f t="shared" si="26"/>
        <v>0</v>
      </c>
      <c r="BD118">
        <f>VLOOKUP($E118,Constants!$I:$K, 2, FALSE)</f>
        <v>1.1499999999999999</v>
      </c>
      <c r="BE118">
        <f>VLOOKUP($E118,Constants!$I:$K, 3, FALSE)*IF(AND(D118="multiple_unit",Y118&lt;110),0.75,1)</f>
        <v>1.7</v>
      </c>
      <c r="BF118">
        <f>INT(POWER(((Constants!$G$2+$AY118+$AZ118+$BA118+$BC118)*$BB118)*$BE118, 1.05))+$AX118</f>
        <v>50</v>
      </c>
      <c r="BG118">
        <f>INT(POWER((((Constants!$G$1+$AY118+$AZ118+$BA118+$BC118)*($BB118))*$BD118),IF($D118="wagon",1,1.2)))+$AW118</f>
        <v>83</v>
      </c>
      <c r="BH118" s="14">
        <f t="shared" si="27"/>
        <v>39062.5</v>
      </c>
      <c r="BI118" s="14">
        <f t="shared" si="28"/>
        <v>6743.75</v>
      </c>
      <c r="BP118">
        <v>2</v>
      </c>
      <c r="BT118" t="str">
        <f>VLOOKUP(G118,Eras!$A$2:$C$10, 2, TRUE)</f>
        <v>edw</v>
      </c>
      <c r="BU118" t="s">
        <v>327</v>
      </c>
      <c r="BV118" t="str">
        <f t="shared" si="29"/>
        <v>edw_Mixed Traffic</v>
      </c>
      <c r="BW118" t="str">
        <f t="shared" si="30"/>
        <v>steam_RAIL</v>
      </c>
      <c r="BX118" t="str">
        <f>VLOOKUP($BW118, Constants!$M:$N, 2, FALSE)</f>
        <v>{BLACK}Powered by: {GOLD}Steam</v>
      </c>
      <c r="BY118" t="str">
        <f t="shared" si="39"/>
        <v/>
      </c>
      <c r="BZ118" t="s">
        <v>378</v>
      </c>
      <c r="CA118" t="str">
        <f t="shared" si="38"/>
        <v/>
      </c>
      <c r="CB118" t="str">
        <f t="shared" si="33"/>
        <v>{BLACK}Powered by: {GOLD}Steam {}{SILVER}The GWR "Small Prairie" tank engines were designed for operating branch lines.</v>
      </c>
    </row>
    <row r="119" spans="1:80" x14ac:dyDescent="0.3">
      <c r="A119" t="s">
        <v>1197</v>
      </c>
      <c r="B119" t="s">
        <v>1198</v>
      </c>
      <c r="C119">
        <v>205</v>
      </c>
      <c r="D119" t="s">
        <v>263</v>
      </c>
      <c r="E119" t="s">
        <v>272</v>
      </c>
      <c r="F119" t="s">
        <v>275</v>
      </c>
      <c r="G119">
        <v>1906</v>
      </c>
      <c r="H119">
        <v>1923</v>
      </c>
      <c r="I119">
        <v>1957</v>
      </c>
      <c r="K119">
        <v>1200</v>
      </c>
      <c r="M119" s="5">
        <v>14.25</v>
      </c>
      <c r="N119" s="5">
        <v>26</v>
      </c>
      <c r="O119" s="5">
        <v>4</v>
      </c>
      <c r="P119" s="5">
        <v>225</v>
      </c>
      <c r="Q119" s="6">
        <f t="shared" si="40"/>
        <v>181.47545340356362</v>
      </c>
      <c r="R119" s="5">
        <v>2.0499999999999998</v>
      </c>
      <c r="S119" s="5">
        <f t="shared" si="41"/>
        <v>1554.7676171008873</v>
      </c>
      <c r="T119">
        <v>77</v>
      </c>
      <c r="U119" s="8">
        <v>40</v>
      </c>
      <c r="W119">
        <v>111</v>
      </c>
      <c r="X119" s="3">
        <f t="shared" si="19"/>
        <v>9.4871794871794868E-2</v>
      </c>
      <c r="Y119">
        <v>85</v>
      </c>
      <c r="Z119">
        <f t="shared" si="34"/>
        <v>136</v>
      </c>
      <c r="AD119">
        <v>12</v>
      </c>
      <c r="AG119" s="10">
        <v>0</v>
      </c>
      <c r="AH119" t="str">
        <f>CONCATENATE(VLOOKUP(AI119, 'Voxel Sizes'!$A$2:$B$18,2,FALSE),"x",INT(AE119*15), "x", INT(AF119*15))</f>
        <v>120x0x0</v>
      </c>
      <c r="AI119">
        <f t="shared" si="20"/>
        <v>7</v>
      </c>
      <c r="AJ119" t="s">
        <v>1201</v>
      </c>
      <c r="AK119" t="str">
        <f>CONCATENATE(VLOOKUP(AI119,Constants!$A$2:$C$16,IF(AJ119&lt;&gt;"", 3, 2), FALSE),IF(AJ119&lt;&gt;"",CONCATENATE(",",VLOOKUP(AJ119,$B:$AK,36,FALSE)),""))</f>
        <v>2,3,2,2,1,2</v>
      </c>
      <c r="AS119">
        <v>1</v>
      </c>
      <c r="AU119">
        <v>29</v>
      </c>
      <c r="AV119" s="15">
        <f t="shared" si="21"/>
        <v>59</v>
      </c>
      <c r="AW119">
        <v>12</v>
      </c>
      <c r="AX119">
        <v>10</v>
      </c>
      <c r="AY119">
        <f t="shared" si="22"/>
        <v>17</v>
      </c>
      <c r="AZ119">
        <f t="shared" si="23"/>
        <v>6</v>
      </c>
      <c r="BA119">
        <f t="shared" si="24"/>
        <v>5.5500000000000007</v>
      </c>
      <c r="BB119" s="3">
        <f t="shared" si="25"/>
        <v>0.99199999999999999</v>
      </c>
      <c r="BC119">
        <f t="shared" si="26"/>
        <v>0</v>
      </c>
      <c r="BD119">
        <f>VLOOKUP($E119,Constants!$I:$K, 2, FALSE)</f>
        <v>1.1499999999999999</v>
      </c>
      <c r="BE119">
        <f>VLOOKUP($E119,Constants!$I:$K, 3, FALSE)*IF(AND(D119="multiple_unit",Y119&lt;110),0.75,1)</f>
        <v>1.7</v>
      </c>
      <c r="BF119">
        <f>INT(POWER(((Constants!$G$2+$AY119+$AZ119+$BA119+$BC119)*$BB119)*$BE119, 1.05))+$AX119</f>
        <v>79</v>
      </c>
      <c r="BG119">
        <f>INT(POWER((((Constants!$G$1+$AY119+$AZ119+$BA119+$BC119)*($BB119))*$BD119),IF($D119="wagon",1,1.2)))+$AW119</f>
        <v>120</v>
      </c>
      <c r="BH119" s="14">
        <f t="shared" si="27"/>
        <v>61718.75</v>
      </c>
      <c r="BI119" s="14">
        <f t="shared" si="28"/>
        <v>9750</v>
      </c>
      <c r="BP119">
        <v>1</v>
      </c>
      <c r="BT119" t="str">
        <f>VLOOKUP(G119,Eras!$A$2:$C$10, 2, TRUE)</f>
        <v>edw</v>
      </c>
      <c r="BU119" t="s">
        <v>328</v>
      </c>
      <c r="BV119" t="str">
        <f t="shared" si="29"/>
        <v>edw_Express</v>
      </c>
      <c r="BW119" t="str">
        <f t="shared" si="30"/>
        <v>steam_RAIL</v>
      </c>
      <c r="BX119" t="str">
        <f>VLOOKUP($BW119, Constants!$M:$N, 2, FALSE)</f>
        <v>{BLACK}Powered by: {GOLD}Steam</v>
      </c>
      <c r="BY119" t="str">
        <f t="shared" si="39"/>
        <v/>
      </c>
      <c r="BZ119" t="s">
        <v>1199</v>
      </c>
      <c r="CA119" t="str">
        <f t="shared" si="38"/>
        <v/>
      </c>
      <c r="CB119" t="str">
        <f t="shared" si="33"/>
        <v>{BLACK}Powered by: {GOLD}Steam {}{SILVER}The Star class was the first in a string of successful four cylinder express locomotives built by the GWR.</v>
      </c>
    </row>
    <row r="120" spans="1:80" x14ac:dyDescent="0.3">
      <c r="A120" t="s">
        <v>18</v>
      </c>
      <c r="B120" t="s">
        <v>157</v>
      </c>
      <c r="C120">
        <v>206</v>
      </c>
      <c r="D120" t="s">
        <v>263</v>
      </c>
      <c r="E120" t="s">
        <v>272</v>
      </c>
      <c r="F120" t="s">
        <v>275</v>
      </c>
      <c r="G120">
        <v>1911</v>
      </c>
      <c r="H120">
        <v>1926</v>
      </c>
      <c r="I120">
        <v>1960</v>
      </c>
      <c r="K120">
        <v>850</v>
      </c>
      <c r="M120" s="5">
        <v>20</v>
      </c>
      <c r="N120" s="5">
        <v>26</v>
      </c>
      <c r="O120" s="5">
        <v>2</v>
      </c>
      <c r="P120" s="5">
        <v>180</v>
      </c>
      <c r="Q120" s="6">
        <f t="shared" si="40"/>
        <v>128.72826279491534</v>
      </c>
      <c r="R120" s="5">
        <v>1.7</v>
      </c>
      <c r="S120" s="5">
        <f t="shared" si="41"/>
        <v>868.98395721925135</v>
      </c>
      <c r="T120">
        <v>87</v>
      </c>
      <c r="W120">
        <v>106</v>
      </c>
      <c r="X120" s="3">
        <f t="shared" si="19"/>
        <v>0.12183908045977011</v>
      </c>
      <c r="Y120">
        <v>50</v>
      </c>
      <c r="Z120">
        <f t="shared" si="34"/>
        <v>80</v>
      </c>
      <c r="AC120">
        <v>13.1</v>
      </c>
      <c r="AD120">
        <v>13.1</v>
      </c>
      <c r="AG120" s="10">
        <v>0</v>
      </c>
      <c r="AH120" t="str">
        <f>CONCATENATE(VLOOKUP(AI120, 'Voxel Sizes'!$A$2:$B$18,2,FALSE),"x",INT(AE120*15), "x", INT(AF120*15))</f>
        <v>136x0x0</v>
      </c>
      <c r="AI120">
        <f t="shared" si="20"/>
        <v>8</v>
      </c>
      <c r="AK120" t="str">
        <f>CONCATENATE(VLOOKUP(AI120,Constants!$A$2:$C$16,IF(AJ120&lt;&gt;"", 3, 2), FALSE),IF(AJ120&lt;&gt;"",CONCATENATE(",",VLOOKUP(AJ120,$B:$AK,36,FALSE)),""))</f>
        <v>2,4,2</v>
      </c>
      <c r="AS120">
        <v>1</v>
      </c>
      <c r="AU120">
        <v>32</v>
      </c>
      <c r="AV120" s="15">
        <f t="shared" si="21"/>
        <v>57</v>
      </c>
      <c r="AY120">
        <f t="shared" si="22"/>
        <v>10</v>
      </c>
      <c r="AZ120">
        <f t="shared" si="23"/>
        <v>4.25</v>
      </c>
      <c r="BA120">
        <f t="shared" si="24"/>
        <v>5.3000000000000007</v>
      </c>
      <c r="BB120" s="3">
        <f t="shared" si="25"/>
        <v>0.98533333333333328</v>
      </c>
      <c r="BC120">
        <f t="shared" si="26"/>
        <v>0</v>
      </c>
      <c r="BD120">
        <f>VLOOKUP($E120,Constants!$I:$K, 2, FALSE)</f>
        <v>1.1499999999999999</v>
      </c>
      <c r="BE120">
        <f>VLOOKUP($E120,Constants!$I:$K, 3, FALSE)*IF(AND(D120="multiple_unit",Y120&lt;110),0.75,1)</f>
        <v>1.7</v>
      </c>
      <c r="BF120">
        <f>INT(POWER(((Constants!$G$2+$AY120+$AZ120+$BA120+$BC120)*$BB120)*$BE120, 1.05))+$AX120</f>
        <v>49</v>
      </c>
      <c r="BG120">
        <f>INT(POWER((((Constants!$G$1+$AY120+$AZ120+$BA120+$BC120)*($BB120))*$BD120),IF($D120="wagon",1,1.2)))+$AW120</f>
        <v>81</v>
      </c>
      <c r="BH120" s="14">
        <f t="shared" si="27"/>
        <v>38281.25</v>
      </c>
      <c r="BI120" s="14">
        <f t="shared" si="28"/>
        <v>6581.25</v>
      </c>
      <c r="BP120">
        <v>3</v>
      </c>
      <c r="BT120" t="str">
        <f>VLOOKUP(G120,Eras!$A$2:$C$10, 2, TRUE)</f>
        <v>edw</v>
      </c>
      <c r="BU120" t="s">
        <v>377</v>
      </c>
      <c r="BV120" t="str">
        <f t="shared" si="29"/>
        <v>edw_Passenger</v>
      </c>
      <c r="BW120" t="str">
        <f t="shared" si="30"/>
        <v>steam_RAIL</v>
      </c>
      <c r="BX120" t="str">
        <f>VLOOKUP($BW120, Constants!$M:$N, 2, FALSE)</f>
        <v>{BLACK}Powered by: {GOLD}Steam</v>
      </c>
      <c r="BY120" t="str">
        <f t="shared" si="39"/>
        <v/>
      </c>
      <c r="BZ120" t="s">
        <v>381</v>
      </c>
      <c r="CA120" t="str">
        <f t="shared" si="38"/>
        <v/>
      </c>
      <c r="CB120" t="str">
        <f t="shared" si="33"/>
        <v>{BLACK}Powered by: {GOLD}Steam {}{SILVER}The GCR 9N (later LNER A5) is a 4-6-2 tank locomotive designed for suburban passenger services.</v>
      </c>
    </row>
    <row r="121" spans="1:80" x14ac:dyDescent="0.3">
      <c r="A121" t="s">
        <v>19</v>
      </c>
      <c r="B121" t="s">
        <v>385</v>
      </c>
      <c r="C121">
        <v>208</v>
      </c>
      <c r="D121" t="s">
        <v>263</v>
      </c>
      <c r="E121" t="s">
        <v>272</v>
      </c>
      <c r="F121" t="s">
        <v>275</v>
      </c>
      <c r="G121">
        <v>1911</v>
      </c>
      <c r="H121">
        <v>1914</v>
      </c>
      <c r="I121">
        <v>1966</v>
      </c>
      <c r="K121">
        <v>1250</v>
      </c>
      <c r="M121" s="5">
        <v>21</v>
      </c>
      <c r="N121" s="5">
        <v>26</v>
      </c>
      <c r="O121" s="5">
        <v>2</v>
      </c>
      <c r="P121" s="5">
        <v>180</v>
      </c>
      <c r="Q121" s="6">
        <f t="shared" si="40"/>
        <v>123.28904042329923</v>
      </c>
      <c r="R121" s="5">
        <v>1.42</v>
      </c>
      <c r="S121" s="5">
        <f t="shared" si="41"/>
        <v>917.57362355953899</v>
      </c>
      <c r="T121">
        <v>75</v>
      </c>
      <c r="U121" s="8">
        <v>42</v>
      </c>
      <c r="W121">
        <v>139</v>
      </c>
      <c r="X121" s="3">
        <f t="shared" si="19"/>
        <v>0.1188034188034188</v>
      </c>
      <c r="Y121">
        <v>40</v>
      </c>
      <c r="Z121">
        <f t="shared" si="34"/>
        <v>64</v>
      </c>
      <c r="AC121">
        <v>18.809999999999999</v>
      </c>
      <c r="AD121">
        <v>11.31</v>
      </c>
      <c r="AG121" s="10">
        <v>0</v>
      </c>
      <c r="AH121" t="str">
        <f>CONCATENATE(VLOOKUP(AI121, 'Voxel Sizes'!$A$2:$B$18,2,FALSE),"x",INT(AE121*15), "x", INT(AF121*15))</f>
        <v>120x0x0</v>
      </c>
      <c r="AI121">
        <f t="shared" si="20"/>
        <v>7</v>
      </c>
      <c r="AJ121" t="s">
        <v>309</v>
      </c>
      <c r="AK121" t="str">
        <f>CONCATENATE(VLOOKUP(AI121,Constants!$A$2:$C$16,IF(AJ121&lt;&gt;"", 3, 2), FALSE),IF(AJ121&lt;&gt;"",CONCATENATE(",",VLOOKUP(AJ121,$B:$AK,36,FALSE)),""))</f>
        <v>2,3,2,2,1,2</v>
      </c>
      <c r="AS121">
        <v>1</v>
      </c>
      <c r="AU121">
        <v>34</v>
      </c>
      <c r="AV121" s="15">
        <f t="shared" si="21"/>
        <v>63</v>
      </c>
      <c r="AY121">
        <f t="shared" si="22"/>
        <v>8</v>
      </c>
      <c r="AZ121">
        <f t="shared" si="23"/>
        <v>6.25</v>
      </c>
      <c r="BA121">
        <f t="shared" si="24"/>
        <v>6.9499999999999993</v>
      </c>
      <c r="BB121" s="3">
        <f t="shared" si="25"/>
        <v>0.98533333333333328</v>
      </c>
      <c r="BC121">
        <f t="shared" si="26"/>
        <v>0</v>
      </c>
      <c r="BD121">
        <f>VLOOKUP($E121,Constants!$I:$K, 2, FALSE)</f>
        <v>1.1499999999999999</v>
      </c>
      <c r="BE121">
        <f>VLOOKUP($E121,Constants!$I:$K, 3, FALSE)*IF(AND(D121="multiple_unit",Y121&lt;110),0.75,1)</f>
        <v>1.7</v>
      </c>
      <c r="BF121">
        <f>INT(POWER(((Constants!$G$2+$AY121+$AZ121+$BA121+$BC121)*$BB121)*$BE121, 1.05))+$AX121</f>
        <v>53</v>
      </c>
      <c r="BG121">
        <f>INT(POWER((((Constants!$G$1+$AY121+$AZ121+$BA121+$BC121)*($BB121))*$BD121),IF($D121="wagon",1,1.2)))+$AW121</f>
        <v>86</v>
      </c>
      <c r="BH121" s="14">
        <f t="shared" si="27"/>
        <v>41406.25</v>
      </c>
      <c r="BI121" s="14">
        <f t="shared" si="28"/>
        <v>6987.5</v>
      </c>
      <c r="BP121">
        <v>4</v>
      </c>
      <c r="BT121" t="str">
        <f>VLOOKUP(G121,Eras!$A$2:$C$10, 2, TRUE)</f>
        <v>edw</v>
      </c>
      <c r="BU121" t="s">
        <v>329</v>
      </c>
      <c r="BV121" t="str">
        <f t="shared" si="29"/>
        <v>edw_Freight</v>
      </c>
      <c r="BW121" t="str">
        <f t="shared" si="30"/>
        <v>steam_RAIL</v>
      </c>
      <c r="BX121" t="str">
        <f>VLOOKUP($BW121, Constants!$M:$N, 2, FALSE)</f>
        <v>{BLACK}Powered by: {GOLD}Steam</v>
      </c>
      <c r="BY121" t="str">
        <f t="shared" si="39"/>
        <v/>
      </c>
      <c r="BZ121" t="s">
        <v>1196</v>
      </c>
      <c r="CA121" t="str">
        <f t="shared" si="38"/>
        <v/>
      </c>
      <c r="CB121" t="str">
        <f t="shared" si="33"/>
        <v>{BLACK}Powered by: {GOLD}Steam {}{SILVER}The Robinson 8K is a heavy freight engine based on earlier 0-8-0 designs, with a front pony truck to improve the ride and axle loads at the front of the locomotive.</v>
      </c>
    </row>
    <row r="122" spans="1:80" x14ac:dyDescent="0.3">
      <c r="A122" t="s">
        <v>1173</v>
      </c>
      <c r="B122" t="s">
        <v>1172</v>
      </c>
      <c r="C122">
        <v>209</v>
      </c>
      <c r="D122" t="s">
        <v>263</v>
      </c>
      <c r="E122" t="s">
        <v>272</v>
      </c>
      <c r="F122" t="s">
        <v>275</v>
      </c>
      <c r="G122">
        <v>1919</v>
      </c>
      <c r="I122">
        <v>1956</v>
      </c>
      <c r="K122">
        <v>1400</v>
      </c>
      <c r="M122" s="5">
        <v>16.75</v>
      </c>
      <c r="N122" s="5">
        <v>28</v>
      </c>
      <c r="O122" s="5">
        <v>4</v>
      </c>
      <c r="P122" s="5">
        <v>180</v>
      </c>
      <c r="Q122" s="6">
        <f t="shared" si="40"/>
        <v>125.05031242934635</v>
      </c>
      <c r="R122" s="5">
        <v>1.4</v>
      </c>
      <c r="S122" s="5">
        <f t="shared" si="41"/>
        <v>1275.2840909090912</v>
      </c>
      <c r="T122">
        <v>74.8</v>
      </c>
      <c r="U122" s="8">
        <f>106.7-74.8</f>
        <v>31.900000000000006</v>
      </c>
      <c r="W122">
        <v>193</v>
      </c>
      <c r="X122" s="3">
        <f t="shared" si="19"/>
        <v>0.18088097469540768</v>
      </c>
      <c r="Y122">
        <v>40</v>
      </c>
      <c r="Z122">
        <f t="shared" si="34"/>
        <v>64</v>
      </c>
      <c r="AD122">
        <v>13</v>
      </c>
      <c r="AG122" s="10">
        <v>0</v>
      </c>
      <c r="AH122" t="str">
        <f>CONCATENATE(VLOOKUP(AI122, 'Voxel Sizes'!$A$2:$B$18,2,FALSE),"x",INT(AE122*15), "x", INT(AF122*15))</f>
        <v>136x0x0</v>
      </c>
      <c r="AI122">
        <f t="shared" si="20"/>
        <v>8</v>
      </c>
      <c r="AJ122" t="s">
        <v>1190</v>
      </c>
      <c r="AK122" t="str">
        <f>CONCATENATE(VLOOKUP(AI122,Constants!$A$2:$C$16,IF(AJ122&lt;&gt;"", 3, 2), FALSE),IF(AJ122&lt;&gt;"",CONCATENATE(",",VLOOKUP(AJ122,$B:$AK,36,FALSE)),""))</f>
        <v>2,4,2,2,1,2</v>
      </c>
      <c r="AS122">
        <v>1</v>
      </c>
      <c r="AU122">
        <v>31</v>
      </c>
      <c r="AV122" s="15">
        <f t="shared" si="21"/>
        <v>45</v>
      </c>
      <c r="AX122">
        <v>4</v>
      </c>
      <c r="AY122">
        <f t="shared" si="22"/>
        <v>8</v>
      </c>
      <c r="AZ122">
        <f t="shared" si="23"/>
        <v>7</v>
      </c>
      <c r="BA122">
        <f t="shared" si="24"/>
        <v>9.65</v>
      </c>
      <c r="BB122" s="3">
        <f t="shared" si="25"/>
        <v>0.97466666666666668</v>
      </c>
      <c r="BC122">
        <f t="shared" si="26"/>
        <v>0</v>
      </c>
      <c r="BD122">
        <f>VLOOKUP($E122,Constants!$I:$K, 2, FALSE)</f>
        <v>1.1499999999999999</v>
      </c>
      <c r="BE122">
        <f>VLOOKUP($E122,Constants!$I:$K, 3, FALSE)*IF(AND(D122="multiple_unit",Y122&lt;110),0.75,1)</f>
        <v>1.7</v>
      </c>
      <c r="BF122">
        <f>INT(POWER(((Constants!$G$2+$AY122+$AZ122+$BA122+$BC122)*$BB122)*$BE122, 1.05))+$AX122</f>
        <v>63</v>
      </c>
      <c r="BG122">
        <f>INT(POWER((((Constants!$G$1+$AY122+$AZ122+$BA122+$BC122)*($BB122))*$BD122),IF($D122="wagon",1,1.2)))+$AW122</f>
        <v>94</v>
      </c>
      <c r="BH122" s="14">
        <f t="shared" si="27"/>
        <v>49218.75</v>
      </c>
      <c r="BI122" s="14">
        <f t="shared" si="28"/>
        <v>7637.5</v>
      </c>
      <c r="BP122">
        <v>3</v>
      </c>
      <c r="BT122" t="str">
        <f>VLOOKUP(G122,Eras!$A$2:$C$10, 2, TRUE)</f>
        <v>edw</v>
      </c>
      <c r="BU122" t="s">
        <v>329</v>
      </c>
      <c r="BV122" t="str">
        <f t="shared" si="29"/>
        <v>edw_Freight</v>
      </c>
      <c r="BW122" t="str">
        <f t="shared" si="30"/>
        <v>steam_RAIL</v>
      </c>
      <c r="BX122" t="str">
        <f>VLOOKUP($BW122, Constants!$M:$N, 2, FALSE)</f>
        <v>{BLACK}Powered by: {GOLD}Steam</v>
      </c>
      <c r="BY122" t="str">
        <f t="shared" si="39"/>
        <v/>
      </c>
      <c r="BZ122" t="s">
        <v>1184</v>
      </c>
      <c r="CA122" t="str">
        <f t="shared" si="38"/>
        <v/>
      </c>
      <c r="CB122" t="str">
        <f t="shared" si="33"/>
        <v>{BLACK}Powered by: {GOLD}Steam {}{SILVER}The "Lickey Banker" was a single 0-10-0 engine built to help add power and tractive effort to trains climbing the 1 in 37 Lickey Incline.</v>
      </c>
    </row>
    <row r="123" spans="1:80" x14ac:dyDescent="0.3">
      <c r="A123" t="s">
        <v>387</v>
      </c>
      <c r="B123" t="s">
        <v>388</v>
      </c>
      <c r="C123">
        <v>210</v>
      </c>
      <c r="D123" t="s">
        <v>263</v>
      </c>
      <c r="E123" t="s">
        <v>272</v>
      </c>
      <c r="F123" t="s">
        <v>275</v>
      </c>
      <c r="G123">
        <v>1912</v>
      </c>
      <c r="I123">
        <v>1962</v>
      </c>
      <c r="K123">
        <v>1050</v>
      </c>
      <c r="M123" s="5">
        <v>20</v>
      </c>
      <c r="N123" s="5">
        <v>26</v>
      </c>
      <c r="O123" s="5">
        <v>2</v>
      </c>
      <c r="P123" s="5">
        <v>180</v>
      </c>
      <c r="Q123" s="6">
        <f t="shared" si="40"/>
        <v>141.60108907440687</v>
      </c>
      <c r="R123" s="5">
        <v>1.7</v>
      </c>
      <c r="S123" s="5">
        <f t="shared" si="41"/>
        <v>955.88235294117646</v>
      </c>
      <c r="T123">
        <v>61</v>
      </c>
      <c r="W123">
        <v>104</v>
      </c>
      <c r="X123" s="3">
        <f t="shared" si="19"/>
        <v>0.17049180327868851</v>
      </c>
      <c r="Y123">
        <v>55</v>
      </c>
      <c r="Z123">
        <f t="shared" si="34"/>
        <v>88</v>
      </c>
      <c r="AC123">
        <v>14.4</v>
      </c>
      <c r="AD123">
        <v>10</v>
      </c>
      <c r="AG123" s="10">
        <v>0</v>
      </c>
      <c r="AH123" t="str">
        <f>CONCATENATE(VLOOKUP(AI123, 'Voxel Sizes'!$A$2:$B$18,2,FALSE),"x",INT(AE123*15), "x", INT(AF123*15))</f>
        <v>102x0x0</v>
      </c>
      <c r="AI123">
        <f t="shared" si="20"/>
        <v>6</v>
      </c>
      <c r="AJ123" t="s">
        <v>390</v>
      </c>
      <c r="AK123" t="str">
        <f>CONCATENATE(VLOOKUP(AI123,Constants!$A$2:$C$16,IF(AJ123&lt;&gt;"", 3, 2), FALSE),IF(AJ123&lt;&gt;"",CONCATENATE(",",VLOOKUP(AJ123,$B:$AK,36,FALSE)),""))</f>
        <v>2,2,2,2,1,2</v>
      </c>
      <c r="AS123">
        <v>1</v>
      </c>
      <c r="AU123">
        <v>30</v>
      </c>
      <c r="AV123" s="15">
        <f t="shared" si="21"/>
        <v>58</v>
      </c>
      <c r="AW123">
        <v>5</v>
      </c>
      <c r="AY123">
        <f t="shared" si="22"/>
        <v>11</v>
      </c>
      <c r="AZ123">
        <f t="shared" si="23"/>
        <v>5.25</v>
      </c>
      <c r="BA123">
        <f t="shared" si="24"/>
        <v>5.2</v>
      </c>
      <c r="BB123" s="3">
        <f t="shared" si="25"/>
        <v>0.98399999999999999</v>
      </c>
      <c r="BC123">
        <f t="shared" si="26"/>
        <v>0</v>
      </c>
      <c r="BD123">
        <f>VLOOKUP($E123,Constants!$I:$K, 2, FALSE)</f>
        <v>1.1499999999999999</v>
      </c>
      <c r="BE123">
        <f>VLOOKUP($E123,Constants!$I:$K, 3, FALSE)*IF(AND(D123="multiple_unit",Y123&lt;110),0.75,1)</f>
        <v>1.7</v>
      </c>
      <c r="BF123">
        <f>INT(POWER(((Constants!$G$2+$AY123+$AZ123+$BA123+$BC123)*$BB123)*$BE123, 1.05))+$AX123</f>
        <v>53</v>
      </c>
      <c r="BG123">
        <f>INT(POWER((((Constants!$G$1+$AY123+$AZ123+$BA123+$BC123)*($BB123))*$BD123),IF($D123="wagon",1,1.2)))+$AW123</f>
        <v>91</v>
      </c>
      <c r="BH123" s="14">
        <f t="shared" si="27"/>
        <v>41406.25</v>
      </c>
      <c r="BI123" s="14">
        <f t="shared" si="28"/>
        <v>7393.75</v>
      </c>
      <c r="BP123">
        <v>5</v>
      </c>
      <c r="BT123" t="str">
        <f>VLOOKUP(G123,Eras!$A$2:$C$10, 2, TRUE)</f>
        <v>edw</v>
      </c>
      <c r="BU123" t="s">
        <v>329</v>
      </c>
      <c r="BV123" t="str">
        <f t="shared" si="29"/>
        <v>edw_Freight</v>
      </c>
      <c r="BW123" t="str">
        <f t="shared" si="30"/>
        <v>steam_RAIL</v>
      </c>
      <c r="BX123" t="str">
        <f>VLOOKUP($BW123, Constants!$M:$N, 2, FALSE)</f>
        <v>{BLACK}Powered by: {GOLD}Steam</v>
      </c>
      <c r="BY123" t="str">
        <f t="shared" si="39"/>
        <v/>
      </c>
      <c r="BZ123" t="s">
        <v>386</v>
      </c>
      <c r="CA123" t="str">
        <f t="shared" si="38"/>
        <v/>
      </c>
      <c r="CB123" t="str">
        <f t="shared" si="33"/>
        <v>{BLACK}Powered by: {GOLD}Steam {}{SILVER}The Gresley K2 is a freight engine, designed for the GNR which had been using passenger engines to haul goods trains.</v>
      </c>
    </row>
    <row r="124" spans="1:80" x14ac:dyDescent="0.3">
      <c r="A124" t="s">
        <v>1180</v>
      </c>
      <c r="B124" t="s">
        <v>1181</v>
      </c>
      <c r="C124">
        <v>211</v>
      </c>
      <c r="D124" t="s">
        <v>263</v>
      </c>
      <c r="E124" t="s">
        <v>272</v>
      </c>
      <c r="F124" t="s">
        <v>275</v>
      </c>
      <c r="G124">
        <v>1920</v>
      </c>
      <c r="I124">
        <v>1960</v>
      </c>
      <c r="K124">
        <v>1250</v>
      </c>
      <c r="M124" s="5">
        <v>20</v>
      </c>
      <c r="N124" s="5">
        <v>28</v>
      </c>
      <c r="O124" s="5">
        <v>2</v>
      </c>
      <c r="P124" s="5">
        <v>180</v>
      </c>
      <c r="Q124" s="6">
        <f t="shared" si="40"/>
        <v>175.07043740108486</v>
      </c>
      <c r="R124" s="5">
        <v>1.5</v>
      </c>
      <c r="S124" s="5">
        <f t="shared" si="41"/>
        <v>1272.727272727273</v>
      </c>
      <c r="T124">
        <v>55.6</v>
      </c>
      <c r="U124" s="8">
        <v>32</v>
      </c>
      <c r="W124">
        <v>129</v>
      </c>
      <c r="X124" s="3">
        <f t="shared" si="19"/>
        <v>0.14726027397260275</v>
      </c>
      <c r="Y124">
        <v>60</v>
      </c>
      <c r="Z124">
        <f t="shared" si="34"/>
        <v>96</v>
      </c>
      <c r="AC124">
        <v>16.61</v>
      </c>
      <c r="AD124">
        <v>10</v>
      </c>
      <c r="AG124" s="10">
        <v>0</v>
      </c>
      <c r="AH124" t="str">
        <f>CONCATENATE(VLOOKUP(AI124, 'Voxel Sizes'!$A$2:$B$18,2,FALSE),"x",INT(AE124*15), "x", INT(AF124*15))</f>
        <v>102x0x0</v>
      </c>
      <c r="AI124">
        <f t="shared" si="20"/>
        <v>6</v>
      </c>
      <c r="AJ124" t="s">
        <v>390</v>
      </c>
      <c r="AK124" t="str">
        <f>CONCATENATE(VLOOKUP(AI124,Constants!$A$2:$C$16,IF(AJ124&lt;&gt;"", 3, 2), FALSE),IF(AJ124&lt;&gt;"",CONCATENATE(",",VLOOKUP(AJ124,$B:$AK,36,FALSE)),""))</f>
        <v>2,2,2,2,1,2</v>
      </c>
      <c r="AS124">
        <v>1</v>
      </c>
      <c r="AU124">
        <v>30</v>
      </c>
      <c r="AV124" s="15">
        <f t="shared" si="21"/>
        <v>48</v>
      </c>
      <c r="AY124">
        <f t="shared" si="22"/>
        <v>12</v>
      </c>
      <c r="AZ124">
        <f t="shared" si="23"/>
        <v>6.25</v>
      </c>
      <c r="BA124">
        <f t="shared" si="24"/>
        <v>6.45</v>
      </c>
      <c r="BB124" s="3">
        <f t="shared" si="25"/>
        <v>0.97333333333333338</v>
      </c>
      <c r="BC124">
        <f t="shared" si="26"/>
        <v>0</v>
      </c>
      <c r="BD124">
        <f>VLOOKUP($E124,Constants!$I:$K, 2, FALSE)</f>
        <v>1.1499999999999999</v>
      </c>
      <c r="BE124">
        <f>VLOOKUP($E124,Constants!$I:$K, 3, FALSE)*IF(AND(D124="multiple_unit",Y124&lt;110),0.75,1)</f>
        <v>1.7</v>
      </c>
      <c r="BF124">
        <f>INT(POWER(((Constants!$G$2+$AY124+$AZ124+$BA124+$BC124)*$BB124)*$BE124, 1.05))+$AX124</f>
        <v>59</v>
      </c>
      <c r="BG124">
        <f>INT(POWER((((Constants!$G$1+$AY124+$AZ124+$BA124+$BC124)*($BB124))*$BD124),IF($D124="wagon",1,1.2)))+$AW124</f>
        <v>94</v>
      </c>
      <c r="BH124" s="14">
        <f t="shared" si="27"/>
        <v>46093.75</v>
      </c>
      <c r="BI124" s="14">
        <f t="shared" si="28"/>
        <v>7637.5</v>
      </c>
      <c r="BP124">
        <v>4</v>
      </c>
      <c r="BT124" t="str">
        <f>VLOOKUP(G124,Eras!$A$2:$C$10, 2, TRUE)</f>
        <v>edw</v>
      </c>
      <c r="BU124" t="s">
        <v>329</v>
      </c>
      <c r="BV124" t="str">
        <f t="shared" si="29"/>
        <v>edw_Freight</v>
      </c>
      <c r="BW124" t="str">
        <f t="shared" si="30"/>
        <v>steam_RAIL</v>
      </c>
      <c r="BX124" t="str">
        <f>VLOOKUP($BW124, Constants!$M:$N, 2, FALSE)</f>
        <v>{BLACK}Powered by: {GOLD}Steam</v>
      </c>
      <c r="BY124" t="str">
        <f t="shared" si="39"/>
        <v/>
      </c>
      <c r="BZ124" t="s">
        <v>1482</v>
      </c>
      <c r="CA124" t="str">
        <f t="shared" si="38"/>
        <v/>
      </c>
      <c r="CB124" t="str">
        <f t="shared" si="33"/>
        <v>{BLACK}Powered by: {GOLD}Steam {}{SILVER}The D81 (later LNER J20 Class) continued the GER's habit of building powerful 0-6-0s, and remained the most powerful British 0-6-0 tender locomotive for over twenty years.</v>
      </c>
    </row>
    <row r="125" spans="1:80" x14ac:dyDescent="0.3">
      <c r="A125" t="s">
        <v>56</v>
      </c>
      <c r="B125" t="s">
        <v>158</v>
      </c>
      <c r="C125">
        <v>212</v>
      </c>
      <c r="D125" t="s">
        <v>263</v>
      </c>
      <c r="E125" t="s">
        <v>296</v>
      </c>
      <c r="F125" t="s">
        <v>297</v>
      </c>
      <c r="G125">
        <v>1914</v>
      </c>
      <c r="H125">
        <v>1919</v>
      </c>
      <c r="I125">
        <v>1950</v>
      </c>
      <c r="K125">
        <v>1100</v>
      </c>
      <c r="T125">
        <v>76</v>
      </c>
      <c r="W125">
        <v>140</v>
      </c>
      <c r="X125" s="3">
        <f t="shared" si="19"/>
        <v>0.18421052631578946</v>
      </c>
      <c r="Y125">
        <v>35</v>
      </c>
      <c r="Z125">
        <f t="shared" si="34"/>
        <v>56</v>
      </c>
      <c r="AC125">
        <v>12</v>
      </c>
      <c r="AD125">
        <v>12</v>
      </c>
      <c r="AG125" s="10">
        <v>0</v>
      </c>
      <c r="AH125" t="str">
        <f>CONCATENATE(VLOOKUP(AI125, 'Voxel Sizes'!$A$2:$B$18,2,FALSE),"x",INT(AE125*15), "x", INT(AF125*15))</f>
        <v>120x0x0</v>
      </c>
      <c r="AI125">
        <f t="shared" si="20"/>
        <v>7</v>
      </c>
      <c r="AK125" t="str">
        <f>CONCATENATE(VLOOKUP(AI125,Constants!$A$2:$C$16,IF(AJ125&lt;&gt;"", 3, 2), FALSE),IF(AJ125&lt;&gt;"",CONCATENATE(",",VLOOKUP(AJ125,$B:$AK,36,FALSE)),""))</f>
        <v>2,3,2</v>
      </c>
      <c r="AU125">
        <v>16</v>
      </c>
      <c r="AV125" s="15">
        <f t="shared" si="21"/>
        <v>44</v>
      </c>
      <c r="AX125">
        <v>8</v>
      </c>
      <c r="AY125">
        <f t="shared" si="22"/>
        <v>7</v>
      </c>
      <c r="AZ125">
        <f t="shared" si="23"/>
        <v>5.5</v>
      </c>
      <c r="BA125">
        <f t="shared" si="24"/>
        <v>7</v>
      </c>
      <c r="BB125" s="3">
        <f t="shared" si="25"/>
        <v>0.98133333333333328</v>
      </c>
      <c r="BC125">
        <f t="shared" si="26"/>
        <v>0</v>
      </c>
      <c r="BD125">
        <f>VLOOKUP($E125,Constants!$I:$K, 2, FALSE)</f>
        <v>0.85</v>
      </c>
      <c r="BE125">
        <f>VLOOKUP($E125,Constants!$I:$K, 3, FALSE)*IF(AND(D125="multiple_unit",Y125&lt;110),0.75,1)</f>
        <v>2.2999999999999998</v>
      </c>
      <c r="BF125">
        <f>INT(POWER(((Constants!$G$2+$AY125+$AZ125+$BA125+$BC125)*$BB125)*$BE125, 1.05))+$AX125</f>
        <v>75</v>
      </c>
      <c r="BG125">
        <f>INT(POWER((((Constants!$G$1+$AY125+$AZ125+$BA125+$BC125)*($BB125))*$BD125),IF($D125="wagon",1,1.2)))+$AW125</f>
        <v>56</v>
      </c>
      <c r="BH125" s="14">
        <f t="shared" si="27"/>
        <v>58593.75</v>
      </c>
      <c r="BI125" s="14">
        <f t="shared" si="28"/>
        <v>4550</v>
      </c>
      <c r="BP125">
        <v>6</v>
      </c>
      <c r="BT125" t="str">
        <f>VLOOKUP(G125,Eras!$A$2:$C$10, 2, TRUE)</f>
        <v>edw</v>
      </c>
      <c r="BU125" t="s">
        <v>339</v>
      </c>
      <c r="BV125" t="str">
        <f t="shared" si="29"/>
        <v>edw_Freight (Electric)</v>
      </c>
      <c r="BW125" t="str">
        <f t="shared" si="30"/>
        <v>electric_ELRL</v>
      </c>
      <c r="BX125" t="str">
        <f>VLOOKUP($BW125, Constants!$M:$N, 2, FALSE)</f>
        <v>{BLACK}Powered by: {GOLD}25kV AC</v>
      </c>
      <c r="BY125" t="str">
        <f t="shared" si="39"/>
        <v/>
      </c>
      <c r="BZ125" t="s">
        <v>391</v>
      </c>
      <c r="CA125" t="str">
        <f t="shared" si="38"/>
        <v/>
      </c>
      <c r="CB125" t="str">
        <f t="shared" si="33"/>
        <v>{BLACK}Powered by: {GOLD}25kV AC {}{SILVER}The LNER EF1 is an early electric freight engine designed for hauling heavy coal trains.</v>
      </c>
    </row>
    <row r="126" spans="1:80" x14ac:dyDescent="0.3">
      <c r="A126" t="s">
        <v>6</v>
      </c>
      <c r="B126" t="s">
        <v>159</v>
      </c>
      <c r="C126">
        <v>214</v>
      </c>
      <c r="D126" t="s">
        <v>263</v>
      </c>
      <c r="E126" t="s">
        <v>272</v>
      </c>
      <c r="F126" t="s">
        <v>275</v>
      </c>
      <c r="G126">
        <v>1923</v>
      </c>
      <c r="I126">
        <v>1966</v>
      </c>
      <c r="K126">
        <v>950</v>
      </c>
      <c r="M126" s="5">
        <v>20</v>
      </c>
      <c r="N126" s="5">
        <v>26</v>
      </c>
      <c r="O126" s="5">
        <v>2</v>
      </c>
      <c r="P126" s="5">
        <v>175</v>
      </c>
      <c r="Q126" s="6">
        <f t="shared" ref="Q126:Q131" si="42">((($Y126/2)/60)*5280)/($R126*3.2*PI())</f>
        <v>150.4511571415573</v>
      </c>
      <c r="R126" s="5">
        <v>1.6</v>
      </c>
      <c r="S126" s="5">
        <f t="shared" ref="S126:S131" si="43">((($M126*$M126/4)*PI())*($N126/12)*$O126*$P126*$Q126)/(33000*1.1)</f>
        <v>987.41319444444446</v>
      </c>
      <c r="T126">
        <f>49.5+41.8</f>
        <v>91.3</v>
      </c>
      <c r="W126">
        <v>109</v>
      </c>
      <c r="X126" s="3">
        <f t="shared" si="19"/>
        <v>0.11938663745892661</v>
      </c>
      <c r="Y126">
        <v>55</v>
      </c>
      <c r="Z126">
        <f t="shared" si="34"/>
        <v>88</v>
      </c>
      <c r="AC126">
        <v>15.8</v>
      </c>
      <c r="AD126">
        <v>10</v>
      </c>
      <c r="AG126" s="10">
        <v>0</v>
      </c>
      <c r="AH126" t="str">
        <f>CONCATENATE(VLOOKUP(AI126, 'Voxel Sizes'!$A$2:$B$18,2,FALSE),"x",INT(AE126*15), "x", INT(AF126*15))</f>
        <v>102x0x0</v>
      </c>
      <c r="AI126">
        <f t="shared" si="20"/>
        <v>6</v>
      </c>
      <c r="AJ126" t="s">
        <v>309</v>
      </c>
      <c r="AK126" t="str">
        <f>CONCATENATE(VLOOKUP(AI126,Constants!$A$2:$C$16,IF(AJ126&lt;&gt;"", 3, 2), FALSE),IF(AJ126&lt;&gt;"",CONCATENATE(",",VLOOKUP(AJ126,$B:$AK,36,FALSE)),""))</f>
        <v>2,2,2,2,1,2</v>
      </c>
      <c r="AS126">
        <v>1</v>
      </c>
      <c r="AU126">
        <v>36</v>
      </c>
      <c r="AV126" s="15">
        <f t="shared" si="21"/>
        <v>51</v>
      </c>
      <c r="AY126">
        <f t="shared" si="22"/>
        <v>11</v>
      </c>
      <c r="AZ126">
        <f t="shared" si="23"/>
        <v>4.75</v>
      </c>
      <c r="BA126">
        <f t="shared" si="24"/>
        <v>5.45</v>
      </c>
      <c r="BB126" s="3">
        <f t="shared" si="25"/>
        <v>0.96933333333333338</v>
      </c>
      <c r="BC126">
        <f t="shared" si="26"/>
        <v>0</v>
      </c>
      <c r="BD126">
        <f>VLOOKUP($E126,Constants!$I:$K, 2, FALSE)</f>
        <v>1.1499999999999999</v>
      </c>
      <c r="BE126">
        <f>VLOOKUP($E126,Constants!$I:$K, 3, FALSE)*IF(AND(D126="multiple_unit",Y126&lt;110),0.75,1)</f>
        <v>1.7</v>
      </c>
      <c r="BF126">
        <f>INT(POWER(((Constants!$G$2+$AY126+$AZ126+$BA126+$BC126)*$BB126)*$BE126, 1.05))+$AX126</f>
        <v>52</v>
      </c>
      <c r="BG126">
        <f>INT(POWER((((Constants!$G$1+$AY126+$AZ126+$BA126+$BC126)*($BB126))*$BD126),IF($D126="wagon",1,1.2)))+$AW126</f>
        <v>84</v>
      </c>
      <c r="BH126" s="14">
        <f t="shared" si="27"/>
        <v>40625</v>
      </c>
      <c r="BI126" s="14">
        <f t="shared" si="28"/>
        <v>6825</v>
      </c>
      <c r="BP126">
        <v>9</v>
      </c>
      <c r="BT126" t="str">
        <f>VLOOKUP(G126,Eras!$A$2:$C$10, 2, TRUE)</f>
        <v>big4</v>
      </c>
      <c r="BU126" t="s">
        <v>327</v>
      </c>
      <c r="BV126" t="str">
        <f t="shared" si="29"/>
        <v>big4_Mixed Traffic</v>
      </c>
      <c r="BW126" t="str">
        <f t="shared" si="30"/>
        <v>steam_RAIL</v>
      </c>
      <c r="BX126" t="str">
        <f>VLOOKUP($BW126, Constants!$M:$N, 2, FALSE)</f>
        <v>{BLACK}Powered by: {GOLD}Steam</v>
      </c>
      <c r="BY126" t="str">
        <f t="shared" si="39"/>
        <v/>
      </c>
      <c r="BZ126" t="s">
        <v>417</v>
      </c>
      <c r="CA126" t="str">
        <f t="shared" si="38"/>
        <v/>
      </c>
      <c r="CB126" t="str">
        <f t="shared" si="33"/>
        <v>{BLACK}Powered by: {GOLD}Steam {}{SILVER}The Fowler 4F is a development of the earlier Midland 3835 class.</v>
      </c>
    </row>
    <row r="127" spans="1:80" x14ac:dyDescent="0.3">
      <c r="A127" t="s">
        <v>1174</v>
      </c>
      <c r="B127" t="s">
        <v>1176</v>
      </c>
      <c r="C127">
        <v>215</v>
      </c>
      <c r="D127" t="s">
        <v>263</v>
      </c>
      <c r="E127" t="s">
        <v>272</v>
      </c>
      <c r="F127" t="s">
        <v>275</v>
      </c>
      <c r="G127">
        <v>1921</v>
      </c>
      <c r="I127">
        <v>1962</v>
      </c>
      <c r="K127">
        <v>450</v>
      </c>
      <c r="M127" s="5">
        <v>15</v>
      </c>
      <c r="N127" s="5">
        <v>22</v>
      </c>
      <c r="O127" s="5">
        <v>2</v>
      </c>
      <c r="P127" s="5">
        <v>160</v>
      </c>
      <c r="Q127" s="6">
        <f t="shared" si="42"/>
        <v>159.15494309189532</v>
      </c>
      <c r="R127" s="5">
        <v>1.1000000000000001</v>
      </c>
      <c r="S127" s="5">
        <f t="shared" si="43"/>
        <v>454.54545454545445</v>
      </c>
      <c r="T127">
        <v>33.299999999999997</v>
      </c>
      <c r="W127">
        <v>65</v>
      </c>
      <c r="X127" s="3">
        <f t="shared" si="19"/>
        <v>0.19519519519519518</v>
      </c>
      <c r="Y127">
        <v>40</v>
      </c>
      <c r="Z127">
        <f t="shared" si="34"/>
        <v>64</v>
      </c>
      <c r="AD127">
        <v>8</v>
      </c>
      <c r="AG127" s="10">
        <v>0</v>
      </c>
      <c r="AH127" t="str">
        <f>CONCATENATE(VLOOKUP(AI127, 'Voxel Sizes'!$A$2:$B$18,2,FALSE),"x",INT(AE127*15), "x", INT(AF127*15))</f>
        <v>82x0x0</v>
      </c>
      <c r="AI127">
        <f t="shared" si="20"/>
        <v>5</v>
      </c>
      <c r="AK127" t="str">
        <f>CONCATENATE(VLOOKUP(AI127,Constants!$A$2:$C$16,IF(AJ127&lt;&gt;"", 3, 2), FALSE),IF(AJ127&lt;&gt;"",CONCATENATE(",",VLOOKUP(AJ127,$B:$AK,36,FALSE)),""))</f>
        <v>2,1,2</v>
      </c>
      <c r="AS127">
        <v>1</v>
      </c>
      <c r="AU127">
        <v>33</v>
      </c>
      <c r="AV127" s="15">
        <f t="shared" si="21"/>
        <v>49</v>
      </c>
      <c r="AW127">
        <v>-15</v>
      </c>
      <c r="AX127">
        <v>-9</v>
      </c>
      <c r="AY127">
        <f t="shared" si="22"/>
        <v>8</v>
      </c>
      <c r="AZ127">
        <f t="shared" si="23"/>
        <v>2.25</v>
      </c>
      <c r="BA127">
        <f t="shared" si="24"/>
        <v>3.25</v>
      </c>
      <c r="BB127" s="3">
        <f t="shared" si="25"/>
        <v>0.97199999999999998</v>
      </c>
      <c r="BC127">
        <f t="shared" si="26"/>
        <v>0</v>
      </c>
      <c r="BD127">
        <f>VLOOKUP($E127,Constants!$I:$K, 2, FALSE)</f>
        <v>1.1499999999999999</v>
      </c>
      <c r="BE127">
        <f>VLOOKUP($E127,Constants!$I:$K, 3, FALSE)*IF(AND(D127="multiple_unit",Y127&lt;110),0.75,1)</f>
        <v>1.7</v>
      </c>
      <c r="BF127">
        <f>INT(POWER(((Constants!$G$2+$AY127+$AZ127+$BA127+$BC127)*$BB127)*$BE127, 1.05))+$AX127</f>
        <v>27</v>
      </c>
      <c r="BG127">
        <f>INT(POWER((((Constants!$G$1+$AY127+$AZ127+$BA127+$BC127)*($BB127))*$BD127),IF($D127="wagon",1,1.2)))+$AW127</f>
        <v>48</v>
      </c>
      <c r="BH127" s="14">
        <f t="shared" si="27"/>
        <v>21093.75</v>
      </c>
      <c r="BI127" s="14">
        <f t="shared" si="28"/>
        <v>3900</v>
      </c>
      <c r="BP127">
        <v>6</v>
      </c>
      <c r="BT127" t="str">
        <f>VLOOKUP(G127,Eras!$A$2:$C$10, 2, TRUE)</f>
        <v>edw</v>
      </c>
      <c r="BU127" t="s">
        <v>326</v>
      </c>
      <c r="BV127" t="str">
        <f t="shared" si="29"/>
        <v>edw_Cheap</v>
      </c>
      <c r="BW127" t="str">
        <f t="shared" si="30"/>
        <v>steam_RAIL</v>
      </c>
      <c r="BX127" t="str">
        <f>VLOOKUP($BW127, Constants!$M:$N, 2, FALSE)</f>
        <v>{BLACK}Powered by: {GOLD}Steam</v>
      </c>
      <c r="BY127" t="str">
        <f t="shared" si="39"/>
        <v/>
      </c>
      <c r="BZ127" t="s">
        <v>1192</v>
      </c>
      <c r="CA127" t="str">
        <f t="shared" si="38"/>
        <v/>
      </c>
      <c r="CB127" t="str">
        <f t="shared" si="33"/>
        <v>{BLACK}Powered by: {GOLD}Steam {}{SILVER}The 1528 class is a small 0-4-0 tank engine. Designed for shunting, it was built in two batches, the first in 1907 and the second (as here) with minor detail changes in 1921</v>
      </c>
    </row>
    <row r="128" spans="1:80" x14ac:dyDescent="0.3">
      <c r="A128" t="s">
        <v>418</v>
      </c>
      <c r="B128" t="s">
        <v>419</v>
      </c>
      <c r="C128">
        <v>216</v>
      </c>
      <c r="D128" t="s">
        <v>263</v>
      </c>
      <c r="E128" t="s">
        <v>272</v>
      </c>
      <c r="F128" t="s">
        <v>275</v>
      </c>
      <c r="G128">
        <v>1923</v>
      </c>
      <c r="H128">
        <v>1950</v>
      </c>
      <c r="I128">
        <v>1950</v>
      </c>
      <c r="K128">
        <v>1900</v>
      </c>
      <c r="M128" s="5">
        <v>16</v>
      </c>
      <c r="N128" s="5">
        <v>26</v>
      </c>
      <c r="O128" s="5">
        <v>4</v>
      </c>
      <c r="P128" s="5">
        <v>225</v>
      </c>
      <c r="Q128" s="6">
        <f t="shared" si="42"/>
        <v>223.21480768638321</v>
      </c>
      <c r="R128" s="5">
        <v>2</v>
      </c>
      <c r="S128" s="5">
        <f t="shared" si="43"/>
        <v>2410.9090909090905</v>
      </c>
      <c r="T128">
        <v>81.099999999999994</v>
      </c>
      <c r="U128" s="8">
        <v>48</v>
      </c>
      <c r="W128">
        <v>141</v>
      </c>
      <c r="X128" s="3">
        <f t="shared" si="19"/>
        <v>0.10921766072811774</v>
      </c>
      <c r="Y128">
        <v>102</v>
      </c>
      <c r="Z128">
        <f t="shared" si="34"/>
        <v>163</v>
      </c>
      <c r="AB128">
        <v>1</v>
      </c>
      <c r="AC128">
        <v>19.86</v>
      </c>
      <c r="AD128">
        <f>AC128-7.64</f>
        <v>12.219999999999999</v>
      </c>
      <c r="AF128">
        <v>4.07</v>
      </c>
      <c r="AG128" s="10">
        <v>0</v>
      </c>
      <c r="AH128" t="str">
        <f>CONCATENATE(VLOOKUP(AI128, 'Voxel Sizes'!$A$2:$B$18,2,FALSE),"x",INT(AE128*15), "x", INT(AF128*15))</f>
        <v>120x0x61</v>
      </c>
      <c r="AI128">
        <f t="shared" si="20"/>
        <v>7</v>
      </c>
      <c r="AJ128" t="s">
        <v>421</v>
      </c>
      <c r="AK128" t="str">
        <f>CONCATENATE(VLOOKUP(AI128,Constants!$A$2:$C$16,IF(AJ128&lt;&gt;"", 3, 2), FALSE),IF(AJ128&lt;&gt;"",CONCATENATE(",",VLOOKUP(AJ128,$B:$AK,36,FALSE)),""))</f>
        <v>2,3,2,2,1,2</v>
      </c>
      <c r="AS128">
        <v>1</v>
      </c>
      <c r="AU128">
        <v>30</v>
      </c>
      <c r="AV128" s="15">
        <f t="shared" si="21"/>
        <v>35</v>
      </c>
      <c r="AY128">
        <f t="shared" si="22"/>
        <v>20.400000000000002</v>
      </c>
      <c r="AZ128">
        <f t="shared" si="23"/>
        <v>9.5</v>
      </c>
      <c r="BA128">
        <f t="shared" si="24"/>
        <v>7.05</v>
      </c>
      <c r="BB128" s="3">
        <f t="shared" si="25"/>
        <v>0.96933333333333338</v>
      </c>
      <c r="BC128">
        <f t="shared" si="26"/>
        <v>0</v>
      </c>
      <c r="BD128">
        <f>VLOOKUP($E128,Constants!$I:$K, 2, FALSE)</f>
        <v>1.1499999999999999</v>
      </c>
      <c r="BE128">
        <f>VLOOKUP($E128,Constants!$I:$K, 3, FALSE)*IF(AND(D128="multiple_unit",Y128&lt;110),0.75,1)</f>
        <v>1.7</v>
      </c>
      <c r="BF128">
        <f>INT(POWER(((Constants!$G$2+$AY128+$AZ128+$BA128+$BC128)*$BB128)*$BE128, 1.05))+$AX128</f>
        <v>85</v>
      </c>
      <c r="BG128">
        <f>INT(POWER((((Constants!$G$1+$AY128+$AZ128+$BA128+$BC128)*($BB128))*$BD128),IF($D128="wagon",1,1.2)))+$AW128</f>
        <v>130</v>
      </c>
      <c r="BH128" s="14">
        <f t="shared" si="27"/>
        <v>66406.25</v>
      </c>
      <c r="BI128" s="14">
        <f t="shared" si="28"/>
        <v>10562.5</v>
      </c>
      <c r="BP128">
        <v>10</v>
      </c>
      <c r="BT128" t="str">
        <f>VLOOKUP(G128,Eras!$A$2:$C$10, 2, TRUE)</f>
        <v>big4</v>
      </c>
      <c r="BU128" t="s">
        <v>328</v>
      </c>
      <c r="BV128" t="str">
        <f t="shared" si="29"/>
        <v>big4_Express</v>
      </c>
      <c r="BW128" t="str">
        <f t="shared" si="30"/>
        <v>steam_RAIL</v>
      </c>
      <c r="BX128" t="str">
        <f>VLOOKUP($BW128, Constants!$M:$N, 2, FALSE)</f>
        <v>{BLACK}Powered by: {GOLD}Steam</v>
      </c>
      <c r="BY128" t="str">
        <f t="shared" si="39"/>
        <v/>
      </c>
      <c r="BZ128" t="s">
        <v>422</v>
      </c>
      <c r="CA128" t="str">
        <f t="shared" si="38"/>
        <v/>
      </c>
      <c r="CB128" t="str">
        <f t="shared" si="33"/>
        <v>{BLACK}Powered by: {GOLD}Steam {}{SILVER}The Castle Class is a large, powerful express locomotive designed by GWR Chief Mechanical Engineer Charles Collett</v>
      </c>
    </row>
    <row r="129" spans="1:80" x14ac:dyDescent="0.3">
      <c r="A129" t="s">
        <v>1175</v>
      </c>
      <c r="B129" t="s">
        <v>1179</v>
      </c>
      <c r="C129">
        <v>217</v>
      </c>
      <c r="D129" t="s">
        <v>263</v>
      </c>
      <c r="E129" t="s">
        <v>272</v>
      </c>
      <c r="F129" t="s">
        <v>275</v>
      </c>
      <c r="G129">
        <v>1921</v>
      </c>
      <c r="H129">
        <v>1922</v>
      </c>
      <c r="I129">
        <v>1964</v>
      </c>
      <c r="K129">
        <v>1000</v>
      </c>
      <c r="M129" s="5">
        <v>20.5</v>
      </c>
      <c r="N129" s="5">
        <v>24</v>
      </c>
      <c r="O129" s="5">
        <v>2</v>
      </c>
      <c r="P129" s="5">
        <v>175</v>
      </c>
      <c r="Q129" s="6">
        <f t="shared" si="42"/>
        <v>157.43744370601161</v>
      </c>
      <c r="R129" s="5">
        <v>1.39</v>
      </c>
      <c r="S129" s="5">
        <f t="shared" si="43"/>
        <v>1002.0676640505778</v>
      </c>
      <c r="T129">
        <v>63</v>
      </c>
      <c r="U129" s="8">
        <f>104.4-63</f>
        <v>41.400000000000006</v>
      </c>
      <c r="W129">
        <v>125</v>
      </c>
      <c r="X129" s="3">
        <f t="shared" ref="X129:X192" si="44">IF(AND(T129&gt;0,W129&gt;0),(W129/((T129+U129)*10)),"")</f>
        <v>0.11973180076628352</v>
      </c>
      <c r="Y129">
        <v>50</v>
      </c>
      <c r="Z129">
        <f t="shared" si="34"/>
        <v>80</v>
      </c>
      <c r="AD129">
        <v>10</v>
      </c>
      <c r="AG129" s="10">
        <v>0</v>
      </c>
      <c r="AH129" t="str">
        <f>CONCATENATE(VLOOKUP(AI129, 'Voxel Sizes'!$A$2:$B$18,2,FALSE),"x",INT(AE129*15), "x", INT(AF129*15))</f>
        <v>102x0x0</v>
      </c>
      <c r="AI129">
        <f t="shared" si="20"/>
        <v>6</v>
      </c>
      <c r="AJ129" t="s">
        <v>1185</v>
      </c>
      <c r="AK129" t="str">
        <f>CONCATENATE(VLOOKUP(AI129,Constants!$A$2:$C$16,IF(AJ129&lt;&gt;"", 3, 2), FALSE),IF(AJ129&lt;&gt;"",CONCATENATE(",",VLOOKUP(AJ129,$B:$AK,36,FALSE)),""))</f>
        <v>2,2,2,2,1,2</v>
      </c>
      <c r="AS129">
        <v>1</v>
      </c>
      <c r="AU129">
        <v>30</v>
      </c>
      <c r="AV129" s="15">
        <f t="shared" si="21"/>
        <v>51</v>
      </c>
      <c r="AY129">
        <f t="shared" si="22"/>
        <v>10</v>
      </c>
      <c r="AZ129">
        <f t="shared" si="23"/>
        <v>5</v>
      </c>
      <c r="BA129">
        <f t="shared" si="24"/>
        <v>6.25</v>
      </c>
      <c r="BB129" s="3">
        <f t="shared" si="25"/>
        <v>0.97199999999999998</v>
      </c>
      <c r="BC129">
        <f t="shared" si="26"/>
        <v>0</v>
      </c>
      <c r="BD129">
        <f>VLOOKUP($E129,Constants!$I:$K, 2, FALSE)</f>
        <v>1.1499999999999999</v>
      </c>
      <c r="BE129">
        <f>VLOOKUP($E129,Constants!$I:$K, 3, FALSE)*IF(AND(D129="multiple_unit",Y129&lt;110),0.75,1)</f>
        <v>1.7</v>
      </c>
      <c r="BF129">
        <f>INT(POWER(((Constants!$G$2+$AY129+$AZ129+$BA129+$BC129)*$BB129)*$BE129, 1.05))+$AX129</f>
        <v>52</v>
      </c>
      <c r="BG129">
        <f>INT(POWER((((Constants!$G$1+$AY129+$AZ129+$BA129+$BC129)*($BB129))*$BD129),IF($D129="wagon",1,1.2)))+$AW129</f>
        <v>84</v>
      </c>
      <c r="BH129" s="14">
        <f t="shared" si="27"/>
        <v>40625</v>
      </c>
      <c r="BI129" s="14">
        <f t="shared" si="28"/>
        <v>6825</v>
      </c>
      <c r="BP129">
        <v>7</v>
      </c>
      <c r="BT129" t="str">
        <f>VLOOKUP(G129,Eras!$A$2:$C$10, 2, TRUE)</f>
        <v>edw</v>
      </c>
      <c r="BU129" t="s">
        <v>329</v>
      </c>
      <c r="BV129" t="str">
        <f t="shared" si="29"/>
        <v>edw_Freight</v>
      </c>
      <c r="BW129" t="str">
        <f t="shared" si="30"/>
        <v>steam_RAIL</v>
      </c>
      <c r="BX129" t="str">
        <f>VLOOKUP($BW129, Constants!$M:$N, 2, FALSE)</f>
        <v>{BLACK}Powered by: {GOLD}Steam</v>
      </c>
      <c r="BY129" t="str">
        <f t="shared" si="39"/>
        <v/>
      </c>
      <c r="BZ129" t="s">
        <v>1187</v>
      </c>
      <c r="CA129" t="str">
        <f t="shared" si="38"/>
        <v/>
      </c>
      <c r="CB129" t="str">
        <f t="shared" si="33"/>
        <v>{BLACK}Powered by: {GOLD}Steam {}{SILVER}The LNWR G2 is an 0-8-0 freight locomotive, built from scratch as a new class and never rebuilt instead of the usual LNWR practice of rebuilding existing 8-coupled locomotives.</v>
      </c>
    </row>
    <row r="130" spans="1:80" x14ac:dyDescent="0.3">
      <c r="A130" t="s">
        <v>5</v>
      </c>
      <c r="B130" t="s">
        <v>160</v>
      </c>
      <c r="C130">
        <v>218</v>
      </c>
      <c r="D130" t="s">
        <v>263</v>
      </c>
      <c r="E130" t="s">
        <v>272</v>
      </c>
      <c r="F130" t="s">
        <v>275</v>
      </c>
      <c r="G130">
        <v>1924</v>
      </c>
      <c r="I130">
        <v>1967</v>
      </c>
      <c r="K130">
        <v>650</v>
      </c>
      <c r="M130" s="5">
        <v>18</v>
      </c>
      <c r="N130" s="5">
        <v>26</v>
      </c>
      <c r="O130" s="5">
        <v>2</v>
      </c>
      <c r="P130" s="5">
        <v>160</v>
      </c>
      <c r="Q130" s="6">
        <f t="shared" si="42"/>
        <v>140.68160148301465</v>
      </c>
      <c r="R130" s="5">
        <v>1.4</v>
      </c>
      <c r="S130" s="5">
        <f t="shared" si="43"/>
        <v>683.76623376623365</v>
      </c>
      <c r="T130">
        <v>50.2</v>
      </c>
      <c r="W130">
        <v>93</v>
      </c>
      <c r="X130" s="3">
        <f t="shared" si="44"/>
        <v>0.1852589641434263</v>
      </c>
      <c r="Y130">
        <v>45</v>
      </c>
      <c r="Z130">
        <f t="shared" si="34"/>
        <v>72</v>
      </c>
      <c r="AC130">
        <v>9.57</v>
      </c>
      <c r="AD130">
        <v>9.57</v>
      </c>
      <c r="AG130" s="10">
        <v>0</v>
      </c>
      <c r="AH130" t="str">
        <f>CONCATENATE(VLOOKUP(AI130, 'Voxel Sizes'!$A$2:$B$18,2,FALSE),"x",INT(AE130*15), "x", INT(AF130*15))</f>
        <v>102x0x0</v>
      </c>
      <c r="AI130">
        <f t="shared" ref="AI130:AI193" si="45">ROUND(15*((AD130*10)/256),0)</f>
        <v>6</v>
      </c>
      <c r="AK130" t="str">
        <f>CONCATENATE(VLOOKUP(AI130,Constants!$A$2:$C$16,IF(AJ130&lt;&gt;"", 3, 2), FALSE),IF(AJ130&lt;&gt;"",CONCATENATE(",",VLOOKUP(AJ130,$B:$AK,36,FALSE)),""))</f>
        <v>2,2,2</v>
      </c>
      <c r="AS130">
        <v>1</v>
      </c>
      <c r="AU130">
        <v>48</v>
      </c>
      <c r="AV130" s="15">
        <f t="shared" ref="AV130:AV193" si="46">IF(I130&lt;&gt;"",MAX(16,(I130-G130)+8),"")</f>
        <v>51</v>
      </c>
      <c r="AY130">
        <f t="shared" ref="AY130:AY193" si="47">MIN(Y130/150, 1)*30</f>
        <v>9</v>
      </c>
      <c r="AZ130">
        <f t="shared" ref="AZ130:AZ193" si="48">MIN(K130/4000, 1)*20</f>
        <v>3.25</v>
      </c>
      <c r="BA130">
        <f t="shared" ref="BA130:BA193" si="49">MIN(W130/400,1)*20</f>
        <v>4.6500000000000004</v>
      </c>
      <c r="BB130" s="3">
        <f t="shared" ref="BB130:BB193" si="50">1-(MAX(G130-1900, 0)/750)</f>
        <v>0.96799999999999997</v>
      </c>
      <c r="BC130">
        <f t="shared" ref="BC130:BC193" si="51">((MAX($J130,1)*MIN($AG130/300,1)))*IF(D130="Wagon",50,10)</f>
        <v>0</v>
      </c>
      <c r="BD130">
        <f>VLOOKUP($E130,Constants!$I:$K, 2, FALSE)</f>
        <v>1.1499999999999999</v>
      </c>
      <c r="BE130">
        <f>VLOOKUP($E130,Constants!$I:$K, 3, FALSE)*IF(AND(D130="multiple_unit",Y130&lt;110),0.75,1)</f>
        <v>1.7</v>
      </c>
      <c r="BF130">
        <f>INT(POWER(((Constants!$G$2+$AY130+$AZ130+$BA130+$BC130)*$BB130)*$BE130, 1.05))+$AX130</f>
        <v>43</v>
      </c>
      <c r="BG130">
        <f>INT(POWER((((Constants!$G$1+$AY130+$AZ130+$BA130+$BC130)*($BB130))*$BD130),IF($D130="wagon",1,1.2)))+$AW130</f>
        <v>72</v>
      </c>
      <c r="BH130" s="14">
        <f t="shared" ref="BH130:BH193" si="52">BF130*IF($D130="wagon",62.5,781.25)</f>
        <v>33593.75</v>
      </c>
      <c r="BI130" s="14">
        <f t="shared" ref="BI130:BI193" si="53">BG130*IF($D130="wagon",2.73,81.25)</f>
        <v>5850</v>
      </c>
      <c r="BP130">
        <v>11</v>
      </c>
      <c r="BT130" t="str">
        <f>VLOOKUP(G130,Eras!$A$2:$C$10, 2, TRUE)</f>
        <v>big4</v>
      </c>
      <c r="BU130" t="s">
        <v>326</v>
      </c>
      <c r="BV130" t="str">
        <f t="shared" ref="BV130:BV193" si="54">CONCATENATE(BT130,"_",BU130)</f>
        <v>big4_Cheap</v>
      </c>
      <c r="BW130" t="str">
        <f t="shared" ref="BW130:BW193" si="55">_xlfn.CONCAT(E130, "_",F130)</f>
        <v>steam_RAIL</v>
      </c>
      <c r="BX130" t="str">
        <f>VLOOKUP($BW130, Constants!$M:$N, 2, FALSE)</f>
        <v>{BLACK}Powered by: {GOLD}Steam</v>
      </c>
      <c r="BY130" t="str">
        <f t="shared" si="39"/>
        <v/>
      </c>
      <c r="BZ130" t="s">
        <v>351</v>
      </c>
      <c r="CA130" t="str">
        <f t="shared" ref="CA130:CA161" si="56">IF(BS130="BRAKE","{YELLOW}Speed bonus for slow wagons{}",IF(BQ130&gt;190,CONCATENATE("{YELLOW}",INT((BQ130-185)/1.85),"% Bonus for long distance travel{}"),IF(AND(BQ130&lt;180,BQ130&lt;&gt;0),CONCATENATE("{YELLOW}",INT((185-BQ130)/1.85),"% Penalty for long distance travel{}"),"")))</f>
        <v/>
      </c>
      <c r="CB130" t="str">
        <f t="shared" ref="CB130:CB193" si="57">_xlfn.CONCAT(BX130,IF(BX130 &lt;&gt; "", " ", ""),BY130,IF(OR(BY130&lt;&gt;"", BX130&lt;&gt;""), "{}",""), CA130,"{SILVER}", BZ130)</f>
        <v>{BLACK}Powered by: {GOLD}Steam {}{SILVER}The Jinty is a popular tank engine that was built in large quantities. Although small and low powered it is reliable and cheap to run. Jinties were sometimes run in pairs (or more) for working on steep inclines.</v>
      </c>
    </row>
    <row r="131" spans="1:80" x14ac:dyDescent="0.3">
      <c r="A131" t="s">
        <v>1182</v>
      </c>
      <c r="B131" t="s">
        <v>1183</v>
      </c>
      <c r="C131">
        <v>219</v>
      </c>
      <c r="D131" t="s">
        <v>263</v>
      </c>
      <c r="E131" t="s">
        <v>272</v>
      </c>
      <c r="F131" t="s">
        <v>275</v>
      </c>
      <c r="G131">
        <v>1921</v>
      </c>
      <c r="H131">
        <v>1922</v>
      </c>
      <c r="I131">
        <v>1959</v>
      </c>
      <c r="K131">
        <v>1350</v>
      </c>
      <c r="M131" s="5">
        <v>20.5</v>
      </c>
      <c r="N131" s="5">
        <v>26</v>
      </c>
      <c r="O131" s="5">
        <v>2</v>
      </c>
      <c r="P131" s="5">
        <v>180</v>
      </c>
      <c r="Q131" s="6">
        <f t="shared" si="42"/>
        <v>195.8024628827923</v>
      </c>
      <c r="R131" s="5">
        <v>1.9</v>
      </c>
      <c r="S131" s="5">
        <f t="shared" si="43"/>
        <v>1388.6849581339709</v>
      </c>
      <c r="T131">
        <v>62.2</v>
      </c>
      <c r="U131" s="8">
        <v>40</v>
      </c>
      <c r="W131">
        <v>95</v>
      </c>
      <c r="X131" s="3">
        <f t="shared" si="44"/>
        <v>9.2954990215264183E-2</v>
      </c>
      <c r="Y131">
        <v>85</v>
      </c>
      <c r="Z131">
        <f t="shared" si="34"/>
        <v>136</v>
      </c>
      <c r="AD131">
        <v>10</v>
      </c>
      <c r="AG131" s="10">
        <v>0</v>
      </c>
      <c r="AH131" t="str">
        <f>CONCATENATE(VLOOKUP(AI131, 'Voxel Sizes'!$A$2:$B$18,2,FALSE),"x",INT(AE131*15), "x", INT(AF131*15))</f>
        <v>102x0x0</v>
      </c>
      <c r="AI131">
        <f t="shared" si="45"/>
        <v>6</v>
      </c>
      <c r="AJ131" t="s">
        <v>1185</v>
      </c>
      <c r="AK131" t="str">
        <f>CONCATENATE(VLOOKUP(AI131,Constants!$A$2:$C$16,IF(AJ131&lt;&gt;"", 3, 2), FALSE),IF(AJ131&lt;&gt;"",CONCATENATE(",",VLOOKUP(AJ131,$B:$AK,36,FALSE)),""))</f>
        <v>2,2,2,2,1,2</v>
      </c>
      <c r="AU131">
        <v>31</v>
      </c>
      <c r="AV131" s="15">
        <f t="shared" si="46"/>
        <v>46</v>
      </c>
      <c r="AY131">
        <f t="shared" si="47"/>
        <v>17</v>
      </c>
      <c r="AZ131">
        <f t="shared" si="48"/>
        <v>6.75</v>
      </c>
      <c r="BA131">
        <f t="shared" si="49"/>
        <v>4.75</v>
      </c>
      <c r="BB131" s="3">
        <f t="shared" si="50"/>
        <v>0.97199999999999998</v>
      </c>
      <c r="BC131">
        <f t="shared" si="51"/>
        <v>0</v>
      </c>
      <c r="BD131">
        <f>VLOOKUP($E131,Constants!$I:$K, 2, FALSE)</f>
        <v>1.1499999999999999</v>
      </c>
      <c r="BE131">
        <f>VLOOKUP($E131,Constants!$I:$K, 3, FALSE)*IF(AND(D131="multiple_unit",Y131&lt;110),0.75,1)</f>
        <v>1.7</v>
      </c>
      <c r="BF131">
        <f>INT(POWER(((Constants!$G$2+$AY131+$AZ131+$BA131+$BC131)*$BB131)*$BE131, 1.05))+$AX131</f>
        <v>67</v>
      </c>
      <c r="BG131">
        <f>INT(POWER((((Constants!$G$1+$AY131+$AZ131+$BA131+$BC131)*($BB131))*$BD131),IF($D131="wagon",1,1.2)))+$AW131</f>
        <v>105</v>
      </c>
      <c r="BH131" s="14">
        <f t="shared" si="52"/>
        <v>52343.75</v>
      </c>
      <c r="BI131" s="14">
        <f t="shared" si="53"/>
        <v>8531.25</v>
      </c>
      <c r="BP131">
        <v>8</v>
      </c>
      <c r="BT131" t="str">
        <f>VLOOKUP(G131,Eras!$A$2:$C$10, 2, TRUE)</f>
        <v>edw</v>
      </c>
      <c r="BU131" t="s">
        <v>328</v>
      </c>
      <c r="BV131" t="str">
        <f t="shared" si="54"/>
        <v>edw_Express</v>
      </c>
      <c r="BW131" t="str">
        <f t="shared" si="55"/>
        <v>steam_RAIL</v>
      </c>
      <c r="BX131" t="str">
        <f>VLOOKUP($BW131, Constants!$M:$N, 2, FALSE)</f>
        <v>{BLACK}Powered by: {GOLD}Steam</v>
      </c>
      <c r="BY131" t="str">
        <f t="shared" si="39"/>
        <v/>
      </c>
      <c r="BZ131" t="s">
        <v>1188</v>
      </c>
      <c r="CA131" t="str">
        <f t="shared" si="56"/>
        <v/>
      </c>
      <c r="CB131" t="str">
        <f t="shared" si="57"/>
        <v>{BLACK}Powered by: {GOLD}Steam {}{SILVER}The Caledonian 72 class was a 4-4-0 express locomotive, later inherited by the LMS after grouping.</v>
      </c>
    </row>
    <row r="132" spans="1:80" x14ac:dyDescent="0.3">
      <c r="A132" t="s">
        <v>12</v>
      </c>
      <c r="B132" t="s">
        <v>161</v>
      </c>
      <c r="C132">
        <v>220</v>
      </c>
      <c r="D132" t="s">
        <v>263</v>
      </c>
      <c r="E132" t="s">
        <v>272</v>
      </c>
      <c r="F132" t="s">
        <v>275</v>
      </c>
      <c r="G132">
        <v>1924</v>
      </c>
      <c r="H132">
        <v>1928</v>
      </c>
      <c r="I132">
        <v>1965</v>
      </c>
      <c r="K132">
        <v>900</v>
      </c>
      <c r="T132">
        <v>62</v>
      </c>
      <c r="W132">
        <v>115</v>
      </c>
      <c r="X132" s="3">
        <f t="shared" si="44"/>
        <v>0.18548387096774194</v>
      </c>
      <c r="Y132">
        <v>50</v>
      </c>
      <c r="Z132">
        <f t="shared" si="34"/>
        <v>80</v>
      </c>
      <c r="AC132">
        <v>11.43</v>
      </c>
      <c r="AD132">
        <v>11.43</v>
      </c>
      <c r="AG132" s="10">
        <v>0</v>
      </c>
      <c r="AH132" t="str">
        <f>CONCATENATE(VLOOKUP(AI132, 'Voxel Sizes'!$A$2:$B$18,2,FALSE),"x",INT(AE132*15), "x", INT(AF132*15))</f>
        <v>120x0x0</v>
      </c>
      <c r="AI132">
        <f t="shared" si="45"/>
        <v>7</v>
      </c>
      <c r="AK132" t="str">
        <f>CONCATENATE(VLOOKUP(AI132,Constants!$A$2:$C$16,IF(AJ132&lt;&gt;"", 3, 2), FALSE),IF(AJ132&lt;&gt;"",CONCATENATE(",",VLOOKUP(AJ132,$B:$AK,36,FALSE)),""))</f>
        <v>2,3,2</v>
      </c>
      <c r="AS132">
        <v>1</v>
      </c>
      <c r="AU132">
        <v>33</v>
      </c>
      <c r="AV132" s="15">
        <f t="shared" si="46"/>
        <v>49</v>
      </c>
      <c r="AY132">
        <f t="shared" si="47"/>
        <v>10</v>
      </c>
      <c r="AZ132">
        <f t="shared" si="48"/>
        <v>4.5</v>
      </c>
      <c r="BA132">
        <f t="shared" si="49"/>
        <v>5.75</v>
      </c>
      <c r="BB132" s="3">
        <f t="shared" si="50"/>
        <v>0.96799999999999997</v>
      </c>
      <c r="BC132">
        <f t="shared" si="51"/>
        <v>0</v>
      </c>
      <c r="BD132">
        <f>VLOOKUP($E132,Constants!$I:$K, 2, FALSE)</f>
        <v>1.1499999999999999</v>
      </c>
      <c r="BE132">
        <f>VLOOKUP($E132,Constants!$I:$K, 3, FALSE)*IF(AND(D132="multiple_unit",Y132&lt;110),0.75,1)</f>
        <v>1.7</v>
      </c>
      <c r="BF132">
        <f>INT(POWER(((Constants!$G$2+$AY132+$AZ132+$BA132+$BC132)*$BB132)*$BE132, 1.05))+$AX132</f>
        <v>50</v>
      </c>
      <c r="BG132">
        <f>INT(POWER((((Constants!$G$1+$AY132+$AZ132+$BA132+$BC132)*($BB132))*$BD132),IF($D132="wagon",1,1.2)))+$AW132</f>
        <v>81</v>
      </c>
      <c r="BH132" s="14">
        <f t="shared" si="52"/>
        <v>39062.5</v>
      </c>
      <c r="BI132" s="14">
        <f t="shared" si="53"/>
        <v>6581.25</v>
      </c>
      <c r="BP132">
        <v>12</v>
      </c>
      <c r="BT132" t="str">
        <f>VLOOKUP(G132,Eras!$A$2:$C$10, 2, TRUE)</f>
        <v>big4</v>
      </c>
      <c r="BU132" t="s">
        <v>327</v>
      </c>
      <c r="BV132" t="str">
        <f t="shared" si="54"/>
        <v>big4_Mixed Traffic</v>
      </c>
      <c r="BW132" t="str">
        <f t="shared" si="55"/>
        <v>steam_RAIL</v>
      </c>
      <c r="BX132" t="str">
        <f>VLOOKUP($BW132, Constants!$M:$N, 2, FALSE)</f>
        <v>{BLACK}Powered by: {GOLD}Steam</v>
      </c>
      <c r="BY132" t="str">
        <f t="shared" si="39"/>
        <v/>
      </c>
      <c r="BZ132" t="s">
        <v>352</v>
      </c>
      <c r="CA132" t="str">
        <f t="shared" si="56"/>
        <v/>
      </c>
      <c r="CB132" t="str">
        <f t="shared" si="57"/>
        <v>{BLACK}Powered by: {GOLD}Steam {}{SILVER}The 5600 Class is a large tank engine that offers more power and tractive effort than smaller 0-6-0 tank engines, at the expense of greater weight and higher running costs.</v>
      </c>
    </row>
    <row r="133" spans="1:80" x14ac:dyDescent="0.3">
      <c r="A133" t="s">
        <v>1177</v>
      </c>
      <c r="B133" t="s">
        <v>1178</v>
      </c>
      <c r="C133">
        <v>221</v>
      </c>
      <c r="D133" t="s">
        <v>263</v>
      </c>
      <c r="E133" t="s">
        <v>272</v>
      </c>
      <c r="F133" t="s">
        <v>275</v>
      </c>
      <c r="G133">
        <v>1923</v>
      </c>
      <c r="I133">
        <v>1951</v>
      </c>
      <c r="K133">
        <v>1000</v>
      </c>
      <c r="M133" s="5">
        <v>20</v>
      </c>
      <c r="N133" s="5">
        <v>26</v>
      </c>
      <c r="O133" s="5">
        <v>2</v>
      </c>
      <c r="P133" s="5">
        <v>185</v>
      </c>
      <c r="Q133" s="6">
        <f t="shared" ref="Q133:Q139" si="58">((($Y133/2)/60)*5280)/($R133*3.2*PI())</f>
        <v>144.81929564427978</v>
      </c>
      <c r="R133" s="5">
        <v>1.36</v>
      </c>
      <c r="S133" s="5">
        <f t="shared" ref="S133:S139" si="59">((($M133*$M133/4)*PI())*($N133/12)*$O133*$P133*$Q133)/(33000*1.1)</f>
        <v>1004.7627005347595</v>
      </c>
      <c r="T133">
        <v>61</v>
      </c>
      <c r="W133">
        <v>133</v>
      </c>
      <c r="X133" s="3">
        <f t="shared" si="44"/>
        <v>0.21803278688524591</v>
      </c>
      <c r="Y133">
        <v>45</v>
      </c>
      <c r="Z133">
        <f t="shared" si="34"/>
        <v>72</v>
      </c>
      <c r="AD133">
        <v>14</v>
      </c>
      <c r="AG133" s="10">
        <v>0</v>
      </c>
      <c r="AH133" t="str">
        <f>CONCATENATE(VLOOKUP(AI133, 'Voxel Sizes'!$A$2:$B$18,2,FALSE),"x",INT(AE133*15), "x", INT(AF133*15))</f>
        <v>136x0x0</v>
      </c>
      <c r="AI133">
        <f t="shared" si="45"/>
        <v>8</v>
      </c>
      <c r="AK133" t="str">
        <f>CONCATENATE(VLOOKUP(AI133,Constants!$A$2:$C$16,IF(AJ133&lt;&gt;"", 3, 2), FALSE),IF(AJ133&lt;&gt;"",CONCATENATE(",",VLOOKUP(AJ133,$B:$AK,36,FALSE)),""))</f>
        <v>2,4,2</v>
      </c>
      <c r="AS133">
        <v>1</v>
      </c>
      <c r="AU133">
        <v>30</v>
      </c>
      <c r="AV133" s="15">
        <f t="shared" si="46"/>
        <v>36</v>
      </c>
      <c r="AY133">
        <f t="shared" si="47"/>
        <v>9</v>
      </c>
      <c r="AZ133">
        <f t="shared" si="48"/>
        <v>5</v>
      </c>
      <c r="BA133">
        <f t="shared" si="49"/>
        <v>6.65</v>
      </c>
      <c r="BB133" s="3">
        <f t="shared" si="50"/>
        <v>0.96933333333333338</v>
      </c>
      <c r="BC133">
        <f t="shared" si="51"/>
        <v>0</v>
      </c>
      <c r="BD133">
        <f>VLOOKUP($E133,Constants!$I:$K, 2, FALSE)</f>
        <v>1.1499999999999999</v>
      </c>
      <c r="BE133">
        <f>VLOOKUP($E133,Constants!$I:$K, 3, FALSE)*IF(AND(D133="multiple_unit",Y133&lt;110),0.75,1)</f>
        <v>1.7</v>
      </c>
      <c r="BF133">
        <f>INT(POWER(((Constants!$G$2+$AY133+$AZ133+$BA133+$BC133)*$BB133)*$BE133, 1.05))+$AX133</f>
        <v>50</v>
      </c>
      <c r="BG133">
        <f>INT(POWER((((Constants!$G$1+$AY133+$AZ133+$BA133+$BC133)*($BB133))*$BD133),IF($D133="wagon",1,1.2)))+$AW133</f>
        <v>82</v>
      </c>
      <c r="BH133" s="14">
        <f t="shared" si="52"/>
        <v>39062.5</v>
      </c>
      <c r="BI133" s="14">
        <f t="shared" si="53"/>
        <v>6662.5</v>
      </c>
      <c r="BP133">
        <v>5</v>
      </c>
      <c r="BT133" t="str">
        <f>VLOOKUP(G133,Eras!$A$2:$C$10, 2, TRUE)</f>
        <v>big4</v>
      </c>
      <c r="BU133" t="s">
        <v>329</v>
      </c>
      <c r="BV133" t="str">
        <f t="shared" si="54"/>
        <v>big4_Freight</v>
      </c>
      <c r="BW133" t="str">
        <f t="shared" si="55"/>
        <v>steam_RAIL</v>
      </c>
      <c r="BX133" t="str">
        <f>VLOOKUP($BW133, Constants!$M:$N, 2, FALSE)</f>
        <v>{BLACK}Powered by: {GOLD}Steam</v>
      </c>
      <c r="BY133" t="str">
        <f t="shared" si="39"/>
        <v/>
      </c>
      <c r="BZ133" t="s">
        <v>1189</v>
      </c>
      <c r="CA133" t="str">
        <f t="shared" si="56"/>
        <v/>
      </c>
      <c r="CB133" t="str">
        <f t="shared" si="57"/>
        <v>{BLACK}Powered by: {GOLD}Steam {}{SILVER}The LNWR 380 class is a large tank locomotive with an 0-8-4T chassis. It was derived from the LNWR's 0-8-0 tender engines and similar 0-8-2T tanks.</v>
      </c>
    </row>
    <row r="134" spans="1:80" x14ac:dyDescent="0.3">
      <c r="A134" t="s">
        <v>21</v>
      </c>
      <c r="B134" t="s">
        <v>295</v>
      </c>
      <c r="C134">
        <v>222</v>
      </c>
      <c r="D134" t="s">
        <v>263</v>
      </c>
      <c r="E134" t="s">
        <v>272</v>
      </c>
      <c r="F134" t="s">
        <v>275</v>
      </c>
      <c r="G134">
        <v>1926</v>
      </c>
      <c r="H134">
        <v>1932</v>
      </c>
      <c r="I134">
        <v>1967</v>
      </c>
      <c r="K134">
        <v>1400</v>
      </c>
      <c r="M134" s="5">
        <v>21</v>
      </c>
      <c r="N134" s="5">
        <v>26</v>
      </c>
      <c r="O134" s="5">
        <v>2</v>
      </c>
      <c r="P134" s="5">
        <v>180</v>
      </c>
      <c r="Q134" s="6">
        <f t="shared" si="58"/>
        <v>191.48329090743655</v>
      </c>
      <c r="R134" s="5">
        <v>1.6</v>
      </c>
      <c r="S134" s="5">
        <f t="shared" si="59"/>
        <v>1425.1065340909088</v>
      </c>
      <c r="T134">
        <v>67</v>
      </c>
      <c r="U134" s="8">
        <v>46</v>
      </c>
      <c r="W134">
        <v>118</v>
      </c>
      <c r="X134" s="3">
        <f t="shared" si="44"/>
        <v>0.10442477876106195</v>
      </c>
      <c r="Y134">
        <v>70</v>
      </c>
      <c r="Z134">
        <f t="shared" si="34"/>
        <v>112</v>
      </c>
      <c r="AC134">
        <v>10.44</v>
      </c>
      <c r="AD134">
        <v>10.44</v>
      </c>
      <c r="AG134" s="10">
        <v>0</v>
      </c>
      <c r="AH134" t="str">
        <f>CONCATENATE(VLOOKUP(AI134, 'Voxel Sizes'!$A$2:$B$18,2,FALSE),"x",INT(AE134*15), "x", INT(AF134*15))</f>
        <v>102x0x0</v>
      </c>
      <c r="AI134">
        <f t="shared" si="45"/>
        <v>6</v>
      </c>
      <c r="AJ134" t="s">
        <v>289</v>
      </c>
      <c r="AK134" t="str">
        <f>CONCATENATE(VLOOKUP(AI134,Constants!$A$2:$C$16,IF(AJ134&lt;&gt;"", 3, 2), FALSE),IF(AJ134&lt;&gt;"",CONCATENATE(",",VLOOKUP(AJ134,$B:$AK,36,FALSE)),""))</f>
        <v>2,2,2,2,1,2</v>
      </c>
      <c r="AS134">
        <v>1</v>
      </c>
      <c r="AU134">
        <v>28</v>
      </c>
      <c r="AV134" s="15">
        <f t="shared" si="46"/>
        <v>49</v>
      </c>
      <c r="AY134">
        <f t="shared" si="47"/>
        <v>14</v>
      </c>
      <c r="AZ134">
        <f t="shared" si="48"/>
        <v>7</v>
      </c>
      <c r="BA134">
        <f t="shared" si="49"/>
        <v>5.8999999999999995</v>
      </c>
      <c r="BB134" s="3">
        <f t="shared" si="50"/>
        <v>0.96533333333333338</v>
      </c>
      <c r="BC134">
        <f t="shared" si="51"/>
        <v>0</v>
      </c>
      <c r="BD134">
        <f>VLOOKUP($E134,Constants!$I:$K, 2, FALSE)</f>
        <v>1.1499999999999999</v>
      </c>
      <c r="BE134">
        <f>VLOOKUP($E134,Constants!$I:$K, 3, FALSE)*IF(AND(D134="multiple_unit",Y134&lt;110),0.75,1)</f>
        <v>1.7</v>
      </c>
      <c r="BF134">
        <f>INT(POWER(((Constants!$G$2+$AY134+$AZ134+$BA134+$BC134)*$BB134)*$BE134, 1.05))+$AX134</f>
        <v>63</v>
      </c>
      <c r="BG134">
        <f>INT(POWER((((Constants!$G$1+$AY134+$AZ134+$BA134+$BC134)*($BB134))*$BD134),IF($D134="wagon",1,1.2)))+$AW134</f>
        <v>100</v>
      </c>
      <c r="BH134" s="14">
        <f t="shared" si="52"/>
        <v>49218.75</v>
      </c>
      <c r="BI134" s="14">
        <f t="shared" si="53"/>
        <v>8125</v>
      </c>
      <c r="BP134">
        <v>1</v>
      </c>
      <c r="BT134" t="str">
        <f>VLOOKUP(G134,Eras!$A$2:$C$10, 2, TRUE)</f>
        <v>big4</v>
      </c>
      <c r="BU134" t="s">
        <v>328</v>
      </c>
      <c r="BV134" t="str">
        <f t="shared" si="54"/>
        <v>big4_Express</v>
      </c>
      <c r="BW134" t="str">
        <f t="shared" si="55"/>
        <v>steam_RAIL</v>
      </c>
      <c r="BX134" t="str">
        <f>VLOOKUP($BW134, Constants!$M:$N, 2, FALSE)</f>
        <v>{BLACK}Powered by: {GOLD}Steam</v>
      </c>
      <c r="BY134" t="str">
        <f t="shared" si="39"/>
        <v/>
      </c>
      <c r="BZ134" t="s">
        <v>353</v>
      </c>
      <c r="CA134" t="str">
        <f t="shared" si="56"/>
        <v/>
      </c>
      <c r="CB134" t="str">
        <f t="shared" si="57"/>
        <v>{BLACK}Powered by: {GOLD}Steam {}{SILVER}The Hughes Crab was named for its distinctive "scuttling" motion, caused by the inclined cylinders.</v>
      </c>
    </row>
    <row r="135" spans="1:80" x14ac:dyDescent="0.3">
      <c r="A135" t="s">
        <v>127</v>
      </c>
      <c r="B135" t="s">
        <v>424</v>
      </c>
      <c r="C135">
        <v>224</v>
      </c>
      <c r="D135" t="s">
        <v>263</v>
      </c>
      <c r="E135" t="s">
        <v>272</v>
      </c>
      <c r="F135" t="s">
        <v>275</v>
      </c>
      <c r="G135">
        <v>1927</v>
      </c>
      <c r="I135">
        <v>1961</v>
      </c>
      <c r="K135">
        <v>1200</v>
      </c>
      <c r="M135" s="5">
        <v>17</v>
      </c>
      <c r="N135" s="5">
        <v>26</v>
      </c>
      <c r="O135" s="5">
        <v>3</v>
      </c>
      <c r="P135" s="5">
        <v>180</v>
      </c>
      <c r="Q135" s="6">
        <f t="shared" si="58"/>
        <v>164.12853506351706</v>
      </c>
      <c r="R135" s="5">
        <v>2</v>
      </c>
      <c r="S135" s="5">
        <f t="shared" si="59"/>
        <v>1200.7457386363637</v>
      </c>
      <c r="T135">
        <v>66</v>
      </c>
      <c r="U135" s="8">
        <v>53</v>
      </c>
      <c r="W135">
        <v>96</v>
      </c>
      <c r="X135" s="3">
        <f t="shared" si="44"/>
        <v>8.067226890756303E-2</v>
      </c>
      <c r="Y135">
        <v>75</v>
      </c>
      <c r="Z135">
        <f t="shared" si="34"/>
        <v>120</v>
      </c>
      <c r="AC135">
        <v>17.899999999999999</v>
      </c>
      <c r="AD135">
        <f>AC135-7.5</f>
        <v>10.399999999999999</v>
      </c>
      <c r="AG135" s="10">
        <v>0</v>
      </c>
      <c r="AH135" t="str">
        <f>CONCATENATE(VLOOKUP(AI135, 'Voxel Sizes'!$A$2:$B$18,2,FALSE),"x",INT(AE135*15), "x", INT(AF135*15))</f>
        <v>102x0x0</v>
      </c>
      <c r="AI135">
        <f t="shared" si="45"/>
        <v>6</v>
      </c>
      <c r="AJ135" t="s">
        <v>390</v>
      </c>
      <c r="AK135" t="str">
        <f>CONCATENATE(VLOOKUP(AI135,Constants!$A$2:$C$16,IF(AJ135&lt;&gt;"", 3, 2), FALSE),IF(AJ135&lt;&gt;"",CONCATENATE(",",VLOOKUP(AJ135,$B:$AK,36,FALSE)),""))</f>
        <v>2,2,2,2,1,2</v>
      </c>
      <c r="AS135">
        <v>1</v>
      </c>
      <c r="AU135">
        <v>30</v>
      </c>
      <c r="AV135" s="15">
        <f t="shared" si="46"/>
        <v>42</v>
      </c>
      <c r="AY135">
        <f t="shared" si="47"/>
        <v>15</v>
      </c>
      <c r="AZ135">
        <f t="shared" si="48"/>
        <v>6</v>
      </c>
      <c r="BA135">
        <f t="shared" si="49"/>
        <v>4.8</v>
      </c>
      <c r="BB135" s="3">
        <f t="shared" si="50"/>
        <v>0.96399999999999997</v>
      </c>
      <c r="BC135">
        <f t="shared" si="51"/>
        <v>0</v>
      </c>
      <c r="BD135">
        <f>VLOOKUP($E135,Constants!$I:$K, 2, FALSE)</f>
        <v>1.1499999999999999</v>
      </c>
      <c r="BE135">
        <f>VLOOKUP($E135,Constants!$I:$K, 3, FALSE)*IF(AND(D135="multiple_unit",Y135&lt;110),0.75,1)</f>
        <v>1.7</v>
      </c>
      <c r="BF135">
        <f>INT(POWER(((Constants!$G$2+$AY135+$AZ135+$BA135+$BC135)*$BB135)*$BE135, 1.05))+$AX135</f>
        <v>61</v>
      </c>
      <c r="BG135">
        <f>INT(POWER((((Constants!$G$1+$AY135+$AZ135+$BA135+$BC135)*($BB135))*$BD135),IF($D135="wagon",1,1.2)))+$AW135</f>
        <v>96</v>
      </c>
      <c r="BH135" s="14">
        <f t="shared" si="52"/>
        <v>47656.25</v>
      </c>
      <c r="BI135" s="14">
        <f t="shared" si="53"/>
        <v>7800</v>
      </c>
      <c r="BP135">
        <v>2</v>
      </c>
      <c r="BT135" t="str">
        <f>VLOOKUP(G135,Eras!$A$2:$C$10, 2, TRUE)</f>
        <v>big4</v>
      </c>
      <c r="BU135" t="s">
        <v>377</v>
      </c>
      <c r="BV135" t="str">
        <f t="shared" si="54"/>
        <v>big4_Passenger</v>
      </c>
      <c r="BW135" t="str">
        <f t="shared" si="55"/>
        <v>steam_RAIL</v>
      </c>
      <c r="BX135" t="str">
        <f>VLOOKUP($BW135, Constants!$M:$N, 2, FALSE)</f>
        <v>{BLACK}Powered by: {GOLD}Steam</v>
      </c>
      <c r="BY135" t="str">
        <f t="shared" si="39"/>
        <v/>
      </c>
      <c r="BZ135" t="s">
        <v>423</v>
      </c>
      <c r="CA135" t="str">
        <f t="shared" si="56"/>
        <v/>
      </c>
      <c r="CB135" t="str">
        <f t="shared" si="57"/>
        <v>{BLACK}Powered by: {GOLD}Steam {}{SILVER}The D49 is a Nigel Gresley designed 4-4-0 locomotive for passenger traffic.</v>
      </c>
    </row>
    <row r="136" spans="1:80" x14ac:dyDescent="0.3">
      <c r="A136" t="s">
        <v>426</v>
      </c>
      <c r="B136" t="s">
        <v>425</v>
      </c>
      <c r="C136">
        <v>226</v>
      </c>
      <c r="D136" t="s">
        <v>263</v>
      </c>
      <c r="E136" t="s">
        <v>272</v>
      </c>
      <c r="F136" t="s">
        <v>275</v>
      </c>
      <c r="G136">
        <v>1927</v>
      </c>
      <c r="H136">
        <v>1936</v>
      </c>
      <c r="I136">
        <v>1962</v>
      </c>
      <c r="K136">
        <v>2300</v>
      </c>
      <c r="M136" s="5">
        <v>16.25</v>
      </c>
      <c r="N136" s="5">
        <v>28</v>
      </c>
      <c r="O136" s="5">
        <v>4</v>
      </c>
      <c r="P136" s="5">
        <v>250</v>
      </c>
      <c r="Q136" s="6">
        <f t="shared" si="58"/>
        <v>232.10095867568069</v>
      </c>
      <c r="R136" s="5">
        <v>1.98</v>
      </c>
      <c r="S136" s="5">
        <f t="shared" si="59"/>
        <v>3094.166690580043</v>
      </c>
      <c r="T136">
        <v>90.4</v>
      </c>
      <c r="U136" s="8">
        <v>47</v>
      </c>
      <c r="W136">
        <v>179</v>
      </c>
      <c r="X136" s="3">
        <f t="shared" si="44"/>
        <v>0.13027656477438138</v>
      </c>
      <c r="Y136">
        <v>105</v>
      </c>
      <c r="Z136">
        <f t="shared" si="34"/>
        <v>168</v>
      </c>
      <c r="AC136">
        <v>20.78</v>
      </c>
      <c r="AD136">
        <f>AC136-7.5</f>
        <v>13.280000000000001</v>
      </c>
      <c r="AF136">
        <v>4.08</v>
      </c>
      <c r="AG136" s="10">
        <v>0</v>
      </c>
      <c r="AH136" t="str">
        <f>CONCATENATE(VLOOKUP(AI136, 'Voxel Sizes'!$A$2:$B$18,2,FALSE),"x",INT(AE136*15), "x", INT(AF136*15))</f>
        <v>136x0x61</v>
      </c>
      <c r="AI136">
        <f t="shared" si="45"/>
        <v>8</v>
      </c>
      <c r="AJ136" t="s">
        <v>421</v>
      </c>
      <c r="AK136" t="str">
        <f>CONCATENATE(VLOOKUP(AI136,Constants!$A$2:$C$16,IF(AJ136&lt;&gt;"", 3, 2), FALSE),IF(AJ136&lt;&gt;"",CONCATENATE(",",VLOOKUP(AJ136,$B:$AK,36,FALSE)),""))</f>
        <v>2,4,2,2,1,2</v>
      </c>
      <c r="AS136">
        <v>1</v>
      </c>
      <c r="AU136">
        <v>30</v>
      </c>
      <c r="AV136" s="15">
        <f t="shared" si="46"/>
        <v>43</v>
      </c>
      <c r="AY136">
        <f t="shared" si="47"/>
        <v>21</v>
      </c>
      <c r="AZ136">
        <f t="shared" si="48"/>
        <v>11.5</v>
      </c>
      <c r="BA136">
        <f t="shared" si="49"/>
        <v>8.9499999999999993</v>
      </c>
      <c r="BB136" s="3">
        <f t="shared" si="50"/>
        <v>0.96399999999999997</v>
      </c>
      <c r="BC136">
        <f t="shared" si="51"/>
        <v>0</v>
      </c>
      <c r="BD136">
        <f>VLOOKUP($E136,Constants!$I:$K, 2, FALSE)</f>
        <v>1.1499999999999999</v>
      </c>
      <c r="BE136">
        <f>VLOOKUP($E136,Constants!$I:$K, 3, FALSE)*IF(AND(D136="multiple_unit",Y136&lt;110),0.75,1)</f>
        <v>1.7</v>
      </c>
      <c r="BF136">
        <f>INT(POWER(((Constants!$G$2+$AY136+$AZ136+$BA136+$BC136)*$BB136)*$BE136, 1.05))+$AX136</f>
        <v>94</v>
      </c>
      <c r="BG136">
        <f>INT(POWER((((Constants!$G$1+$AY136+$AZ136+$BA136+$BC136)*($BB136))*$BD136),IF($D136="wagon",1,1.2)))+$AW136</f>
        <v>143</v>
      </c>
      <c r="BH136" s="14">
        <f t="shared" si="52"/>
        <v>73437.5</v>
      </c>
      <c r="BI136" s="14">
        <f t="shared" si="53"/>
        <v>11618.75</v>
      </c>
      <c r="BP136">
        <v>3</v>
      </c>
      <c r="BT136" t="str">
        <f>VLOOKUP(G136,Eras!$A$2:$C$10, 2, TRUE)</f>
        <v>big4</v>
      </c>
      <c r="BU136" t="s">
        <v>328</v>
      </c>
      <c r="BV136" t="str">
        <f t="shared" si="54"/>
        <v>big4_Express</v>
      </c>
      <c r="BW136" t="str">
        <f t="shared" si="55"/>
        <v>steam_RAIL</v>
      </c>
      <c r="BX136" t="str">
        <f>VLOOKUP($BW136, Constants!$M:$N, 2, FALSE)</f>
        <v>{BLACK}Powered by: {GOLD}Steam</v>
      </c>
      <c r="BY136" t="str">
        <f t="shared" si="39"/>
        <v/>
      </c>
      <c r="BZ136" t="s">
        <v>427</v>
      </c>
      <c r="CA136" t="str">
        <f t="shared" si="56"/>
        <v/>
      </c>
      <c r="CB136" t="str">
        <f t="shared" si="57"/>
        <v>{BLACK}Powered by: {GOLD}Steam {}{SILVER}The King Class is a larger and more powerful development of the Castle Class, designed for even higher sustained speeds.</v>
      </c>
    </row>
    <row r="137" spans="1:80" x14ac:dyDescent="0.3">
      <c r="A137" t="s">
        <v>24</v>
      </c>
      <c r="B137" t="s">
        <v>429</v>
      </c>
      <c r="C137">
        <v>228</v>
      </c>
      <c r="D137" t="s">
        <v>263</v>
      </c>
      <c r="E137" t="s">
        <v>272</v>
      </c>
      <c r="F137" t="s">
        <v>275</v>
      </c>
      <c r="G137">
        <v>1927</v>
      </c>
      <c r="H137">
        <v>1934</v>
      </c>
      <c r="I137">
        <v>1966</v>
      </c>
      <c r="K137">
        <v>950</v>
      </c>
      <c r="M137" s="5">
        <v>19</v>
      </c>
      <c r="N137" s="5">
        <v>26</v>
      </c>
      <c r="O137" s="5">
        <v>2</v>
      </c>
      <c r="P137" s="5">
        <v>200</v>
      </c>
      <c r="Q137" s="6">
        <f t="shared" si="58"/>
        <v>205.96522047186451</v>
      </c>
      <c r="R137" s="5">
        <v>1.7</v>
      </c>
      <c r="S137" s="5">
        <f t="shared" si="59"/>
        <v>1394.2364824717758</v>
      </c>
      <c r="T137">
        <v>87.6</v>
      </c>
      <c r="W137">
        <v>102</v>
      </c>
      <c r="X137" s="3">
        <f t="shared" si="44"/>
        <v>0.11643835616438356</v>
      </c>
      <c r="Y137">
        <v>80</v>
      </c>
      <c r="Z137">
        <f t="shared" si="34"/>
        <v>128</v>
      </c>
      <c r="AC137">
        <v>14.4</v>
      </c>
      <c r="AD137">
        <v>14.4</v>
      </c>
      <c r="AG137" s="10">
        <v>0</v>
      </c>
      <c r="AH137" t="str">
        <f>CONCATENATE(VLOOKUP(AI137, 'Voxel Sizes'!$A$2:$B$18,2,FALSE),"x",INT(AE137*15), "x", INT(AF137*15))</f>
        <v>136x0x0</v>
      </c>
      <c r="AI137">
        <f t="shared" si="45"/>
        <v>8</v>
      </c>
      <c r="AK137" t="str">
        <f>CONCATENATE(VLOOKUP(AI137,Constants!$A$2:$C$16,IF(AJ137&lt;&gt;"", 3, 2), FALSE),IF(AJ137&lt;&gt;"",CONCATENATE(",",VLOOKUP(AJ137,$B:$AK,36,FALSE)),""))</f>
        <v>2,4,2</v>
      </c>
      <c r="AS137">
        <v>1</v>
      </c>
      <c r="AU137">
        <v>30</v>
      </c>
      <c r="AV137" s="15">
        <f t="shared" si="46"/>
        <v>47</v>
      </c>
      <c r="AY137">
        <f t="shared" si="47"/>
        <v>16</v>
      </c>
      <c r="AZ137">
        <f t="shared" si="48"/>
        <v>4.75</v>
      </c>
      <c r="BA137">
        <f t="shared" si="49"/>
        <v>5.0999999999999996</v>
      </c>
      <c r="BB137" s="3">
        <f t="shared" si="50"/>
        <v>0.96399999999999997</v>
      </c>
      <c r="BC137">
        <f t="shared" si="51"/>
        <v>0</v>
      </c>
      <c r="BD137">
        <f>VLOOKUP($E137,Constants!$I:$K, 2, FALSE)</f>
        <v>1.1499999999999999</v>
      </c>
      <c r="BE137">
        <f>VLOOKUP($E137,Constants!$I:$K, 3, FALSE)*IF(AND(D137="multiple_unit",Y137&lt;110),0.75,1)</f>
        <v>1.7</v>
      </c>
      <c r="BF137">
        <f>INT(POWER(((Constants!$G$2+$AY137+$AZ137+$BA137+$BC137)*$BB137)*$BE137, 1.05))+$AX137</f>
        <v>61</v>
      </c>
      <c r="BG137">
        <f>INT(POWER((((Constants!$G$1+$AY137+$AZ137+$BA137+$BC137)*($BB137))*$BD137),IF($D137="wagon",1,1.2)))+$AW137</f>
        <v>97</v>
      </c>
      <c r="BH137" s="14">
        <f t="shared" si="52"/>
        <v>47656.25</v>
      </c>
      <c r="BI137" s="14">
        <f t="shared" si="53"/>
        <v>7881.25</v>
      </c>
      <c r="BP137">
        <v>4</v>
      </c>
      <c r="BT137" t="str">
        <f>VLOOKUP(G137,Eras!$A$2:$C$10, 2, TRUE)</f>
        <v>big4</v>
      </c>
      <c r="BU137" t="s">
        <v>327</v>
      </c>
      <c r="BV137" t="str">
        <f t="shared" si="54"/>
        <v>big4_Mixed Traffic</v>
      </c>
      <c r="BW137" t="str">
        <f t="shared" si="55"/>
        <v>steam_RAIL</v>
      </c>
      <c r="BX137" t="str">
        <f>VLOOKUP($BW137, Constants!$M:$N, 2, FALSE)</f>
        <v>{BLACK}Powered by: {GOLD}Steam</v>
      </c>
      <c r="BY137" t="str">
        <f t="shared" ref="BY137:BY168" si="60">IF(J137&gt;1,_xlfn.CONCAT("{BLACK}Cars: {GOLD}", J137),"")</f>
        <v/>
      </c>
      <c r="BZ137" t="s">
        <v>428</v>
      </c>
      <c r="CA137" t="str">
        <f t="shared" si="56"/>
        <v/>
      </c>
      <c r="CB137" t="str">
        <f t="shared" si="57"/>
        <v>{BLACK}Powered by: {GOLD}Steam {}{SILVER}Fowler's 2-6-4T achieved high speeds for a tank engine, and was typically used on longer distance services.</v>
      </c>
    </row>
    <row r="138" spans="1:80" x14ac:dyDescent="0.3">
      <c r="A138" t="s">
        <v>430</v>
      </c>
      <c r="B138" t="s">
        <v>432</v>
      </c>
      <c r="C138">
        <v>230</v>
      </c>
      <c r="D138" t="s">
        <v>263</v>
      </c>
      <c r="E138" t="s">
        <v>272</v>
      </c>
      <c r="F138" t="s">
        <v>275</v>
      </c>
      <c r="G138">
        <v>1928</v>
      </c>
      <c r="H138">
        <v>1943</v>
      </c>
      <c r="I138">
        <v>1965</v>
      </c>
      <c r="K138">
        <v>1600</v>
      </c>
      <c r="M138" s="5">
        <v>18.5</v>
      </c>
      <c r="N138" s="5">
        <v>30</v>
      </c>
      <c r="O138" s="5">
        <v>2</v>
      </c>
      <c r="P138" s="5">
        <v>225</v>
      </c>
      <c r="Q138" s="6">
        <f t="shared" si="58"/>
        <v>194.52270822342763</v>
      </c>
      <c r="R138" s="5">
        <v>1.8</v>
      </c>
      <c r="S138" s="5">
        <f t="shared" si="59"/>
        <v>1620.501893939394</v>
      </c>
      <c r="T138">
        <v>76.2</v>
      </c>
      <c r="U138" s="8">
        <v>47</v>
      </c>
      <c r="W138">
        <v>121</v>
      </c>
      <c r="X138" s="3">
        <f t="shared" si="44"/>
        <v>9.8214285714285712E-2</v>
      </c>
      <c r="Y138">
        <v>80</v>
      </c>
      <c r="Z138">
        <f t="shared" si="34"/>
        <v>128</v>
      </c>
      <c r="AC138">
        <v>19.2</v>
      </c>
      <c r="AD138">
        <f>AC138-7.5</f>
        <v>11.7</v>
      </c>
      <c r="AF138">
        <v>4.04</v>
      </c>
      <c r="AG138" s="10">
        <v>0</v>
      </c>
      <c r="AH138" t="str">
        <f>CONCATENATE(VLOOKUP(AI138, 'Voxel Sizes'!$A$2:$B$18,2,FALSE),"x",INT(AE138*15), "x", INT(AF138*15))</f>
        <v>120x0x60</v>
      </c>
      <c r="AI138">
        <f t="shared" si="45"/>
        <v>7</v>
      </c>
      <c r="AJ138" t="s">
        <v>421</v>
      </c>
      <c r="AK138" t="str">
        <f>CONCATENATE(VLOOKUP(AI138,Constants!$A$2:$C$16,IF(AJ138&lt;&gt;"", 3, 2), FALSE),IF(AJ138&lt;&gt;"",CONCATENATE(",",VLOOKUP(AJ138,$B:$AK,36,FALSE)),""))</f>
        <v>2,3,2,2,1,2</v>
      </c>
      <c r="AS138">
        <v>1</v>
      </c>
      <c r="AU138">
        <v>30</v>
      </c>
      <c r="AV138" s="15">
        <f t="shared" si="46"/>
        <v>45</v>
      </c>
      <c r="AY138">
        <f t="shared" si="47"/>
        <v>16</v>
      </c>
      <c r="AZ138">
        <f t="shared" si="48"/>
        <v>8</v>
      </c>
      <c r="BA138">
        <f t="shared" si="49"/>
        <v>6.05</v>
      </c>
      <c r="BB138" s="3">
        <f t="shared" si="50"/>
        <v>0.96266666666666667</v>
      </c>
      <c r="BC138">
        <f t="shared" si="51"/>
        <v>0</v>
      </c>
      <c r="BD138">
        <f>VLOOKUP($E138,Constants!$I:$K, 2, FALSE)</f>
        <v>1.1499999999999999</v>
      </c>
      <c r="BE138">
        <f>VLOOKUP($E138,Constants!$I:$K, 3, FALSE)*IF(AND(D138="multiple_unit",Y138&lt;110),0.75,1)</f>
        <v>1.7</v>
      </c>
      <c r="BF138">
        <f>INT(POWER(((Constants!$G$2+$AY138+$AZ138+$BA138+$BC138)*$BB138)*$BE138, 1.05))+$AX138</f>
        <v>70</v>
      </c>
      <c r="BG138">
        <f>INT(POWER((((Constants!$G$1+$AY138+$AZ138+$BA138+$BC138)*($BB138))*$BD138),IF($D138="wagon",1,1.2)))+$AW138</f>
        <v>109</v>
      </c>
      <c r="BH138" s="14">
        <f t="shared" si="52"/>
        <v>54687.5</v>
      </c>
      <c r="BI138" s="14">
        <f t="shared" si="53"/>
        <v>8856.25</v>
      </c>
      <c r="BP138">
        <v>5</v>
      </c>
      <c r="BT138" t="str">
        <f>VLOOKUP(G138,Eras!$A$2:$C$10, 2, TRUE)</f>
        <v>big4</v>
      </c>
      <c r="BU138" t="s">
        <v>327</v>
      </c>
      <c r="BV138" t="str">
        <f t="shared" si="54"/>
        <v>big4_Mixed Traffic</v>
      </c>
      <c r="BW138" t="str">
        <f t="shared" si="55"/>
        <v>steam_RAIL</v>
      </c>
      <c r="BX138" t="str">
        <f>VLOOKUP($BW138, Constants!$M:$N, 2, FALSE)</f>
        <v>{BLACK}Powered by: {GOLD}Steam</v>
      </c>
      <c r="BY138" t="str">
        <f t="shared" si="60"/>
        <v/>
      </c>
      <c r="BZ138" t="s">
        <v>431</v>
      </c>
      <c r="CA138" t="str">
        <f t="shared" si="56"/>
        <v/>
      </c>
      <c r="CB138" t="str">
        <f t="shared" si="57"/>
        <v>{BLACK}Powered by: {GOLD}Steam {}{SILVER}The GWR 4900 Hall Class set the template for the 4-6-0 mixed traffic locomotive, fast enough for express passenger services with enough tractive effort for freight.</v>
      </c>
    </row>
    <row r="139" spans="1:80" x14ac:dyDescent="0.3">
      <c r="A139" t="s">
        <v>16</v>
      </c>
      <c r="B139" t="s">
        <v>434</v>
      </c>
      <c r="C139">
        <v>232</v>
      </c>
      <c r="D139" t="s">
        <v>263</v>
      </c>
      <c r="E139" t="s">
        <v>272</v>
      </c>
      <c r="F139" t="s">
        <v>275</v>
      </c>
      <c r="G139">
        <v>1928</v>
      </c>
      <c r="H139">
        <v>1935</v>
      </c>
      <c r="I139">
        <v>1966</v>
      </c>
      <c r="K139">
        <v>2100</v>
      </c>
      <c r="M139" s="5">
        <v>19</v>
      </c>
      <c r="N139" s="5">
        <v>26</v>
      </c>
      <c r="O139" s="5">
        <v>3</v>
      </c>
      <c r="P139" s="5">
        <v>220</v>
      </c>
      <c r="Q139" s="6">
        <f t="shared" si="58"/>
        <v>236.34509049146459</v>
      </c>
      <c r="R139" s="5">
        <v>2</v>
      </c>
      <c r="S139" s="5">
        <f t="shared" si="59"/>
        <v>2639.8124999999995</v>
      </c>
      <c r="T139">
        <v>92.8</v>
      </c>
      <c r="U139" s="8">
        <v>54</v>
      </c>
      <c r="W139">
        <v>146</v>
      </c>
      <c r="X139" s="3">
        <f t="shared" si="44"/>
        <v>9.9455040871934602E-2</v>
      </c>
      <c r="Y139">
        <v>108</v>
      </c>
      <c r="Z139">
        <f t="shared" si="34"/>
        <v>173</v>
      </c>
      <c r="AB139">
        <v>1</v>
      </c>
      <c r="AC139">
        <v>21.46</v>
      </c>
      <c r="AD139">
        <f>AC139-7.5</f>
        <v>13.96</v>
      </c>
      <c r="AG139" s="10">
        <v>0</v>
      </c>
      <c r="AH139" t="str">
        <f>CONCATENATE(VLOOKUP(AI139, 'Voxel Sizes'!$A$2:$B$18,2,FALSE),"x",INT(AE139*15), "x", INT(AF139*15))</f>
        <v>136x0x0</v>
      </c>
      <c r="AI139">
        <f t="shared" si="45"/>
        <v>8</v>
      </c>
      <c r="AJ139" t="s">
        <v>436</v>
      </c>
      <c r="AK139" t="str">
        <f>CONCATENATE(VLOOKUP(AI139,Constants!$A$2:$C$16,IF(AJ139&lt;&gt;"", 3, 2), FALSE),IF(AJ139&lt;&gt;"",CONCATENATE(",",VLOOKUP(AJ139,$B:$AK,36,FALSE)),""))</f>
        <v>2,4,2,2,1,2</v>
      </c>
      <c r="AS139">
        <v>1</v>
      </c>
      <c r="AU139">
        <v>32</v>
      </c>
      <c r="AV139" s="15">
        <f t="shared" si="46"/>
        <v>46</v>
      </c>
      <c r="AY139">
        <f t="shared" si="47"/>
        <v>21.599999999999998</v>
      </c>
      <c r="AZ139">
        <f t="shared" si="48"/>
        <v>10.5</v>
      </c>
      <c r="BA139">
        <f t="shared" si="49"/>
        <v>7.3</v>
      </c>
      <c r="BB139" s="3">
        <f t="shared" si="50"/>
        <v>0.96266666666666667</v>
      </c>
      <c r="BC139">
        <f t="shared" si="51"/>
        <v>0</v>
      </c>
      <c r="BD139">
        <f>VLOOKUP($E139,Constants!$I:$K, 2, FALSE)</f>
        <v>1.1499999999999999</v>
      </c>
      <c r="BE139">
        <f>VLOOKUP($E139,Constants!$I:$K, 3, FALSE)*IF(AND(D139="multiple_unit",Y139&lt;110),0.75,1)</f>
        <v>1.7</v>
      </c>
      <c r="BF139">
        <f>INT(POWER(((Constants!$G$2+$AY139+$AZ139+$BA139+$BC139)*$BB139)*$BE139, 1.05))+$AX139</f>
        <v>90</v>
      </c>
      <c r="BG139">
        <f>INT(POWER((((Constants!$G$1+$AY139+$AZ139+$BA139+$BC139)*($BB139))*$BD139),IF($D139="wagon",1,1.2)))+$AW139</f>
        <v>136</v>
      </c>
      <c r="BH139" s="14">
        <f t="shared" si="52"/>
        <v>70312.5</v>
      </c>
      <c r="BI139" s="14">
        <f t="shared" si="53"/>
        <v>11050</v>
      </c>
      <c r="BP139">
        <v>6</v>
      </c>
      <c r="BT139" t="str">
        <f>VLOOKUP(G139,Eras!$A$2:$C$10, 2, TRUE)</f>
        <v>big4</v>
      </c>
      <c r="BU139" t="s">
        <v>328</v>
      </c>
      <c r="BV139" t="str">
        <f t="shared" si="54"/>
        <v>big4_Express</v>
      </c>
      <c r="BW139" t="str">
        <f t="shared" si="55"/>
        <v>steam_RAIL</v>
      </c>
      <c r="BX139" t="str">
        <f>VLOOKUP($BW139, Constants!$M:$N, 2, FALSE)</f>
        <v>{BLACK}Powered by: {GOLD}Steam</v>
      </c>
      <c r="BY139" t="str">
        <f t="shared" si="60"/>
        <v/>
      </c>
      <c r="BZ139" t="s">
        <v>433</v>
      </c>
      <c r="CA139" t="str">
        <f t="shared" si="56"/>
        <v/>
      </c>
      <c r="CB139" t="str">
        <f t="shared" si="57"/>
        <v>{BLACK}Powered by: {GOLD}Steam {}{SILVER}The Gresley A3 is a Pacific (4-6-2) locomotive famed for its 100mph+ performance hauling LNER's Flying Scotsman service.</v>
      </c>
    </row>
    <row r="140" spans="1:80" x14ac:dyDescent="0.3">
      <c r="A140" t="s">
        <v>1402</v>
      </c>
      <c r="B140" t="s">
        <v>1403</v>
      </c>
      <c r="C140">
        <v>233</v>
      </c>
      <c r="D140" t="s">
        <v>263</v>
      </c>
      <c r="E140" t="s">
        <v>272</v>
      </c>
      <c r="F140" t="s">
        <v>275</v>
      </c>
      <c r="G140">
        <v>1930</v>
      </c>
      <c r="H140">
        <v>1934</v>
      </c>
      <c r="I140">
        <v>1965</v>
      </c>
      <c r="K140">
        <v>1200</v>
      </c>
      <c r="T140">
        <v>82</v>
      </c>
      <c r="U140" s="8">
        <v>44</v>
      </c>
      <c r="W140">
        <v>118</v>
      </c>
      <c r="X140" s="3">
        <f t="shared" si="44"/>
        <v>9.3650793650793651E-2</v>
      </c>
      <c r="Y140">
        <v>90</v>
      </c>
      <c r="Z140">
        <f t="shared" si="34"/>
        <v>144</v>
      </c>
      <c r="AB140">
        <v>1</v>
      </c>
      <c r="AC140">
        <v>11.76</v>
      </c>
      <c r="AD140">
        <v>11.76</v>
      </c>
      <c r="AG140" s="10">
        <v>0</v>
      </c>
      <c r="AH140" t="str">
        <f>CONCATENATE(VLOOKUP(AI140, 'Voxel Sizes'!$A$2:$B$18,2,FALSE),"x",INT(AE140*15), "x", INT(AF140*15))</f>
        <v>120x0x0</v>
      </c>
      <c r="AI140">
        <f t="shared" si="45"/>
        <v>7</v>
      </c>
      <c r="AJ140" t="s">
        <v>289</v>
      </c>
      <c r="AK140" t="str">
        <f>CONCATENATE(VLOOKUP(AI140,Constants!$A$2:$C$16,IF(AJ140&lt;&gt;"", 3, 2), FALSE),IF(AJ140&lt;&gt;"",CONCATENATE(",",VLOOKUP(AJ140,$B:$AK,36,FALSE)),""))</f>
        <v>2,3,2,2,1,2</v>
      </c>
      <c r="AS140">
        <v>1</v>
      </c>
      <c r="AU140">
        <v>34</v>
      </c>
      <c r="AV140" s="15">
        <f t="shared" si="46"/>
        <v>43</v>
      </c>
      <c r="AY140">
        <f t="shared" si="47"/>
        <v>18</v>
      </c>
      <c r="AZ140">
        <f t="shared" si="48"/>
        <v>6</v>
      </c>
      <c r="BA140">
        <f t="shared" si="49"/>
        <v>5.8999999999999995</v>
      </c>
      <c r="BB140" s="3">
        <f t="shared" si="50"/>
        <v>0.96</v>
      </c>
      <c r="BC140">
        <f t="shared" si="51"/>
        <v>0</v>
      </c>
      <c r="BD140">
        <f>VLOOKUP($E140,Constants!$I:$K, 2, FALSE)</f>
        <v>1.1499999999999999</v>
      </c>
      <c r="BE140">
        <f>VLOOKUP($E140,Constants!$I:$K, 3, FALSE)*IF(AND(D140="multiple_unit",Y140&lt;110),0.75,1)</f>
        <v>1.7</v>
      </c>
      <c r="BF140">
        <f>INT(POWER(((Constants!$G$2+$AY140+$AZ140+$BA140+$BC140)*$BB140)*$BE140, 1.05))+$AX140</f>
        <v>69</v>
      </c>
      <c r="BG140">
        <f>INT(POWER((((Constants!$G$1+$AY140+$AZ140+$BA140+$BC140)*($BB140))*$BD140),IF($D140="wagon",1,1.2)))+$AW140</f>
        <v>108</v>
      </c>
      <c r="BH140" s="14">
        <f t="shared" si="52"/>
        <v>53906.25</v>
      </c>
      <c r="BI140" s="14">
        <f t="shared" si="53"/>
        <v>8775</v>
      </c>
      <c r="BP140">
        <v>11</v>
      </c>
      <c r="BT140" t="str">
        <f>VLOOKUP(G140,Eras!$A$2:$C$10, 2, TRUE)</f>
        <v>big4</v>
      </c>
      <c r="BU140" t="s">
        <v>328</v>
      </c>
      <c r="BV140" t="str">
        <f t="shared" si="54"/>
        <v>big4_Express</v>
      </c>
      <c r="BW140" t="str">
        <f t="shared" si="55"/>
        <v>steam_RAIL</v>
      </c>
      <c r="BX140" t="str">
        <f>VLOOKUP($BW140, Constants!$M:$N, 2, FALSE)</f>
        <v>{BLACK}Powered by: {GOLD}Steam</v>
      </c>
      <c r="BY140" t="str">
        <f t="shared" si="60"/>
        <v/>
      </c>
      <c r="BZ140" t="s">
        <v>1404</v>
      </c>
      <c r="CA140" t="str">
        <f t="shared" si="56"/>
        <v/>
      </c>
      <c r="CB140" t="str">
        <f t="shared" si="57"/>
        <v>{BLACK}Powered by: {GOLD}Steam {}{SILVER}The Patriot class combined the Royal Scot chassis with boilers from the LNWR's Large Claughton class. Although none were preserved, there is a project to build a new Patriot-class locomotive.</v>
      </c>
    </row>
    <row r="141" spans="1:80" x14ac:dyDescent="0.3">
      <c r="A141" t="s">
        <v>13</v>
      </c>
      <c r="B141" t="s">
        <v>438</v>
      </c>
      <c r="C141">
        <v>234</v>
      </c>
      <c r="D141" t="s">
        <v>263</v>
      </c>
      <c r="E141" t="s">
        <v>272</v>
      </c>
      <c r="F141" t="s">
        <v>275</v>
      </c>
      <c r="G141">
        <v>1929</v>
      </c>
      <c r="H141">
        <v>1950</v>
      </c>
      <c r="I141">
        <v>1971</v>
      </c>
      <c r="K141">
        <v>750</v>
      </c>
      <c r="M141" s="5">
        <v>17.5</v>
      </c>
      <c r="N141" s="5">
        <v>24</v>
      </c>
      <c r="O141" s="5">
        <v>2</v>
      </c>
      <c r="P141" s="5">
        <v>200</v>
      </c>
      <c r="Q141" s="6">
        <f>((($Y141/2)/60)*5280)/($R141*3.2*PI())</f>
        <v>187.57546864401954</v>
      </c>
      <c r="R141" s="5">
        <v>1.4</v>
      </c>
      <c r="S141" s="5">
        <f>((($M141*$M141/4)*PI())*($N141/12)*$O141*$P141*$Q141)/(33000*1.1)</f>
        <v>994.31818181818198</v>
      </c>
      <c r="T141">
        <v>48.3</v>
      </c>
      <c r="W141">
        <v>100</v>
      </c>
      <c r="X141" s="3">
        <f t="shared" si="44"/>
        <v>0.20703933747412009</v>
      </c>
      <c r="Y141">
        <v>60</v>
      </c>
      <c r="Z141">
        <f t="shared" si="34"/>
        <v>96</v>
      </c>
      <c r="AB141">
        <v>1</v>
      </c>
      <c r="AC141">
        <v>9.5</v>
      </c>
      <c r="AD141">
        <v>9.5</v>
      </c>
      <c r="AF141">
        <v>3.7349999999999999</v>
      </c>
      <c r="AG141" s="10">
        <v>0</v>
      </c>
      <c r="AH141" t="str">
        <f>CONCATENATE(VLOOKUP(AI141, 'Voxel Sizes'!$A$2:$B$18,2,FALSE),"x",INT(AE141*15), "x", INT(AF141*15))</f>
        <v>102x0x56</v>
      </c>
      <c r="AI141">
        <f t="shared" si="45"/>
        <v>6</v>
      </c>
      <c r="AK141" t="str">
        <f>CONCATENATE(VLOOKUP(AI141,Constants!$A$2:$C$16,IF(AJ141&lt;&gt;"", 3, 2), FALSE),IF(AJ141&lt;&gt;"",CONCATENATE(",",VLOOKUP(AJ141,$B:$AK,36,FALSE)),""))</f>
        <v>2,2,2</v>
      </c>
      <c r="AS141">
        <v>1</v>
      </c>
      <c r="AU141">
        <v>37</v>
      </c>
      <c r="AV141" s="15">
        <f t="shared" si="46"/>
        <v>50</v>
      </c>
      <c r="AY141">
        <f t="shared" si="47"/>
        <v>12</v>
      </c>
      <c r="AZ141">
        <f t="shared" si="48"/>
        <v>3.75</v>
      </c>
      <c r="BA141">
        <f t="shared" si="49"/>
        <v>5</v>
      </c>
      <c r="BB141" s="3">
        <f t="shared" si="50"/>
        <v>0.96133333333333337</v>
      </c>
      <c r="BC141">
        <f t="shared" si="51"/>
        <v>0</v>
      </c>
      <c r="BD141">
        <f>VLOOKUP($E141,Constants!$I:$K, 2, FALSE)</f>
        <v>1.1499999999999999</v>
      </c>
      <c r="BE141">
        <f>VLOOKUP($E141,Constants!$I:$K, 3, FALSE)*IF(AND(D141="multiple_unit",Y141&lt;110),0.75,1)</f>
        <v>1.7</v>
      </c>
      <c r="BF141">
        <f>INT(POWER(((Constants!$G$2+$AY141+$AZ141+$BA141+$BC141)*$BB141)*$BE141, 1.05))+$AX141</f>
        <v>50</v>
      </c>
      <c r="BG141">
        <f>INT(POWER((((Constants!$G$1+$AY141+$AZ141+$BA141+$BC141)*($BB141))*$BD141),IF($D141="wagon",1,1.2)))+$AW141</f>
        <v>82</v>
      </c>
      <c r="BH141" s="14">
        <f t="shared" si="52"/>
        <v>39062.5</v>
      </c>
      <c r="BI141" s="14">
        <f t="shared" si="53"/>
        <v>6662.5</v>
      </c>
      <c r="BP141">
        <v>7</v>
      </c>
      <c r="BT141" t="str">
        <f>VLOOKUP(G141,Eras!$A$2:$C$10, 2, TRUE)</f>
        <v>big4</v>
      </c>
      <c r="BU141" t="s">
        <v>326</v>
      </c>
      <c r="BV141" t="str">
        <f t="shared" si="54"/>
        <v>big4_Cheap</v>
      </c>
      <c r="BW141" t="str">
        <f t="shared" si="55"/>
        <v>steam_RAIL</v>
      </c>
      <c r="BX141" t="str">
        <f>VLOOKUP($BW141, Constants!$M:$N, 2, FALSE)</f>
        <v>{BLACK}Powered by: {GOLD}Steam</v>
      </c>
      <c r="BY141" t="str">
        <f t="shared" si="60"/>
        <v/>
      </c>
      <c r="BZ141" t="s">
        <v>437</v>
      </c>
      <c r="CA141" t="str">
        <f t="shared" si="56"/>
        <v/>
      </c>
      <c r="CB141" t="str">
        <f t="shared" si="57"/>
        <v>{BLACK}Powered by: {GOLD}Steam {}{SILVER}The 5700 class numbered 863 locomotives, and was ubiquitous across the GWR network.</v>
      </c>
    </row>
    <row r="142" spans="1:80" ht="14.25" customHeight="1" x14ac:dyDescent="0.3">
      <c r="A142" t="s">
        <v>25</v>
      </c>
      <c r="B142" t="s">
        <v>162</v>
      </c>
      <c r="C142">
        <v>235</v>
      </c>
      <c r="D142" t="s">
        <v>263</v>
      </c>
      <c r="E142" t="s">
        <v>272</v>
      </c>
      <c r="F142" t="s">
        <v>275</v>
      </c>
      <c r="G142">
        <v>1930</v>
      </c>
      <c r="H142">
        <v>1935</v>
      </c>
      <c r="I142">
        <v>1961</v>
      </c>
      <c r="K142">
        <v>1750</v>
      </c>
      <c r="M142" s="5">
        <v>16.5</v>
      </c>
      <c r="N142" s="5">
        <v>26</v>
      </c>
      <c r="O142" s="5">
        <v>3</v>
      </c>
      <c r="P142" s="5">
        <v>220</v>
      </c>
      <c r="Q142" s="6">
        <f>((($Y142/2)/60)*5280)/($R142*3.2*PI())</f>
        <v>207.89614441378828</v>
      </c>
      <c r="R142" s="5">
        <v>2</v>
      </c>
      <c r="S142" s="5">
        <f>((($M142*$M142/4)*PI())*($N142/12)*$O142*$P142*$Q142)/(33000*1.1)</f>
        <v>1751.19140625</v>
      </c>
      <c r="T142">
        <v>68.2</v>
      </c>
      <c r="U142" s="8">
        <v>43.1</v>
      </c>
      <c r="W142">
        <v>111</v>
      </c>
      <c r="X142" s="3">
        <f t="shared" si="44"/>
        <v>9.9730458221024262E-2</v>
      </c>
      <c r="Y142">
        <v>95</v>
      </c>
      <c r="Z142">
        <f t="shared" si="34"/>
        <v>152</v>
      </c>
      <c r="AC142">
        <v>17.93</v>
      </c>
      <c r="AD142">
        <f>AC142-7.5</f>
        <v>10.43</v>
      </c>
      <c r="AF142">
        <v>3.96</v>
      </c>
      <c r="AG142" s="10">
        <v>0</v>
      </c>
      <c r="AH142" t="str">
        <f>CONCATENATE(VLOOKUP(AI142, 'Voxel Sizes'!$A$2:$B$18,2,FALSE),"x",INT(AE142*15), "x", INT(AF142*15))</f>
        <v>102x0x59</v>
      </c>
      <c r="AI142">
        <f t="shared" si="45"/>
        <v>6</v>
      </c>
      <c r="AJ142" t="s">
        <v>441</v>
      </c>
      <c r="AK142" t="str">
        <f>CONCATENATE(VLOOKUP(AI142,Constants!$A$2:$C$16,IF(AJ142&lt;&gt;"", 3, 2), FALSE),IF(AJ142&lt;&gt;"",CONCATENATE(",",VLOOKUP(AJ142,$B:$AK,36,FALSE)),""))</f>
        <v>2,2,2,2,1,2</v>
      </c>
      <c r="AS142">
        <v>1</v>
      </c>
      <c r="AU142">
        <v>29</v>
      </c>
      <c r="AV142" s="15">
        <f t="shared" si="46"/>
        <v>39</v>
      </c>
      <c r="AY142">
        <f t="shared" si="47"/>
        <v>19</v>
      </c>
      <c r="AZ142">
        <f t="shared" si="48"/>
        <v>8.75</v>
      </c>
      <c r="BA142">
        <f t="shared" si="49"/>
        <v>5.5500000000000007</v>
      </c>
      <c r="BB142" s="3">
        <f t="shared" si="50"/>
        <v>0.96</v>
      </c>
      <c r="BC142">
        <f t="shared" si="51"/>
        <v>0</v>
      </c>
      <c r="BD142">
        <f>VLOOKUP($E142,Constants!$I:$K, 2, FALSE)</f>
        <v>1.1499999999999999</v>
      </c>
      <c r="BE142">
        <f>VLOOKUP($E142,Constants!$I:$K, 3, FALSE)*IF(AND(D142="multiple_unit",Y142&lt;110),0.75,1)</f>
        <v>1.7</v>
      </c>
      <c r="BF142">
        <f>INT(POWER(((Constants!$G$2+$AY142+$AZ142+$BA142+$BC142)*$BB142)*$BE142, 1.05))+$AX142</f>
        <v>76</v>
      </c>
      <c r="BG142">
        <f>INT(POWER((((Constants!$G$1+$AY142+$AZ142+$BA142+$BC142)*($BB142))*$BD142),IF($D142="wagon",1,1.2)))+$AW142</f>
        <v>118</v>
      </c>
      <c r="BH142" s="14">
        <f t="shared" si="52"/>
        <v>59375</v>
      </c>
      <c r="BI142" s="14">
        <f t="shared" si="53"/>
        <v>9587.5</v>
      </c>
      <c r="BP142">
        <v>8</v>
      </c>
      <c r="BT142" t="str">
        <f>VLOOKUP(G142,Eras!$A$2:$C$10, 2, TRUE)</f>
        <v>big4</v>
      </c>
      <c r="BU142" t="s">
        <v>328</v>
      </c>
      <c r="BV142" t="str">
        <f t="shared" si="54"/>
        <v>big4_Express</v>
      </c>
      <c r="BW142" t="str">
        <f t="shared" si="55"/>
        <v>steam_RAIL</v>
      </c>
      <c r="BX142" t="str">
        <f>VLOOKUP($BW142, Constants!$M:$N, 2, FALSE)</f>
        <v>{BLACK}Powered by: {GOLD}Steam</v>
      </c>
      <c r="BY142" t="str">
        <f t="shared" si="60"/>
        <v/>
      </c>
      <c r="BZ142" t="s">
        <v>439</v>
      </c>
      <c r="CA142" t="str">
        <f t="shared" si="56"/>
        <v/>
      </c>
      <c r="CB142" t="str">
        <f t="shared" si="57"/>
        <v>{BLACK}Powered by: {GOLD}Steam {}{SILVER}The Schools class was the most powerful 4-4-0 locomotive produced in  Europe, and the last British locomotive with such a wheel layout.</v>
      </c>
    </row>
    <row r="143" spans="1:80" x14ac:dyDescent="0.3">
      <c r="A143" t="s">
        <v>67</v>
      </c>
      <c r="B143" t="s">
        <v>182</v>
      </c>
      <c r="C143">
        <v>236</v>
      </c>
      <c r="D143" t="s">
        <v>404</v>
      </c>
      <c r="E143" t="s">
        <v>273</v>
      </c>
      <c r="F143" t="s">
        <v>275</v>
      </c>
      <c r="G143">
        <v>1933</v>
      </c>
      <c r="H143">
        <v>1942</v>
      </c>
      <c r="I143">
        <v>1962</v>
      </c>
      <c r="J143">
        <v>1</v>
      </c>
      <c r="K143">
        <v>260</v>
      </c>
      <c r="T143">
        <v>35</v>
      </c>
      <c r="V143">
        <v>5</v>
      </c>
      <c r="W143">
        <v>55</v>
      </c>
      <c r="X143" s="3">
        <f t="shared" si="44"/>
        <v>0.15714285714285714</v>
      </c>
      <c r="Y143">
        <v>63</v>
      </c>
      <c r="Z143">
        <f t="shared" si="34"/>
        <v>101</v>
      </c>
      <c r="AC143">
        <v>18.399999999999999</v>
      </c>
      <c r="AD143">
        <v>17</v>
      </c>
      <c r="AG143" s="10">
        <v>69</v>
      </c>
      <c r="AH143" t="str">
        <f>CONCATENATE(VLOOKUP(AI143, 'Voxel Sizes'!$A$2:$B$18,2,FALSE),"x",INT(AE143*15), "x", INT(AF143*15))</f>
        <v>164x0x0</v>
      </c>
      <c r="AI143">
        <f t="shared" si="45"/>
        <v>10</v>
      </c>
      <c r="AK143" t="str">
        <f>CONCATENATE(VLOOKUP(AI143,Constants!$A$2:$C$16,IF(AJ143&lt;&gt;"", 3, 2), FALSE),IF(AJ143&lt;&gt;"",CONCATENATE(",",VLOOKUP(AJ143,$B:$AK,36,FALSE)),""))</f>
        <v>4,2,4</v>
      </c>
      <c r="AO143" t="s">
        <v>182</v>
      </c>
      <c r="AQ143">
        <v>1</v>
      </c>
      <c r="AU143">
        <v>16</v>
      </c>
      <c r="AV143" s="15">
        <f t="shared" si="46"/>
        <v>37</v>
      </c>
      <c r="AY143">
        <f t="shared" si="47"/>
        <v>12.6</v>
      </c>
      <c r="AZ143">
        <f t="shared" si="48"/>
        <v>1.3</v>
      </c>
      <c r="BA143">
        <f t="shared" si="49"/>
        <v>2.75</v>
      </c>
      <c r="BB143" s="3">
        <f t="shared" si="50"/>
        <v>0.95599999999999996</v>
      </c>
      <c r="BC143">
        <f t="shared" si="51"/>
        <v>2.3000000000000003</v>
      </c>
      <c r="BD143">
        <f>VLOOKUP($E143,Constants!$I:$K, 2, FALSE)</f>
        <v>1</v>
      </c>
      <c r="BE143">
        <f>VLOOKUP($E143,Constants!$I:$K, 3, FALSE)*IF(AND(D143="multiple_unit",Y143&lt;110),0.75,1)</f>
        <v>1.5</v>
      </c>
      <c r="BF143">
        <f>INT(POWER(((Constants!$G$2+$AY143+$AZ143+$BA143+$BC143)*$BB143)*$BE143, 1.05))+$AX143</f>
        <v>40</v>
      </c>
      <c r="BG143">
        <f>INT(POWER((((Constants!$G$1+$AY143+$AZ143+$BA143+$BC143)*($BB143))*$BD143),IF($D143="wagon",1,1.2)))+$AW143</f>
        <v>65</v>
      </c>
      <c r="BH143" s="14">
        <f t="shared" si="52"/>
        <v>31250</v>
      </c>
      <c r="BI143" s="14">
        <f t="shared" si="53"/>
        <v>5281.25</v>
      </c>
      <c r="BP143">
        <v>9</v>
      </c>
      <c r="BS143" t="s">
        <v>283</v>
      </c>
      <c r="BT143" t="str">
        <f>VLOOKUP(G143,Eras!$A$2:$C$10, 2, TRUE)</f>
        <v>big4</v>
      </c>
      <c r="BU143" t="s">
        <v>330</v>
      </c>
      <c r="BV143" t="str">
        <f t="shared" si="54"/>
        <v>big4_DMU (Cheap)</v>
      </c>
      <c r="BW143" t="str">
        <f t="shared" si="55"/>
        <v>diesel_RAIL</v>
      </c>
      <c r="BX143" t="str">
        <f>VLOOKUP($BW143, Constants!$M:$N, 2, FALSE)</f>
        <v>{BLACK}Powered by: {GOLD}Diesel</v>
      </c>
      <c r="BY143" t="str">
        <f t="shared" si="60"/>
        <v/>
      </c>
      <c r="BZ143" t="s">
        <v>449</v>
      </c>
      <c r="CA143" t="str">
        <f t="shared" si="56"/>
        <v/>
      </c>
      <c r="CB143" t="str">
        <f t="shared" si="57"/>
        <v>{BLACK}Powered by: {GOLD}Diesel {}{SILVER}The GWR Railcars used AEC bus hardware in a lightweight streamlined body.</v>
      </c>
    </row>
    <row r="144" spans="1:80" x14ac:dyDescent="0.3">
      <c r="A144" t="s">
        <v>442</v>
      </c>
      <c r="B144" t="s">
        <v>444</v>
      </c>
      <c r="C144">
        <v>237</v>
      </c>
      <c r="D144" t="s">
        <v>263</v>
      </c>
      <c r="E144" t="s">
        <v>272</v>
      </c>
      <c r="F144" t="s">
        <v>275</v>
      </c>
      <c r="G144">
        <v>1932</v>
      </c>
      <c r="H144">
        <v>1936</v>
      </c>
      <c r="I144">
        <v>1965</v>
      </c>
      <c r="K144">
        <v>600</v>
      </c>
      <c r="M144" s="5">
        <v>16</v>
      </c>
      <c r="N144" s="5">
        <v>24</v>
      </c>
      <c r="O144" s="5">
        <v>2</v>
      </c>
      <c r="P144" s="5">
        <v>165</v>
      </c>
      <c r="Q144" s="6">
        <f>((($Y144/2)/60)*5280)/($R144*3.2*PI())</f>
        <v>218.83804675135607</v>
      </c>
      <c r="R144" s="5">
        <v>1.6</v>
      </c>
      <c r="S144" s="5">
        <f>((($M144*$M144/4)*PI())*($N144/12)*$O144*$P144*$Q144)/(33000*1.1)</f>
        <v>799.99999999999977</v>
      </c>
      <c r="T144">
        <v>43</v>
      </c>
      <c r="W144">
        <v>62</v>
      </c>
      <c r="X144" s="3">
        <f t="shared" si="44"/>
        <v>0.14418604651162792</v>
      </c>
      <c r="Y144">
        <v>80</v>
      </c>
      <c r="Z144">
        <f t="shared" si="34"/>
        <v>128</v>
      </c>
      <c r="AC144">
        <v>9.1199999999999992</v>
      </c>
      <c r="AD144">
        <v>9.1199999999999992</v>
      </c>
      <c r="AF144">
        <v>3.82</v>
      </c>
      <c r="AG144" s="10">
        <v>0</v>
      </c>
      <c r="AH144" t="str">
        <f>CONCATENATE(VLOOKUP(AI144, 'Voxel Sizes'!$A$2:$B$18,2,FALSE),"x",INT(AE144*15), "x", INT(AF144*15))</f>
        <v>82x0x57</v>
      </c>
      <c r="AI144">
        <f t="shared" si="45"/>
        <v>5</v>
      </c>
      <c r="AK144" t="str">
        <f>CONCATENATE(VLOOKUP(AI144,Constants!$A$2:$C$16,IF(AJ144&lt;&gt;"", 3, 2), FALSE),IF(AJ144&lt;&gt;"",CONCATENATE(",",VLOOKUP(AJ144,$B:$AK,36,FALSE)),""))</f>
        <v>2,1,2</v>
      </c>
      <c r="AS144">
        <v>1</v>
      </c>
      <c r="AU144">
        <v>36</v>
      </c>
      <c r="AV144" s="15">
        <f t="shared" si="46"/>
        <v>41</v>
      </c>
      <c r="AY144">
        <f t="shared" si="47"/>
        <v>16</v>
      </c>
      <c r="AZ144">
        <f t="shared" si="48"/>
        <v>3</v>
      </c>
      <c r="BA144">
        <f t="shared" si="49"/>
        <v>3.1</v>
      </c>
      <c r="BB144" s="3">
        <f t="shared" si="50"/>
        <v>0.95733333333333337</v>
      </c>
      <c r="BC144">
        <f t="shared" si="51"/>
        <v>0</v>
      </c>
      <c r="BD144">
        <f>VLOOKUP($E144,Constants!$I:$K, 2, FALSE)</f>
        <v>1.1499999999999999</v>
      </c>
      <c r="BE144">
        <f>VLOOKUP($E144,Constants!$I:$K, 3, FALSE)*IF(AND(D144="multiple_unit",Y144&lt;110),0.75,1)</f>
        <v>1.7</v>
      </c>
      <c r="BF144">
        <f>INT(POWER(((Constants!$G$2+$AY144+$AZ144+$BA144+$BC144)*$BB144)*$BE144, 1.05))+$AX144</f>
        <v>53</v>
      </c>
      <c r="BG144">
        <f>INT(POWER((((Constants!$G$1+$AY144+$AZ144+$BA144+$BC144)*($BB144))*$BD144),IF($D144="wagon",1,1.2)))+$AW144</f>
        <v>85</v>
      </c>
      <c r="BH144" s="14">
        <f t="shared" si="52"/>
        <v>41406.25</v>
      </c>
      <c r="BI144" s="14">
        <f t="shared" si="53"/>
        <v>6906.25</v>
      </c>
      <c r="BP144">
        <v>10</v>
      </c>
      <c r="BT144" t="str">
        <f>VLOOKUP(G144,Eras!$A$2:$C$10, 2, TRUE)</f>
        <v>big4</v>
      </c>
      <c r="BU144" t="s">
        <v>326</v>
      </c>
      <c r="BV144" t="str">
        <f t="shared" si="54"/>
        <v>big4_Cheap</v>
      </c>
      <c r="BW144" t="str">
        <f t="shared" si="55"/>
        <v>steam_RAIL</v>
      </c>
      <c r="BX144" t="str">
        <f>VLOOKUP($BW144, Constants!$M:$N, 2, FALSE)</f>
        <v>{BLACK}Powered by: {GOLD}Steam</v>
      </c>
      <c r="BY144" t="str">
        <f t="shared" si="60"/>
        <v/>
      </c>
      <c r="BZ144" t="s">
        <v>443</v>
      </c>
      <c r="CA144" t="str">
        <f t="shared" si="56"/>
        <v/>
      </c>
      <c r="CB144" t="str">
        <f t="shared" si="57"/>
        <v>{BLACK}Powered by: {GOLD}Steam {}{SILVER}The 1400 class (originally the 4800 class) is an update of an 1868 design with more modern features. Although small, it is capable of high speed.</v>
      </c>
    </row>
    <row r="145" spans="1:80" x14ac:dyDescent="0.3">
      <c r="A145" t="s">
        <v>20</v>
      </c>
      <c r="B145" t="s">
        <v>288</v>
      </c>
      <c r="C145">
        <v>238</v>
      </c>
      <c r="D145" t="s">
        <v>263</v>
      </c>
      <c r="E145" t="s">
        <v>272</v>
      </c>
      <c r="F145" t="s">
        <v>275</v>
      </c>
      <c r="G145">
        <v>1934</v>
      </c>
      <c r="H145">
        <v>1951</v>
      </c>
      <c r="I145">
        <v>1967</v>
      </c>
      <c r="K145">
        <v>1250</v>
      </c>
      <c r="T145">
        <v>73.400000000000006</v>
      </c>
      <c r="U145" s="8">
        <v>46</v>
      </c>
      <c r="W145">
        <v>113</v>
      </c>
      <c r="X145" s="3">
        <f t="shared" si="44"/>
        <v>9.4639865996649919E-2</v>
      </c>
      <c r="Y145">
        <v>92</v>
      </c>
      <c r="Z145">
        <f t="shared" si="34"/>
        <v>147</v>
      </c>
      <c r="AB145">
        <v>1</v>
      </c>
      <c r="AC145">
        <v>11.76</v>
      </c>
      <c r="AD145">
        <v>11.76</v>
      </c>
      <c r="AG145" s="10">
        <v>0</v>
      </c>
      <c r="AH145" t="str">
        <f>CONCATENATE(VLOOKUP(AI145, 'Voxel Sizes'!$A$2:$B$18,2,FALSE),"x",INT(AE145*15), "x", INT(AF145*15))</f>
        <v>120x0x0</v>
      </c>
      <c r="AI145">
        <f t="shared" si="45"/>
        <v>7</v>
      </c>
      <c r="AJ145" t="s">
        <v>294</v>
      </c>
      <c r="AK145" t="str">
        <f>CONCATENATE(VLOOKUP(AI145,Constants!$A$2:$C$16,IF(AJ145&lt;&gt;"", 3, 2), FALSE),IF(AJ145&lt;&gt;"",CONCATENATE(",",VLOOKUP(AJ145,$B:$AK,36,FALSE)),""))</f>
        <v>2,3,2,2,1,2</v>
      </c>
      <c r="AS145">
        <v>1</v>
      </c>
      <c r="AU145">
        <v>34</v>
      </c>
      <c r="AV145" s="15">
        <f t="shared" si="46"/>
        <v>41</v>
      </c>
      <c r="AY145">
        <f t="shared" si="47"/>
        <v>18.399999999999999</v>
      </c>
      <c r="AZ145">
        <f t="shared" si="48"/>
        <v>6.25</v>
      </c>
      <c r="BA145">
        <f t="shared" si="49"/>
        <v>5.6499999999999995</v>
      </c>
      <c r="BB145" s="3">
        <f t="shared" si="50"/>
        <v>0.95466666666666666</v>
      </c>
      <c r="BC145">
        <f t="shared" si="51"/>
        <v>0</v>
      </c>
      <c r="BD145">
        <f>VLOOKUP($E145,Constants!$I:$K, 2, FALSE)</f>
        <v>1.1499999999999999</v>
      </c>
      <c r="BE145">
        <f>VLOOKUP($E145,Constants!$I:$K, 3, FALSE)*IF(AND(D145="multiple_unit",Y145&lt;110),0.75,1)</f>
        <v>1.7</v>
      </c>
      <c r="BF145">
        <f>INT(POWER(((Constants!$G$2+$AY145+$AZ145+$BA145+$BC145)*$BB145)*$BE145, 1.05))+$AX145</f>
        <v>70</v>
      </c>
      <c r="BG145">
        <f>INT(POWER((((Constants!$G$1+$AY145+$AZ145+$BA145+$BC145)*($BB145))*$BD145),IF($D145="wagon",1,1.2)))+$AW145</f>
        <v>108</v>
      </c>
      <c r="BH145" s="14">
        <f t="shared" si="52"/>
        <v>54687.5</v>
      </c>
      <c r="BI145" s="14">
        <f t="shared" si="53"/>
        <v>8775</v>
      </c>
      <c r="BP145">
        <v>11</v>
      </c>
      <c r="BT145" t="str">
        <f>VLOOKUP(G145,Eras!$A$2:$C$10, 2, TRUE)</f>
        <v>big4</v>
      </c>
      <c r="BU145" t="s">
        <v>327</v>
      </c>
      <c r="BV145" t="str">
        <f t="shared" si="54"/>
        <v>big4_Mixed Traffic</v>
      </c>
      <c r="BW145" t="str">
        <f t="shared" si="55"/>
        <v>steam_RAIL</v>
      </c>
      <c r="BX145" t="str">
        <f>VLOOKUP($BW145, Constants!$M:$N, 2, FALSE)</f>
        <v>{BLACK}Powered by: {GOLD}Steam</v>
      </c>
      <c r="BY145" t="str">
        <f t="shared" si="60"/>
        <v/>
      </c>
      <c r="BZ145" t="s">
        <v>368</v>
      </c>
      <c r="CA145" t="str">
        <f t="shared" si="56"/>
        <v/>
      </c>
      <c r="CB145" t="str">
        <f t="shared" si="57"/>
        <v>{BLACK}Powered by: {GOLD}Steam {}{SILVER}The Stanier Class 5, commonly known as the "Black 5", was a workhorse for the LMS and into the British Rail era. Although intended as a mixed traffic locomotive it was capable of high top speeds.</v>
      </c>
    </row>
    <row r="146" spans="1:80" x14ac:dyDescent="0.3">
      <c r="A146" t="s">
        <v>22</v>
      </c>
      <c r="B146" t="s">
        <v>287</v>
      </c>
      <c r="C146">
        <v>240</v>
      </c>
      <c r="D146" t="s">
        <v>263</v>
      </c>
      <c r="E146" t="s">
        <v>272</v>
      </c>
      <c r="F146" t="s">
        <v>275</v>
      </c>
      <c r="G146">
        <v>1934</v>
      </c>
      <c r="H146">
        <v>1936</v>
      </c>
      <c r="I146">
        <v>1967</v>
      </c>
      <c r="K146">
        <v>1375</v>
      </c>
      <c r="T146">
        <v>80.8</v>
      </c>
      <c r="U146" s="8">
        <v>52</v>
      </c>
      <c r="W146">
        <v>118</v>
      </c>
      <c r="X146" s="3">
        <f t="shared" si="44"/>
        <v>8.8855421686746983E-2</v>
      </c>
      <c r="Y146">
        <v>95</v>
      </c>
      <c r="Z146">
        <f t="shared" si="34"/>
        <v>152</v>
      </c>
      <c r="AB146">
        <v>1</v>
      </c>
      <c r="AC146">
        <v>12.09</v>
      </c>
      <c r="AD146">
        <v>12.09</v>
      </c>
      <c r="AG146" s="10">
        <v>0</v>
      </c>
      <c r="AH146" t="str">
        <f>CONCATENATE(VLOOKUP(AI146, 'Voxel Sizes'!$A$2:$B$18,2,FALSE),"x",INT(AE146*15), "x", INT(AF146*15))</f>
        <v>120x0x0</v>
      </c>
      <c r="AI146">
        <f t="shared" si="45"/>
        <v>7</v>
      </c>
      <c r="AJ146" t="s">
        <v>289</v>
      </c>
      <c r="AK146" t="str">
        <f>CONCATENATE(VLOOKUP(AI146,Constants!$A$2:$C$16,IF(AJ146&lt;&gt;"", 3, 2), FALSE),IF(AJ146&lt;&gt;"",CONCATENATE(",",VLOOKUP(AJ146,$B:$AK,36,FALSE)),""))</f>
        <v>2,3,2,2,1,2</v>
      </c>
      <c r="AS146">
        <v>1</v>
      </c>
      <c r="AU146">
        <v>34</v>
      </c>
      <c r="AV146" s="15">
        <f t="shared" si="46"/>
        <v>41</v>
      </c>
      <c r="AY146">
        <f t="shared" si="47"/>
        <v>19</v>
      </c>
      <c r="AZ146">
        <f t="shared" si="48"/>
        <v>6.875</v>
      </c>
      <c r="BA146">
        <f t="shared" si="49"/>
        <v>5.8999999999999995</v>
      </c>
      <c r="BB146" s="3">
        <f t="shared" si="50"/>
        <v>0.95466666666666666</v>
      </c>
      <c r="BC146">
        <f t="shared" si="51"/>
        <v>0</v>
      </c>
      <c r="BD146">
        <f>VLOOKUP($E146,Constants!$I:$K, 2, FALSE)</f>
        <v>1.1499999999999999</v>
      </c>
      <c r="BE146">
        <f>VLOOKUP($E146,Constants!$I:$K, 3, FALSE)*IF(AND(D146="multiple_unit",Y146&lt;110),0.75,1)</f>
        <v>1.7</v>
      </c>
      <c r="BF146">
        <f>INT(POWER(((Constants!$G$2+$AY146+$AZ146+$BA146+$BC146)*$BB146)*$BE146, 1.05))+$AX146</f>
        <v>73</v>
      </c>
      <c r="BG146">
        <f>INT(POWER((((Constants!$G$1+$AY146+$AZ146+$BA146+$BC146)*($BB146))*$BD146),IF($D146="wagon",1,1.2)))+$AW146</f>
        <v>112</v>
      </c>
      <c r="BH146" s="14">
        <f t="shared" si="52"/>
        <v>57031.25</v>
      </c>
      <c r="BI146" s="14">
        <f t="shared" si="53"/>
        <v>9100</v>
      </c>
      <c r="BP146">
        <v>12</v>
      </c>
      <c r="BT146" t="str">
        <f>VLOOKUP(G146,Eras!$A$2:$C$10, 2, TRUE)</f>
        <v>big4</v>
      </c>
      <c r="BU146" t="s">
        <v>328</v>
      </c>
      <c r="BV146" t="str">
        <f t="shared" si="54"/>
        <v>big4_Express</v>
      </c>
      <c r="BW146" t="str">
        <f t="shared" si="55"/>
        <v>steam_RAIL</v>
      </c>
      <c r="BX146" t="str">
        <f>VLOOKUP($BW146, Constants!$M:$N, 2, FALSE)</f>
        <v>{BLACK}Powered by: {GOLD}Steam</v>
      </c>
      <c r="BY146" t="str">
        <f t="shared" si="60"/>
        <v/>
      </c>
      <c r="BZ146" t="s">
        <v>354</v>
      </c>
      <c r="CA146" t="str">
        <f t="shared" si="56"/>
        <v/>
      </c>
      <c r="CB146" t="str">
        <f t="shared" si="57"/>
        <v>{BLACK}Powered by: {GOLD}Steam {}{SILVER}The Jubilee is the counterpart to the Class 5, often called the "Red Stanier" due to its red LMS livery. It was intended for passenger work, with slightly larger diameter driving wheels giving a higher top speed.</v>
      </c>
    </row>
    <row r="147" spans="1:80" x14ac:dyDescent="0.3">
      <c r="A147" t="s">
        <v>450</v>
      </c>
      <c r="B147" t="s">
        <v>163</v>
      </c>
      <c r="C147">
        <v>242</v>
      </c>
      <c r="D147" t="s">
        <v>263</v>
      </c>
      <c r="E147" t="s">
        <v>272</v>
      </c>
      <c r="F147" t="s">
        <v>275</v>
      </c>
      <c r="G147">
        <v>1935</v>
      </c>
      <c r="I147">
        <v>1968</v>
      </c>
      <c r="K147">
        <v>1300</v>
      </c>
      <c r="T147">
        <v>73</v>
      </c>
      <c r="U147" s="8">
        <v>46</v>
      </c>
      <c r="W147">
        <v>144</v>
      </c>
      <c r="X147" s="3">
        <f t="shared" si="44"/>
        <v>0.12100840336134454</v>
      </c>
      <c r="Y147">
        <v>70</v>
      </c>
      <c r="Z147">
        <f t="shared" si="34"/>
        <v>112</v>
      </c>
      <c r="AC147">
        <v>19.22</v>
      </c>
      <c r="AD147">
        <f>19.22-7.46</f>
        <v>11.759999999999998</v>
      </c>
      <c r="AG147" s="10">
        <v>0</v>
      </c>
      <c r="AH147" t="str">
        <f>CONCATENATE(VLOOKUP(AI147, 'Voxel Sizes'!$A$2:$B$18,2,FALSE),"x",INT(AE147*15), "x", INT(AF147*15))</f>
        <v>120x0x0</v>
      </c>
      <c r="AI147">
        <f t="shared" si="45"/>
        <v>7</v>
      </c>
      <c r="AJ147" t="s">
        <v>294</v>
      </c>
      <c r="AK147" t="str">
        <f>CONCATENATE(VLOOKUP(AI147,Constants!$A$2:$C$16,IF(AJ147&lt;&gt;"", 3, 2), FALSE),IF(AJ147&lt;&gt;"",CONCATENATE(",",VLOOKUP(AJ147,$B:$AK,36,FALSE)),""))</f>
        <v>2,3,2,2,1,2</v>
      </c>
      <c r="AS147">
        <v>1</v>
      </c>
      <c r="AU147">
        <v>34</v>
      </c>
      <c r="AV147" s="15">
        <f t="shared" si="46"/>
        <v>41</v>
      </c>
      <c r="AY147">
        <f t="shared" si="47"/>
        <v>14</v>
      </c>
      <c r="AZ147">
        <f t="shared" si="48"/>
        <v>6.5</v>
      </c>
      <c r="BA147">
        <f t="shared" si="49"/>
        <v>7.1999999999999993</v>
      </c>
      <c r="BB147" s="3">
        <f t="shared" si="50"/>
        <v>0.95333333333333337</v>
      </c>
      <c r="BC147">
        <f t="shared" si="51"/>
        <v>0</v>
      </c>
      <c r="BD147">
        <f>VLOOKUP($E147,Constants!$I:$K, 2, FALSE)</f>
        <v>1.1499999999999999</v>
      </c>
      <c r="BE147">
        <f>VLOOKUP($E147,Constants!$I:$K, 3, FALSE)*IF(AND(D147="multiple_unit",Y147&lt;110),0.75,1)</f>
        <v>1.7</v>
      </c>
      <c r="BF147">
        <f>INT(POWER(((Constants!$G$2+$AY147+$AZ147+$BA147+$BC147)*$BB147)*$BE147, 1.05))+$AX147</f>
        <v>64</v>
      </c>
      <c r="BG147">
        <f>INT(POWER((((Constants!$G$1+$AY147+$AZ147+$BA147+$BC147)*($BB147))*$BD147),IF($D147="wagon",1,1.2)))+$AW147</f>
        <v>101</v>
      </c>
      <c r="BH147" s="14">
        <f t="shared" si="52"/>
        <v>50000</v>
      </c>
      <c r="BI147" s="14">
        <f t="shared" si="53"/>
        <v>8206.25</v>
      </c>
      <c r="BP147">
        <v>1</v>
      </c>
      <c r="BT147" t="str">
        <f>VLOOKUP(G147,Eras!$A$2:$C$10, 2, TRUE)</f>
        <v>big4</v>
      </c>
      <c r="BU147" t="s">
        <v>329</v>
      </c>
      <c r="BV147" t="str">
        <f t="shared" si="54"/>
        <v>big4_Freight</v>
      </c>
      <c r="BW147" t="str">
        <f t="shared" si="55"/>
        <v>steam_RAIL</v>
      </c>
      <c r="BX147" t="str">
        <f>VLOOKUP($BW147, Constants!$M:$N, 2, FALSE)</f>
        <v>{BLACK}Powered by: {GOLD}Steam</v>
      </c>
      <c r="BY147" t="str">
        <f t="shared" si="60"/>
        <v/>
      </c>
      <c r="BZ147" t="s">
        <v>451</v>
      </c>
      <c r="CA147" t="str">
        <f t="shared" si="56"/>
        <v/>
      </c>
      <c r="CB147" t="str">
        <f t="shared" si="57"/>
        <v>{BLACK}Powered by: {GOLD}Steam {}{SILVER}The Stanier 8F is a further development of the Class 5, specialised for freight traffic with a 2-8-0 layout.</v>
      </c>
    </row>
    <row r="148" spans="1:80" x14ac:dyDescent="0.3">
      <c r="A148" t="s">
        <v>17</v>
      </c>
      <c r="B148" t="s">
        <v>453</v>
      </c>
      <c r="C148">
        <v>244</v>
      </c>
      <c r="D148" t="s">
        <v>263</v>
      </c>
      <c r="E148" t="s">
        <v>272</v>
      </c>
      <c r="F148" t="s">
        <v>275</v>
      </c>
      <c r="G148">
        <v>1935</v>
      </c>
      <c r="H148">
        <v>1938</v>
      </c>
      <c r="I148">
        <v>1966</v>
      </c>
      <c r="K148">
        <v>2450</v>
      </c>
      <c r="T148">
        <v>104.6</v>
      </c>
      <c r="U148" s="8">
        <v>64</v>
      </c>
      <c r="W148">
        <v>157</v>
      </c>
      <c r="X148" s="3">
        <f t="shared" si="44"/>
        <v>9.3119810201660741E-2</v>
      </c>
      <c r="Y148">
        <v>126</v>
      </c>
      <c r="Z148">
        <f t="shared" si="34"/>
        <v>202</v>
      </c>
      <c r="AB148">
        <v>1</v>
      </c>
      <c r="AC148">
        <v>21.65</v>
      </c>
      <c r="AD148">
        <f>AC148-7.5</f>
        <v>14.149999999999999</v>
      </c>
      <c r="AF148">
        <v>3.99</v>
      </c>
      <c r="AG148" s="10">
        <v>0</v>
      </c>
      <c r="AH148" t="str">
        <f>CONCATENATE(VLOOKUP(AI148, 'Voxel Sizes'!$A$2:$B$18,2,FALSE),"x",INT(AE148*15), "x", INT(AF148*15))</f>
        <v>136x0x59</v>
      </c>
      <c r="AI148">
        <f t="shared" si="45"/>
        <v>8</v>
      </c>
      <c r="AJ148" t="s">
        <v>436</v>
      </c>
      <c r="AK148" t="str">
        <f>CONCATENATE(VLOOKUP(AI148,Constants!$A$2:$C$16,IF(AJ148&lt;&gt;"", 3, 2), FALSE),IF(AJ148&lt;&gt;"",CONCATENATE(",",VLOOKUP(AJ148,$B:$AK,36,FALSE)),""))</f>
        <v>2,4,2,2,1,2</v>
      </c>
      <c r="AS148">
        <v>1</v>
      </c>
      <c r="AU148">
        <v>28</v>
      </c>
      <c r="AV148" s="15">
        <f t="shared" si="46"/>
        <v>39</v>
      </c>
      <c r="AY148">
        <f t="shared" si="47"/>
        <v>25.2</v>
      </c>
      <c r="AZ148">
        <f t="shared" si="48"/>
        <v>12.25</v>
      </c>
      <c r="BA148">
        <f t="shared" si="49"/>
        <v>7.8500000000000005</v>
      </c>
      <c r="BB148" s="3">
        <f t="shared" si="50"/>
        <v>0.95333333333333337</v>
      </c>
      <c r="BC148">
        <f t="shared" si="51"/>
        <v>0</v>
      </c>
      <c r="BD148">
        <f>VLOOKUP($E148,Constants!$I:$K, 2, FALSE)</f>
        <v>1.1499999999999999</v>
      </c>
      <c r="BE148">
        <f>VLOOKUP($E148,Constants!$I:$K, 3, FALSE)*IF(AND(D148="multiple_unit",Y148&lt;110),0.75,1)</f>
        <v>1.7</v>
      </c>
      <c r="BF148">
        <f>INT(POWER(((Constants!$G$2+$AY148+$AZ148+$BA148+$BC148)*$BB148)*$BE148, 1.05))+$AX148</f>
        <v>101</v>
      </c>
      <c r="BG148">
        <f>INT(POWER((((Constants!$G$1+$AY148+$AZ148+$BA148+$BC148)*($BB148))*$BD148),IF($D148="wagon",1,1.2)))+$AW148</f>
        <v>152</v>
      </c>
      <c r="BH148" s="14">
        <f t="shared" si="52"/>
        <v>78906.25</v>
      </c>
      <c r="BI148" s="14">
        <f t="shared" si="53"/>
        <v>12350</v>
      </c>
      <c r="BP148">
        <v>2</v>
      </c>
      <c r="BT148" t="str">
        <f>VLOOKUP(G148,Eras!$A$2:$C$10, 2, TRUE)</f>
        <v>big4</v>
      </c>
      <c r="BU148" t="s">
        <v>328</v>
      </c>
      <c r="BV148" t="str">
        <f t="shared" si="54"/>
        <v>big4_Express</v>
      </c>
      <c r="BW148" t="str">
        <f t="shared" si="55"/>
        <v>steam_RAIL</v>
      </c>
      <c r="BX148" t="str">
        <f>VLOOKUP($BW148, Constants!$M:$N, 2, FALSE)</f>
        <v>{BLACK}Powered by: {GOLD}Steam</v>
      </c>
      <c r="BY148" t="str">
        <f t="shared" si="60"/>
        <v/>
      </c>
      <c r="BZ148" t="s">
        <v>452</v>
      </c>
      <c r="CA148" t="str">
        <f t="shared" si="56"/>
        <v/>
      </c>
      <c r="CB148" t="str">
        <f t="shared" si="57"/>
        <v>{BLACK}Powered by: {GOLD}Steam {}{SILVER}The Gresley A4 is the iconic pinnacle of high-speed British steam, holding numerous speed and power records.</v>
      </c>
    </row>
    <row r="149" spans="1:80" x14ac:dyDescent="0.3">
      <c r="A149" t="s">
        <v>7</v>
      </c>
      <c r="B149" t="s">
        <v>454</v>
      </c>
      <c r="C149">
        <v>246</v>
      </c>
      <c r="D149" t="s">
        <v>263</v>
      </c>
      <c r="E149" t="s">
        <v>272</v>
      </c>
      <c r="F149" t="s">
        <v>275</v>
      </c>
      <c r="G149">
        <v>1936</v>
      </c>
      <c r="H149">
        <v>1944</v>
      </c>
      <c r="I149">
        <v>1966</v>
      </c>
      <c r="K149">
        <v>1900</v>
      </c>
      <c r="M149" s="5">
        <v>18.5</v>
      </c>
      <c r="N149" s="5">
        <v>26</v>
      </c>
      <c r="O149" s="5">
        <v>3</v>
      </c>
      <c r="P149" s="5">
        <v>220</v>
      </c>
      <c r="Q149" s="6">
        <f>((($Y149/2)/60)*5280)/($R149*3.2*PI())</f>
        <v>216.509982424214</v>
      </c>
      <c r="R149" s="5">
        <v>1.88</v>
      </c>
      <c r="S149" s="5">
        <f>((($M149*$M149/4)*PI())*($N149/12)*$O149*$P149*$Q149)/(33000*1.1)</f>
        <v>2292.6653922872338</v>
      </c>
      <c r="T149">
        <v>91</v>
      </c>
      <c r="U149" s="8">
        <v>54</v>
      </c>
      <c r="W149">
        <v>150</v>
      </c>
      <c r="X149" s="3">
        <f t="shared" si="44"/>
        <v>0.10344827586206896</v>
      </c>
      <c r="Y149">
        <v>93</v>
      </c>
      <c r="Z149">
        <f t="shared" si="34"/>
        <v>149</v>
      </c>
      <c r="AB149">
        <v>1</v>
      </c>
      <c r="AC149">
        <v>20.239999999999998</v>
      </c>
      <c r="AD149">
        <f>AC149-7.5</f>
        <v>12.739999999999998</v>
      </c>
      <c r="AG149" s="10">
        <v>0</v>
      </c>
      <c r="AH149" t="str">
        <f>CONCATENATE(VLOOKUP(AI149, 'Voxel Sizes'!$A$2:$B$18,2,FALSE),"x",INT(AE149*15), "x", INT(AF149*15))</f>
        <v>120x0x0</v>
      </c>
      <c r="AI149">
        <f t="shared" si="45"/>
        <v>7</v>
      </c>
      <c r="AJ149" t="s">
        <v>436</v>
      </c>
      <c r="AK149" t="str">
        <f>CONCATENATE(VLOOKUP(AI149,Constants!$A$2:$C$16,IF(AJ149&lt;&gt;"", 3, 2), FALSE),IF(AJ149&lt;&gt;"",CONCATENATE(",",VLOOKUP(AJ149,$B:$AK,36,FALSE)),""))</f>
        <v>2,3,2,2,1,2</v>
      </c>
      <c r="AS149">
        <v>1</v>
      </c>
      <c r="AU149">
        <v>32</v>
      </c>
      <c r="AV149" s="15">
        <f t="shared" si="46"/>
        <v>38</v>
      </c>
      <c r="AY149">
        <f t="shared" si="47"/>
        <v>18.600000000000001</v>
      </c>
      <c r="AZ149">
        <f t="shared" si="48"/>
        <v>9.5</v>
      </c>
      <c r="BA149">
        <f t="shared" si="49"/>
        <v>7.5</v>
      </c>
      <c r="BB149" s="3">
        <f t="shared" si="50"/>
        <v>0.95199999999999996</v>
      </c>
      <c r="BC149">
        <f t="shared" si="51"/>
        <v>0</v>
      </c>
      <c r="BD149">
        <f>VLOOKUP($E149,Constants!$I:$K, 2, FALSE)</f>
        <v>1.1499999999999999</v>
      </c>
      <c r="BE149">
        <f>VLOOKUP($E149,Constants!$I:$K, 3, FALSE)*IF(AND(D149="multiple_unit",Y149&lt;110),0.75,1)</f>
        <v>1.7</v>
      </c>
      <c r="BF149">
        <f>INT(POWER(((Constants!$G$2+$AY149+$AZ149+$BA149+$BC149)*$BB149)*$BE149, 1.05))+$AX149</f>
        <v>81</v>
      </c>
      <c r="BG149">
        <f>INT(POWER((((Constants!$G$1+$AY149+$AZ149+$BA149+$BC149)*($BB149))*$BD149),IF($D149="wagon",1,1.2)))+$AW149</f>
        <v>123</v>
      </c>
      <c r="BH149" s="14">
        <f t="shared" si="52"/>
        <v>63281.25</v>
      </c>
      <c r="BI149" s="14">
        <f t="shared" si="53"/>
        <v>9993.75</v>
      </c>
      <c r="BP149">
        <v>3</v>
      </c>
      <c r="BT149" t="str">
        <f>VLOOKUP(G149,Eras!$A$2:$C$10, 2, TRUE)</f>
        <v>big4</v>
      </c>
      <c r="BU149" t="s">
        <v>327</v>
      </c>
      <c r="BV149" t="str">
        <f t="shared" si="54"/>
        <v>big4_Mixed Traffic</v>
      </c>
      <c r="BW149" t="str">
        <f t="shared" si="55"/>
        <v>steam_RAIL</v>
      </c>
      <c r="BX149" t="str">
        <f>VLOOKUP($BW149, Constants!$M:$N, 2, FALSE)</f>
        <v>{BLACK}Powered by: {GOLD}Steam</v>
      </c>
      <c r="BY149" t="str">
        <f t="shared" si="60"/>
        <v/>
      </c>
      <c r="BZ149" t="s">
        <v>455</v>
      </c>
      <c r="CA149" t="str">
        <f t="shared" si="56"/>
        <v/>
      </c>
      <c r="CB149" t="str">
        <f t="shared" si="57"/>
        <v>{BLACK}Powered by: {GOLD}Steam {}{SILVER}The Gresley V2 is derived from the A3 type, adapted to mixed traffic with a shorter boiler, smaller driving wheels and a 2-6-2 layout.</v>
      </c>
    </row>
    <row r="150" spans="1:80" x14ac:dyDescent="0.3">
      <c r="A150" t="s">
        <v>14</v>
      </c>
      <c r="B150" t="s">
        <v>456</v>
      </c>
      <c r="C150">
        <v>248</v>
      </c>
      <c r="D150" t="s">
        <v>263</v>
      </c>
      <c r="E150" t="s">
        <v>272</v>
      </c>
      <c r="F150" t="s">
        <v>275</v>
      </c>
      <c r="G150">
        <v>1936</v>
      </c>
      <c r="H150">
        <v>1939</v>
      </c>
      <c r="I150">
        <v>1965</v>
      </c>
      <c r="K150">
        <v>1600</v>
      </c>
      <c r="M150" s="5">
        <v>18.5</v>
      </c>
      <c r="N150" s="5">
        <v>30</v>
      </c>
      <c r="O150" s="5">
        <v>2</v>
      </c>
      <c r="P150" s="5">
        <v>225</v>
      </c>
      <c r="Q150" s="6">
        <f>((($Y150/2)/60)*5280)/($R150*3.2*PI())</f>
        <v>193.09239419237301</v>
      </c>
      <c r="R150" s="5">
        <v>1.7</v>
      </c>
      <c r="S150" s="5">
        <f>((($M150*$M150/4)*PI())*($N150/12)*$O150*$P150*$Q150)/(33000*1.1)</f>
        <v>1608.5864388368984</v>
      </c>
      <c r="T150">
        <v>75.2</v>
      </c>
      <c r="U150" s="8">
        <v>48</v>
      </c>
      <c r="W150">
        <v>128</v>
      </c>
      <c r="X150" s="3">
        <f t="shared" si="44"/>
        <v>0.1038961038961039</v>
      </c>
      <c r="Y150">
        <v>75</v>
      </c>
      <c r="Z150">
        <f t="shared" si="34"/>
        <v>120</v>
      </c>
      <c r="AC150">
        <v>19.21</v>
      </c>
      <c r="AD150">
        <f>AC150-7.5</f>
        <v>11.71</v>
      </c>
      <c r="AF150">
        <v>3.96</v>
      </c>
      <c r="AG150" s="10">
        <v>0</v>
      </c>
      <c r="AH150" t="str">
        <f>CONCATENATE(VLOOKUP(AI150, 'Voxel Sizes'!$A$2:$B$18,2,FALSE),"x",INT(AE150*15), "x", INT(AF150*15))</f>
        <v>120x0x59</v>
      </c>
      <c r="AI150">
        <f t="shared" si="45"/>
        <v>7</v>
      </c>
      <c r="AJ150" t="s">
        <v>421</v>
      </c>
      <c r="AK150" t="str">
        <f>CONCATENATE(VLOOKUP(AI150,Constants!$A$2:$C$16,IF(AJ150&lt;&gt;"", 3, 2), FALSE),IF(AJ150&lt;&gt;"",CONCATENATE(",",VLOOKUP(AJ150,$B:$AK,36,FALSE)),""))</f>
        <v>2,3,2,2,1,2</v>
      </c>
      <c r="AS150">
        <v>1</v>
      </c>
      <c r="AU150">
        <v>30</v>
      </c>
      <c r="AV150" s="15">
        <f t="shared" si="46"/>
        <v>37</v>
      </c>
      <c r="AY150">
        <f t="shared" si="47"/>
        <v>15</v>
      </c>
      <c r="AZ150">
        <f t="shared" si="48"/>
        <v>8</v>
      </c>
      <c r="BA150">
        <f t="shared" si="49"/>
        <v>6.4</v>
      </c>
      <c r="BB150" s="3">
        <f t="shared" si="50"/>
        <v>0.95199999999999996</v>
      </c>
      <c r="BC150">
        <f t="shared" si="51"/>
        <v>0</v>
      </c>
      <c r="BD150">
        <f>VLOOKUP($E150,Constants!$I:$K, 2, FALSE)</f>
        <v>1.1499999999999999</v>
      </c>
      <c r="BE150">
        <f>VLOOKUP($E150,Constants!$I:$K, 3, FALSE)*IF(AND(D150="multiple_unit",Y150&lt;110),0.75,1)</f>
        <v>1.7</v>
      </c>
      <c r="BF150">
        <f>INT(POWER(((Constants!$G$2+$AY150+$AZ150+$BA150+$BC150)*$BB150)*$BE150, 1.05))+$AX150</f>
        <v>68</v>
      </c>
      <c r="BG150">
        <f>INT(POWER((((Constants!$G$1+$AY150+$AZ150+$BA150+$BC150)*($BB150))*$BD150),IF($D150="wagon",1,1.2)))+$AW150</f>
        <v>105</v>
      </c>
      <c r="BH150" s="14">
        <f t="shared" si="52"/>
        <v>53125</v>
      </c>
      <c r="BI150" s="14">
        <f t="shared" si="53"/>
        <v>8531.25</v>
      </c>
      <c r="BP150">
        <v>4</v>
      </c>
      <c r="BT150" t="str">
        <f>VLOOKUP(G150,Eras!$A$2:$C$10, 2, TRUE)</f>
        <v>big4</v>
      </c>
      <c r="BU150" t="s">
        <v>327</v>
      </c>
      <c r="BV150" t="str">
        <f t="shared" si="54"/>
        <v>big4_Mixed Traffic</v>
      </c>
      <c r="BW150" t="str">
        <f t="shared" si="55"/>
        <v>steam_RAIL</v>
      </c>
      <c r="BX150" t="str">
        <f>VLOOKUP($BW150, Constants!$M:$N, 2, FALSE)</f>
        <v>{BLACK}Powered by: {GOLD}Steam</v>
      </c>
      <c r="BY150" t="str">
        <f t="shared" si="60"/>
        <v/>
      </c>
      <c r="BZ150" t="s">
        <v>458</v>
      </c>
      <c r="CA150" t="str">
        <f t="shared" si="56"/>
        <v/>
      </c>
      <c r="CB150" t="str">
        <f t="shared" si="57"/>
        <v>{BLACK}Powered by: {GOLD}Steam {}{SILVER}The Grange class is a conservative design similar to the Hall class with smaller driving wheels, but proved to be reliable in service.</v>
      </c>
    </row>
    <row r="151" spans="1:80" x14ac:dyDescent="0.3">
      <c r="A151" t="s">
        <v>23</v>
      </c>
      <c r="B151" t="s">
        <v>457</v>
      </c>
      <c r="C151">
        <v>250</v>
      </c>
      <c r="D151" t="s">
        <v>263</v>
      </c>
      <c r="E151" t="s">
        <v>272</v>
      </c>
      <c r="F151" t="s">
        <v>275</v>
      </c>
      <c r="G151">
        <v>1937</v>
      </c>
      <c r="H151">
        <v>1948</v>
      </c>
      <c r="I151">
        <v>1964</v>
      </c>
      <c r="K151">
        <v>2500</v>
      </c>
      <c r="T151">
        <v>110</v>
      </c>
      <c r="U151" s="8">
        <v>57</v>
      </c>
      <c r="W151">
        <v>180</v>
      </c>
      <c r="X151" s="3">
        <f t="shared" si="44"/>
        <v>0.10778443113772455</v>
      </c>
      <c r="Y151">
        <v>115</v>
      </c>
      <c r="Z151">
        <f t="shared" si="34"/>
        <v>184</v>
      </c>
      <c r="AB151">
        <v>1</v>
      </c>
      <c r="AC151">
        <v>22.49</v>
      </c>
      <c r="AD151">
        <f>AC151-7.5</f>
        <v>14.989999999999998</v>
      </c>
      <c r="AF151">
        <v>4.0389999999999997</v>
      </c>
      <c r="AG151" s="10">
        <v>0</v>
      </c>
      <c r="AH151" t="str">
        <f>CONCATENATE(VLOOKUP(AI151, 'Voxel Sizes'!$A$2:$B$18,2,FALSE),"x",INT(AE151*15), "x", INT(AF151*15))</f>
        <v>152x0x60</v>
      </c>
      <c r="AI151">
        <f t="shared" si="45"/>
        <v>9</v>
      </c>
      <c r="AJ151" t="s">
        <v>460</v>
      </c>
      <c r="AK151" t="str">
        <f>CONCATENATE(VLOOKUP(AI151,Constants!$A$2:$C$16,IF(AJ151&lt;&gt;"", 3, 2), FALSE),IF(AJ151&lt;&gt;"",CONCATENATE(",",VLOOKUP(AJ151,$B:$AK,36,FALSE)),""))</f>
        <v>2,5,2,2,1,2</v>
      </c>
      <c r="AS151">
        <v>1</v>
      </c>
      <c r="AU151">
        <v>35</v>
      </c>
      <c r="AV151" s="15">
        <f t="shared" si="46"/>
        <v>35</v>
      </c>
      <c r="AY151">
        <f t="shared" si="47"/>
        <v>23</v>
      </c>
      <c r="AZ151">
        <f t="shared" si="48"/>
        <v>12.5</v>
      </c>
      <c r="BA151">
        <f t="shared" si="49"/>
        <v>9</v>
      </c>
      <c r="BB151" s="3">
        <f t="shared" si="50"/>
        <v>0.95066666666666666</v>
      </c>
      <c r="BC151">
        <f t="shared" si="51"/>
        <v>0</v>
      </c>
      <c r="BD151">
        <f>VLOOKUP($E151,Constants!$I:$K, 2, FALSE)</f>
        <v>1.1499999999999999</v>
      </c>
      <c r="BE151">
        <f>VLOOKUP($E151,Constants!$I:$K, 3, FALSE)*IF(AND(D151="multiple_unit",Y151&lt;110),0.75,1)</f>
        <v>1.7</v>
      </c>
      <c r="BF151">
        <f>INT(POWER(((Constants!$G$2+$AY151+$AZ151+$BA151+$BC151)*$BB151)*$BE151, 1.05))+$AX151</f>
        <v>99</v>
      </c>
      <c r="BG151">
        <f>INT(POWER((((Constants!$G$1+$AY151+$AZ151+$BA151+$BC151)*($BB151))*$BD151),IF($D151="wagon",1,1.2)))+$AW151</f>
        <v>149</v>
      </c>
      <c r="BH151" s="14">
        <f t="shared" si="52"/>
        <v>77343.75</v>
      </c>
      <c r="BI151" s="14">
        <f t="shared" si="53"/>
        <v>12106.25</v>
      </c>
      <c r="BP151">
        <v>5</v>
      </c>
      <c r="BT151" t="str">
        <f>VLOOKUP(G151,Eras!$A$2:$C$10, 2, TRUE)</f>
        <v>big4</v>
      </c>
      <c r="BU151" t="s">
        <v>328</v>
      </c>
      <c r="BV151" t="str">
        <f t="shared" si="54"/>
        <v>big4_Express</v>
      </c>
      <c r="BW151" t="str">
        <f t="shared" si="55"/>
        <v>steam_RAIL</v>
      </c>
      <c r="BX151" t="str">
        <f>VLOOKUP($BW151, Constants!$M:$N, 2, FALSE)</f>
        <v>{BLACK}Powered by: {GOLD}Steam</v>
      </c>
      <c r="BY151" t="str">
        <f t="shared" si="60"/>
        <v/>
      </c>
      <c r="BZ151" t="s">
        <v>459</v>
      </c>
      <c r="CA151" t="str">
        <f t="shared" si="56"/>
        <v/>
      </c>
      <c r="CB151" t="str">
        <f t="shared" si="57"/>
        <v>{BLACK}Powered by: {GOLD}Steam {}{SILVER}The Stanier Coronation briefly held the British speed record for a steam locomotive. In real life, the streamlined casing was only fitted to early examples.</v>
      </c>
    </row>
    <row r="152" spans="1:80" x14ac:dyDescent="0.3">
      <c r="A152" t="s">
        <v>26</v>
      </c>
      <c r="B152" t="s">
        <v>470</v>
      </c>
      <c r="C152">
        <v>252</v>
      </c>
      <c r="D152" t="s">
        <v>263</v>
      </c>
      <c r="E152" t="s">
        <v>272</v>
      </c>
      <c r="F152" t="s">
        <v>275</v>
      </c>
      <c r="G152">
        <v>1941</v>
      </c>
      <c r="H152">
        <v>1949</v>
      </c>
      <c r="I152">
        <v>1967</v>
      </c>
      <c r="K152">
        <v>2100</v>
      </c>
      <c r="M152" s="5">
        <v>18</v>
      </c>
      <c r="N152" s="5">
        <v>24</v>
      </c>
      <c r="O152" s="5">
        <v>3</v>
      </c>
      <c r="P152" s="5">
        <v>250</v>
      </c>
      <c r="Q152" s="6">
        <f>((($Y152/2)/60)*5280)/($R152*3.2*PI())</f>
        <v>241.87363061991991</v>
      </c>
      <c r="R152" s="5">
        <v>1.9</v>
      </c>
      <c r="S152" s="5">
        <f>((($M152*$M152/4)*PI())*($N152/12)*$O152*$P152*$Q152)/(33000*1.1)</f>
        <v>2543.3612440191391</v>
      </c>
      <c r="T152">
        <v>96.3</v>
      </c>
      <c r="U152" s="8">
        <v>52</v>
      </c>
      <c r="W152">
        <v>167</v>
      </c>
      <c r="X152" s="3">
        <f t="shared" si="44"/>
        <v>0.11260957518543493</v>
      </c>
      <c r="Y152">
        <v>105</v>
      </c>
      <c r="Z152">
        <f t="shared" si="34"/>
        <v>168</v>
      </c>
      <c r="AB152">
        <v>1</v>
      </c>
      <c r="AC152">
        <v>21.23</v>
      </c>
      <c r="AD152">
        <f>AC152-7.5</f>
        <v>13.73</v>
      </c>
      <c r="AG152" s="10">
        <v>0</v>
      </c>
      <c r="AH152" t="str">
        <f>CONCATENATE(VLOOKUP(AI152, 'Voxel Sizes'!$A$2:$B$18,2,FALSE),"x",INT(AE152*15), "x", INT(AF152*15))</f>
        <v>136x0x0</v>
      </c>
      <c r="AI152">
        <f t="shared" si="45"/>
        <v>8</v>
      </c>
      <c r="AJ152" t="s">
        <v>469</v>
      </c>
      <c r="AK152" t="str">
        <f>CONCATENATE(VLOOKUP(AI152,Constants!$A$2:$C$16,IF(AJ152&lt;&gt;"", 3, 2), FALSE),IF(AJ152&lt;&gt;"",CONCATENATE(",",VLOOKUP(AJ152,$B:$AK,36,FALSE)),""))</f>
        <v>2,4,2,2,1,2</v>
      </c>
      <c r="AS152">
        <v>1</v>
      </c>
      <c r="AU152">
        <v>32</v>
      </c>
      <c r="AV152" s="15">
        <f t="shared" si="46"/>
        <v>34</v>
      </c>
      <c r="AY152">
        <f t="shared" si="47"/>
        <v>21</v>
      </c>
      <c r="AZ152">
        <f t="shared" si="48"/>
        <v>10.5</v>
      </c>
      <c r="BA152">
        <f t="shared" si="49"/>
        <v>8.35</v>
      </c>
      <c r="BB152" s="3">
        <f t="shared" si="50"/>
        <v>0.94533333333333336</v>
      </c>
      <c r="BC152">
        <f t="shared" si="51"/>
        <v>0</v>
      </c>
      <c r="BD152">
        <f>VLOOKUP($E152,Constants!$I:$K, 2, FALSE)</f>
        <v>1.1499999999999999</v>
      </c>
      <c r="BE152">
        <f>VLOOKUP($E152,Constants!$I:$K, 3, FALSE)*IF(AND(D152="multiple_unit",Y152&lt;110),0.75,1)</f>
        <v>1.7</v>
      </c>
      <c r="BF152">
        <f>INT(POWER(((Constants!$G$2+$AY152+$AZ152+$BA152+$BC152)*$BB152)*$BE152, 1.05))+$AX152</f>
        <v>89</v>
      </c>
      <c r="BG152">
        <f>INT(POWER((((Constants!$G$1+$AY152+$AZ152+$BA152+$BC152)*($BB152))*$BD152),IF($D152="wagon",1,1.2)))+$AW152</f>
        <v>135</v>
      </c>
      <c r="BH152" s="14">
        <f t="shared" si="52"/>
        <v>69531.25</v>
      </c>
      <c r="BI152" s="14">
        <f t="shared" si="53"/>
        <v>10968.75</v>
      </c>
      <c r="BP152">
        <v>6</v>
      </c>
      <c r="BT152" t="str">
        <f>VLOOKUP(G152,Eras!$A$2:$C$10, 2, TRUE)</f>
        <v>big4</v>
      </c>
      <c r="BU152" t="s">
        <v>328</v>
      </c>
      <c r="BV152" t="str">
        <f t="shared" si="54"/>
        <v>big4_Express</v>
      </c>
      <c r="BW152" t="str">
        <f t="shared" si="55"/>
        <v>steam_RAIL</v>
      </c>
      <c r="BX152" t="str">
        <f>VLOOKUP($BW152, Constants!$M:$N, 2, FALSE)</f>
        <v>{BLACK}Powered by: {GOLD}Steam</v>
      </c>
      <c r="BY152" t="str">
        <f t="shared" si="60"/>
        <v/>
      </c>
      <c r="BZ152" t="s">
        <v>471</v>
      </c>
      <c r="CA152" t="str">
        <f t="shared" si="56"/>
        <v/>
      </c>
      <c r="CB152" t="str">
        <f t="shared" si="57"/>
        <v>{BLACK}Powered by: {GOLD}Steam {}{SILVER}The SR Merchant Navy is a large, powerful locomotive with an air-smoothed casing. Bulleid's novel design features proved to be troublesome, and the class was later rebuilt.</v>
      </c>
    </row>
    <row r="153" spans="1:80" x14ac:dyDescent="0.3">
      <c r="A153" t="s">
        <v>57</v>
      </c>
      <c r="B153" t="s">
        <v>164</v>
      </c>
      <c r="C153">
        <v>256</v>
      </c>
      <c r="D153" t="s">
        <v>263</v>
      </c>
      <c r="E153" t="s">
        <v>296</v>
      </c>
      <c r="F153" t="s">
        <v>303</v>
      </c>
      <c r="G153">
        <v>1941</v>
      </c>
      <c r="H153">
        <v>1948</v>
      </c>
      <c r="I153">
        <v>1968</v>
      </c>
      <c r="K153">
        <v>1470</v>
      </c>
      <c r="T153">
        <v>101</v>
      </c>
      <c r="W153">
        <v>178</v>
      </c>
      <c r="X153" s="3">
        <f t="shared" si="44"/>
        <v>0.17623762376237623</v>
      </c>
      <c r="Y153">
        <v>75</v>
      </c>
      <c r="Z153">
        <f t="shared" si="34"/>
        <v>120</v>
      </c>
      <c r="AB153">
        <v>1</v>
      </c>
      <c r="AC153">
        <v>17</v>
      </c>
      <c r="AD153">
        <v>17</v>
      </c>
      <c r="AG153" s="10">
        <v>0</v>
      </c>
      <c r="AH153" t="str">
        <f>CONCATENATE(VLOOKUP(AI153, 'Voxel Sizes'!$A$2:$B$18,2,FALSE),"x",INT(AE153*15), "x", INT(AF153*15))</f>
        <v>164x0x0</v>
      </c>
      <c r="AI153">
        <f t="shared" si="45"/>
        <v>10</v>
      </c>
      <c r="AK153" t="str">
        <f>CONCATENATE(VLOOKUP(AI153,Constants!$A$2:$C$16,IF(AJ153&lt;&gt;"", 3, 2), FALSE),IF(AJ153&lt;&gt;"",CONCATENATE(",",VLOOKUP(AJ153,$B:$AK,36,FALSE)),""))</f>
        <v>4,2,4</v>
      </c>
      <c r="AU153">
        <v>31</v>
      </c>
      <c r="AV153" s="15">
        <f t="shared" si="46"/>
        <v>35</v>
      </c>
      <c r="AY153">
        <f t="shared" si="47"/>
        <v>15</v>
      </c>
      <c r="AZ153">
        <f t="shared" si="48"/>
        <v>7.35</v>
      </c>
      <c r="BA153">
        <f t="shared" si="49"/>
        <v>8.9</v>
      </c>
      <c r="BB153" s="3">
        <f t="shared" si="50"/>
        <v>0.94533333333333336</v>
      </c>
      <c r="BC153">
        <f t="shared" si="51"/>
        <v>0</v>
      </c>
      <c r="BD153">
        <f>VLOOKUP($E153,Constants!$I:$K, 2, FALSE)</f>
        <v>0.85</v>
      </c>
      <c r="BE153">
        <f>VLOOKUP($E153,Constants!$I:$K, 3, FALSE)*IF(AND(D153="multiple_unit",Y153&lt;110),0.75,1)</f>
        <v>2.2999999999999998</v>
      </c>
      <c r="BF153">
        <f>INT(POWER(((Constants!$G$2+$AY153+$AZ153+$BA153+$BC153)*$BB153)*$BE153, 1.05))+$AX153</f>
        <v>98</v>
      </c>
      <c r="BG153">
        <f>INT(POWER((((Constants!$G$1+$AY153+$AZ153+$BA153+$BC153)*($BB153))*$BD153),IF($D153="wagon",1,1.2)))+$AW153</f>
        <v>76</v>
      </c>
      <c r="BH153" s="14">
        <f t="shared" si="52"/>
        <v>76562.5</v>
      </c>
      <c r="BI153" s="14">
        <f t="shared" si="53"/>
        <v>6175</v>
      </c>
      <c r="BP153">
        <v>8</v>
      </c>
      <c r="BT153" t="str">
        <f>VLOOKUP(G153,Eras!$A$2:$C$10, 2, TRUE)</f>
        <v>big4</v>
      </c>
      <c r="BU153" t="s">
        <v>337</v>
      </c>
      <c r="BV153" t="str">
        <f t="shared" si="54"/>
        <v>big4_MT (Electric)</v>
      </c>
      <c r="BW153" t="str">
        <f t="shared" si="55"/>
        <v>electric_THIRD_RAIL</v>
      </c>
      <c r="BX153" t="str">
        <f>VLOOKUP($BW153, Constants!$M:$N, 2, FALSE)</f>
        <v>{BLACK}Powered by: {GOLD}750V DC</v>
      </c>
      <c r="BY153" t="str">
        <f t="shared" si="60"/>
        <v/>
      </c>
      <c r="BZ153" t="s">
        <v>472</v>
      </c>
      <c r="CA153" t="str">
        <f t="shared" si="56"/>
        <v/>
      </c>
      <c r="CB153" t="str">
        <f t="shared" si="57"/>
        <v>{BLACK}Powered by: {GOLD}750V DC {}{SILVER}With six traction motors, the CC is adept at handling both heavy freight and long passenger trains.</v>
      </c>
    </row>
    <row r="154" spans="1:80" x14ac:dyDescent="0.3">
      <c r="A154" t="s">
        <v>29</v>
      </c>
      <c r="B154" t="s">
        <v>473</v>
      </c>
      <c r="C154">
        <v>258</v>
      </c>
      <c r="D154" t="s">
        <v>263</v>
      </c>
      <c r="E154" t="s">
        <v>272</v>
      </c>
      <c r="F154" t="s">
        <v>275</v>
      </c>
      <c r="G154">
        <v>1942</v>
      </c>
      <c r="H154">
        <v>1942</v>
      </c>
      <c r="I154">
        <v>1966</v>
      </c>
      <c r="K154">
        <v>1600</v>
      </c>
      <c r="M154" s="5">
        <v>19</v>
      </c>
      <c r="N154" s="5">
        <v>26</v>
      </c>
      <c r="O154" s="5">
        <v>2</v>
      </c>
      <c r="P154" s="5">
        <v>230</v>
      </c>
      <c r="Q154" s="6">
        <f t="shared" ref="Q154:Q161" si="61">((($Y154/2)/60)*5280)/($R154*3.2*PI())</f>
        <v>218.83804675135607</v>
      </c>
      <c r="R154" s="5">
        <v>1.5</v>
      </c>
      <c r="S154" s="5">
        <f t="shared" ref="S154:S161" si="62">((($M154*$M154/4)*PI())*($N154/12)*$O154*$P154*$Q154)/(33000*1.1)</f>
        <v>1703.5827020202014</v>
      </c>
      <c r="T154">
        <v>50.3</v>
      </c>
      <c r="U154" s="8">
        <f>90.7-T154</f>
        <v>40.400000000000006</v>
      </c>
      <c r="W154">
        <v>134</v>
      </c>
      <c r="X154" s="3">
        <f t="shared" si="44"/>
        <v>0.14773980154355015</v>
      </c>
      <c r="Y154">
        <v>75</v>
      </c>
      <c r="Z154">
        <f t="shared" si="34"/>
        <v>120</v>
      </c>
      <c r="AB154">
        <v>1</v>
      </c>
      <c r="AC154">
        <v>16.73</v>
      </c>
      <c r="AD154">
        <v>10</v>
      </c>
      <c r="AG154" s="10">
        <v>0</v>
      </c>
      <c r="AH154" t="str">
        <f>CONCATENATE(VLOOKUP(AI154, 'Voxel Sizes'!$A$2:$B$18,2,FALSE),"x",INT(AE154*15), "x", INT(AF154*15))</f>
        <v>102x0x0</v>
      </c>
      <c r="AI154">
        <f t="shared" si="45"/>
        <v>6</v>
      </c>
      <c r="AJ154" t="s">
        <v>475</v>
      </c>
      <c r="AK154" t="str">
        <f>CONCATENATE(VLOOKUP(AI154,Constants!$A$2:$C$16,IF(AJ154&lt;&gt;"", 3, 2), FALSE),IF(AJ154&lt;&gt;"",CONCATENATE(",",VLOOKUP(AJ154,$B:$AK,36,FALSE)),""))</f>
        <v>2,2,2,1,2,1</v>
      </c>
      <c r="AS154">
        <v>1</v>
      </c>
      <c r="AU154">
        <v>25</v>
      </c>
      <c r="AV154" s="15">
        <f t="shared" si="46"/>
        <v>32</v>
      </c>
      <c r="AY154">
        <f t="shared" si="47"/>
        <v>15</v>
      </c>
      <c r="AZ154">
        <f t="shared" si="48"/>
        <v>8</v>
      </c>
      <c r="BA154">
        <f t="shared" si="49"/>
        <v>6.7</v>
      </c>
      <c r="BB154" s="3">
        <f t="shared" si="50"/>
        <v>0.94399999999999995</v>
      </c>
      <c r="BC154">
        <f t="shared" si="51"/>
        <v>0</v>
      </c>
      <c r="BD154">
        <f>VLOOKUP($E154,Constants!$I:$K, 2, FALSE)</f>
        <v>1.1499999999999999</v>
      </c>
      <c r="BE154">
        <f>VLOOKUP($E154,Constants!$I:$K, 3, FALSE)*IF(AND(D154="multiple_unit",Y154&lt;110),0.75,1)</f>
        <v>1.7</v>
      </c>
      <c r="BF154">
        <f>INT(POWER(((Constants!$G$2+$AY154+$AZ154+$BA154+$BC154)*$BB154)*$BE154, 1.05))+$AX154</f>
        <v>68</v>
      </c>
      <c r="BG154">
        <f>INT(POWER((((Constants!$G$1+$AY154+$AZ154+$BA154+$BC154)*($BB154))*$BD154),IF($D154="wagon",1,1.2)))+$AW154</f>
        <v>105</v>
      </c>
      <c r="BH154" s="14">
        <f t="shared" si="52"/>
        <v>53125</v>
      </c>
      <c r="BI154" s="14">
        <f t="shared" si="53"/>
        <v>8531.25</v>
      </c>
      <c r="BP154">
        <v>9</v>
      </c>
      <c r="BT154" t="str">
        <f>VLOOKUP(G154,Eras!$A$2:$C$10, 2, TRUE)</f>
        <v>big4</v>
      </c>
      <c r="BU154" t="s">
        <v>326</v>
      </c>
      <c r="BV154" t="str">
        <f t="shared" si="54"/>
        <v>big4_Cheap</v>
      </c>
      <c r="BW154" t="str">
        <f t="shared" si="55"/>
        <v>steam_RAIL</v>
      </c>
      <c r="BX154" t="str">
        <f>VLOOKUP($BW154, Constants!$M:$N, 2, FALSE)</f>
        <v>{BLACK}Powered by: {GOLD}Steam</v>
      </c>
      <c r="BY154" t="str">
        <f t="shared" si="60"/>
        <v/>
      </c>
      <c r="BZ154" t="s">
        <v>474</v>
      </c>
      <c r="CA154" t="str">
        <f t="shared" si="56"/>
        <v/>
      </c>
      <c r="CB154" t="str">
        <f t="shared" si="57"/>
        <v>{BLACK}Powered by: {GOLD}Steam {}{SILVER}The Q1 was designed for function over form and the most efficient possible use of materials.</v>
      </c>
    </row>
    <row r="155" spans="1:80" x14ac:dyDescent="0.3">
      <c r="A155" t="s">
        <v>477</v>
      </c>
      <c r="B155" t="s">
        <v>215</v>
      </c>
      <c r="C155">
        <v>260</v>
      </c>
      <c r="D155" t="s">
        <v>263</v>
      </c>
      <c r="E155" t="s">
        <v>272</v>
      </c>
      <c r="F155" t="s">
        <v>275</v>
      </c>
      <c r="G155">
        <v>1943</v>
      </c>
      <c r="H155">
        <v>1964</v>
      </c>
      <c r="I155">
        <v>1967</v>
      </c>
      <c r="K155">
        <v>500</v>
      </c>
      <c r="M155" s="5">
        <v>18</v>
      </c>
      <c r="N155" s="5">
        <v>26</v>
      </c>
      <c r="O155" s="5">
        <v>2</v>
      </c>
      <c r="P155" s="5">
        <v>170</v>
      </c>
      <c r="Q155" s="6">
        <f t="shared" si="61"/>
        <v>94.268697062122627</v>
      </c>
      <c r="R155" s="5">
        <v>1.3</v>
      </c>
      <c r="S155" s="5">
        <f t="shared" si="62"/>
        <v>486.8181818181817</v>
      </c>
      <c r="T155">
        <v>49</v>
      </c>
      <c r="W155">
        <v>106</v>
      </c>
      <c r="X155" s="3">
        <f t="shared" si="44"/>
        <v>0.21632653061224491</v>
      </c>
      <c r="Y155">
        <v>28</v>
      </c>
      <c r="Z155">
        <f t="shared" ref="Z155:Z218" si="63">ROUND(Y155*1.6, 0)</f>
        <v>45</v>
      </c>
      <c r="AB155">
        <v>1</v>
      </c>
      <c r="AC155">
        <v>9.25</v>
      </c>
      <c r="AD155">
        <v>9.25</v>
      </c>
      <c r="AG155" s="10">
        <v>0</v>
      </c>
      <c r="AH155" t="str">
        <f>CONCATENATE(VLOOKUP(AI155, 'Voxel Sizes'!$A$2:$B$18,2,FALSE),"x",INT(AE155*15), "x", INT(AF155*15))</f>
        <v>82x0x0</v>
      </c>
      <c r="AI155">
        <f t="shared" si="45"/>
        <v>5</v>
      </c>
      <c r="AK155" t="str">
        <f>CONCATENATE(VLOOKUP(AI155,Constants!$A$2:$C$16,IF(AJ155&lt;&gt;"", 3, 2), FALSE),IF(AJ155&lt;&gt;"",CONCATENATE(",",VLOOKUP(AJ155,$B:$AK,36,FALSE)),""))</f>
        <v>2,1,2</v>
      </c>
      <c r="AS155">
        <v>1</v>
      </c>
      <c r="AU155">
        <v>23</v>
      </c>
      <c r="AV155" s="15">
        <f t="shared" si="46"/>
        <v>32</v>
      </c>
      <c r="AY155">
        <f t="shared" si="47"/>
        <v>5.6000000000000005</v>
      </c>
      <c r="AZ155">
        <f t="shared" si="48"/>
        <v>2.5</v>
      </c>
      <c r="BA155">
        <f t="shared" si="49"/>
        <v>5.3000000000000007</v>
      </c>
      <c r="BB155" s="3">
        <f t="shared" si="50"/>
        <v>0.94266666666666665</v>
      </c>
      <c r="BC155">
        <f t="shared" si="51"/>
        <v>0</v>
      </c>
      <c r="BD155">
        <f>VLOOKUP($E155,Constants!$I:$K, 2, FALSE)</f>
        <v>1.1499999999999999</v>
      </c>
      <c r="BE155">
        <f>VLOOKUP($E155,Constants!$I:$K, 3, FALSE)*IF(AND(D155="multiple_unit",Y155&lt;110),0.75,1)</f>
        <v>1.7</v>
      </c>
      <c r="BF155">
        <f>INT(POWER(((Constants!$G$2+$AY155+$AZ155+$BA155+$BC155)*$BB155)*$BE155, 1.05))+$AX155</f>
        <v>34</v>
      </c>
      <c r="BG155">
        <f>INT(POWER((((Constants!$G$1+$AY155+$AZ155+$BA155+$BC155)*($BB155))*$BD155),IF($D155="wagon",1,1.2)))+$AW155</f>
        <v>61</v>
      </c>
      <c r="BH155" s="14">
        <f t="shared" si="52"/>
        <v>26562.5</v>
      </c>
      <c r="BI155" s="14">
        <f t="shared" si="53"/>
        <v>4956.25</v>
      </c>
      <c r="BP155">
        <v>10</v>
      </c>
      <c r="BT155" t="str">
        <f>VLOOKUP(G155,Eras!$A$2:$C$10, 2, TRUE)</f>
        <v>big4</v>
      </c>
      <c r="BU155" t="s">
        <v>326</v>
      </c>
      <c r="BV155" t="str">
        <f t="shared" si="54"/>
        <v>big4_Cheap</v>
      </c>
      <c r="BW155" t="str">
        <f t="shared" si="55"/>
        <v>steam_RAIL</v>
      </c>
      <c r="BX155" t="str">
        <f>VLOOKUP($BW155, Constants!$M:$N, 2, FALSE)</f>
        <v>{BLACK}Powered by: {GOLD}Steam</v>
      </c>
      <c r="BY155" t="str">
        <f t="shared" si="60"/>
        <v/>
      </c>
      <c r="BZ155" t="s">
        <v>478</v>
      </c>
      <c r="CA155" t="str">
        <f t="shared" si="56"/>
        <v/>
      </c>
      <c r="CB155" t="str">
        <f t="shared" si="57"/>
        <v>{BLACK}Powered by: {GOLD}Steam {}{SILVER}Hunslet's Austerity was designed for shunting duties. It's powerful for its size with good adhesion, but does not run well at higher speeds.</v>
      </c>
    </row>
    <row r="156" spans="1:80" x14ac:dyDescent="0.3">
      <c r="A156" t="s">
        <v>28</v>
      </c>
      <c r="B156" t="s">
        <v>480</v>
      </c>
      <c r="C156">
        <v>262</v>
      </c>
      <c r="D156" t="s">
        <v>263</v>
      </c>
      <c r="E156" t="s">
        <v>272</v>
      </c>
      <c r="F156" t="s">
        <v>275</v>
      </c>
      <c r="G156">
        <v>1943</v>
      </c>
      <c r="H156">
        <v>1945</v>
      </c>
      <c r="I156">
        <v>1962</v>
      </c>
      <c r="K156">
        <v>1200</v>
      </c>
      <c r="M156" s="5">
        <v>19</v>
      </c>
      <c r="N156" s="5">
        <v>28</v>
      </c>
      <c r="O156" s="5">
        <v>2</v>
      </c>
      <c r="P156" s="5">
        <v>225</v>
      </c>
      <c r="Q156" s="6">
        <f t="shared" si="61"/>
        <v>212.58553112988881</v>
      </c>
      <c r="R156" s="5">
        <v>1.4</v>
      </c>
      <c r="S156" s="5">
        <f t="shared" si="62"/>
        <v>1743.4659090909092</v>
      </c>
      <c r="T156">
        <v>71.400000000000006</v>
      </c>
      <c r="U156" s="8">
        <v>56.4</v>
      </c>
      <c r="W156">
        <v>152</v>
      </c>
      <c r="X156" s="3">
        <f t="shared" si="44"/>
        <v>0.1189358372456964</v>
      </c>
      <c r="Y156">
        <v>68</v>
      </c>
      <c r="Z156">
        <f t="shared" si="63"/>
        <v>109</v>
      </c>
      <c r="AC156">
        <v>19.350000000000001</v>
      </c>
      <c r="AD156">
        <v>11.7</v>
      </c>
      <c r="AG156" s="10">
        <v>0</v>
      </c>
      <c r="AH156" t="str">
        <f>CONCATENATE(VLOOKUP(AI156, 'Voxel Sizes'!$A$2:$B$18,2,FALSE),"x",INT(AE156*15), "x", INT(AF156*15))</f>
        <v>120x0x0</v>
      </c>
      <c r="AI156">
        <f t="shared" si="45"/>
        <v>7</v>
      </c>
      <c r="AJ156" t="s">
        <v>482</v>
      </c>
      <c r="AK156" t="str">
        <f>CONCATENATE(VLOOKUP(AI156,Constants!$A$2:$C$16,IF(AJ156&lt;&gt;"", 3, 2), FALSE),IF(AJ156&lt;&gt;"",CONCATENATE(",",VLOOKUP(AJ156,$B:$AK,36,FALSE)),""))</f>
        <v>2,3,2,1,2,1</v>
      </c>
      <c r="AS156">
        <v>1</v>
      </c>
      <c r="AU156">
        <v>26</v>
      </c>
      <c r="AV156" s="15">
        <f t="shared" si="46"/>
        <v>27</v>
      </c>
      <c r="AY156">
        <f t="shared" si="47"/>
        <v>13.6</v>
      </c>
      <c r="AZ156">
        <f t="shared" si="48"/>
        <v>6</v>
      </c>
      <c r="BA156">
        <f t="shared" si="49"/>
        <v>7.6</v>
      </c>
      <c r="BB156" s="3">
        <f t="shared" si="50"/>
        <v>0.94266666666666665</v>
      </c>
      <c r="BC156">
        <f t="shared" si="51"/>
        <v>0</v>
      </c>
      <c r="BD156">
        <f>VLOOKUP($E156,Constants!$I:$K, 2, FALSE)</f>
        <v>1.1499999999999999</v>
      </c>
      <c r="BE156">
        <f>VLOOKUP($E156,Constants!$I:$K, 3, FALSE)*IF(AND(D156="multiple_unit",Y156&lt;110),0.75,1)</f>
        <v>1.7</v>
      </c>
      <c r="BF156">
        <f>INT(POWER(((Constants!$G$2+$AY156+$AZ156+$BA156+$BC156)*$BB156)*$BE156, 1.05))+$AX156</f>
        <v>62</v>
      </c>
      <c r="BG156">
        <f>INT(POWER((((Constants!$G$1+$AY156+$AZ156+$BA156+$BC156)*($BB156))*$BD156),IF($D156="wagon",1,1.2)))+$AW156</f>
        <v>98</v>
      </c>
      <c r="BH156" s="14">
        <f t="shared" si="52"/>
        <v>48437.5</v>
      </c>
      <c r="BI156" s="14">
        <f t="shared" si="53"/>
        <v>7962.5</v>
      </c>
      <c r="BP156">
        <v>11</v>
      </c>
      <c r="BT156" t="str">
        <f>VLOOKUP(G156,Eras!$A$2:$C$10, 2, TRUE)</f>
        <v>big4</v>
      </c>
      <c r="BU156" t="s">
        <v>329</v>
      </c>
      <c r="BV156" t="str">
        <f t="shared" si="54"/>
        <v>big4_Freight</v>
      </c>
      <c r="BW156" t="str">
        <f t="shared" si="55"/>
        <v>steam_RAIL</v>
      </c>
      <c r="BX156" t="str">
        <f>VLOOKUP($BW156, Constants!$M:$N, 2, FALSE)</f>
        <v>{BLACK}Powered by: {GOLD}Steam</v>
      </c>
      <c r="BY156" t="str">
        <f t="shared" si="60"/>
        <v/>
      </c>
      <c r="BZ156" t="s">
        <v>479</v>
      </c>
      <c r="CA156" t="str">
        <f t="shared" si="56"/>
        <v/>
      </c>
      <c r="CB156" t="str">
        <f t="shared" si="57"/>
        <v>{BLACK}Powered by: {GOLD}Steam {}{SILVER}Robert Riddles adapted the LMS 8F for low cost and simple construction, resulting in this "austerity" freight locomotive.</v>
      </c>
    </row>
    <row r="157" spans="1:80" x14ac:dyDescent="0.3">
      <c r="A157" t="s">
        <v>485</v>
      </c>
      <c r="B157" t="s">
        <v>238</v>
      </c>
      <c r="C157">
        <v>264</v>
      </c>
      <c r="D157" t="s">
        <v>263</v>
      </c>
      <c r="E157" t="s">
        <v>272</v>
      </c>
      <c r="F157" t="s">
        <v>275</v>
      </c>
      <c r="G157">
        <v>1944</v>
      </c>
      <c r="H157">
        <v>1950</v>
      </c>
      <c r="I157">
        <v>1965</v>
      </c>
      <c r="K157">
        <v>1700</v>
      </c>
      <c r="M157" s="5">
        <v>18.5</v>
      </c>
      <c r="N157" s="5">
        <v>30</v>
      </c>
      <c r="O157" s="5">
        <v>2</v>
      </c>
      <c r="P157" s="5">
        <v>225</v>
      </c>
      <c r="Q157" s="6">
        <f t="shared" si="61"/>
        <v>206.68037748739187</v>
      </c>
      <c r="R157" s="5">
        <v>1.8</v>
      </c>
      <c r="S157" s="5">
        <f t="shared" si="62"/>
        <v>1721.7832623106062</v>
      </c>
      <c r="T157">
        <v>77</v>
      </c>
      <c r="U157" s="8">
        <v>48</v>
      </c>
      <c r="W157">
        <v>121</v>
      </c>
      <c r="X157" s="3">
        <f t="shared" si="44"/>
        <v>9.6799999999999997E-2</v>
      </c>
      <c r="Y157">
        <v>85</v>
      </c>
      <c r="Z157">
        <f t="shared" si="63"/>
        <v>136</v>
      </c>
      <c r="AC157">
        <v>19.2</v>
      </c>
      <c r="AD157">
        <v>11.7</v>
      </c>
      <c r="AF157">
        <v>4.01</v>
      </c>
      <c r="AG157" s="10">
        <v>0</v>
      </c>
      <c r="AH157" t="str">
        <f>CONCATENATE(VLOOKUP(AI157, 'Voxel Sizes'!$A$2:$B$18,2,FALSE),"x",INT(AE157*15), "x", INT(AF157*15))</f>
        <v>120x0x60</v>
      </c>
      <c r="AI157">
        <f t="shared" si="45"/>
        <v>7</v>
      </c>
      <c r="AJ157" t="s">
        <v>421</v>
      </c>
      <c r="AK157" t="str">
        <f>CONCATENATE(VLOOKUP(AI157,Constants!$A$2:$C$16,IF(AJ157&lt;&gt;"", 3, 2), FALSE),IF(AJ157&lt;&gt;"",CONCATENATE(",",VLOOKUP(AJ157,$B:$AK,36,FALSE)),""))</f>
        <v>2,3,2,2,1,2</v>
      </c>
      <c r="AR157" t="s">
        <v>432</v>
      </c>
      <c r="AS157">
        <v>1</v>
      </c>
      <c r="AU157">
        <v>31</v>
      </c>
      <c r="AV157" s="15">
        <f t="shared" si="46"/>
        <v>29</v>
      </c>
      <c r="AY157">
        <f t="shared" si="47"/>
        <v>17</v>
      </c>
      <c r="AZ157">
        <f t="shared" si="48"/>
        <v>8.5</v>
      </c>
      <c r="BA157">
        <f t="shared" si="49"/>
        <v>6.05</v>
      </c>
      <c r="BB157" s="3">
        <f t="shared" si="50"/>
        <v>0.94133333333333336</v>
      </c>
      <c r="BC157">
        <f t="shared" si="51"/>
        <v>0</v>
      </c>
      <c r="BD157">
        <f>VLOOKUP($E157,Constants!$I:$K, 2, FALSE)</f>
        <v>1.1499999999999999</v>
      </c>
      <c r="BE157">
        <f>VLOOKUP($E157,Constants!$I:$K, 3, FALSE)*IF(AND(D157="multiple_unit",Y157&lt;110),0.75,1)</f>
        <v>1.7</v>
      </c>
      <c r="BF157">
        <f>INT(POWER(((Constants!$G$2+$AY157+$AZ157+$BA157+$BC157)*$BB157)*$BE157, 1.05))+$AX157</f>
        <v>71</v>
      </c>
      <c r="BG157">
        <f>INT(POWER((((Constants!$G$1+$AY157+$AZ157+$BA157+$BC157)*($BB157))*$BD157),IF($D157="wagon",1,1.2)))+$AW157</f>
        <v>110</v>
      </c>
      <c r="BH157" s="14">
        <f t="shared" si="52"/>
        <v>55468.75</v>
      </c>
      <c r="BI157" s="14">
        <f t="shared" si="53"/>
        <v>8937.5</v>
      </c>
      <c r="BP157">
        <v>12</v>
      </c>
      <c r="BT157" t="str">
        <f>VLOOKUP(G157,Eras!$A$2:$C$10, 2, TRUE)</f>
        <v>big4</v>
      </c>
      <c r="BU157" t="s">
        <v>327</v>
      </c>
      <c r="BV157" t="str">
        <f t="shared" si="54"/>
        <v>big4_Mixed Traffic</v>
      </c>
      <c r="BW157" t="str">
        <f t="shared" si="55"/>
        <v>steam_RAIL</v>
      </c>
      <c r="BX157" t="str">
        <f>VLOOKUP($BW157, Constants!$M:$N, 2, FALSE)</f>
        <v>{BLACK}Powered by: {GOLD}Steam</v>
      </c>
      <c r="BY157" t="str">
        <f t="shared" si="60"/>
        <v/>
      </c>
      <c r="BZ157" t="s">
        <v>484</v>
      </c>
      <c r="CA157" t="str">
        <f t="shared" si="56"/>
        <v/>
      </c>
      <c r="CB157" t="str">
        <f t="shared" si="57"/>
        <v>{BLACK}Powered by: {GOLD}Steam {}{SILVER}While externally identical to the original Hall class, the Modified Hall was completely new on the inside with many design innovations.</v>
      </c>
    </row>
    <row r="158" spans="1:80" x14ac:dyDescent="0.3">
      <c r="A158" t="s">
        <v>486</v>
      </c>
      <c r="B158" t="s">
        <v>487</v>
      </c>
      <c r="C158">
        <v>266</v>
      </c>
      <c r="D158" t="s">
        <v>263</v>
      </c>
      <c r="E158" t="s">
        <v>272</v>
      </c>
      <c r="F158" t="s">
        <v>275</v>
      </c>
      <c r="G158">
        <v>1945</v>
      </c>
      <c r="H158">
        <v>1947</v>
      </c>
      <c r="I158">
        <v>1964</v>
      </c>
      <c r="K158">
        <v>2200</v>
      </c>
      <c r="M158" s="5">
        <v>18.5</v>
      </c>
      <c r="N158" s="5">
        <v>30</v>
      </c>
      <c r="O158" s="5">
        <v>2</v>
      </c>
      <c r="P158" s="5">
        <v>280</v>
      </c>
      <c r="Q158" s="6">
        <f t="shared" si="61"/>
        <v>230.35583868563802</v>
      </c>
      <c r="R158" s="5">
        <v>1.9</v>
      </c>
      <c r="S158" s="5">
        <f t="shared" si="62"/>
        <v>2388.1080542264754</v>
      </c>
      <c r="T158">
        <v>78.099999999999994</v>
      </c>
      <c r="U158" s="8">
        <v>49.8</v>
      </c>
      <c r="W158">
        <v>145</v>
      </c>
      <c r="X158" s="3">
        <f t="shared" si="44"/>
        <v>0.11336982017200939</v>
      </c>
      <c r="Y158">
        <v>100</v>
      </c>
      <c r="Z158">
        <f t="shared" si="63"/>
        <v>160</v>
      </c>
      <c r="AC158">
        <v>19.21</v>
      </c>
      <c r="AD158">
        <v>11.7</v>
      </c>
      <c r="AF158">
        <v>4.08</v>
      </c>
      <c r="AG158" s="10">
        <v>0</v>
      </c>
      <c r="AH158" t="str">
        <f>CONCATENATE(VLOOKUP(AI158, 'Voxel Sizes'!$A$2:$B$18,2,FALSE),"x",INT(AE158*15), "x", INT(AF158*15))</f>
        <v>120x0x61</v>
      </c>
      <c r="AI158">
        <f t="shared" si="45"/>
        <v>7</v>
      </c>
      <c r="AJ158" t="s">
        <v>421</v>
      </c>
      <c r="AK158" t="str">
        <f>CONCATENATE(VLOOKUP(AI158,Constants!$A$2:$C$16,IF(AJ158&lt;&gt;"", 3, 2), FALSE),IF(AJ158&lt;&gt;"",CONCATENATE(",",VLOOKUP(AJ158,$B:$AK,36,FALSE)),""))</f>
        <v>2,3,2,2,1,2</v>
      </c>
      <c r="AS158">
        <v>1</v>
      </c>
      <c r="AU158">
        <v>30</v>
      </c>
      <c r="AV158" s="15">
        <f t="shared" si="46"/>
        <v>27</v>
      </c>
      <c r="AY158">
        <f t="shared" si="47"/>
        <v>20</v>
      </c>
      <c r="AZ158">
        <f t="shared" si="48"/>
        <v>11</v>
      </c>
      <c r="BA158">
        <f t="shared" si="49"/>
        <v>7.25</v>
      </c>
      <c r="BB158" s="3">
        <f t="shared" si="50"/>
        <v>0.94</v>
      </c>
      <c r="BC158">
        <f t="shared" si="51"/>
        <v>0</v>
      </c>
      <c r="BD158">
        <f>VLOOKUP($E158,Constants!$I:$K, 2, FALSE)</f>
        <v>1.1499999999999999</v>
      </c>
      <c r="BE158">
        <f>VLOOKUP($E158,Constants!$I:$K, 3, FALSE)*IF(AND(D158="multiple_unit",Y158&lt;110),0.75,1)</f>
        <v>1.7</v>
      </c>
      <c r="BF158">
        <f>INT(POWER(((Constants!$G$2+$AY158+$AZ158+$BA158+$BC158)*$BB158)*$BE158, 1.05))+$AX158</f>
        <v>85</v>
      </c>
      <c r="BG158">
        <f>INT(POWER((((Constants!$G$1+$AY158+$AZ158+$BA158+$BC158)*($BB158))*$BD158),IF($D158="wagon",1,1.2)))+$AW158</f>
        <v>129</v>
      </c>
      <c r="BH158" s="14">
        <f t="shared" si="52"/>
        <v>66406.25</v>
      </c>
      <c r="BI158" s="14">
        <f t="shared" si="53"/>
        <v>10481.25</v>
      </c>
      <c r="BP158">
        <v>1</v>
      </c>
      <c r="BT158" t="str">
        <f>VLOOKUP(G158,Eras!$A$2:$C$10, 2, TRUE)</f>
        <v>big4</v>
      </c>
      <c r="BU158" t="s">
        <v>328</v>
      </c>
      <c r="BV158" t="str">
        <f t="shared" si="54"/>
        <v>big4_Express</v>
      </c>
      <c r="BW158" t="str">
        <f t="shared" si="55"/>
        <v>steam_RAIL</v>
      </c>
      <c r="BX158" t="str">
        <f>VLOOKUP($BW158, Constants!$M:$N, 2, FALSE)</f>
        <v>{BLACK}Powered by: {GOLD}Steam</v>
      </c>
      <c r="BY158" t="str">
        <f t="shared" si="60"/>
        <v/>
      </c>
      <c r="BZ158" t="s">
        <v>488</v>
      </c>
      <c r="CA158" t="str">
        <f t="shared" si="56"/>
        <v/>
      </c>
      <c r="CB158" t="str">
        <f t="shared" si="57"/>
        <v>{BLACK}Powered by: {GOLD}Steam {}{SILVER}The County Class was  Frederick Hawksworth's test of design ideas for a new Pacific. Sadly there was not enough demand for express steam locomotives in the late 1940s.</v>
      </c>
    </row>
    <row r="159" spans="1:80" x14ac:dyDescent="0.3">
      <c r="A159" t="s">
        <v>27</v>
      </c>
      <c r="B159" t="s">
        <v>490</v>
      </c>
      <c r="C159">
        <v>268</v>
      </c>
      <c r="D159" t="s">
        <v>263</v>
      </c>
      <c r="E159" t="s">
        <v>272</v>
      </c>
      <c r="F159" t="s">
        <v>275</v>
      </c>
      <c r="G159">
        <v>1945</v>
      </c>
      <c r="H159">
        <v>1951</v>
      </c>
      <c r="I159">
        <v>1967</v>
      </c>
      <c r="K159">
        <v>1800</v>
      </c>
      <c r="M159" s="5">
        <v>16.375</v>
      </c>
      <c r="N159" s="5">
        <v>24</v>
      </c>
      <c r="O159" s="5">
        <v>3</v>
      </c>
      <c r="P159" s="5">
        <v>280</v>
      </c>
      <c r="Q159" s="6">
        <f t="shared" si="61"/>
        <v>234.96295545935078</v>
      </c>
      <c r="R159" s="5">
        <v>1.9</v>
      </c>
      <c r="S159" s="5">
        <f t="shared" si="62"/>
        <v>2290.1005532296649</v>
      </c>
      <c r="T159">
        <v>87.4</v>
      </c>
      <c r="U159" s="8">
        <v>48</v>
      </c>
      <c r="W159">
        <v>138</v>
      </c>
      <c r="X159" s="3">
        <f t="shared" si="44"/>
        <v>0.10192023633677991</v>
      </c>
      <c r="Y159">
        <v>102</v>
      </c>
      <c r="Z159">
        <f t="shared" si="63"/>
        <v>163</v>
      </c>
      <c r="AC159">
        <v>20.54</v>
      </c>
      <c r="AD159">
        <v>13</v>
      </c>
      <c r="AG159" s="10">
        <v>0</v>
      </c>
      <c r="AH159" t="str">
        <f>CONCATENATE(VLOOKUP(AI159, 'Voxel Sizes'!$A$2:$B$18,2,FALSE),"x",INT(AE159*15), "x", INT(AF159*15))</f>
        <v>136x0x0</v>
      </c>
      <c r="AI159">
        <f t="shared" si="45"/>
        <v>8</v>
      </c>
      <c r="AJ159" t="s">
        <v>469</v>
      </c>
      <c r="AK159" t="str">
        <f>CONCATENATE(VLOOKUP(AI159,Constants!$A$2:$C$16,IF(AJ159&lt;&gt;"", 3, 2), FALSE),IF(AJ159&lt;&gt;"",CONCATENATE(",",VLOOKUP(AJ159,$B:$AK,36,FALSE)),""))</f>
        <v>2,4,2,2,1,2</v>
      </c>
      <c r="AS159">
        <v>1</v>
      </c>
      <c r="AU159">
        <v>30</v>
      </c>
      <c r="AV159" s="15">
        <f t="shared" si="46"/>
        <v>30</v>
      </c>
      <c r="AY159">
        <f t="shared" si="47"/>
        <v>20.400000000000002</v>
      </c>
      <c r="AZ159">
        <f t="shared" si="48"/>
        <v>9</v>
      </c>
      <c r="BA159">
        <f t="shared" si="49"/>
        <v>6.8999999999999995</v>
      </c>
      <c r="BB159" s="3">
        <f t="shared" si="50"/>
        <v>0.94</v>
      </c>
      <c r="BC159">
        <f t="shared" si="51"/>
        <v>0</v>
      </c>
      <c r="BD159">
        <f>VLOOKUP($E159,Constants!$I:$K, 2, FALSE)</f>
        <v>1.1499999999999999</v>
      </c>
      <c r="BE159">
        <f>VLOOKUP($E159,Constants!$I:$K, 3, FALSE)*IF(AND(D159="multiple_unit",Y159&lt;110),0.75,1)</f>
        <v>1.7</v>
      </c>
      <c r="BF159">
        <f>INT(POWER(((Constants!$G$2+$AY159+$AZ159+$BA159+$BC159)*$BB159)*$BE159, 1.05))+$AX159</f>
        <v>81</v>
      </c>
      <c r="BG159">
        <f>INT(POWER((((Constants!$G$1+$AY159+$AZ159+$BA159+$BC159)*($BB159))*$BD159),IF($D159="wagon",1,1.2)))+$AW159</f>
        <v>123</v>
      </c>
      <c r="BH159" s="14">
        <f t="shared" si="52"/>
        <v>63281.25</v>
      </c>
      <c r="BI159" s="14">
        <f t="shared" si="53"/>
        <v>9993.75</v>
      </c>
      <c r="BP159">
        <v>2</v>
      </c>
      <c r="BT159" t="str">
        <f>VLOOKUP(G159,Eras!$A$2:$C$10, 2, TRUE)</f>
        <v>big4</v>
      </c>
      <c r="BU159" t="s">
        <v>327</v>
      </c>
      <c r="BV159" t="str">
        <f t="shared" si="54"/>
        <v>big4_Mixed Traffic</v>
      </c>
      <c r="BW159" t="str">
        <f t="shared" si="55"/>
        <v>steam_RAIL</v>
      </c>
      <c r="BX159" t="str">
        <f>VLOOKUP($BW159, Constants!$M:$N, 2, FALSE)</f>
        <v>{BLACK}Powered by: {GOLD}Steam</v>
      </c>
      <c r="BY159" t="str">
        <f t="shared" si="60"/>
        <v/>
      </c>
      <c r="BZ159" t="s">
        <v>489</v>
      </c>
      <c r="CA159" t="str">
        <f t="shared" si="56"/>
        <v/>
      </c>
      <c r="CB159" t="str">
        <f t="shared" si="57"/>
        <v>{BLACK}Powered by: {GOLD}Steam {}{SILVER}Bulleid's "Light Pacific" is a smaller and lighter version of the Merchant Navy, capable of operating on more routes.</v>
      </c>
    </row>
    <row r="160" spans="1:80" x14ac:dyDescent="0.3">
      <c r="A160" t="s">
        <v>30</v>
      </c>
      <c r="B160" t="s">
        <v>492</v>
      </c>
      <c r="C160">
        <v>270</v>
      </c>
      <c r="D160" t="s">
        <v>263</v>
      </c>
      <c r="E160" t="s">
        <v>272</v>
      </c>
      <c r="F160" t="s">
        <v>275</v>
      </c>
      <c r="G160">
        <v>1946</v>
      </c>
      <c r="H160">
        <v>1949</v>
      </c>
      <c r="I160">
        <v>1951</v>
      </c>
      <c r="K160">
        <v>1800</v>
      </c>
      <c r="M160" s="5">
        <v>12.25</v>
      </c>
      <c r="N160" s="5">
        <v>15</v>
      </c>
      <c r="O160" s="5">
        <v>6</v>
      </c>
      <c r="P160" s="5">
        <v>280</v>
      </c>
      <c r="Q160" s="6">
        <f t="shared" si="61"/>
        <v>262.60565610162729</v>
      </c>
      <c r="R160" s="5">
        <v>1.5</v>
      </c>
      <c r="S160" s="5">
        <f t="shared" si="62"/>
        <v>1790.518465909091</v>
      </c>
      <c r="T160">
        <v>152</v>
      </c>
      <c r="W160">
        <v>117</v>
      </c>
      <c r="X160" s="3">
        <f t="shared" si="44"/>
        <v>7.6973684210526319E-2</v>
      </c>
      <c r="Y160">
        <v>90</v>
      </c>
      <c r="Z160">
        <f t="shared" si="63"/>
        <v>144</v>
      </c>
      <c r="AB160">
        <v>1</v>
      </c>
      <c r="AC160">
        <v>20.420000000000002</v>
      </c>
      <c r="AD160">
        <v>20.420000000000002</v>
      </c>
      <c r="AG160" s="10">
        <v>0</v>
      </c>
      <c r="AH160" t="str">
        <f>CONCATENATE(VLOOKUP(AI160, 'Voxel Sizes'!$A$2:$B$18,2,FALSE),"x",INT(AE160*15), "x", INT(AF160*15))</f>
        <v>198x0x0</v>
      </c>
      <c r="AI160">
        <f t="shared" si="45"/>
        <v>12</v>
      </c>
      <c r="AK160" t="str">
        <f>CONCATENATE(VLOOKUP(AI160,Constants!$A$2:$C$16,IF(AJ160&lt;&gt;"", 3, 2), FALSE),IF(AJ160&lt;&gt;"",CONCATENATE(",",VLOOKUP(AJ160,$B:$AK,36,FALSE)),""))</f>
        <v>4,4,4</v>
      </c>
      <c r="AU160">
        <v>19</v>
      </c>
      <c r="AV160" s="15">
        <f t="shared" si="46"/>
        <v>16</v>
      </c>
      <c r="AY160">
        <f t="shared" si="47"/>
        <v>18</v>
      </c>
      <c r="AZ160">
        <f t="shared" si="48"/>
        <v>9</v>
      </c>
      <c r="BA160">
        <f t="shared" si="49"/>
        <v>5.85</v>
      </c>
      <c r="BB160" s="3">
        <f t="shared" si="50"/>
        <v>0.93866666666666665</v>
      </c>
      <c r="BC160">
        <f t="shared" si="51"/>
        <v>0</v>
      </c>
      <c r="BD160">
        <f>VLOOKUP($E160,Constants!$I:$K, 2, FALSE)</f>
        <v>1.1499999999999999</v>
      </c>
      <c r="BE160">
        <f>VLOOKUP($E160,Constants!$I:$K, 3, FALSE)*IF(AND(D160="multiple_unit",Y160&lt;110),0.75,1)</f>
        <v>1.7</v>
      </c>
      <c r="BF160">
        <f>INT(POWER(((Constants!$G$2+$AY160+$AZ160+$BA160+$BC160)*$BB160)*$BE160, 1.05))+$AX160</f>
        <v>74</v>
      </c>
      <c r="BG160">
        <f>INT(POWER((((Constants!$G$1+$AY160+$AZ160+$BA160+$BC160)*($BB160))*$BD160),IF($D160="wagon",1,1.2)))+$AW160</f>
        <v>113</v>
      </c>
      <c r="BH160" s="14">
        <f t="shared" si="52"/>
        <v>57812.5</v>
      </c>
      <c r="BI160" s="14">
        <f t="shared" si="53"/>
        <v>9181.25</v>
      </c>
      <c r="BP160">
        <v>3</v>
      </c>
      <c r="BT160" t="str">
        <f>VLOOKUP(G160,Eras!$A$2:$C$10, 2, TRUE)</f>
        <v>big4</v>
      </c>
      <c r="BU160" t="s">
        <v>327</v>
      </c>
      <c r="BV160" t="str">
        <f t="shared" si="54"/>
        <v>big4_Mixed Traffic</v>
      </c>
      <c r="BW160" t="str">
        <f t="shared" si="55"/>
        <v>steam_RAIL</v>
      </c>
      <c r="BX160" t="str">
        <f>VLOOKUP($BW160, Constants!$M:$N, 2, FALSE)</f>
        <v>{BLACK}Powered by: {GOLD}Steam</v>
      </c>
      <c r="BY160" t="str">
        <f t="shared" si="60"/>
        <v/>
      </c>
      <c r="BZ160" t="s">
        <v>491</v>
      </c>
      <c r="CA160" t="str">
        <f t="shared" si="56"/>
        <v/>
      </c>
      <c r="CB160" t="str">
        <f t="shared" si="57"/>
        <v>{BLACK}Powered by: {GOLD}Steam {}{SILVER}The Leader was an attempt to make a steam locomotive as easy to operate as a diesel or electric. Complexity, poor reliability and uncomfortably hot cabs caused the project to be scrapped by 1951.</v>
      </c>
    </row>
    <row r="161" spans="1:80" x14ac:dyDescent="0.3">
      <c r="A161" t="s">
        <v>493</v>
      </c>
      <c r="B161" t="s">
        <v>494</v>
      </c>
      <c r="C161">
        <v>272</v>
      </c>
      <c r="D161" t="s">
        <v>263</v>
      </c>
      <c r="E161" t="s">
        <v>272</v>
      </c>
      <c r="F161" t="s">
        <v>275</v>
      </c>
      <c r="G161">
        <v>1946</v>
      </c>
      <c r="H161">
        <v>1953</v>
      </c>
      <c r="I161">
        <v>1967</v>
      </c>
      <c r="K161">
        <v>1000</v>
      </c>
      <c r="M161" s="5">
        <v>16</v>
      </c>
      <c r="N161" s="5">
        <v>24</v>
      </c>
      <c r="O161" s="5">
        <v>2</v>
      </c>
      <c r="P161" s="5">
        <v>200</v>
      </c>
      <c r="Q161" s="6">
        <f t="shared" si="61"/>
        <v>233.42724986811314</v>
      </c>
      <c r="R161" s="5">
        <v>1.5</v>
      </c>
      <c r="S161" s="5">
        <f t="shared" si="62"/>
        <v>1034.3434343434342</v>
      </c>
      <c r="T161">
        <v>47.9</v>
      </c>
      <c r="U161" s="8">
        <v>37.700000000000003</v>
      </c>
      <c r="W161">
        <v>77</v>
      </c>
      <c r="X161" s="3">
        <f t="shared" si="44"/>
        <v>8.9953271028037379E-2</v>
      </c>
      <c r="Y161">
        <v>80</v>
      </c>
      <c r="Z161">
        <f t="shared" si="63"/>
        <v>128</v>
      </c>
      <c r="AC161">
        <v>16.2</v>
      </c>
      <c r="AD161">
        <f>AC161-6</f>
        <v>10.199999999999999</v>
      </c>
      <c r="AG161" s="10">
        <v>0</v>
      </c>
      <c r="AH161" t="str">
        <f>CONCATENATE(VLOOKUP(AI161, 'Voxel Sizes'!$A$2:$B$18,2,FALSE),"x",INT(AE161*15), "x", INT(AF161*15))</f>
        <v>102x0x0</v>
      </c>
      <c r="AI161">
        <f t="shared" si="45"/>
        <v>6</v>
      </c>
      <c r="AJ161" t="s">
        <v>495</v>
      </c>
      <c r="AK161" t="str">
        <f>CONCATENATE(VLOOKUP(AI161,Constants!$A$2:$C$16,IF(AJ161&lt;&gt;"", 3, 2), FALSE),IF(AJ161&lt;&gt;"",CONCATENATE(",",VLOOKUP(AJ161,$B:$AK,36,FALSE)),""))</f>
        <v>2,2,2,1,2,1</v>
      </c>
      <c r="AS161">
        <v>1</v>
      </c>
      <c r="AU161">
        <v>30</v>
      </c>
      <c r="AV161" s="15">
        <f t="shared" si="46"/>
        <v>29</v>
      </c>
      <c r="AY161">
        <f t="shared" si="47"/>
        <v>16</v>
      </c>
      <c r="AZ161">
        <f t="shared" si="48"/>
        <v>5</v>
      </c>
      <c r="BA161">
        <f t="shared" si="49"/>
        <v>3.85</v>
      </c>
      <c r="BB161" s="3">
        <f t="shared" si="50"/>
        <v>0.93866666666666665</v>
      </c>
      <c r="BC161">
        <f t="shared" si="51"/>
        <v>0</v>
      </c>
      <c r="BD161">
        <f>VLOOKUP($E161,Constants!$I:$K, 2, FALSE)</f>
        <v>1.1499999999999999</v>
      </c>
      <c r="BE161">
        <f>VLOOKUP($E161,Constants!$I:$K, 3, FALSE)*IF(AND(D161="multiple_unit",Y161&lt;110),0.75,1)</f>
        <v>1.7</v>
      </c>
      <c r="BF161">
        <f>INT(POWER(((Constants!$G$2+$AY161+$AZ161+$BA161+$BC161)*$BB161)*$BE161, 1.05))+$AX161</f>
        <v>57</v>
      </c>
      <c r="BG161">
        <f>INT(POWER((((Constants!$G$1+$AY161+$AZ161+$BA161+$BC161)*($BB161))*$BD161),IF($D161="wagon",1,1.2)))+$AW161</f>
        <v>91</v>
      </c>
      <c r="BH161" s="14">
        <f t="shared" si="52"/>
        <v>44531.25</v>
      </c>
      <c r="BI161" s="14">
        <f t="shared" si="53"/>
        <v>7393.75</v>
      </c>
      <c r="BP161">
        <v>4</v>
      </c>
      <c r="BT161" t="str">
        <f>VLOOKUP(G161,Eras!$A$2:$C$10, 2, TRUE)</f>
        <v>big4</v>
      </c>
      <c r="BU161" t="s">
        <v>326</v>
      </c>
      <c r="BV161" t="str">
        <f t="shared" si="54"/>
        <v>big4_Cheap</v>
      </c>
      <c r="BW161" t="str">
        <f t="shared" si="55"/>
        <v>steam_RAIL</v>
      </c>
      <c r="BX161" t="str">
        <f>VLOOKUP($BW161, Constants!$M:$N, 2, FALSE)</f>
        <v>{BLACK}Powered by: {GOLD}Steam</v>
      </c>
      <c r="BY161" t="str">
        <f t="shared" si="60"/>
        <v/>
      </c>
      <c r="BZ161" t="s">
        <v>497</v>
      </c>
      <c r="CA161" t="str">
        <f t="shared" si="56"/>
        <v/>
      </c>
      <c r="CB161" t="str">
        <f t="shared" si="57"/>
        <v>{BLACK}Powered by: {GOLD}Steam {}{SILVER}The Ivatt Class 2 is a light, low-powered Mogul designed to replace the LMS fleet of 0-6-0 engines.</v>
      </c>
    </row>
    <row r="162" spans="1:80" x14ac:dyDescent="0.3">
      <c r="A162" t="s">
        <v>58</v>
      </c>
      <c r="B162" t="s">
        <v>165</v>
      </c>
      <c r="C162">
        <v>274</v>
      </c>
      <c r="D162" t="s">
        <v>263</v>
      </c>
      <c r="E162" t="s">
        <v>273</v>
      </c>
      <c r="F162" t="s">
        <v>275</v>
      </c>
      <c r="G162">
        <v>1947</v>
      </c>
      <c r="H162">
        <v>1948</v>
      </c>
      <c r="I162">
        <v>1966</v>
      </c>
      <c r="K162">
        <v>1600</v>
      </c>
      <c r="T162">
        <v>129.69999999999999</v>
      </c>
      <c r="W162">
        <v>184</v>
      </c>
      <c r="X162" s="3">
        <f t="shared" si="44"/>
        <v>0.14186584425597532</v>
      </c>
      <c r="Y162">
        <v>93</v>
      </c>
      <c r="Z162">
        <f t="shared" si="63"/>
        <v>149</v>
      </c>
      <c r="AC162">
        <v>18.64</v>
      </c>
      <c r="AD162">
        <v>18.64</v>
      </c>
      <c r="AF162">
        <v>3.95</v>
      </c>
      <c r="AG162" s="10">
        <v>0</v>
      </c>
      <c r="AH162" t="str">
        <f>CONCATENATE(VLOOKUP(AI162, 'Voxel Sizes'!$A$2:$B$18,2,FALSE),"x",INT(AE162*15), "x", INT(AF162*15))</f>
        <v>186x0x59</v>
      </c>
      <c r="AI162">
        <f t="shared" si="45"/>
        <v>11</v>
      </c>
      <c r="AK162" t="str">
        <f>CONCATENATE(VLOOKUP(AI162,Constants!$A$2:$C$16,IF(AJ162&lt;&gt;"", 3, 2), FALSE),IF(AJ162&lt;&gt;"",CONCATENATE(",",VLOOKUP(AJ162,$B:$AK,36,FALSE)),""))</f>
        <v>4,3,4</v>
      </c>
      <c r="AU162">
        <v>26</v>
      </c>
      <c r="AV162" s="15">
        <f t="shared" si="46"/>
        <v>27</v>
      </c>
      <c r="AY162">
        <f t="shared" si="47"/>
        <v>18.600000000000001</v>
      </c>
      <c r="AZ162">
        <f t="shared" si="48"/>
        <v>8</v>
      </c>
      <c r="BA162">
        <f t="shared" si="49"/>
        <v>9.2000000000000011</v>
      </c>
      <c r="BB162" s="3">
        <f t="shared" si="50"/>
        <v>0.93733333333333335</v>
      </c>
      <c r="BC162">
        <f t="shared" si="51"/>
        <v>0</v>
      </c>
      <c r="BD162">
        <f>VLOOKUP($E162,Constants!$I:$K, 2, FALSE)</f>
        <v>1</v>
      </c>
      <c r="BE162">
        <f>VLOOKUP($E162,Constants!$I:$K, 3, FALSE)*IF(AND(D162="multiple_unit",Y162&lt;110),0.75,1)</f>
        <v>2</v>
      </c>
      <c r="BF162">
        <f>INT(POWER(((Constants!$G$2+$AY162+$AZ162+$BA162+$BC162)*$BB162)*$BE162, 1.05))+$AX162</f>
        <v>95</v>
      </c>
      <c r="BG162">
        <f>INT(POWER((((Constants!$G$1+$AY162+$AZ162+$BA162+$BC162)*($BB162))*$BD162),IF($D162="wagon",1,1.2)))+$AW162</f>
        <v>103</v>
      </c>
      <c r="BH162" s="14">
        <f t="shared" si="52"/>
        <v>74218.75</v>
      </c>
      <c r="BI162" s="14">
        <f t="shared" si="53"/>
        <v>8368.75</v>
      </c>
      <c r="BP162">
        <v>5</v>
      </c>
      <c r="BT162" t="str">
        <f>VLOOKUP(G162,Eras!$A$2:$C$10, 2, TRUE)</f>
        <v>big4</v>
      </c>
      <c r="BU162" t="s">
        <v>327</v>
      </c>
      <c r="BV162" t="str">
        <f t="shared" si="54"/>
        <v>big4_Mixed Traffic</v>
      </c>
      <c r="BW162" t="str">
        <f t="shared" si="55"/>
        <v>diesel_RAIL</v>
      </c>
      <c r="BX162" t="str">
        <f>VLOOKUP($BW162, Constants!$M:$N, 2, FALSE)</f>
        <v>{BLACK}Powered by: {GOLD}Diesel</v>
      </c>
      <c r="BY162" t="str">
        <f t="shared" si="60"/>
        <v/>
      </c>
      <c r="BZ162" t="s">
        <v>498</v>
      </c>
      <c r="CA162" t="str">
        <f t="shared" ref="CA162:CA198" si="64">IF(BS162="BRAKE","{YELLOW}Speed bonus for slow wagons{}",IF(BQ162&gt;190,CONCATENATE("{YELLOW}",INT((BQ162-185)/1.85),"% Bonus for long distance travel{}"),IF(AND(BQ162&lt;180,BQ162&lt;&gt;0),CONCATENATE("{YELLOW}",INT((185-BQ162)/1.85),"% Penalty for long distance travel{}"),"")))</f>
        <v/>
      </c>
      <c r="CB162" t="str">
        <f t="shared" si="57"/>
        <v>{BLACK}Powered by: {GOLD}Diesel {}{SILVER}The EE 10000 is the first mainline diesel locomotive built in the UK. Two were built for the LMS.</v>
      </c>
    </row>
    <row r="163" spans="1:80" x14ac:dyDescent="0.3">
      <c r="A163" t="s">
        <v>15</v>
      </c>
      <c r="B163" t="s">
        <v>500</v>
      </c>
      <c r="C163">
        <v>276</v>
      </c>
      <c r="D163" t="s">
        <v>263</v>
      </c>
      <c r="E163" t="s">
        <v>272</v>
      </c>
      <c r="F163" t="s">
        <v>275</v>
      </c>
      <c r="G163">
        <v>1948</v>
      </c>
      <c r="H163">
        <v>1949</v>
      </c>
      <c r="I163">
        <v>1966</v>
      </c>
      <c r="K163">
        <v>2700</v>
      </c>
      <c r="M163" s="5">
        <v>19</v>
      </c>
      <c r="N163" s="5">
        <v>26</v>
      </c>
      <c r="O163" s="5">
        <v>3</v>
      </c>
      <c r="P163" s="5">
        <v>250</v>
      </c>
      <c r="Q163" s="6">
        <f>((($Y163/2)/60)*5280)/($R163*3.2*PI())</f>
        <v>215.60398694714888</v>
      </c>
      <c r="R163" s="5">
        <v>2.0299999999999998</v>
      </c>
      <c r="S163" s="5">
        <f>((($M163*$M163/4)*PI())*($N163/12)*$O163*$P163*$Q163)/(33000*1.1)</f>
        <v>2736.5325048514705</v>
      </c>
      <c r="T163">
        <v>106.9</v>
      </c>
      <c r="U163" s="8">
        <v>61.9</v>
      </c>
      <c r="W163">
        <v>166</v>
      </c>
      <c r="X163" s="3">
        <f t="shared" si="44"/>
        <v>9.8341232227488154E-2</v>
      </c>
      <c r="Y163">
        <v>100</v>
      </c>
      <c r="Z163">
        <f t="shared" si="63"/>
        <v>160</v>
      </c>
      <c r="AC163">
        <v>22.24</v>
      </c>
      <c r="AD163">
        <f>AC163-7.5</f>
        <v>14.739999999999998</v>
      </c>
      <c r="AF163">
        <v>3.99</v>
      </c>
      <c r="AG163" s="10">
        <v>0</v>
      </c>
      <c r="AH163" t="str">
        <f>CONCATENATE(VLOOKUP(AI163, 'Voxel Sizes'!$A$2:$B$18,2,FALSE),"x",INT(AE163*15), "x", INT(AF163*15))</f>
        <v>152x0x59</v>
      </c>
      <c r="AI163">
        <f t="shared" si="45"/>
        <v>9</v>
      </c>
      <c r="AJ163" t="s">
        <v>436</v>
      </c>
      <c r="AK163" t="str">
        <f>CONCATENATE(VLOOKUP(AI163,Constants!$A$2:$C$16,IF(AJ163&lt;&gt;"", 3, 2), FALSE),IF(AJ163&lt;&gt;"",CONCATENATE(",",VLOOKUP(AJ163,$B:$AK,36,FALSE)),""))</f>
        <v>2,5,2,2,1,2</v>
      </c>
      <c r="AS163">
        <v>1</v>
      </c>
      <c r="AU163">
        <v>32</v>
      </c>
      <c r="AV163" s="15">
        <f t="shared" si="46"/>
        <v>26</v>
      </c>
      <c r="AY163">
        <f t="shared" si="47"/>
        <v>20</v>
      </c>
      <c r="AZ163">
        <f t="shared" si="48"/>
        <v>13.5</v>
      </c>
      <c r="BA163">
        <f t="shared" si="49"/>
        <v>8.2999999999999989</v>
      </c>
      <c r="BB163" s="3">
        <f t="shared" si="50"/>
        <v>0.93599999999999994</v>
      </c>
      <c r="BC163">
        <f t="shared" si="51"/>
        <v>0</v>
      </c>
      <c r="BD163">
        <f>VLOOKUP($E163,Constants!$I:$K, 2, FALSE)</f>
        <v>1.1499999999999999</v>
      </c>
      <c r="BE163">
        <f>VLOOKUP($E163,Constants!$I:$K, 3, FALSE)*IF(AND(D163="multiple_unit",Y163&lt;110),0.75,1)</f>
        <v>1.7</v>
      </c>
      <c r="BF163">
        <f>INT(POWER(((Constants!$G$2+$AY163+$AZ163+$BA163+$BC163)*$BB163)*$BE163, 1.05))+$AX163</f>
        <v>92</v>
      </c>
      <c r="BG163">
        <f>INT(POWER((((Constants!$G$1+$AY163+$AZ163+$BA163+$BC163)*($BB163))*$BD163),IF($D163="wagon",1,1.2)))+$AW163</f>
        <v>139</v>
      </c>
      <c r="BH163" s="14">
        <f t="shared" si="52"/>
        <v>71875</v>
      </c>
      <c r="BI163" s="14">
        <f t="shared" si="53"/>
        <v>11293.75</v>
      </c>
      <c r="BP163">
        <v>6</v>
      </c>
      <c r="BT163" t="str">
        <f>VLOOKUP(G163,Eras!$A$2:$C$10, 2, TRUE)</f>
        <v>ebr</v>
      </c>
      <c r="BU163" t="s">
        <v>328</v>
      </c>
      <c r="BV163" t="str">
        <f t="shared" si="54"/>
        <v>ebr_Express</v>
      </c>
      <c r="BW163" t="str">
        <f t="shared" si="55"/>
        <v>steam_RAIL</v>
      </c>
      <c r="BX163" t="str">
        <f>VLOOKUP($BW163, Constants!$M:$N, 2, FALSE)</f>
        <v>{BLACK}Powered by: {GOLD}Steam</v>
      </c>
      <c r="BY163" t="str">
        <f t="shared" si="60"/>
        <v/>
      </c>
      <c r="BZ163" t="s">
        <v>499</v>
      </c>
      <c r="CA163" t="str">
        <f t="shared" si="64"/>
        <v/>
      </c>
      <c r="CB163" t="str">
        <f t="shared" si="57"/>
        <v>{BLACK}Powered by: {GOLD}Steam {}{SILVER}The Peppercorn A1 is designed for hauling heavy passenger trains of 12 or more carriages. A continuation of the series, 'Tornado', was built in 2008.</v>
      </c>
    </row>
    <row r="164" spans="1:80" x14ac:dyDescent="0.3">
      <c r="A164" t="s">
        <v>62</v>
      </c>
      <c r="B164" t="s">
        <v>248</v>
      </c>
      <c r="C164">
        <v>278</v>
      </c>
      <c r="D164" t="s">
        <v>263</v>
      </c>
      <c r="E164" t="s">
        <v>296</v>
      </c>
      <c r="F164" t="s">
        <v>297</v>
      </c>
      <c r="G164">
        <v>1950</v>
      </c>
      <c r="H164">
        <v>1953</v>
      </c>
      <c r="I164">
        <v>1981</v>
      </c>
      <c r="K164">
        <v>1300</v>
      </c>
      <c r="T164">
        <v>89.3</v>
      </c>
      <c r="W164">
        <v>200</v>
      </c>
      <c r="X164" s="3">
        <f t="shared" si="44"/>
        <v>0.22396416573348266</v>
      </c>
      <c r="Y164">
        <v>65</v>
      </c>
      <c r="Z164">
        <f t="shared" si="63"/>
        <v>104</v>
      </c>
      <c r="AC164">
        <v>15.34</v>
      </c>
      <c r="AD164">
        <v>15.34</v>
      </c>
      <c r="AG164" s="10">
        <v>0</v>
      </c>
      <c r="AH164" t="str">
        <f>CONCATENATE(VLOOKUP(AI164, 'Voxel Sizes'!$A$2:$B$18,2,FALSE),"x",INT(AE164*15), "x", INT(AF164*15))</f>
        <v>152x0x0</v>
      </c>
      <c r="AI164">
        <f t="shared" si="45"/>
        <v>9</v>
      </c>
      <c r="AK164" t="str">
        <f>CONCATENATE(VLOOKUP(AI164,Constants!$A$2:$C$16,IF(AJ164&lt;&gt;"", 3, 2), FALSE),IF(AJ164&lt;&gt;"",CONCATENATE(",",VLOOKUP(AJ164,$B:$AK,36,FALSE)),""))</f>
        <v>2,5,2</v>
      </c>
      <c r="AU164">
        <v>30</v>
      </c>
      <c r="AV164" s="15">
        <f t="shared" si="46"/>
        <v>39</v>
      </c>
      <c r="AY164">
        <f t="shared" si="47"/>
        <v>13</v>
      </c>
      <c r="AZ164">
        <f t="shared" si="48"/>
        <v>6.5</v>
      </c>
      <c r="BA164">
        <f t="shared" si="49"/>
        <v>10</v>
      </c>
      <c r="BB164" s="3">
        <f t="shared" si="50"/>
        <v>0.93333333333333335</v>
      </c>
      <c r="BC164">
        <f t="shared" si="51"/>
        <v>0</v>
      </c>
      <c r="BD164">
        <f>VLOOKUP($E164,Constants!$I:$K, 2, FALSE)</f>
        <v>0.85</v>
      </c>
      <c r="BE164">
        <f>VLOOKUP($E164,Constants!$I:$K, 3, FALSE)*IF(AND(D164="multiple_unit",Y164&lt;110),0.75,1)</f>
        <v>2.2999999999999998</v>
      </c>
      <c r="BF164">
        <f>INT(POWER(((Constants!$G$2+$AY164+$AZ164+$BA164+$BC164)*$BB164)*$BE164, 1.05))+$AX164</f>
        <v>91</v>
      </c>
      <c r="BG164">
        <f>INT(POWER((((Constants!$G$1+$AY164+$AZ164+$BA164+$BC164)*($BB164))*$BD164),IF($D164="wagon",1,1.2)))+$AW164</f>
        <v>72</v>
      </c>
      <c r="BH164" s="14">
        <f t="shared" si="52"/>
        <v>71093.75</v>
      </c>
      <c r="BI164" s="14">
        <f t="shared" si="53"/>
        <v>5850</v>
      </c>
      <c r="BP164">
        <v>7</v>
      </c>
      <c r="BT164" t="str">
        <f>VLOOKUP(G164,Eras!$A$2:$C$10, 2, TRUE)</f>
        <v>ebr</v>
      </c>
      <c r="BU164" t="s">
        <v>339</v>
      </c>
      <c r="BV164" t="str">
        <f t="shared" si="54"/>
        <v>ebr_Freight (Electric)</v>
      </c>
      <c r="BW164" t="str">
        <f t="shared" si="55"/>
        <v>electric_ELRL</v>
      </c>
      <c r="BX164" t="str">
        <f>VLOOKUP($BW164, Constants!$M:$N, 2, FALSE)</f>
        <v>{BLACK}Powered by: {GOLD}25kV AC</v>
      </c>
      <c r="BY164" t="str">
        <f t="shared" si="60"/>
        <v/>
      </c>
      <c r="BZ164" t="s">
        <v>355</v>
      </c>
      <c r="CA164" t="str">
        <f t="shared" si="64"/>
        <v/>
      </c>
      <c r="CB164" t="str">
        <f t="shared" si="57"/>
        <v>{BLACK}Powered by: {GOLD}25kV AC {}{SILVER}The Class 76 is an electric freight locomotive designed for the Woodhead Line in the northern Peak District. With high tractive effort, electric traction lent itself to the steep gradients and many tunnels of the line.</v>
      </c>
    </row>
    <row r="165" spans="1:80" x14ac:dyDescent="0.3">
      <c r="A165" t="s">
        <v>509</v>
      </c>
      <c r="B165" t="s">
        <v>503</v>
      </c>
      <c r="C165">
        <v>280</v>
      </c>
      <c r="D165" t="s">
        <v>263</v>
      </c>
      <c r="E165" t="s">
        <v>272</v>
      </c>
      <c r="F165" t="s">
        <v>275</v>
      </c>
      <c r="G165">
        <v>1951</v>
      </c>
      <c r="H165">
        <v>1952</v>
      </c>
      <c r="I165">
        <v>1966</v>
      </c>
      <c r="K165">
        <v>1500</v>
      </c>
      <c r="M165" s="5">
        <v>19.5</v>
      </c>
      <c r="N165" s="5">
        <v>28</v>
      </c>
      <c r="O165" s="5">
        <v>2</v>
      </c>
      <c r="P165" s="5">
        <v>225</v>
      </c>
      <c r="Q165" s="6">
        <f>((($Y165/2)/60)*5280)/($R165*3.2*PI())</f>
        <v>184.28467094851041</v>
      </c>
      <c r="R165" s="5">
        <v>1.9</v>
      </c>
      <c r="S165" s="5">
        <f>((($M165*$M165/4)*PI())*($N165/12)*$O165*$P165*$Q165)/(33000*1.1)</f>
        <v>1591.9557416267944</v>
      </c>
      <c r="T165">
        <v>89.92</v>
      </c>
      <c r="U165" s="8">
        <v>14.38</v>
      </c>
      <c r="W165">
        <v>122</v>
      </c>
      <c r="X165" s="3">
        <f t="shared" si="44"/>
        <v>0.11697027804410355</v>
      </c>
      <c r="Y165">
        <v>80</v>
      </c>
      <c r="Z165">
        <f t="shared" si="63"/>
        <v>128</v>
      </c>
      <c r="AC165">
        <v>20.96</v>
      </c>
      <c r="AD165">
        <f>AC165-7.5</f>
        <v>13.46</v>
      </c>
      <c r="AF165">
        <v>3.98</v>
      </c>
      <c r="AG165" s="10">
        <v>0</v>
      </c>
      <c r="AH165" t="str">
        <f>CONCATENATE(VLOOKUP(AI165, 'Voxel Sizes'!$A$2:$B$18,2,FALSE),"x",INT(AE165*15), "x", INT(AF165*15))</f>
        <v>136x0x59</v>
      </c>
      <c r="AI165">
        <f t="shared" si="45"/>
        <v>8</v>
      </c>
      <c r="AJ165" t="s">
        <v>441</v>
      </c>
      <c r="AK165" t="str">
        <f>CONCATENATE(VLOOKUP(AI165,Constants!$A$2:$C$16,IF(AJ165&lt;&gt;"", 3, 2), FALSE),IF(AJ165&lt;&gt;"",CONCATENATE(",",VLOOKUP(AJ165,$B:$AK,36,FALSE)),""))</f>
        <v>2,4,2,2,1,2</v>
      </c>
      <c r="AS165">
        <v>1</v>
      </c>
      <c r="AU165">
        <v>30</v>
      </c>
      <c r="AV165" s="15">
        <f t="shared" si="46"/>
        <v>23</v>
      </c>
      <c r="AY165">
        <f t="shared" si="47"/>
        <v>16</v>
      </c>
      <c r="AZ165">
        <f t="shared" si="48"/>
        <v>7.5</v>
      </c>
      <c r="BA165">
        <f t="shared" si="49"/>
        <v>6.1</v>
      </c>
      <c r="BB165" s="3">
        <f t="shared" si="50"/>
        <v>0.93199999999999994</v>
      </c>
      <c r="BC165">
        <f t="shared" si="51"/>
        <v>0</v>
      </c>
      <c r="BD165">
        <f>VLOOKUP($E165,Constants!$I:$K, 2, FALSE)</f>
        <v>1.1499999999999999</v>
      </c>
      <c r="BE165">
        <f>VLOOKUP($E165,Constants!$I:$K, 3, FALSE)*IF(AND(D165="multiple_unit",Y165&lt;110),0.75,1)</f>
        <v>1.7</v>
      </c>
      <c r="BF165">
        <f>INT(POWER(((Constants!$G$2+$AY165+$AZ165+$BA165+$BC165)*$BB165)*$BE165, 1.05))+$AX165</f>
        <v>66</v>
      </c>
      <c r="BG165">
        <f>INT(POWER((((Constants!$G$1+$AY165+$AZ165+$BA165+$BC165)*($BB165))*$BD165),IF($D165="wagon",1,1.2)))+$AW165</f>
        <v>103</v>
      </c>
      <c r="BH165" s="14">
        <f t="shared" si="52"/>
        <v>51562.5</v>
      </c>
      <c r="BI165" s="14">
        <f t="shared" si="53"/>
        <v>8368.75</v>
      </c>
      <c r="BP165">
        <v>8</v>
      </c>
      <c r="BT165" t="str">
        <f>VLOOKUP(G165,Eras!$A$2:$C$10, 2, TRUE)</f>
        <v>ebr</v>
      </c>
      <c r="BU165" t="s">
        <v>327</v>
      </c>
      <c r="BV165" t="str">
        <f t="shared" si="54"/>
        <v>ebr_Mixed Traffic</v>
      </c>
      <c r="BW165" t="str">
        <f t="shared" si="55"/>
        <v>steam_RAIL</v>
      </c>
      <c r="BX165" t="str">
        <f>VLOOKUP($BW165, Constants!$M:$N, 2, FALSE)</f>
        <v>{BLACK}Powered by: {GOLD}Steam</v>
      </c>
      <c r="BY165" t="str">
        <f t="shared" si="60"/>
        <v/>
      </c>
      <c r="BZ165" t="s">
        <v>507</v>
      </c>
      <c r="CA165" t="str">
        <f t="shared" si="64"/>
        <v/>
      </c>
      <c r="CB165" t="str">
        <f t="shared" si="57"/>
        <v>{BLACK}Powered by: {GOLD}Steam {}{SILVER}The Class 6 is a lighter version of the Class 7 "Britannia", with a smaller boiler. Only 10 were produced due to steel shortages.</v>
      </c>
    </row>
    <row r="166" spans="1:80" x14ac:dyDescent="0.3">
      <c r="A166" t="s">
        <v>510</v>
      </c>
      <c r="B166" t="s">
        <v>504</v>
      </c>
      <c r="C166">
        <v>282</v>
      </c>
      <c r="D166" t="s">
        <v>263</v>
      </c>
      <c r="E166" t="s">
        <v>272</v>
      </c>
      <c r="F166" t="s">
        <v>275</v>
      </c>
      <c r="G166">
        <v>1951</v>
      </c>
      <c r="H166">
        <v>1954</v>
      </c>
      <c r="I166">
        <v>1968</v>
      </c>
      <c r="K166">
        <v>2000</v>
      </c>
      <c r="M166" s="5">
        <v>20</v>
      </c>
      <c r="N166" s="5">
        <v>28</v>
      </c>
      <c r="O166" s="5">
        <v>2</v>
      </c>
      <c r="P166" s="5">
        <v>250</v>
      </c>
      <c r="Q166" s="6">
        <f>((($Y166/2)/60)*5280)/($R166*3.2*PI())</f>
        <v>207.32025481707421</v>
      </c>
      <c r="R166" s="5">
        <v>1.9</v>
      </c>
      <c r="S166" s="5">
        <f>((($M166*$M166/4)*PI())*($N166/12)*$O166*$P166*$Q166)/(33000*1.1)</f>
        <v>2093.3014354066986</v>
      </c>
      <c r="T166">
        <v>95.5</v>
      </c>
      <c r="U166" s="8">
        <v>50</v>
      </c>
      <c r="W166">
        <v>143</v>
      </c>
      <c r="X166" s="3">
        <f t="shared" si="44"/>
        <v>9.8281786941580754E-2</v>
      </c>
      <c r="Y166">
        <v>90</v>
      </c>
      <c r="Z166">
        <f t="shared" si="63"/>
        <v>144</v>
      </c>
      <c r="AC166">
        <v>20.96</v>
      </c>
      <c r="AD166">
        <f>AC166-7.5</f>
        <v>13.46</v>
      </c>
      <c r="AF166">
        <v>3.98</v>
      </c>
      <c r="AG166" s="10">
        <v>0</v>
      </c>
      <c r="AH166" t="str">
        <f>CONCATENATE(VLOOKUP(AI166, 'Voxel Sizes'!$A$2:$B$18,2,FALSE),"x",INT(AE166*15), "x", INT(AF166*15))</f>
        <v>136x0x59</v>
      </c>
      <c r="AI166">
        <f t="shared" si="45"/>
        <v>8</v>
      </c>
      <c r="AJ166" t="s">
        <v>441</v>
      </c>
      <c r="AK166" t="str">
        <f>CONCATENATE(VLOOKUP(AI166,Constants!$A$2:$C$16,IF(AJ166&lt;&gt;"", 3, 2), FALSE),IF(AJ166&lt;&gt;"",CONCATENATE(",",VLOOKUP(AJ166,$B:$AK,36,FALSE)),""))</f>
        <v>2,4,2,2,1,2</v>
      </c>
      <c r="AS166">
        <v>1</v>
      </c>
      <c r="AU166">
        <v>30</v>
      </c>
      <c r="AV166" s="15">
        <f t="shared" si="46"/>
        <v>25</v>
      </c>
      <c r="AY166">
        <f t="shared" si="47"/>
        <v>18</v>
      </c>
      <c r="AZ166">
        <f t="shared" si="48"/>
        <v>10</v>
      </c>
      <c r="BA166">
        <f t="shared" si="49"/>
        <v>7.1499999999999995</v>
      </c>
      <c r="BB166" s="3">
        <f t="shared" si="50"/>
        <v>0.93199999999999994</v>
      </c>
      <c r="BC166">
        <f t="shared" si="51"/>
        <v>0</v>
      </c>
      <c r="BD166">
        <f>VLOOKUP($E166,Constants!$I:$K, 2, FALSE)</f>
        <v>1.1499999999999999</v>
      </c>
      <c r="BE166">
        <f>VLOOKUP($E166,Constants!$I:$K, 3, FALSE)*IF(AND(D166="multiple_unit",Y166&lt;110),0.75,1)</f>
        <v>1.7</v>
      </c>
      <c r="BF166">
        <f>INT(POWER(((Constants!$G$2+$AY166+$AZ166+$BA166+$BC166)*$BB166)*$BE166, 1.05))+$AX166</f>
        <v>78</v>
      </c>
      <c r="BG166">
        <f>INT(POWER((((Constants!$G$1+$AY166+$AZ166+$BA166+$BC166)*($BB166))*$BD166),IF($D166="wagon",1,1.2)))+$AW166</f>
        <v>119</v>
      </c>
      <c r="BH166" s="14">
        <f t="shared" si="52"/>
        <v>60937.5</v>
      </c>
      <c r="BI166" s="14">
        <f t="shared" si="53"/>
        <v>9668.75</v>
      </c>
      <c r="BP166">
        <v>9</v>
      </c>
      <c r="BT166" t="str">
        <f>VLOOKUP(G166,Eras!$A$2:$C$10, 2, TRUE)</f>
        <v>ebr</v>
      </c>
      <c r="BU166" t="s">
        <v>327</v>
      </c>
      <c r="BV166" t="str">
        <f t="shared" si="54"/>
        <v>ebr_Mixed Traffic</v>
      </c>
      <c r="BW166" t="str">
        <f t="shared" si="55"/>
        <v>steam_RAIL</v>
      </c>
      <c r="BX166" t="str">
        <f>VLOOKUP($BW166, Constants!$M:$N, 2, FALSE)</f>
        <v>{BLACK}Powered by: {GOLD}Steam</v>
      </c>
      <c r="BY166" t="str">
        <f t="shared" si="60"/>
        <v/>
      </c>
      <c r="BZ166" t="s">
        <v>506</v>
      </c>
      <c r="CA166" t="str">
        <f t="shared" si="64"/>
        <v/>
      </c>
      <c r="CB166" t="str">
        <f t="shared" si="57"/>
        <v>{BLACK}Powered by: {GOLD}Steam {}{SILVER}The Class 7 combines the best features of pre-BR designs from the Big Four, with the aim of reducing maintenance costs.</v>
      </c>
    </row>
    <row r="167" spans="1:80" x14ac:dyDescent="0.3">
      <c r="A167" t="s">
        <v>66</v>
      </c>
      <c r="B167" t="s">
        <v>166</v>
      </c>
      <c r="C167">
        <v>284</v>
      </c>
      <c r="D167" t="s">
        <v>263</v>
      </c>
      <c r="E167" t="s">
        <v>273</v>
      </c>
      <c r="F167" t="s">
        <v>275</v>
      </c>
      <c r="G167">
        <v>1952</v>
      </c>
      <c r="H167">
        <v>1962</v>
      </c>
      <c r="K167">
        <v>350</v>
      </c>
      <c r="T167">
        <v>49.8</v>
      </c>
      <c r="W167">
        <v>160</v>
      </c>
      <c r="X167" s="3">
        <f t="shared" si="44"/>
        <v>0.32128514056224899</v>
      </c>
      <c r="Y167">
        <v>20</v>
      </c>
      <c r="Z167">
        <f t="shared" si="63"/>
        <v>32</v>
      </c>
      <c r="AC167">
        <v>8.92</v>
      </c>
      <c r="AD167">
        <v>9.5</v>
      </c>
      <c r="AE167">
        <v>2.59</v>
      </c>
      <c r="AF167">
        <v>3.87</v>
      </c>
      <c r="AG167" s="10">
        <v>0</v>
      </c>
      <c r="AH167" t="str">
        <f>CONCATENATE(VLOOKUP(AI167, 'Voxel Sizes'!$A$2:$B$18,2,FALSE),"x",INT(AE167*15), "x", INT(AF167*15))</f>
        <v>102x38x58</v>
      </c>
      <c r="AI167">
        <f t="shared" si="45"/>
        <v>6</v>
      </c>
      <c r="AK167" t="str">
        <f>CONCATENATE(VLOOKUP(AI167,Constants!$A$2:$C$16,IF(AJ167&lt;&gt;"", 3, 2), FALSE),IF(AJ167&lt;&gt;"",CONCATENATE(",",VLOOKUP(AJ167,$B:$AK,36,FALSE)),""))</f>
        <v>2,2,2</v>
      </c>
      <c r="AS167">
        <v>1</v>
      </c>
      <c r="AU167">
        <v>42</v>
      </c>
      <c r="AV167" s="15" t="str">
        <f t="shared" si="46"/>
        <v/>
      </c>
      <c r="AX167">
        <v>-10</v>
      </c>
      <c r="AY167">
        <f t="shared" si="47"/>
        <v>4</v>
      </c>
      <c r="AZ167">
        <f t="shared" si="48"/>
        <v>1.75</v>
      </c>
      <c r="BA167">
        <f t="shared" si="49"/>
        <v>8</v>
      </c>
      <c r="BB167" s="3">
        <f t="shared" si="50"/>
        <v>0.93066666666666664</v>
      </c>
      <c r="BC167">
        <f t="shared" si="51"/>
        <v>0</v>
      </c>
      <c r="BD167">
        <f>VLOOKUP($E167,Constants!$I:$K, 2, FALSE)</f>
        <v>1</v>
      </c>
      <c r="BE167">
        <f>VLOOKUP($E167,Constants!$I:$K, 3, FALSE)*IF(AND(D167="multiple_unit",Y167&lt;110),0.75,1)</f>
        <v>2</v>
      </c>
      <c r="BF167">
        <f>INT(POWER(((Constants!$G$2+$AY167+$AZ167+$BA167+$BC167)*$BB167)*$BE167, 1.05))+$AX167</f>
        <v>31</v>
      </c>
      <c r="BG167">
        <f>INT(POWER((((Constants!$G$1+$AY167+$AZ167+$BA167+$BC167)*($BB167))*$BD167),IF($D167="wagon",1,1.2)))+$AW167</f>
        <v>51</v>
      </c>
      <c r="BH167" s="14">
        <f t="shared" si="52"/>
        <v>24218.75</v>
      </c>
      <c r="BI167" s="14">
        <f t="shared" si="53"/>
        <v>4143.75</v>
      </c>
      <c r="BP167">
        <v>10</v>
      </c>
      <c r="BT167" t="str">
        <f>VLOOKUP(G167,Eras!$A$2:$C$10, 2, TRUE)</f>
        <v>ebr</v>
      </c>
      <c r="BU167" t="s">
        <v>326</v>
      </c>
      <c r="BV167" t="str">
        <f t="shared" si="54"/>
        <v>ebr_Cheap</v>
      </c>
      <c r="BW167" t="str">
        <f t="shared" si="55"/>
        <v>diesel_RAIL</v>
      </c>
      <c r="BX167" t="str">
        <f>VLOOKUP($BW167, Constants!$M:$N, 2, FALSE)</f>
        <v>{BLACK}Powered by: {GOLD}Diesel</v>
      </c>
      <c r="BY167" t="str">
        <f t="shared" si="60"/>
        <v/>
      </c>
      <c r="BZ167" t="s">
        <v>356</v>
      </c>
      <c r="CA167" t="str">
        <f t="shared" si="64"/>
        <v/>
      </c>
      <c r="CB167" t="str">
        <f t="shared" si="57"/>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68" spans="1:80" x14ac:dyDescent="0.3">
      <c r="A168" t="s">
        <v>63</v>
      </c>
      <c r="B168" t="s">
        <v>249</v>
      </c>
      <c r="C168">
        <v>286</v>
      </c>
      <c r="D168" t="s">
        <v>263</v>
      </c>
      <c r="E168" t="s">
        <v>296</v>
      </c>
      <c r="F168" t="s">
        <v>297</v>
      </c>
      <c r="G168">
        <v>1953</v>
      </c>
      <c r="H168">
        <v>1954</v>
      </c>
      <c r="I168">
        <v>1968</v>
      </c>
      <c r="K168">
        <v>2490</v>
      </c>
      <c r="T168">
        <v>104.1</v>
      </c>
      <c r="W168">
        <v>200</v>
      </c>
      <c r="X168" s="3">
        <f t="shared" si="44"/>
        <v>0.19212295869356388</v>
      </c>
      <c r="Y168">
        <v>90</v>
      </c>
      <c r="Z168">
        <f t="shared" si="63"/>
        <v>144</v>
      </c>
      <c r="AC168">
        <v>17.98</v>
      </c>
      <c r="AD168">
        <v>17.98</v>
      </c>
      <c r="AG168" s="10">
        <v>0</v>
      </c>
      <c r="AH168" t="str">
        <f>CONCATENATE(VLOOKUP(AI168, 'Voxel Sizes'!$A$2:$B$18,2,FALSE),"x",INT(AE168*15), "x", INT(AF168*15))</f>
        <v>186x0x0</v>
      </c>
      <c r="AI168">
        <f t="shared" si="45"/>
        <v>11</v>
      </c>
      <c r="AK168" t="str">
        <f>CONCATENATE(VLOOKUP(AI168,Constants!$A$2:$C$16,IF(AJ168&lt;&gt;"", 3, 2), FALSE),IF(AJ168&lt;&gt;"",CONCATENATE(",",VLOOKUP(AJ168,$B:$AK,36,FALSE)),""))</f>
        <v>4,3,4</v>
      </c>
      <c r="AU168">
        <v>25</v>
      </c>
      <c r="AV168" s="15">
        <f t="shared" si="46"/>
        <v>23</v>
      </c>
      <c r="AY168">
        <f t="shared" si="47"/>
        <v>18</v>
      </c>
      <c r="AZ168">
        <f t="shared" si="48"/>
        <v>12.450000000000001</v>
      </c>
      <c r="BA168">
        <f t="shared" si="49"/>
        <v>10</v>
      </c>
      <c r="BB168" s="3">
        <f t="shared" si="50"/>
        <v>0.92933333333333334</v>
      </c>
      <c r="BC168">
        <f t="shared" si="51"/>
        <v>0</v>
      </c>
      <c r="BD168">
        <f>VLOOKUP($E168,Constants!$I:$K, 2, FALSE)</f>
        <v>0.85</v>
      </c>
      <c r="BE168">
        <f>VLOOKUP($E168,Constants!$I:$K, 3, FALSE)*IF(AND(D168="multiple_unit",Y168&lt;110),0.75,1)</f>
        <v>2.2999999999999998</v>
      </c>
      <c r="BF168">
        <f>INT(POWER(((Constants!$G$2+$AY168+$AZ168+$BA168+$BC168)*$BB168)*$BE168, 1.05))+$AX168</f>
        <v>122</v>
      </c>
      <c r="BG168">
        <f>INT(POWER((((Constants!$G$1+$AY168+$AZ168+$BA168+$BC168)*($BB168))*$BD168),IF($D168="wagon",1,1.2)))+$AW168</f>
        <v>93</v>
      </c>
      <c r="BH168" s="14">
        <f t="shared" si="52"/>
        <v>95312.5</v>
      </c>
      <c r="BI168" s="14">
        <f t="shared" si="53"/>
        <v>7556.25</v>
      </c>
      <c r="BP168">
        <v>11</v>
      </c>
      <c r="BT168" t="str">
        <f>VLOOKUP(G168,Eras!$A$2:$C$10, 2, TRUE)</f>
        <v>ebr</v>
      </c>
      <c r="BU168" t="s">
        <v>338</v>
      </c>
      <c r="BV168" t="str">
        <f t="shared" si="54"/>
        <v>ebr_Express (Electric)</v>
      </c>
      <c r="BW168" t="str">
        <f t="shared" si="55"/>
        <v>electric_ELRL</v>
      </c>
      <c r="BX168" t="str">
        <f>VLOOKUP($BW168, Constants!$M:$N, 2, FALSE)</f>
        <v>{BLACK}Powered by: {GOLD}25kV AC</v>
      </c>
      <c r="BY168" t="str">
        <f t="shared" si="60"/>
        <v/>
      </c>
      <c r="BZ168" t="s">
        <v>508</v>
      </c>
      <c r="CA168" t="str">
        <f t="shared" si="64"/>
        <v/>
      </c>
      <c r="CB168" t="str">
        <f t="shared" si="57"/>
        <v>{BLACK}Powered by: {GOLD}25kV AC {}{SILVER}The Class 77  is a larger version of the earlier Class 76, designed to haul passenger services on the Woodhead Line.</v>
      </c>
    </row>
    <row r="169" spans="1:80" x14ac:dyDescent="0.3">
      <c r="A169" t="s">
        <v>502</v>
      </c>
      <c r="B169" t="s">
        <v>505</v>
      </c>
      <c r="C169">
        <v>288</v>
      </c>
      <c r="D169" t="s">
        <v>263</v>
      </c>
      <c r="E169" t="s">
        <v>272</v>
      </c>
      <c r="F169" t="s">
        <v>275</v>
      </c>
      <c r="G169">
        <v>1954</v>
      </c>
      <c r="H169">
        <v>1960</v>
      </c>
      <c r="I169">
        <v>1968</v>
      </c>
      <c r="K169">
        <v>2500</v>
      </c>
      <c r="M169" s="5">
        <v>20</v>
      </c>
      <c r="N169" s="5">
        <v>28</v>
      </c>
      <c r="O169" s="5">
        <v>2</v>
      </c>
      <c r="P169" s="5">
        <v>250</v>
      </c>
      <c r="Q169" s="6">
        <f>((($Y169/2)/60)*5280)/($R169*3.2*PI())</f>
        <v>262.60565610162729</v>
      </c>
      <c r="R169" s="5">
        <v>1.5</v>
      </c>
      <c r="S169" s="5">
        <f>((($M169*$M169/4)*PI())*($N169/12)*$O169*$P169*$Q169)/(33000*1.1)</f>
        <v>2651.515151515151</v>
      </c>
      <c r="T169">
        <v>90</v>
      </c>
      <c r="U169" s="8">
        <v>51</v>
      </c>
      <c r="W169">
        <v>176</v>
      </c>
      <c r="X169" s="3">
        <f t="shared" si="44"/>
        <v>0.12482269503546099</v>
      </c>
      <c r="Y169">
        <v>90</v>
      </c>
      <c r="Z169">
        <f t="shared" si="63"/>
        <v>144</v>
      </c>
      <c r="AC169">
        <v>20.170000000000002</v>
      </c>
      <c r="AD169">
        <v>15</v>
      </c>
      <c r="AG169" s="10">
        <v>0</v>
      </c>
      <c r="AH169" t="str">
        <f>CONCATENATE(VLOOKUP(AI169, 'Voxel Sizes'!$A$2:$B$18,2,FALSE),"x",INT(AE169*15), "x", INT(AF169*15))</f>
        <v>152x0x0</v>
      </c>
      <c r="AI169">
        <f t="shared" si="45"/>
        <v>9</v>
      </c>
      <c r="AJ169" t="s">
        <v>441</v>
      </c>
      <c r="AK169" t="str">
        <f>CONCATENATE(VLOOKUP(AI169,Constants!$A$2:$C$16,IF(AJ169&lt;&gt;"", 3, 2), FALSE),IF(AJ169&lt;&gt;"",CONCATENATE(",",VLOOKUP(AJ169,$B:$AK,36,FALSE)),""))</f>
        <v>2,5,2,2,1,2</v>
      </c>
      <c r="AS169">
        <v>1</v>
      </c>
      <c r="AU169">
        <v>33</v>
      </c>
      <c r="AV169" s="15">
        <f t="shared" si="46"/>
        <v>22</v>
      </c>
      <c r="AY169">
        <f t="shared" si="47"/>
        <v>18</v>
      </c>
      <c r="AZ169">
        <f t="shared" si="48"/>
        <v>12.5</v>
      </c>
      <c r="BA169">
        <f t="shared" si="49"/>
        <v>8.8000000000000007</v>
      </c>
      <c r="BB169" s="3">
        <f t="shared" si="50"/>
        <v>0.92800000000000005</v>
      </c>
      <c r="BC169">
        <f t="shared" si="51"/>
        <v>0</v>
      </c>
      <c r="BD169">
        <f>VLOOKUP($E169,Constants!$I:$K, 2, FALSE)</f>
        <v>1.1499999999999999</v>
      </c>
      <c r="BE169">
        <f>VLOOKUP($E169,Constants!$I:$K, 3, FALSE)*IF(AND(D169="multiple_unit",Y169&lt;110),0.75,1)</f>
        <v>1.7</v>
      </c>
      <c r="BF169">
        <f>INT(POWER(((Constants!$G$2+$AY169+$AZ169+$BA169+$BC169)*$BB169)*$BE169, 1.05))+$AX169</f>
        <v>86</v>
      </c>
      <c r="BG169">
        <f>INT(POWER((((Constants!$G$1+$AY169+$AZ169+$BA169+$BC169)*($BB169))*$BD169),IF($D169="wagon",1,1.2)))+$AW169</f>
        <v>130</v>
      </c>
      <c r="BH169" s="14">
        <f t="shared" si="52"/>
        <v>67187.5</v>
      </c>
      <c r="BI169" s="14">
        <f t="shared" si="53"/>
        <v>10562.5</v>
      </c>
      <c r="BP169">
        <v>12</v>
      </c>
      <c r="BT169" t="str">
        <f>VLOOKUP(G169,Eras!$A$2:$C$10, 2, TRUE)</f>
        <v>ebr</v>
      </c>
      <c r="BU169" t="s">
        <v>329</v>
      </c>
      <c r="BV169" t="str">
        <f t="shared" si="54"/>
        <v>ebr_Freight</v>
      </c>
      <c r="BW169" t="str">
        <f t="shared" si="55"/>
        <v>steam_RAIL</v>
      </c>
      <c r="BX169" t="str">
        <f>VLOOKUP($BW169, Constants!$M:$N, 2, FALSE)</f>
        <v>{BLACK}Powered by: {GOLD}Steam</v>
      </c>
      <c r="BY169" t="str">
        <f t="shared" ref="BY169:BY203" si="65">IF(J169&gt;1,_xlfn.CONCAT("{BLACK}Cars: {GOLD}", J169),"")</f>
        <v/>
      </c>
      <c r="BZ169" t="s">
        <v>511</v>
      </c>
      <c r="CA169" t="str">
        <f t="shared" si="64"/>
        <v/>
      </c>
      <c r="CB169" t="str">
        <f t="shared" si="57"/>
        <v>{BLACK}Powered by: {GOLD}Steam {}{SILVER}The 9F class included the last steam locomotive ever to be built by British Railways, "Evening Star"</v>
      </c>
    </row>
    <row r="170" spans="1:80" x14ac:dyDescent="0.3">
      <c r="A170" t="s">
        <v>38</v>
      </c>
      <c r="B170" t="s">
        <v>268</v>
      </c>
      <c r="C170">
        <v>290</v>
      </c>
      <c r="D170" t="s">
        <v>263</v>
      </c>
      <c r="E170" t="s">
        <v>273</v>
      </c>
      <c r="F170" t="s">
        <v>275</v>
      </c>
      <c r="G170">
        <v>1955</v>
      </c>
      <c r="H170">
        <v>1962</v>
      </c>
      <c r="I170">
        <v>1982</v>
      </c>
      <c r="K170">
        <v>3300</v>
      </c>
      <c r="T170">
        <v>108</v>
      </c>
      <c r="W170">
        <v>233</v>
      </c>
      <c r="X170" s="3">
        <f t="shared" si="44"/>
        <v>0.21574074074074073</v>
      </c>
      <c r="Y170">
        <v>106</v>
      </c>
      <c r="Z170">
        <f t="shared" si="63"/>
        <v>170</v>
      </c>
      <c r="AC170">
        <v>21.18</v>
      </c>
      <c r="AD170">
        <v>21.18</v>
      </c>
      <c r="AF170">
        <v>3.91</v>
      </c>
      <c r="AG170" s="10">
        <v>0</v>
      </c>
      <c r="AH170" t="str">
        <f>CONCATENATE(VLOOKUP(AI170, 'Voxel Sizes'!$A$2:$B$18,2,FALSE),"x",INT(AE170*15), "x", INT(AF170*15))</f>
        <v>198x0x58</v>
      </c>
      <c r="AI170">
        <f t="shared" si="45"/>
        <v>12</v>
      </c>
      <c r="AK170" t="str">
        <f>CONCATENATE(VLOOKUP(AI170,Constants!$A$2:$C$16,IF(AJ170&lt;&gt;"", 3, 2), FALSE),IF(AJ170&lt;&gt;"",CONCATENATE(",",VLOOKUP(AJ170,$B:$AK,36,FALSE)),""))</f>
        <v>4,4,4</v>
      </c>
      <c r="AU170">
        <v>26</v>
      </c>
      <c r="AV170" s="15">
        <f t="shared" si="46"/>
        <v>35</v>
      </c>
      <c r="AY170">
        <f t="shared" si="47"/>
        <v>21.2</v>
      </c>
      <c r="AZ170">
        <f t="shared" si="48"/>
        <v>16.5</v>
      </c>
      <c r="BA170">
        <f t="shared" si="49"/>
        <v>11.65</v>
      </c>
      <c r="BB170" s="3">
        <f t="shared" si="50"/>
        <v>0.92666666666666664</v>
      </c>
      <c r="BC170">
        <f t="shared" si="51"/>
        <v>0</v>
      </c>
      <c r="BD170">
        <f>VLOOKUP($E170,Constants!$I:$K, 2, FALSE)</f>
        <v>1</v>
      </c>
      <c r="BE170">
        <f>VLOOKUP($E170,Constants!$I:$K, 3, FALSE)*IF(AND(D170="multiple_unit",Y170&lt;110),0.75,1)</f>
        <v>2</v>
      </c>
      <c r="BF170">
        <f>INT(POWER(((Constants!$G$2+$AY170+$AZ170+$BA170+$BC170)*$BB170)*$BE170, 1.05))+$AX170</f>
        <v>126</v>
      </c>
      <c r="BG170">
        <f>INT(POWER((((Constants!$G$1+$AY170+$AZ170+$BA170+$BC170)*($BB170))*$BD170),IF($D170="wagon",1,1.2)))+$AW170</f>
        <v>135</v>
      </c>
      <c r="BH170" s="14">
        <f t="shared" si="52"/>
        <v>98437.5</v>
      </c>
      <c r="BI170" s="14">
        <f t="shared" si="53"/>
        <v>10968.75</v>
      </c>
      <c r="BP170">
        <v>1</v>
      </c>
      <c r="BT170" t="str">
        <f>VLOOKUP(G170,Eras!$A$2:$C$10, 2, TRUE)</f>
        <v>dsl</v>
      </c>
      <c r="BU170" t="s">
        <v>328</v>
      </c>
      <c r="BV170" t="str">
        <f t="shared" si="54"/>
        <v>dsl_Express</v>
      </c>
      <c r="BW170" t="str">
        <f t="shared" si="55"/>
        <v>diesel_RAIL</v>
      </c>
      <c r="BX170" t="str">
        <f>VLOOKUP($BW170, Constants!$M:$N, 2, FALSE)</f>
        <v>{BLACK}Powered by: {GOLD}Diesel</v>
      </c>
      <c r="BY170" t="str">
        <f t="shared" si="65"/>
        <v/>
      </c>
      <c r="BZ170" t="s">
        <v>512</v>
      </c>
      <c r="CA170" t="str">
        <f t="shared" si="64"/>
        <v/>
      </c>
      <c r="CB170" t="str">
        <f t="shared" si="57"/>
        <v>{BLACK}Powered by: {GOLD}Diesel {}{SILVER}The Class 55 uses two Napier Deltic marine engines to create a high speed express diesel locomotive.</v>
      </c>
    </row>
    <row r="171" spans="1:80" x14ac:dyDescent="0.3">
      <c r="A171" t="s">
        <v>71</v>
      </c>
      <c r="B171" t="s">
        <v>234</v>
      </c>
      <c r="C171">
        <v>292</v>
      </c>
      <c r="D171" t="s">
        <v>404</v>
      </c>
      <c r="E171" t="s">
        <v>273</v>
      </c>
      <c r="F171" t="s">
        <v>275</v>
      </c>
      <c r="G171">
        <v>1956</v>
      </c>
      <c r="H171">
        <v>1960</v>
      </c>
      <c r="I171">
        <v>2003</v>
      </c>
      <c r="J171">
        <v>2</v>
      </c>
      <c r="K171">
        <v>600</v>
      </c>
      <c r="T171">
        <f>32.5+25</f>
        <v>57.5</v>
      </c>
      <c r="V171">
        <v>5</v>
      </c>
      <c r="W171">
        <v>85</v>
      </c>
      <c r="X171" s="3">
        <f t="shared" si="44"/>
        <v>0.14782608695652175</v>
      </c>
      <c r="Y171">
        <v>70</v>
      </c>
      <c r="Z171">
        <f t="shared" si="63"/>
        <v>112</v>
      </c>
      <c r="AC171">
        <v>17.37</v>
      </c>
      <c r="AD171">
        <v>17.37</v>
      </c>
      <c r="AF171">
        <v>3.77</v>
      </c>
      <c r="AG171" s="10">
        <v>51</v>
      </c>
      <c r="AH171" t="str">
        <f>CONCATENATE(VLOOKUP(AI171, 'Voxel Sizes'!$A$2:$B$18,2,FALSE),"x",INT(AE171*15), "x", INT(AF171*15))</f>
        <v>164x0x56</v>
      </c>
      <c r="AI171">
        <f t="shared" si="45"/>
        <v>10</v>
      </c>
      <c r="AK171" t="str">
        <f>CONCATENATE(VLOOKUP(AI171,Constants!$A$2:$C$16,IF(AJ171&lt;&gt;"", 3, 2), FALSE),IF(AJ171&lt;&gt;"",CONCATENATE(",",VLOOKUP(AJ171,$B:$AK,36,FALSE)),""))</f>
        <v>4,2,4</v>
      </c>
      <c r="AO171" t="s">
        <v>514</v>
      </c>
      <c r="AQ171" t="s">
        <v>467</v>
      </c>
      <c r="AU171">
        <v>45</v>
      </c>
      <c r="AV171" s="15">
        <f t="shared" si="46"/>
        <v>55</v>
      </c>
      <c r="AW171">
        <v>-10</v>
      </c>
      <c r="AX171">
        <v>-15</v>
      </c>
      <c r="AY171">
        <f t="shared" si="47"/>
        <v>14</v>
      </c>
      <c r="AZ171">
        <f t="shared" si="48"/>
        <v>3</v>
      </c>
      <c r="BA171">
        <f t="shared" si="49"/>
        <v>4.25</v>
      </c>
      <c r="BB171" s="3">
        <f t="shared" si="50"/>
        <v>0.92533333333333334</v>
      </c>
      <c r="BC171">
        <f t="shared" si="51"/>
        <v>3.4000000000000004</v>
      </c>
      <c r="BD171">
        <f>VLOOKUP($E171,Constants!$I:$K, 2, FALSE)</f>
        <v>1</v>
      </c>
      <c r="BE171">
        <f>VLOOKUP($E171,Constants!$I:$K, 3, FALSE)*IF(AND(D171="multiple_unit",Y171&lt;110),0.75,1)</f>
        <v>1.5</v>
      </c>
      <c r="BF171">
        <f>INT(POWER(((Constants!$G$2+$AY171+$AZ171+$BA171+$BC171)*$BB171)*$BE171, 1.05))+$AX171</f>
        <v>34</v>
      </c>
      <c r="BG171">
        <f>INT(POWER((((Constants!$G$1+$AY171+$AZ171+$BA171+$BC171)*($BB171))*$BD171),IF($D171="wagon",1,1.2)))+$AW171</f>
        <v>65</v>
      </c>
      <c r="BH171" s="14">
        <f t="shared" si="52"/>
        <v>26562.5</v>
      </c>
      <c r="BI171" s="14">
        <f t="shared" si="53"/>
        <v>5281.25</v>
      </c>
      <c r="BP171">
        <v>2</v>
      </c>
      <c r="BS171" t="s">
        <v>283</v>
      </c>
      <c r="BT171" t="str">
        <f>VLOOKUP(G171,Eras!$A$2:$C$10, 2, TRUE)</f>
        <v>dsl</v>
      </c>
      <c r="BU171" t="s">
        <v>331</v>
      </c>
      <c r="BV171" t="str">
        <f t="shared" si="54"/>
        <v>dsl_DMU</v>
      </c>
      <c r="BW171" t="str">
        <f t="shared" si="55"/>
        <v>diesel_RAIL</v>
      </c>
      <c r="BX171" t="str">
        <f>VLOOKUP($BW171, Constants!$M:$N, 2, FALSE)</f>
        <v>{BLACK}Powered by: {GOLD}Diesel</v>
      </c>
      <c r="BY171" t="str">
        <f t="shared" si="65"/>
        <v>{BLACK}Cars: {GOLD}2</v>
      </c>
      <c r="BZ171" t="s">
        <v>513</v>
      </c>
      <c r="CA171" t="str">
        <f t="shared" si="64"/>
        <v/>
      </c>
      <c r="CB171" t="str">
        <f t="shared" si="57"/>
        <v>{BLACK}Powered by: {GOLD}Diesel {BLACK}Cars: {GOLD}2{}{SILVER}The Class 101 has a four speed gearbox with a manual shift. It was exceptionally long-lived, the final examples being retired in December 2003.</v>
      </c>
    </row>
    <row r="172" spans="1:80" x14ac:dyDescent="0.3">
      <c r="A172" t="s">
        <v>516</v>
      </c>
      <c r="B172" t="s">
        <v>167</v>
      </c>
      <c r="C172">
        <v>294</v>
      </c>
      <c r="D172" t="s">
        <v>263</v>
      </c>
      <c r="E172" t="s">
        <v>273</v>
      </c>
      <c r="F172" t="s">
        <v>275</v>
      </c>
      <c r="G172">
        <v>1957</v>
      </c>
      <c r="H172">
        <v>1962</v>
      </c>
      <c r="I172">
        <v>2017</v>
      </c>
      <c r="K172">
        <v>1250</v>
      </c>
      <c r="T172">
        <v>108.4</v>
      </c>
      <c r="W172">
        <v>160</v>
      </c>
      <c r="X172" s="3">
        <f t="shared" si="44"/>
        <v>0.14760147601476015</v>
      </c>
      <c r="Y172">
        <v>80</v>
      </c>
      <c r="Z172">
        <f t="shared" si="63"/>
        <v>128</v>
      </c>
      <c r="AC172">
        <v>17.3</v>
      </c>
      <c r="AD172">
        <v>17.3</v>
      </c>
      <c r="AF172">
        <v>3.84</v>
      </c>
      <c r="AG172" s="10">
        <v>0</v>
      </c>
      <c r="AH172" t="str">
        <f>CONCATENATE(VLOOKUP(AI172, 'Voxel Sizes'!$A$2:$B$18,2,FALSE),"x",INT(AE172*15), "x", INT(AF172*15))</f>
        <v>164x0x57</v>
      </c>
      <c r="AI172">
        <f t="shared" si="45"/>
        <v>10</v>
      </c>
      <c r="AK172" t="str">
        <f>CONCATENATE(VLOOKUP(AI172,Constants!$A$2:$C$16,IF(AJ172&lt;&gt;"", 3, 2), FALSE),IF(AJ172&lt;&gt;"",CONCATENATE(",",VLOOKUP(AJ172,$B:$AK,36,FALSE)),""))</f>
        <v>4,2,4</v>
      </c>
      <c r="AU172">
        <v>30</v>
      </c>
      <c r="AV172" s="15">
        <f t="shared" si="46"/>
        <v>68</v>
      </c>
      <c r="AY172">
        <f t="shared" si="47"/>
        <v>16</v>
      </c>
      <c r="AZ172">
        <f t="shared" si="48"/>
        <v>6.25</v>
      </c>
      <c r="BA172">
        <f t="shared" si="49"/>
        <v>8</v>
      </c>
      <c r="BB172" s="3">
        <f t="shared" si="50"/>
        <v>0.92400000000000004</v>
      </c>
      <c r="BC172">
        <f t="shared" si="51"/>
        <v>0</v>
      </c>
      <c r="BD172">
        <f>VLOOKUP($E172,Constants!$I:$K, 2, FALSE)</f>
        <v>1</v>
      </c>
      <c r="BE172">
        <f>VLOOKUP($E172,Constants!$I:$K, 3, FALSE)*IF(AND(D172="multiple_unit",Y172&lt;110),0.75,1)</f>
        <v>2</v>
      </c>
      <c r="BF172">
        <f>INT(POWER(((Constants!$G$2+$AY172+$AZ172+$BA172+$BC172)*$BB172)*$BE172, 1.05))+$AX172</f>
        <v>80</v>
      </c>
      <c r="BG172">
        <f>INT(POWER((((Constants!$G$1+$AY172+$AZ172+$BA172+$BC172)*($BB172))*$BD172),IF($D172="wagon",1,1.2)))+$AW172</f>
        <v>88</v>
      </c>
      <c r="BH172" s="14">
        <f t="shared" si="52"/>
        <v>62500</v>
      </c>
      <c r="BI172" s="14">
        <f t="shared" si="53"/>
        <v>7150</v>
      </c>
      <c r="BP172">
        <v>3</v>
      </c>
      <c r="BT172" t="str">
        <f>VLOOKUP(G172,Eras!$A$2:$C$10, 2, TRUE)</f>
        <v>dsl</v>
      </c>
      <c r="BU172" t="s">
        <v>329</v>
      </c>
      <c r="BV172" t="str">
        <f t="shared" si="54"/>
        <v>dsl_Freight</v>
      </c>
      <c r="BW172" t="str">
        <f t="shared" si="55"/>
        <v>diesel_RAIL</v>
      </c>
      <c r="BX172" t="str">
        <f>VLOOKUP($BW172, Constants!$M:$N, 2, FALSE)</f>
        <v>{BLACK}Powered by: {GOLD}Diesel</v>
      </c>
      <c r="BY172" t="str">
        <f t="shared" si="65"/>
        <v/>
      </c>
      <c r="BZ172" t="s">
        <v>1408</v>
      </c>
      <c r="CA172" t="str">
        <f t="shared" si="64"/>
        <v/>
      </c>
      <c r="CB172" t="str">
        <f t="shared" si="57"/>
        <v>{BLACK}Powered by: {GOLD}Diesel {}{SILVER}The Class 31 (Brush Type 2) was part of BR's pilot scheme to test replacing steam locomotives with diesel traction. It had many nicknames including "Ped", "Gargoyle" and "Gurgler"</v>
      </c>
    </row>
    <row r="173" spans="1:80" x14ac:dyDescent="0.3">
      <c r="A173" t="s">
        <v>46</v>
      </c>
      <c r="B173" t="s">
        <v>266</v>
      </c>
      <c r="C173">
        <v>296</v>
      </c>
      <c r="D173" t="s">
        <v>263</v>
      </c>
      <c r="E173" t="s">
        <v>273</v>
      </c>
      <c r="F173" t="s">
        <v>275</v>
      </c>
      <c r="G173">
        <v>1957</v>
      </c>
      <c r="H173">
        <v>1968</v>
      </c>
      <c r="K173">
        <v>1000</v>
      </c>
      <c r="T173">
        <v>73</v>
      </c>
      <c r="W173">
        <v>186</v>
      </c>
      <c r="X173" s="3">
        <f t="shared" si="44"/>
        <v>0.25479452054794521</v>
      </c>
      <c r="Y173">
        <v>75</v>
      </c>
      <c r="Z173">
        <f t="shared" si="63"/>
        <v>120</v>
      </c>
      <c r="AC173">
        <v>14.25</v>
      </c>
      <c r="AD173">
        <v>14.25</v>
      </c>
      <c r="AE173">
        <v>2.67</v>
      </c>
      <c r="AF173">
        <v>3.85</v>
      </c>
      <c r="AG173" s="10">
        <v>0</v>
      </c>
      <c r="AH173" t="str">
        <f>CONCATENATE(VLOOKUP(AI173, 'Voxel Sizes'!$A$2:$B$18,2,FALSE),"x",INT(AE173*15), "x", INT(AF173*15))</f>
        <v>136x40x57</v>
      </c>
      <c r="AI173">
        <f t="shared" si="45"/>
        <v>8</v>
      </c>
      <c r="AK173" t="str">
        <f>CONCATENATE(VLOOKUP(AI173,Constants!$A$2:$C$16,IF(AJ173&lt;&gt;"", 3, 2), FALSE),IF(AJ173&lt;&gt;"",CONCATENATE(",",VLOOKUP(AJ173,$B:$AK,36,FALSE)),""))</f>
        <v>2,4,2</v>
      </c>
      <c r="AU173">
        <v>33</v>
      </c>
      <c r="AV173" s="15" t="str">
        <f t="shared" si="46"/>
        <v/>
      </c>
      <c r="AY173">
        <f t="shared" si="47"/>
        <v>15</v>
      </c>
      <c r="AZ173">
        <f t="shared" si="48"/>
        <v>5</v>
      </c>
      <c r="BA173">
        <f t="shared" si="49"/>
        <v>9.3000000000000007</v>
      </c>
      <c r="BB173" s="3">
        <f t="shared" si="50"/>
        <v>0.92400000000000004</v>
      </c>
      <c r="BC173">
        <f t="shared" si="51"/>
        <v>0</v>
      </c>
      <c r="BD173">
        <f>VLOOKUP($E173,Constants!$I:$K, 2, FALSE)</f>
        <v>1</v>
      </c>
      <c r="BE173">
        <f>VLOOKUP($E173,Constants!$I:$K, 3, FALSE)*IF(AND(D173="multiple_unit",Y173&lt;110),0.75,1)</f>
        <v>2</v>
      </c>
      <c r="BF173">
        <f>INT(POWER(((Constants!$G$2+$AY173+$AZ173+$BA173+$BC173)*$BB173)*$BE173, 1.05))+$AX173</f>
        <v>78</v>
      </c>
      <c r="BG173">
        <f>INT(POWER((((Constants!$G$1+$AY173+$AZ173+$BA173+$BC173)*($BB173))*$BD173),IF($D173="wagon",1,1.2)))+$AW173</f>
        <v>85</v>
      </c>
      <c r="BH173" s="14">
        <f t="shared" si="52"/>
        <v>60937.5</v>
      </c>
      <c r="BI173" s="14">
        <f t="shared" si="53"/>
        <v>6906.25</v>
      </c>
      <c r="BJ173">
        <v>2</v>
      </c>
      <c r="BP173">
        <v>4</v>
      </c>
      <c r="BT173" t="str">
        <f>VLOOKUP(G173,Eras!$A$2:$C$10, 2, TRUE)</f>
        <v>dsl</v>
      </c>
      <c r="BU173" t="s">
        <v>327</v>
      </c>
      <c r="BV173" t="str">
        <f t="shared" si="54"/>
        <v>dsl_Mixed Traffic</v>
      </c>
      <c r="BW173" t="str">
        <f t="shared" si="55"/>
        <v>diesel_RAIL</v>
      </c>
      <c r="BX173" t="str">
        <f>VLOOKUP($BW173, Constants!$M:$N, 2, FALSE)</f>
        <v>{BLACK}Powered by: {GOLD}Diesel</v>
      </c>
      <c r="BY173" t="str">
        <f t="shared" si="65"/>
        <v/>
      </c>
      <c r="BZ173" t="s">
        <v>357</v>
      </c>
      <c r="CA173" t="str">
        <f t="shared" si="64"/>
        <v/>
      </c>
      <c r="CB173" t="str">
        <f t="shared" si="57"/>
        <v>{BLACK}Powered by: {GOLD}Diesel {}{SILVER}The Class 20 (English Electric Type 1) is a diesel-electric locomotive designed for light freight duties. Due to its simple design it was more reliable than many contemporary locomotives, leading to a large number being built.</v>
      </c>
    </row>
    <row r="174" spans="1:80" x14ac:dyDescent="0.3">
      <c r="A174" t="s">
        <v>32</v>
      </c>
      <c r="B174" t="s">
        <v>168</v>
      </c>
      <c r="C174">
        <v>298</v>
      </c>
      <c r="D174" t="s">
        <v>263</v>
      </c>
      <c r="E174" t="s">
        <v>1487</v>
      </c>
      <c r="F174" t="s">
        <v>275</v>
      </c>
      <c r="G174">
        <v>1958</v>
      </c>
      <c r="H174">
        <v>1961</v>
      </c>
      <c r="I174">
        <v>1966</v>
      </c>
      <c r="K174">
        <v>2750</v>
      </c>
      <c r="T174">
        <v>81</v>
      </c>
      <c r="U174" s="8">
        <v>45</v>
      </c>
      <c r="W174">
        <v>169</v>
      </c>
      <c r="X174" s="3">
        <f t="shared" si="44"/>
        <v>0.13412698412698412</v>
      </c>
      <c r="Y174">
        <v>90</v>
      </c>
      <c r="Z174">
        <f t="shared" si="63"/>
        <v>144</v>
      </c>
      <c r="AC174">
        <v>20.74</v>
      </c>
      <c r="AD174">
        <v>14</v>
      </c>
      <c r="AG174" s="10">
        <v>0</v>
      </c>
      <c r="AH174" t="str">
        <f>CONCATENATE(VLOOKUP(AI174, 'Voxel Sizes'!$A$2:$B$18,2,FALSE),"x",INT(AE174*15), "x", INT(AF174*15))</f>
        <v>136x0x0</v>
      </c>
      <c r="AI174">
        <f t="shared" si="45"/>
        <v>8</v>
      </c>
      <c r="AJ174" t="s">
        <v>636</v>
      </c>
      <c r="AK174" t="str">
        <f>CONCATENATE(VLOOKUP(AI174,Constants!$A$2:$C$16,IF(AJ174&lt;&gt;"", 3, 2), FALSE),IF(AJ174&lt;&gt;"",CONCATENATE(",",VLOOKUP(AJ174,$B:$AK,36,FALSE)),""))</f>
        <v>2,4,2,2,1,2</v>
      </c>
      <c r="AS174">
        <v>1</v>
      </c>
      <c r="AU174">
        <v>9</v>
      </c>
      <c r="AV174" s="15">
        <f t="shared" si="46"/>
        <v>16</v>
      </c>
      <c r="AY174">
        <f t="shared" si="47"/>
        <v>18</v>
      </c>
      <c r="AZ174">
        <f t="shared" si="48"/>
        <v>13.75</v>
      </c>
      <c r="BA174">
        <f t="shared" si="49"/>
        <v>8.4499999999999993</v>
      </c>
      <c r="BB174" s="3">
        <f t="shared" si="50"/>
        <v>0.92266666666666663</v>
      </c>
      <c r="BC174">
        <f t="shared" si="51"/>
        <v>0</v>
      </c>
      <c r="BD174">
        <f>VLOOKUP($E174,Constants!$I:$K, 2, FALSE)</f>
        <v>1</v>
      </c>
      <c r="BE174">
        <f>VLOOKUP($E174,Constants!$I:$K, 3, FALSE)*IF(AND(D174="multiple_unit",Y174&lt;110),0.75,1)</f>
        <v>2</v>
      </c>
      <c r="BF174">
        <f>INT(POWER(((Constants!$G$2+$AY174+$AZ174+$BA174+$BC174)*$BB174)*$BE174, 1.05))+$AX174</f>
        <v>104</v>
      </c>
      <c r="BG174">
        <f>INT(POWER((((Constants!$G$1+$AY174+$AZ174+$BA174+$BC174)*($BB174))*$BD174),IF($D174="wagon",1,1.2)))+$AW174</f>
        <v>111</v>
      </c>
      <c r="BH174" s="14">
        <f t="shared" si="52"/>
        <v>81250</v>
      </c>
      <c r="BI174" s="14">
        <f t="shared" si="53"/>
        <v>9018.75</v>
      </c>
      <c r="BP174">
        <v>5</v>
      </c>
      <c r="BT174" t="str">
        <f>VLOOKUP(G174,Eras!$A$2:$C$10, 2, TRUE)</f>
        <v>dsl</v>
      </c>
      <c r="BU174" t="s">
        <v>328</v>
      </c>
      <c r="BV174" t="str">
        <f t="shared" si="54"/>
        <v>dsl_Express</v>
      </c>
      <c r="BW174" t="str">
        <f t="shared" si="55"/>
        <v>gas_turbine_RAIL</v>
      </c>
      <c r="BX174" t="str">
        <f>VLOOKUP($BW174, Constants!$M:$N, 2, FALSE)</f>
        <v>{BLACK}Powered by: {GOLD}Gas Turbine</v>
      </c>
      <c r="BY174" t="str">
        <f t="shared" si="65"/>
        <v/>
      </c>
      <c r="BZ174" t="s">
        <v>515</v>
      </c>
      <c r="CA174" t="str">
        <f t="shared" si="64"/>
        <v/>
      </c>
      <c r="CB174" t="str">
        <f t="shared" si="57"/>
        <v>{BLACK}Powered by: {GOLD}Gas Turbine {}{SILVER}The GT3 was part of a programme to test gas turbine locomotives. It used a conventional steam driving wheel arrangement to keep the design simple.</v>
      </c>
    </row>
    <row r="175" spans="1:80" x14ac:dyDescent="0.3">
      <c r="A175" t="s">
        <v>36</v>
      </c>
      <c r="B175" t="s">
        <v>169</v>
      </c>
      <c r="C175">
        <v>300</v>
      </c>
      <c r="D175" t="s">
        <v>263</v>
      </c>
      <c r="E175" t="s">
        <v>273</v>
      </c>
      <c r="F175" t="s">
        <v>275</v>
      </c>
      <c r="G175">
        <v>1958</v>
      </c>
      <c r="H175">
        <v>1961</v>
      </c>
      <c r="I175">
        <v>1972</v>
      </c>
      <c r="K175">
        <f>1035*2</f>
        <v>2070</v>
      </c>
      <c r="T175">
        <v>79.3</v>
      </c>
      <c r="W175">
        <v>214</v>
      </c>
      <c r="X175" s="3">
        <f t="shared" si="44"/>
        <v>0.26986128625472888</v>
      </c>
      <c r="Y175">
        <v>90</v>
      </c>
      <c r="Z175">
        <f t="shared" si="63"/>
        <v>144</v>
      </c>
      <c r="AC175">
        <v>18.29</v>
      </c>
      <c r="AD175">
        <v>18.29</v>
      </c>
      <c r="AF175">
        <v>3.67</v>
      </c>
      <c r="AG175" s="10">
        <v>0</v>
      </c>
      <c r="AH175" t="str">
        <f>CONCATENATE(VLOOKUP(AI175, 'Voxel Sizes'!$A$2:$B$18,2,FALSE),"x",INT(AE175*15), "x", INT(AF175*15))</f>
        <v>186x0x55</v>
      </c>
      <c r="AI175">
        <f t="shared" si="45"/>
        <v>11</v>
      </c>
      <c r="AK175" t="str">
        <f>CONCATENATE(VLOOKUP(AI175,Constants!$A$2:$C$16,IF(AJ175&lt;&gt;"", 3, 2), FALSE),IF(AJ175&lt;&gt;"",CONCATENATE(",",VLOOKUP(AJ175,$B:$AK,36,FALSE)),""))</f>
        <v>4,3,4</v>
      </c>
      <c r="AU175">
        <v>32</v>
      </c>
      <c r="AV175" s="15">
        <f t="shared" si="46"/>
        <v>22</v>
      </c>
      <c r="AY175">
        <f t="shared" si="47"/>
        <v>18</v>
      </c>
      <c r="AZ175">
        <f t="shared" si="48"/>
        <v>10.35</v>
      </c>
      <c r="BA175">
        <f t="shared" si="49"/>
        <v>10.700000000000001</v>
      </c>
      <c r="BB175" s="3">
        <f t="shared" si="50"/>
        <v>0.92266666666666663</v>
      </c>
      <c r="BC175">
        <f t="shared" si="51"/>
        <v>0</v>
      </c>
      <c r="BD175">
        <f>VLOOKUP($E175,Constants!$I:$K, 2, FALSE)</f>
        <v>1</v>
      </c>
      <c r="BE175">
        <f>VLOOKUP($E175,Constants!$I:$K, 3, FALSE)*IF(AND(D175="multiple_unit",Y175&lt;110),0.75,1)</f>
        <v>2</v>
      </c>
      <c r="BF175">
        <f>INT(POWER(((Constants!$G$2+$AY175+$AZ175+$BA175+$BC175)*$BB175)*$BE175, 1.05))+$AX175</f>
        <v>101</v>
      </c>
      <c r="BG175">
        <f>INT(POWER((((Constants!$G$1+$AY175+$AZ175+$BA175+$BC175)*($BB175))*$BD175),IF($D175="wagon",1,1.2)))+$AW175</f>
        <v>108</v>
      </c>
      <c r="BH175" s="14">
        <f t="shared" si="52"/>
        <v>78906.25</v>
      </c>
      <c r="BI175" s="14">
        <f t="shared" si="53"/>
        <v>8775</v>
      </c>
      <c r="BP175">
        <v>6</v>
      </c>
      <c r="BT175" t="str">
        <f>VLOOKUP(G175,Eras!$A$2:$C$10, 2, TRUE)</f>
        <v>dsl</v>
      </c>
      <c r="BU175" t="s">
        <v>377</v>
      </c>
      <c r="BV175" t="str">
        <f t="shared" si="54"/>
        <v>dsl_Passenger</v>
      </c>
      <c r="BW175" t="str">
        <f t="shared" si="55"/>
        <v>diesel_RAIL</v>
      </c>
      <c r="BX175" t="str">
        <f>VLOOKUP($BW175, Constants!$M:$N, 2, FALSE)</f>
        <v>{BLACK}Powered by: {GOLD}Diesel</v>
      </c>
      <c r="BY175" t="str">
        <f t="shared" si="65"/>
        <v/>
      </c>
      <c r="BZ175" t="s">
        <v>517</v>
      </c>
      <c r="CA175" t="str">
        <f t="shared" si="64"/>
        <v/>
      </c>
      <c r="CB175" t="str">
        <f t="shared" si="57"/>
        <v>{BLACK}Powered by: {GOLD}Diesel {}{SILVER}The Class 42 is based on the German V200 design, scaled down to fit the smaller British loading gauge and built under licence by British manufacturers.</v>
      </c>
    </row>
    <row r="176" spans="1:80" x14ac:dyDescent="0.3">
      <c r="A176" t="s">
        <v>41</v>
      </c>
      <c r="B176" t="s">
        <v>519</v>
      </c>
      <c r="C176">
        <v>302</v>
      </c>
      <c r="D176" t="s">
        <v>263</v>
      </c>
      <c r="E176" t="s">
        <v>273</v>
      </c>
      <c r="F176" t="s">
        <v>275</v>
      </c>
      <c r="G176">
        <v>1958</v>
      </c>
      <c r="H176">
        <v>1962</v>
      </c>
      <c r="I176">
        <v>1985</v>
      </c>
      <c r="K176">
        <v>2000</v>
      </c>
      <c r="T176">
        <v>135</v>
      </c>
      <c r="W176">
        <v>231</v>
      </c>
      <c r="X176" s="3">
        <f t="shared" si="44"/>
        <v>0.1711111111111111</v>
      </c>
      <c r="Y176">
        <v>90</v>
      </c>
      <c r="Z176">
        <f t="shared" si="63"/>
        <v>144</v>
      </c>
      <c r="AC176">
        <v>21.18</v>
      </c>
      <c r="AD176">
        <v>21.18</v>
      </c>
      <c r="AF176">
        <v>3.91</v>
      </c>
      <c r="AG176" s="10">
        <v>0</v>
      </c>
      <c r="AH176" t="str">
        <f>CONCATENATE(VLOOKUP(AI176, 'Voxel Sizes'!$A$2:$B$18,2,FALSE),"x",INT(AE176*15), "x", INT(AF176*15))</f>
        <v>198x0x58</v>
      </c>
      <c r="AI176">
        <f t="shared" si="45"/>
        <v>12</v>
      </c>
      <c r="AK176" t="str">
        <f>CONCATENATE(VLOOKUP(AI176,Constants!$A$2:$C$16,IF(AJ176&lt;&gt;"", 3, 2), FALSE),IF(AJ176&lt;&gt;"",CONCATENATE(",",VLOOKUP(AJ176,$B:$AK,36,FALSE)),""))</f>
        <v>4,4,4</v>
      </c>
      <c r="AU176">
        <v>29</v>
      </c>
      <c r="AV176" s="15">
        <f t="shared" si="46"/>
        <v>35</v>
      </c>
      <c r="AY176">
        <f t="shared" si="47"/>
        <v>18</v>
      </c>
      <c r="AZ176">
        <f t="shared" si="48"/>
        <v>10</v>
      </c>
      <c r="BA176">
        <f t="shared" si="49"/>
        <v>11.55</v>
      </c>
      <c r="BB176" s="3">
        <f t="shared" si="50"/>
        <v>0.92266666666666663</v>
      </c>
      <c r="BC176">
        <f t="shared" si="51"/>
        <v>0</v>
      </c>
      <c r="BD176">
        <f>VLOOKUP($E176,Constants!$I:$K, 2, FALSE)</f>
        <v>1</v>
      </c>
      <c r="BE176">
        <f>VLOOKUP($E176,Constants!$I:$K, 3, FALSE)*IF(AND(D176="multiple_unit",Y176&lt;110),0.75,1)</f>
        <v>2</v>
      </c>
      <c r="BF176">
        <f>INT(POWER(((Constants!$G$2+$AY176+$AZ176+$BA176+$BC176)*$BB176)*$BE176, 1.05))+$AX176</f>
        <v>102</v>
      </c>
      <c r="BG176">
        <f>INT(POWER((((Constants!$G$1+$AY176+$AZ176+$BA176+$BC176)*($BB176))*$BD176),IF($D176="wagon",1,1.2)))+$AW176</f>
        <v>110</v>
      </c>
      <c r="BH176" s="14">
        <f t="shared" si="52"/>
        <v>79687.5</v>
      </c>
      <c r="BI176" s="14">
        <f t="shared" si="53"/>
        <v>8937.5</v>
      </c>
      <c r="BP176">
        <v>7</v>
      </c>
      <c r="BT176" t="str">
        <f>VLOOKUP(G176,Eras!$A$2:$C$10, 2, TRUE)</f>
        <v>dsl</v>
      </c>
      <c r="BU176" t="s">
        <v>328</v>
      </c>
      <c r="BV176" t="str">
        <f t="shared" si="54"/>
        <v>dsl_Express</v>
      </c>
      <c r="BW176" t="str">
        <f t="shared" si="55"/>
        <v>diesel_RAIL</v>
      </c>
      <c r="BX176" t="str">
        <f>VLOOKUP($BW176, Constants!$M:$N, 2, FALSE)</f>
        <v>{BLACK}Powered by: {GOLD}Diesel</v>
      </c>
      <c r="BY176" t="str">
        <f t="shared" si="65"/>
        <v/>
      </c>
      <c r="BZ176" t="s">
        <v>518</v>
      </c>
      <c r="CA176" t="str">
        <f t="shared" si="64"/>
        <v/>
      </c>
      <c r="CB176" t="str">
        <f t="shared" si="57"/>
        <v>{BLACK}Powered by: {GOLD}Diesel {}{SILVER}Initially unwanted due to the small improvement in performance over the Class 7 Britannia, the Class 40 (English Electric Type 4) found its home on the West Coast Main Line.</v>
      </c>
    </row>
    <row r="177" spans="1:80" x14ac:dyDescent="0.3">
      <c r="A177" t="s">
        <v>42</v>
      </c>
      <c r="B177" t="s">
        <v>298</v>
      </c>
      <c r="C177">
        <v>304</v>
      </c>
      <c r="D177" t="s">
        <v>263</v>
      </c>
      <c r="E177" t="s">
        <v>273</v>
      </c>
      <c r="F177" t="s">
        <v>275</v>
      </c>
      <c r="G177">
        <v>1958</v>
      </c>
      <c r="H177">
        <v>1959</v>
      </c>
      <c r="I177">
        <v>1968</v>
      </c>
      <c r="K177">
        <v>1200</v>
      </c>
      <c r="T177">
        <v>98.6</v>
      </c>
      <c r="W177">
        <v>222</v>
      </c>
      <c r="X177" s="3">
        <f t="shared" si="44"/>
        <v>0.22515212981744423</v>
      </c>
      <c r="Y177">
        <v>75</v>
      </c>
      <c r="Z177">
        <f t="shared" si="63"/>
        <v>120</v>
      </c>
      <c r="AC177">
        <v>17.260000000000002</v>
      </c>
      <c r="AD177">
        <v>17.260000000000002</v>
      </c>
      <c r="AF177">
        <v>3.7</v>
      </c>
      <c r="AG177" s="10">
        <v>0</v>
      </c>
      <c r="AH177" t="str">
        <f>CONCATENATE(VLOOKUP(AI177, 'Voxel Sizes'!$A$2:$B$18,2,FALSE),"x",INT(AE177*15), "x", INT(AF177*15))</f>
        <v>164x0x55</v>
      </c>
      <c r="AI177">
        <f t="shared" si="45"/>
        <v>10</v>
      </c>
      <c r="AK177" t="str">
        <f>CONCATENATE(VLOOKUP(AI177,Constants!$A$2:$C$16,IF(AJ177&lt;&gt;"", 3, 2), FALSE),IF(AJ177&lt;&gt;"",CONCATENATE(",",VLOOKUP(AJ177,$B:$AK,36,FALSE)),""))</f>
        <v>4,2,4</v>
      </c>
      <c r="AU177">
        <v>21</v>
      </c>
      <c r="AV177" s="15">
        <f t="shared" si="46"/>
        <v>18</v>
      </c>
      <c r="AY177">
        <f t="shared" si="47"/>
        <v>15</v>
      </c>
      <c r="AZ177">
        <f t="shared" si="48"/>
        <v>6</v>
      </c>
      <c r="BA177">
        <f t="shared" si="49"/>
        <v>11.100000000000001</v>
      </c>
      <c r="BB177" s="3">
        <f t="shared" si="50"/>
        <v>0.92266666666666663</v>
      </c>
      <c r="BC177">
        <f t="shared" si="51"/>
        <v>0</v>
      </c>
      <c r="BD177">
        <f>VLOOKUP($E177,Constants!$I:$K, 2, FALSE)</f>
        <v>1</v>
      </c>
      <c r="BE177">
        <f>VLOOKUP($E177,Constants!$I:$K, 3, FALSE)*IF(AND(D177="multiple_unit",Y177&lt;110),0.75,1)</f>
        <v>2</v>
      </c>
      <c r="BF177">
        <f>INT(POWER(((Constants!$G$2+$AY177+$AZ177+$BA177+$BC177)*$BB177)*$BE177, 1.05))+$AX177</f>
        <v>84</v>
      </c>
      <c r="BG177">
        <f>INT(POWER((((Constants!$G$1+$AY177+$AZ177+$BA177+$BC177)*($BB177))*$BD177),IF($D177="wagon",1,1.2)))+$AW177</f>
        <v>92</v>
      </c>
      <c r="BH177" s="14">
        <f t="shared" si="52"/>
        <v>65625</v>
      </c>
      <c r="BI177" s="14">
        <f t="shared" si="53"/>
        <v>7475</v>
      </c>
      <c r="BP177">
        <v>8</v>
      </c>
      <c r="BT177" t="str">
        <f>VLOOKUP(G177,Eras!$A$2:$C$10, 2, TRUE)</f>
        <v>dsl</v>
      </c>
      <c r="BU177" t="s">
        <v>327</v>
      </c>
      <c r="BV177" t="str">
        <f t="shared" si="54"/>
        <v>dsl_Mixed Traffic</v>
      </c>
      <c r="BW177" t="str">
        <f t="shared" si="55"/>
        <v>diesel_RAIL</v>
      </c>
      <c r="BX177" t="str">
        <f>VLOOKUP($BW177, Constants!$M:$N, 2, FALSE)</f>
        <v>{BLACK}Powered by: {GOLD}Diesel</v>
      </c>
      <c r="BY177" t="str">
        <f t="shared" si="65"/>
        <v/>
      </c>
      <c r="BZ177" t="s">
        <v>358</v>
      </c>
      <c r="CA177" t="str">
        <f t="shared" si="64"/>
        <v/>
      </c>
      <c r="CB177" t="str">
        <f t="shared" si="57"/>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78" spans="1:80" x14ac:dyDescent="0.3">
      <c r="A178" t="s">
        <v>64</v>
      </c>
      <c r="B178" t="s">
        <v>216</v>
      </c>
      <c r="C178">
        <v>306</v>
      </c>
      <c r="D178" t="s">
        <v>263</v>
      </c>
      <c r="E178" t="s">
        <v>296</v>
      </c>
      <c r="F178" t="s">
        <v>303</v>
      </c>
      <c r="G178">
        <v>1958</v>
      </c>
      <c r="H178">
        <v>1960</v>
      </c>
      <c r="I178">
        <v>1977</v>
      </c>
      <c r="K178">
        <v>2300</v>
      </c>
      <c r="T178">
        <v>78.239999999999995</v>
      </c>
      <c r="W178">
        <v>195</v>
      </c>
      <c r="X178" s="3">
        <f t="shared" si="44"/>
        <v>0.24923312883435583</v>
      </c>
      <c r="Y178">
        <v>90</v>
      </c>
      <c r="Z178">
        <f t="shared" si="63"/>
        <v>144</v>
      </c>
      <c r="AC178">
        <v>16.36</v>
      </c>
      <c r="AD178">
        <v>16.36</v>
      </c>
      <c r="AG178" s="10">
        <v>0</v>
      </c>
      <c r="AH178" t="str">
        <f>CONCATENATE(VLOOKUP(AI178, 'Voxel Sizes'!$A$2:$B$18,2,FALSE),"x",INT(AE178*15), "x", INT(AF178*15))</f>
        <v>164x0x0</v>
      </c>
      <c r="AI178">
        <f t="shared" si="45"/>
        <v>10</v>
      </c>
      <c r="AK178" t="str">
        <f>CONCATENATE(VLOOKUP(AI178,Constants!$A$2:$C$16,IF(AJ178&lt;&gt;"", 3, 2), FALSE),IF(AJ178&lt;&gt;"",CONCATENATE(",",VLOOKUP(AJ178,$B:$AK,36,FALSE)),""))</f>
        <v>4,2,4</v>
      </c>
      <c r="AU178">
        <v>32</v>
      </c>
      <c r="AV178" s="15">
        <f t="shared" si="46"/>
        <v>27</v>
      </c>
      <c r="AY178">
        <f t="shared" si="47"/>
        <v>18</v>
      </c>
      <c r="AZ178">
        <f t="shared" si="48"/>
        <v>11.5</v>
      </c>
      <c r="BA178">
        <f t="shared" si="49"/>
        <v>9.75</v>
      </c>
      <c r="BB178" s="3">
        <f t="shared" si="50"/>
        <v>0.92266666666666663</v>
      </c>
      <c r="BC178">
        <f t="shared" si="51"/>
        <v>0</v>
      </c>
      <c r="BD178">
        <f>VLOOKUP($E178,Constants!$I:$K, 2, FALSE)</f>
        <v>0.85</v>
      </c>
      <c r="BE178">
        <f>VLOOKUP($E178,Constants!$I:$K, 3, FALSE)*IF(AND(D178="multiple_unit",Y178&lt;110),0.75,1)</f>
        <v>2.2999999999999998</v>
      </c>
      <c r="BF178">
        <f>INT(POWER(((Constants!$G$2+$AY178+$AZ178+$BA178+$BC178)*$BB178)*$BE178, 1.05))+$AX178</f>
        <v>117</v>
      </c>
      <c r="BG178">
        <f>INT(POWER((((Constants!$G$1+$AY178+$AZ178+$BA178+$BC178)*($BB178))*$BD178),IF($D178="wagon",1,1.2)))+$AW178</f>
        <v>90</v>
      </c>
      <c r="BH178" s="14">
        <f t="shared" si="52"/>
        <v>91406.25</v>
      </c>
      <c r="BI178" s="14">
        <f t="shared" si="53"/>
        <v>7312.5</v>
      </c>
      <c r="BP178">
        <v>9</v>
      </c>
      <c r="BT178" t="str">
        <f>VLOOKUP(G178,Eras!$A$2:$C$10, 2, TRUE)</f>
        <v>dsl</v>
      </c>
      <c r="BU178" t="s">
        <v>337</v>
      </c>
      <c r="BV178" t="str">
        <f t="shared" si="54"/>
        <v>dsl_MT (Electric)</v>
      </c>
      <c r="BW178" t="str">
        <f t="shared" si="55"/>
        <v>electric_THIRD_RAIL</v>
      </c>
      <c r="BX178" t="str">
        <f>VLOOKUP($BW178, Constants!$M:$N, 2, FALSE)</f>
        <v>{BLACK}Powered by: {GOLD}750V DC</v>
      </c>
      <c r="BY178" t="str">
        <f t="shared" si="65"/>
        <v/>
      </c>
      <c r="BZ178" t="s">
        <v>359</v>
      </c>
      <c r="CA178" t="str">
        <f t="shared" si="64"/>
        <v/>
      </c>
      <c r="CB178" t="str">
        <f t="shared" si="57"/>
        <v>{BLACK}Powered by: {GOLD}750V DC {}{SILVER}The Class 71 is a mixed-traffic electric locomotive designed to work on the third rail system. It offered a lot of power for a small locomotive, but being confined to third rail power with no auxiliary option limited its usefulness.</v>
      </c>
    </row>
    <row r="179" spans="1:80" x14ac:dyDescent="0.3">
      <c r="A179" t="s">
        <v>533</v>
      </c>
      <c r="B179" t="s">
        <v>535</v>
      </c>
      <c r="C179">
        <v>308</v>
      </c>
      <c r="D179" t="s">
        <v>263</v>
      </c>
      <c r="E179" t="s">
        <v>273</v>
      </c>
      <c r="F179" t="s">
        <v>275</v>
      </c>
      <c r="G179">
        <v>1958</v>
      </c>
      <c r="H179">
        <v>1959</v>
      </c>
      <c r="I179">
        <v>1994</v>
      </c>
      <c r="K179">
        <v>1160</v>
      </c>
      <c r="T179">
        <v>78.7</v>
      </c>
      <c r="W179">
        <v>187</v>
      </c>
      <c r="X179" s="3">
        <f t="shared" si="44"/>
        <v>0.23761118170266837</v>
      </c>
      <c r="Y179">
        <v>80</v>
      </c>
      <c r="Z179">
        <f t="shared" si="63"/>
        <v>128</v>
      </c>
      <c r="AC179">
        <v>15.47</v>
      </c>
      <c r="AD179">
        <v>15.47</v>
      </c>
      <c r="AF179">
        <v>3.86</v>
      </c>
      <c r="AG179" s="10">
        <v>0</v>
      </c>
      <c r="AH179" t="str">
        <f>CONCATENATE(VLOOKUP(AI179, 'Voxel Sizes'!$A$2:$B$18,2,FALSE),"x",INT(AE179*15), "x", INT(AF179*15))</f>
        <v>152x0x57</v>
      </c>
      <c r="AI179">
        <f t="shared" si="45"/>
        <v>9</v>
      </c>
      <c r="AK179" t="str">
        <f>CONCATENATE(VLOOKUP(AI179,Constants!$A$2:$C$16,IF(AJ179&lt;&gt;"", 3, 2), FALSE),IF(AJ179&lt;&gt;"",CONCATENATE(",",VLOOKUP(AJ179,$B:$AK,36,FALSE)),""))</f>
        <v>2,5,2</v>
      </c>
      <c r="AU179">
        <v>30</v>
      </c>
      <c r="AV179" s="15">
        <f t="shared" si="46"/>
        <v>44</v>
      </c>
      <c r="AY179">
        <f t="shared" si="47"/>
        <v>16</v>
      </c>
      <c r="AZ179">
        <f t="shared" si="48"/>
        <v>5.8</v>
      </c>
      <c r="BA179">
        <f t="shared" si="49"/>
        <v>9.3500000000000014</v>
      </c>
      <c r="BB179" s="3">
        <f t="shared" si="50"/>
        <v>0.92266666666666663</v>
      </c>
      <c r="BC179">
        <f t="shared" si="51"/>
        <v>0</v>
      </c>
      <c r="BD179">
        <f>VLOOKUP($E179,Constants!$I:$K, 2, FALSE)</f>
        <v>1</v>
      </c>
      <c r="BE179">
        <f>VLOOKUP($E179,Constants!$I:$K, 3, FALSE)*IF(AND(D179="multiple_unit",Y179&lt;110),0.75,1)</f>
        <v>2</v>
      </c>
      <c r="BF179">
        <f>INT(POWER(((Constants!$G$2+$AY179+$AZ179+$BA179+$BC179)*$BB179)*$BE179, 1.05))+$AX179</f>
        <v>82</v>
      </c>
      <c r="BG179">
        <f>INT(POWER((((Constants!$G$1+$AY179+$AZ179+$BA179+$BC179)*($BB179))*$BD179),IF($D179="wagon",1,1.2)))+$AW179</f>
        <v>90</v>
      </c>
      <c r="BH179" s="14">
        <f t="shared" si="52"/>
        <v>64062.5</v>
      </c>
      <c r="BI179" s="14">
        <f t="shared" si="53"/>
        <v>7312.5</v>
      </c>
      <c r="BP179">
        <v>10</v>
      </c>
      <c r="BT179" t="str">
        <f>VLOOKUP(G179,Eras!$A$2:$C$10, 2, TRUE)</f>
        <v>dsl</v>
      </c>
      <c r="BU179" t="s">
        <v>327</v>
      </c>
      <c r="BV179" t="str">
        <f t="shared" si="54"/>
        <v>dsl_Mixed Traffic</v>
      </c>
      <c r="BW179" t="str">
        <f t="shared" si="55"/>
        <v>diesel_RAIL</v>
      </c>
      <c r="BX179" t="str">
        <f>VLOOKUP($BW179, Constants!$M:$N, 2, FALSE)</f>
        <v>{BLACK}Powered by: {GOLD}Diesel</v>
      </c>
      <c r="BY179" t="str">
        <f t="shared" si="65"/>
        <v/>
      </c>
      <c r="BZ179" t="s">
        <v>534</v>
      </c>
      <c r="CA179" t="str">
        <f t="shared" si="64"/>
        <v/>
      </c>
      <c r="CB179" t="str">
        <f t="shared" si="57"/>
        <v>{BLACK}Powered by: {GOLD}Diesel {}{SILVER}The Class 26 "Teacup" (so named for its idling sound) was an early Type 2 locomotive, small diesels with engine output between 800 and 1,250 hp.</v>
      </c>
    </row>
    <row r="180" spans="1:80" x14ac:dyDescent="0.3">
      <c r="A180" t="s">
        <v>39</v>
      </c>
      <c r="B180" t="s">
        <v>267</v>
      </c>
      <c r="C180">
        <v>310</v>
      </c>
      <c r="D180" t="s">
        <v>263</v>
      </c>
      <c r="E180" t="s">
        <v>273</v>
      </c>
      <c r="F180" t="s">
        <v>275</v>
      </c>
      <c r="G180">
        <v>1959</v>
      </c>
      <c r="H180">
        <v>1959</v>
      </c>
      <c r="I180">
        <v>1971</v>
      </c>
      <c r="K180">
        <v>1100</v>
      </c>
      <c r="T180">
        <v>75.2</v>
      </c>
      <c r="W180">
        <v>209</v>
      </c>
      <c r="X180" s="3">
        <f t="shared" si="44"/>
        <v>0.27792553191489361</v>
      </c>
      <c r="Y180">
        <v>75</v>
      </c>
      <c r="Z180">
        <f t="shared" si="63"/>
        <v>120</v>
      </c>
      <c r="AC180">
        <v>16</v>
      </c>
      <c r="AD180">
        <v>16</v>
      </c>
      <c r="AF180">
        <v>3.86</v>
      </c>
      <c r="AG180" s="10">
        <v>0</v>
      </c>
      <c r="AH180" t="str">
        <f>CONCATENATE(VLOOKUP(AI180, 'Voxel Sizes'!$A$2:$B$18,2,FALSE),"x",INT(AE180*15), "x", INT(AF180*15))</f>
        <v>152x0x57</v>
      </c>
      <c r="AI180">
        <f t="shared" si="45"/>
        <v>9</v>
      </c>
      <c r="AK180" t="str">
        <f>CONCATENATE(VLOOKUP(AI180,Constants!$A$2:$C$16,IF(AJ180&lt;&gt;"", 3, 2), FALSE),IF(AJ180&lt;&gt;"",CONCATENATE(",",VLOOKUP(AJ180,$B:$AK,36,FALSE)),""))</f>
        <v>2,5,2</v>
      </c>
      <c r="AU180">
        <v>26</v>
      </c>
      <c r="AV180" s="15">
        <f t="shared" si="46"/>
        <v>20</v>
      </c>
      <c r="AY180">
        <f t="shared" si="47"/>
        <v>15</v>
      </c>
      <c r="AZ180">
        <f t="shared" si="48"/>
        <v>5.5</v>
      </c>
      <c r="BA180">
        <f t="shared" si="49"/>
        <v>10.45</v>
      </c>
      <c r="BB180" s="3">
        <f t="shared" si="50"/>
        <v>0.92133333333333334</v>
      </c>
      <c r="BC180">
        <f t="shared" si="51"/>
        <v>0</v>
      </c>
      <c r="BD180">
        <f>VLOOKUP($E180,Constants!$I:$K, 2, FALSE)</f>
        <v>1</v>
      </c>
      <c r="BE180">
        <f>VLOOKUP($E180,Constants!$I:$K, 3, FALSE)*IF(AND(D180="multiple_unit",Y180&lt;110),0.75,1)</f>
        <v>2</v>
      </c>
      <c r="BF180">
        <f>INT(POWER(((Constants!$G$2+$AY180+$AZ180+$BA180+$BC180)*$BB180)*$BE180, 1.05))+$AX180</f>
        <v>81</v>
      </c>
      <c r="BG180">
        <f>INT(POWER((((Constants!$G$1+$AY180+$AZ180+$BA180+$BC180)*($BB180))*$BD180),IF($D180="wagon",1,1.2)))+$AW180</f>
        <v>89</v>
      </c>
      <c r="BH180" s="14">
        <f t="shared" si="52"/>
        <v>63281.25</v>
      </c>
      <c r="BI180" s="14">
        <f t="shared" si="53"/>
        <v>7231.25</v>
      </c>
      <c r="BP180">
        <v>11</v>
      </c>
      <c r="BT180" t="str">
        <f>VLOOKUP(G180,Eras!$A$2:$C$10, 2, TRUE)</f>
        <v>dsl</v>
      </c>
      <c r="BU180" t="s">
        <v>327</v>
      </c>
      <c r="BV180" t="str">
        <f t="shared" si="54"/>
        <v>dsl_Mixed Traffic</v>
      </c>
      <c r="BW180" t="str">
        <f t="shared" si="55"/>
        <v>diesel_RAIL</v>
      </c>
      <c r="BX180" t="str">
        <f>VLOOKUP($BW180, Constants!$M:$N, 2, FALSE)</f>
        <v>{BLACK}Powered by: {GOLD}Diesel</v>
      </c>
      <c r="BY180" t="str">
        <f t="shared" si="65"/>
        <v/>
      </c>
      <c r="BZ180" t="s">
        <v>367</v>
      </c>
      <c r="CA180" t="str">
        <f t="shared" si="64"/>
        <v/>
      </c>
      <c r="CB180" t="str">
        <f t="shared" si="57"/>
        <v>{BLACK}Powered by: {GOLD}Diesel {}{SILVER}The Class 23 uses a smaller version of the Napier Deltic engine fitted to the Class 55, leading to its nickname of "Baby Deltic".</v>
      </c>
    </row>
    <row r="181" spans="1:80" x14ac:dyDescent="0.3">
      <c r="A181" t="s">
        <v>59</v>
      </c>
      <c r="B181" t="s">
        <v>217</v>
      </c>
      <c r="C181">
        <v>312</v>
      </c>
      <c r="D181" t="s">
        <v>263</v>
      </c>
      <c r="E181" t="s">
        <v>296</v>
      </c>
      <c r="F181" t="s">
        <v>297</v>
      </c>
      <c r="G181">
        <v>1959</v>
      </c>
      <c r="H181">
        <v>1964</v>
      </c>
      <c r="I181">
        <v>1991</v>
      </c>
      <c r="K181">
        <f>4*847</f>
        <v>3388</v>
      </c>
      <c r="T181">
        <v>80.900000000000006</v>
      </c>
      <c r="W181">
        <v>222</v>
      </c>
      <c r="X181" s="3">
        <f t="shared" si="44"/>
        <v>0.27441285537700866</v>
      </c>
      <c r="Y181">
        <v>100</v>
      </c>
      <c r="Z181">
        <f t="shared" si="63"/>
        <v>160</v>
      </c>
      <c r="AC181">
        <v>17.22</v>
      </c>
      <c r="AD181">
        <v>17.22</v>
      </c>
      <c r="AF181">
        <v>3.77</v>
      </c>
      <c r="AG181" s="10">
        <v>0</v>
      </c>
      <c r="AH181" t="str">
        <f>CONCATENATE(VLOOKUP(AI181, 'Voxel Sizes'!$A$2:$B$18,2,FALSE),"x",INT(AE181*15), "x", INT(AF181*15))</f>
        <v>164x0x56</v>
      </c>
      <c r="AI181">
        <f t="shared" si="45"/>
        <v>10</v>
      </c>
      <c r="AK181" t="str">
        <f>CONCATENATE(VLOOKUP(AI181,Constants!$A$2:$C$16,IF(AJ181&lt;&gt;"", 3, 2), FALSE),IF(AJ181&lt;&gt;"",CONCATENATE(",",VLOOKUP(AJ181,$B:$AK,36,FALSE)),""))</f>
        <v>4,2,4</v>
      </c>
      <c r="AU181">
        <v>27</v>
      </c>
      <c r="AV181" s="15">
        <f t="shared" si="46"/>
        <v>40</v>
      </c>
      <c r="AY181">
        <f t="shared" si="47"/>
        <v>20</v>
      </c>
      <c r="AZ181">
        <f t="shared" si="48"/>
        <v>16.939999999999998</v>
      </c>
      <c r="BA181">
        <f t="shared" si="49"/>
        <v>11.100000000000001</v>
      </c>
      <c r="BB181" s="3">
        <f t="shared" si="50"/>
        <v>0.92133333333333334</v>
      </c>
      <c r="BC181">
        <f t="shared" si="51"/>
        <v>0</v>
      </c>
      <c r="BD181">
        <f>VLOOKUP($E181,Constants!$I:$K, 2, FALSE)</f>
        <v>0.85</v>
      </c>
      <c r="BE181">
        <f>VLOOKUP($E181,Constants!$I:$K, 3, FALSE)*IF(AND(D181="multiple_unit",Y181&lt;110),0.75,1)</f>
        <v>2.2999999999999998</v>
      </c>
      <c r="BF181">
        <f>INT(POWER(((Constants!$G$2+$AY181+$AZ181+$BA181+$BC181)*$BB181)*$BE181, 1.05))+$AX181</f>
        <v>142</v>
      </c>
      <c r="BG181">
        <f>INT(POWER((((Constants!$G$1+$AY181+$AZ181+$BA181+$BC181)*($BB181))*$BD181),IF($D181="wagon",1,1.2)))+$AW181</f>
        <v>107</v>
      </c>
      <c r="BH181" s="14">
        <f t="shared" si="52"/>
        <v>110937.5</v>
      </c>
      <c r="BI181" s="14">
        <f t="shared" si="53"/>
        <v>8693.75</v>
      </c>
      <c r="BP181">
        <v>12</v>
      </c>
      <c r="BT181" t="str">
        <f>VLOOKUP(G181,Eras!$A$2:$C$10, 2, TRUE)</f>
        <v>dsl</v>
      </c>
      <c r="BU181" t="s">
        <v>338</v>
      </c>
      <c r="BV181" t="str">
        <f t="shared" si="54"/>
        <v>dsl_Express (Electric)</v>
      </c>
      <c r="BW181" t="str">
        <f t="shared" si="55"/>
        <v>electric_ELRL</v>
      </c>
      <c r="BX181" t="str">
        <f>VLOOKUP($BW181, Constants!$M:$N, 2, FALSE)</f>
        <v>{BLACK}Powered by: {GOLD}25kV AC</v>
      </c>
      <c r="BY181" t="str">
        <f t="shared" si="65"/>
        <v/>
      </c>
      <c r="BZ181" t="s">
        <v>520</v>
      </c>
      <c r="CA181" t="str">
        <f t="shared" si="64"/>
        <v/>
      </c>
      <c r="CB181" t="str">
        <f t="shared" si="57"/>
        <v>{BLACK}Powered by: {GOLD}25kV AC {}{SILVER}Built by Associated Electrical Industries, the Class 81 was British Railways' first AC electric locomotive. Two types were envisioned, but all delivered were geared for 100mph passenger and express freight usage.</v>
      </c>
    </row>
    <row r="182" spans="1:80" x14ac:dyDescent="0.3">
      <c r="A182" t="s">
        <v>40</v>
      </c>
      <c r="B182" t="s">
        <v>262</v>
      </c>
      <c r="C182">
        <v>314</v>
      </c>
      <c r="D182" t="s">
        <v>263</v>
      </c>
      <c r="E182" t="s">
        <v>273</v>
      </c>
      <c r="F182" t="s">
        <v>275</v>
      </c>
      <c r="G182">
        <v>1960</v>
      </c>
      <c r="H182">
        <v>1965</v>
      </c>
      <c r="K182">
        <v>1750</v>
      </c>
      <c r="T182">
        <v>102</v>
      </c>
      <c r="W182">
        <v>247</v>
      </c>
      <c r="X182" s="3">
        <f t="shared" si="44"/>
        <v>0.24215686274509804</v>
      </c>
      <c r="Y182">
        <v>90</v>
      </c>
      <c r="Z182">
        <f t="shared" si="63"/>
        <v>144</v>
      </c>
      <c r="AC182">
        <v>18.75</v>
      </c>
      <c r="AD182">
        <v>18.75</v>
      </c>
      <c r="AE182">
        <v>2.71</v>
      </c>
      <c r="AF182">
        <v>3.89</v>
      </c>
      <c r="AG182" s="10">
        <v>0</v>
      </c>
      <c r="AH182" t="str">
        <f>CONCATENATE(VLOOKUP(AI182, 'Voxel Sizes'!$A$2:$B$18,2,FALSE),"x",INT(AE182*15), "x", INT(AF182*15))</f>
        <v>186x40x58</v>
      </c>
      <c r="AI182">
        <f t="shared" si="45"/>
        <v>11</v>
      </c>
      <c r="AK182" t="str">
        <f>CONCATENATE(VLOOKUP(AI182,Constants!$A$2:$C$16,IF(AJ182&lt;&gt;"", 3, 2), FALSE),IF(AJ182&lt;&gt;"",CONCATENATE(",",VLOOKUP(AJ182,$B:$AK,36,FALSE)),""))</f>
        <v>4,3,4</v>
      </c>
      <c r="AU182">
        <v>42</v>
      </c>
      <c r="AV182" s="15" t="str">
        <f t="shared" si="46"/>
        <v/>
      </c>
      <c r="AY182">
        <f t="shared" si="47"/>
        <v>18</v>
      </c>
      <c r="AZ182">
        <f t="shared" si="48"/>
        <v>8.75</v>
      </c>
      <c r="BA182">
        <f t="shared" si="49"/>
        <v>12.350000000000001</v>
      </c>
      <c r="BB182" s="3">
        <f t="shared" si="50"/>
        <v>0.92</v>
      </c>
      <c r="BC182">
        <f t="shared" si="51"/>
        <v>0</v>
      </c>
      <c r="BD182">
        <f>VLOOKUP($E182,Constants!$I:$K, 2, FALSE)</f>
        <v>1</v>
      </c>
      <c r="BE182">
        <f>VLOOKUP($E182,Constants!$I:$K, 3, FALSE)*IF(AND(D182="multiple_unit",Y182&lt;110),0.75,1)</f>
        <v>2</v>
      </c>
      <c r="BF182">
        <f>INT(POWER(((Constants!$G$2+$AY182+$AZ182+$BA182+$BC182)*$BB182)*$BE182, 1.05))+$AX182</f>
        <v>101</v>
      </c>
      <c r="BG182">
        <f>INT(POWER((((Constants!$G$1+$AY182+$AZ182+$BA182+$BC182)*($BB182))*$BD182),IF($D182="wagon",1,1.2)))+$AW182</f>
        <v>108</v>
      </c>
      <c r="BH182" s="14">
        <f t="shared" si="52"/>
        <v>78906.25</v>
      </c>
      <c r="BI182" s="14">
        <f t="shared" si="53"/>
        <v>8775</v>
      </c>
      <c r="BP182">
        <v>1</v>
      </c>
      <c r="BT182" t="str">
        <f>VLOOKUP(G182,Eras!$A$2:$C$10, 2, TRUE)</f>
        <v>dsl</v>
      </c>
      <c r="BU182" t="s">
        <v>329</v>
      </c>
      <c r="BV182" t="str">
        <f t="shared" si="54"/>
        <v>dsl_Freight</v>
      </c>
      <c r="BW182" t="str">
        <f t="shared" si="55"/>
        <v>diesel_RAIL</v>
      </c>
      <c r="BX182" t="str">
        <f>VLOOKUP($BW182, Constants!$M:$N, 2, FALSE)</f>
        <v>{BLACK}Powered by: {GOLD}Diesel</v>
      </c>
      <c r="BY182" t="str">
        <f t="shared" si="65"/>
        <v/>
      </c>
      <c r="BZ182" t="s">
        <v>360</v>
      </c>
      <c r="CA182" t="str">
        <f t="shared" si="64"/>
        <v/>
      </c>
      <c r="CB182" t="str">
        <f t="shared" si="57"/>
        <v>{BLACK}Powered by: {GOLD}Diesel {}{SILVER}The Class 37 (English Electric Type 3) is widely used, especially in Scotland where the high power, low axle load and lack of need for electrification make it ideal for hauling long trains in the Highlands.</v>
      </c>
    </row>
    <row r="183" spans="1:80" x14ac:dyDescent="0.3">
      <c r="A183" t="s">
        <v>48</v>
      </c>
      <c r="B183" t="s">
        <v>523</v>
      </c>
      <c r="C183">
        <v>316</v>
      </c>
      <c r="D183" t="s">
        <v>263</v>
      </c>
      <c r="E183" t="s">
        <v>273</v>
      </c>
      <c r="F183" t="s">
        <v>275</v>
      </c>
      <c r="G183">
        <v>1960</v>
      </c>
      <c r="H183">
        <v>1962</v>
      </c>
      <c r="I183">
        <v>1989</v>
      </c>
      <c r="K183">
        <v>2500</v>
      </c>
      <c r="T183">
        <v>135</v>
      </c>
      <c r="W183">
        <v>245</v>
      </c>
      <c r="X183" s="3">
        <f t="shared" si="44"/>
        <v>0.18148148148148149</v>
      </c>
      <c r="Y183">
        <v>90</v>
      </c>
      <c r="Z183">
        <f t="shared" si="63"/>
        <v>144</v>
      </c>
      <c r="AC183">
        <v>20.7</v>
      </c>
      <c r="AD183">
        <v>20.7</v>
      </c>
      <c r="AF183">
        <v>3.91</v>
      </c>
      <c r="AG183" s="10">
        <v>0</v>
      </c>
      <c r="AH183" t="str">
        <f>CONCATENATE(VLOOKUP(AI183, 'Voxel Sizes'!$A$2:$B$18,2,FALSE),"x",INT(AE183*15), "x", INT(AF183*15))</f>
        <v>198x0x58</v>
      </c>
      <c r="AI183">
        <f t="shared" si="45"/>
        <v>12</v>
      </c>
      <c r="AK183" t="str">
        <f>CONCATENATE(VLOOKUP(AI183,Constants!$A$2:$C$16,IF(AJ183&lt;&gt;"", 3, 2), FALSE),IF(AJ183&lt;&gt;"",CONCATENATE(",",VLOOKUP(AJ183,$B:$AK,36,FALSE)),""))</f>
        <v>4,4,4</v>
      </c>
      <c r="AU183">
        <v>30</v>
      </c>
      <c r="AV183" s="15">
        <f t="shared" si="46"/>
        <v>37</v>
      </c>
      <c r="AY183">
        <f t="shared" si="47"/>
        <v>18</v>
      </c>
      <c r="AZ183">
        <f t="shared" si="48"/>
        <v>12.5</v>
      </c>
      <c r="BA183">
        <f t="shared" si="49"/>
        <v>12.25</v>
      </c>
      <c r="BB183" s="3">
        <f t="shared" si="50"/>
        <v>0.92</v>
      </c>
      <c r="BC183">
        <f t="shared" si="51"/>
        <v>0</v>
      </c>
      <c r="BD183">
        <f>VLOOKUP($E183,Constants!$I:$K, 2, FALSE)</f>
        <v>1</v>
      </c>
      <c r="BE183">
        <f>VLOOKUP($E183,Constants!$I:$K, 3, FALSE)*IF(AND(D183="multiple_unit",Y183&lt;110),0.75,1)</f>
        <v>2</v>
      </c>
      <c r="BF183">
        <f>INT(POWER(((Constants!$G$2+$AY183+$AZ183+$BA183+$BC183)*$BB183)*$BE183, 1.05))+$AX183</f>
        <v>109</v>
      </c>
      <c r="BG183">
        <f>INT(POWER((((Constants!$G$1+$AY183+$AZ183+$BA183+$BC183)*($BB183))*$BD183),IF($D183="wagon",1,1.2)))+$AW183</f>
        <v>117</v>
      </c>
      <c r="BH183" s="14">
        <f t="shared" si="52"/>
        <v>85156.25</v>
      </c>
      <c r="BI183" s="14">
        <f t="shared" si="53"/>
        <v>9506.25</v>
      </c>
      <c r="BP183">
        <v>2</v>
      </c>
      <c r="BT183" t="str">
        <f>VLOOKUP(G183,Eras!$A$2:$C$10, 2, TRUE)</f>
        <v>dsl</v>
      </c>
      <c r="BU183" t="s">
        <v>328</v>
      </c>
      <c r="BV183" t="str">
        <f t="shared" si="54"/>
        <v>dsl_Express</v>
      </c>
      <c r="BW183" t="str">
        <f t="shared" si="55"/>
        <v>diesel_RAIL</v>
      </c>
      <c r="BX183" t="str">
        <f>VLOOKUP($BW183, Constants!$M:$N, 2, FALSE)</f>
        <v>{BLACK}Powered by: {GOLD}Diesel</v>
      </c>
      <c r="BY183" t="str">
        <f t="shared" si="65"/>
        <v/>
      </c>
      <c r="BZ183" t="s">
        <v>522</v>
      </c>
      <c r="CA183" t="str">
        <f t="shared" si="64"/>
        <v/>
      </c>
      <c r="CB183" t="str">
        <f t="shared" si="57"/>
        <v>{BLACK}Powered by: {GOLD}Diesel {}{SILVER}The Sulzer Peaks served express passenger trains on the Midland Main Line until the introduction of the HST.</v>
      </c>
    </row>
    <row r="184" spans="1:80" x14ac:dyDescent="0.3">
      <c r="A184" t="s">
        <v>49</v>
      </c>
      <c r="B184" t="s">
        <v>525</v>
      </c>
      <c r="C184">
        <v>318</v>
      </c>
      <c r="D184" t="s">
        <v>263</v>
      </c>
      <c r="E184" t="s">
        <v>273</v>
      </c>
      <c r="F184" t="s">
        <v>275</v>
      </c>
      <c r="G184">
        <v>1960</v>
      </c>
      <c r="H184">
        <v>1962</v>
      </c>
      <c r="K184">
        <v>1550</v>
      </c>
      <c r="T184">
        <v>74.2</v>
      </c>
      <c r="W184">
        <v>200</v>
      </c>
      <c r="X184" s="3">
        <f t="shared" si="44"/>
        <v>0.26954177897574122</v>
      </c>
      <c r="Y184">
        <v>85</v>
      </c>
      <c r="Z184">
        <f t="shared" si="63"/>
        <v>136</v>
      </c>
      <c r="AC184">
        <v>15.47</v>
      </c>
      <c r="AD184">
        <v>15.47</v>
      </c>
      <c r="AF184">
        <v>3.86</v>
      </c>
      <c r="AG184" s="10">
        <v>0</v>
      </c>
      <c r="AH184" t="str">
        <f>CONCATENATE(VLOOKUP(AI184, 'Voxel Sizes'!$A$2:$B$18,2,FALSE),"x",INT(AE184*15), "x", INT(AF184*15))</f>
        <v>152x0x57</v>
      </c>
      <c r="AI184">
        <f t="shared" si="45"/>
        <v>9</v>
      </c>
      <c r="AK184" t="str">
        <f>CONCATENATE(VLOOKUP(AI184,Constants!$A$2:$C$16,IF(AJ184&lt;&gt;"", 3, 2), FALSE),IF(AJ184&lt;&gt;"",CONCATENATE(",",VLOOKUP(AJ184,$B:$AK,36,FALSE)),""))</f>
        <v>2,5,2</v>
      </c>
      <c r="AU184">
        <v>30</v>
      </c>
      <c r="AV184" s="15" t="str">
        <f t="shared" si="46"/>
        <v/>
      </c>
      <c r="AY184">
        <f t="shared" si="47"/>
        <v>17</v>
      </c>
      <c r="AZ184">
        <f t="shared" si="48"/>
        <v>7.75</v>
      </c>
      <c r="BA184">
        <f t="shared" si="49"/>
        <v>10</v>
      </c>
      <c r="BB184" s="3">
        <f t="shared" si="50"/>
        <v>0.92</v>
      </c>
      <c r="BC184">
        <f t="shared" si="51"/>
        <v>0</v>
      </c>
      <c r="BD184">
        <f>VLOOKUP($E184,Constants!$I:$K, 2, FALSE)</f>
        <v>1</v>
      </c>
      <c r="BE184">
        <f>VLOOKUP($E184,Constants!$I:$K, 3, FALSE)*IF(AND(D184="multiple_unit",Y184&lt;110),0.75,1)</f>
        <v>2</v>
      </c>
      <c r="BF184">
        <f>INT(POWER(((Constants!$G$2+$AY184+$AZ184+$BA184+$BC184)*$BB184)*$BE184, 1.05))+$AX184</f>
        <v>90</v>
      </c>
      <c r="BG184">
        <f>INT(POWER((((Constants!$G$1+$AY184+$AZ184+$BA184+$BC184)*($BB184))*$BD184),IF($D184="wagon",1,1.2)))+$AW184</f>
        <v>98</v>
      </c>
      <c r="BH184" s="14">
        <f t="shared" si="52"/>
        <v>70312.5</v>
      </c>
      <c r="BI184" s="14">
        <f t="shared" si="53"/>
        <v>7962.5</v>
      </c>
      <c r="BP184">
        <v>3</v>
      </c>
      <c r="BT184" t="str">
        <f>VLOOKUP(G184,Eras!$A$2:$C$10, 2, TRUE)</f>
        <v>dsl</v>
      </c>
      <c r="BU184" t="s">
        <v>327</v>
      </c>
      <c r="BV184" t="str">
        <f t="shared" si="54"/>
        <v>dsl_Mixed Traffic</v>
      </c>
      <c r="BW184" t="str">
        <f t="shared" si="55"/>
        <v>diesel_RAIL</v>
      </c>
      <c r="BX184" t="str">
        <f>VLOOKUP($BW184, Constants!$M:$N, 2, FALSE)</f>
        <v>{BLACK}Powered by: {GOLD}Diesel</v>
      </c>
      <c r="BY184" t="str">
        <f t="shared" si="65"/>
        <v/>
      </c>
      <c r="BZ184" t="s">
        <v>524</v>
      </c>
      <c r="CA184" t="str">
        <f t="shared" si="64"/>
        <v/>
      </c>
      <c r="CB184" t="str">
        <f t="shared" si="57"/>
        <v>{BLACK}Powered by: {GOLD}Diesel {}{SILVER}The Class 33 was built without carriage heating, using the space for an 8 cylinder engine. This meant it was used for tourist-loaded passenger trains in summer, and freight in winter.</v>
      </c>
    </row>
    <row r="185" spans="1:80" x14ac:dyDescent="0.3">
      <c r="A185" t="s">
        <v>35</v>
      </c>
      <c r="B185" t="s">
        <v>170</v>
      </c>
      <c r="C185">
        <v>320</v>
      </c>
      <c r="D185" t="s">
        <v>263</v>
      </c>
      <c r="E185" t="s">
        <v>273</v>
      </c>
      <c r="F185" t="s">
        <v>275</v>
      </c>
      <c r="G185">
        <v>1961</v>
      </c>
      <c r="H185">
        <v>1964</v>
      </c>
      <c r="I185">
        <v>1975</v>
      </c>
      <c r="K185">
        <v>1700</v>
      </c>
      <c r="T185">
        <v>76.2</v>
      </c>
      <c r="W185">
        <v>207</v>
      </c>
      <c r="X185" s="3">
        <f t="shared" si="44"/>
        <v>0.27165354330708663</v>
      </c>
      <c r="Y185">
        <v>90</v>
      </c>
      <c r="Z185">
        <f t="shared" si="63"/>
        <v>144</v>
      </c>
      <c r="AC185">
        <v>15.76</v>
      </c>
      <c r="AD185">
        <v>15.76</v>
      </c>
      <c r="AF185">
        <v>3.91</v>
      </c>
      <c r="AG185" s="10">
        <v>0</v>
      </c>
      <c r="AH185" t="str">
        <f>CONCATENATE(VLOOKUP(AI185, 'Voxel Sizes'!$A$2:$B$18,2,FALSE),"x",INT(AE185*15), "x", INT(AF185*15))</f>
        <v>152x0x58</v>
      </c>
      <c r="AI185">
        <f t="shared" si="45"/>
        <v>9</v>
      </c>
      <c r="AK185" t="str">
        <f>CONCATENATE(VLOOKUP(AI185,Constants!$A$2:$C$16,IF(AJ185&lt;&gt;"", 3, 2), FALSE),IF(AJ185&lt;&gt;"",CONCATENATE(",",VLOOKUP(AJ185,$B:$AK,36,FALSE)),""))</f>
        <v>2,5,2</v>
      </c>
      <c r="AU185">
        <v>30</v>
      </c>
      <c r="AV185" s="15">
        <f t="shared" si="46"/>
        <v>22</v>
      </c>
      <c r="AY185">
        <f t="shared" si="47"/>
        <v>18</v>
      </c>
      <c r="AZ185">
        <f t="shared" si="48"/>
        <v>8.5</v>
      </c>
      <c r="BA185">
        <f t="shared" si="49"/>
        <v>10.35</v>
      </c>
      <c r="BB185" s="3">
        <f t="shared" si="50"/>
        <v>0.91866666666666663</v>
      </c>
      <c r="BC185">
        <f t="shared" si="51"/>
        <v>0</v>
      </c>
      <c r="BD185">
        <f>VLOOKUP($E185,Constants!$I:$K, 2, FALSE)</f>
        <v>1</v>
      </c>
      <c r="BE185">
        <f>VLOOKUP($E185,Constants!$I:$K, 3, FALSE)*IF(AND(D185="multiple_unit",Y185&lt;110),0.75,1)</f>
        <v>2</v>
      </c>
      <c r="BF185">
        <f>INT(POWER(((Constants!$G$2+$AY185+$AZ185+$BA185+$BC185)*$BB185)*$BE185, 1.05))+$AX185</f>
        <v>95</v>
      </c>
      <c r="BG185">
        <f>INT(POWER((((Constants!$G$1+$AY185+$AZ185+$BA185+$BC185)*($BB185))*$BD185),IF($D185="wagon",1,1.2)))+$AW185</f>
        <v>103</v>
      </c>
      <c r="BH185" s="14">
        <f t="shared" si="52"/>
        <v>74218.75</v>
      </c>
      <c r="BI185" s="14">
        <f t="shared" si="53"/>
        <v>8368.75</v>
      </c>
      <c r="BP185">
        <v>4</v>
      </c>
      <c r="BT185" t="str">
        <f>VLOOKUP(G185,Eras!$A$2:$C$10, 2, TRUE)</f>
        <v>dsl</v>
      </c>
      <c r="BU185" t="s">
        <v>327</v>
      </c>
      <c r="BV185" t="str">
        <f t="shared" si="54"/>
        <v>dsl_Mixed Traffic</v>
      </c>
      <c r="BW185" t="str">
        <f t="shared" si="55"/>
        <v>diesel_RAIL</v>
      </c>
      <c r="BX185" t="str">
        <f>VLOOKUP($BW185, Constants!$M:$N, 2, FALSE)</f>
        <v>{BLACK}Powered by: {GOLD}Diesel</v>
      </c>
      <c r="BY185" t="str">
        <f t="shared" si="65"/>
        <v/>
      </c>
      <c r="BZ185" t="s">
        <v>530</v>
      </c>
      <c r="CA185" t="str">
        <f t="shared" si="64"/>
        <v/>
      </c>
      <c r="CB185" t="str">
        <f t="shared" si="57"/>
        <v>{BLACK}Powered by: {GOLD}Diesel {}{SILVER}The Hymeks were named for their hydraulic transmission. Sadly this also caused their early withdrawal, with BR viewing diesel-hydraulics as non-standard.</v>
      </c>
    </row>
    <row r="186" spans="1:80" x14ac:dyDescent="0.3">
      <c r="A186" t="s">
        <v>37</v>
      </c>
      <c r="B186" t="s">
        <v>171</v>
      </c>
      <c r="C186">
        <v>322</v>
      </c>
      <c r="D186" t="s">
        <v>263</v>
      </c>
      <c r="E186" t="s">
        <v>273</v>
      </c>
      <c r="F186" t="s">
        <v>275</v>
      </c>
      <c r="G186">
        <v>1961</v>
      </c>
      <c r="H186">
        <v>1964</v>
      </c>
      <c r="I186">
        <v>1977</v>
      </c>
      <c r="K186">
        <v>2000</v>
      </c>
      <c r="T186">
        <v>110</v>
      </c>
      <c r="W186">
        <v>297</v>
      </c>
      <c r="X186" s="3">
        <f t="shared" si="44"/>
        <v>0.27</v>
      </c>
      <c r="Y186">
        <v>90</v>
      </c>
      <c r="Z186">
        <f t="shared" si="63"/>
        <v>144</v>
      </c>
      <c r="AC186">
        <v>20.73</v>
      </c>
      <c r="AD186">
        <v>20.73</v>
      </c>
      <c r="AF186">
        <v>3.96</v>
      </c>
      <c r="AG186" s="10">
        <v>0</v>
      </c>
      <c r="AH186" t="str">
        <f>CONCATENATE(VLOOKUP(AI186, 'Voxel Sizes'!$A$2:$B$18,2,FALSE),"x",INT(AE186*15), "x", INT(AF186*15))</f>
        <v>198x0x59</v>
      </c>
      <c r="AI186">
        <f t="shared" si="45"/>
        <v>12</v>
      </c>
      <c r="AK186" t="str">
        <f>CONCATENATE(VLOOKUP(AI186,Constants!$A$2:$C$16,IF(AJ186&lt;&gt;"", 3, 2), FALSE),IF(AJ186&lt;&gt;"",CONCATENATE(",",VLOOKUP(AJ186,$B:$AK,36,FALSE)),""))</f>
        <v>4,4,4</v>
      </c>
      <c r="AU186">
        <v>30</v>
      </c>
      <c r="AV186" s="15">
        <f t="shared" si="46"/>
        <v>24</v>
      </c>
      <c r="AY186">
        <f t="shared" si="47"/>
        <v>18</v>
      </c>
      <c r="AZ186">
        <f t="shared" si="48"/>
        <v>10</v>
      </c>
      <c r="BA186">
        <f t="shared" si="49"/>
        <v>14.850000000000001</v>
      </c>
      <c r="BB186" s="3">
        <f t="shared" si="50"/>
        <v>0.91866666666666663</v>
      </c>
      <c r="BC186">
        <f t="shared" si="51"/>
        <v>0</v>
      </c>
      <c r="BD186">
        <f>VLOOKUP($E186,Constants!$I:$K, 2, FALSE)</f>
        <v>1</v>
      </c>
      <c r="BE186">
        <f>VLOOKUP($E186,Constants!$I:$K, 3, FALSE)*IF(AND(D186="multiple_unit",Y186&lt;110),0.75,1)</f>
        <v>2</v>
      </c>
      <c r="BF186">
        <f>INT(POWER(((Constants!$G$2+$AY186+$AZ186+$BA186+$BC186)*$BB186)*$BE186, 1.05))+$AX186</f>
        <v>109</v>
      </c>
      <c r="BG186">
        <f>INT(POWER((((Constants!$G$1+$AY186+$AZ186+$BA186+$BC186)*($BB186))*$BD186),IF($D186="wagon",1,1.2)))+$AW186</f>
        <v>117</v>
      </c>
      <c r="BH186" s="14">
        <f t="shared" si="52"/>
        <v>85156.25</v>
      </c>
      <c r="BI186" s="14">
        <f t="shared" si="53"/>
        <v>9506.25</v>
      </c>
      <c r="BP186">
        <v>5</v>
      </c>
      <c r="BT186" t="str">
        <f>VLOOKUP(G186,Eras!$A$2:$C$10, 2, TRUE)</f>
        <v>dsl</v>
      </c>
      <c r="BU186" t="s">
        <v>327</v>
      </c>
      <c r="BV186" t="str">
        <f t="shared" si="54"/>
        <v>dsl_Mixed Traffic</v>
      </c>
      <c r="BW186" t="str">
        <f t="shared" si="55"/>
        <v>diesel_RAIL</v>
      </c>
      <c r="BX186" t="str">
        <f>VLOOKUP($BW186, Constants!$M:$N, 2, FALSE)</f>
        <v>{BLACK}Powered by: {GOLD}Diesel</v>
      </c>
      <c r="BY186" t="str">
        <f t="shared" si="65"/>
        <v/>
      </c>
      <c r="BZ186" t="s">
        <v>531</v>
      </c>
      <c r="CA186" t="str">
        <f t="shared" si="64"/>
        <v/>
      </c>
      <c r="CB186" t="str">
        <f t="shared" si="57"/>
        <v>{BLACK}Powered by: {GOLD}Diesel {}{SILVER}The Class 52 was the most powerful of the Western Region's diesel-hydraulic locomotives, pushing the limits of what 1960s transmission technology could achieve.</v>
      </c>
    </row>
    <row r="187" spans="1:80" x14ac:dyDescent="0.3">
      <c r="A187" t="s">
        <v>47</v>
      </c>
      <c r="B187" t="s">
        <v>305</v>
      </c>
      <c r="C187">
        <v>324</v>
      </c>
      <c r="D187" t="s">
        <v>263</v>
      </c>
      <c r="E187" t="s">
        <v>273</v>
      </c>
      <c r="F187" t="s">
        <v>275</v>
      </c>
      <c r="G187">
        <v>1961</v>
      </c>
      <c r="H187">
        <v>1967</v>
      </c>
      <c r="I187">
        <v>1987</v>
      </c>
      <c r="K187">
        <v>1250</v>
      </c>
      <c r="T187">
        <v>74.2</v>
      </c>
      <c r="W187">
        <v>170</v>
      </c>
      <c r="X187" s="3">
        <f t="shared" si="44"/>
        <v>0.22911051212938005</v>
      </c>
      <c r="Y187">
        <v>90</v>
      </c>
      <c r="Z187">
        <f t="shared" si="63"/>
        <v>144</v>
      </c>
      <c r="AC187">
        <v>15.39</v>
      </c>
      <c r="AD187">
        <v>15.39</v>
      </c>
      <c r="AF187">
        <v>3.86</v>
      </c>
      <c r="AG187" s="10">
        <v>0</v>
      </c>
      <c r="AH187" t="str">
        <f>CONCATENATE(VLOOKUP(AI187, 'Voxel Sizes'!$A$2:$B$18,2,FALSE),"x",INT(AE187*15), "x", INT(AF187*15))</f>
        <v>152x0x57</v>
      </c>
      <c r="AI187">
        <f t="shared" si="45"/>
        <v>9</v>
      </c>
      <c r="AK187" t="str">
        <f>CONCATENATE(VLOOKUP(AI187,Constants!$A$2:$C$16,IF(AJ187&lt;&gt;"", 3, 2), FALSE),IF(AJ187&lt;&gt;"",CONCATENATE(",",VLOOKUP(AJ187,$B:$AK,36,FALSE)),""))</f>
        <v>2,5,2</v>
      </c>
      <c r="AU187">
        <v>40</v>
      </c>
      <c r="AV187" s="15">
        <f t="shared" si="46"/>
        <v>34</v>
      </c>
      <c r="AY187">
        <f t="shared" si="47"/>
        <v>18</v>
      </c>
      <c r="AZ187">
        <f t="shared" si="48"/>
        <v>6.25</v>
      </c>
      <c r="BA187">
        <f t="shared" si="49"/>
        <v>8.5</v>
      </c>
      <c r="BB187" s="3">
        <f t="shared" si="50"/>
        <v>0.91866666666666663</v>
      </c>
      <c r="BC187">
        <f t="shared" si="51"/>
        <v>0</v>
      </c>
      <c r="BD187">
        <f>VLOOKUP($E187,Constants!$I:$K, 2, FALSE)</f>
        <v>1</v>
      </c>
      <c r="BE187">
        <f>VLOOKUP($E187,Constants!$I:$K, 3, FALSE)*IF(AND(D187="multiple_unit",Y187&lt;110),0.75,1)</f>
        <v>2</v>
      </c>
      <c r="BF187">
        <f>INT(POWER(((Constants!$G$2+$AY187+$AZ187+$BA187+$BC187)*$BB187)*$BE187, 1.05))+$AX187</f>
        <v>85</v>
      </c>
      <c r="BG187">
        <f>INT(POWER((((Constants!$G$1+$AY187+$AZ187+$BA187+$BC187)*($BB187))*$BD187),IF($D187="wagon",1,1.2)))+$AW187</f>
        <v>93</v>
      </c>
      <c r="BH187" s="14">
        <f t="shared" si="52"/>
        <v>66406.25</v>
      </c>
      <c r="BI187" s="14">
        <f t="shared" si="53"/>
        <v>7556.25</v>
      </c>
      <c r="BP187">
        <v>6</v>
      </c>
      <c r="BT187" t="str">
        <f>VLOOKUP(G187,Eras!$A$2:$C$10, 2, TRUE)</f>
        <v>dsl</v>
      </c>
      <c r="BU187" t="s">
        <v>329</v>
      </c>
      <c r="BV187" t="str">
        <f t="shared" si="54"/>
        <v>dsl_Freight</v>
      </c>
      <c r="BW187" t="str">
        <f t="shared" si="55"/>
        <v>diesel_RAIL</v>
      </c>
      <c r="BX187" t="str">
        <f>VLOOKUP($BW187, Constants!$M:$N, 2, FALSE)</f>
        <v>{BLACK}Powered by: {GOLD}Diesel</v>
      </c>
      <c r="BY187" t="str">
        <f t="shared" si="65"/>
        <v/>
      </c>
      <c r="BZ187" t="s">
        <v>532</v>
      </c>
      <c r="CA187" t="str">
        <f t="shared" si="64"/>
        <v/>
      </c>
      <c r="CB187" t="str">
        <f t="shared" si="57"/>
        <v>{BLACK}Powered by: {GOLD}Diesel {}{SILVER}The Class 25 locomotives became known as "Rats" because they were found all over the British Rail network.</v>
      </c>
    </row>
    <row r="188" spans="1:80" x14ac:dyDescent="0.3">
      <c r="A188" t="s">
        <v>537</v>
      </c>
      <c r="B188" t="s">
        <v>172</v>
      </c>
      <c r="C188">
        <v>326</v>
      </c>
      <c r="D188" t="s">
        <v>263</v>
      </c>
      <c r="E188" t="s">
        <v>273</v>
      </c>
      <c r="F188" t="s">
        <v>275</v>
      </c>
      <c r="G188">
        <v>1962</v>
      </c>
      <c r="H188">
        <v>1968</v>
      </c>
      <c r="K188">
        <v>2750</v>
      </c>
      <c r="T188">
        <v>114</v>
      </c>
      <c r="W188">
        <v>245</v>
      </c>
      <c r="X188" s="3">
        <f t="shared" si="44"/>
        <v>0.21491228070175439</v>
      </c>
      <c r="Y188">
        <v>95</v>
      </c>
      <c r="Z188">
        <f t="shared" si="63"/>
        <v>152</v>
      </c>
      <c r="AC188">
        <v>19.38</v>
      </c>
      <c r="AD188">
        <v>19.38</v>
      </c>
      <c r="AF188">
        <v>3.9</v>
      </c>
      <c r="AG188" s="10">
        <v>0</v>
      </c>
      <c r="AH188" t="str">
        <f>CONCATENATE(VLOOKUP(AI188, 'Voxel Sizes'!$A$2:$B$18,2,FALSE),"x",INT(AE188*15), "x", INT(AF188*15))</f>
        <v>186x0x58</v>
      </c>
      <c r="AI188">
        <f t="shared" si="45"/>
        <v>11</v>
      </c>
      <c r="AK188" t="str">
        <f>CONCATENATE(VLOOKUP(AI188,Constants!$A$2:$C$16,IF(AJ188&lt;&gt;"", 3, 2), FALSE),IF(AJ188&lt;&gt;"",CONCATENATE(",",VLOOKUP(AJ188,$B:$AK,36,FALSE)),""))</f>
        <v>4,3,4</v>
      </c>
      <c r="AU188">
        <v>33</v>
      </c>
      <c r="AV188" s="15" t="str">
        <f t="shared" si="46"/>
        <v/>
      </c>
      <c r="AY188">
        <f t="shared" si="47"/>
        <v>19</v>
      </c>
      <c r="AZ188">
        <f t="shared" si="48"/>
        <v>13.75</v>
      </c>
      <c r="BA188">
        <f t="shared" si="49"/>
        <v>12.25</v>
      </c>
      <c r="BB188" s="3">
        <f t="shared" si="50"/>
        <v>0.91733333333333333</v>
      </c>
      <c r="BC188">
        <f t="shared" si="51"/>
        <v>0</v>
      </c>
      <c r="BD188">
        <f>VLOOKUP($E188,Constants!$I:$K, 2, FALSE)</f>
        <v>1</v>
      </c>
      <c r="BE188">
        <f>VLOOKUP($E188,Constants!$I:$K, 3, FALSE)*IF(AND(D188="multiple_unit",Y188&lt;110),0.75,1)</f>
        <v>2</v>
      </c>
      <c r="BF188">
        <f>INT(POWER(((Constants!$G$2+$AY188+$AZ188+$BA188+$BC188)*$BB188)*$BE188, 1.05))+$AX188</f>
        <v>114</v>
      </c>
      <c r="BG188">
        <f>INT(POWER((((Constants!$G$1+$AY188+$AZ188+$BA188+$BC188)*($BB188))*$BD188),IF($D188="wagon",1,1.2)))+$AW188</f>
        <v>122</v>
      </c>
      <c r="BH188" s="14">
        <f t="shared" si="52"/>
        <v>89062.5</v>
      </c>
      <c r="BI188" s="14">
        <f t="shared" si="53"/>
        <v>9912.5</v>
      </c>
      <c r="BP188">
        <v>7</v>
      </c>
      <c r="BT188" t="str">
        <f>VLOOKUP(G188,Eras!$A$2:$C$10, 2, TRUE)</f>
        <v>dsl</v>
      </c>
      <c r="BU188" t="s">
        <v>329</v>
      </c>
      <c r="BV188" t="str">
        <f t="shared" si="54"/>
        <v>dsl_Freight</v>
      </c>
      <c r="BW188" t="str">
        <f t="shared" si="55"/>
        <v>diesel_RAIL</v>
      </c>
      <c r="BX188" t="str">
        <f>VLOOKUP($BW188, Constants!$M:$N, 2, FALSE)</f>
        <v>{BLACK}Powered by: {GOLD}Diesel</v>
      </c>
      <c r="BY188" t="str">
        <f t="shared" si="65"/>
        <v/>
      </c>
      <c r="BZ188" t="s">
        <v>536</v>
      </c>
      <c r="CA188" t="str">
        <f t="shared" si="64"/>
        <v/>
      </c>
      <c r="CB188" t="str">
        <f t="shared" si="57"/>
        <v>{BLACK}Powered by: {GOLD}Diesel {}{SILVER}The Class 47 diesel-electric arose from BR's desire for a lighter Type 4 (over 2000hp) locomotive, without using the diesel-hydraulic technology favoured by the Western Region.</v>
      </c>
    </row>
    <row r="189" spans="1:80" x14ac:dyDescent="0.3">
      <c r="A189" t="s">
        <v>52</v>
      </c>
      <c r="B189" t="s">
        <v>173</v>
      </c>
      <c r="C189">
        <v>328</v>
      </c>
      <c r="D189" t="s">
        <v>263</v>
      </c>
      <c r="E189" t="s">
        <v>273</v>
      </c>
      <c r="F189" t="s">
        <v>275</v>
      </c>
      <c r="G189">
        <v>1962</v>
      </c>
      <c r="H189">
        <v>1965</v>
      </c>
      <c r="I189">
        <v>1971</v>
      </c>
      <c r="K189">
        <v>900</v>
      </c>
      <c r="T189">
        <v>69</v>
      </c>
      <c r="W189">
        <v>178</v>
      </c>
      <c r="X189" s="3">
        <f t="shared" si="44"/>
        <v>0.25797101449275361</v>
      </c>
      <c r="Y189">
        <v>60</v>
      </c>
      <c r="Z189">
        <f t="shared" si="63"/>
        <v>96</v>
      </c>
      <c r="AC189">
        <v>15.4</v>
      </c>
      <c r="AD189">
        <v>15.4</v>
      </c>
      <c r="AF189">
        <v>3.86</v>
      </c>
      <c r="AG189" s="10">
        <v>0</v>
      </c>
      <c r="AH189" t="str">
        <f>CONCATENATE(VLOOKUP(AI189, 'Voxel Sizes'!$A$2:$B$18,2,FALSE),"x",INT(AE189*15), "x", INT(AF189*15))</f>
        <v>152x0x57</v>
      </c>
      <c r="AI189">
        <f t="shared" si="45"/>
        <v>9</v>
      </c>
      <c r="AK189" t="str">
        <f>CONCATENATE(VLOOKUP(AI189,Constants!$A$2:$C$16,IF(AJ189&lt;&gt;"", 3, 2), FALSE),IF(AJ189&lt;&gt;"",CONCATENATE(",",VLOOKUP(AJ189,$B:$AK,36,FALSE)),""))</f>
        <v>2,5,2</v>
      </c>
      <c r="AU189">
        <v>14</v>
      </c>
      <c r="AV189" s="15">
        <f t="shared" si="46"/>
        <v>17</v>
      </c>
      <c r="AY189">
        <f t="shared" si="47"/>
        <v>12</v>
      </c>
      <c r="AZ189">
        <f t="shared" si="48"/>
        <v>4.5</v>
      </c>
      <c r="BA189">
        <f t="shared" si="49"/>
        <v>8.9</v>
      </c>
      <c r="BB189" s="3">
        <f t="shared" si="50"/>
        <v>0.91733333333333333</v>
      </c>
      <c r="BC189">
        <f t="shared" si="51"/>
        <v>0</v>
      </c>
      <c r="BD189">
        <f>VLOOKUP($E189,Constants!$I:$K, 2, FALSE)</f>
        <v>1</v>
      </c>
      <c r="BE189">
        <f>VLOOKUP($E189,Constants!$I:$K, 3, FALSE)*IF(AND(D189="multiple_unit",Y189&lt;110),0.75,1)</f>
        <v>2</v>
      </c>
      <c r="BF189">
        <f>INT(POWER(((Constants!$G$2+$AY189+$AZ189+$BA189+$BC189)*$BB189)*$BE189, 1.05))+$AX189</f>
        <v>68</v>
      </c>
      <c r="BG189">
        <f>INT(POWER((((Constants!$G$1+$AY189+$AZ189+$BA189+$BC189)*($BB189))*$BD189),IF($D189="wagon",1,1.2)))+$AW189</f>
        <v>76</v>
      </c>
      <c r="BH189" s="14">
        <f t="shared" si="52"/>
        <v>53125</v>
      </c>
      <c r="BI189" s="14">
        <f t="shared" si="53"/>
        <v>6175</v>
      </c>
      <c r="BP189">
        <v>8</v>
      </c>
      <c r="BT189" t="str">
        <f>VLOOKUP(G189,Eras!$A$2:$C$10, 2, TRUE)</f>
        <v>dsl</v>
      </c>
      <c r="BU189" t="s">
        <v>326</v>
      </c>
      <c r="BV189" t="str">
        <f t="shared" si="54"/>
        <v>dsl_Cheap</v>
      </c>
      <c r="BW189" t="str">
        <f t="shared" si="55"/>
        <v>diesel_RAIL</v>
      </c>
      <c r="BX189" t="str">
        <f>VLOOKUP($BW189, Constants!$M:$N, 2, FALSE)</f>
        <v>{BLACK}Powered by: {GOLD}Diesel</v>
      </c>
      <c r="BY189" t="str">
        <f t="shared" si="65"/>
        <v/>
      </c>
      <c r="BZ189" t="s">
        <v>538</v>
      </c>
      <c r="CA189" t="str">
        <f t="shared" si="64"/>
        <v/>
      </c>
      <c r="CB189" t="str">
        <f t="shared" si="57"/>
        <v>{BLACK}Powered by: {GOLD}Diesel {}{SILVER}The Class 17 attempted to solve the problems of visibility from a single cab. It had an unsuccessful life beset by engine reliability problems, and all examples were withdrawn early.</v>
      </c>
    </row>
    <row r="190" spans="1:80" x14ac:dyDescent="0.3">
      <c r="A190" t="s">
        <v>51</v>
      </c>
      <c r="B190" t="s">
        <v>539</v>
      </c>
      <c r="C190">
        <v>330</v>
      </c>
      <c r="D190" t="s">
        <v>263</v>
      </c>
      <c r="E190" t="s">
        <v>273</v>
      </c>
      <c r="F190" t="s">
        <v>275</v>
      </c>
      <c r="G190">
        <v>1964</v>
      </c>
      <c r="H190">
        <v>1965</v>
      </c>
      <c r="I190">
        <v>1984</v>
      </c>
      <c r="K190">
        <v>650</v>
      </c>
      <c r="T190">
        <v>48.5</v>
      </c>
      <c r="W190">
        <v>137</v>
      </c>
      <c r="X190" s="3">
        <f t="shared" si="44"/>
        <v>0.28247422680412371</v>
      </c>
      <c r="Y190">
        <v>40</v>
      </c>
      <c r="Z190">
        <f t="shared" si="63"/>
        <v>64</v>
      </c>
      <c r="AC190">
        <v>10.3</v>
      </c>
      <c r="AD190">
        <v>10.3</v>
      </c>
      <c r="AG190" s="10">
        <v>0</v>
      </c>
      <c r="AH190" t="str">
        <f>CONCATENATE(VLOOKUP(AI190, 'Voxel Sizes'!$A$2:$B$18,2,FALSE),"x",INT(AE190*15), "x", INT(AF190*15))</f>
        <v>102x0x0</v>
      </c>
      <c r="AI190">
        <f t="shared" si="45"/>
        <v>6</v>
      </c>
      <c r="AK190" t="str">
        <f>CONCATENATE(VLOOKUP(AI190,Constants!$A$2:$C$16,IF(AJ190&lt;&gt;"", 3, 2), FALSE),IF(AJ190&lt;&gt;"",CONCATENATE(",",VLOOKUP(AJ190,$B:$AK,36,FALSE)),""))</f>
        <v>2,2,2</v>
      </c>
      <c r="AS190">
        <v>1</v>
      </c>
      <c r="AU190">
        <v>18</v>
      </c>
      <c r="AV190" s="15">
        <f t="shared" si="46"/>
        <v>28</v>
      </c>
      <c r="AY190">
        <f t="shared" si="47"/>
        <v>8</v>
      </c>
      <c r="AZ190">
        <f t="shared" si="48"/>
        <v>3.25</v>
      </c>
      <c r="BA190">
        <f t="shared" si="49"/>
        <v>6.8500000000000005</v>
      </c>
      <c r="BB190" s="3">
        <f t="shared" si="50"/>
        <v>0.91466666666666663</v>
      </c>
      <c r="BC190">
        <f t="shared" si="51"/>
        <v>0</v>
      </c>
      <c r="BD190">
        <f>VLOOKUP($E190,Constants!$I:$K, 2, FALSE)</f>
        <v>1</v>
      </c>
      <c r="BE190">
        <f>VLOOKUP($E190,Constants!$I:$K, 3, FALSE)*IF(AND(D190="multiple_unit",Y190&lt;110),0.75,1)</f>
        <v>2</v>
      </c>
      <c r="BF190">
        <f>INT(POWER(((Constants!$G$2+$AY190+$AZ190+$BA190+$BC190)*$BB190)*$BE190, 1.05))+$AX190</f>
        <v>50</v>
      </c>
      <c r="BG190">
        <f>INT(POWER((((Constants!$G$1+$AY190+$AZ190+$BA190+$BC190)*($BB190))*$BD190),IF($D190="wagon",1,1.2)))+$AW190</f>
        <v>59</v>
      </c>
      <c r="BH190" s="14">
        <f t="shared" si="52"/>
        <v>39062.5</v>
      </c>
      <c r="BI190" s="14">
        <f t="shared" si="53"/>
        <v>4793.75</v>
      </c>
      <c r="BP190">
        <v>9</v>
      </c>
      <c r="BT190" t="str">
        <f>VLOOKUP(G190,Eras!$A$2:$C$10, 2, TRUE)</f>
        <v>dsl</v>
      </c>
      <c r="BU190" t="s">
        <v>326</v>
      </c>
      <c r="BV190" t="str">
        <f t="shared" si="54"/>
        <v>dsl_Cheap</v>
      </c>
      <c r="BW190" t="str">
        <f t="shared" si="55"/>
        <v>diesel_RAIL</v>
      </c>
      <c r="BX190" t="str">
        <f>VLOOKUP($BW190, Constants!$M:$N, 2, FALSE)</f>
        <v>{BLACK}Powered by: {GOLD}Diesel</v>
      </c>
      <c r="BY190" t="str">
        <f t="shared" si="65"/>
        <v/>
      </c>
      <c r="BZ190" t="s">
        <v>540</v>
      </c>
      <c r="CA190" t="str">
        <f t="shared" si="64"/>
        <v/>
      </c>
      <c r="CB190" t="str">
        <f t="shared" si="57"/>
        <v>{BLACK}Powered by: {GOLD}Diesel {}{SILVER}BR envisaged a need  for small diesel locomotives to run short-distance freight trains, but by the end of the 1960s this need had evaporated. The Class 14s were sold to industry, and saw continued use on private railways.</v>
      </c>
    </row>
    <row r="191" spans="1:80" x14ac:dyDescent="0.3">
      <c r="A191" t="s">
        <v>53</v>
      </c>
      <c r="B191" t="s">
        <v>250</v>
      </c>
      <c r="C191">
        <v>332</v>
      </c>
      <c r="D191" t="s">
        <v>263</v>
      </c>
      <c r="E191" t="s">
        <v>541</v>
      </c>
      <c r="F191" t="s">
        <v>275</v>
      </c>
      <c r="G191">
        <v>1965</v>
      </c>
      <c r="H191">
        <v>1967</v>
      </c>
      <c r="K191">
        <v>1420</v>
      </c>
      <c r="L191" s="8">
        <v>600</v>
      </c>
      <c r="T191">
        <v>76.3</v>
      </c>
      <c r="W191">
        <v>186</v>
      </c>
      <c r="X191" s="3">
        <f t="shared" si="44"/>
        <v>0.24377457404980341</v>
      </c>
      <c r="Y191">
        <v>80</v>
      </c>
      <c r="Z191">
        <f t="shared" si="63"/>
        <v>128</v>
      </c>
      <c r="AC191">
        <v>16.36</v>
      </c>
      <c r="AD191">
        <v>16.36</v>
      </c>
      <c r="AG191" s="10">
        <v>0</v>
      </c>
      <c r="AH191" t="str">
        <f>CONCATENATE(VLOOKUP(AI191, 'Voxel Sizes'!$A$2:$B$18,2,FALSE),"x",INT(AE191*15), "x", INT(AF191*15))</f>
        <v>164x0x0</v>
      </c>
      <c r="AI191">
        <f t="shared" si="45"/>
        <v>10</v>
      </c>
      <c r="AK191" t="str">
        <f>CONCATENATE(VLOOKUP(AI191,Constants!$A$2:$C$16,IF(AJ191&lt;&gt;"", 3, 2), FALSE),IF(AJ191&lt;&gt;"",CONCATENATE(",",VLOOKUP(AJ191,$B:$AK,36,FALSE)),""))</f>
        <v>4,2,4</v>
      </c>
      <c r="AU191">
        <v>33</v>
      </c>
      <c r="AV191" s="15" t="str">
        <f t="shared" si="46"/>
        <v/>
      </c>
      <c r="AY191">
        <f t="shared" si="47"/>
        <v>16</v>
      </c>
      <c r="AZ191">
        <f t="shared" si="48"/>
        <v>7.1</v>
      </c>
      <c r="BA191">
        <f t="shared" si="49"/>
        <v>9.3000000000000007</v>
      </c>
      <c r="BB191" s="3">
        <f t="shared" si="50"/>
        <v>0.91333333333333333</v>
      </c>
      <c r="BC191">
        <f t="shared" si="51"/>
        <v>0</v>
      </c>
      <c r="BD191">
        <f>VLOOKUP($E191,Constants!$I:$K, 2, FALSE)</f>
        <v>0.9</v>
      </c>
      <c r="BE191">
        <f>VLOOKUP($E191,Constants!$I:$K, 3, FALSE)*IF(AND(D191="multiple_unit",Y191&lt;110),0.75,1)</f>
        <v>2.5</v>
      </c>
      <c r="BF191">
        <f>INT(POWER(((Constants!$G$2+$AY191+$AZ191+$BA191+$BC191)*$BB191)*$BE191, 1.05))+$AX191</f>
        <v>106</v>
      </c>
      <c r="BG191">
        <f>INT(POWER((((Constants!$G$1+$AY191+$AZ191+$BA191+$BC191)*($BB191))*$BD191),IF($D191="wagon",1,1.2)))+$AW191</f>
        <v>81</v>
      </c>
      <c r="BH191" s="14">
        <f t="shared" si="52"/>
        <v>82812.5</v>
      </c>
      <c r="BI191" s="14">
        <f t="shared" si="53"/>
        <v>6581.25</v>
      </c>
      <c r="BP191">
        <v>10</v>
      </c>
      <c r="BT191" t="str">
        <f>VLOOKUP(G191,Eras!$A$2:$C$10, 2, TRUE)</f>
        <v>dsl</v>
      </c>
      <c r="BV191" t="str">
        <f t="shared" si="54"/>
        <v>dsl_</v>
      </c>
      <c r="BW191" t="str">
        <f t="shared" si="55"/>
        <v>dual_power_RAIL</v>
      </c>
      <c r="BX191" t="str">
        <f>VLOOKUP($BW191, Constants!$M:$N, 2, FALSE)</f>
        <v>{BLACK}Powered by: {GOLD}750V DC / Diesel</v>
      </c>
      <c r="BY191" t="str">
        <f t="shared" si="65"/>
        <v/>
      </c>
      <c r="BZ191" t="s">
        <v>543</v>
      </c>
      <c r="CA191" t="str">
        <f t="shared" si="64"/>
        <v/>
      </c>
      <c r="CB191" t="str">
        <f t="shared" si="57"/>
        <v>{BLACK}Powered by: {GOLD}750V DC / Diesel {}{SILVER}The Class 73 is a dual-power locomotive, running at full power when connected to a third rail supply but carrying a small diesel engine for running on non-electrified track.</v>
      </c>
    </row>
    <row r="192" spans="1:80" x14ac:dyDescent="0.3">
      <c r="A192" t="s">
        <v>60</v>
      </c>
      <c r="B192" t="s">
        <v>251</v>
      </c>
      <c r="C192">
        <v>334</v>
      </c>
      <c r="D192" t="s">
        <v>263</v>
      </c>
      <c r="E192" t="s">
        <v>296</v>
      </c>
      <c r="F192" t="s">
        <v>297</v>
      </c>
      <c r="G192">
        <v>1965</v>
      </c>
      <c r="H192">
        <v>1966</v>
      </c>
      <c r="K192">
        <v>3600</v>
      </c>
      <c r="T192">
        <v>82</v>
      </c>
      <c r="W192">
        <v>267</v>
      </c>
      <c r="X192" s="3">
        <f t="shared" si="44"/>
        <v>0.32560975609756099</v>
      </c>
      <c r="Y192">
        <v>100</v>
      </c>
      <c r="Z192">
        <f t="shared" si="63"/>
        <v>160</v>
      </c>
      <c r="AC192">
        <v>17.829999999999998</v>
      </c>
      <c r="AD192">
        <v>17.829999999999998</v>
      </c>
      <c r="AF192">
        <v>3.77</v>
      </c>
      <c r="AG192" s="10">
        <v>0</v>
      </c>
      <c r="AH192" t="str">
        <f>CONCATENATE(VLOOKUP(AI192, 'Voxel Sizes'!$A$2:$B$18,2,FALSE),"x",INT(AE192*15), "x", INT(AF192*15))</f>
        <v>164x0x56</v>
      </c>
      <c r="AI192">
        <f t="shared" si="45"/>
        <v>10</v>
      </c>
      <c r="AK192" t="str">
        <f>CONCATENATE(VLOOKUP(AI192,Constants!$A$2:$C$16,IF(AJ192&lt;&gt;"", 3, 2), FALSE),IF(AJ192&lt;&gt;"",CONCATENATE(",",VLOOKUP(AJ192,$B:$AK,36,FALSE)),""))</f>
        <v>4,2,4</v>
      </c>
      <c r="AU192">
        <v>37</v>
      </c>
      <c r="AV192" s="15" t="str">
        <f t="shared" si="46"/>
        <v/>
      </c>
      <c r="AY192">
        <f t="shared" si="47"/>
        <v>20</v>
      </c>
      <c r="AZ192">
        <f t="shared" si="48"/>
        <v>18</v>
      </c>
      <c r="BA192">
        <f t="shared" si="49"/>
        <v>13.35</v>
      </c>
      <c r="BB192" s="3">
        <f t="shared" si="50"/>
        <v>0.91333333333333333</v>
      </c>
      <c r="BC192">
        <f t="shared" si="51"/>
        <v>0</v>
      </c>
      <c r="BD192">
        <f>VLOOKUP($E192,Constants!$I:$K, 2, FALSE)</f>
        <v>0.85</v>
      </c>
      <c r="BE192">
        <f>VLOOKUP($E192,Constants!$I:$K, 3, FALSE)*IF(AND(D192="multiple_unit",Y192&lt;110),0.75,1)</f>
        <v>2.2999999999999998</v>
      </c>
      <c r="BF192">
        <f>INT(POWER(((Constants!$G$2+$AY192+$AZ192+$BA192+$BC192)*$BB192)*$BE192, 1.05))+$AX192</f>
        <v>150</v>
      </c>
      <c r="BG192">
        <f>INT(POWER((((Constants!$G$1+$AY192+$AZ192+$BA192+$BC192)*($BB192))*$BD192),IF($D192="wagon",1,1.2)))+$AW192</f>
        <v>113</v>
      </c>
      <c r="BH192" s="14">
        <f t="shared" si="52"/>
        <v>117187.5</v>
      </c>
      <c r="BI192" s="14">
        <f t="shared" si="53"/>
        <v>9181.25</v>
      </c>
      <c r="BP192">
        <v>11</v>
      </c>
      <c r="BT192" t="str">
        <f>VLOOKUP(G192,Eras!$A$2:$C$10, 2, TRUE)</f>
        <v>dsl</v>
      </c>
      <c r="BU192" t="s">
        <v>338</v>
      </c>
      <c r="BV192" t="str">
        <f t="shared" si="54"/>
        <v>dsl_Express (Electric)</v>
      </c>
      <c r="BW192" t="str">
        <f t="shared" si="55"/>
        <v>electric_ELRL</v>
      </c>
      <c r="BX192" t="str">
        <f>VLOOKUP($BW192, Constants!$M:$N, 2, FALSE)</f>
        <v>{BLACK}Powered by: {GOLD}25kV AC</v>
      </c>
      <c r="BY192" t="str">
        <f t="shared" si="65"/>
        <v/>
      </c>
      <c r="BZ192" t="s">
        <v>521</v>
      </c>
      <c r="CA192" t="str">
        <f t="shared" si="64"/>
        <v/>
      </c>
      <c r="CB192" t="str">
        <f t="shared" si="57"/>
        <v>{BLACK}Powered by: {GOLD}25kV AC {}{SILVER}The Class 86 (originally AL6) was BR's first standard electric locomotive, incorporating experience from prototypes such as the Class 81.</v>
      </c>
    </row>
    <row r="193" spans="1:80" x14ac:dyDescent="0.3">
      <c r="A193" t="s">
        <v>43</v>
      </c>
      <c r="B193" t="s">
        <v>174</v>
      </c>
      <c r="C193">
        <v>336</v>
      </c>
      <c r="D193" t="s">
        <v>263</v>
      </c>
      <c r="E193" t="s">
        <v>273</v>
      </c>
      <c r="F193" t="s">
        <v>275</v>
      </c>
      <c r="G193">
        <v>1967</v>
      </c>
      <c r="H193">
        <v>1968</v>
      </c>
      <c r="I193">
        <v>1994</v>
      </c>
      <c r="K193">
        <v>2700</v>
      </c>
      <c r="T193">
        <v>117</v>
      </c>
      <c r="W193">
        <v>216</v>
      </c>
      <c r="X193" s="3">
        <f t="shared" ref="X193:X256" si="66">IF(AND(T193&gt;0,W193&gt;0),(W193/((T193+U193)*10)),"")</f>
        <v>0.18461538461538463</v>
      </c>
      <c r="Y193">
        <v>100</v>
      </c>
      <c r="Z193">
        <f t="shared" si="63"/>
        <v>160</v>
      </c>
      <c r="AC193">
        <v>20.88</v>
      </c>
      <c r="AD193">
        <v>20.88</v>
      </c>
      <c r="AF193">
        <v>3.89</v>
      </c>
      <c r="AG193" s="10">
        <v>0</v>
      </c>
      <c r="AH193" t="str">
        <f>CONCATENATE(VLOOKUP(AI193, 'Voxel Sizes'!$A$2:$B$18,2,FALSE),"x",INT(AE193*15), "x", INT(AF193*15))</f>
        <v>198x0x58</v>
      </c>
      <c r="AI193">
        <f t="shared" si="45"/>
        <v>12</v>
      </c>
      <c r="AK193" t="str">
        <f>CONCATENATE(VLOOKUP(AI193,Constants!$A$2:$C$16,IF(AJ193&lt;&gt;"", 3, 2), FALSE),IF(AJ193&lt;&gt;"",CONCATENATE(",",VLOOKUP(AJ193,$B:$AK,36,FALSE)),""))</f>
        <v>4,4,4</v>
      </c>
      <c r="AU193">
        <v>30</v>
      </c>
      <c r="AV193" s="15">
        <f t="shared" si="46"/>
        <v>35</v>
      </c>
      <c r="AY193">
        <f t="shared" si="47"/>
        <v>20</v>
      </c>
      <c r="AZ193">
        <f t="shared" si="48"/>
        <v>13.5</v>
      </c>
      <c r="BA193">
        <f t="shared" si="49"/>
        <v>10.8</v>
      </c>
      <c r="BB193" s="3">
        <f t="shared" si="50"/>
        <v>0.91066666666666662</v>
      </c>
      <c r="BC193">
        <f t="shared" si="51"/>
        <v>0</v>
      </c>
      <c r="BD193">
        <f>VLOOKUP($E193,Constants!$I:$K, 2, FALSE)</f>
        <v>1</v>
      </c>
      <c r="BE193">
        <f>VLOOKUP($E193,Constants!$I:$K, 3, FALSE)*IF(AND(D193="multiple_unit",Y193&lt;110),0.75,1)</f>
        <v>2</v>
      </c>
      <c r="BF193">
        <f>INT(POWER(((Constants!$G$2+$AY193+$AZ193+$BA193+$BC193)*$BB193)*$BE193, 1.05))+$AX193</f>
        <v>112</v>
      </c>
      <c r="BG193">
        <f>INT(POWER((((Constants!$G$1+$AY193+$AZ193+$BA193+$BC193)*($BB193))*$BD193),IF($D193="wagon",1,1.2)))+$AW193</f>
        <v>119</v>
      </c>
      <c r="BH193" s="14">
        <f t="shared" si="52"/>
        <v>87500</v>
      </c>
      <c r="BI193" s="14">
        <f t="shared" si="53"/>
        <v>9668.75</v>
      </c>
      <c r="BP193">
        <v>12</v>
      </c>
      <c r="BT193" t="str">
        <f>VLOOKUP(G193,Eras!$A$2:$C$10, 2, TRUE)</f>
        <v>dsl</v>
      </c>
      <c r="BU193" t="s">
        <v>328</v>
      </c>
      <c r="BV193" t="str">
        <f t="shared" si="54"/>
        <v>dsl_Express</v>
      </c>
      <c r="BW193" t="str">
        <f t="shared" si="55"/>
        <v>diesel_RAIL</v>
      </c>
      <c r="BX193" t="str">
        <f>VLOOKUP($BW193, Constants!$M:$N, 2, FALSE)</f>
        <v>{BLACK}Powered by: {GOLD}Diesel</v>
      </c>
      <c r="BY193" t="str">
        <f t="shared" si="65"/>
        <v/>
      </c>
      <c r="BZ193" t="s">
        <v>544</v>
      </c>
      <c r="CA193" t="str">
        <f t="shared" si="64"/>
        <v/>
      </c>
      <c r="CB193" t="str">
        <f t="shared" si="57"/>
        <v>{BLACK}Powered by: {GOLD}Diesel {}{SILVER}The Class 50 hauled express services on the West Coast Main Line until electrification, at which point they were used to replace diesel-hydraulic engines in the Western Region.</v>
      </c>
    </row>
    <row r="194" spans="1:80" x14ac:dyDescent="0.3">
      <c r="A194" t="s">
        <v>61</v>
      </c>
      <c r="B194" t="s">
        <v>175</v>
      </c>
      <c r="C194">
        <v>338</v>
      </c>
      <c r="D194" t="s">
        <v>263</v>
      </c>
      <c r="E194" t="s">
        <v>296</v>
      </c>
      <c r="F194" t="s">
        <v>297</v>
      </c>
      <c r="G194">
        <v>1973</v>
      </c>
      <c r="H194">
        <v>1975</v>
      </c>
      <c r="I194">
        <v>2006</v>
      </c>
      <c r="K194">
        <v>5000</v>
      </c>
      <c r="T194">
        <v>81</v>
      </c>
      <c r="W194">
        <v>258</v>
      </c>
      <c r="X194" s="3">
        <f t="shared" si="66"/>
        <v>0.31851851851851853</v>
      </c>
      <c r="Y194">
        <v>110</v>
      </c>
      <c r="Z194">
        <f t="shared" si="63"/>
        <v>176</v>
      </c>
      <c r="AC194">
        <v>17.829999999999998</v>
      </c>
      <c r="AD194">
        <v>17.829999999999998</v>
      </c>
      <c r="AF194">
        <v>3.77</v>
      </c>
      <c r="AG194" s="10">
        <v>0</v>
      </c>
      <c r="AH194" t="str">
        <f>CONCATENATE(VLOOKUP(AI194, 'Voxel Sizes'!$A$2:$B$18,2,FALSE),"x",INT(AE194*15), "x", INT(AF194*15))</f>
        <v>164x0x56</v>
      </c>
      <c r="AI194">
        <f t="shared" ref="AI194:AI257" si="67">ROUND(15*((AD194*10)/256),0)</f>
        <v>10</v>
      </c>
      <c r="AK194" t="str">
        <f>CONCATENATE(VLOOKUP(AI194,Constants!$A$2:$C$16,IF(AJ194&lt;&gt;"", 3, 2), FALSE),IF(AJ194&lt;&gt;"",CONCATENATE(",",VLOOKUP(AJ194,$B:$AK,36,FALSE)),""))</f>
        <v>4,2,4</v>
      </c>
      <c r="AU194">
        <v>30</v>
      </c>
      <c r="AV194" s="15">
        <f t="shared" ref="AV194:AV257" si="68">IF(I194&lt;&gt;"",MAX(16,(I194-G194)+8),"")</f>
        <v>41</v>
      </c>
      <c r="AY194">
        <f t="shared" ref="AY194:AY257" si="69">MIN(Y194/150, 1)*30</f>
        <v>22</v>
      </c>
      <c r="AZ194">
        <f t="shared" ref="AZ194:AZ257" si="70">MIN(K194/4000, 1)*20</f>
        <v>20</v>
      </c>
      <c r="BA194">
        <f t="shared" ref="BA194:BA257" si="71">MIN(W194/400,1)*20</f>
        <v>12.9</v>
      </c>
      <c r="BB194" s="3">
        <f t="shared" ref="BB194:BB257" si="72">1-(MAX(G194-1900, 0)/750)</f>
        <v>0.90266666666666673</v>
      </c>
      <c r="BC194">
        <f t="shared" ref="BC194:BC257" si="73">((MAX($J194,1)*MIN($AG194/300,1)))*IF(D194="Wagon",50,10)</f>
        <v>0</v>
      </c>
      <c r="BD194">
        <f>VLOOKUP($E194,Constants!$I:$K, 2, FALSE)</f>
        <v>0.85</v>
      </c>
      <c r="BE194">
        <f>VLOOKUP($E194,Constants!$I:$K, 3, FALSE)*IF(AND(D194="multiple_unit",Y194&lt;110),0.75,1)</f>
        <v>2.2999999999999998</v>
      </c>
      <c r="BF194">
        <f>INT(POWER(((Constants!$G$2+$AY194+$AZ194+$BA194+$BC194)*$BB194)*$BE194, 1.05))+$AX194</f>
        <v>158</v>
      </c>
      <c r="BG194">
        <f>INT(POWER((((Constants!$G$1+$AY194+$AZ194+$BA194+$BC194)*($BB194))*$BD194),IF($D194="wagon",1,1.2)))+$AW194</f>
        <v>118</v>
      </c>
      <c r="BH194" s="14">
        <f t="shared" ref="BH194:BH257" si="74">BF194*IF($D194="wagon",62.5,781.25)</f>
        <v>123437.5</v>
      </c>
      <c r="BI194" s="14">
        <f t="shared" ref="BI194:BI257" si="75">BG194*IF($D194="wagon",2.73,81.25)</f>
        <v>9587.5</v>
      </c>
      <c r="BP194">
        <v>1</v>
      </c>
      <c r="BT194" t="str">
        <f>VLOOKUP(G194,Eras!$A$2:$C$10, 2, TRUE)</f>
        <v>lbr</v>
      </c>
      <c r="BU194" t="s">
        <v>338</v>
      </c>
      <c r="BV194" t="str">
        <f t="shared" ref="BV194:BV257" si="76">CONCATENATE(BT194,"_",BU194)</f>
        <v>lbr_Express (Electric)</v>
      </c>
      <c r="BW194" t="str">
        <f t="shared" ref="BW194:BW257" si="77">_xlfn.CONCAT(E194, "_",F194)</f>
        <v>electric_ELRL</v>
      </c>
      <c r="BX194" t="str">
        <f>VLOOKUP($BW194, Constants!$M:$N, 2, FALSE)</f>
        <v>{BLACK}Powered by: {GOLD}25kV AC</v>
      </c>
      <c r="BY194" t="str">
        <f t="shared" si="65"/>
        <v/>
      </c>
      <c r="BZ194" t="s">
        <v>545</v>
      </c>
      <c r="CA194" t="str">
        <f t="shared" si="64"/>
        <v/>
      </c>
      <c r="CB194" t="str">
        <f t="shared" ref="CB194:CB257" si="78">_xlfn.CONCAT(BX194,IF(BX194 &lt;&gt; "", " ", ""),BY194,IF(OR(BY194&lt;&gt;"", BX194&lt;&gt;""), "{}",""), CA194,"{SILVER}", BZ194)</f>
        <v>{BLACK}Powered by: {GOLD}25kV AC {}{SILVER}The Class 87 was a further development of the Class 86 with even more power and performance, serving as the flagship of the British Rail electric fleet.</v>
      </c>
    </row>
    <row r="195" spans="1:80" x14ac:dyDescent="0.3">
      <c r="A195" t="s">
        <v>34</v>
      </c>
      <c r="B195" t="s">
        <v>306</v>
      </c>
      <c r="C195">
        <v>340</v>
      </c>
      <c r="D195" t="s">
        <v>263</v>
      </c>
      <c r="E195" t="s">
        <v>273</v>
      </c>
      <c r="F195" t="s">
        <v>275</v>
      </c>
      <c r="G195">
        <v>1975</v>
      </c>
      <c r="H195">
        <v>1982</v>
      </c>
      <c r="I195">
        <v>2021</v>
      </c>
      <c r="K195">
        <v>1770</v>
      </c>
      <c r="T195">
        <v>70.25</v>
      </c>
      <c r="W195">
        <v>160</v>
      </c>
      <c r="X195" s="3">
        <f t="shared" si="66"/>
        <v>0.22775800711743771</v>
      </c>
      <c r="Y195">
        <v>125</v>
      </c>
      <c r="Z195">
        <f t="shared" si="63"/>
        <v>200</v>
      </c>
      <c r="AC195">
        <v>17.79</v>
      </c>
      <c r="AD195">
        <v>17.79</v>
      </c>
      <c r="AG195" s="10">
        <v>0</v>
      </c>
      <c r="AH195" t="str">
        <f>CONCATENATE(VLOOKUP(AI195, 'Voxel Sizes'!$A$2:$B$18,2,FALSE),"x",INT(AE195*15), "x", INT(AF195*15))</f>
        <v>164x0x0</v>
      </c>
      <c r="AI195">
        <f t="shared" si="67"/>
        <v>10</v>
      </c>
      <c r="AK195" t="str">
        <f>CONCATENATE(VLOOKUP(AI195,Constants!$A$2:$C$16,IF(AJ195&lt;&gt;"", 3, 2), FALSE),IF(AJ195&lt;&gt;"",CONCATENATE(",",VLOOKUP(AJ195,$B:$AK,36,FALSE)),""))</f>
        <v>4,2,4</v>
      </c>
      <c r="AU195">
        <v>35</v>
      </c>
      <c r="AV195" s="15">
        <f t="shared" si="68"/>
        <v>54</v>
      </c>
      <c r="AY195">
        <f t="shared" si="69"/>
        <v>25</v>
      </c>
      <c r="AZ195">
        <f t="shared" si="70"/>
        <v>8.85</v>
      </c>
      <c r="BA195">
        <f t="shared" si="71"/>
        <v>8</v>
      </c>
      <c r="BB195" s="3">
        <f t="shared" si="72"/>
        <v>0.9</v>
      </c>
      <c r="BC195">
        <f t="shared" si="73"/>
        <v>0</v>
      </c>
      <c r="BD195">
        <f>VLOOKUP($E195,Constants!$I:$K, 2, FALSE)</f>
        <v>1</v>
      </c>
      <c r="BE195">
        <f>VLOOKUP($E195,Constants!$I:$K, 3, FALSE)*IF(AND(D195="multiple_unit",Y195&lt;110),0.75,1)</f>
        <v>2</v>
      </c>
      <c r="BF195">
        <f>INT(POWER(((Constants!$G$2+$AY195+$AZ195+$BA195+$BC195)*$BB195)*$BE195, 1.05))+$AX195</f>
        <v>105</v>
      </c>
      <c r="BG195">
        <f>INT(POWER((((Constants!$G$1+$AY195+$AZ195+$BA195+$BC195)*($BB195))*$BD195),IF($D195="wagon",1,1.2)))+$AW195</f>
        <v>112</v>
      </c>
      <c r="BH195" s="14">
        <f t="shared" si="74"/>
        <v>82031.25</v>
      </c>
      <c r="BI195" s="14">
        <f t="shared" si="75"/>
        <v>9100</v>
      </c>
      <c r="BJ195">
        <v>1</v>
      </c>
      <c r="BN195">
        <v>1</v>
      </c>
      <c r="BP195">
        <v>2</v>
      </c>
      <c r="BT195" t="str">
        <f>VLOOKUP(G195,Eras!$A$2:$C$10, 2, TRUE)</f>
        <v>lbr</v>
      </c>
      <c r="BU195" t="s">
        <v>328</v>
      </c>
      <c r="BV195" t="str">
        <f t="shared" si="76"/>
        <v>lbr_Express</v>
      </c>
      <c r="BW195" t="str">
        <f t="shared" si="77"/>
        <v>diesel_RAIL</v>
      </c>
      <c r="BX195" t="str">
        <f>VLOOKUP($BW195, Constants!$M:$N, 2, FALSE)</f>
        <v>{BLACK}Powered by: {GOLD}Diesel</v>
      </c>
      <c r="BY195" t="str">
        <f t="shared" si="65"/>
        <v/>
      </c>
      <c r="BZ195" t="s">
        <v>366</v>
      </c>
      <c r="CA195" t="str">
        <f t="shared" si="64"/>
        <v/>
      </c>
      <c r="CB195" t="str">
        <f t="shared" si="78"/>
        <v>{BLACK}Powered by: {GOLD}Diesel {}{SILVER}The Class 43 HST is a high-speed diesel-electric locomotive, also known as the Intercity 125 for its 125mph service speed and intended use on long routes between cities.</v>
      </c>
    </row>
    <row r="196" spans="1:80" x14ac:dyDescent="0.3">
      <c r="A196" t="s">
        <v>546</v>
      </c>
      <c r="B196" t="s">
        <v>548</v>
      </c>
      <c r="C196">
        <v>342</v>
      </c>
      <c r="D196" t="s">
        <v>263</v>
      </c>
      <c r="E196" t="s">
        <v>273</v>
      </c>
      <c r="F196" t="s">
        <v>275</v>
      </c>
      <c r="G196">
        <v>1976</v>
      </c>
      <c r="H196">
        <v>1984</v>
      </c>
      <c r="K196">
        <v>3250</v>
      </c>
      <c r="T196">
        <v>125</v>
      </c>
      <c r="W196">
        <v>275</v>
      </c>
      <c r="X196" s="3">
        <f t="shared" si="66"/>
        <v>0.22</v>
      </c>
      <c r="Y196">
        <v>80</v>
      </c>
      <c r="Z196">
        <f t="shared" si="63"/>
        <v>128</v>
      </c>
      <c r="AC196">
        <v>19.350000000000001</v>
      </c>
      <c r="AD196">
        <v>19.350000000000001</v>
      </c>
      <c r="AF196">
        <v>3.89</v>
      </c>
      <c r="AG196" s="10">
        <v>0</v>
      </c>
      <c r="AH196" t="str">
        <f>CONCATENATE(VLOOKUP(AI196, 'Voxel Sizes'!$A$2:$B$18,2,FALSE),"x",INT(AE196*15), "x", INT(AF196*15))</f>
        <v>186x0x58</v>
      </c>
      <c r="AI196">
        <f t="shared" si="67"/>
        <v>11</v>
      </c>
      <c r="AK196" t="str">
        <f>CONCATENATE(VLOOKUP(AI196,Constants!$A$2:$C$16,IF(AJ196&lt;&gt;"", 3, 2), FALSE),IF(AJ196&lt;&gt;"",CONCATENATE(",",VLOOKUP(AJ196,$B:$AK,36,FALSE)),""))</f>
        <v>4,3,4</v>
      </c>
      <c r="AU196">
        <v>30</v>
      </c>
      <c r="AV196" s="15" t="str">
        <f t="shared" si="68"/>
        <v/>
      </c>
      <c r="AY196">
        <f t="shared" si="69"/>
        <v>16</v>
      </c>
      <c r="AZ196">
        <f t="shared" si="70"/>
        <v>16.25</v>
      </c>
      <c r="BA196">
        <f t="shared" si="71"/>
        <v>13.75</v>
      </c>
      <c r="BB196" s="3">
        <f t="shared" si="72"/>
        <v>0.89866666666666672</v>
      </c>
      <c r="BC196">
        <f t="shared" si="73"/>
        <v>0</v>
      </c>
      <c r="BD196">
        <f>VLOOKUP($E196,Constants!$I:$K, 2, FALSE)</f>
        <v>1</v>
      </c>
      <c r="BE196">
        <f>VLOOKUP($E196,Constants!$I:$K, 3, FALSE)*IF(AND(D196="multiple_unit",Y196&lt;110),0.75,1)</f>
        <v>2</v>
      </c>
      <c r="BF196">
        <f>INT(POWER(((Constants!$G$2+$AY196+$AZ196+$BA196+$BC196)*$BB196)*$BE196, 1.05))+$AX196</f>
        <v>114</v>
      </c>
      <c r="BG196">
        <f>INT(POWER((((Constants!$G$1+$AY196+$AZ196+$BA196+$BC196)*($BB196))*$BD196),IF($D196="wagon",1,1.2)))+$AW196</f>
        <v>122</v>
      </c>
      <c r="BH196" s="14">
        <f t="shared" si="74"/>
        <v>89062.5</v>
      </c>
      <c r="BI196" s="14">
        <f t="shared" si="75"/>
        <v>9912.5</v>
      </c>
      <c r="BP196">
        <v>3</v>
      </c>
      <c r="BT196" t="str">
        <f>VLOOKUP(G196,Eras!$A$2:$C$10, 2, TRUE)</f>
        <v>lbr</v>
      </c>
      <c r="BU196" t="s">
        <v>329</v>
      </c>
      <c r="BV196" t="str">
        <f t="shared" si="76"/>
        <v>lbr_Freight</v>
      </c>
      <c r="BW196" t="str">
        <f t="shared" si="77"/>
        <v>diesel_RAIL</v>
      </c>
      <c r="BX196" t="str">
        <f>VLOOKUP($BW196, Constants!$M:$N, 2, FALSE)</f>
        <v>{BLACK}Powered by: {GOLD}Diesel</v>
      </c>
      <c r="BY196" t="str">
        <f t="shared" si="65"/>
        <v/>
      </c>
      <c r="BZ196" t="s">
        <v>547</v>
      </c>
      <c r="CA196" t="str">
        <f t="shared" si="64"/>
        <v/>
      </c>
      <c r="CB196" t="str">
        <f t="shared" si="78"/>
        <v>{BLACK}Powered by: {GOLD}Diesel {}{SILVER}The Class 56 is designed for heavy freight work. It contains many improvements to the electric drivetrain compared to earlier diesel-electric locomotives, making it more reliable and easier to operate.</v>
      </c>
    </row>
    <row r="197" spans="1:80" x14ac:dyDescent="0.3">
      <c r="A197" t="s">
        <v>44</v>
      </c>
      <c r="B197" t="s">
        <v>559</v>
      </c>
      <c r="C197">
        <v>344</v>
      </c>
      <c r="D197" t="s">
        <v>263</v>
      </c>
      <c r="E197" t="s">
        <v>273</v>
      </c>
      <c r="F197" t="s">
        <v>275</v>
      </c>
      <c r="G197">
        <v>1983</v>
      </c>
      <c r="H197">
        <v>1987</v>
      </c>
      <c r="K197">
        <v>3300</v>
      </c>
      <c r="T197">
        <v>130</v>
      </c>
      <c r="W197">
        <v>267</v>
      </c>
      <c r="X197" s="3">
        <f t="shared" si="66"/>
        <v>0.20538461538461539</v>
      </c>
      <c r="Y197">
        <v>80</v>
      </c>
      <c r="Z197">
        <f t="shared" si="63"/>
        <v>128</v>
      </c>
      <c r="AC197">
        <v>19.13</v>
      </c>
      <c r="AD197">
        <v>19.13</v>
      </c>
      <c r="AF197">
        <v>3.91</v>
      </c>
      <c r="AG197" s="10">
        <v>0</v>
      </c>
      <c r="AH197" t="str">
        <f>CONCATENATE(VLOOKUP(AI197, 'Voxel Sizes'!$A$2:$B$18,2,FALSE),"x",INT(AE197*15), "x", INT(AF197*15))</f>
        <v>186x0x58</v>
      </c>
      <c r="AI197">
        <f t="shared" si="67"/>
        <v>11</v>
      </c>
      <c r="AK197" t="str">
        <f>CONCATENATE(VLOOKUP(AI197,Constants!$A$2:$C$16,IF(AJ197&lt;&gt;"", 3, 2), FALSE),IF(AJ197&lt;&gt;"",CONCATENATE(",",VLOOKUP(AJ197,$B:$AK,36,FALSE)),""))</f>
        <v>4,3,4</v>
      </c>
      <c r="AU197">
        <v>30</v>
      </c>
      <c r="AV197" s="15" t="str">
        <f t="shared" si="68"/>
        <v/>
      </c>
      <c r="AY197">
        <f t="shared" si="69"/>
        <v>16</v>
      </c>
      <c r="AZ197">
        <f t="shared" si="70"/>
        <v>16.5</v>
      </c>
      <c r="BA197">
        <f t="shared" si="71"/>
        <v>13.35</v>
      </c>
      <c r="BB197" s="3">
        <f t="shared" si="72"/>
        <v>0.88933333333333331</v>
      </c>
      <c r="BC197">
        <f t="shared" si="73"/>
        <v>0</v>
      </c>
      <c r="BD197">
        <f>VLOOKUP($E197,Constants!$I:$K, 2, FALSE)</f>
        <v>1</v>
      </c>
      <c r="BE197">
        <f>VLOOKUP($E197,Constants!$I:$K, 3, FALSE)*IF(AND(D197="multiple_unit",Y197&lt;110),0.75,1)</f>
        <v>2</v>
      </c>
      <c r="BF197">
        <f>INT(POWER(((Constants!$G$2+$AY197+$AZ197+$BA197+$BC197)*$BB197)*$BE197, 1.05))+$AX197</f>
        <v>113</v>
      </c>
      <c r="BG197">
        <f>INT(POWER((((Constants!$G$1+$AY197+$AZ197+$BA197+$BC197)*($BB197))*$BD197),IF($D197="wagon",1,1.2)))+$AW197</f>
        <v>120</v>
      </c>
      <c r="BH197" s="14">
        <f t="shared" si="74"/>
        <v>88281.25</v>
      </c>
      <c r="BI197" s="14">
        <f t="shared" si="75"/>
        <v>9750</v>
      </c>
      <c r="BP197">
        <v>4</v>
      </c>
      <c r="BT197" t="str">
        <f>VLOOKUP(G197,Eras!$A$2:$C$10, 2, TRUE)</f>
        <v>lbr</v>
      </c>
      <c r="BU197" t="s">
        <v>329</v>
      </c>
      <c r="BV197" t="str">
        <f t="shared" si="76"/>
        <v>lbr_Freight</v>
      </c>
      <c r="BW197" t="str">
        <f t="shared" si="77"/>
        <v>diesel_RAIL</v>
      </c>
      <c r="BX197" t="str">
        <f>VLOOKUP($BW197, Constants!$M:$N, 2, FALSE)</f>
        <v>{BLACK}Powered by: {GOLD}Diesel</v>
      </c>
      <c r="BY197" t="str">
        <f t="shared" si="65"/>
        <v/>
      </c>
      <c r="BZ197" t="s">
        <v>558</v>
      </c>
      <c r="CA197" t="str">
        <f t="shared" si="64"/>
        <v/>
      </c>
      <c r="CB197" t="str">
        <f t="shared" si="78"/>
        <v>{BLACK}Powered by: {GOLD}Diesel {}{SILVER}The Class 58 used a modular design with replaceable modules mounted to an underframe. It was nicknamed "Bone" after the narrow central section.</v>
      </c>
    </row>
    <row r="198" spans="1:80" x14ac:dyDescent="0.3">
      <c r="A198" t="s">
        <v>33</v>
      </c>
      <c r="B198" t="s">
        <v>176</v>
      </c>
      <c r="C198">
        <v>346</v>
      </c>
      <c r="D198" t="s">
        <v>263</v>
      </c>
      <c r="E198" t="s">
        <v>273</v>
      </c>
      <c r="F198" t="s">
        <v>275</v>
      </c>
      <c r="G198">
        <v>1985</v>
      </c>
      <c r="H198">
        <v>1995</v>
      </c>
      <c r="K198">
        <v>3300</v>
      </c>
      <c r="T198">
        <v>126</v>
      </c>
      <c r="W198">
        <v>290</v>
      </c>
      <c r="X198" s="3">
        <f t="shared" si="66"/>
        <v>0.23015873015873015</v>
      </c>
      <c r="Y198">
        <v>75</v>
      </c>
      <c r="Z198">
        <f t="shared" si="63"/>
        <v>120</v>
      </c>
      <c r="AC198">
        <v>21.4</v>
      </c>
      <c r="AD198">
        <v>21.4</v>
      </c>
      <c r="AF198">
        <v>3.91</v>
      </c>
      <c r="AG198" s="10">
        <v>0</v>
      </c>
      <c r="AH198" t="str">
        <f>CONCATENATE(VLOOKUP(AI198, 'Voxel Sizes'!$A$2:$B$18,2,FALSE),"x",INT(AE198*15), "x", INT(AF198*15))</f>
        <v>214x0x58</v>
      </c>
      <c r="AI198">
        <f t="shared" si="67"/>
        <v>13</v>
      </c>
      <c r="AK198" t="str">
        <f>CONCATENATE(VLOOKUP(AI198,Constants!$A$2:$C$16,IF(AJ198&lt;&gt;"", 3, 2), FALSE),IF(AJ198&lt;&gt;"",CONCATENATE(",",VLOOKUP(AJ198,$B:$AK,36,FALSE)),""))</f>
        <v>4,5,4</v>
      </c>
      <c r="AU198">
        <v>30</v>
      </c>
      <c r="AV198" s="15" t="str">
        <f t="shared" si="68"/>
        <v/>
      </c>
      <c r="AY198">
        <f t="shared" si="69"/>
        <v>15</v>
      </c>
      <c r="AZ198">
        <f t="shared" si="70"/>
        <v>16.5</v>
      </c>
      <c r="BA198">
        <f t="shared" si="71"/>
        <v>14.5</v>
      </c>
      <c r="BB198" s="3">
        <f t="shared" si="72"/>
        <v>0.88666666666666671</v>
      </c>
      <c r="BC198">
        <f t="shared" si="73"/>
        <v>0</v>
      </c>
      <c r="BD198">
        <f>VLOOKUP($E198,Constants!$I:$K, 2, FALSE)</f>
        <v>1</v>
      </c>
      <c r="BE198">
        <f>VLOOKUP($E198,Constants!$I:$K, 3, FALSE)*IF(AND(D198="multiple_unit",Y198&lt;110),0.75,1)</f>
        <v>2</v>
      </c>
      <c r="BF198">
        <f>INT(POWER(((Constants!$G$2+$AY198+$AZ198+$BA198+$BC198)*$BB198)*$BE198, 1.05))+$AX198</f>
        <v>113</v>
      </c>
      <c r="BG198">
        <f>INT(POWER((((Constants!$G$1+$AY198+$AZ198+$BA198+$BC198)*($BB198))*$BD198),IF($D198="wagon",1,1.2)))+$AW198</f>
        <v>120</v>
      </c>
      <c r="BH198" s="14">
        <f t="shared" si="74"/>
        <v>88281.25</v>
      </c>
      <c r="BI198" s="14">
        <f t="shared" si="75"/>
        <v>9750</v>
      </c>
      <c r="BP198">
        <v>5</v>
      </c>
      <c r="BT198" t="str">
        <f>VLOOKUP(G198,Eras!$A$2:$C$10, 2, TRUE)</f>
        <v>lbr</v>
      </c>
      <c r="BU198" t="s">
        <v>329</v>
      </c>
      <c r="BV198" t="str">
        <f t="shared" si="76"/>
        <v>lbr_Freight</v>
      </c>
      <c r="BW198" t="str">
        <f t="shared" si="77"/>
        <v>diesel_RAIL</v>
      </c>
      <c r="BX198" t="str">
        <f>VLOOKUP($BW198, Constants!$M:$N, 2, FALSE)</f>
        <v>{BLACK}Powered by: {GOLD}Diesel</v>
      </c>
      <c r="BY198" t="str">
        <f t="shared" si="65"/>
        <v/>
      </c>
      <c r="BZ198" t="s">
        <v>560</v>
      </c>
      <c r="CA198" t="str">
        <f t="shared" si="64"/>
        <v/>
      </c>
      <c r="CB198" t="str">
        <f t="shared" si="78"/>
        <v>{BLACK}Powered by: {GOLD}Diesel {}{SILVER}The Class 59 is the first US-built locomotive to operate in mainland Great Britain. It is derived from the SD40, with a British cab layout.</v>
      </c>
    </row>
    <row r="199" spans="1:80" x14ac:dyDescent="0.3">
      <c r="A199" t="s">
        <v>1193</v>
      </c>
      <c r="B199" t="s">
        <v>1194</v>
      </c>
      <c r="C199">
        <v>347</v>
      </c>
      <c r="D199" t="s">
        <v>263</v>
      </c>
      <c r="E199" t="s">
        <v>296</v>
      </c>
      <c r="F199" t="s">
        <v>297</v>
      </c>
      <c r="G199">
        <v>1986</v>
      </c>
      <c r="I199">
        <v>2001</v>
      </c>
      <c r="K199">
        <v>5850</v>
      </c>
      <c r="T199">
        <v>105</v>
      </c>
      <c r="W199">
        <v>209</v>
      </c>
      <c r="X199" s="3">
        <f t="shared" si="66"/>
        <v>0.19904761904761906</v>
      </c>
      <c r="Y199">
        <v>125</v>
      </c>
      <c r="Z199">
        <f t="shared" si="63"/>
        <v>200</v>
      </c>
      <c r="AC199">
        <v>19.79</v>
      </c>
      <c r="AD199">
        <v>19.79</v>
      </c>
      <c r="AE199">
        <v>2.73</v>
      </c>
      <c r="AF199">
        <v>3.8</v>
      </c>
      <c r="AH199" t="str">
        <f>CONCATENATE(VLOOKUP(AI199, 'Voxel Sizes'!$A$2:$B$18,2,FALSE),"x",INT(AE199*15), "x", INT(AF199*15))</f>
        <v>198x40x57</v>
      </c>
      <c r="AI199">
        <f t="shared" si="67"/>
        <v>12</v>
      </c>
      <c r="AK199" t="str">
        <f>CONCATENATE(VLOOKUP(AI199,Constants!$A$2:$C$16,IF(AJ199&lt;&gt;"", 3, 2), FALSE),IF(AJ199&lt;&gt;"",CONCATENATE(",",VLOOKUP(AJ199,$B:$AK,36,FALSE)),""))</f>
        <v>4,4,4</v>
      </c>
      <c r="AU199">
        <v>24</v>
      </c>
      <c r="AV199" s="15">
        <f t="shared" si="68"/>
        <v>23</v>
      </c>
      <c r="AW199">
        <v>15</v>
      </c>
      <c r="AX199">
        <v>-30</v>
      </c>
      <c r="AY199">
        <f t="shared" si="69"/>
        <v>25</v>
      </c>
      <c r="AZ199">
        <f t="shared" si="70"/>
        <v>20</v>
      </c>
      <c r="BA199">
        <f t="shared" si="71"/>
        <v>10.45</v>
      </c>
      <c r="BB199" s="3">
        <f t="shared" si="72"/>
        <v>0.88533333333333331</v>
      </c>
      <c r="BC199">
        <f t="shared" si="73"/>
        <v>0</v>
      </c>
      <c r="BD199">
        <f>VLOOKUP($E199,Constants!$I:$K, 2, FALSE)</f>
        <v>0.85</v>
      </c>
      <c r="BE199">
        <f>VLOOKUP($E199,Constants!$I:$K, 3, FALSE)*IF(AND(D199="multiple_unit",Y199&lt;110),0.75,1)</f>
        <v>2.2999999999999998</v>
      </c>
      <c r="BF199">
        <f>INT(POWER(((Constants!$G$2+$AY199+$AZ199+$BA199+$BC199)*$BB199)*$BE199, 1.05))+$AX199</f>
        <v>126</v>
      </c>
      <c r="BG199">
        <f>INT(POWER((((Constants!$G$1+$AY199+$AZ199+$BA199+$BC199)*($BB199))*$BD199),IF($D199="wagon",1,1.2)))+$AW199</f>
        <v>132</v>
      </c>
      <c r="BH199" s="14">
        <f t="shared" si="74"/>
        <v>98437.5</v>
      </c>
      <c r="BI199" s="14">
        <f t="shared" si="75"/>
        <v>10725</v>
      </c>
      <c r="BP199">
        <v>5</v>
      </c>
      <c r="BT199" t="str">
        <f>VLOOKUP(G199,Eras!$A$2:$C$10, 2, TRUE)</f>
        <v>lbr</v>
      </c>
      <c r="BU199" t="s">
        <v>328</v>
      </c>
      <c r="BV199" t="str">
        <f t="shared" si="76"/>
        <v>lbr_Express</v>
      </c>
      <c r="BW199" t="str">
        <f t="shared" si="77"/>
        <v>electric_ELRL</v>
      </c>
      <c r="BX199" t="str">
        <f>VLOOKUP($BW199, Constants!$M:$N, 2, FALSE)</f>
        <v>{BLACK}Powered by: {GOLD}25kV AC</v>
      </c>
      <c r="BY199" t="str">
        <f t="shared" si="65"/>
        <v/>
      </c>
      <c r="BZ199" t="s">
        <v>1228</v>
      </c>
      <c r="CB199" t="str">
        <f t="shared" si="78"/>
        <v>{BLACK}Powered by: {GOLD}25kV AC {}{SILVER}The Class 89 was a prototype express locomotive; unfortunately the specification changed after the prototype was built, and only a single example was completed. It was withdrawn from service twice after major breakdowns.</v>
      </c>
    </row>
    <row r="200" spans="1:80" x14ac:dyDescent="0.3">
      <c r="A200" t="s">
        <v>65</v>
      </c>
      <c r="B200" t="s">
        <v>177</v>
      </c>
      <c r="C200">
        <v>348</v>
      </c>
      <c r="D200" t="s">
        <v>263</v>
      </c>
      <c r="E200" t="s">
        <v>296</v>
      </c>
      <c r="F200" t="s">
        <v>297</v>
      </c>
      <c r="G200">
        <v>1987</v>
      </c>
      <c r="H200">
        <v>1990</v>
      </c>
      <c r="K200">
        <v>5000</v>
      </c>
      <c r="T200">
        <v>84.5</v>
      </c>
      <c r="W200">
        <v>258</v>
      </c>
      <c r="X200" s="3">
        <f t="shared" si="66"/>
        <v>0.30532544378698223</v>
      </c>
      <c r="Y200">
        <v>110</v>
      </c>
      <c r="Z200">
        <f t="shared" si="63"/>
        <v>176</v>
      </c>
      <c r="AC200">
        <v>18.75</v>
      </c>
      <c r="AD200">
        <v>18.75</v>
      </c>
      <c r="AF200">
        <v>3.96</v>
      </c>
      <c r="AG200" s="10">
        <v>0</v>
      </c>
      <c r="AH200" t="str">
        <f>CONCATENATE(VLOOKUP(AI200, 'Voxel Sizes'!$A$2:$B$18,2,FALSE),"x",INT(AE200*15), "x", INT(AF200*15))</f>
        <v>186x0x59</v>
      </c>
      <c r="AI200">
        <f t="shared" si="67"/>
        <v>11</v>
      </c>
      <c r="AK200" t="str">
        <f>CONCATENATE(VLOOKUP(AI200,Constants!$A$2:$C$16,IF(AJ200&lt;&gt;"", 3, 2), FALSE),IF(AJ200&lt;&gt;"",CONCATENATE(",",VLOOKUP(AJ200,$B:$AK,36,FALSE)),""))</f>
        <v>4,3,4</v>
      </c>
      <c r="AU200">
        <v>30</v>
      </c>
      <c r="AV200" s="15" t="str">
        <f t="shared" si="68"/>
        <v/>
      </c>
      <c r="AY200">
        <f t="shared" si="69"/>
        <v>22</v>
      </c>
      <c r="AZ200">
        <f t="shared" si="70"/>
        <v>20</v>
      </c>
      <c r="BA200">
        <f t="shared" si="71"/>
        <v>12.9</v>
      </c>
      <c r="BB200" s="3">
        <f t="shared" si="72"/>
        <v>0.88400000000000001</v>
      </c>
      <c r="BC200">
        <f t="shared" si="73"/>
        <v>0</v>
      </c>
      <c r="BD200">
        <f>VLOOKUP($E200,Constants!$I:$K, 2, FALSE)</f>
        <v>0.85</v>
      </c>
      <c r="BE200">
        <f>VLOOKUP($E200,Constants!$I:$K, 3, FALSE)*IF(AND(D200="multiple_unit",Y200&lt;110),0.75,1)</f>
        <v>2.2999999999999998</v>
      </c>
      <c r="BF200">
        <f>INT(POWER(((Constants!$G$2+$AY200+$AZ200+$BA200+$BC200)*$BB200)*$BE200, 1.05))+$AX200</f>
        <v>154</v>
      </c>
      <c r="BG200">
        <f>INT(POWER((((Constants!$G$1+$AY200+$AZ200+$BA200+$BC200)*($BB200))*$BD200),IF($D200="wagon",1,1.2)))+$AW200</f>
        <v>115</v>
      </c>
      <c r="BH200" s="14">
        <f t="shared" si="74"/>
        <v>120312.5</v>
      </c>
      <c r="BI200" s="14">
        <f t="shared" si="75"/>
        <v>9343.75</v>
      </c>
      <c r="BP200">
        <v>6</v>
      </c>
      <c r="BT200" t="str">
        <f>VLOOKUP(G200,Eras!$A$2:$C$10, 2, TRUE)</f>
        <v>lbr</v>
      </c>
      <c r="BU200" t="s">
        <v>328</v>
      </c>
      <c r="BV200" t="str">
        <f t="shared" si="76"/>
        <v>lbr_Express</v>
      </c>
      <c r="BW200" t="str">
        <f t="shared" si="77"/>
        <v>electric_ELRL</v>
      </c>
      <c r="BX200" t="str">
        <f>VLOOKUP($BW200, Constants!$M:$N, 2, FALSE)</f>
        <v>{BLACK}Powered by: {GOLD}25kV AC</v>
      </c>
      <c r="BY200" t="str">
        <f t="shared" si="65"/>
        <v/>
      </c>
      <c r="BZ200" t="s">
        <v>563</v>
      </c>
      <c r="CA200" t="str">
        <f>IF(BS200="BRAKE","{YELLOW}Speed bonus for slow wagons{}",IF(BQ200&gt;190,CONCATENATE("{YELLOW}",INT((BQ200-185)/1.85),"% Bonus for long distance travel{}"),IF(AND(BQ200&lt;180,BQ200&lt;&gt;0),CONCATENATE("{YELLOW}",INT((185-BQ200)/1.85),"% Penalty for long distance travel{}"),"")))</f>
        <v/>
      </c>
      <c r="CB200" t="str">
        <f t="shared" si="78"/>
        <v>{BLACK}Powered by: {GOLD}25kV AC {}{SILVER}The Class 90 is a powerful electric locomotive. Initially used for Intercity express services, several were also used for freight.</v>
      </c>
    </row>
    <row r="201" spans="1:80" x14ac:dyDescent="0.3">
      <c r="A201" t="s">
        <v>569</v>
      </c>
      <c r="B201" t="s">
        <v>236</v>
      </c>
      <c r="C201">
        <v>350</v>
      </c>
      <c r="D201" t="s">
        <v>263</v>
      </c>
      <c r="E201" t="s">
        <v>296</v>
      </c>
      <c r="F201" t="s">
        <v>297</v>
      </c>
      <c r="G201">
        <v>1988</v>
      </c>
      <c r="H201">
        <v>1991</v>
      </c>
      <c r="K201">
        <v>6480</v>
      </c>
      <c r="T201">
        <v>81.5</v>
      </c>
      <c r="W201">
        <v>190</v>
      </c>
      <c r="X201" s="3">
        <f t="shared" si="66"/>
        <v>0.23312883435582821</v>
      </c>
      <c r="Y201">
        <v>140</v>
      </c>
      <c r="Z201">
        <f t="shared" si="63"/>
        <v>224</v>
      </c>
      <c r="AC201">
        <v>19.399999999999999</v>
      </c>
      <c r="AD201">
        <v>19.399999999999999</v>
      </c>
      <c r="AG201" s="10">
        <v>0</v>
      </c>
      <c r="AH201" t="str">
        <f>CONCATENATE(VLOOKUP(AI201, 'Voxel Sizes'!$A$2:$B$18,2,FALSE),"x",INT(AE201*15), "x", INT(AF201*15))</f>
        <v>186x0x0</v>
      </c>
      <c r="AI201">
        <f t="shared" si="67"/>
        <v>11</v>
      </c>
      <c r="AK201" t="str">
        <f>CONCATENATE(VLOOKUP(AI201,Constants!$A$2:$C$16,IF(AJ201&lt;&gt;"", 3, 2), FALSE),IF(AJ201&lt;&gt;"",CONCATENATE(",",VLOOKUP(AJ201,$B:$AK,36,FALSE)),""))</f>
        <v>4,3,4</v>
      </c>
      <c r="AU201">
        <v>27</v>
      </c>
      <c r="AV201" s="15" t="str">
        <f t="shared" si="68"/>
        <v/>
      </c>
      <c r="AY201">
        <f t="shared" si="69"/>
        <v>28</v>
      </c>
      <c r="AZ201">
        <f t="shared" si="70"/>
        <v>20</v>
      </c>
      <c r="BA201">
        <f t="shared" si="71"/>
        <v>9.5</v>
      </c>
      <c r="BB201" s="3">
        <f t="shared" si="72"/>
        <v>0.88266666666666671</v>
      </c>
      <c r="BC201">
        <f t="shared" si="73"/>
        <v>0</v>
      </c>
      <c r="BD201">
        <f>VLOOKUP($E201,Constants!$I:$K, 2, FALSE)</f>
        <v>0.85</v>
      </c>
      <c r="BE201">
        <f>VLOOKUP($E201,Constants!$I:$K, 3, FALSE)*IF(AND(D201="multiple_unit",Y201&lt;110),0.75,1)</f>
        <v>2.2999999999999998</v>
      </c>
      <c r="BF201">
        <f>INT(POWER(((Constants!$G$2+$AY201+$AZ201+$BA201+$BC201)*$BB201)*$BE201, 1.05))+$AX201</f>
        <v>161</v>
      </c>
      <c r="BG201">
        <f>INT(POWER((((Constants!$G$1+$AY201+$AZ201+$BA201+$BC201)*($BB201))*$BD201),IF($D201="wagon",1,1.2)))+$AW201</f>
        <v>120</v>
      </c>
      <c r="BH201" s="14">
        <f t="shared" si="74"/>
        <v>125781.25</v>
      </c>
      <c r="BI201" s="14">
        <f t="shared" si="75"/>
        <v>9750</v>
      </c>
      <c r="BP201">
        <v>7</v>
      </c>
      <c r="BT201" t="str">
        <f>VLOOKUP(G201,Eras!$A$2:$C$10, 2, TRUE)</f>
        <v>lbr</v>
      </c>
      <c r="BU201" t="s">
        <v>338</v>
      </c>
      <c r="BV201" t="str">
        <f t="shared" si="76"/>
        <v>lbr_Express (Electric)</v>
      </c>
      <c r="BW201" t="str">
        <f t="shared" si="77"/>
        <v>electric_ELRL</v>
      </c>
      <c r="BX201" t="str">
        <f>VLOOKUP($BW201, Constants!$M:$N, 2, FALSE)</f>
        <v>{BLACK}Powered by: {GOLD}25kV AC</v>
      </c>
      <c r="BY201" t="str">
        <f t="shared" si="65"/>
        <v/>
      </c>
      <c r="BZ201" t="s">
        <v>568</v>
      </c>
      <c r="CA201" t="str">
        <f>IF(BS201="BRAKE","{YELLOW}Speed bonus for slow wagons{}",IF(BQ201&gt;190,CONCATENATE("{YELLOW}",INT((BQ201-185)/1.85),"% Bonus for long distance travel{}"),IF(AND(BQ201&lt;180,BQ201&lt;&gt;0),CONCATENATE("{YELLOW}",INT((185-BQ201)/1.85),"% Penalty for long distance travel{}"),"")))</f>
        <v/>
      </c>
      <c r="CB201" t="str">
        <f t="shared" si="78"/>
        <v>{BLACK}Powered by: {GOLD}25kV AC {}{SILVER}The Class 91 is a high speed electric locomotive, designed for Intercity 225 services.</v>
      </c>
    </row>
    <row r="202" spans="1:80" x14ac:dyDescent="0.3">
      <c r="A202" t="s">
        <v>570</v>
      </c>
      <c r="B202" t="s">
        <v>571</v>
      </c>
      <c r="C202">
        <v>352</v>
      </c>
      <c r="D202" t="s">
        <v>263</v>
      </c>
      <c r="E202" t="s">
        <v>1484</v>
      </c>
      <c r="F202" t="s">
        <v>275</v>
      </c>
      <c r="G202">
        <v>1988</v>
      </c>
      <c r="H202">
        <v>1991</v>
      </c>
      <c r="K202">
        <v>100</v>
      </c>
      <c r="T202">
        <v>40</v>
      </c>
      <c r="W202">
        <v>5</v>
      </c>
      <c r="X202" s="3">
        <f t="shared" si="66"/>
        <v>1.2500000000000001E-2</v>
      </c>
      <c r="Y202">
        <v>140</v>
      </c>
      <c r="Z202">
        <f t="shared" si="63"/>
        <v>224</v>
      </c>
      <c r="AC202">
        <v>19.399999999999999</v>
      </c>
      <c r="AD202">
        <v>19.399999999999999</v>
      </c>
      <c r="AG202" s="10">
        <v>36</v>
      </c>
      <c r="AH202" t="str">
        <f>CONCATENATE(VLOOKUP(AI202, 'Voxel Sizes'!$A$2:$B$18,2,FALSE),"x",INT(AE202*15), "x", INT(AF202*15))</f>
        <v>186x0x0</v>
      </c>
      <c r="AI202">
        <f t="shared" si="67"/>
        <v>11</v>
      </c>
      <c r="AK202" t="str">
        <f>CONCATENATE(VLOOKUP(AI202,Constants!$A$2:$C$16,IF(AJ202&lt;&gt;"", 3, 2), FALSE),IF(AJ202&lt;&gt;"",CONCATENATE(",",VLOOKUP(AJ202,$B:$AK,36,FALSE)),""))</f>
        <v>4,3,4</v>
      </c>
      <c r="AU202">
        <v>27</v>
      </c>
      <c r="AV202" s="15" t="str">
        <f t="shared" si="68"/>
        <v/>
      </c>
      <c r="AW202">
        <v>-35</v>
      </c>
      <c r="AX202">
        <v>-60</v>
      </c>
      <c r="AY202">
        <f t="shared" si="69"/>
        <v>28</v>
      </c>
      <c r="AZ202">
        <f t="shared" si="70"/>
        <v>0.5</v>
      </c>
      <c r="BA202">
        <f t="shared" si="71"/>
        <v>0.25</v>
      </c>
      <c r="BB202" s="3">
        <f t="shared" si="72"/>
        <v>0.88266666666666671</v>
      </c>
      <c r="BC202">
        <f t="shared" si="73"/>
        <v>1.2</v>
      </c>
      <c r="BD202">
        <f>VLOOKUP($E202,Constants!$I:$K, 2, FALSE)</f>
        <v>0.85</v>
      </c>
      <c r="BE202">
        <f>VLOOKUP($E202,Constants!$I:$K, 3, FALSE)*IF(AND(D202="multiple_unit",Y202&lt;110),0.75,1)</f>
        <v>2.2999999999999998</v>
      </c>
      <c r="BF202">
        <f>INT(POWER(((Constants!$G$2+$AY202+$AZ202+$BA202+$BC202)*$BB202)*$BE202, 1.05))+$AX202</f>
        <v>27</v>
      </c>
      <c r="BG202">
        <f>INT(POWER((((Constants!$G$1+$AY202+$AZ202+$BA202+$BC202)*($BB202))*$BD202),IF($D202="wagon",1,1.2)))+$AW202</f>
        <v>33</v>
      </c>
      <c r="BH202" s="14">
        <f t="shared" si="74"/>
        <v>21093.75</v>
      </c>
      <c r="BI202" s="14">
        <f t="shared" si="75"/>
        <v>2681.25</v>
      </c>
      <c r="BJ202">
        <v>1</v>
      </c>
      <c r="BK202">
        <v>1</v>
      </c>
      <c r="BP202">
        <v>7</v>
      </c>
      <c r="BS202" t="s">
        <v>652</v>
      </c>
      <c r="BT202" t="str">
        <f>VLOOKUP(G202,Eras!$A$2:$C$10, 2, TRUE)</f>
        <v>lbr</v>
      </c>
      <c r="BU202" t="s">
        <v>338</v>
      </c>
      <c r="BV202" t="str">
        <f t="shared" si="76"/>
        <v>lbr_Express (Electric)</v>
      </c>
      <c r="BW202" t="str">
        <f t="shared" si="77"/>
        <v>none_RAIL</v>
      </c>
      <c r="BX202" t="str">
        <f>VLOOKUP($BW202, Constants!$M:$N, 2, FALSE)</f>
        <v/>
      </c>
      <c r="BY202" t="str">
        <f t="shared" si="65"/>
        <v/>
      </c>
      <c r="BZ202" t="s">
        <v>1486</v>
      </c>
      <c r="CA202" t="str">
        <f>IF(BS202="BRAKE","{YELLOW}Speed bonus for slow wagons{}",IF(BQ202&gt;190,CONCATENATE("{YELLOW}",INT((BQ202-185)/1.85),"% Bonus for long distance travel{}"),IF(AND(BQ202&lt;180,BQ202&lt;&gt;0),CONCATENATE("{YELLOW}",INT((185-BQ202)/1.85),"% Penalty for long distance travel{}"),"")))</f>
        <v/>
      </c>
      <c r="CB202" t="str">
        <f t="shared" si="78"/>
        <v>{SILVER}This driving van trailer can be used with diesel and electric locomotives, either as a leading or trailing vehicle. It is recommended for use with the Class 91.</v>
      </c>
    </row>
    <row r="203" spans="1:80" x14ac:dyDescent="0.3">
      <c r="A203" t="s">
        <v>611</v>
      </c>
      <c r="B203" t="s">
        <v>575</v>
      </c>
      <c r="C203">
        <v>354</v>
      </c>
      <c r="D203" t="s">
        <v>263</v>
      </c>
      <c r="E203" t="s">
        <v>273</v>
      </c>
      <c r="F203" t="s">
        <v>275</v>
      </c>
      <c r="G203">
        <v>1989</v>
      </c>
      <c r="K203">
        <v>3100</v>
      </c>
      <c r="T203">
        <v>129</v>
      </c>
      <c r="W203">
        <v>474</v>
      </c>
      <c r="X203" s="3">
        <f t="shared" si="66"/>
        <v>0.36744186046511629</v>
      </c>
      <c r="Y203">
        <v>60</v>
      </c>
      <c r="Z203">
        <f t="shared" si="63"/>
        <v>96</v>
      </c>
      <c r="AC203">
        <v>21.34</v>
      </c>
      <c r="AD203">
        <v>21.34</v>
      </c>
      <c r="AE203">
        <v>2.64</v>
      </c>
      <c r="AF203">
        <v>3.95</v>
      </c>
      <c r="AG203" s="10">
        <v>0</v>
      </c>
      <c r="AH203" t="str">
        <f>CONCATENATE(VLOOKUP(AI203, 'Voxel Sizes'!$A$2:$B$18,2,FALSE),"x",INT(AE203*15), "x", INT(AF203*15))</f>
        <v>214x39x59</v>
      </c>
      <c r="AI203">
        <f t="shared" si="67"/>
        <v>13</v>
      </c>
      <c r="AK203" t="str">
        <f>CONCATENATE(VLOOKUP(AI203,Constants!$A$2:$C$16,IF(AJ203&lt;&gt;"", 3, 2), FALSE),IF(AJ203&lt;&gt;"",CONCATENATE(",",VLOOKUP(AJ203,$B:$AK,36,FALSE)),""))</f>
        <v>4,5,4</v>
      </c>
      <c r="AU203">
        <v>30</v>
      </c>
      <c r="AV203" s="15" t="str">
        <f t="shared" si="68"/>
        <v/>
      </c>
      <c r="AY203">
        <f t="shared" si="69"/>
        <v>12</v>
      </c>
      <c r="AZ203">
        <f t="shared" si="70"/>
        <v>15.5</v>
      </c>
      <c r="BA203">
        <f t="shared" si="71"/>
        <v>20</v>
      </c>
      <c r="BB203" s="3">
        <f t="shared" si="72"/>
        <v>0.8813333333333333</v>
      </c>
      <c r="BC203">
        <f t="shared" si="73"/>
        <v>0</v>
      </c>
      <c r="BD203">
        <f>VLOOKUP($E203,Constants!$I:$K, 2, FALSE)</f>
        <v>1</v>
      </c>
      <c r="BE203">
        <f>VLOOKUP($E203,Constants!$I:$K, 3, FALSE)*IF(AND(D203="multiple_unit",Y203&lt;110),0.75,1)</f>
        <v>2</v>
      </c>
      <c r="BF203">
        <f>INT(POWER(((Constants!$G$2+$AY203+$AZ203+$BA203+$BC203)*$BB203)*$BE203, 1.05))+$AX203</f>
        <v>116</v>
      </c>
      <c r="BG203">
        <f>INT(POWER((((Constants!$G$1+$AY203+$AZ203+$BA203+$BC203)*($BB203))*$BD203),IF($D203="wagon",1,1.2)))+$AW203</f>
        <v>122</v>
      </c>
      <c r="BH203" s="14">
        <f t="shared" si="74"/>
        <v>90625</v>
      </c>
      <c r="BI203" s="14">
        <f t="shared" si="75"/>
        <v>9912.5</v>
      </c>
      <c r="BP203">
        <v>9</v>
      </c>
      <c r="BT203" t="str">
        <f>VLOOKUP(G203,Eras!$A$2:$C$10, 2, TRUE)</f>
        <v>lbr</v>
      </c>
      <c r="BU203" t="s">
        <v>329</v>
      </c>
      <c r="BV203" t="str">
        <f t="shared" si="76"/>
        <v>lbr_Freight</v>
      </c>
      <c r="BW203" t="str">
        <f t="shared" si="77"/>
        <v>diesel_RAIL</v>
      </c>
      <c r="BX203" t="str">
        <f>VLOOKUP($BW203, Constants!$M:$N, 2, FALSE)</f>
        <v>{BLACK}Powered by: {GOLD}Diesel</v>
      </c>
      <c r="BY203" t="str">
        <f t="shared" si="65"/>
        <v/>
      </c>
      <c r="BZ203" t="s">
        <v>612</v>
      </c>
      <c r="CA203" t="str">
        <f>IF(BS203="BRAKE","{YELLOW}Speed bonus for slow wagons{}",IF(BQ203&gt;190,CONCATENATE("{YELLOW}",INT((BQ203-185)/1.85),"% Bonus for long distance travel{}"),IF(AND(BQ203&lt;180,BQ203&lt;&gt;0),CONCATENATE("{YELLOW}",INT((185-BQ203)/1.85),"% Penalty for long distance travel{}"),"")))</f>
        <v/>
      </c>
      <c r="CB203" t="str">
        <f t="shared" si="78"/>
        <v>{BLACK}Powered by: {GOLD}Diesel {}{SILVER}The Brush Class 60 is a Type 5 diesel, designed for high power and tractive effort to haul heavy freight trains.</v>
      </c>
    </row>
    <row r="204" spans="1:80" x14ac:dyDescent="0.3">
      <c r="A204" t="s">
        <v>1309</v>
      </c>
      <c r="B204" t="s">
        <v>1195</v>
      </c>
      <c r="C204">
        <v>355</v>
      </c>
      <c r="D204" t="s">
        <v>263</v>
      </c>
      <c r="E204" t="s">
        <v>273</v>
      </c>
      <c r="F204" t="s">
        <v>275</v>
      </c>
      <c r="G204">
        <v>1990</v>
      </c>
      <c r="K204">
        <v>1270</v>
      </c>
      <c r="T204">
        <v>90</v>
      </c>
      <c r="W204">
        <v>170</v>
      </c>
      <c r="X204" s="3">
        <f t="shared" si="66"/>
        <v>0.18888888888888888</v>
      </c>
      <c r="Y204">
        <v>62</v>
      </c>
      <c r="Z204">
        <f t="shared" si="63"/>
        <v>99</v>
      </c>
      <c r="AC204">
        <v>14.4</v>
      </c>
      <c r="AD204">
        <v>14.4</v>
      </c>
      <c r="AH204" t="str">
        <f>CONCATENATE(VLOOKUP(AI204, 'Voxel Sizes'!$A$2:$B$18,2,FALSE),"x",INT(AE204*15), "x", INT(AF204*15))</f>
        <v>136x0x0</v>
      </c>
      <c r="AI204">
        <f t="shared" si="67"/>
        <v>8</v>
      </c>
      <c r="AK204" t="str">
        <f>CONCATENATE(VLOOKUP(AI204,Constants!$A$2:$C$16,IF(AJ204&lt;&gt;"", 3, 2), FALSE),IF(AJ204&lt;&gt;"",CONCATENATE(",",VLOOKUP(AJ204,$B:$AK,36,FALSE)),""))</f>
        <v>2,4,2</v>
      </c>
      <c r="AU204">
        <v>34</v>
      </c>
      <c r="AV204" s="15" t="str">
        <f t="shared" si="68"/>
        <v/>
      </c>
      <c r="AX204">
        <v>-16</v>
      </c>
      <c r="AY204">
        <f t="shared" si="69"/>
        <v>12.4</v>
      </c>
      <c r="AZ204">
        <f t="shared" si="70"/>
        <v>6.35</v>
      </c>
      <c r="BA204">
        <f t="shared" si="71"/>
        <v>8.5</v>
      </c>
      <c r="BB204" s="3">
        <f t="shared" si="72"/>
        <v>0.88</v>
      </c>
      <c r="BC204">
        <f t="shared" si="73"/>
        <v>0</v>
      </c>
      <c r="BD204">
        <f>VLOOKUP($E204,Constants!$I:$K, 2, FALSE)</f>
        <v>1</v>
      </c>
      <c r="BE204">
        <f>VLOOKUP($E204,Constants!$I:$K, 3, FALSE)*IF(AND(D204="multiple_unit",Y204&lt;110),0.75,1)</f>
        <v>2</v>
      </c>
      <c r="BF204">
        <f>INT(POWER(((Constants!$G$2+$AY204+$AZ204+$BA204+$BC204)*$BB204)*$BE204, 1.05))+$AX204</f>
        <v>53</v>
      </c>
      <c r="BG204">
        <f>INT(POWER((((Constants!$G$1+$AY204+$AZ204+$BA204+$BC204)*($BB204))*$BD204),IF($D204="wagon",1,1.2)))+$AW204</f>
        <v>76</v>
      </c>
      <c r="BH204" s="14">
        <f t="shared" si="74"/>
        <v>41406.25</v>
      </c>
      <c r="BI204" s="14">
        <f t="shared" si="75"/>
        <v>6175</v>
      </c>
      <c r="BP204">
        <v>6</v>
      </c>
      <c r="BT204" t="str">
        <f>VLOOKUP(G204,Eras!$A$2:$C$10, 2, TRUE)</f>
        <v>lbr</v>
      </c>
      <c r="BU204" t="s">
        <v>326</v>
      </c>
      <c r="BV204" t="str">
        <f t="shared" si="76"/>
        <v>lbr_Cheap</v>
      </c>
      <c r="BW204" t="str">
        <f t="shared" si="77"/>
        <v>diesel_RAIL</v>
      </c>
      <c r="BX204" t="str">
        <f>VLOOKUP($BW204, Constants!$M:$N, 2, FALSE)</f>
        <v>{BLACK}Powered by: {GOLD}Diesel</v>
      </c>
      <c r="BZ204" t="s">
        <v>1409</v>
      </c>
      <c r="CB204" t="str">
        <f t="shared" si="78"/>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5" spans="1:80" x14ac:dyDescent="0.3">
      <c r="A205" t="s">
        <v>596</v>
      </c>
      <c r="B205" t="s">
        <v>178</v>
      </c>
      <c r="C205">
        <v>356</v>
      </c>
      <c r="D205" t="s">
        <v>263</v>
      </c>
      <c r="E205" t="s">
        <v>552</v>
      </c>
      <c r="F205" t="s">
        <v>551</v>
      </c>
      <c r="G205">
        <v>1993</v>
      </c>
      <c r="H205">
        <v>1996</v>
      </c>
      <c r="K205">
        <v>6760</v>
      </c>
      <c r="L205" s="8">
        <v>5360</v>
      </c>
      <c r="T205">
        <v>126</v>
      </c>
      <c r="W205">
        <v>360</v>
      </c>
      <c r="X205" s="3">
        <f t="shared" si="66"/>
        <v>0.2857142857142857</v>
      </c>
      <c r="Y205">
        <v>87</v>
      </c>
      <c r="Z205">
        <f t="shared" si="63"/>
        <v>139</v>
      </c>
      <c r="AC205">
        <v>21.36</v>
      </c>
      <c r="AD205">
        <v>21.36</v>
      </c>
      <c r="AG205" s="10">
        <v>0</v>
      </c>
      <c r="AH205" t="str">
        <f>CONCATENATE(VLOOKUP(AI205, 'Voxel Sizes'!$A$2:$B$18,2,FALSE),"x",INT(AE205*15), "x", INT(AF205*15))</f>
        <v>214x0x0</v>
      </c>
      <c r="AI205">
        <f t="shared" si="67"/>
        <v>13</v>
      </c>
      <c r="AK205" t="str">
        <f>CONCATENATE(VLOOKUP(AI205,Constants!$A$2:$C$16,IF(AJ205&lt;&gt;"", 3, 2), FALSE),IF(AJ205&lt;&gt;"",CONCATENATE(",",VLOOKUP(AJ205,$B:$AK,36,FALSE)),""))</f>
        <v>4,5,4</v>
      </c>
      <c r="AP205" t="s">
        <v>178</v>
      </c>
      <c r="AU205">
        <v>24</v>
      </c>
      <c r="AV205" s="15" t="str">
        <f t="shared" si="68"/>
        <v/>
      </c>
      <c r="AY205">
        <f t="shared" si="69"/>
        <v>17.399999999999999</v>
      </c>
      <c r="AZ205">
        <f t="shared" si="70"/>
        <v>20</v>
      </c>
      <c r="BA205">
        <f t="shared" si="71"/>
        <v>18</v>
      </c>
      <c r="BB205" s="3">
        <f t="shared" si="72"/>
        <v>0.876</v>
      </c>
      <c r="BC205">
        <f t="shared" si="73"/>
        <v>0</v>
      </c>
      <c r="BD205">
        <f>VLOOKUP($E205,Constants!$I:$K, 2, FALSE)</f>
        <v>0.85</v>
      </c>
      <c r="BE205">
        <f>VLOOKUP($E205,Constants!$I:$K, 3, FALSE)*IF(AND(D205="multiple_unit",Y205&lt;110),0.75,1)</f>
        <v>2.4</v>
      </c>
      <c r="BF205">
        <f>INT(POWER(((Constants!$G$2+$AY205+$AZ205+$BA205+$BC205)*$BB205)*$BE205, 1.05))+$AX205</f>
        <v>161</v>
      </c>
      <c r="BG205">
        <f>INT(POWER((((Constants!$G$1+$AY205+$AZ205+$BA205+$BC205)*($BB205))*$BD205),IF($D205="wagon",1,1.2)))+$AW205</f>
        <v>115</v>
      </c>
      <c r="BH205" s="14">
        <f t="shared" si="74"/>
        <v>125781.25</v>
      </c>
      <c r="BI205" s="14">
        <f t="shared" si="75"/>
        <v>9343.75</v>
      </c>
      <c r="BP205">
        <v>10</v>
      </c>
      <c r="BT205" t="str">
        <f>VLOOKUP(G205,Eras!$A$2:$C$10, 2, TRUE)</f>
        <v>lbr</v>
      </c>
      <c r="BU205" t="s">
        <v>329</v>
      </c>
      <c r="BV205" t="str">
        <f t="shared" si="76"/>
        <v>lbr_Freight</v>
      </c>
      <c r="BW205" t="str">
        <f t="shared" si="77"/>
        <v>dual_electric_DUAL_POWER</v>
      </c>
      <c r="BX205" t="str">
        <f>VLOOKUP($BW205, Constants!$M:$N, 2, FALSE)</f>
        <v>{BLACK}Powered by: {GOLD}25kV AC / 750V DC</v>
      </c>
      <c r="BY205" t="str">
        <f t="shared" ref="BY205:BY245" si="79">IF(J205&gt;1,_xlfn.CONCAT("{BLACK}Cars: {GOLD}", J205),"")</f>
        <v/>
      </c>
      <c r="BZ205" t="s">
        <v>580</v>
      </c>
      <c r="CA205" t="str">
        <f t="shared" ref="CA205:CA245" si="80">IF(BS205="BRAKE","{YELLOW}Speed bonus for slow wagons{}",IF(BQ205&gt;190,CONCATENATE("{YELLOW}",INT((BQ205-185)/1.85),"% Bonus for long distance travel{}"),IF(AND(BQ205&lt;180,BQ205&lt;&gt;0),CONCATENATE("{YELLOW}",INT((185-BQ205)/1.85),"% Penalty for long distance travel{}"),"")))</f>
        <v/>
      </c>
      <c r="CB205" t="str">
        <f t="shared" si="78"/>
        <v>{BLACK}Powered by: {GOLD}25kV AC / 750V DC {}{SILVER}The Class 92 was designed to operate services through the Channel Tunnel. It can run on both the Southern Region third rail system and overhead wires.</v>
      </c>
    </row>
    <row r="206" spans="1:80" x14ac:dyDescent="0.3">
      <c r="A206" t="s">
        <v>45</v>
      </c>
      <c r="B206" t="s">
        <v>179</v>
      </c>
      <c r="C206">
        <v>358</v>
      </c>
      <c r="D206" t="s">
        <v>263</v>
      </c>
      <c r="E206" t="s">
        <v>273</v>
      </c>
      <c r="F206" t="s">
        <v>275</v>
      </c>
      <c r="G206">
        <v>1998</v>
      </c>
      <c r="H206">
        <v>2015</v>
      </c>
      <c r="K206">
        <v>3300</v>
      </c>
      <c r="T206">
        <v>129.6</v>
      </c>
      <c r="W206">
        <v>260</v>
      </c>
      <c r="X206" s="3">
        <f t="shared" si="66"/>
        <v>0.20061728395061729</v>
      </c>
      <c r="Y206">
        <v>75</v>
      </c>
      <c r="Z206">
        <f t="shared" si="63"/>
        <v>120</v>
      </c>
      <c r="AC206">
        <v>21.4</v>
      </c>
      <c r="AD206">
        <v>21.4</v>
      </c>
      <c r="AF206">
        <v>3.9</v>
      </c>
      <c r="AG206" s="10">
        <v>0</v>
      </c>
      <c r="AH206" t="str">
        <f>CONCATENATE(VLOOKUP(AI206, 'Voxel Sizes'!$A$2:$B$18,2,FALSE),"x",INT(AE206*15), "x", INT(AF206*15))</f>
        <v>214x0x58</v>
      </c>
      <c r="AI206">
        <f t="shared" si="67"/>
        <v>13</v>
      </c>
      <c r="AK206" t="str">
        <f>CONCATENATE(VLOOKUP(AI206,Constants!$A$2:$C$16,IF(AJ206&lt;&gt;"", 3, 2), FALSE),IF(AJ206&lt;&gt;"",CONCATENATE(",",VLOOKUP(AJ206,$B:$AK,36,FALSE)),""))</f>
        <v>4,5,4</v>
      </c>
      <c r="AU206">
        <v>30</v>
      </c>
      <c r="AV206" s="15" t="str">
        <f t="shared" si="68"/>
        <v/>
      </c>
      <c r="AY206">
        <f t="shared" si="69"/>
        <v>15</v>
      </c>
      <c r="AZ206">
        <f t="shared" si="70"/>
        <v>16.5</v>
      </c>
      <c r="BA206">
        <f t="shared" si="71"/>
        <v>13</v>
      </c>
      <c r="BB206" s="3">
        <f t="shared" si="72"/>
        <v>0.86933333333333329</v>
      </c>
      <c r="BC206">
        <f t="shared" si="73"/>
        <v>0</v>
      </c>
      <c r="BD206">
        <f>VLOOKUP($E206,Constants!$I:$K, 2, FALSE)</f>
        <v>1</v>
      </c>
      <c r="BE206">
        <f>VLOOKUP($E206,Constants!$I:$K, 3, FALSE)*IF(AND(D206="multiple_unit",Y206&lt;110),0.75,1)</f>
        <v>2</v>
      </c>
      <c r="BF206">
        <f>INT(POWER(((Constants!$G$2+$AY206+$AZ206+$BA206+$BC206)*$BB206)*$BE206, 1.05))+$AX206</f>
        <v>107</v>
      </c>
      <c r="BG206">
        <f>INT(POWER((((Constants!$G$1+$AY206+$AZ206+$BA206+$BC206)*($BB206))*$BD206),IF($D206="wagon",1,1.2)))+$AW206</f>
        <v>113</v>
      </c>
      <c r="BH206" s="14">
        <f t="shared" si="74"/>
        <v>83593.75</v>
      </c>
      <c r="BI206" s="14">
        <f t="shared" si="75"/>
        <v>9181.25</v>
      </c>
      <c r="BP206">
        <v>11</v>
      </c>
      <c r="BT206" t="str">
        <f>VLOOKUP(G206,Eras!$A$2:$C$10, 2, TRUE)</f>
        <v>prv</v>
      </c>
      <c r="BU206" t="s">
        <v>329</v>
      </c>
      <c r="BV206" t="str">
        <f t="shared" si="76"/>
        <v>prv_Freight</v>
      </c>
      <c r="BW206" t="str">
        <f t="shared" si="77"/>
        <v>diesel_RAIL</v>
      </c>
      <c r="BX206" t="str">
        <f>VLOOKUP($BW206, Constants!$M:$N, 2, FALSE)</f>
        <v>{BLACK}Powered by: {GOLD}Diesel</v>
      </c>
      <c r="BY206" t="str">
        <f t="shared" si="79"/>
        <v/>
      </c>
      <c r="BZ206" t="s">
        <v>561</v>
      </c>
      <c r="CA206" t="str">
        <f t="shared" si="80"/>
        <v/>
      </c>
      <c r="CB206" t="str">
        <f t="shared" si="78"/>
        <v>{BLACK}Powered by: {GOLD}Diesel {}{SILVER}After the successful introduction of the Class 59, EWS approached GM's Electro-Motive diesel with a huge order of 250 locomotives which would become Class 66.</v>
      </c>
    </row>
    <row r="207" spans="1:80" x14ac:dyDescent="0.3">
      <c r="A207" t="s">
        <v>128</v>
      </c>
      <c r="B207" t="s">
        <v>235</v>
      </c>
      <c r="C207">
        <v>360</v>
      </c>
      <c r="D207" t="s">
        <v>263</v>
      </c>
      <c r="E207" t="s">
        <v>273</v>
      </c>
      <c r="F207" t="s">
        <v>275</v>
      </c>
      <c r="G207">
        <v>1998</v>
      </c>
      <c r="H207">
        <v>2004</v>
      </c>
      <c r="K207">
        <v>3000</v>
      </c>
      <c r="T207">
        <v>120.6</v>
      </c>
      <c r="W207">
        <v>250</v>
      </c>
      <c r="X207" s="3">
        <f t="shared" si="66"/>
        <v>0.20729684908789386</v>
      </c>
      <c r="Y207">
        <v>95</v>
      </c>
      <c r="Z207">
        <f t="shared" si="63"/>
        <v>152</v>
      </c>
      <c r="AC207">
        <v>19.38</v>
      </c>
      <c r="AD207">
        <v>19.38</v>
      </c>
      <c r="AF207">
        <v>3.9</v>
      </c>
      <c r="AG207" s="10">
        <v>0</v>
      </c>
      <c r="AH207" t="str">
        <f>CONCATENATE(VLOOKUP(AI207, 'Voxel Sizes'!$A$2:$B$18,2,FALSE),"x",INT(AE207*15), "x", INT(AF207*15))</f>
        <v>186x0x58</v>
      </c>
      <c r="AI207">
        <f t="shared" si="67"/>
        <v>11</v>
      </c>
      <c r="AK207" t="str">
        <f>CONCATENATE(VLOOKUP(AI207,Constants!$A$2:$C$16,IF(AJ207&lt;&gt;"", 3, 2), FALSE),IF(AJ207&lt;&gt;"",CONCATENATE(",",VLOOKUP(AJ207,$B:$AK,36,FALSE)),""))</f>
        <v>4,3,4</v>
      </c>
      <c r="AU207">
        <v>30</v>
      </c>
      <c r="AV207" s="15" t="str">
        <f t="shared" si="68"/>
        <v/>
      </c>
      <c r="AY207">
        <f t="shared" si="69"/>
        <v>19</v>
      </c>
      <c r="AZ207">
        <f t="shared" si="70"/>
        <v>15</v>
      </c>
      <c r="BA207">
        <f t="shared" si="71"/>
        <v>12.5</v>
      </c>
      <c r="BB207" s="3">
        <f t="shared" si="72"/>
        <v>0.86933333333333329</v>
      </c>
      <c r="BC207">
        <f t="shared" si="73"/>
        <v>0</v>
      </c>
      <c r="BD207">
        <f>VLOOKUP($E207,Constants!$I:$K, 2, FALSE)</f>
        <v>1</v>
      </c>
      <c r="BE207">
        <f>VLOOKUP($E207,Constants!$I:$K, 3, FALSE)*IF(AND(D207="multiple_unit",Y207&lt;110),0.75,1)</f>
        <v>2</v>
      </c>
      <c r="BF207">
        <f>INT(POWER(((Constants!$G$2+$AY207+$AZ207+$BA207+$BC207)*$BB207)*$BE207, 1.05))+$AX207</f>
        <v>112</v>
      </c>
      <c r="BG207">
        <f>INT(POWER((((Constants!$G$1+$AY207+$AZ207+$BA207+$BC207)*($BB207))*$BD207),IF($D207="wagon",1,1.2)))+$AW207</f>
        <v>118</v>
      </c>
      <c r="BH207" s="14">
        <f t="shared" si="74"/>
        <v>87500</v>
      </c>
      <c r="BI207" s="14">
        <f t="shared" si="75"/>
        <v>9587.5</v>
      </c>
      <c r="BP207">
        <v>12</v>
      </c>
      <c r="BT207" t="str">
        <f>VLOOKUP(G207,Eras!$A$2:$C$10, 2, TRUE)</f>
        <v>prv</v>
      </c>
      <c r="BU207" t="s">
        <v>329</v>
      </c>
      <c r="BV207" t="str">
        <f t="shared" si="76"/>
        <v>prv_Freight</v>
      </c>
      <c r="BW207" t="str">
        <f t="shared" si="77"/>
        <v>diesel_RAIL</v>
      </c>
      <c r="BX207" t="str">
        <f>VLOOKUP($BW207, Constants!$M:$N, 2, FALSE)</f>
        <v>{BLACK}Powered by: {GOLD}Diesel</v>
      </c>
      <c r="BY207" t="str">
        <f t="shared" si="79"/>
        <v/>
      </c>
      <c r="BZ207" t="s">
        <v>562</v>
      </c>
      <c r="CA207" t="str">
        <f t="shared" si="80"/>
        <v/>
      </c>
      <c r="CB207" t="str">
        <f t="shared" si="78"/>
        <v>{BLACK}Powered by: {GOLD}Diesel {}{SILVER}The Class 57 is a re-engineered locomotive using Class 47 bodyshells and parts, giving rise to its "Bodysnatcher" nickname.</v>
      </c>
    </row>
    <row r="208" spans="1:80" x14ac:dyDescent="0.3">
      <c r="A208" t="s">
        <v>595</v>
      </c>
      <c r="B208" t="s">
        <v>579</v>
      </c>
      <c r="C208">
        <v>362</v>
      </c>
      <c r="D208" t="s">
        <v>263</v>
      </c>
      <c r="E208" t="s">
        <v>273</v>
      </c>
      <c r="F208" t="s">
        <v>275</v>
      </c>
      <c r="G208">
        <v>1999</v>
      </c>
      <c r="H208">
        <v>2000</v>
      </c>
      <c r="K208">
        <v>3200</v>
      </c>
      <c r="T208">
        <v>88</v>
      </c>
      <c r="W208">
        <v>144</v>
      </c>
      <c r="X208" s="3">
        <f t="shared" si="66"/>
        <v>0.16363636363636364</v>
      </c>
      <c r="Y208">
        <v>125</v>
      </c>
      <c r="Z208">
        <f t="shared" si="63"/>
        <v>200</v>
      </c>
      <c r="AC208">
        <v>19.71</v>
      </c>
      <c r="AD208">
        <v>19.71</v>
      </c>
      <c r="AF208">
        <v>3.93</v>
      </c>
      <c r="AG208" s="10">
        <v>0</v>
      </c>
      <c r="AH208" t="str">
        <f>CONCATENATE(VLOOKUP(AI208, 'Voxel Sizes'!$A$2:$B$18,2,FALSE),"x",INT(AE208*15), "x", INT(AF208*15))</f>
        <v>198x0x58</v>
      </c>
      <c r="AI208">
        <f t="shared" si="67"/>
        <v>12</v>
      </c>
      <c r="AK208" t="str">
        <f>CONCATENATE(VLOOKUP(AI208,Constants!$A$2:$C$16,IF(AJ208&lt;&gt;"", 3, 2), FALSE),IF(AJ208&lt;&gt;"",CONCATENATE(",",VLOOKUP(AJ208,$B:$AK,36,FALSE)),""))</f>
        <v>4,4,4</v>
      </c>
      <c r="AU208">
        <v>30</v>
      </c>
      <c r="AV208" s="15" t="str">
        <f t="shared" si="68"/>
        <v/>
      </c>
      <c r="AY208">
        <f t="shared" si="69"/>
        <v>25</v>
      </c>
      <c r="AZ208">
        <f t="shared" si="70"/>
        <v>16</v>
      </c>
      <c r="BA208">
        <f t="shared" si="71"/>
        <v>7.1999999999999993</v>
      </c>
      <c r="BB208" s="3">
        <f t="shared" si="72"/>
        <v>0.86799999999999999</v>
      </c>
      <c r="BC208">
        <f t="shared" si="73"/>
        <v>0</v>
      </c>
      <c r="BD208">
        <f>VLOOKUP($E208,Constants!$I:$K, 2, FALSE)</f>
        <v>1</v>
      </c>
      <c r="BE208">
        <f>VLOOKUP($E208,Constants!$I:$K, 3, FALSE)*IF(AND(D208="multiple_unit",Y208&lt;110),0.75,1)</f>
        <v>2</v>
      </c>
      <c r="BF208">
        <f>INT(POWER(((Constants!$G$2+$AY208+$AZ208+$BA208+$BC208)*$BB208)*$BE208, 1.05))+$AX208</f>
        <v>115</v>
      </c>
      <c r="BG208">
        <f>INT(POWER((((Constants!$G$1+$AY208+$AZ208+$BA208+$BC208)*($BB208))*$BD208),IF($D208="wagon",1,1.2)))+$AW208</f>
        <v>122</v>
      </c>
      <c r="BH208" s="14">
        <f t="shared" si="74"/>
        <v>89843.75</v>
      </c>
      <c r="BI208" s="14">
        <f t="shared" si="75"/>
        <v>9912.5</v>
      </c>
      <c r="BP208">
        <v>1</v>
      </c>
      <c r="BT208" t="str">
        <f>VLOOKUP(G208,Eras!$A$2:$C$10, 2, TRUE)</f>
        <v>prv</v>
      </c>
      <c r="BU208" t="s">
        <v>329</v>
      </c>
      <c r="BV208" t="str">
        <f t="shared" si="76"/>
        <v>prv_Freight</v>
      </c>
      <c r="BW208" t="str">
        <f t="shared" si="77"/>
        <v>diesel_RAIL</v>
      </c>
      <c r="BX208" t="str">
        <f>VLOOKUP($BW208, Constants!$M:$N, 2, FALSE)</f>
        <v>{BLACK}Powered by: {GOLD}Diesel</v>
      </c>
      <c r="BY208" t="str">
        <f t="shared" si="79"/>
        <v/>
      </c>
      <c r="BZ208" t="s">
        <v>578</v>
      </c>
      <c r="CA208" t="str">
        <f t="shared" si="80"/>
        <v/>
      </c>
      <c r="CB208" t="str">
        <f t="shared" si="78"/>
        <v>{BLACK}Powered by: {GOLD}Diesel {}{SILVER}The Class 67 is a high speed freight locomotive designed for mail service. It uses EMD engines, generators and traction motors.</v>
      </c>
    </row>
    <row r="209" spans="1:80" x14ac:dyDescent="0.3">
      <c r="A209" t="s">
        <v>50</v>
      </c>
      <c r="B209" t="s">
        <v>180</v>
      </c>
      <c r="C209">
        <v>364</v>
      </c>
      <c r="D209" t="s">
        <v>263</v>
      </c>
      <c r="E209" t="s">
        <v>273</v>
      </c>
      <c r="F209" t="s">
        <v>275</v>
      </c>
      <c r="G209">
        <v>2008</v>
      </c>
      <c r="H209">
        <v>2017</v>
      </c>
      <c r="K209">
        <v>3690</v>
      </c>
      <c r="T209">
        <v>129</v>
      </c>
      <c r="W209">
        <v>330</v>
      </c>
      <c r="X209" s="3">
        <f t="shared" si="66"/>
        <v>0.2558139534883721</v>
      </c>
      <c r="Y209">
        <v>75</v>
      </c>
      <c r="Z209">
        <f t="shared" si="63"/>
        <v>120</v>
      </c>
      <c r="AC209">
        <v>21.27</v>
      </c>
      <c r="AD209">
        <v>21.27</v>
      </c>
      <c r="AF209">
        <v>3.91</v>
      </c>
      <c r="AG209" s="10">
        <v>0</v>
      </c>
      <c r="AH209" t="str">
        <f>CONCATENATE(VLOOKUP(AI209, 'Voxel Sizes'!$A$2:$B$18,2,FALSE),"x",INT(AE209*15), "x", INT(AF209*15))</f>
        <v>198x0x58</v>
      </c>
      <c r="AI209">
        <f t="shared" si="67"/>
        <v>12</v>
      </c>
      <c r="AK209" t="str">
        <f>CONCATENATE(VLOOKUP(AI209,Constants!$A$2:$C$16,IF(AJ209&lt;&gt;"", 3, 2), FALSE),IF(AJ209&lt;&gt;"",CONCATENATE(",",VLOOKUP(AJ209,$B:$AK,36,FALSE)),""))</f>
        <v>4,4,4</v>
      </c>
      <c r="AU209">
        <v>30</v>
      </c>
      <c r="AV209" s="15" t="str">
        <f t="shared" si="68"/>
        <v/>
      </c>
      <c r="AY209">
        <f t="shared" si="69"/>
        <v>15</v>
      </c>
      <c r="AZ209">
        <f t="shared" si="70"/>
        <v>18.45</v>
      </c>
      <c r="BA209">
        <f t="shared" si="71"/>
        <v>16.5</v>
      </c>
      <c r="BB209" s="3">
        <f t="shared" si="72"/>
        <v>0.85599999999999998</v>
      </c>
      <c r="BC209">
        <f t="shared" si="73"/>
        <v>0</v>
      </c>
      <c r="BD209">
        <f>VLOOKUP($E209,Constants!$I:$K, 2, FALSE)</f>
        <v>1</v>
      </c>
      <c r="BE209">
        <f>VLOOKUP($E209,Constants!$I:$K, 3, FALSE)*IF(AND(D209="multiple_unit",Y209&lt;110),0.75,1)</f>
        <v>2</v>
      </c>
      <c r="BF209">
        <f>INT(POWER(((Constants!$G$2+$AY209+$AZ209+$BA209+$BC209)*$BB209)*$BE209, 1.05))+$AX209</f>
        <v>118</v>
      </c>
      <c r="BG209">
        <f>INT(POWER((((Constants!$G$1+$AY209+$AZ209+$BA209+$BC209)*($BB209))*$BD209),IF($D209="wagon",1,1.2)))+$AW209</f>
        <v>124</v>
      </c>
      <c r="BH209" s="14">
        <f t="shared" si="74"/>
        <v>92187.5</v>
      </c>
      <c r="BI209" s="14">
        <f t="shared" si="75"/>
        <v>10075</v>
      </c>
      <c r="BP209">
        <v>2</v>
      </c>
      <c r="BT209" t="str">
        <f>VLOOKUP(G209,Eras!$A$2:$C$10, 2, TRUE)</f>
        <v>mod</v>
      </c>
      <c r="BU209" t="s">
        <v>329</v>
      </c>
      <c r="BV209" t="str">
        <f t="shared" si="76"/>
        <v>mod_Freight</v>
      </c>
      <c r="BW209" t="str">
        <f t="shared" si="77"/>
        <v>diesel_RAIL</v>
      </c>
      <c r="BX209" t="str">
        <f>VLOOKUP($BW209, Constants!$M:$N, 2, FALSE)</f>
        <v>{BLACK}Powered by: {GOLD}Diesel</v>
      </c>
      <c r="BY209" t="str">
        <f t="shared" si="79"/>
        <v/>
      </c>
      <c r="BZ209" t="s">
        <v>592</v>
      </c>
      <c r="CA209" t="str">
        <f t="shared" si="80"/>
        <v/>
      </c>
      <c r="CB209" t="str">
        <f t="shared" si="78"/>
        <v>{BLACK}Powered by: {GOLD}Diesel {}{SILVER}The General Electric Class 70 is designed with crash safety in mind, hence the bonnet-like structure at each end.</v>
      </c>
    </row>
    <row r="210" spans="1:80" x14ac:dyDescent="0.3">
      <c r="A210" t="s">
        <v>594</v>
      </c>
      <c r="B210" t="s">
        <v>593</v>
      </c>
      <c r="C210">
        <v>366</v>
      </c>
      <c r="D210" t="s">
        <v>263</v>
      </c>
      <c r="E210" t="s">
        <v>273</v>
      </c>
      <c r="F210" t="s">
        <v>275</v>
      </c>
      <c r="G210">
        <v>2013</v>
      </c>
      <c r="H210">
        <v>2016</v>
      </c>
      <c r="K210">
        <v>3800</v>
      </c>
      <c r="T210">
        <v>85</v>
      </c>
      <c r="W210">
        <v>317</v>
      </c>
      <c r="X210" s="3">
        <f t="shared" si="66"/>
        <v>0.37294117647058822</v>
      </c>
      <c r="Y210">
        <v>100</v>
      </c>
      <c r="Z210">
        <f t="shared" si="63"/>
        <v>160</v>
      </c>
      <c r="AC210">
        <v>20.5</v>
      </c>
      <c r="AD210">
        <v>20.5</v>
      </c>
      <c r="AG210" s="10">
        <v>0</v>
      </c>
      <c r="AH210" t="str">
        <f>CONCATENATE(VLOOKUP(AI210, 'Voxel Sizes'!$A$2:$B$18,2,FALSE),"x",INT(AE210*15), "x", INT(AF210*15))</f>
        <v>198x0x0</v>
      </c>
      <c r="AI210">
        <f t="shared" si="67"/>
        <v>12</v>
      </c>
      <c r="AK210" t="str">
        <f>CONCATENATE(VLOOKUP(AI210,Constants!$A$2:$C$16,IF(AJ210&lt;&gt;"", 3, 2), FALSE),IF(AJ210&lt;&gt;"",CONCATENATE(",",VLOOKUP(AJ210,$B:$AK,36,FALSE)),""))</f>
        <v>4,4,4</v>
      </c>
      <c r="AU210">
        <v>30</v>
      </c>
      <c r="AV210" s="15" t="str">
        <f t="shared" si="68"/>
        <v/>
      </c>
      <c r="AY210">
        <f t="shared" si="69"/>
        <v>20</v>
      </c>
      <c r="AZ210">
        <f t="shared" si="70"/>
        <v>19</v>
      </c>
      <c r="BA210">
        <f t="shared" si="71"/>
        <v>15.85</v>
      </c>
      <c r="BB210" s="3">
        <f t="shared" si="72"/>
        <v>0.84933333333333327</v>
      </c>
      <c r="BC210">
        <f t="shared" si="73"/>
        <v>0</v>
      </c>
      <c r="BD210">
        <f>VLOOKUP($E210,Constants!$I:$K, 2, FALSE)</f>
        <v>1</v>
      </c>
      <c r="BE210">
        <f>VLOOKUP($E210,Constants!$I:$K, 3, FALSE)*IF(AND(D210="multiple_unit",Y210&lt;110),0.75,1)</f>
        <v>2</v>
      </c>
      <c r="BF210">
        <f>INT(POWER(((Constants!$G$2+$AY210+$AZ210+$BA210+$BC210)*$BB210)*$BE210, 1.05))+$AX210</f>
        <v>128</v>
      </c>
      <c r="BG210">
        <f>INT(POWER((((Constants!$G$1+$AY210+$AZ210+$BA210+$BC210)*($BB210))*$BD210),IF($D210="wagon",1,1.2)))+$AW210</f>
        <v>134</v>
      </c>
      <c r="BH210" s="14">
        <f t="shared" si="74"/>
        <v>100000</v>
      </c>
      <c r="BI210" s="14">
        <f t="shared" si="75"/>
        <v>10887.5</v>
      </c>
      <c r="BP210">
        <v>3</v>
      </c>
      <c r="BT210" t="str">
        <f>VLOOKUP(G210,Eras!$A$2:$C$10, 2, TRUE)</f>
        <v>mod</v>
      </c>
      <c r="BU210" t="s">
        <v>327</v>
      </c>
      <c r="BV210" t="str">
        <f t="shared" si="76"/>
        <v>mod_Mixed Traffic</v>
      </c>
      <c r="BW210" t="str">
        <f t="shared" si="77"/>
        <v>diesel_RAIL</v>
      </c>
      <c r="BX210" t="str">
        <f>VLOOKUP($BW210, Constants!$M:$N, 2, FALSE)</f>
        <v>{BLACK}Powered by: {GOLD}Diesel</v>
      </c>
      <c r="BY210" t="str">
        <f t="shared" si="79"/>
        <v/>
      </c>
      <c r="BZ210" t="s">
        <v>597</v>
      </c>
      <c r="CA210" t="str">
        <f t="shared" si="80"/>
        <v/>
      </c>
      <c r="CB210" t="str">
        <f t="shared" si="78"/>
        <v>{BLACK}Powered by: {GOLD}Diesel {}{SILVER}The Class 68 is a modern mixed traffic disel locomotive with a powerful 16-cylinder Caterpillar engine.</v>
      </c>
    </row>
    <row r="211" spans="1:80" x14ac:dyDescent="0.3">
      <c r="A211" t="s">
        <v>54</v>
      </c>
      <c r="B211" t="s">
        <v>181</v>
      </c>
      <c r="C211">
        <v>368</v>
      </c>
      <c r="D211" t="s">
        <v>263</v>
      </c>
      <c r="E211" t="s">
        <v>541</v>
      </c>
      <c r="F211" t="s">
        <v>297</v>
      </c>
      <c r="G211">
        <v>2015</v>
      </c>
      <c r="H211">
        <v>2016</v>
      </c>
      <c r="K211">
        <v>5400</v>
      </c>
      <c r="L211" s="8">
        <v>940</v>
      </c>
      <c r="T211">
        <v>86</v>
      </c>
      <c r="W211">
        <v>317</v>
      </c>
      <c r="X211" s="3">
        <f t="shared" si="66"/>
        <v>0.36860465116279068</v>
      </c>
      <c r="Y211">
        <v>100</v>
      </c>
      <c r="Z211">
        <f t="shared" si="63"/>
        <v>160</v>
      </c>
      <c r="AC211">
        <v>20.5</v>
      </c>
      <c r="AD211">
        <v>20.5</v>
      </c>
      <c r="AG211" s="10">
        <v>0</v>
      </c>
      <c r="AH211" t="str">
        <f>CONCATENATE(VLOOKUP(AI211, 'Voxel Sizes'!$A$2:$B$18,2,FALSE),"x",INT(AE211*15), "x", INT(AF211*15))</f>
        <v>198x0x0</v>
      </c>
      <c r="AI211">
        <f t="shared" si="67"/>
        <v>12</v>
      </c>
      <c r="AK211" t="str">
        <f>CONCATENATE(VLOOKUP(AI211,Constants!$A$2:$C$16,IF(AJ211&lt;&gt;"", 3, 2), FALSE),IF(AJ211&lt;&gt;"",CONCATENATE(",",VLOOKUP(AJ211,$B:$AK,36,FALSE)),""))</f>
        <v>4,4,4</v>
      </c>
      <c r="AP211" t="s">
        <v>181</v>
      </c>
      <c r="AU211">
        <v>30</v>
      </c>
      <c r="AV211" s="15" t="str">
        <f t="shared" si="68"/>
        <v/>
      </c>
      <c r="AY211">
        <f t="shared" si="69"/>
        <v>20</v>
      </c>
      <c r="AZ211">
        <f t="shared" si="70"/>
        <v>20</v>
      </c>
      <c r="BA211">
        <f t="shared" si="71"/>
        <v>15.85</v>
      </c>
      <c r="BB211" s="3">
        <f t="shared" si="72"/>
        <v>0.84666666666666668</v>
      </c>
      <c r="BC211">
        <f t="shared" si="73"/>
        <v>0</v>
      </c>
      <c r="BD211">
        <f>VLOOKUP($E211,Constants!$I:$K, 2, FALSE)</f>
        <v>0.9</v>
      </c>
      <c r="BE211">
        <f>VLOOKUP($E211,Constants!$I:$K, 3, FALSE)*IF(AND(D211="multiple_unit",Y211&lt;110),0.75,1)</f>
        <v>2.5</v>
      </c>
      <c r="BF211">
        <f>INT(POWER(((Constants!$G$2+$AY211+$AZ211+$BA211+$BC211)*$BB211)*$BE211, 1.05))+$AX211</f>
        <v>164</v>
      </c>
      <c r="BG211">
        <f>INT(POWER((((Constants!$G$1+$AY211+$AZ211+$BA211+$BC211)*($BB211))*$BD211),IF($D211="wagon",1,1.2)))+$AW211</f>
        <v>119</v>
      </c>
      <c r="BH211" s="14">
        <f t="shared" si="74"/>
        <v>128125</v>
      </c>
      <c r="BI211" s="14">
        <f t="shared" si="75"/>
        <v>9668.75</v>
      </c>
      <c r="BP211">
        <v>4</v>
      </c>
      <c r="BT211" t="str">
        <f>VLOOKUP(G211,Eras!$A$2:$C$10, 2, TRUE)</f>
        <v>mod</v>
      </c>
      <c r="BU211" t="s">
        <v>339</v>
      </c>
      <c r="BV211" t="str">
        <f t="shared" si="76"/>
        <v>mod_Freight (Electric)</v>
      </c>
      <c r="BW211" t="str">
        <f t="shared" si="77"/>
        <v>dual_power_ELRL</v>
      </c>
      <c r="BX211" t="str">
        <f>VLOOKUP($BW211, Constants!$M:$N, 2, FALSE)</f>
        <v>{BLACK}Powered by: {GOLD}25kV AC / Diesel</v>
      </c>
      <c r="BY211" t="str">
        <f t="shared" si="79"/>
        <v/>
      </c>
      <c r="BZ211" t="s">
        <v>1492</v>
      </c>
      <c r="CA211" t="str">
        <f t="shared" si="80"/>
        <v/>
      </c>
      <c r="CB211" t="str">
        <f t="shared" si="78"/>
        <v>{BLACK}Powered by: {GOLD}25kV AC / Diesel {}{SILVER}The Class 88 is a dual mode version of Stadler's Euro Dual family, sharing many components with the class 68.</v>
      </c>
    </row>
    <row r="212" spans="1:80" x14ac:dyDescent="0.3">
      <c r="A212" t="s">
        <v>130</v>
      </c>
      <c r="B212" t="s">
        <v>155</v>
      </c>
      <c r="C212">
        <v>420</v>
      </c>
      <c r="D212" t="s">
        <v>404</v>
      </c>
      <c r="E212" t="s">
        <v>1226</v>
      </c>
      <c r="F212" t="s">
        <v>275</v>
      </c>
      <c r="G212">
        <v>1903</v>
      </c>
      <c r="I212">
        <v>1940</v>
      </c>
      <c r="J212">
        <v>1</v>
      </c>
      <c r="K212">
        <v>85</v>
      </c>
      <c r="T212">
        <v>35</v>
      </c>
      <c r="V212">
        <v>5</v>
      </c>
      <c r="W212">
        <v>45</v>
      </c>
      <c r="X212" s="3">
        <f t="shared" si="66"/>
        <v>0.12857142857142856</v>
      </c>
      <c r="Y212">
        <v>40</v>
      </c>
      <c r="Z212">
        <f t="shared" si="63"/>
        <v>64</v>
      </c>
      <c r="AC212">
        <v>16.7</v>
      </c>
      <c r="AD212">
        <v>16.7</v>
      </c>
      <c r="AE212">
        <v>2.59</v>
      </c>
      <c r="AF212">
        <v>3.98</v>
      </c>
      <c r="AG212" s="10">
        <v>48</v>
      </c>
      <c r="AH212" t="str">
        <f>CONCATENATE(VLOOKUP(AI212, 'Voxel Sizes'!$A$2:$B$18,2,FALSE),"x",INT(AE212*15), "x", INT(AF212*15))</f>
        <v>164x38x59</v>
      </c>
      <c r="AI212">
        <f t="shared" si="67"/>
        <v>10</v>
      </c>
      <c r="AK212" t="str">
        <f>CONCATENATE(VLOOKUP(AI212,Constants!$A$2:$C$16,IF(AJ212&lt;&gt;"", 3, 2), FALSE),IF(AJ212&lt;&gt;"",CONCATENATE(",",VLOOKUP(AJ212,$B:$AK,36,FALSE)),""))</f>
        <v>4,2,4</v>
      </c>
      <c r="AO212" t="s">
        <v>155</v>
      </c>
      <c r="AQ212">
        <v>1</v>
      </c>
      <c r="AU212">
        <v>17</v>
      </c>
      <c r="AV212" s="15">
        <f t="shared" si="68"/>
        <v>45</v>
      </c>
      <c r="AW212">
        <v>-15</v>
      </c>
      <c r="AX212">
        <v>-10</v>
      </c>
      <c r="AY212">
        <f t="shared" si="69"/>
        <v>8</v>
      </c>
      <c r="AZ212">
        <f t="shared" si="70"/>
        <v>0.42500000000000004</v>
      </c>
      <c r="BA212">
        <f t="shared" si="71"/>
        <v>2.25</v>
      </c>
      <c r="BB212" s="3">
        <f t="shared" si="72"/>
        <v>0.996</v>
      </c>
      <c r="BC212">
        <f t="shared" si="73"/>
        <v>1.6</v>
      </c>
      <c r="BD212">
        <f>VLOOKUP($E212,Constants!$I:$K, 2, FALSE)</f>
        <v>1.05</v>
      </c>
      <c r="BE212">
        <f>VLOOKUP($E212,Constants!$I:$K, 3, FALSE)*IF(AND(D212="multiple_unit",Y212&lt;110),0.75,1)</f>
        <v>1.4249999999999998</v>
      </c>
      <c r="BF212">
        <f>INT(POWER(((Constants!$G$2+$AY212+$AZ212+$BA212+$BC212)*$BB212)*$BE212, 1.05))+$AX212</f>
        <v>18</v>
      </c>
      <c r="BG212">
        <f>INT(POWER((((Constants!$G$1+$AY212+$AZ212+$BA212+$BC212)*($BB212))*$BD212),IF($D212="wagon",1,1.2)))+$AW212</f>
        <v>40</v>
      </c>
      <c r="BH212" s="14">
        <f t="shared" si="74"/>
        <v>14062.5</v>
      </c>
      <c r="BI212" s="14">
        <f t="shared" si="75"/>
        <v>3250</v>
      </c>
      <c r="BM212" t="s">
        <v>203</v>
      </c>
      <c r="BP212">
        <v>5</v>
      </c>
      <c r="BQ212">
        <v>185</v>
      </c>
      <c r="BS212" t="s">
        <v>283</v>
      </c>
      <c r="BT212" t="str">
        <f>VLOOKUP(G212,Eras!$A$2:$C$10, 2, TRUE)</f>
        <v>edw</v>
      </c>
      <c r="BU212" t="s">
        <v>330</v>
      </c>
      <c r="BV212" t="str">
        <f t="shared" si="76"/>
        <v>edw_DMU (Cheap)</v>
      </c>
      <c r="BW212" t="str">
        <f t="shared" si="77"/>
        <v>petrol_RAIL</v>
      </c>
      <c r="BX212" t="str">
        <f>VLOOKUP($BW212, Constants!$M:$N, 2, FALSE)</f>
        <v>{BLACK}Powered by: {GOLD}Petrol</v>
      </c>
      <c r="BY212" t="str">
        <f t="shared" si="79"/>
        <v/>
      </c>
      <c r="BZ212" t="s">
        <v>349</v>
      </c>
      <c r="CA212" t="str">
        <f t="shared" si="80"/>
        <v/>
      </c>
      <c r="CB212" t="str">
        <f t="shared" si="78"/>
        <v>{BLACK}Powered by: {GOLD}Petrol {}{SILVER}The NER Autocar is a petrol-electric railcar with a petrol engine driving two electric motors. It was the first use of an internal combustion engine in a railway vehicle.</v>
      </c>
    </row>
    <row r="213" spans="1:80" x14ac:dyDescent="0.3">
      <c r="A213" t="s">
        <v>392</v>
      </c>
      <c r="B213" t="s">
        <v>394</v>
      </c>
      <c r="C213">
        <v>422</v>
      </c>
      <c r="D213" t="s">
        <v>404</v>
      </c>
      <c r="E213" t="s">
        <v>296</v>
      </c>
      <c r="F213" t="s">
        <v>303</v>
      </c>
      <c r="G213">
        <v>1914</v>
      </c>
      <c r="I213">
        <v>1960</v>
      </c>
      <c r="J213">
        <v>3</v>
      </c>
      <c r="K213">
        <v>1000</v>
      </c>
      <c r="T213">
        <v>117</v>
      </c>
      <c r="V213">
        <v>5</v>
      </c>
      <c r="W213">
        <v>112</v>
      </c>
      <c r="X213" s="3">
        <f t="shared" si="66"/>
        <v>9.5726495726495733E-2</v>
      </c>
      <c r="Y213">
        <v>60</v>
      </c>
      <c r="Z213">
        <f t="shared" si="63"/>
        <v>96</v>
      </c>
      <c r="AD213">
        <v>17.7</v>
      </c>
      <c r="AG213" s="10">
        <v>45</v>
      </c>
      <c r="AH213" t="str">
        <f>CONCATENATE(VLOOKUP(AI213, 'Voxel Sizes'!$A$2:$B$18,2,FALSE),"x",INT(AE213*15), "x", INT(AF213*15))</f>
        <v>164x0x0</v>
      </c>
      <c r="AI213">
        <f t="shared" si="67"/>
        <v>10</v>
      </c>
      <c r="AK213" t="str">
        <f>CONCATENATE(VLOOKUP(AI213,Constants!$A$2:$C$16,IF(AJ213&lt;&gt;"", 3, 2), FALSE),IF(AJ213&lt;&gt;"",CONCATENATE(",",VLOOKUP(AJ213,$B:$AK,36,FALSE)),""))</f>
        <v>4,2,4</v>
      </c>
      <c r="AO213" t="s">
        <v>405</v>
      </c>
      <c r="AQ213" t="s">
        <v>403</v>
      </c>
      <c r="AU213">
        <v>25</v>
      </c>
      <c r="AV213" s="15">
        <f t="shared" si="68"/>
        <v>54</v>
      </c>
      <c r="AW213">
        <v>-10</v>
      </c>
      <c r="AX213">
        <v>-15</v>
      </c>
      <c r="AY213">
        <f t="shared" si="69"/>
        <v>12</v>
      </c>
      <c r="AZ213">
        <f t="shared" si="70"/>
        <v>5</v>
      </c>
      <c r="BA213">
        <f t="shared" si="71"/>
        <v>5.6000000000000005</v>
      </c>
      <c r="BB213" s="3">
        <f t="shared" si="72"/>
        <v>0.98133333333333328</v>
      </c>
      <c r="BC213">
        <f t="shared" si="73"/>
        <v>4.5</v>
      </c>
      <c r="BD213">
        <f>VLOOKUP($E213,Constants!$I:$K, 2, FALSE)</f>
        <v>0.85</v>
      </c>
      <c r="BE213">
        <f>VLOOKUP($E213,Constants!$I:$K, 3, FALSE)*IF(AND(D213="multiple_unit",Y213&lt;110),0.75,1)</f>
        <v>1.7249999999999999</v>
      </c>
      <c r="BF213">
        <f>INT(POWER(((Constants!$G$2+$AY213+$AZ213+$BA213+$BC213)*$BB213)*$BE213, 1.05))+$AX213</f>
        <v>51</v>
      </c>
      <c r="BG213">
        <f>INT(POWER((((Constants!$G$1+$AY213+$AZ213+$BA213+$BC213)*($BB213))*$BD213),IF($D213="wagon",1,1.2)))+$AW213</f>
        <v>61</v>
      </c>
      <c r="BH213" s="14">
        <f t="shared" si="74"/>
        <v>39843.75</v>
      </c>
      <c r="BI213" s="14">
        <f t="shared" si="75"/>
        <v>4956.25</v>
      </c>
      <c r="BP213">
        <v>6</v>
      </c>
      <c r="BQ213">
        <v>185</v>
      </c>
      <c r="BS213" t="s">
        <v>283</v>
      </c>
      <c r="BT213" t="str">
        <f>VLOOKUP(G213,Eras!$A$2:$C$10, 2, TRUE)</f>
        <v>edw</v>
      </c>
      <c r="BU213" t="s">
        <v>333</v>
      </c>
      <c r="BV213" t="str">
        <f t="shared" si="76"/>
        <v>edw_EMU</v>
      </c>
      <c r="BW213" t="str">
        <f t="shared" si="77"/>
        <v>electric_THIRD_RAIL</v>
      </c>
      <c r="BX213" t="str">
        <f>VLOOKUP($BW213, Constants!$M:$N, 2, FALSE)</f>
        <v>{BLACK}Powered by: {GOLD}750V DC</v>
      </c>
      <c r="BY213" t="str">
        <f t="shared" si="79"/>
        <v>{BLACK}Cars: {GOLD}3</v>
      </c>
      <c r="BZ213" t="s">
        <v>393</v>
      </c>
      <c r="CA213" t="str">
        <f t="shared" si="80"/>
        <v/>
      </c>
      <c r="CB213" t="str">
        <f t="shared" si="78"/>
        <v>{BLACK}Powered by: {GOLD}750V DC {BLACK}Cars: {GOLD}3{}{SILVER}The LNWR built electric multiple units for its inner suburban London routes, sharing track with the Bakerloo and District lines.</v>
      </c>
    </row>
    <row r="214" spans="1:80" x14ac:dyDescent="0.3">
      <c r="A214" t="s">
        <v>68</v>
      </c>
      <c r="B214" t="s">
        <v>231</v>
      </c>
      <c r="C214">
        <v>424</v>
      </c>
      <c r="D214" t="s">
        <v>404</v>
      </c>
      <c r="E214" t="s">
        <v>296</v>
      </c>
      <c r="F214" t="s">
        <v>303</v>
      </c>
      <c r="G214">
        <v>1932</v>
      </c>
      <c r="I214">
        <v>1972</v>
      </c>
      <c r="J214">
        <v>5</v>
      </c>
      <c r="K214">
        <v>1800</v>
      </c>
      <c r="T214">
        <v>253</v>
      </c>
      <c r="V214">
        <v>5</v>
      </c>
      <c r="W214">
        <v>145</v>
      </c>
      <c r="X214" s="3">
        <f t="shared" si="66"/>
        <v>5.731225296442688E-2</v>
      </c>
      <c r="Y214">
        <v>75</v>
      </c>
      <c r="Z214">
        <f t="shared" si="63"/>
        <v>120</v>
      </c>
      <c r="AC214">
        <v>20.11</v>
      </c>
      <c r="AD214">
        <v>20.11</v>
      </c>
      <c r="AG214" s="10">
        <v>33</v>
      </c>
      <c r="AH214" t="str">
        <f>CONCATENATE(VLOOKUP(AI214, 'Voxel Sizes'!$A$2:$B$18,2,FALSE),"x",INT(AE214*15), "x", INT(AF214*15))</f>
        <v>198x0x0</v>
      </c>
      <c r="AI214">
        <f t="shared" si="67"/>
        <v>12</v>
      </c>
      <c r="AK214" t="str">
        <f>CONCATENATE(VLOOKUP(AI214,Constants!$A$2:$C$16,IF(AJ214&lt;&gt;"", 3, 2), FALSE),IF(AJ214&lt;&gt;"",CONCATENATE(",",VLOOKUP(AJ214,$B:$AK,36,FALSE)),""))</f>
        <v>4,4,4</v>
      </c>
      <c r="AO214" t="s">
        <v>446</v>
      </c>
      <c r="AQ214" t="s">
        <v>448</v>
      </c>
      <c r="AU214">
        <v>28</v>
      </c>
      <c r="AV214" s="15">
        <f t="shared" si="68"/>
        <v>48</v>
      </c>
      <c r="AW214">
        <v>-10</v>
      </c>
      <c r="AX214">
        <v>-10</v>
      </c>
      <c r="AY214">
        <f t="shared" si="69"/>
        <v>15</v>
      </c>
      <c r="AZ214">
        <f t="shared" si="70"/>
        <v>9</v>
      </c>
      <c r="BA214">
        <f t="shared" si="71"/>
        <v>7.25</v>
      </c>
      <c r="BB214" s="3">
        <f t="shared" si="72"/>
        <v>0.95733333333333337</v>
      </c>
      <c r="BC214">
        <f t="shared" si="73"/>
        <v>5.5</v>
      </c>
      <c r="BD214">
        <f>VLOOKUP($E214,Constants!$I:$K, 2, FALSE)</f>
        <v>0.85</v>
      </c>
      <c r="BE214">
        <f>VLOOKUP($E214,Constants!$I:$K, 3, FALSE)*IF(AND(D214="multiple_unit",Y214&lt;110),0.75,1)</f>
        <v>1.7249999999999999</v>
      </c>
      <c r="BF214">
        <f>INT(POWER(((Constants!$G$2+$AY214+$AZ214+$BA214+$BC214)*$BB214)*$BE214, 1.05))+$AX214</f>
        <v>75</v>
      </c>
      <c r="BG214">
        <f>INT(POWER((((Constants!$G$1+$AY214+$AZ214+$BA214+$BC214)*($BB214))*$BD214),IF($D214="wagon",1,1.2)))+$AW214</f>
        <v>78</v>
      </c>
      <c r="BH214" s="14">
        <f t="shared" si="74"/>
        <v>58593.75</v>
      </c>
      <c r="BI214" s="14">
        <f t="shared" si="75"/>
        <v>6337.5</v>
      </c>
      <c r="BP214">
        <v>7</v>
      </c>
      <c r="BQ214">
        <v>260</v>
      </c>
      <c r="BS214" t="s">
        <v>283</v>
      </c>
      <c r="BT214" t="str">
        <f>VLOOKUP(G214,Eras!$A$2:$C$10, 2, TRUE)</f>
        <v>big4</v>
      </c>
      <c r="BU214" t="s">
        <v>334</v>
      </c>
      <c r="BV214" t="str">
        <f t="shared" si="76"/>
        <v>big4_EMU (Express)</v>
      </c>
      <c r="BW214" t="str">
        <f t="shared" si="77"/>
        <v>electric_THIRD_RAIL</v>
      </c>
      <c r="BX214" t="str">
        <f>VLOOKUP($BW214, Constants!$M:$N, 2, FALSE)</f>
        <v>{BLACK}Powered by: {GOLD}750V DC</v>
      </c>
      <c r="BY214" t="str">
        <f t="shared" si="79"/>
        <v>{BLACK}Cars: {GOLD}5</v>
      </c>
      <c r="BZ214" t="s">
        <v>445</v>
      </c>
      <c r="CA214" t="str">
        <f t="shared" si="80"/>
        <v>{YELLOW}40% Bonus for long distance travel{}</v>
      </c>
      <c r="CB214" t="str">
        <f t="shared" si="78"/>
        <v>{BLACK}Powered by: {GOLD}750V DC {BLACK}Cars: {GOLD}5{}{YELLOW}40% Bonus for long distance travel{}{SILVER}The Southern Railway's "Brighton Belle" used Pullman coaches and remained in use well into the BR era.</v>
      </c>
    </row>
    <row r="215" spans="1:80" x14ac:dyDescent="0.3">
      <c r="A215" t="s">
        <v>69</v>
      </c>
      <c r="B215" t="s">
        <v>232</v>
      </c>
      <c r="C215">
        <v>426</v>
      </c>
      <c r="D215" t="s">
        <v>404</v>
      </c>
      <c r="E215" t="s">
        <v>296</v>
      </c>
      <c r="F215" t="s">
        <v>303</v>
      </c>
      <c r="G215">
        <v>1937</v>
      </c>
      <c r="H215">
        <v>1938</v>
      </c>
      <c r="I215">
        <v>1972</v>
      </c>
      <c r="J215">
        <v>4</v>
      </c>
      <c r="K215">
        <v>900</v>
      </c>
      <c r="T215">
        <v>160.80000000000001</v>
      </c>
      <c r="V215">
        <v>5</v>
      </c>
      <c r="W215">
        <v>120</v>
      </c>
      <c r="X215" s="3">
        <f t="shared" si="66"/>
        <v>7.4626865671641784E-2</v>
      </c>
      <c r="Y215">
        <v>75</v>
      </c>
      <c r="Z215">
        <f t="shared" si="63"/>
        <v>120</v>
      </c>
      <c r="AC215">
        <v>20</v>
      </c>
      <c r="AD215">
        <v>20</v>
      </c>
      <c r="AG215" s="10">
        <v>57</v>
      </c>
      <c r="AH215" t="str">
        <f>CONCATENATE(VLOOKUP(AI215, 'Voxel Sizes'!$A$2:$B$18,2,FALSE),"x",INT(AE215*15), "x", INT(AF215*15))</f>
        <v>198x0x0</v>
      </c>
      <c r="AI215">
        <f t="shared" si="67"/>
        <v>12</v>
      </c>
      <c r="AK215" t="str">
        <f>CONCATENATE(VLOOKUP(AI215,Constants!$A$2:$C$16,IF(AJ215&lt;&gt;"", 3, 2), FALSE),IF(AJ215&lt;&gt;"",CONCATENATE(",",VLOOKUP(AJ215,$B:$AK,36,FALSE)),""))</f>
        <v>4,4,4</v>
      </c>
      <c r="AO215" t="s">
        <v>464</v>
      </c>
      <c r="AQ215" t="s">
        <v>465</v>
      </c>
      <c r="AU215">
        <v>36</v>
      </c>
      <c r="AV215" s="15">
        <f t="shared" si="68"/>
        <v>43</v>
      </c>
      <c r="AW215">
        <v>-10</v>
      </c>
      <c r="AX215">
        <v>-15</v>
      </c>
      <c r="AY215">
        <f t="shared" si="69"/>
        <v>15</v>
      </c>
      <c r="AZ215">
        <f t="shared" si="70"/>
        <v>4.5</v>
      </c>
      <c r="BA215">
        <f t="shared" si="71"/>
        <v>6</v>
      </c>
      <c r="BB215" s="3">
        <f t="shared" si="72"/>
        <v>0.95066666666666666</v>
      </c>
      <c r="BC215">
        <f t="shared" si="73"/>
        <v>7.6</v>
      </c>
      <c r="BD215">
        <f>VLOOKUP($E215,Constants!$I:$K, 2, FALSE)</f>
        <v>0.85</v>
      </c>
      <c r="BE215">
        <f>VLOOKUP($E215,Constants!$I:$K, 3, FALSE)*IF(AND(D215="multiple_unit",Y215&lt;110),0.75,1)</f>
        <v>1.7249999999999999</v>
      </c>
      <c r="BF215">
        <f>INT(POWER(((Constants!$G$2+$AY215+$AZ215+$BA215+$BC215)*$BB215)*$BE215, 1.05))+$AX215</f>
        <v>61</v>
      </c>
      <c r="BG215">
        <f>INT(POWER((((Constants!$G$1+$AY215+$AZ215+$BA215+$BC215)*($BB215))*$BD215),IF($D215="wagon",1,1.2)))+$AW215</f>
        <v>70</v>
      </c>
      <c r="BH215" s="14">
        <f t="shared" si="74"/>
        <v>47656.25</v>
      </c>
      <c r="BI215" s="14">
        <f t="shared" si="75"/>
        <v>5687.5</v>
      </c>
      <c r="BP215">
        <v>8</v>
      </c>
      <c r="BQ215">
        <v>185</v>
      </c>
      <c r="BS215" t="s">
        <v>283</v>
      </c>
      <c r="BT215" t="str">
        <f>VLOOKUP(G215,Eras!$A$2:$C$10, 2, TRUE)</f>
        <v>big4</v>
      </c>
      <c r="BU215" t="s">
        <v>333</v>
      </c>
      <c r="BV215" t="str">
        <f t="shared" si="76"/>
        <v>big4_EMU</v>
      </c>
      <c r="BW215" t="str">
        <f t="shared" si="77"/>
        <v>electric_THIRD_RAIL</v>
      </c>
      <c r="BX215" t="str">
        <f>VLOOKUP($BW215, Constants!$M:$N, 2, FALSE)</f>
        <v>{BLACK}Powered by: {GOLD}750V DC</v>
      </c>
      <c r="BY215" t="str">
        <f t="shared" si="79"/>
        <v>{BLACK}Cars: {GOLD}4</v>
      </c>
      <c r="BZ215" t="s">
        <v>462</v>
      </c>
      <c r="CA215" t="str">
        <f t="shared" si="80"/>
        <v/>
      </c>
      <c r="CB215" t="str">
        <f t="shared" si="78"/>
        <v>{BLACK}Powered by: {GOLD}750V DC {BLACK}Cars: {GOLD}4{}{SILVER}The Southern Railway was an early pioneer of electrification, with 4-COR units used between London Waterloo and Portsmouth.</v>
      </c>
    </row>
    <row r="216" spans="1:80" x14ac:dyDescent="0.3">
      <c r="A216" t="s">
        <v>70</v>
      </c>
      <c r="B216" t="s">
        <v>233</v>
      </c>
      <c r="C216">
        <v>428</v>
      </c>
      <c r="D216" t="s">
        <v>404</v>
      </c>
      <c r="E216" t="s">
        <v>296</v>
      </c>
      <c r="F216" t="s">
        <v>303</v>
      </c>
      <c r="G216">
        <v>1938</v>
      </c>
      <c r="H216">
        <v>1939</v>
      </c>
      <c r="I216">
        <v>1971</v>
      </c>
      <c r="J216">
        <v>2</v>
      </c>
      <c r="K216">
        <v>550</v>
      </c>
      <c r="T216">
        <v>77</v>
      </c>
      <c r="V216">
        <v>5</v>
      </c>
      <c r="W216">
        <v>120</v>
      </c>
      <c r="X216" s="3">
        <f t="shared" si="66"/>
        <v>0.15584415584415584</v>
      </c>
      <c r="Y216">
        <v>75</v>
      </c>
      <c r="Z216">
        <f t="shared" si="63"/>
        <v>120</v>
      </c>
      <c r="AC216">
        <v>20</v>
      </c>
      <c r="AD216">
        <v>20</v>
      </c>
      <c r="AG216" s="10">
        <f>(24+102)/2</f>
        <v>63</v>
      </c>
      <c r="AH216" t="str">
        <f>CONCATENATE(VLOOKUP(AI216, 'Voxel Sizes'!$A$2:$B$18,2,FALSE),"x",INT(AE216*15), "x", INT(AF216*15))</f>
        <v>198x0x0</v>
      </c>
      <c r="AI216">
        <f t="shared" si="67"/>
        <v>12</v>
      </c>
      <c r="AK216" t="str">
        <f>CONCATENATE(VLOOKUP(AI216,Constants!$A$2:$C$16,IF(AJ216&lt;&gt;"", 3, 2), FALSE),IF(AJ216&lt;&gt;"",CONCATENATE(",",VLOOKUP(AJ216,$B:$AK,36,FALSE)),""))</f>
        <v>4,4,4</v>
      </c>
      <c r="AO216" t="s">
        <v>466</v>
      </c>
      <c r="AQ216" t="s">
        <v>467</v>
      </c>
      <c r="AU216">
        <v>36</v>
      </c>
      <c r="AV216" s="15">
        <f t="shared" si="68"/>
        <v>41</v>
      </c>
      <c r="AW216">
        <v>-10</v>
      </c>
      <c r="AX216">
        <v>-15</v>
      </c>
      <c r="AY216">
        <f t="shared" si="69"/>
        <v>15</v>
      </c>
      <c r="AZ216">
        <f t="shared" si="70"/>
        <v>2.75</v>
      </c>
      <c r="BA216">
        <f t="shared" si="71"/>
        <v>6</v>
      </c>
      <c r="BB216" s="3">
        <f t="shared" si="72"/>
        <v>0.94933333333333336</v>
      </c>
      <c r="BC216">
        <f t="shared" si="73"/>
        <v>4.2</v>
      </c>
      <c r="BD216">
        <f>VLOOKUP($E216,Constants!$I:$K, 2, FALSE)</f>
        <v>0.85</v>
      </c>
      <c r="BE216">
        <f>VLOOKUP($E216,Constants!$I:$K, 3, FALSE)*IF(AND(D216="multiple_unit",Y216&lt;110),0.75,1)</f>
        <v>1.7249999999999999</v>
      </c>
      <c r="BF216">
        <f>INT(POWER(((Constants!$G$2+$AY216+$AZ216+$BA216+$BC216)*$BB216)*$BE216, 1.05))+$AX216</f>
        <v>50</v>
      </c>
      <c r="BG216">
        <f>INT(POWER((((Constants!$G$1+$AY216+$AZ216+$BA216+$BC216)*($BB216))*$BD216),IF($D216="wagon",1,1.2)))+$AW216</f>
        <v>60</v>
      </c>
      <c r="BH216" s="14">
        <f t="shared" si="74"/>
        <v>39062.5</v>
      </c>
      <c r="BI216" s="14">
        <f t="shared" si="75"/>
        <v>4875</v>
      </c>
      <c r="BP216">
        <v>9</v>
      </c>
      <c r="BQ216">
        <v>185</v>
      </c>
      <c r="BS216" t="s">
        <v>283</v>
      </c>
      <c r="BT216" t="str">
        <f>VLOOKUP(G216,Eras!$A$2:$C$10, 2, TRUE)</f>
        <v>big4</v>
      </c>
      <c r="BU216" t="s">
        <v>333</v>
      </c>
      <c r="BV216" t="str">
        <f t="shared" si="76"/>
        <v>big4_EMU</v>
      </c>
      <c r="BW216" t="str">
        <f t="shared" si="77"/>
        <v>electric_THIRD_RAIL</v>
      </c>
      <c r="BX216" t="str">
        <f>VLOOKUP($BW216, Constants!$M:$N, 2, FALSE)</f>
        <v>{BLACK}Powered by: {GOLD}750V DC</v>
      </c>
      <c r="BY216" t="str">
        <f t="shared" si="79"/>
        <v>{BLACK}Cars: {GOLD}2</v>
      </c>
      <c r="BZ216" t="s">
        <v>463</v>
      </c>
      <c r="CA216" t="str">
        <f t="shared" si="80"/>
        <v/>
      </c>
      <c r="CB216" t="str">
        <f t="shared" si="78"/>
        <v>{BLACK}Powered by: {GOLD}750V DC {BLACK}Cars: {GOLD}2{}{SILVER}The 2-HAL (named for 2 units, Half Lavatory) is designed for suburban commuter services.</v>
      </c>
    </row>
    <row r="217" spans="1:80" x14ac:dyDescent="0.3">
      <c r="A217" t="s">
        <v>85</v>
      </c>
      <c r="B217" t="s">
        <v>188</v>
      </c>
      <c r="C217">
        <v>430</v>
      </c>
      <c r="D217" t="s">
        <v>404</v>
      </c>
      <c r="E217" t="s">
        <v>296</v>
      </c>
      <c r="F217" t="s">
        <v>297</v>
      </c>
      <c r="G217">
        <v>1954</v>
      </c>
      <c r="I217">
        <v>1984</v>
      </c>
      <c r="J217">
        <v>3</v>
      </c>
      <c r="K217">
        <v>740</v>
      </c>
      <c r="T217">
        <f>51.4+26.8+27.9</f>
        <v>106.1</v>
      </c>
      <c r="V217">
        <v>5</v>
      </c>
      <c r="W217">
        <v>110</v>
      </c>
      <c r="X217" s="3">
        <f t="shared" si="66"/>
        <v>0.10367577756833177</v>
      </c>
      <c r="Y217">
        <v>75</v>
      </c>
      <c r="Z217">
        <f t="shared" si="63"/>
        <v>120</v>
      </c>
      <c r="AC217">
        <v>18.100000000000001</v>
      </c>
      <c r="AD217">
        <v>18.100000000000001</v>
      </c>
      <c r="AE217">
        <v>2.82</v>
      </c>
      <c r="AF217">
        <v>3.87</v>
      </c>
      <c r="AG217" s="10">
        <v>57</v>
      </c>
      <c r="AH217" t="str">
        <f>CONCATENATE(VLOOKUP(AI217, 'Voxel Sizes'!$A$2:$B$18,2,FALSE),"x",INT(AE217*15), "x", INT(AF217*15))</f>
        <v>186x42x58</v>
      </c>
      <c r="AI217">
        <f t="shared" si="67"/>
        <v>11</v>
      </c>
      <c r="AK217" t="str">
        <f>CONCATENATE(VLOOKUP(AI217,Constants!$A$2:$C$16,IF(AJ217&lt;&gt;"", 3, 2), FALSE),IF(AJ217&lt;&gt;"",CONCATENATE(",",VLOOKUP(AJ217,$B:$AK,36,FALSE)),""))</f>
        <v>4,3,4</v>
      </c>
      <c r="AO217" t="s">
        <v>613</v>
      </c>
      <c r="AQ217" t="s">
        <v>292</v>
      </c>
      <c r="AU217">
        <v>35</v>
      </c>
      <c r="AV217" s="15">
        <f t="shared" si="68"/>
        <v>38</v>
      </c>
      <c r="AW217">
        <v>-10</v>
      </c>
      <c r="AX217">
        <v>-15</v>
      </c>
      <c r="AY217">
        <f t="shared" si="69"/>
        <v>15</v>
      </c>
      <c r="AZ217">
        <f t="shared" si="70"/>
        <v>3.7</v>
      </c>
      <c r="BA217">
        <f t="shared" si="71"/>
        <v>5.5</v>
      </c>
      <c r="BB217" s="3">
        <f t="shared" si="72"/>
        <v>0.92800000000000005</v>
      </c>
      <c r="BC217">
        <f t="shared" si="73"/>
        <v>5.7000000000000011</v>
      </c>
      <c r="BD217">
        <f>VLOOKUP($E217,Constants!$I:$K, 2, FALSE)</f>
        <v>0.85</v>
      </c>
      <c r="BE217">
        <f>VLOOKUP($E217,Constants!$I:$K, 3, FALSE)*IF(AND(D217="multiple_unit",Y217&lt;110),0.75,1)</f>
        <v>1.7249999999999999</v>
      </c>
      <c r="BF217">
        <f>INT(POWER(((Constants!$G$2+$AY217+$AZ217+$BA217+$BC217)*$BB217)*$BE217, 1.05))+$AX217</f>
        <v>53</v>
      </c>
      <c r="BG217">
        <f>INT(POWER((((Constants!$G$1+$AY217+$AZ217+$BA217+$BC217)*($BB217))*$BD217),IF($D217="wagon",1,1.2)))+$AW217</f>
        <v>62</v>
      </c>
      <c r="BH217" s="14">
        <f t="shared" si="74"/>
        <v>41406.25</v>
      </c>
      <c r="BI217" s="14">
        <f t="shared" si="75"/>
        <v>5037.5</v>
      </c>
      <c r="BP217">
        <v>10</v>
      </c>
      <c r="BQ217">
        <v>185</v>
      </c>
      <c r="BS217" t="s">
        <v>283</v>
      </c>
      <c r="BT217" t="str">
        <f>VLOOKUP(G217,Eras!$A$2:$C$10, 2, TRUE)</f>
        <v>ebr</v>
      </c>
      <c r="BU217" t="s">
        <v>333</v>
      </c>
      <c r="BV217" t="str">
        <f t="shared" si="76"/>
        <v>ebr_EMU</v>
      </c>
      <c r="BW217" t="str">
        <f t="shared" si="77"/>
        <v>electric_ELRL</v>
      </c>
      <c r="BX217" t="str">
        <f>VLOOKUP($BW217, Constants!$M:$N, 2, FALSE)</f>
        <v>{BLACK}Powered by: {GOLD}25kV AC</v>
      </c>
      <c r="BY217" t="str">
        <f t="shared" si="79"/>
        <v>{BLACK}Cars: {GOLD}3</v>
      </c>
      <c r="BZ217" t="s">
        <v>614</v>
      </c>
      <c r="CA217" t="str">
        <f t="shared" si="80"/>
        <v/>
      </c>
      <c r="CB217" t="str">
        <f t="shared" si="78"/>
        <v>{BLACK}Powered by: {GOLD}25kV AC {BLACK}Cars: {GOLD}3{}{SILVER}The Class 506 was built by Metro Cammell and BRCW for the Woodhead Line.</v>
      </c>
    </row>
    <row r="218" spans="1:80" x14ac:dyDescent="0.3">
      <c r="A218" t="s">
        <v>615</v>
      </c>
      <c r="B218" t="s">
        <v>617</v>
      </c>
      <c r="C218">
        <v>434</v>
      </c>
      <c r="D218" t="s">
        <v>404</v>
      </c>
      <c r="E218" t="s">
        <v>296</v>
      </c>
      <c r="F218" t="s">
        <v>303</v>
      </c>
      <c r="G218">
        <v>1956</v>
      </c>
      <c r="I218">
        <v>1995</v>
      </c>
      <c r="J218">
        <v>2</v>
      </c>
      <c r="K218">
        <v>500</v>
      </c>
      <c r="T218">
        <f>40+32</f>
        <v>72</v>
      </c>
      <c r="V218">
        <v>5</v>
      </c>
      <c r="W218">
        <v>95</v>
      </c>
      <c r="X218" s="3">
        <f t="shared" si="66"/>
        <v>0.13194444444444445</v>
      </c>
      <c r="Y218">
        <v>90</v>
      </c>
      <c r="Z218">
        <f t="shared" si="63"/>
        <v>144</v>
      </c>
      <c r="AC218">
        <v>19.05</v>
      </c>
      <c r="AD218">
        <v>19.05</v>
      </c>
      <c r="AE218">
        <v>2.82</v>
      </c>
      <c r="AF218">
        <v>3.89</v>
      </c>
      <c r="AG218" s="10">
        <v>54</v>
      </c>
      <c r="AH218" t="str">
        <f>CONCATENATE(VLOOKUP(AI218, 'Voxel Sizes'!$A$2:$B$18,2,FALSE),"x",INT(AE218*15), "x", INT(AF218*15))</f>
        <v>186x42x58</v>
      </c>
      <c r="AI218">
        <f t="shared" si="67"/>
        <v>11</v>
      </c>
      <c r="AK218" t="str">
        <f>CONCATENATE(VLOOKUP(AI218,Constants!$A$2:$C$16,IF(AJ218&lt;&gt;"", 3, 2), FALSE),IF(AJ218&lt;&gt;"",CONCATENATE(",",VLOOKUP(AJ218,$B:$AK,36,FALSE)),""))</f>
        <v>4,3,4</v>
      </c>
      <c r="AO218" t="s">
        <v>618</v>
      </c>
      <c r="AQ218" t="s">
        <v>467</v>
      </c>
      <c r="AU218">
        <v>33</v>
      </c>
      <c r="AV218" s="15">
        <f t="shared" si="68"/>
        <v>47</v>
      </c>
      <c r="AW218">
        <v>-10</v>
      </c>
      <c r="AX218">
        <v>-15</v>
      </c>
      <c r="AY218">
        <f t="shared" si="69"/>
        <v>18</v>
      </c>
      <c r="AZ218">
        <f t="shared" si="70"/>
        <v>2.5</v>
      </c>
      <c r="BA218">
        <f t="shared" si="71"/>
        <v>4.75</v>
      </c>
      <c r="BB218" s="3">
        <f t="shared" si="72"/>
        <v>0.92533333333333334</v>
      </c>
      <c r="BC218">
        <f t="shared" si="73"/>
        <v>3.5999999999999996</v>
      </c>
      <c r="BD218">
        <f>VLOOKUP($E218,Constants!$I:$K, 2, FALSE)</f>
        <v>0.85</v>
      </c>
      <c r="BE218">
        <f>VLOOKUP($E218,Constants!$I:$K, 3, FALSE)*IF(AND(D218="multiple_unit",Y218&lt;110),0.75,1)</f>
        <v>1.7249999999999999</v>
      </c>
      <c r="BF218">
        <f>INT(POWER(((Constants!$G$2+$AY218+$AZ218+$BA218+$BC218)*$BB218)*$BE218, 1.05))+$AX218</f>
        <v>50</v>
      </c>
      <c r="BG218">
        <f>INT(POWER((((Constants!$G$1+$AY218+$AZ218+$BA218+$BC218)*($BB218))*$BD218),IF($D218="wagon",1,1.2)))+$AW218</f>
        <v>60</v>
      </c>
      <c r="BH218" s="14">
        <f t="shared" si="74"/>
        <v>39062.5</v>
      </c>
      <c r="BI218" s="14">
        <f t="shared" si="75"/>
        <v>4875</v>
      </c>
      <c r="BM218" t="s">
        <v>253</v>
      </c>
      <c r="BP218">
        <v>12</v>
      </c>
      <c r="BQ218">
        <v>185</v>
      </c>
      <c r="BS218" t="s">
        <v>283</v>
      </c>
      <c r="BT218" t="str">
        <f>VLOOKUP(G218,Eras!$A$2:$C$10, 2, TRUE)</f>
        <v>dsl</v>
      </c>
      <c r="BU218" t="s">
        <v>334</v>
      </c>
      <c r="BV218" t="str">
        <f t="shared" si="76"/>
        <v>dsl_EMU (Express)</v>
      </c>
      <c r="BW218" t="str">
        <f t="shared" si="77"/>
        <v>electric_THIRD_RAIL</v>
      </c>
      <c r="BX218" t="str">
        <f>VLOOKUP($BW218, Constants!$M:$N, 2, FALSE)</f>
        <v>{BLACK}Powered by: {GOLD}750V DC</v>
      </c>
      <c r="BY218" t="str">
        <f t="shared" si="79"/>
        <v>{BLACK}Cars: {GOLD}2</v>
      </c>
      <c r="BZ218" t="s">
        <v>619</v>
      </c>
      <c r="CA218" t="str">
        <f t="shared" si="80"/>
        <v/>
      </c>
      <c r="CB218" t="str">
        <f t="shared" si="78"/>
        <v>{BLACK}Powered by: {GOLD}750V DC {BLACK}Cars: {GOLD}2{}{SILVER}The Class 414 2 HAP (Half Lavatory, electro-Pneumatic brake) is a Southern Region electric multiple unit, geared for express duties.</v>
      </c>
    </row>
    <row r="219" spans="1:80" x14ac:dyDescent="0.3">
      <c r="A219" t="s">
        <v>126</v>
      </c>
      <c r="B219" t="s">
        <v>237</v>
      </c>
      <c r="C219">
        <v>438</v>
      </c>
      <c r="D219" t="s">
        <v>404</v>
      </c>
      <c r="E219" t="s">
        <v>273</v>
      </c>
      <c r="F219" t="s">
        <v>275</v>
      </c>
      <c r="G219">
        <v>1960</v>
      </c>
      <c r="I219">
        <v>1973</v>
      </c>
      <c r="J219">
        <v>6</v>
      </c>
      <c r="K219">
        <v>1000</v>
      </c>
      <c r="T219">
        <v>304</v>
      </c>
      <c r="V219">
        <v>3</v>
      </c>
      <c r="W219">
        <v>155</v>
      </c>
      <c r="X219" s="3">
        <f t="shared" si="66"/>
        <v>5.0986842105263157E-2</v>
      </c>
      <c r="Y219">
        <v>90</v>
      </c>
      <c r="Z219">
        <f t="shared" ref="Z219:Z282" si="81">ROUND(Y219*1.6, 0)</f>
        <v>144</v>
      </c>
      <c r="AC219">
        <v>20.260000000000002</v>
      </c>
      <c r="AD219">
        <v>20</v>
      </c>
      <c r="AE219">
        <v>2.9</v>
      </c>
      <c r="AF219">
        <v>3.77</v>
      </c>
      <c r="AG219" s="10">
        <v>36</v>
      </c>
      <c r="AH219" t="str">
        <f>CONCATENATE(VLOOKUP(AI219, 'Voxel Sizes'!$A$2:$B$18,2,FALSE),"x",INT(AE219*15), "x", INT(AF219*15))</f>
        <v>198x43x56</v>
      </c>
      <c r="AI219">
        <f t="shared" si="67"/>
        <v>12</v>
      </c>
      <c r="AK219" t="str">
        <f>CONCATENATE(VLOOKUP(AI219,Constants!$A$2:$C$16,IF(AJ219&lt;&gt;"", 3, 2), FALSE),IF(AJ219&lt;&gt;"",CONCATENATE(",",VLOOKUP(AJ219,$B:$AK,36,FALSE)),""))</f>
        <v>4,4,4</v>
      </c>
      <c r="AO219" t="s">
        <v>526</v>
      </c>
      <c r="AQ219" t="s">
        <v>527</v>
      </c>
      <c r="AU219">
        <v>22</v>
      </c>
      <c r="AV219" s="15">
        <f t="shared" si="68"/>
        <v>21</v>
      </c>
      <c r="AW219">
        <v>-10</v>
      </c>
      <c r="AX219">
        <v>-15</v>
      </c>
      <c r="AY219">
        <f t="shared" si="69"/>
        <v>18</v>
      </c>
      <c r="AZ219">
        <f t="shared" si="70"/>
        <v>5</v>
      </c>
      <c r="BA219">
        <f t="shared" si="71"/>
        <v>7.75</v>
      </c>
      <c r="BB219" s="3">
        <f t="shared" si="72"/>
        <v>0.92</v>
      </c>
      <c r="BC219">
        <f t="shared" si="73"/>
        <v>7.1999999999999993</v>
      </c>
      <c r="BD219">
        <f>VLOOKUP($E219,Constants!$I:$K, 2, FALSE)</f>
        <v>1</v>
      </c>
      <c r="BE219">
        <f>VLOOKUP($E219,Constants!$I:$K, 3, FALSE)*IF(AND(D219="multiple_unit",Y219&lt;110),0.75,1)</f>
        <v>1.5</v>
      </c>
      <c r="BF219">
        <f>INT(POWER(((Constants!$G$2+$AY219+$AZ219+$BA219+$BC219)*$BB219)*$BE219, 1.05))+$AX219</f>
        <v>57</v>
      </c>
      <c r="BG219">
        <f>INT(POWER((((Constants!$G$1+$AY219+$AZ219+$BA219+$BC219)*($BB219))*$BD219),IF($D219="wagon",1,1.2)))+$AW219</f>
        <v>95</v>
      </c>
      <c r="BH219" s="14">
        <f t="shared" si="74"/>
        <v>44531.25</v>
      </c>
      <c r="BI219" s="14">
        <f t="shared" si="75"/>
        <v>7718.75</v>
      </c>
      <c r="BO219" t="s">
        <v>1146</v>
      </c>
      <c r="BP219">
        <v>2</v>
      </c>
      <c r="BQ219">
        <v>222</v>
      </c>
      <c r="BS219" t="s">
        <v>283</v>
      </c>
      <c r="BT219" t="str">
        <f>VLOOKUP(G219,Eras!$A$2:$C$10, 2, TRUE)</f>
        <v>dsl</v>
      </c>
      <c r="BU219" t="s">
        <v>332</v>
      </c>
      <c r="BV219" t="str">
        <f t="shared" si="76"/>
        <v>dsl_DMU (Express)</v>
      </c>
      <c r="BW219" t="str">
        <f t="shared" si="77"/>
        <v>diesel_RAIL</v>
      </c>
      <c r="BX219" t="str">
        <f>VLOOKUP($BW219, Constants!$M:$N, 2, FALSE)</f>
        <v>{BLACK}Powered by: {GOLD}Diesel</v>
      </c>
      <c r="BY219" t="str">
        <f t="shared" si="79"/>
        <v>{BLACK}Cars: {GOLD}6</v>
      </c>
      <c r="BZ219" t="s">
        <v>528</v>
      </c>
      <c r="CA219" t="str">
        <f t="shared" si="80"/>
        <v>{YELLOW}20% Bonus for long distance travel{}</v>
      </c>
      <c r="CB219" t="str">
        <f t="shared" si="78"/>
        <v>{BLACK}Powered by: {GOLD}Diesel {BLACK}Cars: {GOLD}6{}{YELLOW}20% Bonus for long distance travel{}{SILVER}The Blue Pullman is an express diesel multiple unit, designed to tempt motorists from their cars with a luxurious inter-city service.</v>
      </c>
    </row>
    <row r="220" spans="1:80" x14ac:dyDescent="0.3">
      <c r="A220" t="s">
        <v>126</v>
      </c>
      <c r="B220" t="s">
        <v>1132</v>
      </c>
      <c r="C220">
        <v>439</v>
      </c>
      <c r="D220" t="s">
        <v>404</v>
      </c>
      <c r="E220" t="s">
        <v>273</v>
      </c>
      <c r="F220" t="s">
        <v>275</v>
      </c>
      <c r="G220">
        <v>1960</v>
      </c>
      <c r="I220">
        <v>1973</v>
      </c>
      <c r="J220">
        <v>5</v>
      </c>
      <c r="K220">
        <v>1000</v>
      </c>
      <c r="T220">
        <f>304/6*5</f>
        <v>253.33333333333331</v>
      </c>
      <c r="V220">
        <v>3</v>
      </c>
      <c r="W220">
        <v>155</v>
      </c>
      <c r="X220" s="3">
        <f t="shared" si="66"/>
        <v>6.1184210526315799E-2</v>
      </c>
      <c r="Y220">
        <v>90</v>
      </c>
      <c r="Z220">
        <f t="shared" si="81"/>
        <v>144</v>
      </c>
      <c r="AC220">
        <v>20.260000000000002</v>
      </c>
      <c r="AD220">
        <v>20</v>
      </c>
      <c r="AE220">
        <v>2.9</v>
      </c>
      <c r="AF220">
        <v>3.77</v>
      </c>
      <c r="AG220" s="10">
        <v>36</v>
      </c>
      <c r="AH220" t="str">
        <f>CONCATENATE(VLOOKUP(AI220, 'Voxel Sizes'!$A$2:$B$18,2,FALSE),"x",INT(AE220*15), "x", INT(AF220*15))</f>
        <v>198x43x56</v>
      </c>
      <c r="AI220">
        <f t="shared" si="67"/>
        <v>12</v>
      </c>
      <c r="AK220" t="str">
        <f>CONCATENATE(VLOOKUP(AI220,Constants!$A$2:$C$16,IF(AJ220&lt;&gt;"", 3, 2), FALSE),IF(AJ220&lt;&gt;"",CONCATENATE(",",VLOOKUP(AJ220,$B:$AK,36,FALSE)),""))</f>
        <v>4,4,4</v>
      </c>
      <c r="AO220" t="s">
        <v>1133</v>
      </c>
      <c r="AQ220" t="s">
        <v>664</v>
      </c>
      <c r="AR220" t="s">
        <v>237</v>
      </c>
      <c r="AU220">
        <v>22</v>
      </c>
      <c r="AV220" s="15">
        <f t="shared" si="68"/>
        <v>21</v>
      </c>
      <c r="AW220">
        <v>-10</v>
      </c>
      <c r="AX220">
        <v>-15</v>
      </c>
      <c r="AY220">
        <f t="shared" si="69"/>
        <v>18</v>
      </c>
      <c r="AZ220">
        <f t="shared" si="70"/>
        <v>5</v>
      </c>
      <c r="BA220">
        <f t="shared" si="71"/>
        <v>7.75</v>
      </c>
      <c r="BB220" s="3">
        <f t="shared" si="72"/>
        <v>0.92</v>
      </c>
      <c r="BC220">
        <f t="shared" si="73"/>
        <v>6</v>
      </c>
      <c r="BD220">
        <f>VLOOKUP($E220,Constants!$I:$K, 2, FALSE)</f>
        <v>1</v>
      </c>
      <c r="BE220">
        <f>VLOOKUP($E220,Constants!$I:$K, 3, FALSE)*IF(AND(D220="multiple_unit",Y220&lt;110),0.75,1)</f>
        <v>1.5</v>
      </c>
      <c r="BF220">
        <f>INT(POWER(((Constants!$G$2+$AY220+$AZ220+$BA220+$BC220)*$BB220)*$BE220, 1.05))+$AX220</f>
        <v>55</v>
      </c>
      <c r="BG220">
        <f>INT(POWER((((Constants!$G$1+$AY220+$AZ220+$BA220+$BC220)*($BB220))*$BD220),IF($D220="wagon",1,1.2)))+$AW220</f>
        <v>93</v>
      </c>
      <c r="BH220" s="14">
        <f t="shared" si="74"/>
        <v>42968.75</v>
      </c>
      <c r="BI220" s="14">
        <f t="shared" si="75"/>
        <v>7556.25</v>
      </c>
      <c r="BO220" t="s">
        <v>1148</v>
      </c>
      <c r="BP220">
        <v>2</v>
      </c>
      <c r="BQ220">
        <v>222</v>
      </c>
      <c r="BS220" t="s">
        <v>283</v>
      </c>
      <c r="BT220" t="str">
        <f>VLOOKUP(G220,Eras!$A$2:$C$10, 2, TRUE)</f>
        <v>dsl</v>
      </c>
      <c r="BU220" t="s">
        <v>332</v>
      </c>
      <c r="BV220" t="str">
        <f t="shared" si="76"/>
        <v>dsl_DMU (Express)</v>
      </c>
      <c r="BW220" t="str">
        <f t="shared" si="77"/>
        <v>diesel_RAIL</v>
      </c>
      <c r="BX220" t="str">
        <f>VLOOKUP($BW220, Constants!$M:$N, 2, FALSE)</f>
        <v>{BLACK}Powered by: {GOLD}Diesel</v>
      </c>
      <c r="BY220" t="str">
        <f t="shared" si="79"/>
        <v>{BLACK}Cars: {GOLD}5</v>
      </c>
      <c r="BZ220" t="s">
        <v>528</v>
      </c>
      <c r="CA220" t="str">
        <f t="shared" si="80"/>
        <v>{YELLOW}20% Bonus for long distance travel{}</v>
      </c>
      <c r="CB220" t="str">
        <f t="shared" si="78"/>
        <v>{BLACK}Powered by: {GOLD}Diesel {BLACK}Cars: {GOLD}5{}{YELLOW}20% Bonus for long distance travel{}{SILVER}The Blue Pullman is an express diesel multiple unit, designed to tempt motorists from their cars with a luxurious inter-city service.</v>
      </c>
    </row>
    <row r="221" spans="1:80" x14ac:dyDescent="0.3">
      <c r="A221" t="s">
        <v>72</v>
      </c>
      <c r="B221" t="s">
        <v>218</v>
      </c>
      <c r="C221">
        <v>440</v>
      </c>
      <c r="D221" t="s">
        <v>404</v>
      </c>
      <c r="E221" t="s">
        <v>273</v>
      </c>
      <c r="F221" t="s">
        <v>275</v>
      </c>
      <c r="G221">
        <v>1960</v>
      </c>
      <c r="I221">
        <v>2017</v>
      </c>
      <c r="J221">
        <v>1</v>
      </c>
      <c r="K221">
        <v>300</v>
      </c>
      <c r="T221">
        <v>38</v>
      </c>
      <c r="V221">
        <v>5</v>
      </c>
      <c r="W221">
        <v>65</v>
      </c>
      <c r="X221" s="3">
        <f t="shared" si="66"/>
        <v>0.17105263157894737</v>
      </c>
      <c r="Y221">
        <v>70</v>
      </c>
      <c r="Z221">
        <f t="shared" si="81"/>
        <v>112</v>
      </c>
      <c r="AB221">
        <v>1</v>
      </c>
      <c r="AC221">
        <v>19.66</v>
      </c>
      <c r="AD221">
        <v>19.66</v>
      </c>
      <c r="AF221">
        <v>3.77</v>
      </c>
      <c r="AG221" s="10">
        <v>66</v>
      </c>
      <c r="AH221" t="str">
        <f>CONCATENATE(VLOOKUP(AI221, 'Voxel Sizes'!$A$2:$B$18,2,FALSE),"x",INT(AE221*15), "x", INT(AF221*15))</f>
        <v>198x0x56</v>
      </c>
      <c r="AI221">
        <f t="shared" si="67"/>
        <v>12</v>
      </c>
      <c r="AK221" t="str">
        <f>CONCATENATE(VLOOKUP(AI221,Constants!$A$2:$C$16,IF(AJ221&lt;&gt;"", 3, 2), FALSE),IF(AJ221&lt;&gt;"",CONCATENATE(",",VLOOKUP(AJ221,$B:$AK,36,FALSE)),""))</f>
        <v>4,4,4</v>
      </c>
      <c r="AO221" t="s">
        <v>218</v>
      </c>
      <c r="AQ221">
        <v>1</v>
      </c>
      <c r="AU221">
        <v>50</v>
      </c>
      <c r="AV221" s="15">
        <f t="shared" si="68"/>
        <v>65</v>
      </c>
      <c r="AW221">
        <v>-10</v>
      </c>
      <c r="AX221">
        <v>-15</v>
      </c>
      <c r="AY221">
        <f t="shared" si="69"/>
        <v>14</v>
      </c>
      <c r="AZ221">
        <f t="shared" si="70"/>
        <v>1.5</v>
      </c>
      <c r="BA221">
        <f t="shared" si="71"/>
        <v>3.25</v>
      </c>
      <c r="BB221" s="3">
        <f t="shared" si="72"/>
        <v>0.92</v>
      </c>
      <c r="BC221">
        <f t="shared" si="73"/>
        <v>2.2000000000000002</v>
      </c>
      <c r="BD221">
        <f>VLOOKUP($E221,Constants!$I:$K, 2, FALSE)</f>
        <v>1</v>
      </c>
      <c r="BE221">
        <f>VLOOKUP($E221,Constants!$I:$K, 3, FALSE)*IF(AND(D221="multiple_unit",Y221&lt;110),0.75,1)</f>
        <v>1.5</v>
      </c>
      <c r="BF221">
        <f>INT(POWER(((Constants!$G$2+$AY221+$AZ221+$BA221+$BC221)*$BB221)*$BE221, 1.05))+$AX221</f>
        <v>27</v>
      </c>
      <c r="BG221">
        <f>INT(POWER((((Constants!$G$1+$AY221+$AZ221+$BA221+$BC221)*($BB221))*$BD221),IF($D221="wagon",1,1.2)))+$AW221</f>
        <v>56</v>
      </c>
      <c r="BH221" s="14">
        <f t="shared" si="74"/>
        <v>21093.75</v>
      </c>
      <c r="BI221" s="14">
        <f t="shared" si="75"/>
        <v>4550</v>
      </c>
      <c r="BP221">
        <v>4</v>
      </c>
      <c r="BQ221">
        <v>185</v>
      </c>
      <c r="BS221" t="s">
        <v>283</v>
      </c>
      <c r="BT221" t="str">
        <f>VLOOKUP(G221,Eras!$A$2:$C$10, 2, TRUE)</f>
        <v>dsl</v>
      </c>
      <c r="BU221" t="s">
        <v>331</v>
      </c>
      <c r="BV221" t="str">
        <f t="shared" si="76"/>
        <v>dsl_DMU</v>
      </c>
      <c r="BW221" t="str">
        <f t="shared" si="77"/>
        <v>diesel_RAIL</v>
      </c>
      <c r="BX221" t="str">
        <f>VLOOKUP($BW221, Constants!$M:$N, 2, FALSE)</f>
        <v>{BLACK}Powered by: {GOLD}Diesel</v>
      </c>
      <c r="BY221" t="str">
        <f t="shared" si="79"/>
        <v/>
      </c>
      <c r="BZ221" t="s">
        <v>529</v>
      </c>
      <c r="CA221" t="str">
        <f t="shared" si="80"/>
        <v/>
      </c>
      <c r="CB221" t="str">
        <f t="shared" si="78"/>
        <v>{BLACK}Powered by: {GOLD}Diesel {}{SILVER}The "Bubble Car" units saw a long life on branch lines and rural railways. Two six-cylinder AEC or Leyland engines of 150hp each drive the wheels through a mechanical transmission.</v>
      </c>
    </row>
    <row r="222" spans="1:80" x14ac:dyDescent="0.3">
      <c r="A222" t="s">
        <v>616</v>
      </c>
      <c r="B222" t="s">
        <v>253</v>
      </c>
      <c r="C222">
        <v>442</v>
      </c>
      <c r="D222" t="s">
        <v>404</v>
      </c>
      <c r="E222" t="s">
        <v>296</v>
      </c>
      <c r="F222" t="s">
        <v>303</v>
      </c>
      <c r="G222">
        <v>1964</v>
      </c>
      <c r="H222">
        <v>1972</v>
      </c>
      <c r="I222">
        <v>2005</v>
      </c>
      <c r="J222">
        <v>4</v>
      </c>
      <c r="K222">
        <v>1000</v>
      </c>
      <c r="T222">
        <v>152</v>
      </c>
      <c r="V222">
        <v>5</v>
      </c>
      <c r="W222">
        <v>125</v>
      </c>
      <c r="X222" s="3">
        <f t="shared" si="66"/>
        <v>8.2236842105263164E-2</v>
      </c>
      <c r="Y222">
        <v>90</v>
      </c>
      <c r="Z222">
        <f t="shared" si="81"/>
        <v>144</v>
      </c>
      <c r="AC222">
        <f>80.98/4</f>
        <v>20.245000000000001</v>
      </c>
      <c r="AD222">
        <v>20.239999999999998</v>
      </c>
      <c r="AE222">
        <v>2.82</v>
      </c>
      <c r="AF222">
        <v>3.89</v>
      </c>
      <c r="AG222" s="10">
        <v>54</v>
      </c>
      <c r="AH222" t="str">
        <f>CONCATENATE(VLOOKUP(AI222, 'Voxel Sizes'!$A$2:$B$18,2,FALSE),"x",INT(AE222*15), "x", INT(AF222*15))</f>
        <v>198x42x58</v>
      </c>
      <c r="AI222">
        <f t="shared" si="67"/>
        <v>12</v>
      </c>
      <c r="AK222" t="str">
        <f>CONCATENATE(VLOOKUP(AI222,Constants!$A$2:$C$16,IF(AJ222&lt;&gt;"", 3, 2), FALSE),IF(AJ222&lt;&gt;"",CONCATENATE(",",VLOOKUP(AJ222,$B:$AK,36,FALSE)),""))</f>
        <v>4,4,4</v>
      </c>
      <c r="AO222" t="s">
        <v>626</v>
      </c>
      <c r="AQ222" t="s">
        <v>624</v>
      </c>
      <c r="AU222">
        <v>40</v>
      </c>
      <c r="AV222" s="15">
        <f t="shared" si="68"/>
        <v>49</v>
      </c>
      <c r="AW222">
        <v>-10</v>
      </c>
      <c r="AX222">
        <v>-20</v>
      </c>
      <c r="AY222">
        <f t="shared" si="69"/>
        <v>18</v>
      </c>
      <c r="AZ222">
        <f t="shared" si="70"/>
        <v>5</v>
      </c>
      <c r="BA222">
        <f t="shared" si="71"/>
        <v>6.25</v>
      </c>
      <c r="BB222" s="3">
        <f t="shared" si="72"/>
        <v>0.91466666666666663</v>
      </c>
      <c r="BC222">
        <f t="shared" si="73"/>
        <v>7.1999999999999993</v>
      </c>
      <c r="BD222">
        <f>VLOOKUP($E222,Constants!$I:$K, 2, FALSE)</f>
        <v>0.85</v>
      </c>
      <c r="BE222">
        <f>VLOOKUP($E222,Constants!$I:$K, 3, FALSE)*IF(AND(D222="multiple_unit",Y222&lt;110),0.75,1)</f>
        <v>1.7249999999999999</v>
      </c>
      <c r="BF222">
        <f>INT(POWER(((Constants!$G$2+$AY222+$AZ222+$BA222+$BC222)*$BB222)*$BE222, 1.05))+$AX222</f>
        <v>60</v>
      </c>
      <c r="BG222">
        <f>INT(POWER((((Constants!$G$1+$AY222+$AZ222+$BA222+$BC222)*($BB222))*$BD222),IF($D222="wagon",1,1.2)))+$AW222</f>
        <v>73</v>
      </c>
      <c r="BH222" s="14">
        <f t="shared" si="74"/>
        <v>46875</v>
      </c>
      <c r="BI222" s="14">
        <f t="shared" si="75"/>
        <v>5931.25</v>
      </c>
      <c r="BM222" t="s">
        <v>617</v>
      </c>
      <c r="BP222">
        <v>5</v>
      </c>
      <c r="BQ222">
        <v>185</v>
      </c>
      <c r="BS222" t="s">
        <v>283</v>
      </c>
      <c r="BT222" t="str">
        <f>VLOOKUP(G222,Eras!$A$2:$C$10, 2, TRUE)</f>
        <v>dsl</v>
      </c>
      <c r="BU222" t="s">
        <v>334</v>
      </c>
      <c r="BV222" t="str">
        <f t="shared" si="76"/>
        <v>dsl_EMU (Express)</v>
      </c>
      <c r="BW222" t="str">
        <f t="shared" si="77"/>
        <v>electric_THIRD_RAIL</v>
      </c>
      <c r="BX222" t="str">
        <f>VLOOKUP($BW222, Constants!$M:$N, 2, FALSE)</f>
        <v>{BLACK}Powered by: {GOLD}750V DC</v>
      </c>
      <c r="BY222" t="str">
        <f t="shared" si="79"/>
        <v>{BLACK}Cars: {GOLD}4</v>
      </c>
      <c r="BZ222" t="s">
        <v>623</v>
      </c>
      <c r="CA222" t="str">
        <f t="shared" si="80"/>
        <v/>
      </c>
      <c r="CB222" t="str">
        <f t="shared" si="78"/>
        <v>{BLACK}Powered by: {GOLD}750V DC {BLACK}Cars: {GOLD}4{}{SILVER}The Class 421 4 CIG (Corridor, brIGhton) was a third rail EMU with express gearing, used in the Southern Region. It was based on the Mk1 carriage design.</v>
      </c>
    </row>
    <row r="223" spans="1:80" x14ac:dyDescent="0.3">
      <c r="A223" t="s">
        <v>86</v>
      </c>
      <c r="B223" t="s">
        <v>620</v>
      </c>
      <c r="C223">
        <v>444</v>
      </c>
      <c r="D223" t="s">
        <v>404</v>
      </c>
      <c r="E223" t="s">
        <v>296</v>
      </c>
      <c r="F223" t="s">
        <v>297</v>
      </c>
      <c r="G223">
        <v>1965</v>
      </c>
      <c r="I223">
        <v>2002</v>
      </c>
      <c r="J223">
        <v>4</v>
      </c>
      <c r="K223">
        <v>1080</v>
      </c>
      <c r="T223">
        <v>158</v>
      </c>
      <c r="V223">
        <v>5</v>
      </c>
      <c r="W223">
        <v>130</v>
      </c>
      <c r="X223" s="3">
        <f t="shared" si="66"/>
        <v>8.2278481012658222E-2</v>
      </c>
      <c r="Y223">
        <v>75</v>
      </c>
      <c r="Z223">
        <f t="shared" si="81"/>
        <v>120</v>
      </c>
      <c r="AC223">
        <v>19.850000000000001</v>
      </c>
      <c r="AD223">
        <v>19.850000000000001</v>
      </c>
      <c r="AE223">
        <v>2.82</v>
      </c>
      <c r="AF223">
        <v>3.97</v>
      </c>
      <c r="AG223" s="10">
        <v>57</v>
      </c>
      <c r="AH223" t="str">
        <f>CONCATENATE(VLOOKUP(AI223, 'Voxel Sizes'!$A$2:$B$18,2,FALSE),"x",INT(AE223*15), "x", INT(AF223*15))</f>
        <v>198x42x59</v>
      </c>
      <c r="AI223">
        <f t="shared" si="67"/>
        <v>12</v>
      </c>
      <c r="AK223" t="str">
        <f>CONCATENATE(VLOOKUP(AI223,Constants!$A$2:$C$16,IF(AJ223&lt;&gt;"", 3, 2), FALSE),IF(AJ223&lt;&gt;"",CONCATENATE(",",VLOOKUP(AJ223,$B:$AK,36,FALSE)),""))</f>
        <v>4,4,4</v>
      </c>
      <c r="AO223" t="s">
        <v>621</v>
      </c>
      <c r="AQ223" t="s">
        <v>555</v>
      </c>
      <c r="AU223">
        <v>32</v>
      </c>
      <c r="AV223" s="15">
        <f t="shared" si="68"/>
        <v>45</v>
      </c>
      <c r="AW223">
        <v>-10</v>
      </c>
      <c r="AX223">
        <v>-20</v>
      </c>
      <c r="AY223">
        <f t="shared" si="69"/>
        <v>15</v>
      </c>
      <c r="AZ223">
        <f t="shared" si="70"/>
        <v>5.4</v>
      </c>
      <c r="BA223">
        <f t="shared" si="71"/>
        <v>6.5</v>
      </c>
      <c r="BB223" s="3">
        <f t="shared" si="72"/>
        <v>0.91333333333333333</v>
      </c>
      <c r="BC223">
        <f t="shared" si="73"/>
        <v>7.6</v>
      </c>
      <c r="BD223">
        <f>VLOOKUP($E223,Constants!$I:$K, 2, FALSE)</f>
        <v>0.85</v>
      </c>
      <c r="BE223">
        <f>VLOOKUP($E223,Constants!$I:$K, 3, FALSE)*IF(AND(D223="multiple_unit",Y223&lt;110),0.75,1)</f>
        <v>1.7249999999999999</v>
      </c>
      <c r="BF223">
        <f>INT(POWER(((Constants!$G$2+$AY223+$AZ223+$BA223+$BC223)*$BB223)*$BE223, 1.05))+$AX223</f>
        <v>56</v>
      </c>
      <c r="BG223">
        <f>INT(POWER((((Constants!$G$1+$AY223+$AZ223+$BA223+$BC223)*($BB223))*$BD223),IF($D223="wagon",1,1.2)))+$AW223</f>
        <v>69</v>
      </c>
      <c r="BH223" s="14">
        <f t="shared" si="74"/>
        <v>43750</v>
      </c>
      <c r="BI223" s="14">
        <f t="shared" si="75"/>
        <v>5606.25</v>
      </c>
      <c r="BP223">
        <v>6</v>
      </c>
      <c r="BQ223">
        <v>185</v>
      </c>
      <c r="BS223" t="s">
        <v>283</v>
      </c>
      <c r="BT223" t="str">
        <f>VLOOKUP(G223,Eras!$A$2:$C$10, 2, TRUE)</f>
        <v>dsl</v>
      </c>
      <c r="BU223" t="s">
        <v>332</v>
      </c>
      <c r="BV223" t="str">
        <f t="shared" si="76"/>
        <v>dsl_DMU (Express)</v>
      </c>
      <c r="BW223" t="str">
        <f t="shared" si="77"/>
        <v>electric_ELRL</v>
      </c>
      <c r="BX223" t="str">
        <f>VLOOKUP($BW223, Constants!$M:$N, 2, FALSE)</f>
        <v>{BLACK}Powered by: {GOLD}25kV AC</v>
      </c>
      <c r="BY223" t="str">
        <f t="shared" si="79"/>
        <v>{BLACK}Cars: {GOLD}4</v>
      </c>
      <c r="BZ223" t="s">
        <v>622</v>
      </c>
      <c r="CA223" t="str">
        <f t="shared" si="80"/>
        <v/>
      </c>
      <c r="CB223" t="str">
        <f t="shared" si="78"/>
        <v>{BLACK}Powered by: {GOLD}25kV AC {BLACK}Cars: {GOLD}4{}{SILVER}The AM10 was the first EMU to be based on the Mk2 carriage bodyshell. They were introduced as part of the West Coast Main Line electrification.</v>
      </c>
    </row>
    <row r="224" spans="1:80" x14ac:dyDescent="0.3">
      <c r="A224" t="s">
        <v>78</v>
      </c>
      <c r="B224" t="s">
        <v>185</v>
      </c>
      <c r="C224">
        <v>446</v>
      </c>
      <c r="D224" t="s">
        <v>404</v>
      </c>
      <c r="E224" t="s">
        <v>552</v>
      </c>
      <c r="F224" t="s">
        <v>551</v>
      </c>
      <c r="G224">
        <v>1976</v>
      </c>
      <c r="H224">
        <v>1977</v>
      </c>
      <c r="J224">
        <v>3</v>
      </c>
      <c r="K224">
        <v>880</v>
      </c>
      <c r="T224">
        <v>104.5</v>
      </c>
      <c r="V224">
        <v>5</v>
      </c>
      <c r="W224">
        <v>140</v>
      </c>
      <c r="X224" s="3">
        <f t="shared" si="66"/>
        <v>0.13397129186602871</v>
      </c>
      <c r="Y224">
        <v>75</v>
      </c>
      <c r="Z224">
        <f t="shared" si="81"/>
        <v>120</v>
      </c>
      <c r="AC224">
        <v>20.329999999999998</v>
      </c>
      <c r="AD224">
        <v>20.329999999999998</v>
      </c>
      <c r="AF224">
        <v>3.58</v>
      </c>
      <c r="AG224" s="10">
        <v>75</v>
      </c>
      <c r="AH224" t="str">
        <f>CONCATENATE(VLOOKUP(AI224, 'Voxel Sizes'!$A$2:$B$18,2,FALSE),"x",INT(AE224*15), "x", INT(AF224*15))</f>
        <v>198x0x53</v>
      </c>
      <c r="AI224">
        <f t="shared" si="67"/>
        <v>12</v>
      </c>
      <c r="AK224" t="str">
        <f>CONCATENATE(VLOOKUP(AI224,Constants!$A$2:$C$16,IF(AJ224&lt;&gt;"", 3, 2), FALSE),IF(AJ224&lt;&gt;"",CONCATENATE(",",VLOOKUP(AJ224,$B:$AK,36,FALSE)),""))</f>
        <v>4,4,4</v>
      </c>
      <c r="AO224" t="s">
        <v>549</v>
      </c>
      <c r="AP224" t="s">
        <v>554</v>
      </c>
      <c r="AQ224" t="s">
        <v>292</v>
      </c>
      <c r="AU224">
        <v>35</v>
      </c>
      <c r="AV224" s="15" t="str">
        <f t="shared" si="68"/>
        <v/>
      </c>
      <c r="AW224">
        <v>-10</v>
      </c>
      <c r="AX224">
        <v>-20</v>
      </c>
      <c r="AY224">
        <f t="shared" si="69"/>
        <v>15</v>
      </c>
      <c r="AZ224">
        <f t="shared" si="70"/>
        <v>4.4000000000000004</v>
      </c>
      <c r="BA224">
        <f t="shared" si="71"/>
        <v>7</v>
      </c>
      <c r="BB224" s="3">
        <f t="shared" si="72"/>
        <v>0.89866666666666672</v>
      </c>
      <c r="BC224">
        <f t="shared" si="73"/>
        <v>7.5</v>
      </c>
      <c r="BD224">
        <f>VLOOKUP($E224,Constants!$I:$K, 2, FALSE)</f>
        <v>0.85</v>
      </c>
      <c r="BE224">
        <f>VLOOKUP($E224,Constants!$I:$K, 3, FALSE)*IF(AND(D224="multiple_unit",Y224&lt;110),0.75,1)</f>
        <v>1.7999999999999998</v>
      </c>
      <c r="BF224">
        <f>INT(POWER(((Constants!$G$2+$AY224+$AZ224+$BA224+$BC224)*$BB224)*$BE224, 1.05))+$AX224</f>
        <v>57</v>
      </c>
      <c r="BG224">
        <f>INT(POWER((((Constants!$G$1+$AY224+$AZ224+$BA224+$BC224)*($BB224))*$BD224),IF($D224="wagon",1,1.2)))+$AW224</f>
        <v>67</v>
      </c>
      <c r="BH224" s="14">
        <f t="shared" si="74"/>
        <v>44531.25</v>
      </c>
      <c r="BI224" s="14">
        <f t="shared" si="75"/>
        <v>5443.75</v>
      </c>
      <c r="BP224">
        <v>7</v>
      </c>
      <c r="BQ224">
        <v>185</v>
      </c>
      <c r="BS224" t="s">
        <v>283</v>
      </c>
      <c r="BT224" t="str">
        <f>VLOOKUP(G224,Eras!$A$2:$C$10, 2, TRUE)</f>
        <v>lbr</v>
      </c>
      <c r="BU224" t="s">
        <v>333</v>
      </c>
      <c r="BV224" t="str">
        <f t="shared" si="76"/>
        <v>lbr_EMU</v>
      </c>
      <c r="BW224" t="str">
        <f t="shared" si="77"/>
        <v>dual_electric_DUAL_POWER</v>
      </c>
      <c r="BX224" t="str">
        <f>VLOOKUP($BW224, Constants!$M:$N, 2, FALSE)</f>
        <v>{BLACK}Powered by: {GOLD}25kV AC / 750V DC</v>
      </c>
      <c r="BY224" t="str">
        <f t="shared" si="79"/>
        <v>{BLACK}Cars: {GOLD}3</v>
      </c>
      <c r="BZ224" t="s">
        <v>550</v>
      </c>
      <c r="CA224" t="str">
        <f t="shared" si="80"/>
        <v/>
      </c>
      <c r="CB224" t="str">
        <f t="shared" si="78"/>
        <v>{BLACK}Powered by: {GOLD}25kV AC / 750V DC {BLACK}Cars: {GOLD}3{}{SILVER}The Class 313 is a dual voltage EMU capable of running both on overhead electrified lines and third rail systems.</v>
      </c>
    </row>
    <row r="225" spans="1:80" x14ac:dyDescent="0.3">
      <c r="A225" t="s">
        <v>667</v>
      </c>
      <c r="B225" t="s">
        <v>668</v>
      </c>
      <c r="C225">
        <v>448</v>
      </c>
      <c r="D225" t="s">
        <v>404</v>
      </c>
      <c r="E225" t="s">
        <v>296</v>
      </c>
      <c r="F225" t="s">
        <v>297</v>
      </c>
      <c r="G225">
        <v>1979</v>
      </c>
      <c r="H225">
        <v>1986</v>
      </c>
      <c r="I225">
        <v>1988</v>
      </c>
      <c r="J225">
        <v>14</v>
      </c>
      <c r="K225">
        <v>8000</v>
      </c>
      <c r="T225">
        <v>434</v>
      </c>
      <c r="V225">
        <v>4</v>
      </c>
      <c r="W225">
        <v>210</v>
      </c>
      <c r="X225" s="3">
        <f t="shared" si="66"/>
        <v>4.8387096774193547E-2</v>
      </c>
      <c r="Y225">
        <v>155</v>
      </c>
      <c r="Z225">
        <f t="shared" si="81"/>
        <v>248</v>
      </c>
      <c r="AC225">
        <v>20.9</v>
      </c>
      <c r="AD225">
        <v>20.9</v>
      </c>
      <c r="AE225">
        <v>2.7</v>
      </c>
      <c r="AF225">
        <v>3.5</v>
      </c>
      <c r="AG225" s="10">
        <v>39</v>
      </c>
      <c r="AH225" t="str">
        <f>CONCATENATE(VLOOKUP(AI225, 'Voxel Sizes'!$A$2:$B$18,2,FALSE),"x",INT(AE225*15), "x", INT(AF225*15))</f>
        <v>198x40x52</v>
      </c>
      <c r="AI225">
        <f t="shared" si="67"/>
        <v>12</v>
      </c>
      <c r="AK225" t="str">
        <f>CONCATENATE(VLOOKUP(AI225,Constants!$A$2:$C$16,IF(AJ225&lt;&gt;"", 3, 2), FALSE),IF(AJ225&lt;&gt;"",CONCATENATE(",",VLOOKUP(AJ225,$B:$AK,36,FALSE)),""))</f>
        <v>4,4,4</v>
      </c>
      <c r="AO225" t="s">
        <v>670</v>
      </c>
      <c r="AQ225" t="s">
        <v>677</v>
      </c>
      <c r="AU225">
        <v>12</v>
      </c>
      <c r="AV225" s="15">
        <f t="shared" si="68"/>
        <v>17</v>
      </c>
      <c r="AY225">
        <f t="shared" si="69"/>
        <v>30</v>
      </c>
      <c r="AZ225">
        <f t="shared" si="70"/>
        <v>20</v>
      </c>
      <c r="BA225">
        <f t="shared" si="71"/>
        <v>10.5</v>
      </c>
      <c r="BB225" s="3">
        <f t="shared" si="72"/>
        <v>0.89466666666666672</v>
      </c>
      <c r="BC225">
        <f t="shared" si="73"/>
        <v>18.2</v>
      </c>
      <c r="BD225">
        <f>VLOOKUP($E225,Constants!$I:$K, 2, FALSE)</f>
        <v>0.85</v>
      </c>
      <c r="BE225">
        <f>VLOOKUP($E225,Constants!$I:$K, 3, FALSE)*IF(AND(D225="multiple_unit",Y225&lt;110),0.75,1)</f>
        <v>2.2999999999999998</v>
      </c>
      <c r="BF225">
        <f>INT(POWER(((Constants!$G$2+$AY225+$AZ225+$BA225+$BC225)*$BB225)*$BE225, 1.05))+$AX225</f>
        <v>222</v>
      </c>
      <c r="BG225">
        <f>INT(POWER((((Constants!$G$1+$AY225+$AZ225+$BA225+$BC225)*($BB225))*$BD225),IF($D225="wagon",1,1.2)))+$AW225</f>
        <v>167</v>
      </c>
      <c r="BH225" s="14">
        <f t="shared" si="74"/>
        <v>173437.5</v>
      </c>
      <c r="BI225" s="14">
        <f t="shared" si="75"/>
        <v>13568.75</v>
      </c>
      <c r="BL225">
        <v>1</v>
      </c>
      <c r="BO225" t="s">
        <v>1150</v>
      </c>
      <c r="BP225">
        <v>8</v>
      </c>
      <c r="BQ225">
        <v>222</v>
      </c>
      <c r="BS225" t="s">
        <v>283</v>
      </c>
      <c r="BT225" t="str">
        <f>VLOOKUP(G225,Eras!$A$2:$C$10, 2, TRUE)</f>
        <v>lbr</v>
      </c>
      <c r="BU225" t="s">
        <v>334</v>
      </c>
      <c r="BV225" t="str">
        <f t="shared" si="76"/>
        <v>lbr_EMU (Express)</v>
      </c>
      <c r="BW225" t="str">
        <f t="shared" si="77"/>
        <v>electric_ELRL</v>
      </c>
      <c r="BX225" t="str">
        <f>VLOOKUP($BW225, Constants!$M:$N, 2, FALSE)</f>
        <v>{BLACK}Powered by: {GOLD}25kV AC</v>
      </c>
      <c r="BY225" t="str">
        <f t="shared" si="79"/>
        <v>{BLACK}Cars: {GOLD}14</v>
      </c>
      <c r="BZ225" t="s">
        <v>669</v>
      </c>
      <c r="CA225" t="str">
        <f t="shared" si="80"/>
        <v>{YELLOW}20% Bonus for long distance travel{}</v>
      </c>
      <c r="CB225" t="str">
        <f t="shared" si="78"/>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6" spans="1:80" x14ac:dyDescent="0.3">
      <c r="A226" t="s">
        <v>667</v>
      </c>
      <c r="B226" t="s">
        <v>1127</v>
      </c>
      <c r="C226">
        <v>449</v>
      </c>
      <c r="D226" t="s">
        <v>404</v>
      </c>
      <c r="E226" t="s">
        <v>296</v>
      </c>
      <c r="F226" t="s">
        <v>297</v>
      </c>
      <c r="G226">
        <v>1979</v>
      </c>
      <c r="H226">
        <v>1986</v>
      </c>
      <c r="I226">
        <v>1988</v>
      </c>
      <c r="J226">
        <v>8</v>
      </c>
      <c r="K226">
        <v>8000</v>
      </c>
      <c r="T226">
        <f>(434/14)*8</f>
        <v>248</v>
      </c>
      <c r="V226">
        <v>4</v>
      </c>
      <c r="W226">
        <v>210</v>
      </c>
      <c r="X226" s="3">
        <f t="shared" si="66"/>
        <v>8.4677419354838704E-2</v>
      </c>
      <c r="Y226">
        <v>155</v>
      </c>
      <c r="Z226">
        <f t="shared" si="81"/>
        <v>248</v>
      </c>
      <c r="AC226">
        <v>20.9</v>
      </c>
      <c r="AD226">
        <v>20.9</v>
      </c>
      <c r="AE226">
        <v>2.7</v>
      </c>
      <c r="AF226">
        <v>3.5</v>
      </c>
      <c r="AG226" s="10">
        <v>39</v>
      </c>
      <c r="AH226" t="str">
        <f>CONCATENATE(VLOOKUP(AI226, 'Voxel Sizes'!$A$2:$B$18,2,FALSE),"x",INT(AE226*15), "x", INT(AF226*15))</f>
        <v>198x40x52</v>
      </c>
      <c r="AI226">
        <f t="shared" si="67"/>
        <v>12</v>
      </c>
      <c r="AK226" t="str">
        <f>CONCATENATE(VLOOKUP(AI226,Constants!$A$2:$C$16,IF(AJ226&lt;&gt;"", 3, 2), FALSE),IF(AJ226&lt;&gt;"",CONCATENATE(",",VLOOKUP(AJ226,$B:$AK,36,FALSE)),""))</f>
        <v>4,4,4</v>
      </c>
      <c r="AO226" t="s">
        <v>1141</v>
      </c>
      <c r="AQ226" t="s">
        <v>694</v>
      </c>
      <c r="AR226" t="s">
        <v>668</v>
      </c>
      <c r="AU226">
        <v>12</v>
      </c>
      <c r="AV226" s="15">
        <f t="shared" si="68"/>
        <v>17</v>
      </c>
      <c r="AY226">
        <f t="shared" si="69"/>
        <v>30</v>
      </c>
      <c r="AZ226">
        <f t="shared" si="70"/>
        <v>20</v>
      </c>
      <c r="BA226">
        <f t="shared" si="71"/>
        <v>10.5</v>
      </c>
      <c r="BB226" s="3">
        <f t="shared" si="72"/>
        <v>0.89466666666666672</v>
      </c>
      <c r="BC226">
        <f t="shared" si="73"/>
        <v>10.4</v>
      </c>
      <c r="BD226">
        <f>VLOOKUP($E226,Constants!$I:$K, 2, FALSE)</f>
        <v>0.85</v>
      </c>
      <c r="BE226">
        <f>VLOOKUP($E226,Constants!$I:$K, 3, FALSE)*IF(AND(D226="multiple_unit",Y226&lt;110),0.75,1)</f>
        <v>2.2999999999999998</v>
      </c>
      <c r="BF226">
        <f>INT(POWER(((Constants!$G$2+$AY226+$AZ226+$BA226+$BC226)*$BB226)*$BE226, 1.05))+$AX226</f>
        <v>201</v>
      </c>
      <c r="BG226">
        <f>INT(POWER((((Constants!$G$1+$AY226+$AZ226+$BA226+$BC226)*($BB226))*$BD226),IF($D226="wagon",1,1.2)))+$AW226</f>
        <v>150</v>
      </c>
      <c r="BH226" s="14">
        <f t="shared" si="74"/>
        <v>157031.25</v>
      </c>
      <c r="BI226" s="14">
        <f t="shared" si="75"/>
        <v>12187.5</v>
      </c>
      <c r="BL226">
        <v>1</v>
      </c>
      <c r="BO226" t="s">
        <v>1149</v>
      </c>
      <c r="BP226">
        <v>8</v>
      </c>
      <c r="BQ226">
        <v>222</v>
      </c>
      <c r="BS226" t="s">
        <v>283</v>
      </c>
      <c r="BT226" t="str">
        <f>VLOOKUP(G226,Eras!$A$2:$C$10, 2, TRUE)</f>
        <v>lbr</v>
      </c>
      <c r="BU226" t="s">
        <v>334</v>
      </c>
      <c r="BV226" t="str">
        <f t="shared" si="76"/>
        <v>lbr_EMU (Express)</v>
      </c>
      <c r="BW226" t="str">
        <f t="shared" si="77"/>
        <v>electric_ELRL</v>
      </c>
      <c r="BX226" t="str">
        <f>VLOOKUP($BW226, Constants!$M:$N, 2, FALSE)</f>
        <v>{BLACK}Powered by: {GOLD}25kV AC</v>
      </c>
      <c r="BY226" t="str">
        <f t="shared" si="79"/>
        <v>{BLACK}Cars: {GOLD}8</v>
      </c>
      <c r="BZ226" t="s">
        <v>669</v>
      </c>
      <c r="CA226" t="str">
        <f t="shared" si="80"/>
        <v>{YELLOW}20% Bonus for long distance travel{}</v>
      </c>
      <c r="CB226" t="str">
        <f t="shared" si="78"/>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7" spans="1:80" x14ac:dyDescent="0.3">
      <c r="A227" t="s">
        <v>667</v>
      </c>
      <c r="B227" t="s">
        <v>1142</v>
      </c>
      <c r="C227">
        <v>450</v>
      </c>
      <c r="D227" t="s">
        <v>404</v>
      </c>
      <c r="E227" t="s">
        <v>296</v>
      </c>
      <c r="F227" t="s">
        <v>297</v>
      </c>
      <c r="G227">
        <v>1979</v>
      </c>
      <c r="H227">
        <v>1986</v>
      </c>
      <c r="I227">
        <v>1988</v>
      </c>
      <c r="J227">
        <v>5</v>
      </c>
      <c r="K227">
        <v>8000</v>
      </c>
      <c r="T227">
        <f>(434/14)*5</f>
        <v>155</v>
      </c>
      <c r="V227">
        <v>4</v>
      </c>
      <c r="W227">
        <v>210</v>
      </c>
      <c r="X227" s="3">
        <f t="shared" si="66"/>
        <v>0.13548387096774195</v>
      </c>
      <c r="Y227">
        <v>155</v>
      </c>
      <c r="Z227">
        <f t="shared" si="81"/>
        <v>248</v>
      </c>
      <c r="AC227">
        <v>20.9</v>
      </c>
      <c r="AD227">
        <v>20.9</v>
      </c>
      <c r="AE227">
        <v>2.7</v>
      </c>
      <c r="AF227">
        <v>3.5</v>
      </c>
      <c r="AG227" s="10">
        <v>39</v>
      </c>
      <c r="AH227" t="str">
        <f>CONCATENATE(VLOOKUP(AI227, 'Voxel Sizes'!$A$2:$B$18,2,FALSE),"x",INT(AE227*15), "x", INT(AF227*15))</f>
        <v>198x40x52</v>
      </c>
      <c r="AI227">
        <f t="shared" si="67"/>
        <v>12</v>
      </c>
      <c r="AK227" t="str">
        <f>CONCATENATE(VLOOKUP(AI227,Constants!$A$2:$C$16,IF(AJ227&lt;&gt;"", 3, 2), FALSE),IF(AJ227&lt;&gt;"",CONCATENATE(",",VLOOKUP(AJ227,$B:$AK,36,FALSE)),""))</f>
        <v>4,4,4</v>
      </c>
      <c r="AO227" t="s">
        <v>1147</v>
      </c>
      <c r="AQ227" t="s">
        <v>664</v>
      </c>
      <c r="AR227" t="s">
        <v>668</v>
      </c>
      <c r="AU227">
        <v>12</v>
      </c>
      <c r="AV227" s="15">
        <f t="shared" si="68"/>
        <v>17</v>
      </c>
      <c r="AY227">
        <f t="shared" si="69"/>
        <v>30</v>
      </c>
      <c r="AZ227">
        <f t="shared" si="70"/>
        <v>20</v>
      </c>
      <c r="BA227">
        <f t="shared" si="71"/>
        <v>10.5</v>
      </c>
      <c r="BB227" s="3">
        <f t="shared" si="72"/>
        <v>0.89466666666666672</v>
      </c>
      <c r="BC227">
        <f t="shared" si="73"/>
        <v>6.5</v>
      </c>
      <c r="BD227">
        <f>VLOOKUP($E227,Constants!$I:$K, 2, FALSE)</f>
        <v>0.85</v>
      </c>
      <c r="BE227">
        <f>VLOOKUP($E227,Constants!$I:$K, 3, FALSE)*IF(AND(D227="multiple_unit",Y227&lt;110),0.75,1)</f>
        <v>2.2999999999999998</v>
      </c>
      <c r="BF227">
        <f>INT(POWER(((Constants!$G$2+$AY227+$AZ227+$BA227+$BC227)*$BB227)*$BE227, 1.05))+$AX227</f>
        <v>190</v>
      </c>
      <c r="BG227">
        <f>INT(POWER((((Constants!$G$1+$AY227+$AZ227+$BA227+$BC227)*($BB227))*$BD227),IF($D227="wagon",1,1.2)))+$AW227</f>
        <v>142</v>
      </c>
      <c r="BH227" s="14">
        <f t="shared" si="74"/>
        <v>148437.5</v>
      </c>
      <c r="BI227" s="14">
        <f t="shared" si="75"/>
        <v>11537.5</v>
      </c>
      <c r="BL227">
        <v>1</v>
      </c>
      <c r="BO227" t="s">
        <v>1148</v>
      </c>
      <c r="BP227">
        <v>8</v>
      </c>
      <c r="BQ227">
        <v>222</v>
      </c>
      <c r="BS227" t="s">
        <v>283</v>
      </c>
      <c r="BT227" t="str">
        <f>VLOOKUP(G227,Eras!$A$2:$C$10, 2, TRUE)</f>
        <v>lbr</v>
      </c>
      <c r="BU227" t="s">
        <v>334</v>
      </c>
      <c r="BV227" t="str">
        <f t="shared" si="76"/>
        <v>lbr_EMU (Express)</v>
      </c>
      <c r="BW227" t="str">
        <f t="shared" si="77"/>
        <v>electric_ELRL</v>
      </c>
      <c r="BX227" t="str">
        <f>VLOOKUP($BW227, Constants!$M:$N, 2, FALSE)</f>
        <v>{BLACK}Powered by: {GOLD}25kV AC</v>
      </c>
      <c r="BY227" t="str">
        <f t="shared" si="79"/>
        <v>{BLACK}Cars: {GOLD}5</v>
      </c>
      <c r="BZ227" t="s">
        <v>669</v>
      </c>
      <c r="CA227" t="str">
        <f t="shared" si="80"/>
        <v>{YELLOW}20% Bonus for long distance travel{}</v>
      </c>
      <c r="CB227" t="str">
        <f t="shared" si="78"/>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8" spans="1:80" x14ac:dyDescent="0.3">
      <c r="A228" t="s">
        <v>77</v>
      </c>
      <c r="B228" t="s">
        <v>184</v>
      </c>
      <c r="C228">
        <v>452</v>
      </c>
      <c r="D228" t="s">
        <v>404</v>
      </c>
      <c r="E228" t="s">
        <v>296</v>
      </c>
      <c r="F228" t="s">
        <v>297</v>
      </c>
      <c r="G228">
        <v>1980</v>
      </c>
      <c r="H228">
        <v>1981</v>
      </c>
      <c r="J228">
        <v>4</v>
      </c>
      <c r="K228">
        <v>880</v>
      </c>
      <c r="T228">
        <v>127.5</v>
      </c>
      <c r="V228">
        <v>5</v>
      </c>
      <c r="W228">
        <v>140</v>
      </c>
      <c r="X228" s="3">
        <f t="shared" si="66"/>
        <v>0.10980392156862745</v>
      </c>
      <c r="Y228">
        <v>75</v>
      </c>
      <c r="Z228">
        <f t="shared" si="81"/>
        <v>120</v>
      </c>
      <c r="AC228">
        <v>19.8</v>
      </c>
      <c r="AD228">
        <v>19.8</v>
      </c>
      <c r="AF228">
        <v>3.58</v>
      </c>
      <c r="AG228" s="10">
        <v>78</v>
      </c>
      <c r="AH228" t="str">
        <f>CONCATENATE(VLOOKUP(AI228, 'Voxel Sizes'!$A$2:$B$18,2,FALSE),"x",INT(AE228*15), "x", INT(AF228*15))</f>
        <v>198x0x53</v>
      </c>
      <c r="AI228">
        <f t="shared" si="67"/>
        <v>12</v>
      </c>
      <c r="AK228" t="str">
        <f>CONCATENATE(VLOOKUP(AI228,Constants!$A$2:$C$16,IF(AJ228&lt;&gt;"", 3, 2), FALSE),IF(AJ228&lt;&gt;"",CONCATENATE(",",VLOOKUP(AJ228,$B:$AK,36,FALSE)),""))</f>
        <v>4,4,4</v>
      </c>
      <c r="AO228" t="s">
        <v>557</v>
      </c>
      <c r="AQ228" t="s">
        <v>555</v>
      </c>
      <c r="AU228">
        <v>35</v>
      </c>
      <c r="AV228" s="15" t="str">
        <f t="shared" si="68"/>
        <v/>
      </c>
      <c r="AW228">
        <v>-10</v>
      </c>
      <c r="AX228">
        <v>-20</v>
      </c>
      <c r="AY228">
        <f t="shared" si="69"/>
        <v>15</v>
      </c>
      <c r="AZ228">
        <f t="shared" si="70"/>
        <v>4.4000000000000004</v>
      </c>
      <c r="BA228">
        <f t="shared" si="71"/>
        <v>7</v>
      </c>
      <c r="BB228" s="3">
        <f t="shared" si="72"/>
        <v>0.89333333333333331</v>
      </c>
      <c r="BC228">
        <f t="shared" si="73"/>
        <v>10.4</v>
      </c>
      <c r="BD228">
        <f>VLOOKUP($E228,Constants!$I:$K, 2, FALSE)</f>
        <v>0.85</v>
      </c>
      <c r="BE228">
        <f>VLOOKUP($E228,Constants!$I:$K, 3, FALSE)*IF(AND(D228="multiple_unit",Y228&lt;110),0.75,1)</f>
        <v>1.7249999999999999</v>
      </c>
      <c r="BF228">
        <f>INT(POWER(((Constants!$G$2+$AY228+$AZ228+$BA228+$BC228)*$BB228)*$BE228, 1.05))+$AX228</f>
        <v>59</v>
      </c>
      <c r="BG228">
        <f>INT(POWER((((Constants!$G$1+$AY228+$AZ228+$BA228+$BC228)*($BB228))*$BD228),IF($D228="wagon",1,1.2)))+$AW228</f>
        <v>71</v>
      </c>
      <c r="BH228" s="14">
        <f t="shared" si="74"/>
        <v>46093.75</v>
      </c>
      <c r="BI228" s="14">
        <f t="shared" si="75"/>
        <v>5768.75</v>
      </c>
      <c r="BP228">
        <v>11</v>
      </c>
      <c r="BQ228">
        <v>185</v>
      </c>
      <c r="BS228" t="s">
        <v>283</v>
      </c>
      <c r="BT228" t="str">
        <f>VLOOKUP(G228,Eras!$A$2:$C$10, 2, TRUE)</f>
        <v>lbr</v>
      </c>
      <c r="BU228" t="s">
        <v>333</v>
      </c>
      <c r="BV228" t="str">
        <f t="shared" si="76"/>
        <v>lbr_EMU</v>
      </c>
      <c r="BW228" t="str">
        <f t="shared" si="77"/>
        <v>electric_ELRL</v>
      </c>
      <c r="BX228" t="str">
        <f>VLOOKUP($BW228, Constants!$M:$N, 2, FALSE)</f>
        <v>{BLACK}Powered by: {GOLD}25kV AC</v>
      </c>
      <c r="BY228" t="str">
        <f t="shared" si="79"/>
        <v>{BLACK}Cars: {GOLD}4</v>
      </c>
      <c r="BZ228" t="s">
        <v>556</v>
      </c>
      <c r="CA228" t="str">
        <f t="shared" si="80"/>
        <v/>
      </c>
      <c r="CB228" t="str">
        <f t="shared" si="78"/>
        <v>{BLACK}Powered by: {GOLD}25kV AC {BLACK}Cars: {GOLD}4{}{SILVER}The Class 315 is the last class of the 1972 standard EMU design, running on 25kV overhead AC power and used for inner suburban services.</v>
      </c>
    </row>
    <row r="229" spans="1:80" x14ac:dyDescent="0.3">
      <c r="A229" t="s">
        <v>83</v>
      </c>
      <c r="B229" t="s">
        <v>186</v>
      </c>
      <c r="C229">
        <v>454</v>
      </c>
      <c r="D229" t="s">
        <v>404</v>
      </c>
      <c r="E229" t="s">
        <v>296</v>
      </c>
      <c r="F229" t="s">
        <v>303</v>
      </c>
      <c r="G229">
        <v>1982</v>
      </c>
      <c r="J229">
        <v>4</v>
      </c>
      <c r="K229">
        <v>992</v>
      </c>
      <c r="T229">
        <v>136</v>
      </c>
      <c r="V229">
        <v>5</v>
      </c>
      <c r="W229">
        <v>150</v>
      </c>
      <c r="X229" s="3">
        <f t="shared" si="66"/>
        <v>0.11029411764705882</v>
      </c>
      <c r="Y229">
        <v>75</v>
      </c>
      <c r="Z229">
        <f t="shared" si="81"/>
        <v>120</v>
      </c>
      <c r="AC229">
        <v>19.8</v>
      </c>
      <c r="AD229">
        <v>19.8</v>
      </c>
      <c r="AG229" s="10">
        <v>78</v>
      </c>
      <c r="AH229" t="str">
        <f>CONCATENATE(VLOOKUP(AI229, 'Voxel Sizes'!$A$2:$B$18,2,FALSE),"x",INT(AE229*15), "x", INT(AF229*15))</f>
        <v>198x0x0</v>
      </c>
      <c r="AI229">
        <f t="shared" si="67"/>
        <v>12</v>
      </c>
      <c r="AK229" t="str">
        <f>CONCATENATE(VLOOKUP(AI229,Constants!$A$2:$C$16,IF(AJ229&lt;&gt;"", 3, 2), FALSE),IF(AJ229&lt;&gt;"",CONCATENATE(",",VLOOKUP(AJ229,$B:$AK,36,FALSE)),""))</f>
        <v>4,4,4</v>
      </c>
      <c r="AO229" t="s">
        <v>607</v>
      </c>
      <c r="AQ229" t="s">
        <v>465</v>
      </c>
      <c r="AU229">
        <v>35</v>
      </c>
      <c r="AV229" s="15" t="str">
        <f t="shared" si="68"/>
        <v/>
      </c>
      <c r="AW229">
        <v>-10</v>
      </c>
      <c r="AX229">
        <v>-20</v>
      </c>
      <c r="AY229">
        <f t="shared" si="69"/>
        <v>15</v>
      </c>
      <c r="AZ229">
        <f t="shared" si="70"/>
        <v>4.96</v>
      </c>
      <c r="BA229">
        <f t="shared" si="71"/>
        <v>7.5</v>
      </c>
      <c r="BB229" s="3">
        <f t="shared" si="72"/>
        <v>0.89066666666666672</v>
      </c>
      <c r="BC229">
        <f t="shared" si="73"/>
        <v>10.4</v>
      </c>
      <c r="BD229">
        <f>VLOOKUP($E229,Constants!$I:$K, 2, FALSE)</f>
        <v>0.85</v>
      </c>
      <c r="BE229">
        <f>VLOOKUP($E229,Constants!$I:$K, 3, FALSE)*IF(AND(D229="multiple_unit",Y229&lt;110),0.75,1)</f>
        <v>1.7249999999999999</v>
      </c>
      <c r="BF229">
        <f>INT(POWER(((Constants!$G$2+$AY229+$AZ229+$BA229+$BC229)*$BB229)*$BE229, 1.05))+$AX229</f>
        <v>61</v>
      </c>
      <c r="BG229">
        <f>INT(POWER((((Constants!$G$1+$AY229+$AZ229+$BA229+$BC229)*($BB229))*$BD229),IF($D229="wagon",1,1.2)))+$AW229</f>
        <v>73</v>
      </c>
      <c r="BH229" s="14">
        <f t="shared" si="74"/>
        <v>47656.25</v>
      </c>
      <c r="BI229" s="14">
        <f t="shared" si="75"/>
        <v>5931.25</v>
      </c>
      <c r="BM229" t="s">
        <v>187</v>
      </c>
      <c r="BP229">
        <v>12</v>
      </c>
      <c r="BQ229">
        <v>185</v>
      </c>
      <c r="BS229" t="s">
        <v>283</v>
      </c>
      <c r="BT229" t="str">
        <f>VLOOKUP(G229,Eras!$A$2:$C$10, 2, TRUE)</f>
        <v>lbr</v>
      </c>
      <c r="BU229" t="s">
        <v>333</v>
      </c>
      <c r="BV229" t="str">
        <f t="shared" si="76"/>
        <v>lbr_EMU</v>
      </c>
      <c r="BW229" t="str">
        <f t="shared" si="77"/>
        <v>electric_THIRD_RAIL</v>
      </c>
      <c r="BX229" t="str">
        <f>VLOOKUP($BW229, Constants!$M:$N, 2, FALSE)</f>
        <v>{BLACK}Powered by: {GOLD}750V DC</v>
      </c>
      <c r="BY229" t="str">
        <f t="shared" si="79"/>
        <v>{BLACK}Cars: {GOLD}4</v>
      </c>
      <c r="BZ229" t="s">
        <v>608</v>
      </c>
      <c r="CA229" t="str">
        <f t="shared" si="80"/>
        <v/>
      </c>
      <c r="CB229" t="str">
        <f t="shared" si="78"/>
        <v>{BLACK}Powered by: {GOLD}750V DC {BLACK}Cars: {GOLD}4{}{SILVER}The Class 455 is a DC third rail version of British Rail's second generation EMU design. Some units re-used existing carriages from the Class 508, recognisable by the different side profile.</v>
      </c>
    </row>
    <row r="230" spans="1:80" x14ac:dyDescent="0.3">
      <c r="A230" t="s">
        <v>87</v>
      </c>
      <c r="B230" t="s">
        <v>629</v>
      </c>
      <c r="C230">
        <v>456</v>
      </c>
      <c r="D230" t="s">
        <v>404</v>
      </c>
      <c r="E230" t="s">
        <v>273</v>
      </c>
      <c r="F230" t="s">
        <v>275</v>
      </c>
      <c r="G230">
        <v>1984</v>
      </c>
      <c r="H230">
        <v>1987</v>
      </c>
      <c r="J230">
        <v>2</v>
      </c>
      <c r="K230">
        <f>286*2</f>
        <v>572</v>
      </c>
      <c r="T230">
        <f>35.8*2</f>
        <v>71.599999999999994</v>
      </c>
      <c r="V230">
        <v>5</v>
      </c>
      <c r="W230">
        <v>110</v>
      </c>
      <c r="X230" s="3">
        <f t="shared" si="66"/>
        <v>0.15363128491620112</v>
      </c>
      <c r="Y230">
        <v>75</v>
      </c>
      <c r="Z230">
        <f t="shared" si="81"/>
        <v>120</v>
      </c>
      <c r="AC230">
        <v>20</v>
      </c>
      <c r="AD230">
        <v>20</v>
      </c>
      <c r="AE230">
        <v>2.81</v>
      </c>
      <c r="AF230">
        <v>3.7</v>
      </c>
      <c r="AG230" s="10">
        <v>63</v>
      </c>
      <c r="AH230" t="str">
        <f>CONCATENATE(VLOOKUP(AI230, 'Voxel Sizes'!$A$2:$B$18,2,FALSE),"x",INT(AE230*15), "x", INT(AF230*15))</f>
        <v>198x42x55</v>
      </c>
      <c r="AI230">
        <f t="shared" si="67"/>
        <v>12</v>
      </c>
      <c r="AK230" t="str">
        <f>CONCATENATE(VLOOKUP(AI230,Constants!$A$2:$C$16,IF(AJ230&lt;&gt;"", 3, 2), FALSE),IF(AJ230&lt;&gt;"",CONCATENATE(",",VLOOKUP(AJ230,$B:$AK,36,FALSE)),""))</f>
        <v>4,4,4</v>
      </c>
      <c r="AO230" t="s">
        <v>628</v>
      </c>
      <c r="AQ230" t="s">
        <v>467</v>
      </c>
      <c r="AU230">
        <v>28</v>
      </c>
      <c r="AV230" s="15" t="str">
        <f t="shared" si="68"/>
        <v/>
      </c>
      <c r="AW230">
        <v>-10</v>
      </c>
      <c r="AX230">
        <v>-15</v>
      </c>
      <c r="AY230">
        <f t="shared" si="69"/>
        <v>15</v>
      </c>
      <c r="AZ230">
        <f t="shared" si="70"/>
        <v>2.86</v>
      </c>
      <c r="BA230">
        <f t="shared" si="71"/>
        <v>5.5</v>
      </c>
      <c r="BB230" s="3">
        <f t="shared" si="72"/>
        <v>0.88800000000000001</v>
      </c>
      <c r="BC230">
        <f t="shared" si="73"/>
        <v>4.2</v>
      </c>
      <c r="BD230">
        <f>VLOOKUP($E230,Constants!$I:$K, 2, FALSE)</f>
        <v>1</v>
      </c>
      <c r="BE230">
        <f>VLOOKUP($E230,Constants!$I:$K, 3, FALSE)*IF(AND(D230="multiple_unit",Y230&lt;110),0.75,1)</f>
        <v>1.5</v>
      </c>
      <c r="BF230">
        <f>INT(POWER(((Constants!$G$2+$AY230+$AZ230+$BA230+$BC230)*$BB230)*$BE230, 1.05))+$AX230</f>
        <v>37</v>
      </c>
      <c r="BG230">
        <f>INT(POWER((((Constants!$G$1+$AY230+$AZ230+$BA230+$BC230)*($BB230))*$BD230),IF($D230="wagon",1,1.2)))+$AW230</f>
        <v>68</v>
      </c>
      <c r="BH230" s="14">
        <f t="shared" si="74"/>
        <v>28906.25</v>
      </c>
      <c r="BI230" s="14">
        <f t="shared" si="75"/>
        <v>5525</v>
      </c>
      <c r="BM230" t="s">
        <v>1112</v>
      </c>
      <c r="BP230">
        <v>1</v>
      </c>
      <c r="BQ230">
        <v>185</v>
      </c>
      <c r="BS230" t="s">
        <v>283</v>
      </c>
      <c r="BT230" t="str">
        <f>VLOOKUP(G230,Eras!$A$2:$C$10, 2, TRUE)</f>
        <v>lbr</v>
      </c>
      <c r="BU230" t="s">
        <v>331</v>
      </c>
      <c r="BV230" t="str">
        <f t="shared" si="76"/>
        <v>lbr_DMU</v>
      </c>
      <c r="BW230" t="str">
        <f t="shared" si="77"/>
        <v>diesel_RAIL</v>
      </c>
      <c r="BX230" t="str">
        <f>VLOOKUP($BW230, Constants!$M:$N, 2, FALSE)</f>
        <v>{BLACK}Powered by: {GOLD}Diesel</v>
      </c>
      <c r="BY230" t="str">
        <f t="shared" si="79"/>
        <v>{BLACK}Cars: {GOLD}2</v>
      </c>
      <c r="BZ230" t="s">
        <v>627</v>
      </c>
      <c r="CA230" t="str">
        <f t="shared" si="80"/>
        <v/>
      </c>
      <c r="CB230" t="str">
        <f t="shared" si="78"/>
        <v>{BLACK}Powered by: {GOLD}Diesel {BLACK}Cars: {GOLD}2{}{SILVER}The Sprinter replaced first-generation DMUs. Like other second-generation units it was based on the Mark 3 bodyshell. The name refers to its faster acceleration compared to the units it replaced.</v>
      </c>
    </row>
    <row r="231" spans="1:80" x14ac:dyDescent="0.3">
      <c r="A231" t="s">
        <v>644</v>
      </c>
      <c r="B231" t="s">
        <v>227</v>
      </c>
      <c r="C231">
        <v>458</v>
      </c>
      <c r="D231" t="s">
        <v>404</v>
      </c>
      <c r="E231" t="s">
        <v>273</v>
      </c>
      <c r="F231" t="s">
        <v>275</v>
      </c>
      <c r="G231">
        <v>1984</v>
      </c>
      <c r="H231">
        <v>1988</v>
      </c>
      <c r="I231">
        <v>2005</v>
      </c>
      <c r="J231">
        <v>2</v>
      </c>
      <c r="K231">
        <v>205</v>
      </c>
      <c r="T231">
        <f>26+26.5</f>
        <v>52.5</v>
      </c>
      <c r="V231">
        <v>5</v>
      </c>
      <c r="W231">
        <v>70</v>
      </c>
      <c r="X231" s="3">
        <f t="shared" si="66"/>
        <v>0.13333333333333333</v>
      </c>
      <c r="Y231">
        <v>75</v>
      </c>
      <c r="Z231">
        <f t="shared" si="81"/>
        <v>120</v>
      </c>
      <c r="AC231">
        <v>15.45</v>
      </c>
      <c r="AD231">
        <v>15.45</v>
      </c>
      <c r="AE231">
        <v>2.5</v>
      </c>
      <c r="AF231">
        <v>3.9</v>
      </c>
      <c r="AG231" s="10">
        <v>46</v>
      </c>
      <c r="AH231" t="str">
        <f>CONCATENATE(VLOOKUP(AI231, 'Voxel Sizes'!$A$2:$B$18,2,FALSE),"x",INT(AE231*15), "x", INT(AF231*15))</f>
        <v>152x37x58</v>
      </c>
      <c r="AI231">
        <f t="shared" si="67"/>
        <v>9</v>
      </c>
      <c r="AK231" t="str">
        <f>CONCATENATE(VLOOKUP(AI231,Constants!$A$2:$C$16,IF(AJ231&lt;&gt;"", 3, 2), FALSE),IF(AJ231&lt;&gt;"",CONCATENATE(",",VLOOKUP(AJ231,$B:$AK,36,FALSE)),""))</f>
        <v>2,5,2</v>
      </c>
      <c r="AO231" t="s">
        <v>639</v>
      </c>
      <c r="AQ231" t="s">
        <v>467</v>
      </c>
      <c r="AU231">
        <v>18</v>
      </c>
      <c r="AV231" s="15">
        <f t="shared" si="68"/>
        <v>29</v>
      </c>
      <c r="AW231">
        <v>-35</v>
      </c>
      <c r="AX231">
        <v>-20</v>
      </c>
      <c r="AY231">
        <f t="shared" si="69"/>
        <v>15</v>
      </c>
      <c r="AZ231">
        <f t="shared" si="70"/>
        <v>1.0249999999999999</v>
      </c>
      <c r="BA231">
        <f t="shared" si="71"/>
        <v>3.5</v>
      </c>
      <c r="BB231" s="3">
        <f t="shared" si="72"/>
        <v>0.88800000000000001</v>
      </c>
      <c r="BC231">
        <f t="shared" si="73"/>
        <v>3.0666666666666664</v>
      </c>
      <c r="BD231">
        <f>VLOOKUP($E231,Constants!$I:$K, 2, FALSE)</f>
        <v>1</v>
      </c>
      <c r="BE231">
        <f>VLOOKUP($E231,Constants!$I:$K, 3, FALSE)*IF(AND(D231="multiple_unit",Y231&lt;110),0.75,1)</f>
        <v>1.5</v>
      </c>
      <c r="BF231">
        <f>INT(POWER(((Constants!$G$2+$AY231+$AZ231+$BA231+$BC231)*$BB231)*$BE231, 1.05))+$AX231</f>
        <v>24</v>
      </c>
      <c r="BG231">
        <f>INT(POWER((((Constants!$G$1+$AY231+$AZ231+$BA231+$BC231)*($BB231))*$BD231),IF($D231="wagon",1,1.2)))+$AW231</f>
        <v>32</v>
      </c>
      <c r="BH231" s="14">
        <f t="shared" si="74"/>
        <v>18750</v>
      </c>
      <c r="BI231" s="14">
        <f t="shared" si="75"/>
        <v>2600</v>
      </c>
      <c r="BM231" t="s">
        <v>1113</v>
      </c>
      <c r="BP231">
        <v>2</v>
      </c>
      <c r="BQ231">
        <v>148</v>
      </c>
      <c r="BS231" t="s">
        <v>283</v>
      </c>
      <c r="BT231" t="str">
        <f>VLOOKUP(G231,Eras!$A$2:$C$10, 2, TRUE)</f>
        <v>lbr</v>
      </c>
      <c r="BU231" t="s">
        <v>330</v>
      </c>
      <c r="BV231" t="str">
        <f t="shared" si="76"/>
        <v>lbr_DMU (Cheap)</v>
      </c>
      <c r="BW231" t="str">
        <f t="shared" si="77"/>
        <v>diesel_RAIL</v>
      </c>
      <c r="BX231" t="str">
        <f>VLOOKUP($BW231, Constants!$M:$N, 2, FALSE)</f>
        <v>{BLACK}Powered by: {GOLD}Diesel</v>
      </c>
      <c r="BY231" t="str">
        <f t="shared" si="79"/>
        <v>{BLACK}Cars: {GOLD}2</v>
      </c>
      <c r="BZ231" t="s">
        <v>645</v>
      </c>
      <c r="CA231" t="str">
        <f t="shared" si="80"/>
        <v>{YELLOW}20% Penalty for long distance travel{}</v>
      </c>
      <c r="CB231" t="str">
        <f t="shared" si="78"/>
        <v>{BLACK}Powered by: {GOLD}Diesel {BLACK}Cars: {GOLD}2{}{YELLOW}20% Penalty for long distance travel{}{SILVER}The Class 141 is a multiple unit built from Leyland National bus parts. While cheap and light, it is criticised for its poor ride quality.</v>
      </c>
    </row>
    <row r="232" spans="1:80" x14ac:dyDescent="0.3">
      <c r="A232" t="s">
        <v>76</v>
      </c>
      <c r="B232" t="s">
        <v>183</v>
      </c>
      <c r="C232">
        <v>460</v>
      </c>
      <c r="D232" t="s">
        <v>404</v>
      </c>
      <c r="E232" t="s">
        <v>552</v>
      </c>
      <c r="F232" t="s">
        <v>551</v>
      </c>
      <c r="G232">
        <v>1987</v>
      </c>
      <c r="H232">
        <v>1990</v>
      </c>
      <c r="J232">
        <v>4</v>
      </c>
      <c r="K232">
        <f>4*332</f>
        <v>1328</v>
      </c>
      <c r="T232">
        <v>140.30000000000001</v>
      </c>
      <c r="V232">
        <v>5</v>
      </c>
      <c r="W232">
        <v>160</v>
      </c>
      <c r="X232" s="3">
        <f t="shared" si="66"/>
        <v>0.11404133998574484</v>
      </c>
      <c r="Y232">
        <v>100</v>
      </c>
      <c r="Z232">
        <f t="shared" si="81"/>
        <v>160</v>
      </c>
      <c r="AC232">
        <v>19.829999999999998</v>
      </c>
      <c r="AD232">
        <v>19.829999999999998</v>
      </c>
      <c r="AF232">
        <v>3.58</v>
      </c>
      <c r="AG232" s="10">
        <v>78</v>
      </c>
      <c r="AH232" t="str">
        <f>CONCATENATE(VLOOKUP(AI232, 'Voxel Sizes'!$A$2:$B$18,2,FALSE),"x",INT(AE232*15), "x", INT(AF232*15))</f>
        <v>198x0x53</v>
      </c>
      <c r="AI232">
        <f t="shared" si="67"/>
        <v>12</v>
      </c>
      <c r="AK232" t="str">
        <f>CONCATENATE(VLOOKUP(AI232,Constants!$A$2:$C$16,IF(AJ232&lt;&gt;"", 3, 2), FALSE),IF(AJ232&lt;&gt;"",CONCATENATE(",",VLOOKUP(AJ232,$B:$AK,36,FALSE)),""))</f>
        <v>4,4,4</v>
      </c>
      <c r="AO232" t="s">
        <v>565</v>
      </c>
      <c r="AP232" t="s">
        <v>566</v>
      </c>
      <c r="AQ232" t="s">
        <v>555</v>
      </c>
      <c r="AU232">
        <v>32</v>
      </c>
      <c r="AV232" s="15" t="str">
        <f t="shared" si="68"/>
        <v/>
      </c>
      <c r="AW232">
        <v>-10</v>
      </c>
      <c r="AX232">
        <v>-20</v>
      </c>
      <c r="AY232">
        <f t="shared" si="69"/>
        <v>20</v>
      </c>
      <c r="AZ232">
        <f t="shared" si="70"/>
        <v>6.6400000000000006</v>
      </c>
      <c r="BA232">
        <f t="shared" si="71"/>
        <v>8</v>
      </c>
      <c r="BB232" s="3">
        <f t="shared" si="72"/>
        <v>0.88400000000000001</v>
      </c>
      <c r="BC232">
        <f t="shared" si="73"/>
        <v>10.4</v>
      </c>
      <c r="BD232">
        <f>VLOOKUP($E232,Constants!$I:$K, 2, FALSE)</f>
        <v>0.85</v>
      </c>
      <c r="BE232">
        <f>VLOOKUP($E232,Constants!$I:$K, 3, FALSE)*IF(AND(D232="multiple_unit",Y232&lt;110),0.75,1)</f>
        <v>1.7999999999999998</v>
      </c>
      <c r="BF232">
        <f>INT(POWER(((Constants!$G$2+$AY232+$AZ232+$BA232+$BC232)*$BB232)*$BE232, 1.05))+$AX232</f>
        <v>79</v>
      </c>
      <c r="BG232">
        <f>INT(POWER((((Constants!$G$1+$AY232+$AZ232+$BA232+$BC232)*($BB232))*$BD232),IF($D232="wagon",1,1.2)))+$AW232</f>
        <v>86</v>
      </c>
      <c r="BH232" s="14">
        <f t="shared" si="74"/>
        <v>61718.75</v>
      </c>
      <c r="BI232" s="14">
        <f t="shared" si="75"/>
        <v>6987.5</v>
      </c>
      <c r="BP232">
        <v>3</v>
      </c>
      <c r="BQ232">
        <v>185</v>
      </c>
      <c r="BS232" t="s">
        <v>283</v>
      </c>
      <c r="BT232" t="str">
        <f>VLOOKUP(G232,Eras!$A$2:$C$10, 2, TRUE)</f>
        <v>lbr</v>
      </c>
      <c r="BU232" t="s">
        <v>333</v>
      </c>
      <c r="BV232" t="str">
        <f t="shared" si="76"/>
        <v>lbr_EMU</v>
      </c>
      <c r="BW232" t="str">
        <f t="shared" si="77"/>
        <v>dual_electric_DUAL_POWER</v>
      </c>
      <c r="BX232" t="str">
        <f>VLOOKUP($BW232, Constants!$M:$N, 2, FALSE)</f>
        <v>{BLACK}Powered by: {GOLD}25kV AC / 750V DC</v>
      </c>
      <c r="BY232" t="str">
        <f t="shared" si="79"/>
        <v>{BLACK}Cars: {GOLD}4</v>
      </c>
      <c r="BZ232" t="s">
        <v>564</v>
      </c>
      <c r="CA232" t="str">
        <f t="shared" si="80"/>
        <v/>
      </c>
      <c r="CB232" t="str">
        <f t="shared" si="78"/>
        <v>{BLACK}Powered by: {GOLD}25kV AC / 750V DC {BLACK}Cars: {GOLD}4{}{SILVER}The Class 319 is a dual-voltage EMU built for the then-new Thameslink service between Brighton and Bedford.</v>
      </c>
    </row>
    <row r="233" spans="1:80" x14ac:dyDescent="0.3">
      <c r="A233" t="s">
        <v>1435</v>
      </c>
      <c r="B233" t="s">
        <v>1436</v>
      </c>
      <c r="C233">
        <v>461</v>
      </c>
      <c r="D233" t="s">
        <v>404</v>
      </c>
      <c r="E233" t="s">
        <v>296</v>
      </c>
      <c r="F233" t="s">
        <v>297</v>
      </c>
      <c r="G233">
        <v>1988</v>
      </c>
      <c r="H233">
        <v>1991</v>
      </c>
      <c r="J233">
        <v>4</v>
      </c>
      <c r="K233">
        <v>1438</v>
      </c>
      <c r="T233">
        <v>137.9</v>
      </c>
      <c r="V233">
        <v>5</v>
      </c>
      <c r="W233">
        <v>150</v>
      </c>
      <c r="X233" s="3">
        <f t="shared" si="66"/>
        <v>0.10877447425670776</v>
      </c>
      <c r="Y233">
        <v>100</v>
      </c>
      <c r="Z233">
        <f t="shared" si="81"/>
        <v>160</v>
      </c>
      <c r="AC233">
        <v>19.95</v>
      </c>
      <c r="AD233">
        <v>19.95</v>
      </c>
      <c r="AF233">
        <v>3.78</v>
      </c>
      <c r="AG233" s="10">
        <v>78</v>
      </c>
      <c r="AH233" t="str">
        <f>CONCATENATE(VLOOKUP(AI233, 'Voxel Sizes'!$A$2:$B$18,2,FALSE),"x",INT(AE233*15), "x", INT(AF233*15))</f>
        <v>198x0x56</v>
      </c>
      <c r="AI233">
        <f t="shared" si="67"/>
        <v>12</v>
      </c>
      <c r="AK233" t="str">
        <f>CONCATENATE(VLOOKUP(AI233,Constants!$A$2:$C$16,IF(AJ233&lt;&gt;"", 3, 2), FALSE),IF(AJ233&lt;&gt;"",CONCATENATE(",",VLOOKUP(AJ233,$B:$AK,36,FALSE)),""))</f>
        <v>4,4,4</v>
      </c>
      <c r="AO233" t="s">
        <v>1437</v>
      </c>
      <c r="AQ233" t="s">
        <v>555</v>
      </c>
      <c r="AU233">
        <v>33</v>
      </c>
      <c r="AV233" s="15" t="str">
        <f t="shared" si="68"/>
        <v/>
      </c>
      <c r="AW233">
        <v>-10</v>
      </c>
      <c r="AX233">
        <v>-27</v>
      </c>
      <c r="AY233">
        <f t="shared" si="69"/>
        <v>20</v>
      </c>
      <c r="AZ233">
        <f t="shared" si="70"/>
        <v>7.1899999999999995</v>
      </c>
      <c r="BA233">
        <f t="shared" si="71"/>
        <v>7.5</v>
      </c>
      <c r="BB233" s="3">
        <f t="shared" si="72"/>
        <v>0.88266666666666671</v>
      </c>
      <c r="BC233">
        <f t="shared" si="73"/>
        <v>10.4</v>
      </c>
      <c r="BD233">
        <f>VLOOKUP($E233,Constants!$I:$K, 2, FALSE)</f>
        <v>0.85</v>
      </c>
      <c r="BE233">
        <f>VLOOKUP($E233,Constants!$I:$K, 3, FALSE)*IF(AND(D233="multiple_unit",Y233&lt;110),0.75,1)</f>
        <v>1.7249999999999999</v>
      </c>
      <c r="BF233">
        <f>INT(POWER(((Constants!$G$2+$AY233+$AZ233+$BA233+$BC233)*$BB233)*$BE233, 1.05))+$AX233</f>
        <v>67</v>
      </c>
      <c r="BG233">
        <f>INT(POWER((((Constants!$G$1+$AY233+$AZ233+$BA233+$BC233)*($BB233))*$BD233),IF($D233="wagon",1,1.2)))+$AW233</f>
        <v>86</v>
      </c>
      <c r="BH233" s="14">
        <f t="shared" si="74"/>
        <v>52343.75</v>
      </c>
      <c r="BI233" s="14">
        <f t="shared" si="75"/>
        <v>6987.5</v>
      </c>
      <c r="BP233">
        <v>9</v>
      </c>
      <c r="BQ233">
        <v>185</v>
      </c>
      <c r="BS233" t="s">
        <v>283</v>
      </c>
      <c r="BT233" t="str">
        <f>VLOOKUP(G233,Eras!$A$2:$C$10, 2, TRUE)</f>
        <v>lbr</v>
      </c>
      <c r="BU233" t="s">
        <v>333</v>
      </c>
      <c r="BV233" t="str">
        <f t="shared" si="76"/>
        <v>lbr_EMU</v>
      </c>
      <c r="BW233" t="str">
        <f t="shared" si="77"/>
        <v>electric_ELRL</v>
      </c>
      <c r="BX233" t="str">
        <f>VLOOKUP($BW233, Constants!$M:$N, 2, FALSE)</f>
        <v>{BLACK}Powered by: {GOLD}25kV AC</v>
      </c>
      <c r="BY233" t="str">
        <f t="shared" si="79"/>
        <v>{BLACK}Cars: {GOLD}4</v>
      </c>
      <c r="BZ233" t="s">
        <v>1438</v>
      </c>
      <c r="CA233" t="str">
        <f t="shared" si="80"/>
        <v/>
      </c>
      <c r="CB233" t="str">
        <f t="shared" si="78"/>
        <v>{BLACK}Powered by: {GOLD}25kV AC {BLACK}Cars: {GOLD}4{}{SILVER}The Class 321 is an overhead-line EMU, originally built for Network South East services and Regional Railways services from Leeds.</v>
      </c>
    </row>
    <row r="234" spans="1:80" x14ac:dyDescent="0.3">
      <c r="A234" t="s">
        <v>630</v>
      </c>
      <c r="B234" t="s">
        <v>224</v>
      </c>
      <c r="C234">
        <v>462</v>
      </c>
      <c r="D234" t="s">
        <v>404</v>
      </c>
      <c r="E234" t="s">
        <v>273</v>
      </c>
      <c r="F234" t="s">
        <v>275</v>
      </c>
      <c r="G234">
        <v>1988</v>
      </c>
      <c r="J234">
        <v>2</v>
      </c>
      <c r="K234">
        <f>285*2</f>
        <v>570</v>
      </c>
      <c r="T234">
        <f>35.5+36.1</f>
        <v>71.599999999999994</v>
      </c>
      <c r="V234">
        <v>5</v>
      </c>
      <c r="W234">
        <v>110</v>
      </c>
      <c r="X234" s="3">
        <f t="shared" si="66"/>
        <v>0.15363128491620112</v>
      </c>
      <c r="Y234">
        <v>75</v>
      </c>
      <c r="Z234">
        <f t="shared" si="81"/>
        <v>120</v>
      </c>
      <c r="AC234">
        <v>23</v>
      </c>
      <c r="AD234">
        <v>23</v>
      </c>
      <c r="AE234">
        <v>2.8</v>
      </c>
      <c r="AF234">
        <v>3.7</v>
      </c>
      <c r="AG234" s="10">
        <v>69</v>
      </c>
      <c r="AH234" t="str">
        <f>CONCATENATE(VLOOKUP(AI234, 'Voxel Sizes'!$A$2:$B$18,2,FALSE),"x",INT(AE234*15), "x", INT(AF234*15))</f>
        <v>214x42x55</v>
      </c>
      <c r="AI234">
        <f t="shared" si="67"/>
        <v>13</v>
      </c>
      <c r="AK234" t="str">
        <f>CONCATENATE(VLOOKUP(AI234,Constants!$A$2:$C$16,IF(AJ234&lt;&gt;"", 3, 2), FALSE),IF(AJ234&lt;&gt;"",CONCATENATE(",",VLOOKUP(AJ234,$B:$AK,36,FALSE)),""))</f>
        <v>4,5,4</v>
      </c>
      <c r="AO234" t="s">
        <v>632</v>
      </c>
      <c r="AQ234" t="s">
        <v>467</v>
      </c>
      <c r="AU234">
        <v>33</v>
      </c>
      <c r="AV234" s="15" t="str">
        <f t="shared" si="68"/>
        <v/>
      </c>
      <c r="AW234">
        <v>-10</v>
      </c>
      <c r="AX234">
        <v>-15</v>
      </c>
      <c r="AY234">
        <f t="shared" si="69"/>
        <v>15</v>
      </c>
      <c r="AZ234">
        <f t="shared" si="70"/>
        <v>2.8499999999999996</v>
      </c>
      <c r="BA234">
        <f t="shared" si="71"/>
        <v>5.5</v>
      </c>
      <c r="BB234" s="3">
        <f t="shared" si="72"/>
        <v>0.88266666666666671</v>
      </c>
      <c r="BC234">
        <f t="shared" si="73"/>
        <v>4.6000000000000005</v>
      </c>
      <c r="BD234">
        <f>VLOOKUP($E234,Constants!$I:$K, 2, FALSE)</f>
        <v>1</v>
      </c>
      <c r="BE234">
        <f>VLOOKUP($E234,Constants!$I:$K, 3, FALSE)*IF(AND(D234="multiple_unit",Y234&lt;110),0.75,1)</f>
        <v>1.5</v>
      </c>
      <c r="BF234">
        <f>INT(POWER(((Constants!$G$2+$AY234+$AZ234+$BA234+$BC234)*$BB234)*$BE234, 1.05))+$AX234</f>
        <v>37</v>
      </c>
      <c r="BG234">
        <f>INT(POWER((((Constants!$G$1+$AY234+$AZ234+$BA234+$BC234)*($BB234))*$BD234),IF($D234="wagon",1,1.2)))+$AW234</f>
        <v>68</v>
      </c>
      <c r="BH234" s="14">
        <f t="shared" si="74"/>
        <v>28906.25</v>
      </c>
      <c r="BI234" s="14">
        <f t="shared" si="75"/>
        <v>5525</v>
      </c>
      <c r="BM234" t="s">
        <v>1114</v>
      </c>
      <c r="BP234">
        <v>4</v>
      </c>
      <c r="BQ234">
        <v>185</v>
      </c>
      <c r="BS234" t="s">
        <v>283</v>
      </c>
      <c r="BT234" t="str">
        <f>VLOOKUP(G234,Eras!$A$2:$C$10, 2, TRUE)</f>
        <v>lbr</v>
      </c>
      <c r="BU234" t="s">
        <v>331</v>
      </c>
      <c r="BV234" t="str">
        <f t="shared" si="76"/>
        <v>lbr_DMU</v>
      </c>
      <c r="BW234" t="str">
        <f t="shared" si="77"/>
        <v>diesel_RAIL</v>
      </c>
      <c r="BX234" t="str">
        <f>VLOOKUP($BW234, Constants!$M:$N, 2, FALSE)</f>
        <v>{BLACK}Powered by: {GOLD}Diesel</v>
      </c>
      <c r="BY234" t="str">
        <f t="shared" si="79"/>
        <v>{BLACK}Cars: {GOLD}2</v>
      </c>
      <c r="BZ234" t="s">
        <v>631</v>
      </c>
      <c r="CA234" t="str">
        <f t="shared" si="80"/>
        <v/>
      </c>
      <c r="CB234" t="str">
        <f t="shared" si="78"/>
        <v>{BLACK}Powered by: {GOLD}Diesel {BLACK}Cars: {GOLD}2{}{SILVER}The Class 156 is a member of the Sprinter family designed for longer journeys, with single doors at each end rather than the metro-style doors of the Class 150s.</v>
      </c>
    </row>
    <row r="235" spans="1:80" x14ac:dyDescent="0.3">
      <c r="A235" t="s">
        <v>94</v>
      </c>
      <c r="B235" t="s">
        <v>230</v>
      </c>
      <c r="C235">
        <v>464</v>
      </c>
      <c r="D235" t="s">
        <v>404</v>
      </c>
      <c r="E235" t="s">
        <v>296</v>
      </c>
      <c r="F235" t="s">
        <v>303</v>
      </c>
      <c r="G235">
        <v>1988</v>
      </c>
      <c r="J235">
        <v>5</v>
      </c>
      <c r="K235">
        <v>1610</v>
      </c>
      <c r="T235">
        <v>202.8</v>
      </c>
      <c r="V235">
        <v>5</v>
      </c>
      <c r="W235">
        <v>190</v>
      </c>
      <c r="X235" s="3">
        <f t="shared" si="66"/>
        <v>9.3688362919132157E-2</v>
      </c>
      <c r="Y235">
        <v>108</v>
      </c>
      <c r="Z235">
        <f t="shared" si="81"/>
        <v>173</v>
      </c>
      <c r="AC235">
        <v>23</v>
      </c>
      <c r="AD235">
        <v>23</v>
      </c>
      <c r="AE235">
        <v>2.74</v>
      </c>
      <c r="AF235">
        <v>3.81</v>
      </c>
      <c r="AG235" s="10">
        <v>66</v>
      </c>
      <c r="AH235" t="str">
        <f>CONCATENATE(VLOOKUP(AI235, 'Voxel Sizes'!$A$2:$B$18,2,FALSE),"x",INT(AE235*15), "x", INT(AF235*15))</f>
        <v>214x41x57</v>
      </c>
      <c r="AI235">
        <f t="shared" si="67"/>
        <v>13</v>
      </c>
      <c r="AK235" t="str">
        <f>CONCATENATE(VLOOKUP(AI235,Constants!$A$2:$C$16,IF(AJ235&lt;&gt;"", 3, 2), FALSE),IF(AJ235&lt;&gt;"",CONCATENATE(",",VLOOKUP(AJ235,$B:$AK,36,FALSE)),""))</f>
        <v>4,5,4</v>
      </c>
      <c r="AO235" t="s">
        <v>665</v>
      </c>
      <c r="AQ235" t="s">
        <v>606</v>
      </c>
      <c r="AU235">
        <v>35</v>
      </c>
      <c r="AV235" s="15" t="str">
        <f t="shared" si="68"/>
        <v/>
      </c>
      <c r="AW235">
        <v>-10</v>
      </c>
      <c r="AX235">
        <v>-25</v>
      </c>
      <c r="AY235">
        <f t="shared" si="69"/>
        <v>21.599999999999998</v>
      </c>
      <c r="AZ235">
        <f t="shared" si="70"/>
        <v>8.0500000000000007</v>
      </c>
      <c r="BA235">
        <f t="shared" si="71"/>
        <v>9.5</v>
      </c>
      <c r="BB235" s="3">
        <f t="shared" si="72"/>
        <v>0.88266666666666671</v>
      </c>
      <c r="BC235">
        <f t="shared" si="73"/>
        <v>11</v>
      </c>
      <c r="BD235">
        <f>VLOOKUP($E235,Constants!$I:$K, 2, FALSE)</f>
        <v>0.85</v>
      </c>
      <c r="BE235">
        <f>VLOOKUP($E235,Constants!$I:$K, 3, FALSE)*IF(AND(D235="multiple_unit",Y235&lt;110),0.75,1)</f>
        <v>1.7249999999999999</v>
      </c>
      <c r="BF235">
        <f>INT(POWER(((Constants!$G$2+$AY235+$AZ235+$BA235+$BC235)*$BB235)*$BE235, 1.05))+$AX235</f>
        <v>79</v>
      </c>
      <c r="BG235">
        <f>INT(POWER((((Constants!$G$1+$AY235+$AZ235+$BA235+$BC235)*($BB235))*$BD235),IF($D235="wagon",1,1.2)))+$AW235</f>
        <v>96</v>
      </c>
      <c r="BH235" s="14">
        <f t="shared" si="74"/>
        <v>61718.75</v>
      </c>
      <c r="BI235" s="14">
        <f t="shared" si="75"/>
        <v>7800</v>
      </c>
      <c r="BM235" t="s">
        <v>1116</v>
      </c>
      <c r="BO235" t="s">
        <v>1146</v>
      </c>
      <c r="BP235">
        <v>5</v>
      </c>
      <c r="BQ235">
        <v>205</v>
      </c>
      <c r="BS235" t="s">
        <v>283</v>
      </c>
      <c r="BT235" t="str">
        <f>VLOOKUP(G235,Eras!$A$2:$C$10, 2, TRUE)</f>
        <v>lbr</v>
      </c>
      <c r="BU235" t="s">
        <v>334</v>
      </c>
      <c r="BV235" t="str">
        <f t="shared" si="76"/>
        <v>lbr_EMU (Express)</v>
      </c>
      <c r="BW235" t="str">
        <f t="shared" si="77"/>
        <v>electric_THIRD_RAIL</v>
      </c>
      <c r="BX235" t="str">
        <f>VLOOKUP($BW235, Constants!$M:$N, 2, FALSE)</f>
        <v>{BLACK}Powered by: {GOLD}750V DC</v>
      </c>
      <c r="BY235" t="str">
        <f t="shared" si="79"/>
        <v>{BLACK}Cars: {GOLD}5</v>
      </c>
      <c r="BZ235" t="s">
        <v>666</v>
      </c>
      <c r="CA235" t="str">
        <f t="shared" si="80"/>
        <v>{YELLOW}10% Bonus for long distance travel{}</v>
      </c>
      <c r="CB235" t="str">
        <f t="shared" si="78"/>
        <v>{BLACK}Powered by: {GOLD}750V DC {BLACK}Cars: {GOLD}5{}{YELLOW}10% Bonus for long distance travel{}{SILVER}The Class 442 holds the speed record for a third rail EMU at 108mph. Unlike most of its generation of Mk3-based multiple units, it uses the full-length carriage bodyshell.</v>
      </c>
    </row>
    <row r="236" spans="1:80" x14ac:dyDescent="0.3">
      <c r="A236" t="s">
        <v>94</v>
      </c>
      <c r="B236" t="s">
        <v>1134</v>
      </c>
      <c r="C236">
        <v>465</v>
      </c>
      <c r="D236" t="s">
        <v>404</v>
      </c>
      <c r="E236" t="s">
        <v>296</v>
      </c>
      <c r="F236" t="s">
        <v>303</v>
      </c>
      <c r="G236">
        <v>1988</v>
      </c>
      <c r="J236">
        <v>4</v>
      </c>
      <c r="K236">
        <v>1610</v>
      </c>
      <c r="T236">
        <f>202.8/5*4</f>
        <v>162.24</v>
      </c>
      <c r="V236">
        <v>5</v>
      </c>
      <c r="W236">
        <v>190</v>
      </c>
      <c r="X236" s="3">
        <f t="shared" si="66"/>
        <v>0.11711045364891517</v>
      </c>
      <c r="Y236">
        <v>108</v>
      </c>
      <c r="Z236">
        <f t="shared" si="81"/>
        <v>173</v>
      </c>
      <c r="AC236">
        <v>23</v>
      </c>
      <c r="AD236">
        <v>23</v>
      </c>
      <c r="AE236">
        <v>2.74</v>
      </c>
      <c r="AF236">
        <v>3.81</v>
      </c>
      <c r="AG236" s="10">
        <v>66</v>
      </c>
      <c r="AH236" t="str">
        <f>CONCATENATE(VLOOKUP(AI236, 'Voxel Sizes'!$A$2:$B$18,2,FALSE),"x",INT(AE236*15), "x", INT(AF236*15))</f>
        <v>214x41x57</v>
      </c>
      <c r="AI236">
        <f t="shared" si="67"/>
        <v>13</v>
      </c>
      <c r="AK236" t="str">
        <f>CONCATENATE(VLOOKUP(AI236,Constants!$A$2:$C$16,IF(AJ236&lt;&gt;"", 3, 2), FALSE),IF(AJ236&lt;&gt;"",CONCATENATE(",",VLOOKUP(AJ236,$B:$AK,36,FALSE)),""))</f>
        <v>4,5,4</v>
      </c>
      <c r="AO236" t="s">
        <v>1135</v>
      </c>
      <c r="AQ236" t="s">
        <v>1126</v>
      </c>
      <c r="AR236" t="s">
        <v>230</v>
      </c>
      <c r="AU236">
        <v>35</v>
      </c>
      <c r="AV236" s="15" t="str">
        <f t="shared" si="68"/>
        <v/>
      </c>
      <c r="AW236">
        <v>-10</v>
      </c>
      <c r="AX236">
        <v>-25</v>
      </c>
      <c r="AY236">
        <f t="shared" si="69"/>
        <v>21.599999999999998</v>
      </c>
      <c r="AZ236">
        <f t="shared" si="70"/>
        <v>8.0500000000000007</v>
      </c>
      <c r="BA236">
        <f t="shared" si="71"/>
        <v>9.5</v>
      </c>
      <c r="BB236" s="3">
        <f t="shared" si="72"/>
        <v>0.88266666666666671</v>
      </c>
      <c r="BC236">
        <f t="shared" si="73"/>
        <v>8.8000000000000007</v>
      </c>
      <c r="BD236">
        <f>VLOOKUP($E236,Constants!$I:$K, 2, FALSE)</f>
        <v>0.85</v>
      </c>
      <c r="BE236">
        <f>VLOOKUP($E236,Constants!$I:$K, 3, FALSE)*IF(AND(D236="multiple_unit",Y236&lt;110),0.75,1)</f>
        <v>1.7249999999999999</v>
      </c>
      <c r="BF236">
        <f>INT(POWER(((Constants!$G$2+$AY236+$AZ236+$BA236+$BC236)*$BB236)*$BE236, 1.05))+$AX236</f>
        <v>75</v>
      </c>
      <c r="BG236">
        <f>INT(POWER((((Constants!$G$1+$AY236+$AZ236+$BA236+$BC236)*($BB236))*$BD236),IF($D236="wagon",1,1.2)))+$AW236</f>
        <v>92</v>
      </c>
      <c r="BH236" s="14">
        <f t="shared" si="74"/>
        <v>58593.75</v>
      </c>
      <c r="BI236" s="14">
        <f t="shared" si="75"/>
        <v>7475</v>
      </c>
      <c r="BM236" t="s">
        <v>1116</v>
      </c>
      <c r="BO236" t="s">
        <v>1148</v>
      </c>
      <c r="BP236">
        <v>5</v>
      </c>
      <c r="BQ236">
        <v>205</v>
      </c>
      <c r="BS236" t="s">
        <v>283</v>
      </c>
      <c r="BT236" t="str">
        <f>VLOOKUP(G236,Eras!$A$2:$C$10, 2, TRUE)</f>
        <v>lbr</v>
      </c>
      <c r="BU236" t="s">
        <v>334</v>
      </c>
      <c r="BV236" t="str">
        <f t="shared" si="76"/>
        <v>lbr_EMU (Express)</v>
      </c>
      <c r="BW236" t="str">
        <f t="shared" si="77"/>
        <v>electric_THIRD_RAIL</v>
      </c>
      <c r="BX236" t="str">
        <f>VLOOKUP($BW236, Constants!$M:$N, 2, FALSE)</f>
        <v>{BLACK}Powered by: {GOLD}750V DC</v>
      </c>
      <c r="BY236" t="str">
        <f t="shared" si="79"/>
        <v>{BLACK}Cars: {GOLD}4</v>
      </c>
      <c r="BZ236" t="s">
        <v>666</v>
      </c>
      <c r="CA236" t="str">
        <f t="shared" si="80"/>
        <v>{YELLOW}10% Bonus for long distance travel{}</v>
      </c>
      <c r="CB236" t="str">
        <f t="shared" si="78"/>
        <v>{BLACK}Powered by: {GOLD}750V DC {BLACK}Cars: {GOLD}4{}{YELLOW}10% Bonus for long distance travel{}{SILVER}The Class 442 holds the speed record for a third rail EMU at 108mph. Unlike most of its generation of Mk3-based multiple units, it uses the full-length carriage bodyshell.</v>
      </c>
    </row>
    <row r="237" spans="1:80" x14ac:dyDescent="0.3">
      <c r="A237" t="s">
        <v>88</v>
      </c>
      <c r="B237" t="s">
        <v>225</v>
      </c>
      <c r="C237">
        <v>466</v>
      </c>
      <c r="D237" t="s">
        <v>404</v>
      </c>
      <c r="E237" t="s">
        <v>273</v>
      </c>
      <c r="F237" t="s">
        <v>275</v>
      </c>
      <c r="G237">
        <v>1989</v>
      </c>
      <c r="H237">
        <v>1992</v>
      </c>
      <c r="J237">
        <v>3</v>
      </c>
      <c r="K237">
        <f>350*3</f>
        <v>1050</v>
      </c>
      <c r="T237">
        <f>37.8*3</f>
        <v>113.39999999999999</v>
      </c>
      <c r="V237">
        <v>5</v>
      </c>
      <c r="W237">
        <v>120</v>
      </c>
      <c r="X237" s="3">
        <f t="shared" si="66"/>
        <v>0.10582010582010581</v>
      </c>
      <c r="Y237">
        <v>90</v>
      </c>
      <c r="Z237">
        <f t="shared" si="81"/>
        <v>144</v>
      </c>
      <c r="AC237">
        <v>23.2</v>
      </c>
      <c r="AD237">
        <v>23</v>
      </c>
      <c r="AE237">
        <v>2.7</v>
      </c>
      <c r="AG237" s="10">
        <v>69</v>
      </c>
      <c r="AH237" t="str">
        <f>CONCATENATE(VLOOKUP(AI237, 'Voxel Sizes'!$A$2:$B$18,2,FALSE),"x",INT(AE237*15), "x", INT(AF237*15))</f>
        <v>214x40x0</v>
      </c>
      <c r="AI237">
        <f t="shared" si="67"/>
        <v>13</v>
      </c>
      <c r="AK237" t="str">
        <f>CONCATENATE(VLOOKUP(AI237,Constants!$A$2:$C$16,IF(AJ237&lt;&gt;"", 3, 2), FALSE),IF(AJ237&lt;&gt;"",CONCATENATE(",",VLOOKUP(AJ237,$B:$AK,36,FALSE)),""))</f>
        <v>4,5,4</v>
      </c>
      <c r="AO237" t="s">
        <v>633</v>
      </c>
      <c r="AQ237" t="s">
        <v>292</v>
      </c>
      <c r="AU237">
        <v>33</v>
      </c>
      <c r="AV237" s="15" t="str">
        <f t="shared" si="68"/>
        <v/>
      </c>
      <c r="AW237">
        <v>-10</v>
      </c>
      <c r="AX237">
        <v>-15</v>
      </c>
      <c r="AY237">
        <f t="shared" si="69"/>
        <v>18</v>
      </c>
      <c r="AZ237">
        <f t="shared" si="70"/>
        <v>5.25</v>
      </c>
      <c r="BA237">
        <f t="shared" si="71"/>
        <v>6</v>
      </c>
      <c r="BB237" s="3">
        <f t="shared" si="72"/>
        <v>0.8813333333333333</v>
      </c>
      <c r="BC237">
        <f t="shared" si="73"/>
        <v>6.9</v>
      </c>
      <c r="BD237">
        <f>VLOOKUP($E237,Constants!$I:$K, 2, FALSE)</f>
        <v>1</v>
      </c>
      <c r="BE237">
        <f>VLOOKUP($E237,Constants!$I:$K, 3, FALSE)*IF(AND(D237="multiple_unit",Y237&lt;110),0.75,1)</f>
        <v>1.5</v>
      </c>
      <c r="BF237">
        <f>INT(POWER(((Constants!$G$2+$AY237+$AZ237+$BA237+$BC237)*$BB237)*$BE237, 1.05))+$AX237</f>
        <v>51</v>
      </c>
      <c r="BG237">
        <f>INT(POWER((((Constants!$G$1+$AY237+$AZ237+$BA237+$BC237)*($BB237))*$BD237),IF($D237="wagon",1,1.2)))+$AW237</f>
        <v>86</v>
      </c>
      <c r="BH237" s="14">
        <f t="shared" si="74"/>
        <v>39843.75</v>
      </c>
      <c r="BI237" s="14">
        <f t="shared" si="75"/>
        <v>6987.5</v>
      </c>
      <c r="BM237" t="s">
        <v>1115</v>
      </c>
      <c r="BP237">
        <v>7</v>
      </c>
      <c r="BQ237">
        <v>205</v>
      </c>
      <c r="BS237" t="s">
        <v>283</v>
      </c>
      <c r="BT237" t="str">
        <f>VLOOKUP(G237,Eras!$A$2:$C$10, 2, TRUE)</f>
        <v>lbr</v>
      </c>
      <c r="BU237" t="s">
        <v>332</v>
      </c>
      <c r="BV237" t="str">
        <f t="shared" si="76"/>
        <v>lbr_DMU (Express)</v>
      </c>
      <c r="BW237" t="str">
        <f t="shared" si="77"/>
        <v>diesel_RAIL</v>
      </c>
      <c r="BX237" t="str">
        <f>VLOOKUP($BW237, Constants!$M:$N, 2, FALSE)</f>
        <v>{BLACK}Powered by: {GOLD}Diesel</v>
      </c>
      <c r="BY237" t="str">
        <f t="shared" si="79"/>
        <v>{BLACK}Cars: {GOLD}3</v>
      </c>
      <c r="BZ237" t="s">
        <v>634</v>
      </c>
      <c r="CA237" t="str">
        <f t="shared" si="80"/>
        <v>{YELLOW}10% Bonus for long distance travel{}</v>
      </c>
      <c r="CB237" t="str">
        <f t="shared" si="78"/>
        <v>{BLACK}Powered by: {GOLD}Diesel {BLACK}Cars: {GOLD}3{}{YELLOW}10% Bonus for long distance travel{}{SILVER}The Class 158 has many improvements over earlier generation Sprinters, including air conditioning and a more comfortable ride.</v>
      </c>
    </row>
    <row r="238" spans="1:80" x14ac:dyDescent="0.3">
      <c r="A238" t="s">
        <v>84</v>
      </c>
      <c r="B238" t="s">
        <v>187</v>
      </c>
      <c r="C238">
        <v>468</v>
      </c>
      <c r="D238" t="s">
        <v>404</v>
      </c>
      <c r="E238" t="s">
        <v>296</v>
      </c>
      <c r="F238" t="s">
        <v>303</v>
      </c>
      <c r="G238">
        <v>1990</v>
      </c>
      <c r="J238">
        <v>2</v>
      </c>
      <c r="K238">
        <v>500</v>
      </c>
      <c r="T238">
        <v>72.5</v>
      </c>
      <c r="V238">
        <v>5</v>
      </c>
      <c r="W238">
        <v>120</v>
      </c>
      <c r="X238" s="3">
        <f t="shared" si="66"/>
        <v>0.16551724137931034</v>
      </c>
      <c r="Y238">
        <v>75</v>
      </c>
      <c r="Z238">
        <f t="shared" si="81"/>
        <v>120</v>
      </c>
      <c r="AC238">
        <v>19.8</v>
      </c>
      <c r="AD238">
        <v>19.8</v>
      </c>
      <c r="AG238" s="10">
        <v>75</v>
      </c>
      <c r="AH238" t="str">
        <f>CONCATENATE(VLOOKUP(AI238, 'Voxel Sizes'!$A$2:$B$18,2,FALSE),"x",INT(AE238*15), "x", INT(AF238*15))</f>
        <v>198x0x0</v>
      </c>
      <c r="AI238">
        <f t="shared" si="67"/>
        <v>12</v>
      </c>
      <c r="AK238" t="str">
        <f>CONCATENATE(VLOOKUP(AI238,Constants!$A$2:$C$16,IF(AJ238&lt;&gt;"", 3, 2), FALSE),IF(AJ238&lt;&gt;"",CONCATENATE(",",VLOOKUP(AJ238,$B:$AK,36,FALSE)),""))</f>
        <v>4,4,4</v>
      </c>
      <c r="AO238" t="s">
        <v>609</v>
      </c>
      <c r="AQ238" t="s">
        <v>467</v>
      </c>
      <c r="AU238">
        <v>31</v>
      </c>
      <c r="AV238" s="15" t="str">
        <f t="shared" si="68"/>
        <v/>
      </c>
      <c r="AW238">
        <v>-10</v>
      </c>
      <c r="AX238">
        <v>-20</v>
      </c>
      <c r="AY238">
        <f t="shared" si="69"/>
        <v>15</v>
      </c>
      <c r="AZ238">
        <f t="shared" si="70"/>
        <v>2.5</v>
      </c>
      <c r="BA238">
        <f t="shared" si="71"/>
        <v>6</v>
      </c>
      <c r="BB238" s="3">
        <f t="shared" si="72"/>
        <v>0.88</v>
      </c>
      <c r="BC238">
        <f t="shared" si="73"/>
        <v>5</v>
      </c>
      <c r="BD238">
        <f>VLOOKUP($E238,Constants!$I:$K, 2, FALSE)</f>
        <v>0.85</v>
      </c>
      <c r="BE238">
        <f>VLOOKUP($E238,Constants!$I:$K, 3, FALSE)*IF(AND(D238="multiple_unit",Y238&lt;110),0.75,1)</f>
        <v>1.7249999999999999</v>
      </c>
      <c r="BF238">
        <f>INT(POWER(((Constants!$G$2+$AY238+$AZ238+$BA238+$BC238)*$BB238)*$BE238, 1.05))+$AX238</f>
        <v>41</v>
      </c>
      <c r="BG238">
        <f>INT(POWER((((Constants!$G$1+$AY238+$AZ238+$BA238+$BC238)*($BB238))*$BD238),IF($D238="wagon",1,1.2)))+$AW238</f>
        <v>55</v>
      </c>
      <c r="BH238" s="14">
        <f t="shared" si="74"/>
        <v>32031.25</v>
      </c>
      <c r="BI238" s="14">
        <f t="shared" si="75"/>
        <v>4468.75</v>
      </c>
      <c r="BM238" t="s">
        <v>186</v>
      </c>
      <c r="BP238">
        <v>8</v>
      </c>
      <c r="BQ238">
        <v>185</v>
      </c>
      <c r="BS238" t="s">
        <v>283</v>
      </c>
      <c r="BT238" t="str">
        <f>VLOOKUP(G238,Eras!$A$2:$C$10, 2, TRUE)</f>
        <v>lbr</v>
      </c>
      <c r="BU238" t="s">
        <v>333</v>
      </c>
      <c r="BV238" t="str">
        <f t="shared" si="76"/>
        <v>lbr_EMU</v>
      </c>
      <c r="BW238" t="str">
        <f t="shared" si="77"/>
        <v>electric_THIRD_RAIL</v>
      </c>
      <c r="BX238" t="str">
        <f>VLOOKUP($BW238, Constants!$M:$N, 2, FALSE)</f>
        <v>{BLACK}Powered by: {GOLD}750V DC</v>
      </c>
      <c r="BY238" t="str">
        <f t="shared" si="79"/>
        <v>{BLACK}Cars: {GOLD}2</v>
      </c>
      <c r="BZ238" t="s">
        <v>610</v>
      </c>
      <c r="CA238" t="str">
        <f t="shared" si="80"/>
        <v/>
      </c>
      <c r="CB238" t="str">
        <f t="shared" si="78"/>
        <v>{BLACK}Powered by: {GOLD}750V DC {BLACK}Cars: {GOLD}2{}{SILVER}The Class 456 is a two-car EMU used for inner suburban services - either as a single unit for services with low demand or coupled to other Class 456 or 455 units for higher capacity routes.</v>
      </c>
    </row>
    <row r="239" spans="1:80" x14ac:dyDescent="0.3">
      <c r="A239" t="s">
        <v>89</v>
      </c>
      <c r="B239" t="s">
        <v>226</v>
      </c>
      <c r="C239">
        <v>470</v>
      </c>
      <c r="D239" t="s">
        <v>404</v>
      </c>
      <c r="E239" t="s">
        <v>273</v>
      </c>
      <c r="F239" t="s">
        <v>275</v>
      </c>
      <c r="G239">
        <v>1991</v>
      </c>
      <c r="H239">
        <v>1992</v>
      </c>
      <c r="J239">
        <v>2</v>
      </c>
      <c r="K239">
        <f>350*2</f>
        <v>700</v>
      </c>
      <c r="T239">
        <v>74</v>
      </c>
      <c r="V239">
        <v>5</v>
      </c>
      <c r="W239">
        <v>105</v>
      </c>
      <c r="X239" s="3">
        <f t="shared" si="66"/>
        <v>0.14189189189189189</v>
      </c>
      <c r="Y239">
        <v>75</v>
      </c>
      <c r="Z239">
        <f t="shared" si="81"/>
        <v>120</v>
      </c>
      <c r="AC239">
        <v>22.91</v>
      </c>
      <c r="AD239">
        <v>22.9</v>
      </c>
      <c r="AE239">
        <v>2.8</v>
      </c>
      <c r="AF239">
        <v>3.8</v>
      </c>
      <c r="AG239" s="10">
        <v>93</v>
      </c>
      <c r="AH239" t="str">
        <f>CONCATENATE(VLOOKUP(AI239, 'Voxel Sizes'!$A$2:$B$18,2,FALSE),"x",INT(AE239*15), "x", INT(AF239*15))</f>
        <v>214x42x57</v>
      </c>
      <c r="AI239">
        <f t="shared" si="67"/>
        <v>13</v>
      </c>
      <c r="AK239" t="str">
        <f>CONCATENATE(VLOOKUP(AI239,Constants!$A$2:$C$16,IF(AJ239&lt;&gt;"", 3, 2), FALSE),IF(AJ239&lt;&gt;"",CONCATENATE(",",VLOOKUP(AJ239,$B:$AK,36,FALSE)),""))</f>
        <v>4,5,4</v>
      </c>
      <c r="AO239" t="s">
        <v>637</v>
      </c>
      <c r="AQ239" t="s">
        <v>467</v>
      </c>
      <c r="AU239">
        <v>32</v>
      </c>
      <c r="AV239" s="15" t="str">
        <f t="shared" si="68"/>
        <v/>
      </c>
      <c r="AW239">
        <v>-10</v>
      </c>
      <c r="AX239">
        <v>-15</v>
      </c>
      <c r="AY239">
        <f t="shared" si="69"/>
        <v>15</v>
      </c>
      <c r="AZ239">
        <f t="shared" si="70"/>
        <v>3.5</v>
      </c>
      <c r="BA239">
        <f t="shared" si="71"/>
        <v>5.25</v>
      </c>
      <c r="BB239" s="3">
        <f t="shared" si="72"/>
        <v>0.87866666666666671</v>
      </c>
      <c r="BC239">
        <f t="shared" si="73"/>
        <v>6.2</v>
      </c>
      <c r="BD239">
        <f>VLOOKUP($E239,Constants!$I:$K, 2, FALSE)</f>
        <v>1</v>
      </c>
      <c r="BE239">
        <f>VLOOKUP($E239,Constants!$I:$K, 3, FALSE)*IF(AND(D239="multiple_unit",Y239&lt;110),0.75,1)</f>
        <v>1.5</v>
      </c>
      <c r="BF239">
        <f>INT(POWER(((Constants!$G$2+$AY239+$AZ239+$BA239+$BC239)*$BB239)*$BE239, 1.05))+$AX239</f>
        <v>40</v>
      </c>
      <c r="BG239">
        <f>INT(POWER((((Constants!$G$1+$AY239+$AZ239+$BA239+$BC239)*($BB239))*$BD239),IF($D239="wagon",1,1.2)))+$AW239</f>
        <v>72</v>
      </c>
      <c r="BH239" s="14">
        <f t="shared" si="74"/>
        <v>31250</v>
      </c>
      <c r="BI239" s="14">
        <f t="shared" si="75"/>
        <v>5850</v>
      </c>
      <c r="BP239">
        <v>9</v>
      </c>
      <c r="BQ239">
        <v>185</v>
      </c>
      <c r="BS239" t="s">
        <v>283</v>
      </c>
      <c r="BT239" t="str">
        <f>VLOOKUP(G239,Eras!$A$2:$C$10, 2, TRUE)</f>
        <v>lbr</v>
      </c>
      <c r="BU239" t="s">
        <v>331</v>
      </c>
      <c r="BV239" t="str">
        <f t="shared" si="76"/>
        <v>lbr_DMU</v>
      </c>
      <c r="BW239" t="str">
        <f t="shared" si="77"/>
        <v>diesel_RAIL</v>
      </c>
      <c r="BX239" t="str">
        <f>VLOOKUP($BW239, Constants!$M:$N, 2, FALSE)</f>
        <v>{BLACK}Powered by: {GOLD}Diesel</v>
      </c>
      <c r="BY239" t="str">
        <f t="shared" si="79"/>
        <v>{BLACK}Cars: {GOLD}2</v>
      </c>
      <c r="BZ239" t="s">
        <v>638</v>
      </c>
      <c r="CA239" t="str">
        <f t="shared" si="80"/>
        <v/>
      </c>
      <c r="CB239" t="str">
        <f t="shared" si="78"/>
        <v>{BLACK}Powered by: {GOLD}Diesel {BLACK}Cars: {GOLD}2{}{SILVER}The Class 165 is a high capacity DMU with 2+3 seating.</v>
      </c>
    </row>
    <row r="240" spans="1:80" x14ac:dyDescent="0.3">
      <c r="A240" t="s">
        <v>74</v>
      </c>
      <c r="B240" t="s">
        <v>242</v>
      </c>
      <c r="C240">
        <v>472</v>
      </c>
      <c r="D240" t="s">
        <v>404</v>
      </c>
      <c r="E240" t="s">
        <v>296</v>
      </c>
      <c r="F240" t="s">
        <v>303</v>
      </c>
      <c r="G240">
        <v>1992</v>
      </c>
      <c r="H240">
        <v>1994</v>
      </c>
      <c r="J240">
        <v>4</v>
      </c>
      <c r="K240">
        <v>1608</v>
      </c>
      <c r="T240">
        <v>136</v>
      </c>
      <c r="V240">
        <v>5</v>
      </c>
      <c r="W240">
        <v>165</v>
      </c>
      <c r="X240" s="3">
        <f t="shared" si="66"/>
        <v>0.12132352941176471</v>
      </c>
      <c r="Y240">
        <v>75</v>
      </c>
      <c r="Z240">
        <f t="shared" si="81"/>
        <v>120</v>
      </c>
      <c r="AC240">
        <v>20.89</v>
      </c>
      <c r="AD240">
        <v>20.89</v>
      </c>
      <c r="AF240">
        <v>3.77</v>
      </c>
      <c r="AG240" s="10">
        <v>81</v>
      </c>
      <c r="AH240" t="str">
        <f>CONCATENATE(VLOOKUP(AI240, 'Voxel Sizes'!$A$2:$B$18,2,FALSE),"x",INT(AE240*15), "x", INT(AF240*15))</f>
        <v>198x0x56</v>
      </c>
      <c r="AI240">
        <f t="shared" si="67"/>
        <v>12</v>
      </c>
      <c r="AK240" t="str">
        <f>CONCATENATE(VLOOKUP(AI240,Constants!$A$2:$C$16,IF(AJ240&lt;&gt;"", 3, 2), FALSE),IF(AJ240&lt;&gt;"",CONCATENATE(",",VLOOKUP(AJ240,$B:$AK,36,FALSE)),""))</f>
        <v>4,4,4</v>
      </c>
      <c r="AO240" t="s">
        <v>573</v>
      </c>
      <c r="AQ240" t="s">
        <v>465</v>
      </c>
      <c r="AU240">
        <v>32</v>
      </c>
      <c r="AV240" s="15" t="str">
        <f t="shared" si="68"/>
        <v/>
      </c>
      <c r="AW240">
        <v>-10</v>
      </c>
      <c r="AX240">
        <v>-20</v>
      </c>
      <c r="AY240">
        <f t="shared" si="69"/>
        <v>15</v>
      </c>
      <c r="AZ240">
        <f t="shared" si="70"/>
        <v>8.0400000000000009</v>
      </c>
      <c r="BA240">
        <f t="shared" si="71"/>
        <v>8.25</v>
      </c>
      <c r="BB240" s="3">
        <f t="shared" si="72"/>
        <v>0.8773333333333333</v>
      </c>
      <c r="BC240">
        <f t="shared" si="73"/>
        <v>10.8</v>
      </c>
      <c r="BD240">
        <f>VLOOKUP($E240,Constants!$I:$K, 2, FALSE)</f>
        <v>0.85</v>
      </c>
      <c r="BE240">
        <f>VLOOKUP($E240,Constants!$I:$K, 3, FALSE)*IF(AND(D240="multiple_unit",Y240&lt;110),0.75,1)</f>
        <v>1.7249999999999999</v>
      </c>
      <c r="BF240">
        <f>INT(POWER(((Constants!$G$2+$AY240+$AZ240+$BA240+$BC240)*$BB240)*$BE240, 1.05))+$AX240</f>
        <v>68</v>
      </c>
      <c r="BG240">
        <f>INT(POWER((((Constants!$G$1+$AY240+$AZ240+$BA240+$BC240)*($BB240))*$BD240),IF($D240="wagon",1,1.2)))+$AW240</f>
        <v>80</v>
      </c>
      <c r="BH240" s="14">
        <f t="shared" si="74"/>
        <v>53125</v>
      </c>
      <c r="BI240" s="14">
        <f t="shared" si="75"/>
        <v>6500</v>
      </c>
      <c r="BP240">
        <v>10</v>
      </c>
      <c r="BQ240">
        <v>185</v>
      </c>
      <c r="BS240" t="s">
        <v>283</v>
      </c>
      <c r="BT240" t="str">
        <f>VLOOKUP(G240,Eras!$A$2:$C$10, 2, TRUE)</f>
        <v>lbr</v>
      </c>
      <c r="BU240" t="s">
        <v>333</v>
      </c>
      <c r="BV240" t="str">
        <f t="shared" si="76"/>
        <v>lbr_EMU</v>
      </c>
      <c r="BW240" t="str">
        <f t="shared" si="77"/>
        <v>electric_THIRD_RAIL</v>
      </c>
      <c r="BX240" t="str">
        <f>VLOOKUP($BW240, Constants!$M:$N, 2, FALSE)</f>
        <v>{BLACK}Powered by: {GOLD}750V DC</v>
      </c>
      <c r="BY240" t="str">
        <f t="shared" si="79"/>
        <v>{BLACK}Cars: {GOLD}4</v>
      </c>
      <c r="BZ240" t="s">
        <v>574</v>
      </c>
      <c r="CA240" t="str">
        <f t="shared" si="80"/>
        <v/>
      </c>
      <c r="CB240" t="str">
        <f t="shared" si="78"/>
        <v>{BLACK}Powered by: {GOLD}750V DC {BLACK}Cars: {GOLD}4{}{SILVER}The BREL Networker was built by three different companies (ABB, Metro-Cammell and BREL) with minor detail differences between each manufacturer's output.</v>
      </c>
    </row>
    <row r="241" spans="1:80" x14ac:dyDescent="0.3">
      <c r="A241" t="s">
        <v>646</v>
      </c>
      <c r="B241" t="s">
        <v>647</v>
      </c>
      <c r="C241">
        <v>474</v>
      </c>
      <c r="D241" t="s">
        <v>404</v>
      </c>
      <c r="E241" t="s">
        <v>552</v>
      </c>
      <c r="F241" t="s">
        <v>551</v>
      </c>
      <c r="G241">
        <v>1992</v>
      </c>
      <c r="H241">
        <v>1996</v>
      </c>
      <c r="J241">
        <v>20</v>
      </c>
      <c r="K241">
        <v>16400</v>
      </c>
      <c r="L241" s="8">
        <v>4600</v>
      </c>
      <c r="T241">
        <v>752</v>
      </c>
      <c r="V241">
        <v>4</v>
      </c>
      <c r="W241">
        <v>220</v>
      </c>
      <c r="X241" s="3">
        <f t="shared" si="66"/>
        <v>2.9255319148936171E-2</v>
      </c>
      <c r="Y241">
        <v>186</v>
      </c>
      <c r="Z241">
        <f t="shared" si="81"/>
        <v>298</v>
      </c>
      <c r="AC241">
        <v>22.15</v>
      </c>
      <c r="AD241">
        <v>22.15</v>
      </c>
      <c r="AE241">
        <v>2.81</v>
      </c>
      <c r="AG241" s="10">
        <v>39</v>
      </c>
      <c r="AH241" t="str">
        <f>CONCATENATE(VLOOKUP(AI241, 'Voxel Sizes'!$A$2:$B$18,2,FALSE),"x",INT(AE241*15), "x", INT(AF241*15))</f>
        <v>214x42x0</v>
      </c>
      <c r="AI241">
        <f t="shared" si="67"/>
        <v>13</v>
      </c>
      <c r="AK241" t="str">
        <f>CONCATENATE(VLOOKUP(AI241,Constants!$A$2:$C$16,IF(AJ241&lt;&gt;"", 3, 2), FALSE),IF(AJ241&lt;&gt;"",CONCATENATE(",",VLOOKUP(AJ241,$B:$AK,36,FALSE)),""))</f>
        <v>4,5,4</v>
      </c>
      <c r="AM241" s="12" t="s">
        <v>1233</v>
      </c>
      <c r="AN241" s="12" t="s">
        <v>1238</v>
      </c>
      <c r="AO241" t="s">
        <v>689</v>
      </c>
      <c r="AP241" t="s">
        <v>647</v>
      </c>
      <c r="AQ241" t="s">
        <v>690</v>
      </c>
      <c r="AU241">
        <v>25</v>
      </c>
      <c r="AV241" s="15" t="str">
        <f t="shared" si="68"/>
        <v/>
      </c>
      <c r="AY241">
        <f t="shared" si="69"/>
        <v>30</v>
      </c>
      <c r="AZ241">
        <f t="shared" si="70"/>
        <v>20</v>
      </c>
      <c r="BA241">
        <f t="shared" si="71"/>
        <v>11</v>
      </c>
      <c r="BB241" s="3">
        <f t="shared" si="72"/>
        <v>0.8773333333333333</v>
      </c>
      <c r="BC241">
        <f t="shared" si="73"/>
        <v>26</v>
      </c>
      <c r="BD241">
        <f>VLOOKUP($E241,Constants!$I:$K, 2, FALSE)</f>
        <v>0.85</v>
      </c>
      <c r="BE241">
        <f>VLOOKUP($E241,Constants!$I:$K, 3, FALSE)*IF(AND(D241="multiple_unit",Y241&lt;110),0.75,1)</f>
        <v>2.4</v>
      </c>
      <c r="BF241">
        <f>INT(POWER(((Constants!$G$2+$AY241+$AZ241+$BA241+$BC241)*$BB241)*$BE241, 1.05))+$AX241</f>
        <v>252</v>
      </c>
      <c r="BG241">
        <f>INT(POWER((((Constants!$G$1+$AY241+$AZ241+$BA241+$BC241)*($BB241))*$BD241),IF($D241="wagon",1,1.2)))+$AW241</f>
        <v>180</v>
      </c>
      <c r="BH241" s="14">
        <f t="shared" si="74"/>
        <v>196875</v>
      </c>
      <c r="BI241" s="14">
        <f t="shared" si="75"/>
        <v>14625</v>
      </c>
      <c r="BO241" t="s">
        <v>1150</v>
      </c>
      <c r="BP241">
        <v>11</v>
      </c>
      <c r="BQ241">
        <v>232</v>
      </c>
      <c r="BS241" t="s">
        <v>283</v>
      </c>
      <c r="BT241" t="str">
        <f>VLOOKUP(G241,Eras!$A$2:$C$10, 2, TRUE)</f>
        <v>lbr</v>
      </c>
      <c r="BU241" t="s">
        <v>334</v>
      </c>
      <c r="BV241" t="str">
        <f t="shared" si="76"/>
        <v>lbr_EMU (Express)</v>
      </c>
      <c r="BW241" t="str">
        <f t="shared" si="77"/>
        <v>dual_electric_DUAL_POWER</v>
      </c>
      <c r="BX241" t="str">
        <f>VLOOKUP($BW241, Constants!$M:$N, 2, FALSE)</f>
        <v>{BLACK}Powered by: {GOLD}25kV AC / 750V DC</v>
      </c>
      <c r="BY241" t="str">
        <f t="shared" si="79"/>
        <v>{BLACK}Cars: {GOLD}20</v>
      </c>
      <c r="BZ241" t="s">
        <v>691</v>
      </c>
      <c r="CA241" t="str">
        <f t="shared" si="80"/>
        <v>{YELLOW}25% Bonus for long distance travel{}</v>
      </c>
      <c r="CB241" t="str">
        <f t="shared" si="78"/>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2" spans="1:80" x14ac:dyDescent="0.3">
      <c r="A242" t="s">
        <v>646</v>
      </c>
      <c r="B242" t="s">
        <v>1124</v>
      </c>
      <c r="C242">
        <v>475</v>
      </c>
      <c r="D242" t="s">
        <v>404</v>
      </c>
      <c r="E242" t="s">
        <v>552</v>
      </c>
      <c r="F242" t="s">
        <v>551</v>
      </c>
      <c r="G242">
        <v>1992</v>
      </c>
      <c r="H242">
        <v>1996</v>
      </c>
      <c r="J242">
        <v>8</v>
      </c>
      <c r="K242">
        <v>16400</v>
      </c>
      <c r="L242" s="8">
        <v>4600</v>
      </c>
      <c r="T242">
        <f>(752/20)*8</f>
        <v>300.8</v>
      </c>
      <c r="V242">
        <v>4</v>
      </c>
      <c r="W242">
        <v>220</v>
      </c>
      <c r="X242" s="3">
        <f t="shared" si="66"/>
        <v>7.3138297872340427E-2</v>
      </c>
      <c r="Y242">
        <v>186</v>
      </c>
      <c r="Z242">
        <f t="shared" si="81"/>
        <v>298</v>
      </c>
      <c r="AC242">
        <v>22.15</v>
      </c>
      <c r="AD242">
        <v>22.15</v>
      </c>
      <c r="AE242">
        <v>2.81</v>
      </c>
      <c r="AG242" s="10">
        <v>39</v>
      </c>
      <c r="AH242" t="str">
        <f>CONCATENATE(VLOOKUP(AI242, 'Voxel Sizes'!$A$2:$B$18,2,FALSE),"x",INT(AE242*15), "x", INT(AF242*15))</f>
        <v>214x42x0</v>
      </c>
      <c r="AI242">
        <f t="shared" si="67"/>
        <v>13</v>
      </c>
      <c r="AK242" t="str">
        <f>CONCATENATE(VLOOKUP(AI242,Constants!$A$2:$C$16,IF(AJ242&lt;&gt;"", 3, 2), FALSE),IF(AJ242&lt;&gt;"",CONCATENATE(",",VLOOKUP(AJ242,$B:$AK,36,FALSE)),""))</f>
        <v>4,5,4</v>
      </c>
      <c r="AM242" s="12" t="s">
        <v>1234</v>
      </c>
      <c r="AN242" s="12" t="s">
        <v>1239</v>
      </c>
      <c r="AO242" t="s">
        <v>693</v>
      </c>
      <c r="AP242" t="s">
        <v>647</v>
      </c>
      <c r="AQ242" t="s">
        <v>694</v>
      </c>
      <c r="AR242" t="s">
        <v>647</v>
      </c>
      <c r="AU242">
        <v>25</v>
      </c>
      <c r="AV242" s="15" t="str">
        <f t="shared" si="68"/>
        <v/>
      </c>
      <c r="AY242">
        <f t="shared" si="69"/>
        <v>30</v>
      </c>
      <c r="AZ242">
        <f t="shared" si="70"/>
        <v>20</v>
      </c>
      <c r="BA242">
        <f t="shared" si="71"/>
        <v>11</v>
      </c>
      <c r="BB242" s="3">
        <f t="shared" si="72"/>
        <v>0.8773333333333333</v>
      </c>
      <c r="BC242">
        <f t="shared" si="73"/>
        <v>10.4</v>
      </c>
      <c r="BD242">
        <f>VLOOKUP($E242,Constants!$I:$K, 2, FALSE)</f>
        <v>0.85</v>
      </c>
      <c r="BE242">
        <f>VLOOKUP($E242,Constants!$I:$K, 3, FALSE)*IF(AND(D242="multiple_unit",Y242&lt;110),0.75,1)</f>
        <v>2.4</v>
      </c>
      <c r="BF242">
        <f>INT(POWER(((Constants!$G$2+$AY242+$AZ242+$BA242+$BC242)*$BB242)*$BE242, 1.05))+$AX242</f>
        <v>207</v>
      </c>
      <c r="BG242">
        <f>INT(POWER((((Constants!$G$1+$AY242+$AZ242+$BA242+$BC242)*($BB242))*$BD242),IF($D242="wagon",1,1.2)))+$AW242</f>
        <v>148</v>
      </c>
      <c r="BH242" s="14">
        <f t="shared" si="74"/>
        <v>161718.75</v>
      </c>
      <c r="BI242" s="14">
        <f t="shared" si="75"/>
        <v>12025</v>
      </c>
      <c r="BO242" t="s">
        <v>1149</v>
      </c>
      <c r="BP242">
        <v>11</v>
      </c>
      <c r="BQ242">
        <v>232</v>
      </c>
      <c r="BS242" t="s">
        <v>283</v>
      </c>
      <c r="BT242" t="str">
        <f>VLOOKUP(G242,Eras!$A$2:$C$10, 2, TRUE)</f>
        <v>lbr</v>
      </c>
      <c r="BU242" t="s">
        <v>334</v>
      </c>
      <c r="BV242" t="str">
        <f t="shared" si="76"/>
        <v>lbr_EMU (Express)</v>
      </c>
      <c r="BW242" t="str">
        <f t="shared" si="77"/>
        <v>dual_electric_DUAL_POWER</v>
      </c>
      <c r="BX242" t="str">
        <f>VLOOKUP($BW242, Constants!$M:$N, 2, FALSE)</f>
        <v>{BLACK}Powered by: {GOLD}25kV AC / 750V DC</v>
      </c>
      <c r="BY242" t="str">
        <f t="shared" si="79"/>
        <v>{BLACK}Cars: {GOLD}8</v>
      </c>
      <c r="BZ242" t="s">
        <v>691</v>
      </c>
      <c r="CA242" t="str">
        <f t="shared" si="80"/>
        <v>{YELLOW}25% Bonus for long distance travel{}</v>
      </c>
      <c r="CB242" t="str">
        <f t="shared" si="78"/>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3" spans="1:80" x14ac:dyDescent="0.3">
      <c r="A243" t="s">
        <v>646</v>
      </c>
      <c r="B243" t="s">
        <v>1125</v>
      </c>
      <c r="C243">
        <v>476</v>
      </c>
      <c r="D243" t="s">
        <v>404</v>
      </c>
      <c r="E243" t="s">
        <v>552</v>
      </c>
      <c r="F243" t="s">
        <v>551</v>
      </c>
      <c r="G243">
        <v>1992</v>
      </c>
      <c r="H243">
        <v>1996</v>
      </c>
      <c r="J243">
        <v>5</v>
      </c>
      <c r="K243">
        <v>16400</v>
      </c>
      <c r="L243" s="8">
        <v>4600</v>
      </c>
      <c r="T243">
        <f>(752/20)*5</f>
        <v>188</v>
      </c>
      <c r="V243">
        <v>4</v>
      </c>
      <c r="W243">
        <v>220</v>
      </c>
      <c r="X243" s="3">
        <f t="shared" si="66"/>
        <v>0.11702127659574468</v>
      </c>
      <c r="Y243">
        <v>186</v>
      </c>
      <c r="Z243">
        <f t="shared" si="81"/>
        <v>298</v>
      </c>
      <c r="AC243">
        <v>22.15</v>
      </c>
      <c r="AD243">
        <v>22.15</v>
      </c>
      <c r="AE243">
        <v>2.81</v>
      </c>
      <c r="AG243" s="10">
        <v>39</v>
      </c>
      <c r="AH243" t="str">
        <f>CONCATENATE(VLOOKUP(AI243, 'Voxel Sizes'!$A$2:$B$18,2,FALSE),"x",INT(AE243*15), "x", INT(AF243*15))</f>
        <v>214x42x0</v>
      </c>
      <c r="AI243">
        <f t="shared" si="67"/>
        <v>13</v>
      </c>
      <c r="AK243" t="str">
        <f>CONCATENATE(VLOOKUP(AI243,Constants!$A$2:$C$16,IF(AJ243&lt;&gt;"", 3, 2), FALSE),IF(AJ243&lt;&gt;"",CONCATENATE(",",VLOOKUP(AJ243,$B:$AK,36,FALSE)),""))</f>
        <v>4,5,4</v>
      </c>
      <c r="AM243" s="12" t="s">
        <v>1236</v>
      </c>
      <c r="AN243" s="12" t="s">
        <v>1240</v>
      </c>
      <c r="AO243" t="s">
        <v>1131</v>
      </c>
      <c r="AP243" t="s">
        <v>647</v>
      </c>
      <c r="AQ243" t="s">
        <v>664</v>
      </c>
      <c r="AR243" t="s">
        <v>647</v>
      </c>
      <c r="AU243">
        <v>25</v>
      </c>
      <c r="AV243" s="15" t="str">
        <f t="shared" si="68"/>
        <v/>
      </c>
      <c r="AY243">
        <f t="shared" si="69"/>
        <v>30</v>
      </c>
      <c r="AZ243">
        <f t="shared" si="70"/>
        <v>20</v>
      </c>
      <c r="BA243">
        <f t="shared" si="71"/>
        <v>11</v>
      </c>
      <c r="BB243" s="3">
        <f t="shared" si="72"/>
        <v>0.8773333333333333</v>
      </c>
      <c r="BC243">
        <f t="shared" si="73"/>
        <v>6.5</v>
      </c>
      <c r="BD243">
        <f>VLOOKUP($E243,Constants!$I:$K, 2, FALSE)</f>
        <v>0.85</v>
      </c>
      <c r="BE243">
        <f>VLOOKUP($E243,Constants!$I:$K, 3, FALSE)*IF(AND(D243="multiple_unit",Y243&lt;110),0.75,1)</f>
        <v>2.4</v>
      </c>
      <c r="BF243">
        <f>INT(POWER(((Constants!$G$2+$AY243+$AZ243+$BA243+$BC243)*$BB243)*$BE243, 1.05))+$AX243</f>
        <v>196</v>
      </c>
      <c r="BG243">
        <f>INT(POWER((((Constants!$G$1+$AY243+$AZ243+$BA243+$BC243)*($BB243))*$BD243),IF($D243="wagon",1,1.2)))+$AW243</f>
        <v>140</v>
      </c>
      <c r="BH243" s="14">
        <f t="shared" si="74"/>
        <v>153125</v>
      </c>
      <c r="BI243" s="14">
        <f t="shared" si="75"/>
        <v>11375</v>
      </c>
      <c r="BO243" t="s">
        <v>1148</v>
      </c>
      <c r="BP243">
        <v>11</v>
      </c>
      <c r="BQ243">
        <v>232</v>
      </c>
      <c r="BS243" t="s">
        <v>283</v>
      </c>
      <c r="BT243" t="str">
        <f>VLOOKUP(G243,Eras!$A$2:$C$10, 2, TRUE)</f>
        <v>lbr</v>
      </c>
      <c r="BU243" t="s">
        <v>334</v>
      </c>
      <c r="BV243" t="str">
        <f t="shared" si="76"/>
        <v>lbr_EMU (Express)</v>
      </c>
      <c r="BW243" t="str">
        <f t="shared" si="77"/>
        <v>dual_electric_DUAL_POWER</v>
      </c>
      <c r="BX243" t="str">
        <f>VLOOKUP($BW243, Constants!$M:$N, 2, FALSE)</f>
        <v>{BLACK}Powered by: {GOLD}25kV AC / 750V DC</v>
      </c>
      <c r="BY243" t="str">
        <f t="shared" si="79"/>
        <v>{BLACK}Cars: {GOLD}5</v>
      </c>
      <c r="BZ243" t="s">
        <v>691</v>
      </c>
      <c r="CA243" t="str">
        <f t="shared" si="80"/>
        <v>{YELLOW}25% Bonus for long distance travel{}</v>
      </c>
      <c r="CB243" t="str">
        <f t="shared" si="78"/>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4" spans="1:80" x14ac:dyDescent="0.3">
      <c r="A244" t="s">
        <v>91</v>
      </c>
      <c r="B244" t="s">
        <v>189</v>
      </c>
      <c r="C244">
        <v>480</v>
      </c>
      <c r="D244" t="s">
        <v>404</v>
      </c>
      <c r="E244" t="s">
        <v>552</v>
      </c>
      <c r="F244" t="s">
        <v>551</v>
      </c>
      <c r="G244">
        <v>1995</v>
      </c>
      <c r="J244">
        <v>4</v>
      </c>
      <c r="K244">
        <v>1328</v>
      </c>
      <c r="T244">
        <v>138.5</v>
      </c>
      <c r="V244">
        <v>5</v>
      </c>
      <c r="W244">
        <v>160</v>
      </c>
      <c r="X244" s="3">
        <f t="shared" si="66"/>
        <v>0.11552346570397112</v>
      </c>
      <c r="Y244">
        <v>100</v>
      </c>
      <c r="Z244">
        <f t="shared" si="81"/>
        <v>160</v>
      </c>
      <c r="AC244">
        <v>19.829999999999998</v>
      </c>
      <c r="AD244">
        <v>19.8</v>
      </c>
      <c r="AE244">
        <v>2.8</v>
      </c>
      <c r="AF244">
        <v>3.8</v>
      </c>
      <c r="AG244" s="10">
        <v>78</v>
      </c>
      <c r="AH244" t="str">
        <f>CONCATENATE(VLOOKUP(AI244, 'Voxel Sizes'!$A$2:$B$18,2,FALSE),"x",INT(AE244*15), "x", INT(AF244*15))</f>
        <v>198x42x57</v>
      </c>
      <c r="AI244">
        <f t="shared" si="67"/>
        <v>12</v>
      </c>
      <c r="AK244" t="str">
        <f>CONCATENATE(VLOOKUP(AI244,Constants!$A$2:$C$16,IF(AJ244&lt;&gt;"", 3, 2), FALSE),IF(AJ244&lt;&gt;"",CONCATENATE(",",VLOOKUP(AJ244,$B:$AK,36,FALSE)),""))</f>
        <v>4,4,4</v>
      </c>
      <c r="AO244" t="s">
        <v>651</v>
      </c>
      <c r="AP244" t="s">
        <v>654</v>
      </c>
      <c r="AQ244" t="s">
        <v>555</v>
      </c>
      <c r="AU244">
        <v>30</v>
      </c>
      <c r="AV244" s="15" t="str">
        <f t="shared" si="68"/>
        <v/>
      </c>
      <c r="AW244">
        <v>-15</v>
      </c>
      <c r="AX244">
        <v>-40</v>
      </c>
      <c r="AY244">
        <f t="shared" si="69"/>
        <v>20</v>
      </c>
      <c r="AZ244">
        <f t="shared" si="70"/>
        <v>6.6400000000000006</v>
      </c>
      <c r="BA244">
        <f t="shared" si="71"/>
        <v>8</v>
      </c>
      <c r="BB244" s="3">
        <f t="shared" si="72"/>
        <v>0.87333333333333329</v>
      </c>
      <c r="BC244">
        <f t="shared" si="73"/>
        <v>10.4</v>
      </c>
      <c r="BD244">
        <f>VLOOKUP($E244,Constants!$I:$K, 2, FALSE)</f>
        <v>0.85</v>
      </c>
      <c r="BE244">
        <f>VLOOKUP($E244,Constants!$I:$K, 3, FALSE)*IF(AND(D244="multiple_unit",Y244&lt;110),0.75,1)</f>
        <v>1.7999999999999998</v>
      </c>
      <c r="BF244">
        <f>INT(POWER(((Constants!$G$2+$AY244+$AZ244+$BA244+$BC244)*$BB244)*$BE244, 1.05))+$AX244</f>
        <v>57</v>
      </c>
      <c r="BG244">
        <f>INT(POWER((((Constants!$G$1+$AY244+$AZ244+$BA244+$BC244)*($BB244))*$BD244),IF($D244="wagon",1,1.2)))+$AW244</f>
        <v>80</v>
      </c>
      <c r="BH244" s="14">
        <f t="shared" si="74"/>
        <v>44531.25</v>
      </c>
      <c r="BI244" s="14">
        <f t="shared" si="75"/>
        <v>6500</v>
      </c>
      <c r="BP244">
        <v>2</v>
      </c>
      <c r="BQ244">
        <v>185</v>
      </c>
      <c r="BS244" t="s">
        <v>652</v>
      </c>
      <c r="BT244" t="str">
        <f>VLOOKUP(G244,Eras!$A$2:$C$10, 2, TRUE)</f>
        <v>prv</v>
      </c>
      <c r="BU244" t="s">
        <v>332</v>
      </c>
      <c r="BV244" t="str">
        <f t="shared" si="76"/>
        <v>prv_DMU (Express)</v>
      </c>
      <c r="BW244" t="str">
        <f t="shared" si="77"/>
        <v>dual_electric_DUAL_POWER</v>
      </c>
      <c r="BX244" t="str">
        <f>VLOOKUP($BW244, Constants!$M:$N, 2, FALSE)</f>
        <v>{BLACK}Powered by: {GOLD}25kV AC / 750V DC</v>
      </c>
      <c r="BY244" t="str">
        <f t="shared" si="79"/>
        <v>{BLACK}Cars: {GOLD}4</v>
      </c>
      <c r="BZ244" t="s">
        <v>653</v>
      </c>
      <c r="CA244" t="str">
        <f t="shared" si="80"/>
        <v/>
      </c>
      <c r="CB244" t="str">
        <f t="shared" si="78"/>
        <v>{BLACK}Powered by: {GOLD}25kV AC / 750V DC {BLACK}Cars: {GOLD}4{}{SILVER}The Class 325 is a multiple unit designed for carrying mail and parcels more economically than a locomotive-hauled train. It is based on Class 319 hardware.</v>
      </c>
    </row>
    <row r="245" spans="1:80" x14ac:dyDescent="0.3">
      <c r="A245" t="s">
        <v>79</v>
      </c>
      <c r="B245" t="s">
        <v>591</v>
      </c>
      <c r="C245">
        <v>482</v>
      </c>
      <c r="D245" t="s">
        <v>404</v>
      </c>
      <c r="E245" t="s">
        <v>273</v>
      </c>
      <c r="F245" t="s">
        <v>275</v>
      </c>
      <c r="G245">
        <v>1998</v>
      </c>
      <c r="H245">
        <v>2005</v>
      </c>
      <c r="J245">
        <v>3</v>
      </c>
      <c r="K245">
        <v>1266</v>
      </c>
      <c r="T245">
        <v>135</v>
      </c>
      <c r="V245">
        <v>5</v>
      </c>
      <c r="W245">
        <v>180</v>
      </c>
      <c r="X245" s="3">
        <f t="shared" si="66"/>
        <v>0.13333333333333333</v>
      </c>
      <c r="Y245">
        <v>100</v>
      </c>
      <c r="Z245">
        <f t="shared" si="81"/>
        <v>160</v>
      </c>
      <c r="AC245">
        <v>23.62</v>
      </c>
      <c r="AD245">
        <v>21</v>
      </c>
      <c r="AE245">
        <v>2.69</v>
      </c>
      <c r="AF245">
        <v>3.77</v>
      </c>
      <c r="AG245" s="10">
        <v>63</v>
      </c>
      <c r="AH245" t="str">
        <f>CONCATENATE(VLOOKUP(AI245, 'Voxel Sizes'!$A$2:$B$18,2,FALSE),"x",INT(AE245*15), "x", INT(AF245*15))</f>
        <v>198x40x56</v>
      </c>
      <c r="AI245">
        <f t="shared" si="67"/>
        <v>12</v>
      </c>
      <c r="AK245" t="str">
        <f>CONCATENATE(VLOOKUP(AI245,Constants!$A$2:$C$16,IF(AJ245&lt;&gt;"", 3, 2), FALSE),IF(AJ245&lt;&gt;"",CONCATENATE(",",VLOOKUP(AJ245,$B:$AK,36,FALSE)),""))</f>
        <v>4,4,4</v>
      </c>
      <c r="AO245" t="s">
        <v>590</v>
      </c>
      <c r="AQ245" t="s">
        <v>292</v>
      </c>
      <c r="AU245">
        <v>29</v>
      </c>
      <c r="AV245" s="15" t="str">
        <f t="shared" si="68"/>
        <v/>
      </c>
      <c r="AW245">
        <v>-15</v>
      </c>
      <c r="AX245">
        <v>-25</v>
      </c>
      <c r="AY245">
        <f t="shared" si="69"/>
        <v>20</v>
      </c>
      <c r="AZ245">
        <f t="shared" si="70"/>
        <v>6.33</v>
      </c>
      <c r="BA245">
        <f t="shared" si="71"/>
        <v>9</v>
      </c>
      <c r="BB245" s="3">
        <f t="shared" si="72"/>
        <v>0.86933333333333329</v>
      </c>
      <c r="BC245">
        <f t="shared" si="73"/>
        <v>6.3</v>
      </c>
      <c r="BD245">
        <f>VLOOKUP($E245,Constants!$I:$K, 2, FALSE)</f>
        <v>1</v>
      </c>
      <c r="BE245">
        <f>VLOOKUP($E245,Constants!$I:$K, 3, FALSE)*IF(AND(D245="multiple_unit",Y245&lt;110),0.75,1)</f>
        <v>1.5</v>
      </c>
      <c r="BF245">
        <f>INT(POWER(((Constants!$G$2+$AY245+$AZ245+$BA245+$BC245)*$BB245)*$BE245, 1.05))+$AX245</f>
        <v>49</v>
      </c>
      <c r="BG245">
        <f>INT(POWER((((Constants!$G$1+$AY245+$AZ245+$BA245+$BC245)*($BB245))*$BD245),IF($D245="wagon",1,1.2)))+$AW245</f>
        <v>92</v>
      </c>
      <c r="BH245" s="14">
        <f t="shared" si="74"/>
        <v>38281.25</v>
      </c>
      <c r="BI245" s="14">
        <f t="shared" si="75"/>
        <v>7475</v>
      </c>
      <c r="BM245" t="s">
        <v>1117</v>
      </c>
      <c r="BP245">
        <v>3</v>
      </c>
      <c r="BQ245">
        <v>185</v>
      </c>
      <c r="BS245" t="s">
        <v>283</v>
      </c>
      <c r="BT245" t="str">
        <f>VLOOKUP(G245,Eras!$A$2:$C$10, 2, TRUE)</f>
        <v>prv</v>
      </c>
      <c r="BU245" t="s">
        <v>331</v>
      </c>
      <c r="BV245" t="str">
        <f t="shared" si="76"/>
        <v>prv_DMU</v>
      </c>
      <c r="BW245" t="str">
        <f t="shared" si="77"/>
        <v>diesel_RAIL</v>
      </c>
      <c r="BX245" t="str">
        <f>VLOOKUP($BW245, Constants!$M:$N, 2, FALSE)</f>
        <v>{BLACK}Powered by: {GOLD}Diesel</v>
      </c>
      <c r="BY245" t="str">
        <f t="shared" si="79"/>
        <v>{BLACK}Cars: {GOLD}3</v>
      </c>
      <c r="BZ245" t="s">
        <v>589</v>
      </c>
      <c r="CA245" t="str">
        <f t="shared" si="80"/>
        <v/>
      </c>
      <c r="CB245" t="str">
        <f t="shared" si="78"/>
        <v>{BLACK}Powered by: {GOLD}Diesel {BLACK}Cars: {GOLD}3{}{SILVER}The Turbostar is a further development of the BR "Networker" units. It is used for regional and long distance services.</v>
      </c>
    </row>
    <row r="246" spans="1:80" x14ac:dyDescent="0.3">
      <c r="A246" t="s">
        <v>1268</v>
      </c>
      <c r="B246" t="s">
        <v>1269</v>
      </c>
      <c r="C246">
        <v>483</v>
      </c>
      <c r="D246" t="s">
        <v>404</v>
      </c>
      <c r="E246" t="s">
        <v>273</v>
      </c>
      <c r="F246" t="s">
        <v>275</v>
      </c>
      <c r="G246">
        <v>2000</v>
      </c>
      <c r="J246">
        <v>2</v>
      </c>
      <c r="K246">
        <f>450*2</f>
        <v>900</v>
      </c>
      <c r="T246">
        <v>98</v>
      </c>
      <c r="V246">
        <v>5</v>
      </c>
      <c r="W246">
        <v>120</v>
      </c>
      <c r="X246" s="3">
        <f t="shared" si="66"/>
        <v>0.12244897959183673</v>
      </c>
      <c r="Y246">
        <v>100</v>
      </c>
      <c r="Z246">
        <f t="shared" si="81"/>
        <v>160</v>
      </c>
      <c r="AC246">
        <v>23.71</v>
      </c>
      <c r="AD246">
        <v>23.71</v>
      </c>
      <c r="AG246" s="10">
        <v>69</v>
      </c>
      <c r="AH246" t="str">
        <f>CONCATENATE(VLOOKUP(AI246, 'Voxel Sizes'!$A$2:$B$18,2,FALSE),"x",INT(AE246*15), "x", INT(AF246*15))</f>
        <v>238x0x0</v>
      </c>
      <c r="AI246">
        <f t="shared" si="67"/>
        <v>14</v>
      </c>
      <c r="AK246" t="str">
        <f>CONCATENATE(VLOOKUP(AI246,Constants!$A$2:$C$16,IF(AJ246&lt;&gt;"", 3, 2), FALSE),IF(AJ246&lt;&gt;"",CONCATENATE(",",VLOOKUP(AJ246,$B:$AK,36,FALSE)),""))</f>
        <v>4,6,4</v>
      </c>
      <c r="AO246" t="s">
        <v>1271</v>
      </c>
      <c r="AQ246" t="s">
        <v>467</v>
      </c>
      <c r="AU246">
        <v>22</v>
      </c>
      <c r="AV246" s="15" t="str">
        <f t="shared" si="68"/>
        <v/>
      </c>
      <c r="AW246">
        <v>-6</v>
      </c>
      <c r="AX246">
        <v>-25</v>
      </c>
      <c r="AY246">
        <f t="shared" si="69"/>
        <v>20</v>
      </c>
      <c r="AZ246">
        <f t="shared" si="70"/>
        <v>4.5</v>
      </c>
      <c r="BA246">
        <f t="shared" si="71"/>
        <v>6</v>
      </c>
      <c r="BB246" s="3">
        <f t="shared" si="72"/>
        <v>0.8666666666666667</v>
      </c>
      <c r="BC246">
        <f t="shared" si="73"/>
        <v>4.6000000000000005</v>
      </c>
      <c r="BD246">
        <f>VLOOKUP($E246,Constants!$I:$K, 2, FALSE)</f>
        <v>1</v>
      </c>
      <c r="BE246">
        <f>VLOOKUP($E246,Constants!$I:$K, 3, FALSE)*IF(AND(D246="multiple_unit",Y246&lt;110),0.75,1)</f>
        <v>1.5</v>
      </c>
      <c r="BF246">
        <f>INT(POWER(((Constants!$G$2+$AY246+$AZ246+$BA246+$BC246)*$BB246)*$BE246, 1.05))+$AX246</f>
        <v>38</v>
      </c>
      <c r="BG246">
        <f>INT(POWER((((Constants!$G$1+$AY246+$AZ246+$BA246+$BC246)*($BB246))*$BD246),IF($D246="wagon",1,1.2)))+$AW246</f>
        <v>86</v>
      </c>
      <c r="BH246" s="14">
        <f t="shared" si="74"/>
        <v>29687.5</v>
      </c>
      <c r="BI246" s="14">
        <f t="shared" si="75"/>
        <v>6987.5</v>
      </c>
      <c r="BP246">
        <v>4</v>
      </c>
      <c r="BS246" t="s">
        <v>283</v>
      </c>
      <c r="BT246" t="str">
        <f>VLOOKUP(G246,Eras!$A$2:$C$10, 2, TRUE)</f>
        <v>prv</v>
      </c>
      <c r="BU246" t="s">
        <v>331</v>
      </c>
      <c r="BV246" t="str">
        <f t="shared" si="76"/>
        <v>prv_DMU</v>
      </c>
      <c r="BW246" t="str">
        <f t="shared" si="77"/>
        <v>diesel_RAIL</v>
      </c>
      <c r="BZ246" t="s">
        <v>1270</v>
      </c>
      <c r="CB246" t="str">
        <f t="shared" si="78"/>
        <v>{SILVER}Originally operated by First North Western, the Class 175s were cascaded to services in Wales. They suffered early reliability problems, but work on braking systems and bogies has made a significant improvement.</v>
      </c>
    </row>
    <row r="247" spans="1:80" x14ac:dyDescent="0.3">
      <c r="A247" t="s">
        <v>576</v>
      </c>
      <c r="B247" t="s">
        <v>581</v>
      </c>
      <c r="C247">
        <v>484</v>
      </c>
      <c r="D247" t="s">
        <v>404</v>
      </c>
      <c r="E247" t="s">
        <v>296</v>
      </c>
      <c r="F247" t="s">
        <v>303</v>
      </c>
      <c r="G247">
        <v>2000</v>
      </c>
      <c r="H247">
        <v>2001</v>
      </c>
      <c r="I247">
        <v>2012</v>
      </c>
      <c r="J247">
        <v>8</v>
      </c>
      <c r="K247">
        <v>3620</v>
      </c>
      <c r="T247">
        <v>319</v>
      </c>
      <c r="V247">
        <v>5</v>
      </c>
      <c r="W247">
        <v>240</v>
      </c>
      <c r="X247" s="3">
        <f t="shared" si="66"/>
        <v>7.5235109717868343E-2</v>
      </c>
      <c r="Y247">
        <v>100</v>
      </c>
      <c r="Z247">
        <f t="shared" si="81"/>
        <v>160</v>
      </c>
      <c r="AD247">
        <v>21</v>
      </c>
      <c r="AG247" s="10">
        <f>23*3</f>
        <v>69</v>
      </c>
      <c r="AH247" t="str">
        <f>CONCATENATE(VLOOKUP(AI247, 'Voxel Sizes'!$A$2:$B$18,2,FALSE),"x",INT(AE247*15), "x", INT(AF247*15))</f>
        <v>198x0x0</v>
      </c>
      <c r="AI247">
        <f t="shared" si="67"/>
        <v>12</v>
      </c>
      <c r="AK247" t="str">
        <f>CONCATENATE(VLOOKUP(AI247,Constants!$A$2:$C$16,IF(AJ247&lt;&gt;"", 3, 2), FALSE),IF(AJ247&lt;&gt;"",CONCATENATE(",",VLOOKUP(AJ247,$B:$AK,36,FALSE)),""))</f>
        <v>4,4,4</v>
      </c>
      <c r="AO247" t="s">
        <v>584</v>
      </c>
      <c r="AQ247" t="s">
        <v>583</v>
      </c>
      <c r="AU247">
        <v>27</v>
      </c>
      <c r="AV247" s="15">
        <f t="shared" si="68"/>
        <v>20</v>
      </c>
      <c r="AW247">
        <v>-15</v>
      </c>
      <c r="AX247">
        <v>-30</v>
      </c>
      <c r="AY247">
        <f t="shared" si="69"/>
        <v>20</v>
      </c>
      <c r="AZ247">
        <f t="shared" si="70"/>
        <v>18.100000000000001</v>
      </c>
      <c r="BA247">
        <f t="shared" si="71"/>
        <v>12</v>
      </c>
      <c r="BB247" s="3">
        <f t="shared" si="72"/>
        <v>0.8666666666666667</v>
      </c>
      <c r="BC247">
        <f t="shared" si="73"/>
        <v>18.400000000000002</v>
      </c>
      <c r="BD247">
        <f>VLOOKUP($E247,Constants!$I:$K, 2, FALSE)</f>
        <v>0.85</v>
      </c>
      <c r="BE247">
        <f>VLOOKUP($E247,Constants!$I:$K, 3, FALSE)*IF(AND(D247="multiple_unit",Y247&lt;110),0.75,1)</f>
        <v>1.7249999999999999</v>
      </c>
      <c r="BF247">
        <f>INT(POWER(((Constants!$G$2+$AY247+$AZ247+$BA247+$BC247)*$BB247)*$BE247, 1.05))+$AX247</f>
        <v>108</v>
      </c>
      <c r="BG247">
        <f>INT(POWER((((Constants!$G$1+$AY247+$AZ247+$BA247+$BC247)*($BB247))*$BD247),IF($D247="wagon",1,1.2)))+$AW247</f>
        <v>125</v>
      </c>
      <c r="BH247" s="14">
        <f t="shared" si="74"/>
        <v>84375</v>
      </c>
      <c r="BI247" s="14">
        <f t="shared" si="75"/>
        <v>10156.25</v>
      </c>
      <c r="BO247" t="s">
        <v>1146</v>
      </c>
      <c r="BP247">
        <v>4</v>
      </c>
      <c r="BQ247">
        <v>205</v>
      </c>
      <c r="BS247" t="s">
        <v>283</v>
      </c>
      <c r="BT247" t="str">
        <f>VLOOKUP(G247,Eras!$A$2:$C$10, 2, TRUE)</f>
        <v>prv</v>
      </c>
      <c r="BU247" t="s">
        <v>334</v>
      </c>
      <c r="BV247" t="str">
        <f t="shared" si="76"/>
        <v>prv_EMU (Express)</v>
      </c>
      <c r="BW247" t="str">
        <f t="shared" si="77"/>
        <v>electric_THIRD_RAIL</v>
      </c>
      <c r="BX247" t="str">
        <f>VLOOKUP($BW247, Constants!$M:$N, 2, FALSE)</f>
        <v>{BLACK}Powered by: {GOLD}750V DC</v>
      </c>
      <c r="BY247" t="str">
        <f>IF(J247&gt;1,_xlfn.CONCAT("{BLACK}Cars: {GOLD}", J247),"")</f>
        <v>{BLACK}Cars: {GOLD}8</v>
      </c>
      <c r="BZ247" t="s">
        <v>582</v>
      </c>
      <c r="CA247" t="str">
        <f>IF(BS247="BRAKE","{YELLOW}Speed bonus for slow wagons{}",IF(BQ247&gt;190,CONCATENATE("{YELLOW}",INT((BQ247-185)/1.85),"% Bonus for long distance travel{}"),IF(AND(BQ247&lt;180,BQ247&lt;&gt;0),CONCATENATE("{YELLOW}",INT((185-BQ247)/1.85),"% Penalty for long distance travel{}"),"")))</f>
        <v>{YELLOW}10% Bonus for long distance travel{}</v>
      </c>
      <c r="CB247" t="str">
        <f t="shared" si="78"/>
        <v>{BLACK}Powered by: {GOLD}750V DC {BLACK}Cars: {GOLD}8{}{YELLOW}10% Bonus for long distance travel{}{SILVER}The Class 460 was built to replace locomotive-hauled services on the Gatwick Express. It had a short service life, with most units converted to Class 458/5 for suburban use.</v>
      </c>
    </row>
    <row r="248" spans="1:80" x14ac:dyDescent="0.3">
      <c r="A248" t="s">
        <v>576</v>
      </c>
      <c r="B248" t="s">
        <v>1139</v>
      </c>
      <c r="C248">
        <v>485</v>
      </c>
      <c r="D248" t="s">
        <v>404</v>
      </c>
      <c r="E248" t="s">
        <v>296</v>
      </c>
      <c r="F248" t="s">
        <v>303</v>
      </c>
      <c r="G248">
        <v>2000</v>
      </c>
      <c r="H248">
        <v>2001</v>
      </c>
      <c r="I248">
        <v>2012</v>
      </c>
      <c r="J248">
        <v>5</v>
      </c>
      <c r="K248">
        <v>3620</v>
      </c>
      <c r="T248">
        <f>319/8*5</f>
        <v>199.375</v>
      </c>
      <c r="V248">
        <v>5</v>
      </c>
      <c r="W248">
        <v>240</v>
      </c>
      <c r="X248" s="3">
        <f t="shared" si="66"/>
        <v>0.12037617554858934</v>
      </c>
      <c r="Y248">
        <v>100</v>
      </c>
      <c r="Z248">
        <f t="shared" si="81"/>
        <v>160</v>
      </c>
      <c r="AD248">
        <v>21</v>
      </c>
      <c r="AG248" s="10">
        <f>23*3</f>
        <v>69</v>
      </c>
      <c r="AH248" t="str">
        <f>CONCATENATE(VLOOKUP(AI248, 'Voxel Sizes'!$A$2:$B$18,2,FALSE),"x",INT(AE248*15), "x", INT(AF248*15))</f>
        <v>198x0x0</v>
      </c>
      <c r="AI248">
        <f t="shared" si="67"/>
        <v>12</v>
      </c>
      <c r="AK248" t="str">
        <f>CONCATENATE(VLOOKUP(AI248,Constants!$A$2:$C$16,IF(AJ248&lt;&gt;"", 3, 2), FALSE),IF(AJ248&lt;&gt;"",CONCATENATE(",",VLOOKUP(AJ248,$B:$AK,36,FALSE)),""))</f>
        <v>4,4,4</v>
      </c>
      <c r="AO248" t="s">
        <v>1140</v>
      </c>
      <c r="AQ248" t="s">
        <v>664</v>
      </c>
      <c r="AR248" t="s">
        <v>581</v>
      </c>
      <c r="AU248">
        <v>27</v>
      </c>
      <c r="AV248" s="15">
        <f t="shared" si="68"/>
        <v>20</v>
      </c>
      <c r="AW248">
        <v>-15</v>
      </c>
      <c r="AX248">
        <v>-30</v>
      </c>
      <c r="AY248">
        <f t="shared" si="69"/>
        <v>20</v>
      </c>
      <c r="AZ248">
        <f t="shared" si="70"/>
        <v>18.100000000000001</v>
      </c>
      <c r="BA248">
        <f t="shared" si="71"/>
        <v>12</v>
      </c>
      <c r="BB248" s="3">
        <f t="shared" si="72"/>
        <v>0.8666666666666667</v>
      </c>
      <c r="BC248">
        <f t="shared" si="73"/>
        <v>11.500000000000002</v>
      </c>
      <c r="BD248">
        <f>VLOOKUP($E248,Constants!$I:$K, 2, FALSE)</f>
        <v>0.85</v>
      </c>
      <c r="BE248">
        <f>VLOOKUP($E248,Constants!$I:$K, 3, FALSE)*IF(AND(D248="multiple_unit",Y248&lt;110),0.75,1)</f>
        <v>1.7249999999999999</v>
      </c>
      <c r="BF248">
        <f>INT(POWER(((Constants!$G$2+$AY248+$AZ248+$BA248+$BC248)*$BB248)*$BE248, 1.05))+$AX248</f>
        <v>95</v>
      </c>
      <c r="BG248">
        <f>INT(POWER((((Constants!$G$1+$AY248+$AZ248+$BA248+$BC248)*($BB248))*$BD248),IF($D248="wagon",1,1.2)))+$AW248</f>
        <v>111</v>
      </c>
      <c r="BH248" s="14">
        <f t="shared" si="74"/>
        <v>74218.75</v>
      </c>
      <c r="BI248" s="14">
        <f t="shared" si="75"/>
        <v>9018.75</v>
      </c>
      <c r="BO248" t="s">
        <v>1148</v>
      </c>
      <c r="BP248">
        <v>4</v>
      </c>
      <c r="BQ248">
        <v>205</v>
      </c>
      <c r="BS248" t="s">
        <v>283</v>
      </c>
      <c r="BT248" t="str">
        <f>VLOOKUP(G248,Eras!$A$2:$C$10, 2, TRUE)</f>
        <v>prv</v>
      </c>
      <c r="BU248" t="s">
        <v>334</v>
      </c>
      <c r="BV248" t="str">
        <f t="shared" si="76"/>
        <v>prv_EMU (Express)</v>
      </c>
      <c r="BW248" t="str">
        <f t="shared" si="77"/>
        <v>electric_THIRD_RAIL</v>
      </c>
      <c r="BX248" t="str">
        <f>VLOOKUP($BW248, Constants!$M:$N, 2, FALSE)</f>
        <v>{BLACK}Powered by: {GOLD}750V DC</v>
      </c>
      <c r="BY248" t="str">
        <f>IF(J248&gt;1,_xlfn.CONCAT("{BLACK}Cars: {GOLD}", J248),"")</f>
        <v>{BLACK}Cars: {GOLD}5</v>
      </c>
      <c r="BZ248" t="s">
        <v>582</v>
      </c>
      <c r="CA248" t="str">
        <f>IF(BS248="BRAKE","{YELLOW}Speed bonus for slow wagons{}",IF(BQ248&gt;190,CONCATENATE("{YELLOW}",INT((BQ248-185)/1.85),"% Bonus for long distance travel{}"),IF(AND(BQ248&lt;180,BQ248&lt;&gt;0),CONCATENATE("{YELLOW}",INT((185-BQ248)/1.85),"% Penalty for long distance travel{}"),"")))</f>
        <v>{YELLOW}10% Bonus for long distance travel{}</v>
      </c>
      <c r="CB248" t="str">
        <f t="shared" si="78"/>
        <v>{BLACK}Powered by: {GOLD}750V DC {BLACK}Cars: {GOLD}5{}{YELLOW}10% Bonus for long distance travel{}{SILVER}The Class 460 was built to replace locomotive-hauled services on the Gatwick Express. It had a short service life, with most units converted to Class 458/5 for suburban use.</v>
      </c>
    </row>
    <row r="249" spans="1:80" x14ac:dyDescent="0.3">
      <c r="A249" t="s">
        <v>1256</v>
      </c>
      <c r="B249" t="s">
        <v>1257</v>
      </c>
      <c r="C249">
        <v>486</v>
      </c>
      <c r="D249" t="s">
        <v>404</v>
      </c>
      <c r="E249" t="s">
        <v>273</v>
      </c>
      <c r="F249" t="s">
        <v>275</v>
      </c>
      <c r="G249">
        <v>2001</v>
      </c>
      <c r="J249">
        <v>5</v>
      </c>
      <c r="K249">
        <f>750*3</f>
        <v>2250</v>
      </c>
      <c r="T249">
        <v>252.5</v>
      </c>
      <c r="V249">
        <v>4</v>
      </c>
      <c r="W249">
        <v>190</v>
      </c>
      <c r="X249" s="3">
        <f t="shared" si="66"/>
        <v>7.5247524752475245E-2</v>
      </c>
      <c r="Y249">
        <v>125</v>
      </c>
      <c r="Z249">
        <f t="shared" si="81"/>
        <v>200</v>
      </c>
      <c r="AC249">
        <v>23.71</v>
      </c>
      <c r="AD249">
        <v>23.71</v>
      </c>
      <c r="AG249" s="10">
        <v>57</v>
      </c>
      <c r="AH249" t="str">
        <f>CONCATENATE(VLOOKUP(AI249, 'Voxel Sizes'!$A$2:$B$18,2,FALSE),"x",INT(AE249*15), "x", INT(AF249*15))</f>
        <v>238x0x0</v>
      </c>
      <c r="AI249">
        <f t="shared" si="67"/>
        <v>14</v>
      </c>
      <c r="AK249" t="str">
        <f>CONCATENATE(VLOOKUP(AI249,Constants!$A$2:$C$16,IF(AJ249&lt;&gt;"", 3, 2), FALSE),IF(AJ249&lt;&gt;"",CONCATENATE(",",VLOOKUP(AJ249,$B:$AK,36,FALSE)),""))</f>
        <v>4,6,4</v>
      </c>
      <c r="AO249" t="s">
        <v>1258</v>
      </c>
      <c r="AQ249" t="s">
        <v>606</v>
      </c>
      <c r="AU249">
        <v>22</v>
      </c>
      <c r="AV249" s="15" t="str">
        <f t="shared" si="68"/>
        <v/>
      </c>
      <c r="AW249">
        <v>-8</v>
      </c>
      <c r="AX249">
        <v>-30</v>
      </c>
      <c r="AY249">
        <f t="shared" si="69"/>
        <v>25</v>
      </c>
      <c r="AZ249">
        <f t="shared" si="70"/>
        <v>11.25</v>
      </c>
      <c r="BA249">
        <f t="shared" si="71"/>
        <v>9.5</v>
      </c>
      <c r="BB249" s="3">
        <f t="shared" si="72"/>
        <v>0.86533333333333329</v>
      </c>
      <c r="BC249">
        <f t="shared" si="73"/>
        <v>9.5</v>
      </c>
      <c r="BD249">
        <f>VLOOKUP($E249,Constants!$I:$K, 2, FALSE)</f>
        <v>1</v>
      </c>
      <c r="BE249">
        <f>VLOOKUP($E249,Constants!$I:$K, 3, FALSE)*IF(AND(D249="multiple_unit",Y249&lt;110),0.75,1)</f>
        <v>2</v>
      </c>
      <c r="BF249">
        <f>INT(POWER(((Constants!$G$2+$AY249+$AZ249+$BA249+$BC249)*$BB249)*$BE249, 1.05))+$AX249</f>
        <v>101</v>
      </c>
      <c r="BG249">
        <f>INT(POWER((((Constants!$G$1+$AY249+$AZ249+$BA249+$BC249)*($BB249))*$BD249),IF($D249="wagon",1,1.2)))+$AW249</f>
        <v>130</v>
      </c>
      <c r="BH249" s="14">
        <f t="shared" si="74"/>
        <v>78906.25</v>
      </c>
      <c r="BI249" s="14">
        <f t="shared" si="75"/>
        <v>10562.5</v>
      </c>
      <c r="BO249" t="s">
        <v>1146</v>
      </c>
      <c r="BP249">
        <v>7</v>
      </c>
      <c r="BS249" t="s">
        <v>283</v>
      </c>
      <c r="BT249" t="str">
        <f>VLOOKUP(G249,Eras!$A$2:$C$10, 2, TRUE)</f>
        <v>prv</v>
      </c>
      <c r="BU249" t="s">
        <v>332</v>
      </c>
      <c r="BV249" t="str">
        <f t="shared" si="76"/>
        <v>prv_DMU (Express)</v>
      </c>
      <c r="BW249" t="str">
        <f t="shared" si="77"/>
        <v>diesel_RAIL</v>
      </c>
      <c r="BZ249" t="s">
        <v>1259</v>
      </c>
      <c r="CB249" t="str">
        <f t="shared" si="78"/>
        <v>{SILVER}Unusually for a high speed unit, the Class 180 uses a diesel-hydraulic transmission. Unfortunately the units suffered reliability problems both before and after launch.</v>
      </c>
    </row>
    <row r="250" spans="1:80" x14ac:dyDescent="0.3">
      <c r="A250" t="s">
        <v>1256</v>
      </c>
      <c r="B250" t="s">
        <v>1301</v>
      </c>
      <c r="C250">
        <v>487</v>
      </c>
      <c r="D250" t="s">
        <v>404</v>
      </c>
      <c r="E250" t="s">
        <v>273</v>
      </c>
      <c r="F250" t="s">
        <v>275</v>
      </c>
      <c r="G250">
        <v>2001</v>
      </c>
      <c r="J250">
        <v>4</v>
      </c>
      <c r="K250">
        <f>750*3</f>
        <v>2250</v>
      </c>
      <c r="T250">
        <v>203</v>
      </c>
      <c r="V250">
        <v>4</v>
      </c>
      <c r="W250">
        <v>190</v>
      </c>
      <c r="X250" s="3">
        <f t="shared" si="66"/>
        <v>9.3596059113300489E-2</v>
      </c>
      <c r="Y250">
        <v>125</v>
      </c>
      <c r="Z250">
        <f t="shared" si="81"/>
        <v>200</v>
      </c>
      <c r="AC250">
        <v>23.71</v>
      </c>
      <c r="AD250">
        <v>23.71</v>
      </c>
      <c r="AG250" s="10">
        <v>57</v>
      </c>
      <c r="AH250" t="str">
        <f>CONCATENATE(VLOOKUP(AI250, 'Voxel Sizes'!$A$2:$B$18,2,FALSE),"x",INT(AE250*15), "x", INT(AF250*15))</f>
        <v>238x0x0</v>
      </c>
      <c r="AI250">
        <f t="shared" si="67"/>
        <v>14</v>
      </c>
      <c r="AK250" t="str">
        <f>CONCATENATE(VLOOKUP(AI250,Constants!$A$2:$C$16,IF(AJ250&lt;&gt;"", 3, 2), FALSE),IF(AJ250&lt;&gt;"",CONCATENATE(",",VLOOKUP(AJ250,$B:$AK,36,FALSE)),""))</f>
        <v>4,6,4</v>
      </c>
      <c r="AO250" t="s">
        <v>1302</v>
      </c>
      <c r="AQ250" t="s">
        <v>1126</v>
      </c>
      <c r="AR250" t="s">
        <v>1257</v>
      </c>
      <c r="AU250">
        <v>22</v>
      </c>
      <c r="AV250" s="15" t="str">
        <f t="shared" si="68"/>
        <v/>
      </c>
      <c r="AW250">
        <v>-8</v>
      </c>
      <c r="AX250">
        <v>-30</v>
      </c>
      <c r="AY250">
        <f t="shared" si="69"/>
        <v>25</v>
      </c>
      <c r="AZ250">
        <f t="shared" si="70"/>
        <v>11.25</v>
      </c>
      <c r="BA250">
        <f t="shared" si="71"/>
        <v>9.5</v>
      </c>
      <c r="BB250" s="3">
        <f t="shared" si="72"/>
        <v>0.86533333333333329</v>
      </c>
      <c r="BC250">
        <f t="shared" si="73"/>
        <v>7.6</v>
      </c>
      <c r="BD250">
        <f>VLOOKUP($E250,Constants!$I:$K, 2, FALSE)</f>
        <v>1</v>
      </c>
      <c r="BE250">
        <f>VLOOKUP($E250,Constants!$I:$K, 3, FALSE)*IF(AND(D250="multiple_unit",Y250&lt;110),0.75,1)</f>
        <v>2</v>
      </c>
      <c r="BF250">
        <f>INT(POWER(((Constants!$G$2+$AY250+$AZ250+$BA250+$BC250)*$BB250)*$BE250, 1.05))+$AX250</f>
        <v>97</v>
      </c>
      <c r="BG250">
        <f>INT(POWER((((Constants!$G$1+$AY250+$AZ250+$BA250+$BC250)*($BB250))*$BD250),IF($D250="wagon",1,1.2)))+$AW250</f>
        <v>125</v>
      </c>
      <c r="BH250" s="14">
        <f t="shared" si="74"/>
        <v>75781.25</v>
      </c>
      <c r="BI250" s="14">
        <f t="shared" si="75"/>
        <v>10156.25</v>
      </c>
      <c r="BO250" t="s">
        <v>1148</v>
      </c>
      <c r="BP250">
        <v>7</v>
      </c>
      <c r="BS250" t="s">
        <v>283</v>
      </c>
      <c r="BT250" t="str">
        <f>VLOOKUP(G250,Eras!$A$2:$C$10, 2, TRUE)</f>
        <v>prv</v>
      </c>
      <c r="BU250" t="s">
        <v>332</v>
      </c>
      <c r="BV250" t="str">
        <f t="shared" si="76"/>
        <v>prv_DMU (Express)</v>
      </c>
      <c r="BW250" t="str">
        <f t="shared" si="77"/>
        <v>diesel_RAIL</v>
      </c>
      <c r="BZ250" t="s">
        <v>1259</v>
      </c>
      <c r="CB250" t="str">
        <f t="shared" si="78"/>
        <v>{SILVER}Unusually for a high speed unit, the Class 180 uses a diesel-hydraulic transmission. Unfortunately the units suffered reliability problems both before and after launch.</v>
      </c>
    </row>
    <row r="251" spans="1:80" x14ac:dyDescent="0.3">
      <c r="A251" t="s">
        <v>577</v>
      </c>
      <c r="B251" t="s">
        <v>656</v>
      </c>
      <c r="C251">
        <v>488</v>
      </c>
      <c r="D251" t="s">
        <v>404</v>
      </c>
      <c r="E251" t="s">
        <v>296</v>
      </c>
      <c r="F251" t="s">
        <v>297</v>
      </c>
      <c r="G251">
        <v>2002</v>
      </c>
      <c r="J251">
        <v>8</v>
      </c>
      <c r="K251">
        <v>6840</v>
      </c>
      <c r="T251">
        <v>466</v>
      </c>
      <c r="V251">
        <v>4</v>
      </c>
      <c r="W251">
        <v>325</v>
      </c>
      <c r="X251" s="3">
        <f t="shared" si="66"/>
        <v>6.974248927038626E-2</v>
      </c>
      <c r="Y251">
        <v>140</v>
      </c>
      <c r="Z251">
        <f t="shared" si="81"/>
        <v>224</v>
      </c>
      <c r="AC251">
        <v>23.9</v>
      </c>
      <c r="AD251">
        <v>23.9</v>
      </c>
      <c r="AE251">
        <v>2.73</v>
      </c>
      <c r="AF251">
        <v>3.56</v>
      </c>
      <c r="AG251" s="10">
        <v>60</v>
      </c>
      <c r="AH251" t="str">
        <f>CONCATENATE(VLOOKUP(AI251, 'Voxel Sizes'!$A$2:$B$18,2,FALSE),"x",INT(AE251*15), "x", INT(AF251*15))</f>
        <v>238x40x53</v>
      </c>
      <c r="AI251">
        <f t="shared" si="67"/>
        <v>14</v>
      </c>
      <c r="AK251" t="str">
        <f>CONCATENATE(VLOOKUP(AI251,Constants!$A$2:$C$16,IF(AJ251&lt;&gt;"", 3, 2), FALSE),IF(AJ251&lt;&gt;"",CONCATENATE(",",VLOOKUP(AJ251,$B:$AK,36,FALSE)),""))</f>
        <v>4,6,4</v>
      </c>
      <c r="AO251" t="s">
        <v>655</v>
      </c>
      <c r="AQ251" t="s">
        <v>658</v>
      </c>
      <c r="AU251">
        <v>29</v>
      </c>
      <c r="AV251" s="15" t="str">
        <f t="shared" si="68"/>
        <v/>
      </c>
      <c r="AW251">
        <v>-15</v>
      </c>
      <c r="AX251">
        <v>-35</v>
      </c>
      <c r="AY251">
        <f t="shared" si="69"/>
        <v>28</v>
      </c>
      <c r="AZ251">
        <f t="shared" si="70"/>
        <v>20</v>
      </c>
      <c r="BA251">
        <f t="shared" si="71"/>
        <v>16.25</v>
      </c>
      <c r="BB251" s="3">
        <f t="shared" si="72"/>
        <v>0.86399999999999999</v>
      </c>
      <c r="BC251">
        <f t="shared" si="73"/>
        <v>16</v>
      </c>
      <c r="BD251">
        <f>VLOOKUP($E251,Constants!$I:$K, 2, FALSE)</f>
        <v>0.85</v>
      </c>
      <c r="BE251">
        <f>VLOOKUP($E251,Constants!$I:$K, 3, FALSE)*IF(AND(D251="multiple_unit",Y251&lt;110),0.75,1)</f>
        <v>2.2999999999999998</v>
      </c>
      <c r="BF251">
        <f>INT(POWER(((Constants!$G$2+$AY251+$AZ251+$BA251+$BC251)*$BB251)*$BE251, 1.05))+$AX251</f>
        <v>183</v>
      </c>
      <c r="BG251">
        <f>INT(POWER((((Constants!$G$1+$AY251+$AZ251+$BA251+$BC251)*($BB251))*$BD251),IF($D251="wagon",1,1.2)))+$AW251</f>
        <v>148</v>
      </c>
      <c r="BH251" s="14">
        <f t="shared" si="74"/>
        <v>142968.75</v>
      </c>
      <c r="BI251" s="14">
        <f t="shared" si="75"/>
        <v>12025</v>
      </c>
      <c r="BL251">
        <v>1</v>
      </c>
      <c r="BO251" t="s">
        <v>1150</v>
      </c>
      <c r="BP251">
        <v>6</v>
      </c>
      <c r="BQ251">
        <v>205</v>
      </c>
      <c r="BS251" t="s">
        <v>283</v>
      </c>
      <c r="BT251" t="str">
        <f>VLOOKUP(G251,Eras!$A$2:$C$10, 2, TRUE)</f>
        <v>prv</v>
      </c>
      <c r="BU251" t="s">
        <v>334</v>
      </c>
      <c r="BV251" t="str">
        <f t="shared" si="76"/>
        <v>prv_EMU (Express)</v>
      </c>
      <c r="BW251" t="str">
        <f t="shared" si="77"/>
        <v>electric_ELRL</v>
      </c>
      <c r="BX251" t="str">
        <f>VLOOKUP($BW251, Constants!$M:$N, 2, FALSE)</f>
        <v>{BLACK}Powered by: {GOLD}25kV AC</v>
      </c>
      <c r="BY251" t="str">
        <f t="shared" ref="BY251:BY261" si="82">IF(J251&gt;1,_xlfn.CONCAT("{BLACK}Cars: {GOLD}", J251),"")</f>
        <v>{BLACK}Cars: {GOLD}8</v>
      </c>
      <c r="BZ251" t="s">
        <v>657</v>
      </c>
      <c r="CA251" t="str">
        <f t="shared" ref="CA251:CA261" si="83">IF(BS251="BRAKE","{YELLOW}Speed bonus for slow wagons{}",IF(BQ251&gt;190,CONCATENATE("{YELLOW}",INT((BQ251-185)/1.85),"% Bonus for long distance travel{}"),IF(AND(BQ251&lt;180,BQ251&lt;&gt;0),CONCATENATE("{YELLOW}",INT((185-BQ251)/1.85),"% Penalty for long distance travel{}"),"")))</f>
        <v>{YELLOW}10% Bonus for long distance travel{}</v>
      </c>
      <c r="CB251" t="str">
        <f t="shared" si="78"/>
        <v>{BLACK}Powered by: {GOLD}25kV AC {BLACK}Cars: {GOLD}8{}{YELLOW}10% Bonus for long distance travel{}{SILVER}The Pendolino is a tilting multiple unit with a design speed of 140mph.  The tilt system is supplied by Fiat Ferroviaria.</v>
      </c>
    </row>
    <row r="252" spans="1:80" x14ac:dyDescent="0.3">
      <c r="A252" t="s">
        <v>577</v>
      </c>
      <c r="B252" t="s">
        <v>1128</v>
      </c>
      <c r="C252">
        <v>489</v>
      </c>
      <c r="D252" t="s">
        <v>404</v>
      </c>
      <c r="E252" t="s">
        <v>296</v>
      </c>
      <c r="F252" t="s">
        <v>297</v>
      </c>
      <c r="G252">
        <v>2002</v>
      </c>
      <c r="J252">
        <v>6</v>
      </c>
      <c r="K252">
        <v>6840</v>
      </c>
      <c r="T252">
        <f>(466/8)*6</f>
        <v>349.5</v>
      </c>
      <c r="V252">
        <v>4</v>
      </c>
      <c r="W252">
        <v>325</v>
      </c>
      <c r="X252" s="3">
        <f t="shared" si="66"/>
        <v>9.2989985693848351E-2</v>
      </c>
      <c r="Y252">
        <v>140</v>
      </c>
      <c r="Z252">
        <f t="shared" si="81"/>
        <v>224</v>
      </c>
      <c r="AC252">
        <v>23.9</v>
      </c>
      <c r="AD252">
        <v>23.9</v>
      </c>
      <c r="AE252">
        <v>2.73</v>
      </c>
      <c r="AF252">
        <v>3.56</v>
      </c>
      <c r="AG252" s="10">
        <v>60</v>
      </c>
      <c r="AH252" t="str">
        <f>CONCATENATE(VLOOKUP(AI252, 'Voxel Sizes'!$A$2:$B$18,2,FALSE),"x",INT(AE252*15), "x", INT(AF252*15))</f>
        <v>238x40x53</v>
      </c>
      <c r="AI252">
        <f t="shared" si="67"/>
        <v>14</v>
      </c>
      <c r="AK252" t="str">
        <f>CONCATENATE(VLOOKUP(AI252,Constants!$A$2:$C$16,IF(AJ252&lt;&gt;"", 3, 2), FALSE),IF(AJ252&lt;&gt;"",CONCATENATE(",",VLOOKUP(AJ252,$B:$AK,36,FALSE)),""))</f>
        <v>4,6,4</v>
      </c>
      <c r="AO252" t="s">
        <v>1129</v>
      </c>
      <c r="AQ252" t="s">
        <v>1130</v>
      </c>
      <c r="AR252" t="s">
        <v>656</v>
      </c>
      <c r="AU252">
        <v>29</v>
      </c>
      <c r="AV252" s="15" t="str">
        <f t="shared" si="68"/>
        <v/>
      </c>
      <c r="AW252">
        <v>-15</v>
      </c>
      <c r="AX252">
        <v>-35</v>
      </c>
      <c r="AY252">
        <f t="shared" si="69"/>
        <v>28</v>
      </c>
      <c r="AZ252">
        <f t="shared" si="70"/>
        <v>20</v>
      </c>
      <c r="BA252">
        <f t="shared" si="71"/>
        <v>16.25</v>
      </c>
      <c r="BB252" s="3">
        <f t="shared" si="72"/>
        <v>0.86399999999999999</v>
      </c>
      <c r="BC252">
        <f t="shared" si="73"/>
        <v>12.000000000000002</v>
      </c>
      <c r="BD252">
        <f>VLOOKUP($E252,Constants!$I:$K, 2, FALSE)</f>
        <v>0.85</v>
      </c>
      <c r="BE252">
        <f>VLOOKUP($E252,Constants!$I:$K, 3, FALSE)*IF(AND(D252="multiple_unit",Y252&lt;110),0.75,1)</f>
        <v>2.2999999999999998</v>
      </c>
      <c r="BF252">
        <f>INT(POWER(((Constants!$G$2+$AY252+$AZ252+$BA252+$BC252)*$BB252)*$BE252, 1.05))+$AX252</f>
        <v>173</v>
      </c>
      <c r="BG252">
        <f>INT(POWER((((Constants!$G$1+$AY252+$AZ252+$BA252+$BC252)*($BB252))*$BD252),IF($D252="wagon",1,1.2)))+$AW252</f>
        <v>140</v>
      </c>
      <c r="BH252" s="14">
        <f t="shared" si="74"/>
        <v>135156.25</v>
      </c>
      <c r="BI252" s="14">
        <f t="shared" si="75"/>
        <v>11375</v>
      </c>
      <c r="BL252">
        <v>1</v>
      </c>
      <c r="BO252" t="s">
        <v>1149</v>
      </c>
      <c r="BP252">
        <v>6</v>
      </c>
      <c r="BQ252">
        <v>205</v>
      </c>
      <c r="BS252" t="s">
        <v>283</v>
      </c>
      <c r="BT252" t="str">
        <f>VLOOKUP(G252,Eras!$A$2:$C$10, 2, TRUE)</f>
        <v>prv</v>
      </c>
      <c r="BU252" t="s">
        <v>334</v>
      </c>
      <c r="BV252" t="str">
        <f t="shared" si="76"/>
        <v>prv_EMU (Express)</v>
      </c>
      <c r="BW252" t="str">
        <f t="shared" si="77"/>
        <v>electric_ELRL</v>
      </c>
      <c r="BX252" t="str">
        <f>VLOOKUP($BW252, Constants!$M:$N, 2, FALSE)</f>
        <v>{BLACK}Powered by: {GOLD}25kV AC</v>
      </c>
      <c r="BY252" t="str">
        <f t="shared" si="82"/>
        <v>{BLACK}Cars: {GOLD}6</v>
      </c>
      <c r="BZ252" t="s">
        <v>657</v>
      </c>
      <c r="CA252" t="str">
        <f t="shared" si="83"/>
        <v>{YELLOW}10% Bonus for long distance travel{}</v>
      </c>
      <c r="CB252" t="str">
        <f t="shared" si="78"/>
        <v>{BLACK}Powered by: {GOLD}25kV AC {BLACK}Cars: {GOLD}6{}{YELLOW}10% Bonus for long distance travel{}{SILVER}The Pendolino is a tilting multiple unit with a design speed of 140mph.  The tilt system is supplied by Fiat Ferroviaria.</v>
      </c>
    </row>
    <row r="253" spans="1:80" x14ac:dyDescent="0.3">
      <c r="A253" t="s">
        <v>577</v>
      </c>
      <c r="B253" t="s">
        <v>1143</v>
      </c>
      <c r="C253">
        <v>490</v>
      </c>
      <c r="D253" t="s">
        <v>404</v>
      </c>
      <c r="E253" t="s">
        <v>296</v>
      </c>
      <c r="F253" t="s">
        <v>297</v>
      </c>
      <c r="G253">
        <v>2002</v>
      </c>
      <c r="J253">
        <v>4</v>
      </c>
      <c r="K253">
        <v>6840</v>
      </c>
      <c r="T253">
        <f>(466/8)*4</f>
        <v>233</v>
      </c>
      <c r="V253">
        <v>4</v>
      </c>
      <c r="W253">
        <v>325</v>
      </c>
      <c r="X253" s="3">
        <f t="shared" si="66"/>
        <v>0.13948497854077252</v>
      </c>
      <c r="Y253">
        <v>140</v>
      </c>
      <c r="Z253">
        <f t="shared" si="81"/>
        <v>224</v>
      </c>
      <c r="AC253">
        <v>23.9</v>
      </c>
      <c r="AD253">
        <v>23.9</v>
      </c>
      <c r="AE253">
        <v>2.73</v>
      </c>
      <c r="AF253">
        <v>3.56</v>
      </c>
      <c r="AG253" s="10">
        <v>60</v>
      </c>
      <c r="AH253" t="str">
        <f>CONCATENATE(VLOOKUP(AI253, 'Voxel Sizes'!$A$2:$B$18,2,FALSE),"x",INT(AE253*15), "x", INT(AF253*15))</f>
        <v>238x40x53</v>
      </c>
      <c r="AI253">
        <f t="shared" si="67"/>
        <v>14</v>
      </c>
      <c r="AK253" t="str">
        <f>CONCATENATE(VLOOKUP(AI253,Constants!$A$2:$C$16,IF(AJ253&lt;&gt;"", 3, 2), FALSE),IF(AJ253&lt;&gt;"",CONCATENATE(",",VLOOKUP(AJ253,$B:$AK,36,FALSE)),""))</f>
        <v>4,6,4</v>
      </c>
      <c r="AO253" t="s">
        <v>1144</v>
      </c>
      <c r="AQ253" t="s">
        <v>1126</v>
      </c>
      <c r="AR253" t="s">
        <v>656</v>
      </c>
      <c r="AU253">
        <v>29</v>
      </c>
      <c r="AV253" s="15" t="str">
        <f t="shared" si="68"/>
        <v/>
      </c>
      <c r="AW253">
        <v>-15</v>
      </c>
      <c r="AX253">
        <v>-35</v>
      </c>
      <c r="AY253">
        <f t="shared" si="69"/>
        <v>28</v>
      </c>
      <c r="AZ253">
        <f t="shared" si="70"/>
        <v>20</v>
      </c>
      <c r="BA253">
        <f t="shared" si="71"/>
        <v>16.25</v>
      </c>
      <c r="BB253" s="3">
        <f t="shared" si="72"/>
        <v>0.86399999999999999</v>
      </c>
      <c r="BC253">
        <f t="shared" si="73"/>
        <v>8</v>
      </c>
      <c r="BD253">
        <f>VLOOKUP($E253,Constants!$I:$K, 2, FALSE)</f>
        <v>0.85</v>
      </c>
      <c r="BE253">
        <f>VLOOKUP($E253,Constants!$I:$K, 3, FALSE)*IF(AND(D253="multiple_unit",Y253&lt;110),0.75,1)</f>
        <v>2.2999999999999998</v>
      </c>
      <c r="BF253">
        <f>INT(POWER(((Constants!$G$2+$AY253+$AZ253+$BA253+$BC253)*$BB253)*$BE253, 1.05))+$AX253</f>
        <v>162</v>
      </c>
      <c r="BG253">
        <f>INT(POWER((((Constants!$G$1+$AY253+$AZ253+$BA253+$BC253)*($BB253))*$BD253),IF($D253="wagon",1,1.2)))+$AW253</f>
        <v>132</v>
      </c>
      <c r="BH253" s="14">
        <f t="shared" si="74"/>
        <v>126562.5</v>
      </c>
      <c r="BI253" s="14">
        <f t="shared" si="75"/>
        <v>10725</v>
      </c>
      <c r="BL253">
        <v>1</v>
      </c>
      <c r="BO253" t="s">
        <v>1148</v>
      </c>
      <c r="BP253">
        <v>6</v>
      </c>
      <c r="BQ253">
        <v>205</v>
      </c>
      <c r="BS253" t="s">
        <v>283</v>
      </c>
      <c r="BT253" t="str">
        <f>VLOOKUP(G253,Eras!$A$2:$C$10, 2, TRUE)</f>
        <v>prv</v>
      </c>
      <c r="BU253" t="s">
        <v>334</v>
      </c>
      <c r="BV253" t="str">
        <f t="shared" si="76"/>
        <v>prv_EMU (Express)</v>
      </c>
      <c r="BW253" t="str">
        <f t="shared" si="77"/>
        <v>electric_ELRL</v>
      </c>
      <c r="BX253" t="str">
        <f>VLOOKUP($BW253, Constants!$M:$N, 2, FALSE)</f>
        <v>{BLACK}Powered by: {GOLD}25kV AC</v>
      </c>
      <c r="BY253" t="str">
        <f t="shared" si="82"/>
        <v>{BLACK}Cars: {GOLD}4</v>
      </c>
      <c r="BZ253" t="s">
        <v>657</v>
      </c>
      <c r="CA253" t="str">
        <f t="shared" si="83"/>
        <v>{YELLOW}10% Bonus for long distance travel{}</v>
      </c>
      <c r="CB253" t="str">
        <f t="shared" si="78"/>
        <v>{BLACK}Powered by: {GOLD}25kV AC {BLACK}Cars: {GOLD}4{}{YELLOW}10% Bonus for long distance travel{}{SILVER}The Pendolino is a tilting multiple unit with a design speed of 140mph.  The tilt system is supplied by Fiat Ferroviaria.</v>
      </c>
    </row>
    <row r="254" spans="1:80" x14ac:dyDescent="0.3">
      <c r="A254" t="s">
        <v>92</v>
      </c>
      <c r="B254" t="s">
        <v>223</v>
      </c>
      <c r="C254">
        <v>492</v>
      </c>
      <c r="D254" t="s">
        <v>404</v>
      </c>
      <c r="E254" t="s">
        <v>273</v>
      </c>
      <c r="F254" t="s">
        <v>275</v>
      </c>
      <c r="G254">
        <v>2002</v>
      </c>
      <c r="J254">
        <v>4</v>
      </c>
      <c r="K254">
        <v>3000</v>
      </c>
      <c r="T254">
        <v>185.6</v>
      </c>
      <c r="V254">
        <v>5</v>
      </c>
      <c r="W254">
        <v>185</v>
      </c>
      <c r="X254" s="3">
        <f t="shared" si="66"/>
        <v>9.9676724137931036E-2</v>
      </c>
      <c r="Y254">
        <v>125</v>
      </c>
      <c r="Z254">
        <f t="shared" si="81"/>
        <v>200</v>
      </c>
      <c r="AC254">
        <v>23.8</v>
      </c>
      <c r="AD254">
        <v>23.8</v>
      </c>
      <c r="AE254">
        <v>2.73</v>
      </c>
      <c r="AG254" s="10">
        <v>51</v>
      </c>
      <c r="AH254" t="str">
        <f>CONCATENATE(VLOOKUP(AI254, 'Voxel Sizes'!$A$2:$B$18,2,FALSE),"x",INT(AE254*15), "x", INT(AF254*15))</f>
        <v>238x40x0</v>
      </c>
      <c r="AI254">
        <f t="shared" si="67"/>
        <v>14</v>
      </c>
      <c r="AK254" t="str">
        <f>CONCATENATE(VLOOKUP(AI254,Constants!$A$2:$C$16,IF(AJ254&lt;&gt;"", 3, 2), FALSE),IF(AJ254&lt;&gt;"",CONCATENATE(",",VLOOKUP(AJ254,$B:$AK,36,FALSE)),""))</f>
        <v>4,6,4</v>
      </c>
      <c r="AO254" t="s">
        <v>662</v>
      </c>
      <c r="AQ254" t="s">
        <v>465</v>
      </c>
      <c r="AU254">
        <v>29</v>
      </c>
      <c r="AV254" s="15" t="str">
        <f t="shared" si="68"/>
        <v/>
      </c>
      <c r="AW254">
        <v>-15</v>
      </c>
      <c r="AX254">
        <v>-35</v>
      </c>
      <c r="AY254">
        <f t="shared" si="69"/>
        <v>25</v>
      </c>
      <c r="AZ254">
        <f t="shared" si="70"/>
        <v>15</v>
      </c>
      <c r="BA254">
        <f t="shared" si="71"/>
        <v>9.25</v>
      </c>
      <c r="BB254" s="3">
        <f t="shared" si="72"/>
        <v>0.86399999999999999</v>
      </c>
      <c r="BC254">
        <f t="shared" si="73"/>
        <v>6.8000000000000007</v>
      </c>
      <c r="BD254">
        <f>VLOOKUP($E254,Constants!$I:$K, 2, FALSE)</f>
        <v>1</v>
      </c>
      <c r="BE254">
        <f>VLOOKUP($E254,Constants!$I:$K, 3, FALSE)*IF(AND(D254="multiple_unit",Y254&lt;110),0.75,1)</f>
        <v>2</v>
      </c>
      <c r="BF254">
        <f>INT(POWER(((Constants!$G$2+$AY254+$AZ254+$BA254+$BC254)*$BB254)*$BE254, 1.05))+$AX254</f>
        <v>98</v>
      </c>
      <c r="BG254">
        <f>INT(POWER((((Constants!$G$1+$AY254+$AZ254+$BA254+$BC254)*($BB254))*$BD254),IF($D254="wagon",1,1.2)))+$AW254</f>
        <v>124</v>
      </c>
      <c r="BH254" s="14">
        <f t="shared" si="74"/>
        <v>76562.5</v>
      </c>
      <c r="BI254" s="14">
        <f t="shared" si="75"/>
        <v>10075</v>
      </c>
      <c r="BP254">
        <v>9</v>
      </c>
      <c r="BQ254">
        <v>205</v>
      </c>
      <c r="BS254" t="s">
        <v>283</v>
      </c>
      <c r="BT254" t="str">
        <f>VLOOKUP(G254,Eras!$A$2:$C$10, 2, TRUE)</f>
        <v>prv</v>
      </c>
      <c r="BU254" t="s">
        <v>332</v>
      </c>
      <c r="BV254" t="str">
        <f t="shared" si="76"/>
        <v>prv_DMU (Express)</v>
      </c>
      <c r="BW254" t="str">
        <f t="shared" si="77"/>
        <v>diesel_RAIL</v>
      </c>
      <c r="BX254" t="str">
        <f>VLOOKUP($BW254, Constants!$M:$N, 2, FALSE)</f>
        <v>{BLACK}Powered by: {GOLD}Diesel</v>
      </c>
      <c r="BY254" t="str">
        <f t="shared" si="82"/>
        <v>{BLACK}Cars: {GOLD}4</v>
      </c>
      <c r="BZ254" t="s">
        <v>660</v>
      </c>
      <c r="CA254" t="str">
        <f t="shared" si="83"/>
        <v>{YELLOW}10% Bonus for long distance travel{}</v>
      </c>
      <c r="CB254" t="str">
        <f t="shared" si="78"/>
        <v>{BLACK}Powered by: {GOLD}Diesel {BLACK}Cars: {GOLD}4{}{YELLOW}10% Bonus for long distance travel{}{SILVER}The Voyager is a high speed diesel multiple unit, built to replace both the HST and locomotive-hauled passenger services on the Cross Country route.</v>
      </c>
    </row>
    <row r="255" spans="1:80" x14ac:dyDescent="0.3">
      <c r="A255" t="s">
        <v>93</v>
      </c>
      <c r="B255" t="s">
        <v>222</v>
      </c>
      <c r="C255">
        <v>494</v>
      </c>
      <c r="D255" t="s">
        <v>404</v>
      </c>
      <c r="E255" t="s">
        <v>273</v>
      </c>
      <c r="F255" t="s">
        <v>275</v>
      </c>
      <c r="G255">
        <v>2002</v>
      </c>
      <c r="J255">
        <v>5</v>
      </c>
      <c r="K255">
        <f>750*5</f>
        <v>3750</v>
      </c>
      <c r="T255">
        <v>282</v>
      </c>
      <c r="V255">
        <v>5</v>
      </c>
      <c r="W255">
        <v>270</v>
      </c>
      <c r="X255" s="3">
        <f t="shared" si="66"/>
        <v>9.5744680851063829E-2</v>
      </c>
      <c r="Y255">
        <v>125</v>
      </c>
      <c r="Z255">
        <f t="shared" si="81"/>
        <v>200</v>
      </c>
      <c r="AC255">
        <v>23.8</v>
      </c>
      <c r="AD255">
        <v>23.8</v>
      </c>
      <c r="AE255">
        <v>2.73</v>
      </c>
      <c r="AG255" s="10">
        <v>51</v>
      </c>
      <c r="AH255" t="str">
        <f>CONCATENATE(VLOOKUP(AI255, 'Voxel Sizes'!$A$2:$B$18,2,FALSE),"x",INT(AE255*15), "x", INT(AF255*15))</f>
        <v>238x40x0</v>
      </c>
      <c r="AI255">
        <f t="shared" si="67"/>
        <v>14</v>
      </c>
      <c r="AK255" t="str">
        <f>CONCATENATE(VLOOKUP(AI255,Constants!$A$2:$C$16,IF(AJ255&lt;&gt;"", 3, 2), FALSE),IF(AJ255&lt;&gt;"",CONCATENATE(",",VLOOKUP(AJ255,$B:$AK,36,FALSE)),""))</f>
        <v>4,6,4</v>
      </c>
      <c r="AO255" t="s">
        <v>663</v>
      </c>
      <c r="AQ255" t="s">
        <v>664</v>
      </c>
      <c r="AR255" t="s">
        <v>223</v>
      </c>
      <c r="AU255">
        <v>29</v>
      </c>
      <c r="AV255" s="15" t="str">
        <f t="shared" si="68"/>
        <v/>
      </c>
      <c r="AW255">
        <v>-15</v>
      </c>
      <c r="AX255">
        <v>-35</v>
      </c>
      <c r="AY255">
        <f t="shared" si="69"/>
        <v>25</v>
      </c>
      <c r="AZ255">
        <f t="shared" si="70"/>
        <v>18.75</v>
      </c>
      <c r="BA255">
        <f t="shared" si="71"/>
        <v>13.5</v>
      </c>
      <c r="BB255" s="3">
        <f t="shared" si="72"/>
        <v>0.86399999999999999</v>
      </c>
      <c r="BC255">
        <f t="shared" si="73"/>
        <v>8.5</v>
      </c>
      <c r="BD255">
        <f>VLOOKUP($E255,Constants!$I:$K, 2, FALSE)</f>
        <v>1</v>
      </c>
      <c r="BE255">
        <f>VLOOKUP($E255,Constants!$I:$K, 3, FALSE)*IF(AND(D255="multiple_unit",Y255&lt;110),0.75,1)</f>
        <v>2</v>
      </c>
      <c r="BF255">
        <f>INT(POWER(((Constants!$G$2+$AY255+$AZ255+$BA255+$BC255)*$BB255)*$BE255, 1.05))+$AX255</f>
        <v>120</v>
      </c>
      <c r="BG255">
        <f>INT(POWER((((Constants!$G$1+$AY255+$AZ255+$BA255+$BC255)*($BB255))*$BD255),IF($D255="wagon",1,1.2)))+$AW255</f>
        <v>148</v>
      </c>
      <c r="BH255" s="14">
        <f t="shared" si="74"/>
        <v>93750</v>
      </c>
      <c r="BI255" s="14">
        <f t="shared" si="75"/>
        <v>12025</v>
      </c>
      <c r="BL255">
        <v>1</v>
      </c>
      <c r="BO255" t="s">
        <v>1146</v>
      </c>
      <c r="BP255">
        <v>10</v>
      </c>
      <c r="BQ255">
        <v>205</v>
      </c>
      <c r="BS255" t="s">
        <v>283</v>
      </c>
      <c r="BT255" t="str">
        <f>VLOOKUP(G255,Eras!$A$2:$C$10, 2, TRUE)</f>
        <v>prv</v>
      </c>
      <c r="BU255" t="s">
        <v>332</v>
      </c>
      <c r="BV255" t="str">
        <f t="shared" si="76"/>
        <v>prv_DMU (Express)</v>
      </c>
      <c r="BW255" t="str">
        <f t="shared" si="77"/>
        <v>diesel_RAIL</v>
      </c>
      <c r="BX255" t="str">
        <f>VLOOKUP($BW255, Constants!$M:$N, 2, FALSE)</f>
        <v>{BLACK}Powered by: {GOLD}Diesel</v>
      </c>
      <c r="BY255" t="str">
        <f t="shared" si="82"/>
        <v>{BLACK}Cars: {GOLD}5</v>
      </c>
      <c r="BZ255" t="s">
        <v>661</v>
      </c>
      <c r="CA255" t="str">
        <f t="shared" si="83"/>
        <v>{YELLOW}10% Bonus for long distance travel{}</v>
      </c>
      <c r="CB255" t="str">
        <f t="shared" si="78"/>
        <v>{BLACK}Powered by: {GOLD}Diesel {BLACK}Cars: {GOLD}5{}{YELLOW}10% Bonus for long distance travel{}{SILVER}The Class 221 is outwardly very similar to the Class 220, but internally it has different bogies and features a tilt mechanism for faster cornering.</v>
      </c>
    </row>
    <row r="256" spans="1:80" x14ac:dyDescent="0.3">
      <c r="A256" t="s">
        <v>93</v>
      </c>
      <c r="B256" t="s">
        <v>1136</v>
      </c>
      <c r="C256">
        <v>495</v>
      </c>
      <c r="D256" t="s">
        <v>404</v>
      </c>
      <c r="E256" t="s">
        <v>273</v>
      </c>
      <c r="F256" t="s">
        <v>275</v>
      </c>
      <c r="G256">
        <v>2002</v>
      </c>
      <c r="J256">
        <v>4</v>
      </c>
      <c r="K256">
        <f>750*5</f>
        <v>3750</v>
      </c>
      <c r="T256">
        <f>282/5*4</f>
        <v>225.6</v>
      </c>
      <c r="V256">
        <v>5</v>
      </c>
      <c r="W256">
        <v>270</v>
      </c>
      <c r="X256" s="3">
        <f t="shared" si="66"/>
        <v>0.11968085106382979</v>
      </c>
      <c r="Y256">
        <v>125</v>
      </c>
      <c r="Z256">
        <f t="shared" si="81"/>
        <v>200</v>
      </c>
      <c r="AC256">
        <v>23.8</v>
      </c>
      <c r="AD256">
        <v>23.8</v>
      </c>
      <c r="AE256">
        <v>2.73</v>
      </c>
      <c r="AG256" s="10">
        <v>51</v>
      </c>
      <c r="AH256" t="str">
        <f>CONCATENATE(VLOOKUP(AI256, 'Voxel Sizes'!$A$2:$B$18,2,FALSE),"x",INT(AE256*15), "x", INT(AF256*15))</f>
        <v>238x40x0</v>
      </c>
      <c r="AI256">
        <f t="shared" si="67"/>
        <v>14</v>
      </c>
      <c r="AK256" t="str">
        <f>CONCATENATE(VLOOKUP(AI256,Constants!$A$2:$C$16,IF(AJ256&lt;&gt;"", 3, 2), FALSE),IF(AJ256&lt;&gt;"",CONCATENATE(",",VLOOKUP(AJ256,$B:$AK,36,FALSE)),""))</f>
        <v>4,6,4</v>
      </c>
      <c r="AO256" t="s">
        <v>662</v>
      </c>
      <c r="AQ256" t="s">
        <v>1126</v>
      </c>
      <c r="AR256" t="s">
        <v>223</v>
      </c>
      <c r="AU256">
        <v>29</v>
      </c>
      <c r="AV256" s="15" t="str">
        <f t="shared" si="68"/>
        <v/>
      </c>
      <c r="AW256">
        <v>-15</v>
      </c>
      <c r="AX256">
        <v>-35</v>
      </c>
      <c r="AY256">
        <f t="shared" si="69"/>
        <v>25</v>
      </c>
      <c r="AZ256">
        <f t="shared" si="70"/>
        <v>18.75</v>
      </c>
      <c r="BA256">
        <f t="shared" si="71"/>
        <v>13.5</v>
      </c>
      <c r="BB256" s="3">
        <f t="shared" si="72"/>
        <v>0.86399999999999999</v>
      </c>
      <c r="BC256">
        <f t="shared" si="73"/>
        <v>6.8000000000000007</v>
      </c>
      <c r="BD256">
        <f>VLOOKUP($E256,Constants!$I:$K, 2, FALSE)</f>
        <v>1</v>
      </c>
      <c r="BE256">
        <f>VLOOKUP($E256,Constants!$I:$K, 3, FALSE)*IF(AND(D256="multiple_unit",Y256&lt;110),0.75,1)</f>
        <v>2</v>
      </c>
      <c r="BF256">
        <f>INT(POWER(((Constants!$G$2+$AY256+$AZ256+$BA256+$BC256)*$BB256)*$BE256, 1.05))+$AX256</f>
        <v>116</v>
      </c>
      <c r="BG256">
        <f>INT(POWER((((Constants!$G$1+$AY256+$AZ256+$BA256+$BC256)*($BB256))*$BD256),IF($D256="wagon",1,1.2)))+$AW256</f>
        <v>143</v>
      </c>
      <c r="BH256" s="14">
        <f t="shared" si="74"/>
        <v>90625</v>
      </c>
      <c r="BI256" s="14">
        <f t="shared" si="75"/>
        <v>11618.75</v>
      </c>
      <c r="BL256">
        <v>1</v>
      </c>
      <c r="BO256" t="s">
        <v>1148</v>
      </c>
      <c r="BP256">
        <v>10</v>
      </c>
      <c r="BQ256">
        <v>205</v>
      </c>
      <c r="BS256" t="s">
        <v>283</v>
      </c>
      <c r="BT256" t="str">
        <f>VLOOKUP(G256,Eras!$A$2:$C$10, 2, TRUE)</f>
        <v>prv</v>
      </c>
      <c r="BU256" t="s">
        <v>332</v>
      </c>
      <c r="BV256" t="str">
        <f t="shared" si="76"/>
        <v>prv_DMU (Express)</v>
      </c>
      <c r="BW256" t="str">
        <f t="shared" si="77"/>
        <v>diesel_RAIL</v>
      </c>
      <c r="BX256" t="str">
        <f>VLOOKUP($BW256, Constants!$M:$N, 2, FALSE)</f>
        <v>{BLACK}Powered by: {GOLD}Diesel</v>
      </c>
      <c r="BY256" t="str">
        <f t="shared" si="82"/>
        <v>{BLACK}Cars: {GOLD}4</v>
      </c>
      <c r="BZ256" t="s">
        <v>661</v>
      </c>
      <c r="CA256" t="str">
        <f t="shared" si="83"/>
        <v>{YELLOW}10% Bonus for long distance travel{}</v>
      </c>
      <c r="CB256" t="str">
        <f t="shared" si="78"/>
        <v>{BLACK}Powered by: {GOLD}Diesel {BLACK}Cars: {GOLD}4{}{YELLOW}10% Bonus for long distance travel{}{SILVER}The Class 221 is outwardly very similar to the Class 220, but internally it has different bogies and features a tilt mechanism for faster cornering.</v>
      </c>
    </row>
    <row r="257" spans="1:80" x14ac:dyDescent="0.3">
      <c r="A257" t="s">
        <v>1231</v>
      </c>
      <c r="B257" t="s">
        <v>1229</v>
      </c>
      <c r="C257">
        <v>496</v>
      </c>
      <c r="D257" t="s">
        <v>404</v>
      </c>
      <c r="E257" t="s">
        <v>296</v>
      </c>
      <c r="F257" t="s">
        <v>297</v>
      </c>
      <c r="G257">
        <v>2002</v>
      </c>
      <c r="H257">
        <v>2006</v>
      </c>
      <c r="J257">
        <v>4</v>
      </c>
      <c r="K257">
        <v>2080</v>
      </c>
      <c r="T257">
        <v>170</v>
      </c>
      <c r="V257">
        <v>5</v>
      </c>
      <c r="W257">
        <v>180</v>
      </c>
      <c r="X257" s="3">
        <f t="shared" ref="X257:X302" si="84">IF(AND(T257&gt;0,W257&gt;0),(W257/((T257+U257)*10)),"")</f>
        <v>0.10588235294117647</v>
      </c>
      <c r="Y257">
        <v>100</v>
      </c>
      <c r="Z257">
        <f t="shared" si="81"/>
        <v>160</v>
      </c>
      <c r="AC257">
        <v>20.399999999999999</v>
      </c>
      <c r="AD257">
        <v>20.399999999999999</v>
      </c>
      <c r="AE257">
        <v>2.8</v>
      </c>
      <c r="AG257" s="10">
        <v>69</v>
      </c>
      <c r="AH257" t="str">
        <f>CONCATENATE(VLOOKUP(AI257, 'Voxel Sizes'!$A$2:$B$18,2,FALSE),"x",INT(AE257*15), "x", INT(AF257*15))</f>
        <v>198x42x0</v>
      </c>
      <c r="AI257">
        <f t="shared" si="67"/>
        <v>12</v>
      </c>
      <c r="AK257" t="str">
        <f>CONCATENATE(VLOOKUP(AI257,Constants!$A$2:$C$16,IF(AJ257&lt;&gt;"", 3, 2), FALSE),IF(AJ257&lt;&gt;"",CONCATENATE(",",VLOOKUP(AJ257,$B:$AK,36,FALSE)),""))</f>
        <v>4,4,4</v>
      </c>
      <c r="AO257" t="s">
        <v>1230</v>
      </c>
      <c r="AQ257" t="s">
        <v>555</v>
      </c>
      <c r="AU257">
        <v>28</v>
      </c>
      <c r="AV257" s="15" t="str">
        <f t="shared" si="68"/>
        <v/>
      </c>
      <c r="AW257">
        <v>-15</v>
      </c>
      <c r="AX257">
        <v>-30</v>
      </c>
      <c r="AY257">
        <f t="shared" si="69"/>
        <v>20</v>
      </c>
      <c r="AZ257">
        <f t="shared" si="70"/>
        <v>10.4</v>
      </c>
      <c r="BA257">
        <f t="shared" si="71"/>
        <v>9</v>
      </c>
      <c r="BB257" s="3">
        <f t="shared" si="72"/>
        <v>0.86399999999999999</v>
      </c>
      <c r="BC257">
        <f t="shared" si="73"/>
        <v>9.2000000000000011</v>
      </c>
      <c r="BD257">
        <f>VLOOKUP($E257,Constants!$I:$K, 2, FALSE)</f>
        <v>0.85</v>
      </c>
      <c r="BE257">
        <f>VLOOKUP($E257,Constants!$I:$K, 3, FALSE)*IF(AND(D257="multiple_unit",Y257&lt;110),0.75,1)</f>
        <v>1.7249999999999999</v>
      </c>
      <c r="BF257">
        <f>INT(POWER(((Constants!$G$2+$AY257+$AZ257+$BA257+$BC257)*$BB257)*$BE257, 1.05))+$AX257</f>
        <v>69</v>
      </c>
      <c r="BG257">
        <f>INT(POWER((((Constants!$G$1+$AY257+$AZ257+$BA257+$BC257)*($BB257))*$BD257),IF($D257="wagon",1,1.2)))+$AW257</f>
        <v>85</v>
      </c>
      <c r="BH257" s="14">
        <f t="shared" si="74"/>
        <v>53906.25</v>
      </c>
      <c r="BI257" s="14">
        <f t="shared" si="75"/>
        <v>6906.25</v>
      </c>
      <c r="BP257">
        <v>3</v>
      </c>
      <c r="BQ257">
        <v>185</v>
      </c>
      <c r="BS257" t="s">
        <v>283</v>
      </c>
      <c r="BT257" t="str">
        <f>VLOOKUP(G257,Eras!$A$2:$C$10, 2, TRUE)</f>
        <v>prv</v>
      </c>
      <c r="BU257" t="s">
        <v>333</v>
      </c>
      <c r="BV257" t="str">
        <f t="shared" si="76"/>
        <v>prv_EMU</v>
      </c>
      <c r="BW257" t="str">
        <f t="shared" si="77"/>
        <v>electric_ELRL</v>
      </c>
      <c r="BX257" t="str">
        <f>VLOOKUP($BW257, Constants!$M:$N, 2, FALSE)</f>
        <v>{BLACK}Powered by: {GOLD}25kV AC</v>
      </c>
      <c r="BY257" t="str">
        <f t="shared" si="82"/>
        <v>{BLACK}Cars: {GOLD}4</v>
      </c>
      <c r="BZ257" t="s">
        <v>1232</v>
      </c>
      <c r="CA257" t="str">
        <f t="shared" si="83"/>
        <v/>
      </c>
      <c r="CB257" t="str">
        <f t="shared" si="78"/>
        <v>{BLACK}Powered by: {GOLD}25kV AC {BLACK}Cars: {GOLD}4{}{SILVER}The Class 360 is an AC version of the Desiro family of units, ordered to replace slam-door stock on the Great Eastern Main Line.</v>
      </c>
    </row>
    <row r="258" spans="1:80" x14ac:dyDescent="0.3">
      <c r="A258" t="s">
        <v>73</v>
      </c>
      <c r="B258" t="s">
        <v>586</v>
      </c>
      <c r="C258">
        <v>498</v>
      </c>
      <c r="D258" t="s">
        <v>404</v>
      </c>
      <c r="E258" t="s">
        <v>552</v>
      </c>
      <c r="F258" t="s">
        <v>551</v>
      </c>
      <c r="G258">
        <v>2003</v>
      </c>
      <c r="J258">
        <v>4</v>
      </c>
      <c r="K258">
        <v>1600</v>
      </c>
      <c r="T258">
        <v>173.6</v>
      </c>
      <c r="V258">
        <v>5</v>
      </c>
      <c r="W258">
        <v>175</v>
      </c>
      <c r="X258" s="3">
        <f t="shared" si="84"/>
        <v>0.10080645161290322</v>
      </c>
      <c r="Y258">
        <v>100</v>
      </c>
      <c r="Z258">
        <f t="shared" si="81"/>
        <v>160</v>
      </c>
      <c r="AC258">
        <v>20.399999999999999</v>
      </c>
      <c r="AD258">
        <v>20.399999999999999</v>
      </c>
      <c r="AF258">
        <v>3.78</v>
      </c>
      <c r="AG258" s="10">
        <v>60</v>
      </c>
      <c r="AH258" t="str">
        <f>CONCATENATE(VLOOKUP(AI258, 'Voxel Sizes'!$A$2:$B$18,2,FALSE),"x",INT(AE258*15), "x", INT(AF258*15))</f>
        <v>198x0x56</v>
      </c>
      <c r="AI258">
        <f t="shared" ref="AI258:AI302" si="85">ROUND(15*((AD258*10)/256),0)</f>
        <v>12</v>
      </c>
      <c r="AK258" t="str">
        <f>CONCATENATE(VLOOKUP(AI258,Constants!$A$2:$C$16,IF(AJ258&lt;&gt;"", 3, 2), FALSE),IF(AJ258&lt;&gt;"",CONCATENATE(",",VLOOKUP(AJ258,$B:$AK,36,FALSE)),""))</f>
        <v>4,4,4</v>
      </c>
      <c r="AO258" t="s">
        <v>587</v>
      </c>
      <c r="AP258" t="s">
        <v>588</v>
      </c>
      <c r="AQ258" t="s">
        <v>555</v>
      </c>
      <c r="AU258">
        <v>29</v>
      </c>
      <c r="AV258" s="15" t="str">
        <f t="shared" ref="AV258:AV302" si="86">IF(I258&lt;&gt;"",MAX(16,(I258-G258)+8),"")</f>
        <v/>
      </c>
      <c r="AW258">
        <v>-15</v>
      </c>
      <c r="AX258">
        <v>-30</v>
      </c>
      <c r="AY258">
        <f t="shared" ref="AY258:AY302" si="87">MIN(Y258/150, 1)*30</f>
        <v>20</v>
      </c>
      <c r="AZ258">
        <f t="shared" ref="AZ258:AZ302" si="88">MIN(K258/4000, 1)*20</f>
        <v>8</v>
      </c>
      <c r="BA258">
        <f t="shared" ref="BA258:BA302" si="89">MIN(W258/400,1)*20</f>
        <v>8.75</v>
      </c>
      <c r="BB258" s="3">
        <f t="shared" ref="BB258:BB302" si="90">1-(MAX(G258-1900, 0)/750)</f>
        <v>0.86266666666666669</v>
      </c>
      <c r="BC258">
        <f t="shared" ref="BC258:BC302" si="91">((MAX($J258,1)*MIN($AG258/300,1)))*IF(D258="Wagon",50,10)</f>
        <v>8</v>
      </c>
      <c r="BD258">
        <f>VLOOKUP($E258,Constants!$I:$K, 2, FALSE)</f>
        <v>0.85</v>
      </c>
      <c r="BE258">
        <f>VLOOKUP($E258,Constants!$I:$K, 3, FALSE)*IF(AND(D258="multiple_unit",Y258&lt;110),0.75,1)</f>
        <v>1.7999999999999998</v>
      </c>
      <c r="BF258">
        <f>INT(POWER(((Constants!$G$2+$AY258+$AZ258+$BA258+$BC258)*$BB258)*$BE258, 1.05))+$AX258</f>
        <v>66</v>
      </c>
      <c r="BG258">
        <f>INT(POWER((((Constants!$G$1+$AY258+$AZ258+$BA258+$BC258)*($BB258))*$BD258),IF($D258="wagon",1,1.2)))+$AW258</f>
        <v>78</v>
      </c>
      <c r="BH258" s="14">
        <f t="shared" ref="BH258:BH302" si="92">BF258*IF($D258="wagon",62.5,781.25)</f>
        <v>51562.5</v>
      </c>
      <c r="BI258" s="14">
        <f t="shared" ref="BI258:BI302" si="93">BG258*IF($D258="wagon",2.73,81.25)</f>
        <v>6337.5</v>
      </c>
      <c r="BP258">
        <v>12</v>
      </c>
      <c r="BQ258">
        <v>185</v>
      </c>
      <c r="BS258" t="s">
        <v>283</v>
      </c>
      <c r="BT258" t="str">
        <f>VLOOKUP(G258,Eras!$A$2:$C$10, 2, TRUE)</f>
        <v>prv</v>
      </c>
      <c r="BU258" t="s">
        <v>333</v>
      </c>
      <c r="BV258" t="str">
        <f t="shared" ref="BV258:BV302" si="94">CONCATENATE(BT258,"_",BU258)</f>
        <v>prv_EMU</v>
      </c>
      <c r="BW258" t="str">
        <f t="shared" ref="BW258:BW302" si="95">_xlfn.CONCAT(E258, "_",F258)</f>
        <v>dual_electric_DUAL_POWER</v>
      </c>
      <c r="BX258" t="str">
        <f>VLOOKUP($BW258, Constants!$M:$N, 2, FALSE)</f>
        <v>{BLACK}Powered by: {GOLD}25kV AC / 750V DC</v>
      </c>
      <c r="BY258" t="str">
        <f t="shared" si="82"/>
        <v>{BLACK}Cars: {GOLD}4</v>
      </c>
      <c r="BZ258" t="s">
        <v>585</v>
      </c>
      <c r="CA258" t="str">
        <f t="shared" si="83"/>
        <v/>
      </c>
      <c r="CB258" t="str">
        <f t="shared" ref="CB258:CB302" si="96">_xlfn.CONCAT(BX258,IF(BX258 &lt;&gt; "", " ", ""),BY258,IF(OR(BY258&lt;&gt;"", BX258&lt;&gt;""), "{}",""), CA258,"{SILVER}", BZ258)</f>
        <v>{BLACK}Powered by: {GOLD}25kV AC / 750V DC {BLACK}Cars: {GOLD}4{}{SILVER}The Class 377 is a dual-voltage EMU, and is a common sight around London and South East England.</v>
      </c>
    </row>
    <row r="259" spans="1:80" x14ac:dyDescent="0.3">
      <c r="A259" t="s">
        <v>81</v>
      </c>
      <c r="B259" t="s">
        <v>220</v>
      </c>
      <c r="C259">
        <v>500</v>
      </c>
      <c r="D259" t="s">
        <v>404</v>
      </c>
      <c r="E259" t="s">
        <v>296</v>
      </c>
      <c r="F259" t="s">
        <v>303</v>
      </c>
      <c r="G259">
        <v>2003</v>
      </c>
      <c r="H259">
        <v>2006</v>
      </c>
      <c r="J259">
        <v>4</v>
      </c>
      <c r="K259">
        <v>2010</v>
      </c>
      <c r="T259">
        <v>170</v>
      </c>
      <c r="V259">
        <v>5</v>
      </c>
      <c r="W259">
        <v>180</v>
      </c>
      <c r="X259" s="3">
        <f t="shared" si="84"/>
        <v>0.10588235294117647</v>
      </c>
      <c r="Y259">
        <v>100</v>
      </c>
      <c r="Z259">
        <f t="shared" si="81"/>
        <v>160</v>
      </c>
      <c r="AC259">
        <v>20.399999999999999</v>
      </c>
      <c r="AD259">
        <v>20.399999999999999</v>
      </c>
      <c r="AE259">
        <v>2.8</v>
      </c>
      <c r="AG259" s="10">
        <v>66</v>
      </c>
      <c r="AH259" t="str">
        <f>CONCATENATE(VLOOKUP(AI259, 'Voxel Sizes'!$A$2:$B$18,2,FALSE),"x",INT(AE259*15), "x", INT(AF259*15))</f>
        <v>198x42x0</v>
      </c>
      <c r="AI259">
        <f t="shared" si="85"/>
        <v>12</v>
      </c>
      <c r="AK259" t="str">
        <f>CONCATENATE(VLOOKUP(AI259,Constants!$A$2:$C$16,IF(AJ259&lt;&gt;"", 3, 2), FALSE),IF(AJ259&lt;&gt;"",CONCATENATE(",",VLOOKUP(AJ259,$B:$AK,36,FALSE)),""))</f>
        <v>4,4,4</v>
      </c>
      <c r="AO259" t="s">
        <v>604</v>
      </c>
      <c r="AQ259" t="s">
        <v>555</v>
      </c>
      <c r="AU259">
        <v>28</v>
      </c>
      <c r="AV259" s="15" t="str">
        <f t="shared" si="86"/>
        <v/>
      </c>
      <c r="AW259">
        <v>-16</v>
      </c>
      <c r="AX259">
        <v>-28</v>
      </c>
      <c r="AY259">
        <f t="shared" si="87"/>
        <v>20</v>
      </c>
      <c r="AZ259">
        <f t="shared" si="88"/>
        <v>10.049999999999999</v>
      </c>
      <c r="BA259">
        <f t="shared" si="89"/>
        <v>9</v>
      </c>
      <c r="BB259" s="3">
        <f t="shared" si="90"/>
        <v>0.86266666666666669</v>
      </c>
      <c r="BC259">
        <f t="shared" si="91"/>
        <v>8.8000000000000007</v>
      </c>
      <c r="BD259">
        <f>VLOOKUP($E259,Constants!$I:$K, 2, FALSE)</f>
        <v>0.85</v>
      </c>
      <c r="BE259">
        <f>VLOOKUP($E259,Constants!$I:$K, 3, FALSE)*IF(AND(D259="multiple_unit",Y259&lt;110),0.75,1)</f>
        <v>1.7249999999999999</v>
      </c>
      <c r="BF259">
        <f>INT(POWER(((Constants!$G$2+$AY259+$AZ259+$BA259+$BC259)*$BB259)*$BE259, 1.05))+$AX259</f>
        <v>69</v>
      </c>
      <c r="BG259">
        <f>INT(POWER((((Constants!$G$1+$AY259+$AZ259+$BA259+$BC259)*($BB259))*$BD259),IF($D259="wagon",1,1.2)))+$AW259</f>
        <v>83</v>
      </c>
      <c r="BH259" s="14">
        <f t="shared" si="92"/>
        <v>53906.25</v>
      </c>
      <c r="BI259" s="14">
        <f t="shared" si="93"/>
        <v>6743.75</v>
      </c>
      <c r="BM259" t="s">
        <v>221</v>
      </c>
      <c r="BP259">
        <v>1</v>
      </c>
      <c r="BQ259">
        <v>185</v>
      </c>
      <c r="BS259" t="s">
        <v>283</v>
      </c>
      <c r="BT259" t="str">
        <f>VLOOKUP(G259,Eras!$A$2:$C$10, 2, TRUE)</f>
        <v>prv</v>
      </c>
      <c r="BU259" t="s">
        <v>333</v>
      </c>
      <c r="BV259" t="str">
        <f t="shared" si="94"/>
        <v>prv_EMU</v>
      </c>
      <c r="BW259" t="str">
        <f t="shared" si="95"/>
        <v>electric_THIRD_RAIL</v>
      </c>
      <c r="BX259" t="str">
        <f>VLOOKUP($BW259, Constants!$M:$N, 2, FALSE)</f>
        <v>{BLACK}Powered by: {GOLD}750V DC</v>
      </c>
      <c r="BY259" t="str">
        <f t="shared" si="82"/>
        <v>{BLACK}Cars: {GOLD}4</v>
      </c>
      <c r="BZ259" t="s">
        <v>602</v>
      </c>
      <c r="CA259" t="str">
        <f t="shared" si="83"/>
        <v/>
      </c>
      <c r="CB259" t="str">
        <f t="shared" si="96"/>
        <v>{BLACK}Powered by: {GOLD}750V DC {BLACK}Cars: {GOLD}4{}{SILVER}The Class 450 was designed for South West Trains to replace all slam-door stock. The large order meant the Class 450 became the most numerous type of Desiro unit in the UK.</v>
      </c>
    </row>
    <row r="260" spans="1:80" x14ac:dyDescent="0.3">
      <c r="A260" t="s">
        <v>82</v>
      </c>
      <c r="B260" t="s">
        <v>221</v>
      </c>
      <c r="C260">
        <v>502</v>
      </c>
      <c r="D260" t="s">
        <v>404</v>
      </c>
      <c r="E260" t="s">
        <v>296</v>
      </c>
      <c r="F260" t="s">
        <v>303</v>
      </c>
      <c r="G260">
        <v>2004</v>
      </c>
      <c r="J260">
        <v>5</v>
      </c>
      <c r="K260">
        <v>2680</v>
      </c>
      <c r="T260">
        <v>227</v>
      </c>
      <c r="V260">
        <v>5</v>
      </c>
      <c r="W260">
        <v>210</v>
      </c>
      <c r="X260" s="3">
        <f t="shared" si="84"/>
        <v>9.2511013215859028E-2</v>
      </c>
      <c r="Y260">
        <v>100</v>
      </c>
      <c r="Z260">
        <f t="shared" si="81"/>
        <v>160</v>
      </c>
      <c r="AC260">
        <v>23</v>
      </c>
      <c r="AD260">
        <v>23</v>
      </c>
      <c r="AE260">
        <v>2.8</v>
      </c>
      <c r="AG260" s="10">
        <v>66</v>
      </c>
      <c r="AH260" t="str">
        <f>CONCATENATE(VLOOKUP(AI260, 'Voxel Sizes'!$A$2:$B$18,2,FALSE),"x",INT(AE260*15), "x", INT(AF260*15))</f>
        <v>214x42x0</v>
      </c>
      <c r="AI260">
        <f t="shared" si="85"/>
        <v>13</v>
      </c>
      <c r="AK260" t="str">
        <f>CONCATENATE(VLOOKUP(AI260,Constants!$A$2:$C$16,IF(AJ260&lt;&gt;"", 3, 2), FALSE),IF(AJ260&lt;&gt;"",CONCATENATE(",",VLOOKUP(AJ260,$B:$AK,36,FALSE)),""))</f>
        <v>4,5,4</v>
      </c>
      <c r="AO260" t="s">
        <v>605</v>
      </c>
      <c r="AQ260" t="s">
        <v>606</v>
      </c>
      <c r="AU260">
        <v>28</v>
      </c>
      <c r="AV260" s="15" t="str">
        <f t="shared" si="86"/>
        <v/>
      </c>
      <c r="AW260">
        <v>-15</v>
      </c>
      <c r="AX260">
        <v>-35</v>
      </c>
      <c r="AY260">
        <f t="shared" si="87"/>
        <v>20</v>
      </c>
      <c r="AZ260">
        <f t="shared" si="88"/>
        <v>13.4</v>
      </c>
      <c r="BA260">
        <f t="shared" si="89"/>
        <v>10.5</v>
      </c>
      <c r="BB260" s="3">
        <f t="shared" si="90"/>
        <v>0.86133333333333328</v>
      </c>
      <c r="BC260">
        <f t="shared" si="91"/>
        <v>11</v>
      </c>
      <c r="BD260">
        <f>VLOOKUP($E260,Constants!$I:$K, 2, FALSE)</f>
        <v>0.85</v>
      </c>
      <c r="BE260">
        <f>VLOOKUP($E260,Constants!$I:$K, 3, FALSE)*IF(AND(D260="multiple_unit",Y260&lt;110),0.75,1)</f>
        <v>1.7249999999999999</v>
      </c>
      <c r="BF260">
        <f>INT(POWER(((Constants!$G$2+$AY260+$AZ260+$BA260+$BC260)*$BB260)*$BE260, 1.05))+$AX260</f>
        <v>76</v>
      </c>
      <c r="BG260">
        <f>INT(POWER((((Constants!$G$1+$AY260+$AZ260+$BA260+$BC260)*($BB260))*$BD260),IF($D260="wagon",1,1.2)))+$AW260</f>
        <v>97</v>
      </c>
      <c r="BH260" s="14">
        <f t="shared" si="92"/>
        <v>59375</v>
      </c>
      <c r="BI260" s="14">
        <f t="shared" si="93"/>
        <v>7881.25</v>
      </c>
      <c r="BM260" t="s">
        <v>220</v>
      </c>
      <c r="BO260" t="s">
        <v>1146</v>
      </c>
      <c r="BP260">
        <v>3</v>
      </c>
      <c r="BQ260">
        <v>205</v>
      </c>
      <c r="BS260" t="s">
        <v>283</v>
      </c>
      <c r="BT260" t="str">
        <f>VLOOKUP(G260,Eras!$A$2:$C$10, 2, TRUE)</f>
        <v>prv</v>
      </c>
      <c r="BU260" t="s">
        <v>334</v>
      </c>
      <c r="BV260" t="str">
        <f t="shared" si="94"/>
        <v>prv_EMU (Express)</v>
      </c>
      <c r="BW260" t="str">
        <f t="shared" si="95"/>
        <v>electric_THIRD_RAIL</v>
      </c>
      <c r="BX260" t="str">
        <f>VLOOKUP($BW260, Constants!$M:$N, 2, FALSE)</f>
        <v>{BLACK}Powered by: {GOLD}750V DC</v>
      </c>
      <c r="BY260" t="str">
        <f t="shared" si="82"/>
        <v>{BLACK}Cars: {GOLD}5</v>
      </c>
      <c r="BZ260" t="s">
        <v>603</v>
      </c>
      <c r="CA260" t="str">
        <f t="shared" si="83"/>
        <v>{YELLOW}10% Bonus for long distance travel{}</v>
      </c>
      <c r="CB260" t="str">
        <f t="shared" si="9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1" spans="1:80" x14ac:dyDescent="0.3">
      <c r="A261" t="s">
        <v>82</v>
      </c>
      <c r="B261" t="s">
        <v>1137</v>
      </c>
      <c r="C261">
        <v>503</v>
      </c>
      <c r="D261" t="s">
        <v>404</v>
      </c>
      <c r="E261" t="s">
        <v>296</v>
      </c>
      <c r="F261" t="s">
        <v>303</v>
      </c>
      <c r="G261">
        <v>2004</v>
      </c>
      <c r="J261">
        <v>4</v>
      </c>
      <c r="K261">
        <v>2680</v>
      </c>
      <c r="T261">
        <f>227/5*4</f>
        <v>181.6</v>
      </c>
      <c r="V261">
        <v>5</v>
      </c>
      <c r="W261">
        <v>210</v>
      </c>
      <c r="X261" s="3">
        <f t="shared" si="84"/>
        <v>0.11563876651982379</v>
      </c>
      <c r="Y261">
        <v>100</v>
      </c>
      <c r="Z261">
        <f t="shared" si="81"/>
        <v>160</v>
      </c>
      <c r="AC261">
        <v>23</v>
      </c>
      <c r="AD261">
        <v>23</v>
      </c>
      <c r="AE261">
        <v>2.8</v>
      </c>
      <c r="AG261" s="10">
        <v>66</v>
      </c>
      <c r="AH261" t="str">
        <f>CONCATENATE(VLOOKUP(AI261, 'Voxel Sizes'!$A$2:$B$18,2,FALSE),"x",INT(AE261*15), "x", INT(AF261*15))</f>
        <v>214x42x0</v>
      </c>
      <c r="AI261">
        <f t="shared" si="85"/>
        <v>13</v>
      </c>
      <c r="AK261" t="str">
        <f>CONCATENATE(VLOOKUP(AI261,Constants!$A$2:$C$16,IF(AJ261&lt;&gt;"", 3, 2), FALSE),IF(AJ261&lt;&gt;"",CONCATENATE(",",VLOOKUP(AJ261,$B:$AK,36,FALSE)),""))</f>
        <v>4,5,4</v>
      </c>
      <c r="AO261" t="s">
        <v>1138</v>
      </c>
      <c r="AQ261" t="s">
        <v>1126</v>
      </c>
      <c r="AR261" t="s">
        <v>221</v>
      </c>
      <c r="AU261">
        <v>28</v>
      </c>
      <c r="AV261" s="15" t="str">
        <f t="shared" si="86"/>
        <v/>
      </c>
      <c r="AW261">
        <v>-15</v>
      </c>
      <c r="AX261">
        <v>-35</v>
      </c>
      <c r="AY261">
        <f t="shared" si="87"/>
        <v>20</v>
      </c>
      <c r="AZ261">
        <f t="shared" si="88"/>
        <v>13.4</v>
      </c>
      <c r="BA261">
        <f t="shared" si="89"/>
        <v>10.5</v>
      </c>
      <c r="BB261" s="3">
        <f t="shared" si="90"/>
        <v>0.86133333333333328</v>
      </c>
      <c r="BC261">
        <f t="shared" si="91"/>
        <v>8.8000000000000007</v>
      </c>
      <c r="BD261">
        <f>VLOOKUP($E261,Constants!$I:$K, 2, FALSE)</f>
        <v>0.85</v>
      </c>
      <c r="BE261">
        <f>VLOOKUP($E261,Constants!$I:$K, 3, FALSE)*IF(AND(D261="multiple_unit",Y261&lt;110),0.75,1)</f>
        <v>1.7249999999999999</v>
      </c>
      <c r="BF261">
        <f>INT(POWER(((Constants!$G$2+$AY261+$AZ261+$BA261+$BC261)*$BB261)*$BE261, 1.05))+$AX261</f>
        <v>72</v>
      </c>
      <c r="BG261">
        <f>INT(POWER((((Constants!$G$1+$AY261+$AZ261+$BA261+$BC261)*($BB261))*$BD261),IF($D261="wagon",1,1.2)))+$AW261</f>
        <v>93</v>
      </c>
      <c r="BH261" s="14">
        <f t="shared" si="92"/>
        <v>56250</v>
      </c>
      <c r="BI261" s="14">
        <f t="shared" si="93"/>
        <v>7556.25</v>
      </c>
      <c r="BM261" t="s">
        <v>220</v>
      </c>
      <c r="BO261" t="s">
        <v>1148</v>
      </c>
      <c r="BP261">
        <v>4</v>
      </c>
      <c r="BQ261">
        <v>205</v>
      </c>
      <c r="BS261" t="s">
        <v>283</v>
      </c>
      <c r="BT261" t="str">
        <f>VLOOKUP(G261,Eras!$A$2:$C$10, 2, TRUE)</f>
        <v>prv</v>
      </c>
      <c r="BU261" t="s">
        <v>334</v>
      </c>
      <c r="BV261" t="str">
        <f t="shared" si="94"/>
        <v>prv_EMU (Express)</v>
      </c>
      <c r="BW261" t="str">
        <f t="shared" si="95"/>
        <v>electric_THIRD_RAIL</v>
      </c>
      <c r="BX261" t="str">
        <f>VLOOKUP($BW261, Constants!$M:$N, 2, FALSE)</f>
        <v>{BLACK}Powered by: {GOLD}750V DC</v>
      </c>
      <c r="BY261" t="str">
        <f t="shared" si="82"/>
        <v>{BLACK}Cars: {GOLD}4</v>
      </c>
      <c r="BZ261" t="s">
        <v>603</v>
      </c>
      <c r="CA261" t="str">
        <f t="shared" si="83"/>
        <v>{YELLOW}10% Bonus for long distance travel{}</v>
      </c>
      <c r="CB261" t="str">
        <f t="shared" si="9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2" spans="1:80" x14ac:dyDescent="0.3">
      <c r="A262" t="s">
        <v>1310</v>
      </c>
      <c r="B262" t="s">
        <v>1311</v>
      </c>
      <c r="C262">
        <v>505</v>
      </c>
      <c r="D262" t="s">
        <v>404</v>
      </c>
      <c r="E262" t="s">
        <v>1312</v>
      </c>
      <c r="F262" t="s">
        <v>275</v>
      </c>
      <c r="G262">
        <v>2009</v>
      </c>
      <c r="J262">
        <v>1</v>
      </c>
      <c r="K262">
        <v>86</v>
      </c>
      <c r="T262">
        <v>12</v>
      </c>
      <c r="V262">
        <v>5</v>
      </c>
      <c r="W262">
        <v>35</v>
      </c>
      <c r="X262" s="3">
        <f t="shared" si="84"/>
        <v>0.29166666666666669</v>
      </c>
      <c r="Y262">
        <v>35</v>
      </c>
      <c r="Z262">
        <f t="shared" si="81"/>
        <v>56</v>
      </c>
      <c r="AC262">
        <v>9.6</v>
      </c>
      <c r="AD262">
        <v>9.6</v>
      </c>
      <c r="AE262">
        <v>2.4</v>
      </c>
      <c r="AF262">
        <v>3.2</v>
      </c>
      <c r="AG262" s="10">
        <v>42</v>
      </c>
      <c r="AH262" t="str">
        <f>CONCATENATE(VLOOKUP(AI262, 'Voxel Sizes'!$A$2:$B$18,2,FALSE),"x",INT(AE262*15), "x", INT(AF262*15))</f>
        <v>102x36x48</v>
      </c>
      <c r="AI262">
        <f t="shared" si="85"/>
        <v>6</v>
      </c>
      <c r="AK262" t="str">
        <f>CONCATENATE(VLOOKUP(AI262,Constants!$A$2:$C$16,IF(AJ262&lt;&gt;"", 3, 2), FALSE),IF(AJ262&lt;&gt;"",CONCATENATE(",",VLOOKUP(AJ262,$B:$AK,36,FALSE)),""))</f>
        <v>2,2,2</v>
      </c>
      <c r="AO262" t="s">
        <v>1311</v>
      </c>
      <c r="AQ262">
        <v>1</v>
      </c>
      <c r="AU262">
        <v>28</v>
      </c>
      <c r="AV262" s="15" t="str">
        <f t="shared" si="86"/>
        <v/>
      </c>
      <c r="AY262">
        <f t="shared" si="87"/>
        <v>7</v>
      </c>
      <c r="AZ262">
        <f t="shared" si="88"/>
        <v>0.42999999999999994</v>
      </c>
      <c r="BA262">
        <f t="shared" si="89"/>
        <v>1.75</v>
      </c>
      <c r="BB262" s="3">
        <f t="shared" si="90"/>
        <v>0.85466666666666669</v>
      </c>
      <c r="BC262">
        <f t="shared" si="91"/>
        <v>1.4000000000000001</v>
      </c>
      <c r="BD262">
        <f>VLOOKUP($E262,Constants!$I:$K, 2, FALSE)</f>
        <v>0.98</v>
      </c>
      <c r="BE262">
        <f>VLOOKUP($E262,Constants!$I:$K, 3, FALSE)*IF(AND(D262="multiple_unit",Y262&lt;110),0.75,1)</f>
        <v>1.41</v>
      </c>
      <c r="BF262">
        <f>INT(POWER(((Constants!$G$2+$AY262+$AZ262+$BA262+$BC262)*$BB262)*$BE262, 1.05))+$AX262</f>
        <v>21</v>
      </c>
      <c r="BG262">
        <f>INT(POWER((((Constants!$G$1+$AY262+$AZ262+$BA262+$BC262)*($BB262))*$BD262),IF($D262="wagon",1,1.2)))+$AW262</f>
        <v>39</v>
      </c>
      <c r="BH262" s="14">
        <f t="shared" si="92"/>
        <v>16406.25</v>
      </c>
      <c r="BI262" s="14">
        <f t="shared" si="93"/>
        <v>3168.75</v>
      </c>
      <c r="BP262">
        <v>6</v>
      </c>
      <c r="BS262" t="s">
        <v>283</v>
      </c>
      <c r="BT262" t="str">
        <f>VLOOKUP(G262,Eras!$A$2:$C$10, 2, TRUE)</f>
        <v>mod</v>
      </c>
      <c r="BU262" t="s">
        <v>330</v>
      </c>
      <c r="BV262" t="str">
        <f t="shared" si="94"/>
        <v>mod_DMU (Cheap)</v>
      </c>
      <c r="BW262" t="str">
        <f t="shared" si="95"/>
        <v>lpgflywheel_RAIL</v>
      </c>
      <c r="BX262" t="str">
        <f>VLOOKUP($BW262, Constants!$M:$N, 2, FALSE)</f>
        <v>{BLACK}Powered by: {GOLD}LPG / Flywheel</v>
      </c>
      <c r="BZ262" t="s">
        <v>1315</v>
      </c>
      <c r="CB262" t="str">
        <f t="shared" si="96"/>
        <v>{BLACK}Powered by: {GOLD}LPG / Flywheel {}{SILVER}The Parry People Mover PPM60 uses a small LPG engine with a flywheel to capture energy from braking. The units are currently used on the Stourbridge Town Branch Line, where they are limited to 20mph.</v>
      </c>
    </row>
    <row r="263" spans="1:80" x14ac:dyDescent="0.3">
      <c r="A263" t="s">
        <v>75</v>
      </c>
      <c r="B263" t="s">
        <v>243</v>
      </c>
      <c r="C263">
        <v>506</v>
      </c>
      <c r="D263" t="s">
        <v>404</v>
      </c>
      <c r="E263" t="s">
        <v>552</v>
      </c>
      <c r="F263" t="s">
        <v>551</v>
      </c>
      <c r="G263">
        <v>2007</v>
      </c>
      <c r="H263">
        <v>2009</v>
      </c>
      <c r="J263">
        <v>6</v>
      </c>
      <c r="K263">
        <f>16*280</f>
        <v>4480</v>
      </c>
      <c r="L263" s="8">
        <v>2800</v>
      </c>
      <c r="T263">
        <v>265</v>
      </c>
      <c r="V263">
        <v>4</v>
      </c>
      <c r="W263">
        <v>210</v>
      </c>
      <c r="X263" s="3">
        <f t="shared" si="84"/>
        <v>7.9245283018867921E-2</v>
      </c>
      <c r="Y263">
        <v>157</v>
      </c>
      <c r="Z263">
        <f t="shared" si="81"/>
        <v>251</v>
      </c>
      <c r="AC263">
        <v>20.88</v>
      </c>
      <c r="AD263">
        <v>20.88</v>
      </c>
      <c r="AF263">
        <v>3.82</v>
      </c>
      <c r="AG263" s="10">
        <v>57</v>
      </c>
      <c r="AH263" t="str">
        <f>CONCATENATE(VLOOKUP(AI263, 'Voxel Sizes'!$A$2:$B$18,2,FALSE),"x",INT(AE263*15), "x", INT(AF263*15))</f>
        <v>198x0x57</v>
      </c>
      <c r="AI263">
        <f t="shared" si="85"/>
        <v>12</v>
      </c>
      <c r="AK263" t="str">
        <f>CONCATENATE(VLOOKUP(AI263,Constants!$A$2:$C$16,IF(AJ263&lt;&gt;"", 3, 2), FALSE),IF(AJ263&lt;&gt;"",CONCATENATE(",",VLOOKUP(AJ263,$B:$AK,36,FALSE)),""))</f>
        <v>4,4,4</v>
      </c>
      <c r="AO263" t="s">
        <v>1277</v>
      </c>
      <c r="AQ263" t="s">
        <v>527</v>
      </c>
      <c r="AU263">
        <v>30</v>
      </c>
      <c r="AV263" s="15" t="str">
        <f t="shared" si="86"/>
        <v/>
      </c>
      <c r="AW263">
        <v>-15</v>
      </c>
      <c r="AX263">
        <v>-30</v>
      </c>
      <c r="AY263">
        <f t="shared" si="87"/>
        <v>30</v>
      </c>
      <c r="AZ263">
        <f t="shared" si="88"/>
        <v>20</v>
      </c>
      <c r="BA263">
        <f t="shared" si="89"/>
        <v>10.5</v>
      </c>
      <c r="BB263" s="3">
        <f t="shared" si="90"/>
        <v>0.85733333333333328</v>
      </c>
      <c r="BC263">
        <f t="shared" si="91"/>
        <v>11.400000000000002</v>
      </c>
      <c r="BD263">
        <f>VLOOKUP($E263,Constants!$I:$K, 2, FALSE)</f>
        <v>0.85</v>
      </c>
      <c r="BE263">
        <f>VLOOKUP($E263,Constants!$I:$K, 3, FALSE)*IF(AND(D263="multiple_unit",Y263&lt;110),0.75,1)</f>
        <v>2.4</v>
      </c>
      <c r="BF263">
        <f>INT(POWER(((Constants!$G$2+$AY263+$AZ263+$BA263+$BC263)*$BB263)*$BE263, 1.05))+$AX263</f>
        <v>173</v>
      </c>
      <c r="BG263">
        <f>INT(POWER((((Constants!$G$1+$AY263+$AZ263+$BA263+$BC263)*($BB263))*$BD263),IF($D263="wagon",1,1.2)))+$AW263</f>
        <v>130</v>
      </c>
      <c r="BH263" s="14">
        <f t="shared" si="92"/>
        <v>135156.25</v>
      </c>
      <c r="BI263" s="14">
        <f t="shared" si="93"/>
        <v>10562.5</v>
      </c>
      <c r="BO263" t="s">
        <v>1146</v>
      </c>
      <c r="BP263">
        <v>5</v>
      </c>
      <c r="BQ263">
        <v>205</v>
      </c>
      <c r="BS263" t="s">
        <v>283</v>
      </c>
      <c r="BT263" t="str">
        <f>VLOOKUP(G263,Eras!$A$2:$C$10, 2, TRUE)</f>
        <v>mod</v>
      </c>
      <c r="BU263" t="s">
        <v>334</v>
      </c>
      <c r="BV263" t="str">
        <f t="shared" si="94"/>
        <v>mod_EMU (Express)</v>
      </c>
      <c r="BW263" t="str">
        <f t="shared" si="95"/>
        <v>dual_electric_DUAL_POWER</v>
      </c>
      <c r="BX263" t="str">
        <f>VLOOKUP($BW263, Constants!$M:$N, 2, FALSE)</f>
        <v>{BLACK}Powered by: {GOLD}25kV AC / 750V DC</v>
      </c>
      <c r="BY263" t="str">
        <f t="shared" ref="BY263:BY302" si="97">IF(J263&gt;1,_xlfn.CONCAT("{BLACK}Cars: {GOLD}", J263),"")</f>
        <v>{BLACK}Cars: {GOLD}6</v>
      </c>
      <c r="BZ263" t="s">
        <v>1280</v>
      </c>
      <c r="CA263" t="str">
        <f t="shared" ref="CA263:CA302" si="98">IF(BS263="BRAKE","{YELLOW}Speed bonus for slow wagons{}",IF(BQ263&gt;190,CONCATENATE("{YELLOW}",INT((BQ263-185)/1.85),"% Bonus for long distance travel{}"),IF(AND(BQ263&lt;180,BQ263&lt;&gt;0),CONCATENATE("{YELLOW}",INT((185-BQ263)/1.85),"% Penalty for long distance travel{}"),"")))</f>
        <v>{YELLOW}10% Bonus for long distance travel{}</v>
      </c>
      <c r="CB263" t="str">
        <f t="shared" si="96"/>
        <v>{BLACK}Powered by: {GOLD}25kV AC / 750V DC {BLACK}Cars: {GOLD}6{}{YELLOW}10% Bonus for long distance travel{}{SILVER}The Class 395 is a dedicated high speed unit built for the HS1 high speed route. It is part of Hitachi's AT300 series.</v>
      </c>
    </row>
    <row r="264" spans="1:80" x14ac:dyDescent="0.3">
      <c r="A264" t="s">
        <v>75</v>
      </c>
      <c r="B264" t="s">
        <v>1306</v>
      </c>
      <c r="C264">
        <v>507</v>
      </c>
      <c r="D264" t="s">
        <v>404</v>
      </c>
      <c r="E264" t="s">
        <v>552</v>
      </c>
      <c r="F264" t="s">
        <v>551</v>
      </c>
      <c r="G264">
        <v>2007</v>
      </c>
      <c r="H264">
        <v>2009</v>
      </c>
      <c r="J264">
        <v>5</v>
      </c>
      <c r="K264">
        <f>16*280</f>
        <v>4480</v>
      </c>
      <c r="L264" s="8">
        <v>2800</v>
      </c>
      <c r="T264">
        <v>265</v>
      </c>
      <c r="V264">
        <v>4</v>
      </c>
      <c r="W264">
        <v>210</v>
      </c>
      <c r="X264" s="3">
        <f t="shared" si="84"/>
        <v>7.9245283018867921E-2</v>
      </c>
      <c r="Y264">
        <v>157</v>
      </c>
      <c r="Z264">
        <f t="shared" si="81"/>
        <v>251</v>
      </c>
      <c r="AC264">
        <v>20.88</v>
      </c>
      <c r="AD264">
        <v>20.88</v>
      </c>
      <c r="AF264">
        <v>3.82</v>
      </c>
      <c r="AG264" s="10">
        <v>57</v>
      </c>
      <c r="AH264" t="str">
        <f>CONCATENATE(VLOOKUP(AI264, 'Voxel Sizes'!$A$2:$B$18,2,FALSE),"x",INT(AE264*15), "x", INT(AF264*15))</f>
        <v>198x0x57</v>
      </c>
      <c r="AI264">
        <f t="shared" si="85"/>
        <v>12</v>
      </c>
      <c r="AK264" t="str">
        <f>CONCATENATE(VLOOKUP(AI264,Constants!$A$2:$C$16,IF(AJ264&lt;&gt;"", 3, 2), FALSE),IF(AJ264&lt;&gt;"",CONCATENATE(",",VLOOKUP(AJ264,$B:$AK,36,FALSE)),""))</f>
        <v>4,4,4</v>
      </c>
      <c r="AO264" t="s">
        <v>1307</v>
      </c>
      <c r="AQ264" t="s">
        <v>664</v>
      </c>
      <c r="AR264" t="s">
        <v>243</v>
      </c>
      <c r="AU264">
        <v>30</v>
      </c>
      <c r="AV264" s="15" t="str">
        <f t="shared" si="86"/>
        <v/>
      </c>
      <c r="AW264">
        <v>-15</v>
      </c>
      <c r="AX264">
        <v>-30</v>
      </c>
      <c r="AY264">
        <f t="shared" si="87"/>
        <v>30</v>
      </c>
      <c r="AZ264">
        <f t="shared" si="88"/>
        <v>20</v>
      </c>
      <c r="BA264">
        <f t="shared" si="89"/>
        <v>10.5</v>
      </c>
      <c r="BB264" s="3">
        <f t="shared" si="90"/>
        <v>0.85733333333333328</v>
      </c>
      <c r="BC264">
        <f t="shared" si="91"/>
        <v>9.5</v>
      </c>
      <c r="BD264">
        <f>VLOOKUP($E264,Constants!$I:$K, 2, FALSE)</f>
        <v>0.85</v>
      </c>
      <c r="BE264">
        <f>VLOOKUP($E264,Constants!$I:$K, 3, FALSE)*IF(AND(D264="multiple_unit",Y264&lt;110),0.75,1)</f>
        <v>2.4</v>
      </c>
      <c r="BF264">
        <f>INT(POWER(((Constants!$G$2+$AY264+$AZ264+$BA264+$BC264)*$BB264)*$BE264, 1.05))+$AX264</f>
        <v>168</v>
      </c>
      <c r="BG264">
        <f>INT(POWER((((Constants!$G$1+$AY264+$AZ264+$BA264+$BC264)*($BB264))*$BD264),IF($D264="wagon",1,1.2)))+$AW264</f>
        <v>126</v>
      </c>
      <c r="BH264" s="14">
        <f t="shared" si="92"/>
        <v>131250</v>
      </c>
      <c r="BI264" s="14">
        <f t="shared" si="93"/>
        <v>10237.5</v>
      </c>
      <c r="BO264" t="s">
        <v>1148</v>
      </c>
      <c r="BP264">
        <v>5</v>
      </c>
      <c r="BQ264">
        <v>205</v>
      </c>
      <c r="BS264" t="s">
        <v>283</v>
      </c>
      <c r="BT264" t="str">
        <f>VLOOKUP(G264,Eras!$A$2:$C$10, 2, TRUE)</f>
        <v>mod</v>
      </c>
      <c r="BU264" t="s">
        <v>334</v>
      </c>
      <c r="BV264" t="str">
        <f t="shared" si="94"/>
        <v>mod_EMU (Express)</v>
      </c>
      <c r="BW264" t="str">
        <f t="shared" si="95"/>
        <v>dual_electric_DUAL_POWER</v>
      </c>
      <c r="BX264" t="str">
        <f>VLOOKUP($BW264, Constants!$M:$N, 2, FALSE)</f>
        <v>{BLACK}Powered by: {GOLD}25kV AC / 750V DC</v>
      </c>
      <c r="BY264" t="str">
        <f t="shared" si="97"/>
        <v>{BLACK}Cars: {GOLD}5</v>
      </c>
      <c r="BZ264" t="s">
        <v>1280</v>
      </c>
      <c r="CA264" t="str">
        <f t="shared" si="98"/>
        <v>{YELLOW}10% Bonus for long distance travel{}</v>
      </c>
      <c r="CB264" t="str">
        <f t="shared" si="96"/>
        <v>{BLACK}Powered by: {GOLD}25kV AC / 750V DC {BLACK}Cars: {GOLD}5{}{YELLOW}10% Bonus for long distance travel{}{SILVER}The Class 395 is a dedicated high speed unit built for the HS1 high speed route. It is part of Hitachi's AT300 series.</v>
      </c>
    </row>
    <row r="265" spans="1:80" x14ac:dyDescent="0.3">
      <c r="A265" t="s">
        <v>80</v>
      </c>
      <c r="B265" t="s">
        <v>219</v>
      </c>
      <c r="C265">
        <v>508</v>
      </c>
      <c r="D265" t="s">
        <v>404</v>
      </c>
      <c r="E265" t="s">
        <v>552</v>
      </c>
      <c r="F265" t="s">
        <v>551</v>
      </c>
      <c r="G265">
        <v>2009</v>
      </c>
      <c r="J265">
        <v>5</v>
      </c>
      <c r="K265">
        <f>800*2</f>
        <v>1600</v>
      </c>
      <c r="T265">
        <v>212.8</v>
      </c>
      <c r="V265">
        <v>7</v>
      </c>
      <c r="W265">
        <v>180</v>
      </c>
      <c r="X265" s="3">
        <f t="shared" si="84"/>
        <v>8.4586466165413529E-2</v>
      </c>
      <c r="Y265">
        <v>75</v>
      </c>
      <c r="Z265">
        <f t="shared" si="81"/>
        <v>120</v>
      </c>
      <c r="AC265">
        <v>20.399999999999999</v>
      </c>
      <c r="AD265">
        <v>20.399999999999999</v>
      </c>
      <c r="AE265">
        <v>2.8</v>
      </c>
      <c r="AF265">
        <v>3.78</v>
      </c>
      <c r="AG265" s="10">
        <v>90</v>
      </c>
      <c r="AH265" t="str">
        <f>CONCATENATE(VLOOKUP(AI265, 'Voxel Sizes'!$A$2:$B$18,2,FALSE),"x",INT(AE265*15), "x", INT(AF265*15))</f>
        <v>198x42x56</v>
      </c>
      <c r="AI265">
        <f t="shared" si="85"/>
        <v>12</v>
      </c>
      <c r="AK265" t="str">
        <f>CONCATENATE(VLOOKUP(AI265,Constants!$A$2:$C$16,IF(AJ265&lt;&gt;"", 3, 2), FALSE),IF(AJ265&lt;&gt;"",CONCATENATE(",",VLOOKUP(AJ265,$B:$AK,36,FALSE)),""))</f>
        <v>4,4,4</v>
      </c>
      <c r="AO265" t="s">
        <v>599</v>
      </c>
      <c r="AP265" t="s">
        <v>600</v>
      </c>
      <c r="AQ265" t="s">
        <v>601</v>
      </c>
      <c r="AU265">
        <v>30</v>
      </c>
      <c r="AV265" s="15" t="str">
        <f t="shared" si="86"/>
        <v/>
      </c>
      <c r="AW265">
        <v>-15</v>
      </c>
      <c r="AX265">
        <v>-35</v>
      </c>
      <c r="AY265">
        <f t="shared" si="87"/>
        <v>15</v>
      </c>
      <c r="AZ265">
        <f t="shared" si="88"/>
        <v>8</v>
      </c>
      <c r="BA265">
        <f t="shared" si="89"/>
        <v>9</v>
      </c>
      <c r="BB265" s="3">
        <f t="shared" si="90"/>
        <v>0.85466666666666669</v>
      </c>
      <c r="BC265">
        <f t="shared" si="91"/>
        <v>15</v>
      </c>
      <c r="BD265">
        <f>VLOOKUP($E265,Constants!$I:$K, 2, FALSE)</f>
        <v>0.85</v>
      </c>
      <c r="BE265">
        <f>VLOOKUP($E265,Constants!$I:$K, 3, FALSE)*IF(AND(D265="multiple_unit",Y265&lt;110),0.75,1)</f>
        <v>1.7999999999999998</v>
      </c>
      <c r="BF265">
        <f>INT(POWER(((Constants!$G$2+$AY265+$AZ265+$BA265+$BC265)*$BB265)*$BE265, 1.05))+$AX265</f>
        <v>64</v>
      </c>
      <c r="BG265">
        <f>INT(POWER((((Constants!$G$1+$AY265+$AZ265+$BA265+$BC265)*($BB265))*$BD265),IF($D265="wagon",1,1.2)))+$AW265</f>
        <v>81</v>
      </c>
      <c r="BH265" s="14">
        <f t="shared" si="92"/>
        <v>50000</v>
      </c>
      <c r="BI265" s="14">
        <f t="shared" si="93"/>
        <v>6581.25</v>
      </c>
      <c r="BP265">
        <v>6</v>
      </c>
      <c r="BQ265">
        <v>165</v>
      </c>
      <c r="BS265" t="s">
        <v>283</v>
      </c>
      <c r="BT265" t="str">
        <f>VLOOKUP(G265,Eras!$A$2:$C$10, 2, TRUE)</f>
        <v>mod</v>
      </c>
      <c r="BU265" t="s">
        <v>333</v>
      </c>
      <c r="BV265" t="str">
        <f t="shared" si="94"/>
        <v>mod_EMU</v>
      </c>
      <c r="BW265" t="str">
        <f t="shared" si="95"/>
        <v>dual_electric_DUAL_POWER</v>
      </c>
      <c r="BX265" t="str">
        <f>VLOOKUP($BW265, Constants!$M:$N, 2, FALSE)</f>
        <v>{BLACK}Powered by: {GOLD}25kV AC / 750V DC</v>
      </c>
      <c r="BY265" t="str">
        <f t="shared" si="97"/>
        <v>{BLACK}Cars: {GOLD}5</v>
      </c>
      <c r="BZ265" t="s">
        <v>598</v>
      </c>
      <c r="CA265" t="str">
        <f t="shared" si="98"/>
        <v>{YELLOW}10% Penalty for long distance travel{}</v>
      </c>
      <c r="CB265" t="str">
        <f t="shared" si="9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6" spans="1:80" x14ac:dyDescent="0.3">
      <c r="A266" t="s">
        <v>1272</v>
      </c>
      <c r="B266" t="s">
        <v>1273</v>
      </c>
      <c r="C266">
        <v>509</v>
      </c>
      <c r="D266" t="s">
        <v>404</v>
      </c>
      <c r="E266" t="s">
        <v>541</v>
      </c>
      <c r="F266" t="s">
        <v>297</v>
      </c>
      <c r="G266">
        <v>2017</v>
      </c>
      <c r="J266">
        <v>5</v>
      </c>
      <c r="K266">
        <v>3200</v>
      </c>
      <c r="L266" s="8">
        <v>2250</v>
      </c>
      <c r="T266">
        <v>243</v>
      </c>
      <c r="V266">
        <v>5</v>
      </c>
      <c r="W266">
        <v>195</v>
      </c>
      <c r="X266" s="3">
        <f t="shared" si="84"/>
        <v>8.0246913580246909E-2</v>
      </c>
      <c r="Y266">
        <v>140</v>
      </c>
      <c r="Z266">
        <f t="shared" si="81"/>
        <v>224</v>
      </c>
      <c r="AC266">
        <v>26</v>
      </c>
      <c r="AD266">
        <v>24</v>
      </c>
      <c r="AG266" s="10">
        <v>66</v>
      </c>
      <c r="AH266" t="str">
        <f>CONCATENATE(VLOOKUP(AI266, 'Voxel Sizes'!$A$2:$B$18,2,FALSE),"x",INT(AE266*15), "x", INT(AF266*15))</f>
        <v>238x0x0</v>
      </c>
      <c r="AI266">
        <f t="shared" si="85"/>
        <v>14</v>
      </c>
      <c r="AK266" t="str">
        <f>CONCATENATE(VLOOKUP(AI266,Constants!$A$2:$C$16,IF(AJ266&lt;&gt;"", 3, 2), FALSE),IF(AJ266&lt;&gt;"",CONCATENATE(",",VLOOKUP(AJ266,$B:$AK,36,FALSE)),""))</f>
        <v>4,6,4</v>
      </c>
      <c r="AL266">
        <v>12</v>
      </c>
      <c r="AO266" t="s">
        <v>1274</v>
      </c>
      <c r="AP266" t="s">
        <v>1275</v>
      </c>
      <c r="AQ266" t="s">
        <v>606</v>
      </c>
      <c r="AU266">
        <v>30</v>
      </c>
      <c r="AV266" s="15" t="str">
        <f t="shared" si="86"/>
        <v/>
      </c>
      <c r="AW266">
        <v>-15</v>
      </c>
      <c r="AX266">
        <v>-30</v>
      </c>
      <c r="AY266">
        <f t="shared" si="87"/>
        <v>28</v>
      </c>
      <c r="AZ266">
        <f t="shared" si="88"/>
        <v>16</v>
      </c>
      <c r="BA266">
        <f t="shared" si="89"/>
        <v>9.75</v>
      </c>
      <c r="BB266" s="3">
        <f t="shared" si="90"/>
        <v>0.84399999999999997</v>
      </c>
      <c r="BC266">
        <f t="shared" si="91"/>
        <v>11</v>
      </c>
      <c r="BD266">
        <f>VLOOKUP($E266,Constants!$I:$K, 2, FALSE)</f>
        <v>0.9</v>
      </c>
      <c r="BE266">
        <f>VLOOKUP($E266,Constants!$I:$K, 3, FALSE)*IF(AND(D266="multiple_unit",Y266&lt;110),0.75,1)</f>
        <v>2.5</v>
      </c>
      <c r="BF266">
        <f>INT(POWER(((Constants!$G$2+$AY266+$AZ266+$BA266+$BC266)*$BB266)*$BE266, 1.05))+$AX266</f>
        <v>158</v>
      </c>
      <c r="BG266">
        <f>INT(POWER((((Constants!$G$1+$AY266+$AZ266+$BA266+$BC266)*($BB266))*$BD266),IF($D266="wagon",1,1.2)))+$AW266</f>
        <v>122</v>
      </c>
      <c r="BH266" s="14">
        <f t="shared" si="92"/>
        <v>123437.5</v>
      </c>
      <c r="BI266" s="14">
        <f t="shared" si="93"/>
        <v>9912.5</v>
      </c>
      <c r="BO266" t="s">
        <v>1146</v>
      </c>
      <c r="BP266">
        <v>10</v>
      </c>
      <c r="BQ266">
        <v>222</v>
      </c>
      <c r="BS266" t="s">
        <v>283</v>
      </c>
      <c r="BT266" t="str">
        <f>VLOOKUP(G266,Eras!$A$2:$C$10, 2, TRUE)</f>
        <v>mod</v>
      </c>
      <c r="BU266" t="s">
        <v>334</v>
      </c>
      <c r="BV266" t="str">
        <f t="shared" si="94"/>
        <v>mod_EMU (Express)</v>
      </c>
      <c r="BW266" t="str">
        <f t="shared" si="95"/>
        <v>dual_power_ELRL</v>
      </c>
      <c r="BX266" t="str">
        <f>VLOOKUP($BW266, Constants!$M:$N, 2, FALSE)</f>
        <v>{BLACK}Powered by: {GOLD}25kV AC / Diesel</v>
      </c>
      <c r="BY266" t="str">
        <f t="shared" si="97"/>
        <v>{BLACK}Cars: {GOLD}5</v>
      </c>
      <c r="BZ266" t="s">
        <v>1276</v>
      </c>
      <c r="CA266" t="str">
        <f t="shared" si="98"/>
        <v>{YELLOW}20% Bonus for long distance travel{}</v>
      </c>
      <c r="CB266" t="str">
        <f t="shared" si="9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67" spans="1:80" x14ac:dyDescent="0.3">
      <c r="A267" t="s">
        <v>90</v>
      </c>
      <c r="B267" t="s">
        <v>648</v>
      </c>
      <c r="C267">
        <v>510</v>
      </c>
      <c r="D267" t="s">
        <v>404</v>
      </c>
      <c r="E267" t="s">
        <v>273</v>
      </c>
      <c r="F267" t="s">
        <v>275</v>
      </c>
      <c r="G267">
        <v>2019</v>
      </c>
      <c r="J267">
        <v>2</v>
      </c>
      <c r="K267">
        <f>523*2</f>
        <v>1046</v>
      </c>
      <c r="T267">
        <v>80</v>
      </c>
      <c r="V267">
        <v>5</v>
      </c>
      <c r="W267">
        <v>145</v>
      </c>
      <c r="X267" s="3">
        <f t="shared" si="84"/>
        <v>0.18124999999999999</v>
      </c>
      <c r="Y267">
        <v>100</v>
      </c>
      <c r="Z267">
        <f t="shared" si="81"/>
        <v>160</v>
      </c>
      <c r="AC267">
        <v>24</v>
      </c>
      <c r="AD267">
        <v>24</v>
      </c>
      <c r="AE267">
        <v>2.7</v>
      </c>
      <c r="AF267">
        <v>3.85</v>
      </c>
      <c r="AG267" s="10">
        <v>63</v>
      </c>
      <c r="AH267" t="str">
        <f>CONCATENATE(VLOOKUP(AI267, 'Voxel Sizes'!$A$2:$B$18,2,FALSE),"x",INT(AE267*15), "x", INT(AF267*15))</f>
        <v>238x40x57</v>
      </c>
      <c r="AI267">
        <f t="shared" si="85"/>
        <v>14</v>
      </c>
      <c r="AK267" t="str">
        <f>CONCATENATE(VLOOKUP(AI267,Constants!$A$2:$C$16,IF(AJ267&lt;&gt;"", 3, 2), FALSE),IF(AJ267&lt;&gt;"",CONCATENATE(",",VLOOKUP(AJ267,$B:$AK,36,FALSE)),""))</f>
        <v>4,6,4</v>
      </c>
      <c r="AO267" t="s">
        <v>649</v>
      </c>
      <c r="AQ267" t="s">
        <v>467</v>
      </c>
      <c r="AU267">
        <v>30</v>
      </c>
      <c r="AV267" s="15" t="str">
        <f t="shared" si="86"/>
        <v/>
      </c>
      <c r="AW267">
        <v>-15</v>
      </c>
      <c r="AX267">
        <v>-25</v>
      </c>
      <c r="AY267">
        <f t="shared" si="87"/>
        <v>20</v>
      </c>
      <c r="AZ267">
        <f t="shared" si="88"/>
        <v>5.23</v>
      </c>
      <c r="BA267">
        <f t="shared" si="89"/>
        <v>7.25</v>
      </c>
      <c r="BB267" s="3">
        <f t="shared" si="90"/>
        <v>0.84133333333333327</v>
      </c>
      <c r="BC267">
        <f t="shared" si="91"/>
        <v>4.2</v>
      </c>
      <c r="BD267">
        <f>VLOOKUP($E267,Constants!$I:$K, 2, FALSE)</f>
        <v>1</v>
      </c>
      <c r="BE267">
        <f>VLOOKUP($E267,Constants!$I:$K, 3, FALSE)*IF(AND(D267="multiple_unit",Y267&lt;110),0.75,1)</f>
        <v>1.5</v>
      </c>
      <c r="BF267">
        <f>INT(POWER(((Constants!$G$2+$AY267+$AZ267+$BA267+$BC267)*$BB267)*$BE267, 1.05))+$AX267</f>
        <v>39</v>
      </c>
      <c r="BG267">
        <f>INT(POWER((((Constants!$G$1+$AY267+$AZ267+$BA267+$BC267)*($BB267))*$BD267),IF($D267="wagon",1,1.2)))+$AW267</f>
        <v>77</v>
      </c>
      <c r="BH267" s="14">
        <f t="shared" si="92"/>
        <v>30468.75</v>
      </c>
      <c r="BI267" s="14">
        <f t="shared" si="93"/>
        <v>6256.25</v>
      </c>
      <c r="BP267">
        <v>2</v>
      </c>
      <c r="BQ267">
        <v>185</v>
      </c>
      <c r="BS267" t="s">
        <v>283</v>
      </c>
      <c r="BT267" t="str">
        <f>VLOOKUP(G267,Eras!$A$2:$C$10, 2, TRUE)</f>
        <v>mod</v>
      </c>
      <c r="BU267" t="s">
        <v>331</v>
      </c>
      <c r="BV267" t="str">
        <f t="shared" si="94"/>
        <v>mod_DMU</v>
      </c>
      <c r="BW267" t="str">
        <f t="shared" si="95"/>
        <v>diesel_RAIL</v>
      </c>
      <c r="BX267" t="str">
        <f>VLOOKUP($BW267, Constants!$M:$N, 2, FALSE)</f>
        <v>{BLACK}Powered by: {GOLD}Diesel</v>
      </c>
      <c r="BY267" t="str">
        <f t="shared" si="97"/>
        <v>{BLACK}Cars: {GOLD}2</v>
      </c>
      <c r="BZ267" t="s">
        <v>650</v>
      </c>
      <c r="CA267" t="str">
        <f t="shared" si="98"/>
        <v/>
      </c>
      <c r="CB267" t="str">
        <f t="shared" si="96"/>
        <v>{BLACK}Powered by: {GOLD}Diesel {BLACK}Cars: {GOLD}2{}{SILVER}The Class 195 is designed to replace Sprinter and Pacer units with a multiple unit of far higher quality and passenger comfort.</v>
      </c>
    </row>
    <row r="268" spans="1:80" x14ac:dyDescent="0.3">
      <c r="A268" t="s">
        <v>1241</v>
      </c>
      <c r="B268" t="s">
        <v>1245</v>
      </c>
      <c r="C268">
        <v>511</v>
      </c>
      <c r="D268" t="s">
        <v>404</v>
      </c>
      <c r="E268" t="s">
        <v>541</v>
      </c>
      <c r="F268" t="s">
        <v>297</v>
      </c>
      <c r="G268">
        <v>2019</v>
      </c>
      <c r="J268">
        <v>5</v>
      </c>
      <c r="K268">
        <v>3500</v>
      </c>
      <c r="L268" s="8">
        <v>2570</v>
      </c>
      <c r="T268">
        <v>163</v>
      </c>
      <c r="V268">
        <v>5</v>
      </c>
      <c r="W268">
        <v>185</v>
      </c>
      <c r="X268" s="3">
        <f t="shared" si="84"/>
        <v>0.11349693251533742</v>
      </c>
      <c r="Y268">
        <v>100</v>
      </c>
      <c r="Z268">
        <f t="shared" si="81"/>
        <v>160</v>
      </c>
      <c r="AC268">
        <v>20.100000000000001</v>
      </c>
      <c r="AD268">
        <v>20.100000000000001</v>
      </c>
      <c r="AE268">
        <v>2.72</v>
      </c>
      <c r="AF268">
        <v>3.95</v>
      </c>
      <c r="AG268" s="10">
        <v>45</v>
      </c>
      <c r="AH268" t="str">
        <f>CONCATENATE(VLOOKUP(AI268, 'Voxel Sizes'!$A$2:$B$18,2,FALSE),"x",INT(AE268*15), "x", INT(AF268*15))</f>
        <v>198x40x59</v>
      </c>
      <c r="AI268">
        <f t="shared" si="85"/>
        <v>12</v>
      </c>
      <c r="AK268" t="str">
        <f>CONCATENATE(VLOOKUP(AI268,Constants!$A$2:$C$16,IF(AJ268&lt;&gt;"", 3, 2), FALSE),IF(AJ268&lt;&gt;"",CONCATENATE(",",VLOOKUP(AJ268,$B:$AK,36,FALSE)),""))</f>
        <v>4,4,4</v>
      </c>
      <c r="AL268">
        <v>6</v>
      </c>
      <c r="AM268" s="12" t="s">
        <v>1251</v>
      </c>
      <c r="AN268" s="12" t="s">
        <v>1254</v>
      </c>
      <c r="AO268" t="s">
        <v>1253</v>
      </c>
      <c r="AP268" t="s">
        <v>1249</v>
      </c>
      <c r="AQ268" t="s">
        <v>1252</v>
      </c>
      <c r="AU268">
        <v>30</v>
      </c>
      <c r="AV268" s="15" t="str">
        <f t="shared" si="86"/>
        <v/>
      </c>
      <c r="AW268">
        <v>-15</v>
      </c>
      <c r="AX268">
        <v>-30</v>
      </c>
      <c r="AY268">
        <f t="shared" si="87"/>
        <v>20</v>
      </c>
      <c r="AZ268">
        <f t="shared" si="88"/>
        <v>17.5</v>
      </c>
      <c r="BA268">
        <f t="shared" si="89"/>
        <v>9.25</v>
      </c>
      <c r="BB268" s="3">
        <f t="shared" si="90"/>
        <v>0.84133333333333327</v>
      </c>
      <c r="BC268">
        <f t="shared" si="91"/>
        <v>7.5</v>
      </c>
      <c r="BD268">
        <f>VLOOKUP($E268,Constants!$I:$K, 2, FALSE)</f>
        <v>0.9</v>
      </c>
      <c r="BE268">
        <f>VLOOKUP($E268,Constants!$I:$K, 3, FALSE)*IF(AND(D268="multiple_unit",Y268&lt;110),0.75,1)</f>
        <v>1.875</v>
      </c>
      <c r="BF268">
        <f>INT(POWER(((Constants!$G$2+$AY268+$AZ268+$BA268+$BC268)*$BB268)*$BE268, 1.05))+$AX268</f>
        <v>87</v>
      </c>
      <c r="BG268">
        <f>INT(POWER((((Constants!$G$1+$AY268+$AZ268+$BA268+$BC268)*($BB268))*$BD268),IF($D268="wagon",1,1.2)))+$AW268</f>
        <v>100</v>
      </c>
      <c r="BH268" s="14">
        <f t="shared" si="92"/>
        <v>67968.75</v>
      </c>
      <c r="BI268" s="14">
        <f t="shared" si="93"/>
        <v>8125</v>
      </c>
      <c r="BP268">
        <v>9</v>
      </c>
      <c r="BS268" t="s">
        <v>283</v>
      </c>
      <c r="BT268" t="str">
        <f>VLOOKUP(G268,Eras!$A$2:$C$10, 2, TRUE)</f>
        <v>mod</v>
      </c>
      <c r="BU268" t="s">
        <v>333</v>
      </c>
      <c r="BV268" t="str">
        <f t="shared" si="94"/>
        <v>mod_EMU</v>
      </c>
      <c r="BW268" t="str">
        <f t="shared" si="95"/>
        <v>dual_power_ELRL</v>
      </c>
      <c r="BX268" t="str">
        <f>VLOOKUP($BW268, Constants!$M:$N, 2, FALSE)</f>
        <v>{BLACK}Powered by: {GOLD}25kV AC / Diesel</v>
      </c>
      <c r="BY268" t="str">
        <f t="shared" si="97"/>
        <v>{BLACK}Cars: {GOLD}5</v>
      </c>
      <c r="BZ268" t="s">
        <v>1244</v>
      </c>
      <c r="CA268" t="str">
        <f t="shared" si="98"/>
        <v/>
      </c>
      <c r="CB268" t="str">
        <f t="shared" si="96"/>
        <v>{BLACK}Powered by: {GOLD}25kV AC / Diesel {BLACK}Cars: {GOLD}5{}{SILVER}The Class 755 was designed to modernise services on the East Anglia franchise. The design features a distinctive "power pack" containing the diesel engines used for bi-mode operation.</v>
      </c>
    </row>
    <row r="269" spans="1:80" x14ac:dyDescent="0.3">
      <c r="A269" t="s">
        <v>1260</v>
      </c>
      <c r="B269" t="s">
        <v>1261</v>
      </c>
      <c r="C269">
        <v>512</v>
      </c>
      <c r="D269" t="s">
        <v>404</v>
      </c>
      <c r="E269" t="s">
        <v>296</v>
      </c>
      <c r="F269" t="s">
        <v>297</v>
      </c>
      <c r="G269">
        <v>2018</v>
      </c>
      <c r="J269">
        <v>3</v>
      </c>
      <c r="K269">
        <f>335*6</f>
        <v>2010</v>
      </c>
      <c r="T269">
        <v>130</v>
      </c>
      <c r="V269">
        <v>5</v>
      </c>
      <c r="W269">
        <v>150</v>
      </c>
      <c r="X269" s="3">
        <f t="shared" si="84"/>
        <v>0.11538461538461539</v>
      </c>
      <c r="Y269">
        <v>100</v>
      </c>
      <c r="Z269">
        <f t="shared" si="81"/>
        <v>160</v>
      </c>
      <c r="AC269">
        <v>23</v>
      </c>
      <c r="AD269">
        <v>23</v>
      </c>
      <c r="AG269" s="10">
        <v>69</v>
      </c>
      <c r="AH269" t="str">
        <f>CONCATENATE(VLOOKUP(AI269, 'Voxel Sizes'!$A$2:$B$18,2,FALSE),"x",INT(AE269*15), "x", INT(AF269*15))</f>
        <v>214x0x0</v>
      </c>
      <c r="AI269">
        <f t="shared" si="85"/>
        <v>13</v>
      </c>
      <c r="AK269" t="str">
        <f>CONCATENATE(VLOOKUP(AI269,Constants!$A$2:$C$16,IF(AJ269&lt;&gt;"", 3, 2), FALSE),IF(AJ269&lt;&gt;"",CONCATENATE(",",VLOOKUP(AJ269,$B:$AK,36,FALSE)),""))</f>
        <v>4,5,4</v>
      </c>
      <c r="AO269" t="s">
        <v>1278</v>
      </c>
      <c r="AQ269" t="s">
        <v>292</v>
      </c>
      <c r="AU269">
        <v>32</v>
      </c>
      <c r="AV269" s="15" t="str">
        <f t="shared" si="86"/>
        <v/>
      </c>
      <c r="AW269">
        <v>-15</v>
      </c>
      <c r="AX269">
        <v>-32</v>
      </c>
      <c r="AY269">
        <f t="shared" si="87"/>
        <v>20</v>
      </c>
      <c r="AZ269">
        <f t="shared" si="88"/>
        <v>10.049999999999999</v>
      </c>
      <c r="BA269">
        <f t="shared" si="89"/>
        <v>7.5</v>
      </c>
      <c r="BB269" s="3">
        <f t="shared" si="90"/>
        <v>0.84266666666666667</v>
      </c>
      <c r="BC269">
        <f t="shared" si="91"/>
        <v>6.9</v>
      </c>
      <c r="BD269">
        <f>VLOOKUP($E269,Constants!$I:$K, 2, FALSE)</f>
        <v>0.85</v>
      </c>
      <c r="BE269">
        <f>VLOOKUP($E269,Constants!$I:$K, 3, FALSE)*IF(AND(D269="multiple_unit",Y269&lt;110),0.75,1)</f>
        <v>1.7249999999999999</v>
      </c>
      <c r="BF269">
        <f>INT(POWER(((Constants!$G$2+$AY269+$AZ269+$BA269+$BC269)*$BB269)*$BE269, 1.05))+$AX269</f>
        <v>57</v>
      </c>
      <c r="BG269">
        <f>INT(POWER((((Constants!$G$1+$AY269+$AZ269+$BA269+$BC269)*($BB269))*$BD269),IF($D269="wagon",1,1.2)))+$AW269</f>
        <v>75</v>
      </c>
      <c r="BH269" s="14">
        <f t="shared" si="92"/>
        <v>44531.25</v>
      </c>
      <c r="BI269" s="14">
        <f t="shared" si="93"/>
        <v>6093.75</v>
      </c>
      <c r="BP269">
        <v>11</v>
      </c>
      <c r="BQ269">
        <v>185</v>
      </c>
      <c r="BS269" t="s">
        <v>283</v>
      </c>
      <c r="BT269" t="str">
        <f>VLOOKUP(G269,Eras!$A$2:$C$10, 2, TRUE)</f>
        <v>mod</v>
      </c>
      <c r="BU269" t="s">
        <v>333</v>
      </c>
      <c r="BV269" t="str">
        <f t="shared" si="94"/>
        <v>mod_EMU</v>
      </c>
      <c r="BW269" t="str">
        <f t="shared" si="95"/>
        <v>electric_ELRL</v>
      </c>
      <c r="BX269" t="str">
        <f>VLOOKUP($BW269, Constants!$M:$N, 2, FALSE)</f>
        <v>{BLACK}Powered by: {GOLD}25kV AC</v>
      </c>
      <c r="BY269" t="str">
        <f t="shared" si="97"/>
        <v>{BLACK}Cars: {GOLD}3</v>
      </c>
      <c r="BZ269" t="s">
        <v>1279</v>
      </c>
      <c r="CA269" t="str">
        <f t="shared" si="98"/>
        <v/>
      </c>
      <c r="CB269" t="str">
        <f t="shared" si="96"/>
        <v>{BLACK}Powered by: {GOLD}25kV AC {BLACK}Cars: {GOLD}3{}{SILVER}The Class 385 was built for use on newly electrified lines in Scotland. Unlike most AT200 variants, it has cab end doors to allow for trolley services throughout the train.</v>
      </c>
    </row>
    <row r="270" spans="1:80" x14ac:dyDescent="0.3">
      <c r="A270" t="s">
        <v>1266</v>
      </c>
      <c r="B270" t="s">
        <v>1288</v>
      </c>
      <c r="C270">
        <v>513</v>
      </c>
      <c r="D270" t="s">
        <v>404</v>
      </c>
      <c r="E270" t="s">
        <v>552</v>
      </c>
      <c r="F270" t="s">
        <v>551</v>
      </c>
      <c r="G270">
        <v>2016</v>
      </c>
      <c r="J270">
        <v>8</v>
      </c>
      <c r="K270">
        <v>4400</v>
      </c>
      <c r="L270" s="8">
        <v>2560</v>
      </c>
      <c r="T270">
        <v>278</v>
      </c>
      <c r="V270">
        <v>6</v>
      </c>
      <c r="W270">
        <v>225</v>
      </c>
      <c r="X270" s="3">
        <f t="shared" si="84"/>
        <v>8.0935251798561147E-2</v>
      </c>
      <c r="Y270">
        <v>100</v>
      </c>
      <c r="Z270">
        <f t="shared" si="81"/>
        <v>160</v>
      </c>
      <c r="AC270">
        <v>20.2</v>
      </c>
      <c r="AD270">
        <v>20.2</v>
      </c>
      <c r="AG270" s="10">
        <v>69</v>
      </c>
      <c r="AH270" t="str">
        <f>CONCATENATE(VLOOKUP(AI270, 'Voxel Sizes'!$A$2:$B$18,2,FALSE),"x",INT(AE270*15), "x", INT(AF270*15))</f>
        <v>198x0x0</v>
      </c>
      <c r="AI270">
        <f t="shared" si="85"/>
        <v>12</v>
      </c>
      <c r="AK270" t="str">
        <f>CONCATENATE(VLOOKUP(AI270,Constants!$A$2:$C$16,IF(AJ270&lt;&gt;"", 3, 2), FALSE),IF(AJ270&lt;&gt;"",CONCATENATE(",",VLOOKUP(AJ270,$B:$AK,36,FALSE)),""))</f>
        <v>4,4,4</v>
      </c>
      <c r="AO270" t="s">
        <v>1289</v>
      </c>
      <c r="AP270" t="s">
        <v>1292</v>
      </c>
      <c r="AQ270" t="s">
        <v>1290</v>
      </c>
      <c r="AU270">
        <v>30</v>
      </c>
      <c r="AV270" s="15" t="str">
        <f t="shared" si="86"/>
        <v/>
      </c>
      <c r="AW270">
        <v>-15</v>
      </c>
      <c r="AX270">
        <v>-30</v>
      </c>
      <c r="AY270">
        <f t="shared" si="87"/>
        <v>20</v>
      </c>
      <c r="AZ270">
        <f t="shared" si="88"/>
        <v>20</v>
      </c>
      <c r="BA270">
        <f t="shared" si="89"/>
        <v>11.25</v>
      </c>
      <c r="BB270" s="3">
        <f t="shared" si="90"/>
        <v>0.84533333333333327</v>
      </c>
      <c r="BC270">
        <f t="shared" si="91"/>
        <v>18.400000000000002</v>
      </c>
      <c r="BD270">
        <f>VLOOKUP($E270,Constants!$I:$K, 2, FALSE)</f>
        <v>0.85</v>
      </c>
      <c r="BE270">
        <f>VLOOKUP($E270,Constants!$I:$K, 3, FALSE)*IF(AND(D270="multiple_unit",Y270&lt;110),0.75,1)</f>
        <v>1.7999999999999998</v>
      </c>
      <c r="BF270">
        <f>INT(POWER(((Constants!$G$2+$AY270+$AZ270+$BA270+$BC270)*$BB270)*$BE270, 1.05))+$AX270</f>
        <v>113</v>
      </c>
      <c r="BG270">
        <f>INT(POWER((((Constants!$G$1+$AY270+$AZ270+$BA270+$BC270)*($BB270))*$BD270),IF($D270="wagon",1,1.2)))+$AW270</f>
        <v>123</v>
      </c>
      <c r="BH270" s="14">
        <f t="shared" si="92"/>
        <v>88281.25</v>
      </c>
      <c r="BI270" s="14">
        <f t="shared" si="93"/>
        <v>9993.75</v>
      </c>
      <c r="BO270" t="s">
        <v>1146</v>
      </c>
      <c r="BP270">
        <v>3</v>
      </c>
      <c r="BS270" t="s">
        <v>283</v>
      </c>
      <c r="BT270" t="str">
        <f>VLOOKUP(G270,Eras!$A$2:$C$10, 2, TRUE)</f>
        <v>mod</v>
      </c>
      <c r="BU270" t="s">
        <v>333</v>
      </c>
      <c r="BV270" t="str">
        <f t="shared" si="94"/>
        <v>mod_EMU</v>
      </c>
      <c r="BW270" t="str">
        <f t="shared" si="95"/>
        <v>dual_electric_DUAL_POWER</v>
      </c>
      <c r="BX270" t="str">
        <f>VLOOKUP($BW270, Constants!$M:$N, 2, FALSE)</f>
        <v>{BLACK}Powered by: {GOLD}25kV AC / 750V DC</v>
      </c>
      <c r="BY270" t="str">
        <f t="shared" si="97"/>
        <v>{BLACK}Cars: {GOLD}8</v>
      </c>
      <c r="BZ270" t="s">
        <v>1291</v>
      </c>
      <c r="CA270" t="str">
        <f t="shared" si="98"/>
        <v/>
      </c>
      <c r="CB270" t="str">
        <f t="shared" si="96"/>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1" spans="1:80" x14ac:dyDescent="0.3">
      <c r="A271" t="s">
        <v>1262</v>
      </c>
      <c r="B271" t="s">
        <v>1263</v>
      </c>
      <c r="C271">
        <v>514</v>
      </c>
      <c r="D271" t="s">
        <v>404</v>
      </c>
      <c r="E271" t="s">
        <v>296</v>
      </c>
      <c r="F271" t="s">
        <v>297</v>
      </c>
      <c r="G271">
        <v>2017</v>
      </c>
      <c r="J271">
        <v>9</v>
      </c>
      <c r="K271">
        <v>1900</v>
      </c>
      <c r="T271">
        <v>264</v>
      </c>
      <c r="V271">
        <v>7</v>
      </c>
      <c r="W271">
        <v>220</v>
      </c>
      <c r="X271" s="3">
        <f t="shared" si="84"/>
        <v>8.3333333333333329E-2</v>
      </c>
      <c r="Y271">
        <v>90</v>
      </c>
      <c r="Z271">
        <f t="shared" si="81"/>
        <v>144</v>
      </c>
      <c r="AC271">
        <v>22.7</v>
      </c>
      <c r="AD271">
        <v>22.7</v>
      </c>
      <c r="AG271" s="10">
        <v>78</v>
      </c>
      <c r="AH271" t="str">
        <f>CONCATENATE(VLOOKUP(AI271, 'Voxel Sizes'!$A$2:$B$18,2,FALSE),"x",INT(AE271*15), "x", INT(AF271*15))</f>
        <v>214x0x0</v>
      </c>
      <c r="AI271">
        <f t="shared" si="85"/>
        <v>13</v>
      </c>
      <c r="AK271" t="str">
        <f>CONCATENATE(VLOOKUP(AI271,Constants!$A$2:$C$16,IF(AJ271&lt;&gt;"", 3, 2), FALSE),IF(AJ271&lt;&gt;"",CONCATENATE(",",VLOOKUP(AJ271,$B:$AK,36,FALSE)),""))</f>
        <v>4,5,4</v>
      </c>
      <c r="AO271" t="s">
        <v>1281</v>
      </c>
      <c r="AQ271" t="s">
        <v>1282</v>
      </c>
      <c r="AU271">
        <v>30</v>
      </c>
      <c r="AV271" s="15" t="str">
        <f t="shared" si="86"/>
        <v/>
      </c>
      <c r="AW271">
        <v>-19</v>
      </c>
      <c r="AX271">
        <v>-22</v>
      </c>
      <c r="AY271">
        <f t="shared" si="87"/>
        <v>18</v>
      </c>
      <c r="AZ271">
        <f t="shared" si="88"/>
        <v>9.5</v>
      </c>
      <c r="BA271">
        <f t="shared" si="89"/>
        <v>11</v>
      </c>
      <c r="BB271" s="3">
        <f t="shared" si="90"/>
        <v>0.84399999999999997</v>
      </c>
      <c r="BC271">
        <f t="shared" si="91"/>
        <v>23.4</v>
      </c>
      <c r="BD271">
        <f>VLOOKUP($E271,Constants!$I:$K, 2, FALSE)</f>
        <v>0.85</v>
      </c>
      <c r="BE271">
        <f>VLOOKUP($E271,Constants!$I:$K, 3, FALSE)*IF(AND(D271="multiple_unit",Y271&lt;110),0.75,1)</f>
        <v>1.7249999999999999</v>
      </c>
      <c r="BF271">
        <f>INT(POWER(((Constants!$G$2+$AY271+$AZ271+$BA271+$BC271)*$BB271)*$BE271, 1.05))+$AX271</f>
        <v>100</v>
      </c>
      <c r="BG271">
        <f>INT(POWER((((Constants!$G$1+$AY271+$AZ271+$BA271+$BC271)*($BB271))*$BD271),IF($D271="wagon",1,1.2)))+$AW271</f>
        <v>104</v>
      </c>
      <c r="BH271" s="14">
        <f t="shared" si="92"/>
        <v>78125</v>
      </c>
      <c r="BI271" s="14">
        <f t="shared" si="93"/>
        <v>8450</v>
      </c>
      <c r="BO271" t="s">
        <v>1150</v>
      </c>
      <c r="BP271">
        <v>1</v>
      </c>
      <c r="BQ271">
        <v>165</v>
      </c>
      <c r="BS271" t="s">
        <v>283</v>
      </c>
      <c r="BT271" t="str">
        <f>VLOOKUP(G271,Eras!$A$2:$C$10, 2, TRUE)</f>
        <v>mod</v>
      </c>
      <c r="BU271" t="s">
        <v>333</v>
      </c>
      <c r="BV271" t="str">
        <f t="shared" si="94"/>
        <v>mod_EMU</v>
      </c>
      <c r="BW271" t="str">
        <f t="shared" si="95"/>
        <v>electric_ELRL</v>
      </c>
      <c r="BX271" t="str">
        <f>VLOOKUP($BW271, Constants!$M:$N, 2, FALSE)</f>
        <v>{BLACK}Powered by: {GOLD}25kV AC</v>
      </c>
      <c r="BY271" t="str">
        <f t="shared" si="97"/>
        <v>{BLACK}Cars: {GOLD}9</v>
      </c>
      <c r="BZ271" t="s">
        <v>1283</v>
      </c>
      <c r="CA271" t="str">
        <f t="shared" si="98"/>
        <v>{YELLOW}10% Penalty for long distance travel{}</v>
      </c>
      <c r="CB271" t="str">
        <f t="shared" si="96"/>
        <v>{BLACK}Powered by: {GOLD}25kV AC {BLACK}Cars: {GOLD}9{}{YELLOW}10% Penalty for long distance travel{}{SILVER}Designed for London's Crossrail route, the Class 345 entered service on TfL Rail between Liverpool Street and Shenfield.</v>
      </c>
    </row>
    <row r="272" spans="1:80" x14ac:dyDescent="0.3">
      <c r="A272" t="s">
        <v>1267</v>
      </c>
      <c r="B272" t="s">
        <v>1287</v>
      </c>
      <c r="C272">
        <v>515</v>
      </c>
      <c r="D272" t="s">
        <v>404</v>
      </c>
      <c r="E272" t="s">
        <v>296</v>
      </c>
      <c r="F272" t="s">
        <v>303</v>
      </c>
      <c r="G272">
        <v>2017</v>
      </c>
      <c r="J272">
        <v>5</v>
      </c>
      <c r="K272">
        <v>1600</v>
      </c>
      <c r="T272">
        <v>173</v>
      </c>
      <c r="V272">
        <v>6</v>
      </c>
      <c r="W272">
        <v>175</v>
      </c>
      <c r="X272" s="3">
        <f t="shared" si="84"/>
        <v>0.10115606936416185</v>
      </c>
      <c r="Y272">
        <v>100</v>
      </c>
      <c r="Z272">
        <f t="shared" si="81"/>
        <v>160</v>
      </c>
      <c r="AC272">
        <v>20</v>
      </c>
      <c r="AD272">
        <v>20</v>
      </c>
      <c r="AE272">
        <v>2.8</v>
      </c>
      <c r="AG272" s="10">
        <v>69</v>
      </c>
      <c r="AH272" t="str">
        <f>CONCATENATE(VLOOKUP(AI272, 'Voxel Sizes'!$A$2:$B$18,2,FALSE),"x",INT(AE272*15), "x", INT(AF272*15))</f>
        <v>198x42x0</v>
      </c>
      <c r="AI272">
        <f t="shared" si="85"/>
        <v>12</v>
      </c>
      <c r="AK272" t="str">
        <f>CONCATENATE(VLOOKUP(AI272,Constants!$A$2:$C$16,IF(AJ272&lt;&gt;"", 3, 2), FALSE),IF(AJ272&lt;&gt;"",CONCATENATE(",",VLOOKUP(AJ272,$B:$AK,36,FALSE)),""))</f>
        <v>4,4,4</v>
      </c>
      <c r="AO272" t="s">
        <v>1293</v>
      </c>
      <c r="AQ272" t="s">
        <v>1294</v>
      </c>
      <c r="AU272">
        <v>30</v>
      </c>
      <c r="AV272" s="15" t="str">
        <f t="shared" si="86"/>
        <v/>
      </c>
      <c r="AW272">
        <v>-15</v>
      </c>
      <c r="AX272">
        <v>-30</v>
      </c>
      <c r="AY272">
        <f t="shared" si="87"/>
        <v>20</v>
      </c>
      <c r="AZ272">
        <f t="shared" si="88"/>
        <v>8</v>
      </c>
      <c r="BA272">
        <f t="shared" si="89"/>
        <v>8.75</v>
      </c>
      <c r="BB272" s="3">
        <f t="shared" si="90"/>
        <v>0.84399999999999997</v>
      </c>
      <c r="BC272">
        <f t="shared" si="91"/>
        <v>11.500000000000002</v>
      </c>
      <c r="BD272">
        <f>VLOOKUP($E272,Constants!$I:$K, 2, FALSE)</f>
        <v>0.85</v>
      </c>
      <c r="BE272">
        <f>VLOOKUP($E272,Constants!$I:$K, 3, FALSE)*IF(AND(D272="multiple_unit",Y272&lt;110),0.75,1)</f>
        <v>1.7249999999999999</v>
      </c>
      <c r="BF272">
        <f>INT(POWER(((Constants!$G$2+$AY272+$AZ272+$BA272+$BC272)*$BB272)*$BE272, 1.05))+$AX272</f>
        <v>66</v>
      </c>
      <c r="BG272">
        <f>INT(POWER((((Constants!$G$1+$AY272+$AZ272+$BA272+$BC272)*($BB272))*$BD272),IF($D272="wagon",1,1.2)))+$AW272</f>
        <v>82</v>
      </c>
      <c r="BH272" s="14">
        <f t="shared" si="92"/>
        <v>51562.5</v>
      </c>
      <c r="BI272" s="14">
        <f t="shared" si="93"/>
        <v>6662.5</v>
      </c>
      <c r="BP272">
        <v>4</v>
      </c>
      <c r="BS272" t="s">
        <v>283</v>
      </c>
      <c r="BT272" t="str">
        <f>VLOOKUP(G272,Eras!$A$2:$C$10, 2, TRUE)</f>
        <v>mod</v>
      </c>
      <c r="BU272" t="s">
        <v>333</v>
      </c>
      <c r="BV272" t="str">
        <f t="shared" si="94"/>
        <v>mod_EMU</v>
      </c>
      <c r="BW272" t="str">
        <f t="shared" si="95"/>
        <v>electric_THIRD_RAIL</v>
      </c>
      <c r="BX272" t="str">
        <f>VLOOKUP($BW272, Constants!$M:$N, 2, FALSE)</f>
        <v>{BLACK}Powered by: {GOLD}750V DC</v>
      </c>
      <c r="BY272" t="str">
        <f t="shared" si="97"/>
        <v>{BLACK}Cars: {GOLD}5</v>
      </c>
      <c r="BZ272" t="s">
        <v>1295</v>
      </c>
      <c r="CA272" t="str">
        <f t="shared" si="98"/>
        <v/>
      </c>
      <c r="CB272" t="str">
        <f t="shared" si="96"/>
        <v>{BLACK}Powered by: {GOLD}750V DC {BLACK}Cars: {GOLD}5{}{SILVER}South West Trains procured the Class 707 as part of capacity improvements for routes out of London Waterloo.</v>
      </c>
    </row>
    <row r="273" spans="1:80" x14ac:dyDescent="0.3">
      <c r="A273" t="s">
        <v>1264</v>
      </c>
      <c r="B273" t="s">
        <v>1265</v>
      </c>
      <c r="C273">
        <v>516</v>
      </c>
      <c r="D273" t="s">
        <v>404</v>
      </c>
      <c r="E273" t="s">
        <v>552</v>
      </c>
      <c r="F273" t="s">
        <v>551</v>
      </c>
      <c r="G273">
        <v>2019</v>
      </c>
      <c r="J273">
        <v>4</v>
      </c>
      <c r="K273">
        <v>1800</v>
      </c>
      <c r="L273" s="8">
        <v>1600</v>
      </c>
      <c r="T273">
        <v>151</v>
      </c>
      <c r="V273">
        <v>6</v>
      </c>
      <c r="W273">
        <v>160</v>
      </c>
      <c r="X273" s="3">
        <f t="shared" si="84"/>
        <v>0.10596026490066225</v>
      </c>
      <c r="Y273">
        <v>75</v>
      </c>
      <c r="Z273">
        <f t="shared" si="81"/>
        <v>120</v>
      </c>
      <c r="AC273">
        <v>21.44</v>
      </c>
      <c r="AD273">
        <v>21.4</v>
      </c>
      <c r="AG273" s="10">
        <v>78</v>
      </c>
      <c r="AH273" t="str">
        <f>CONCATENATE(VLOOKUP(AI273, 'Voxel Sizes'!$A$2:$B$18,2,FALSE),"x",INT(AE273*15), "x", INT(AF273*15))</f>
        <v>214x0x0</v>
      </c>
      <c r="AI273">
        <f t="shared" si="85"/>
        <v>13</v>
      </c>
      <c r="AK273" t="str">
        <f>CONCATENATE(VLOOKUP(AI273,Constants!$A$2:$C$16,IF(AJ273&lt;&gt;"", 3, 2), FALSE),IF(AJ273&lt;&gt;"",CONCATENATE(",",VLOOKUP(AJ273,$B:$AK,36,FALSE)),""))</f>
        <v>4,5,4</v>
      </c>
      <c r="AO273" t="s">
        <v>1284</v>
      </c>
      <c r="AP273" t="s">
        <v>1285</v>
      </c>
      <c r="AQ273" t="s">
        <v>555</v>
      </c>
      <c r="AU273">
        <v>30</v>
      </c>
      <c r="AV273" s="15" t="str">
        <f t="shared" si="86"/>
        <v/>
      </c>
      <c r="AW273">
        <v>-19</v>
      </c>
      <c r="AX273">
        <v>-25</v>
      </c>
      <c r="AY273">
        <f t="shared" si="87"/>
        <v>15</v>
      </c>
      <c r="AZ273">
        <f t="shared" si="88"/>
        <v>9</v>
      </c>
      <c r="BA273">
        <f t="shared" si="89"/>
        <v>8</v>
      </c>
      <c r="BB273" s="3">
        <f t="shared" si="90"/>
        <v>0.84133333333333327</v>
      </c>
      <c r="BC273">
        <f t="shared" si="91"/>
        <v>10.4</v>
      </c>
      <c r="BD273">
        <f>VLOOKUP($E273,Constants!$I:$K, 2, FALSE)</f>
        <v>0.85</v>
      </c>
      <c r="BE273">
        <f>VLOOKUP($E273,Constants!$I:$K, 3, FALSE)*IF(AND(D273="multiple_unit",Y273&lt;110),0.75,1)</f>
        <v>1.7999999999999998</v>
      </c>
      <c r="BF273">
        <f>INT(POWER(((Constants!$G$2+$AY273+$AZ273+$BA273+$BC273)*$BB273)*$BE273, 1.05))+$AX273</f>
        <v>63</v>
      </c>
      <c r="BG273">
        <f>INT(POWER((((Constants!$G$1+$AY273+$AZ273+$BA273+$BC273)*($BB273))*$BD273),IF($D273="wagon",1,1.2)))+$AW273</f>
        <v>67</v>
      </c>
      <c r="BH273" s="14">
        <f t="shared" si="92"/>
        <v>49218.75</v>
      </c>
      <c r="BI273" s="14">
        <f t="shared" si="93"/>
        <v>5443.75</v>
      </c>
      <c r="BP273">
        <v>2</v>
      </c>
      <c r="BQ273">
        <v>165</v>
      </c>
      <c r="BS273" t="s">
        <v>283</v>
      </c>
      <c r="BT273" t="str">
        <f>VLOOKUP(G273,Eras!$A$2:$C$10, 2, TRUE)</f>
        <v>mod</v>
      </c>
      <c r="BU273" t="s">
        <v>333</v>
      </c>
      <c r="BV273" t="str">
        <f t="shared" si="94"/>
        <v>mod_EMU</v>
      </c>
      <c r="BW273" t="str">
        <f t="shared" si="95"/>
        <v>dual_electric_DUAL_POWER</v>
      </c>
      <c r="BX273" t="str">
        <f>VLOOKUP($BW273, Constants!$M:$N, 2, FALSE)</f>
        <v>{BLACK}Powered by: {GOLD}25kV AC / 750V DC</v>
      </c>
      <c r="BY273" t="str">
        <f t="shared" si="97"/>
        <v>{BLACK}Cars: {GOLD}4</v>
      </c>
      <c r="BZ273" t="s">
        <v>1286</v>
      </c>
      <c r="CA273" t="str">
        <f t="shared" si="98"/>
        <v>{YELLOW}10% Penalty for long distance travel{}</v>
      </c>
      <c r="CB273" t="str">
        <f t="shared" si="96"/>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4" spans="1:80" x14ac:dyDescent="0.3">
      <c r="A274" t="s">
        <v>1262</v>
      </c>
      <c r="B274" t="s">
        <v>1296</v>
      </c>
      <c r="C274">
        <v>517</v>
      </c>
      <c r="D274" t="s">
        <v>404</v>
      </c>
      <c r="E274" t="s">
        <v>296</v>
      </c>
      <c r="F274" t="s">
        <v>297</v>
      </c>
      <c r="G274">
        <v>2017</v>
      </c>
      <c r="J274">
        <v>7</v>
      </c>
      <c r="K274">
        <v>1900</v>
      </c>
      <c r="T274">
        <v>264</v>
      </c>
      <c r="V274">
        <v>7</v>
      </c>
      <c r="W274">
        <v>220</v>
      </c>
      <c r="X274" s="3">
        <f t="shared" si="84"/>
        <v>8.3333333333333329E-2</v>
      </c>
      <c r="Y274">
        <v>90</v>
      </c>
      <c r="Z274">
        <f t="shared" si="81"/>
        <v>144</v>
      </c>
      <c r="AC274">
        <v>22.7</v>
      </c>
      <c r="AD274">
        <v>22.7</v>
      </c>
      <c r="AG274" s="10">
        <v>78</v>
      </c>
      <c r="AH274" t="str">
        <f>CONCATENATE(VLOOKUP(AI274, 'Voxel Sizes'!$A$2:$B$18,2,FALSE),"x",INT(AE274*15), "x", INT(AF274*15))</f>
        <v>214x0x0</v>
      </c>
      <c r="AI274">
        <f t="shared" si="85"/>
        <v>13</v>
      </c>
      <c r="AK274" t="str">
        <f>CONCATENATE(VLOOKUP(AI274,Constants!$A$2:$C$16,IF(AJ274&lt;&gt;"", 3, 2), FALSE),IF(AJ274&lt;&gt;"",CONCATENATE(",",VLOOKUP(AJ274,$B:$AK,36,FALSE)),""))</f>
        <v>4,5,4</v>
      </c>
      <c r="AO274" t="s">
        <v>1303</v>
      </c>
      <c r="AQ274" t="s">
        <v>1304</v>
      </c>
      <c r="AR274" t="s">
        <v>1263</v>
      </c>
      <c r="AU274">
        <v>30</v>
      </c>
      <c r="AV274" s="15" t="str">
        <f t="shared" si="86"/>
        <v/>
      </c>
      <c r="AW274">
        <v>-19</v>
      </c>
      <c r="AX274">
        <v>-22</v>
      </c>
      <c r="AY274">
        <f t="shared" si="87"/>
        <v>18</v>
      </c>
      <c r="AZ274">
        <f t="shared" si="88"/>
        <v>9.5</v>
      </c>
      <c r="BA274">
        <f t="shared" si="89"/>
        <v>11</v>
      </c>
      <c r="BB274" s="3">
        <f t="shared" si="90"/>
        <v>0.84399999999999997</v>
      </c>
      <c r="BC274">
        <f t="shared" si="91"/>
        <v>18.2</v>
      </c>
      <c r="BD274">
        <f>VLOOKUP($E274,Constants!$I:$K, 2, FALSE)</f>
        <v>0.85</v>
      </c>
      <c r="BE274">
        <f>VLOOKUP($E274,Constants!$I:$K, 3, FALSE)*IF(AND(D274="multiple_unit",Y274&lt;110),0.75,1)</f>
        <v>1.7249999999999999</v>
      </c>
      <c r="BF274">
        <f>INT(POWER(((Constants!$G$2+$AY274+$AZ274+$BA274+$BC274)*$BB274)*$BE274, 1.05))+$AX274</f>
        <v>90</v>
      </c>
      <c r="BG274">
        <f>INT(POWER((((Constants!$G$1+$AY274+$AZ274+$BA274+$BC274)*($BB274))*$BD274),IF($D274="wagon",1,1.2)))+$AW274</f>
        <v>94</v>
      </c>
      <c r="BH274" s="14">
        <f t="shared" si="92"/>
        <v>70312.5</v>
      </c>
      <c r="BI274" s="14">
        <f t="shared" si="93"/>
        <v>7637.5</v>
      </c>
      <c r="BO274" t="s">
        <v>1149</v>
      </c>
      <c r="BP274">
        <v>1</v>
      </c>
      <c r="BQ274">
        <v>165</v>
      </c>
      <c r="BS274" t="s">
        <v>283</v>
      </c>
      <c r="BT274" t="str">
        <f>VLOOKUP(G274,Eras!$A$2:$C$10, 2, TRUE)</f>
        <v>mod</v>
      </c>
      <c r="BU274" t="s">
        <v>333</v>
      </c>
      <c r="BV274" t="str">
        <f t="shared" si="94"/>
        <v>mod_EMU</v>
      </c>
      <c r="BW274" t="str">
        <f t="shared" si="95"/>
        <v>electric_ELRL</v>
      </c>
      <c r="BX274" t="str">
        <f>VLOOKUP($BW274, Constants!$M:$N, 2, FALSE)</f>
        <v>{BLACK}Powered by: {GOLD}25kV AC</v>
      </c>
      <c r="BY274" t="str">
        <f t="shared" si="97"/>
        <v>{BLACK}Cars: {GOLD}7</v>
      </c>
      <c r="BZ274" t="s">
        <v>1283</v>
      </c>
      <c r="CA274" t="str">
        <f t="shared" si="98"/>
        <v>{YELLOW}10% Penalty for long distance travel{}</v>
      </c>
      <c r="CB274" t="str">
        <f t="shared" si="96"/>
        <v>{BLACK}Powered by: {GOLD}25kV AC {BLACK}Cars: {GOLD}7{}{YELLOW}10% Penalty for long distance travel{}{SILVER}Designed for London's Crossrail route, the Class 345 entered service on TfL Rail between Liverpool Street and Shenfield.</v>
      </c>
    </row>
    <row r="275" spans="1:80" x14ac:dyDescent="0.3">
      <c r="A275" t="s">
        <v>1262</v>
      </c>
      <c r="B275" t="s">
        <v>1297</v>
      </c>
      <c r="C275">
        <v>518</v>
      </c>
      <c r="D275" t="s">
        <v>404</v>
      </c>
      <c r="E275" t="s">
        <v>296</v>
      </c>
      <c r="F275" t="s">
        <v>297</v>
      </c>
      <c r="G275">
        <v>2017</v>
      </c>
      <c r="J275">
        <v>4</v>
      </c>
      <c r="K275">
        <v>1900</v>
      </c>
      <c r="T275">
        <v>264</v>
      </c>
      <c r="V275">
        <v>7</v>
      </c>
      <c r="W275">
        <v>220</v>
      </c>
      <c r="X275" s="3">
        <f t="shared" si="84"/>
        <v>8.3333333333333329E-2</v>
      </c>
      <c r="Y275">
        <v>90</v>
      </c>
      <c r="Z275">
        <f t="shared" si="81"/>
        <v>144</v>
      </c>
      <c r="AC275">
        <v>22.7</v>
      </c>
      <c r="AD275">
        <v>22.7</v>
      </c>
      <c r="AG275" s="10">
        <v>78</v>
      </c>
      <c r="AH275" t="str">
        <f>CONCATENATE(VLOOKUP(AI275, 'Voxel Sizes'!$A$2:$B$18,2,FALSE),"x",INT(AE275*15), "x", INT(AF275*15))</f>
        <v>214x0x0</v>
      </c>
      <c r="AI275">
        <f t="shared" si="85"/>
        <v>13</v>
      </c>
      <c r="AK275" t="str">
        <f>CONCATENATE(VLOOKUP(AI275,Constants!$A$2:$C$16,IF(AJ275&lt;&gt;"", 3, 2), FALSE),IF(AJ275&lt;&gt;"",CONCATENATE(",",VLOOKUP(AJ275,$B:$AK,36,FALSE)),""))</f>
        <v>4,5,4</v>
      </c>
      <c r="AO275" t="s">
        <v>1305</v>
      </c>
      <c r="AQ275" t="s">
        <v>1126</v>
      </c>
      <c r="AR275" t="s">
        <v>1263</v>
      </c>
      <c r="AU275">
        <v>30</v>
      </c>
      <c r="AV275" s="15" t="str">
        <f t="shared" si="86"/>
        <v/>
      </c>
      <c r="AW275">
        <v>-19</v>
      </c>
      <c r="AX275">
        <v>-22</v>
      </c>
      <c r="AY275">
        <f t="shared" si="87"/>
        <v>18</v>
      </c>
      <c r="AZ275">
        <f t="shared" si="88"/>
        <v>9.5</v>
      </c>
      <c r="BA275">
        <f t="shared" si="89"/>
        <v>11</v>
      </c>
      <c r="BB275" s="3">
        <f t="shared" si="90"/>
        <v>0.84399999999999997</v>
      </c>
      <c r="BC275">
        <f t="shared" si="91"/>
        <v>10.4</v>
      </c>
      <c r="BD275">
        <f>VLOOKUP($E275,Constants!$I:$K, 2, FALSE)</f>
        <v>0.85</v>
      </c>
      <c r="BE275">
        <f>VLOOKUP($E275,Constants!$I:$K, 3, FALSE)*IF(AND(D275="multiple_unit",Y275&lt;110),0.75,1)</f>
        <v>1.7249999999999999</v>
      </c>
      <c r="BF275">
        <f>INT(POWER(((Constants!$G$2+$AY275+$AZ275+$BA275+$BC275)*$BB275)*$BE275, 1.05))+$AX275</f>
        <v>75</v>
      </c>
      <c r="BG275">
        <f>INT(POWER((((Constants!$G$1+$AY275+$AZ275+$BA275+$BC275)*($BB275))*$BD275),IF($D275="wagon",1,1.2)))+$AW275</f>
        <v>79</v>
      </c>
      <c r="BH275" s="14">
        <f t="shared" si="92"/>
        <v>58593.75</v>
      </c>
      <c r="BI275" s="14">
        <f t="shared" si="93"/>
        <v>6418.75</v>
      </c>
      <c r="BO275" t="s">
        <v>1148</v>
      </c>
      <c r="BP275">
        <v>1</v>
      </c>
      <c r="BQ275">
        <v>165</v>
      </c>
      <c r="BS275" t="s">
        <v>283</v>
      </c>
      <c r="BT275" t="str">
        <f>VLOOKUP(G275,Eras!$A$2:$C$10, 2, TRUE)</f>
        <v>mod</v>
      </c>
      <c r="BU275" t="s">
        <v>333</v>
      </c>
      <c r="BV275" t="str">
        <f t="shared" si="94"/>
        <v>mod_EMU</v>
      </c>
      <c r="BW275" t="str">
        <f t="shared" si="95"/>
        <v>electric_ELRL</v>
      </c>
      <c r="BX275" t="str">
        <f>VLOOKUP($BW275, Constants!$M:$N, 2, FALSE)</f>
        <v>{BLACK}Powered by: {GOLD}25kV AC</v>
      </c>
      <c r="BY275" t="str">
        <f t="shared" si="97"/>
        <v>{BLACK}Cars: {GOLD}4</v>
      </c>
      <c r="BZ275" t="s">
        <v>1283</v>
      </c>
      <c r="CA275" t="str">
        <f t="shared" si="98"/>
        <v>{YELLOW}10% Penalty for long distance travel{}</v>
      </c>
      <c r="CB275" t="str">
        <f t="shared" si="96"/>
        <v>{BLACK}Powered by: {GOLD}25kV AC {BLACK}Cars: {GOLD}4{}{YELLOW}10% Penalty for long distance travel{}{SILVER}Designed for London's Crossrail route, the Class 345 entered service on TfL Rail between Liverpool Street and Shenfield.</v>
      </c>
    </row>
    <row r="276" spans="1:80" x14ac:dyDescent="0.3">
      <c r="A276" t="s">
        <v>1266</v>
      </c>
      <c r="B276" t="s">
        <v>1298</v>
      </c>
      <c r="C276">
        <v>519</v>
      </c>
      <c r="D276" t="s">
        <v>404</v>
      </c>
      <c r="E276" t="s">
        <v>552</v>
      </c>
      <c r="F276" t="s">
        <v>551</v>
      </c>
      <c r="G276">
        <v>2016</v>
      </c>
      <c r="J276">
        <v>5</v>
      </c>
      <c r="K276">
        <v>4400</v>
      </c>
      <c r="L276" s="8">
        <v>2560</v>
      </c>
      <c r="T276">
        <v>278</v>
      </c>
      <c r="V276">
        <v>6</v>
      </c>
      <c r="W276">
        <v>225</v>
      </c>
      <c r="X276" s="3">
        <f t="shared" si="84"/>
        <v>8.0935251798561147E-2</v>
      </c>
      <c r="Y276">
        <v>100</v>
      </c>
      <c r="Z276">
        <f t="shared" si="81"/>
        <v>160</v>
      </c>
      <c r="AC276">
        <v>20.2</v>
      </c>
      <c r="AD276">
        <v>20.2</v>
      </c>
      <c r="AG276" s="10">
        <v>69</v>
      </c>
      <c r="AH276" t="str">
        <f>CONCATENATE(VLOOKUP(AI276, 'Voxel Sizes'!$A$2:$B$18,2,FALSE),"x",INT(AE276*15), "x", INT(AF276*15))</f>
        <v>198x0x0</v>
      </c>
      <c r="AI276">
        <f t="shared" si="85"/>
        <v>12</v>
      </c>
      <c r="AK276" t="str">
        <f>CONCATENATE(VLOOKUP(AI276,Constants!$A$2:$C$16,IF(AJ276&lt;&gt;"", 3, 2), FALSE),IF(AJ276&lt;&gt;"",CONCATENATE(",",VLOOKUP(AJ276,$B:$AK,36,FALSE)),""))</f>
        <v>4,4,4</v>
      </c>
      <c r="AO276" t="s">
        <v>1308</v>
      </c>
      <c r="AP276" t="s">
        <v>1292</v>
      </c>
      <c r="AQ276" t="s">
        <v>664</v>
      </c>
      <c r="AR276" t="s">
        <v>1288</v>
      </c>
      <c r="AU276">
        <v>30</v>
      </c>
      <c r="AV276" s="15" t="str">
        <f t="shared" si="86"/>
        <v/>
      </c>
      <c r="AW276">
        <v>-15</v>
      </c>
      <c r="AX276">
        <v>-30</v>
      </c>
      <c r="AY276">
        <f t="shared" si="87"/>
        <v>20</v>
      </c>
      <c r="AZ276">
        <f t="shared" si="88"/>
        <v>20</v>
      </c>
      <c r="BA276">
        <f t="shared" si="89"/>
        <v>11.25</v>
      </c>
      <c r="BB276" s="3">
        <f t="shared" si="90"/>
        <v>0.84533333333333327</v>
      </c>
      <c r="BC276">
        <f t="shared" si="91"/>
        <v>11.500000000000002</v>
      </c>
      <c r="BD276">
        <f>VLOOKUP($E276,Constants!$I:$K, 2, FALSE)</f>
        <v>0.85</v>
      </c>
      <c r="BE276">
        <f>VLOOKUP($E276,Constants!$I:$K, 3, FALSE)*IF(AND(D276="multiple_unit",Y276&lt;110),0.75,1)</f>
        <v>1.7999999999999998</v>
      </c>
      <c r="BF276">
        <f>INT(POWER(((Constants!$G$2+$AY276+$AZ276+$BA276+$BC276)*$BB276)*$BE276, 1.05))+$AX276</f>
        <v>99</v>
      </c>
      <c r="BG276">
        <f>INT(POWER((((Constants!$G$1+$AY276+$AZ276+$BA276+$BC276)*($BB276))*$BD276),IF($D276="wagon",1,1.2)))+$AW276</f>
        <v>109</v>
      </c>
      <c r="BH276" s="14">
        <f t="shared" si="92"/>
        <v>77343.75</v>
      </c>
      <c r="BI276" s="14">
        <f t="shared" si="93"/>
        <v>8856.25</v>
      </c>
      <c r="BO276" t="s">
        <v>1148</v>
      </c>
      <c r="BP276">
        <v>3</v>
      </c>
      <c r="BS276" t="s">
        <v>283</v>
      </c>
      <c r="BT276" t="str">
        <f>VLOOKUP(G276,Eras!$A$2:$C$10, 2, TRUE)</f>
        <v>mod</v>
      </c>
      <c r="BU276" t="s">
        <v>333</v>
      </c>
      <c r="BV276" t="str">
        <f t="shared" si="94"/>
        <v>mod_EMU</v>
      </c>
      <c r="BW276" t="str">
        <f t="shared" si="95"/>
        <v>dual_electric_DUAL_POWER</v>
      </c>
      <c r="BX276" t="str">
        <f>VLOOKUP($BW276, Constants!$M:$N, 2, FALSE)</f>
        <v>{BLACK}Powered by: {GOLD}25kV AC / 750V DC</v>
      </c>
      <c r="BY276" t="str">
        <f t="shared" si="97"/>
        <v>{BLACK}Cars: {GOLD}5</v>
      </c>
      <c r="BZ276" t="s">
        <v>1291</v>
      </c>
      <c r="CA276" t="str">
        <f t="shared" si="98"/>
        <v/>
      </c>
      <c r="CB276" t="str">
        <f t="shared" si="96"/>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7" spans="1:80" x14ac:dyDescent="0.3">
      <c r="A277" t="s">
        <v>1272</v>
      </c>
      <c r="B277" t="s">
        <v>1299</v>
      </c>
      <c r="C277">
        <v>520</v>
      </c>
      <c r="D277" t="s">
        <v>404</v>
      </c>
      <c r="E277" t="s">
        <v>541</v>
      </c>
      <c r="F277" t="s">
        <v>297</v>
      </c>
      <c r="G277">
        <v>2017</v>
      </c>
      <c r="J277">
        <v>4</v>
      </c>
      <c r="K277">
        <v>3200</v>
      </c>
      <c r="L277" s="8">
        <v>2250</v>
      </c>
      <c r="T277">
        <v>243</v>
      </c>
      <c r="V277">
        <v>5</v>
      </c>
      <c r="W277">
        <v>195</v>
      </c>
      <c r="X277" s="3">
        <f t="shared" si="84"/>
        <v>8.0246913580246909E-2</v>
      </c>
      <c r="Y277">
        <v>140</v>
      </c>
      <c r="Z277">
        <f t="shared" si="81"/>
        <v>224</v>
      </c>
      <c r="AC277">
        <v>26</v>
      </c>
      <c r="AD277">
        <v>24</v>
      </c>
      <c r="AG277" s="10">
        <v>66</v>
      </c>
      <c r="AH277" t="str">
        <f>CONCATENATE(VLOOKUP(AI277, 'Voxel Sizes'!$A$2:$B$18,2,FALSE),"x",INT(AE277*15), "x", INT(AF277*15))</f>
        <v>238x0x0</v>
      </c>
      <c r="AI277">
        <f t="shared" si="85"/>
        <v>14</v>
      </c>
      <c r="AK277" t="str">
        <f>CONCATENATE(VLOOKUP(AI277,Constants!$A$2:$C$16,IF(AJ277&lt;&gt;"", 3, 2), FALSE),IF(AJ277&lt;&gt;"",CONCATENATE(",",VLOOKUP(AJ277,$B:$AK,36,FALSE)),""))</f>
        <v>4,6,4</v>
      </c>
      <c r="AL277">
        <v>12</v>
      </c>
      <c r="AO277" t="s">
        <v>1300</v>
      </c>
      <c r="AP277" t="s">
        <v>1275</v>
      </c>
      <c r="AQ277" t="s">
        <v>1126</v>
      </c>
      <c r="AR277" t="s">
        <v>1273</v>
      </c>
      <c r="AU277">
        <v>30</v>
      </c>
      <c r="AV277" s="15" t="str">
        <f t="shared" si="86"/>
        <v/>
      </c>
      <c r="AW277">
        <v>-15</v>
      </c>
      <c r="AX277">
        <v>-30</v>
      </c>
      <c r="AY277">
        <f t="shared" si="87"/>
        <v>28</v>
      </c>
      <c r="AZ277">
        <f t="shared" si="88"/>
        <v>16</v>
      </c>
      <c r="BA277">
        <f t="shared" si="89"/>
        <v>9.75</v>
      </c>
      <c r="BB277" s="3">
        <f t="shared" si="90"/>
        <v>0.84399999999999997</v>
      </c>
      <c r="BC277">
        <f t="shared" si="91"/>
        <v>8.8000000000000007</v>
      </c>
      <c r="BD277">
        <f>VLOOKUP($E277,Constants!$I:$K, 2, FALSE)</f>
        <v>0.9</v>
      </c>
      <c r="BE277">
        <f>VLOOKUP($E277,Constants!$I:$K, 3, FALSE)*IF(AND(D277="multiple_unit",Y277&lt;110),0.75,1)</f>
        <v>2.5</v>
      </c>
      <c r="BF277">
        <f>INT(POWER(((Constants!$G$2+$AY277+$AZ277+$BA277+$BC277)*$BB277)*$BE277, 1.05))+$AX277</f>
        <v>152</v>
      </c>
      <c r="BG277">
        <f>INT(POWER((((Constants!$G$1+$AY277+$AZ277+$BA277+$BC277)*($BB277))*$BD277),IF($D277="wagon",1,1.2)))+$AW277</f>
        <v>118</v>
      </c>
      <c r="BH277" s="14">
        <f t="shared" si="92"/>
        <v>118750</v>
      </c>
      <c r="BI277" s="14">
        <f t="shared" si="93"/>
        <v>9587.5</v>
      </c>
      <c r="BO277" t="s">
        <v>1148</v>
      </c>
      <c r="BP277">
        <v>10</v>
      </c>
      <c r="BQ277">
        <v>222</v>
      </c>
      <c r="BS277" t="s">
        <v>283</v>
      </c>
      <c r="BT277" t="str">
        <f>VLOOKUP(G277,Eras!$A$2:$C$10, 2, TRUE)</f>
        <v>mod</v>
      </c>
      <c r="BU277" t="s">
        <v>334</v>
      </c>
      <c r="BV277" t="str">
        <f t="shared" si="94"/>
        <v>mod_EMU (Express)</v>
      </c>
      <c r="BW277" t="str">
        <f t="shared" si="95"/>
        <v>dual_power_ELRL</v>
      </c>
      <c r="BX277" t="str">
        <f>VLOOKUP($BW277, Constants!$M:$N, 2, FALSE)</f>
        <v>{BLACK}Powered by: {GOLD}25kV AC / Diesel</v>
      </c>
      <c r="BY277" t="str">
        <f t="shared" si="97"/>
        <v>{BLACK}Cars: {GOLD}4</v>
      </c>
      <c r="BZ277" t="s">
        <v>1276</v>
      </c>
      <c r="CA277" t="str">
        <f t="shared" si="98"/>
        <v>{YELLOW}20% Bonus for long distance travel{}</v>
      </c>
      <c r="CB277" t="str">
        <f t="shared" si="9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78" spans="1:80" x14ac:dyDescent="0.3">
      <c r="A278" t="s">
        <v>1498</v>
      </c>
      <c r="B278" t="s">
        <v>1499</v>
      </c>
      <c r="C278">
        <v>522</v>
      </c>
      <c r="D278" t="s">
        <v>404</v>
      </c>
      <c r="E278" t="s">
        <v>541</v>
      </c>
      <c r="F278" t="s">
        <v>1501</v>
      </c>
      <c r="G278">
        <v>2023</v>
      </c>
      <c r="J278">
        <v>4</v>
      </c>
      <c r="K278">
        <v>2000</v>
      </c>
      <c r="L278" s="8">
        <v>970</v>
      </c>
      <c r="T278">
        <v>233</v>
      </c>
      <c r="V278">
        <v>6</v>
      </c>
      <c r="W278">
        <v>162</v>
      </c>
      <c r="X278" s="3">
        <f t="shared" si="84"/>
        <v>6.9527896995708161E-2</v>
      </c>
      <c r="Y278">
        <v>75</v>
      </c>
      <c r="Z278">
        <f t="shared" si="81"/>
        <v>120</v>
      </c>
      <c r="AA278">
        <v>100</v>
      </c>
      <c r="AC278">
        <v>16</v>
      </c>
      <c r="AD278">
        <v>16</v>
      </c>
      <c r="AE278">
        <v>2.8</v>
      </c>
      <c r="AF278">
        <v>3.8</v>
      </c>
      <c r="AG278" s="10">
        <v>45</v>
      </c>
      <c r="AH278" t="str">
        <f>CONCATENATE(VLOOKUP(AI278, 'Voxel Sizes'!$A$2:$B$18,2,FALSE),"x",INT(AE278*15), "x", INT(AF278*15))</f>
        <v>152x42x57</v>
      </c>
      <c r="AI278">
        <f t="shared" si="85"/>
        <v>9</v>
      </c>
      <c r="AK278" t="str">
        <f>CONCATENATE(VLOOKUP(AI278,Constants!$A$2:$C$16,IF(AJ278&lt;&gt;"", 3, 2), FALSE),IF(AJ278&lt;&gt;"",CONCATENATE(",",VLOOKUP(AJ278,$B:$AK,36,FALSE)),""))</f>
        <v>2,5,2</v>
      </c>
      <c r="AO278" t="s">
        <v>1506</v>
      </c>
      <c r="AQ278" t="s">
        <v>555</v>
      </c>
      <c r="AU278">
        <v>30</v>
      </c>
      <c r="AV278" s="15" t="str">
        <f t="shared" si="86"/>
        <v/>
      </c>
      <c r="AW278">
        <v>-17</v>
      </c>
      <c r="AX278">
        <v>-20</v>
      </c>
      <c r="AY278">
        <f t="shared" si="87"/>
        <v>15</v>
      </c>
      <c r="AZ278">
        <f t="shared" si="88"/>
        <v>10</v>
      </c>
      <c r="BA278">
        <f t="shared" si="89"/>
        <v>8.1000000000000014</v>
      </c>
      <c r="BB278" s="3">
        <f t="shared" si="90"/>
        <v>0.83599999999999997</v>
      </c>
      <c r="BC278">
        <f t="shared" si="91"/>
        <v>6</v>
      </c>
      <c r="BD278">
        <f>VLOOKUP($E278,Constants!$I:$K, 2, FALSE)</f>
        <v>0.9</v>
      </c>
      <c r="BE278">
        <f>VLOOKUP($E278,Constants!$I:$K, 3, FALSE)*IF(AND(D278="multiple_unit",Y278&lt;110),0.75,1)</f>
        <v>1.875</v>
      </c>
      <c r="BF278">
        <f>INT(POWER(((Constants!$G$2+$AY278+$AZ278+$BA278+$BC278)*$BB278)*$BE278, 1.05))+$AX278</f>
        <v>65</v>
      </c>
      <c r="BG278">
        <f>INT(POWER((((Constants!$G$1+$AY278+$AZ278+$BA278+$BC278)*($BB278))*$BD278),IF($D278="wagon",1,1.2)))+$AW278</f>
        <v>68</v>
      </c>
      <c r="BH278" s="14">
        <f t="shared" ref="BH278" si="99">BF278*IF($D278="wagon",62.5,781.25)</f>
        <v>50781.25</v>
      </c>
      <c r="BI278" s="14">
        <f t="shared" ref="BI278" si="100">BG278*IF($D278="wagon",2.73,81.25)</f>
        <v>5525</v>
      </c>
      <c r="BP278">
        <v>3</v>
      </c>
      <c r="BS278" t="s">
        <v>283</v>
      </c>
      <c r="BT278" t="s">
        <v>322</v>
      </c>
      <c r="BU278" t="s">
        <v>333</v>
      </c>
      <c r="BV278" t="str">
        <f t="shared" si="94"/>
        <v>mod_EMU</v>
      </c>
      <c r="BW278" t="str">
        <f t="shared" si="95"/>
        <v>dual_power_BATTERY</v>
      </c>
      <c r="BX278" t="str">
        <f>VLOOKUP($BW278, Constants!$M:$N, 2, FALSE)</f>
        <v>{BLACK}Powered by: {GOLD}750V DC / Battery</v>
      </c>
      <c r="BY278" t="str">
        <f t="shared" si="97"/>
        <v>{BLACK}Cars: {GOLD}4</v>
      </c>
      <c r="BZ278" t="s">
        <v>1504</v>
      </c>
      <c r="CA278" t="str">
        <f t="shared" si="98"/>
        <v/>
      </c>
      <c r="CB278" t="str">
        <f t="shared" si="96"/>
        <v>{BLACK}Powered by: {GOLD}750V DC / Battery {BLACK}Cars: {GOLD}4{}{SILVER}The Class 777 "METRO" is a dual-mode unit which charges a battery when on third rail power, which can be used to travel over unpowered track.</v>
      </c>
    </row>
    <row r="279" spans="1:80" x14ac:dyDescent="0.3">
      <c r="A279" t="s">
        <v>1353</v>
      </c>
      <c r="B279" t="s">
        <v>1354</v>
      </c>
      <c r="C279">
        <v>600</v>
      </c>
      <c r="D279" t="s">
        <v>281</v>
      </c>
      <c r="E279" t="s">
        <v>1108</v>
      </c>
      <c r="F279" t="s">
        <v>1381</v>
      </c>
      <c r="G279">
        <v>1700</v>
      </c>
      <c r="I279">
        <v>1860</v>
      </c>
      <c r="T279">
        <v>5</v>
      </c>
      <c r="X279" s="3" t="str">
        <f t="shared" si="84"/>
        <v/>
      </c>
      <c r="Y279">
        <v>39</v>
      </c>
      <c r="Z279">
        <f t="shared" si="81"/>
        <v>62</v>
      </c>
      <c r="AC279">
        <v>6</v>
      </c>
      <c r="AD279">
        <v>6</v>
      </c>
      <c r="AG279" s="10">
        <v>0</v>
      </c>
      <c r="AH279" t="str">
        <f>CONCATENATE(VLOOKUP(AI279, 'Voxel Sizes'!$A$2:$B$18,2,FALSE),"x",INT(AE279*15), "x", INT(AF279*15))</f>
        <v>60x0x0</v>
      </c>
      <c r="AI279">
        <f t="shared" si="85"/>
        <v>4</v>
      </c>
      <c r="AK279" t="str">
        <f>CONCATENATE(VLOOKUP(AI279,Constants!$A$2:$C$16,IF(AJ279&lt;&gt;"", 3, 2), FALSE),IF(AJ279&lt;&gt;"",CONCATENATE(",",VLOOKUP(AJ279,$B:$AK,36,FALSE)),""))</f>
        <v>1,2,1</v>
      </c>
      <c r="AU279">
        <v>30</v>
      </c>
      <c r="AV279" s="15">
        <f t="shared" si="86"/>
        <v>168</v>
      </c>
      <c r="AY279">
        <f t="shared" si="87"/>
        <v>7.8000000000000007</v>
      </c>
      <c r="AZ279">
        <f t="shared" si="88"/>
        <v>0</v>
      </c>
      <c r="BA279">
        <f t="shared" si="89"/>
        <v>0</v>
      </c>
      <c r="BB279" s="3">
        <f t="shared" si="90"/>
        <v>1</v>
      </c>
      <c r="BC279">
        <f t="shared" si="91"/>
        <v>0</v>
      </c>
      <c r="BD279">
        <f>VLOOKUP($E279,Constants!$I:$K, 2, FALSE)</f>
        <v>1</v>
      </c>
      <c r="BE279">
        <f>VLOOKUP($E279,Constants!$I:$K, 3, FALSE)*IF(AND(D279="multiple_unit",Y279&lt;110),0.75,1)</f>
        <v>0.4</v>
      </c>
      <c r="BF279">
        <f>INT(POWER(((Constants!$G$2+$AY279+$AZ279+$BA279+$BC279)*$BB279)*$BE279, 1.05))+$AX279</f>
        <v>5</v>
      </c>
      <c r="BG279">
        <f>INT(POWER((((Constants!$G$1+$AY279+$AZ279+$BA279+$BC279)*($BB279))*$BD279),IF($D279="wagon",1,1.2)))+$AW279</f>
        <v>22</v>
      </c>
      <c r="BH279" s="14">
        <f t="shared" si="92"/>
        <v>312.5</v>
      </c>
      <c r="BI279" s="14">
        <f t="shared" si="93"/>
        <v>60.06</v>
      </c>
      <c r="BP279">
        <v>7</v>
      </c>
      <c r="BR279" t="s">
        <v>1046</v>
      </c>
      <c r="BS279" t="s">
        <v>697</v>
      </c>
      <c r="BT279" t="str">
        <f>VLOOKUP(G279,Eras!$A$2:$C$10, 2, TRUE)</f>
        <v>early</v>
      </c>
      <c r="BU279" t="s">
        <v>695</v>
      </c>
      <c r="BV279" t="str">
        <f t="shared" si="94"/>
        <v>early_Extra</v>
      </c>
      <c r="BW279" t="str">
        <f t="shared" si="95"/>
        <v>brake_PLATEWAY</v>
      </c>
      <c r="BX279" t="str">
        <f>VLOOKUP($BW279, Constants!$M:$N, 2, FALSE)</f>
        <v/>
      </c>
      <c r="BY279" t="str">
        <f t="shared" si="97"/>
        <v/>
      </c>
      <c r="BZ279" t="s">
        <v>1355</v>
      </c>
      <c r="CA279" t="str">
        <f t="shared" si="98"/>
        <v>{YELLOW}Speed bonus for slow wagons{}</v>
      </c>
      <c r="CB279" t="str">
        <f t="shared" si="96"/>
        <v>{YELLOW}Speed bonus for slow wagons{}{SILVER}Early brake wagons were little more than open wagons with basic friction brakes added.</v>
      </c>
    </row>
    <row r="280" spans="1:80" x14ac:dyDescent="0.3">
      <c r="A280" t="s">
        <v>118</v>
      </c>
      <c r="B280" t="s">
        <v>206</v>
      </c>
      <c r="C280">
        <v>601</v>
      </c>
      <c r="D280" t="s">
        <v>281</v>
      </c>
      <c r="E280" t="s">
        <v>1108</v>
      </c>
      <c r="F280" t="s">
        <v>275</v>
      </c>
      <c r="G280">
        <v>1850</v>
      </c>
      <c r="I280">
        <v>1910</v>
      </c>
      <c r="T280">
        <v>10</v>
      </c>
      <c r="X280" s="3" t="str">
        <f t="shared" si="84"/>
        <v/>
      </c>
      <c r="Y280">
        <v>50</v>
      </c>
      <c r="Z280">
        <f t="shared" si="81"/>
        <v>80</v>
      </c>
      <c r="AC280">
        <v>6</v>
      </c>
      <c r="AD280">
        <v>6</v>
      </c>
      <c r="AG280" s="10">
        <v>0</v>
      </c>
      <c r="AH280" t="str">
        <f>CONCATENATE(VLOOKUP(AI280, 'Voxel Sizes'!$A$2:$B$18,2,FALSE),"x",INT(AE280*15), "x", INT(AF280*15))</f>
        <v>60x0x0</v>
      </c>
      <c r="AI280">
        <f t="shared" si="85"/>
        <v>4</v>
      </c>
      <c r="AK280" t="str">
        <f>CONCATENATE(VLOOKUP(AI280,Constants!$A$2:$C$16,IF(AJ280&lt;&gt;"", 3, 2), FALSE),IF(AJ280&lt;&gt;"",CONCATENATE(",",VLOOKUP(AJ280,$B:$AK,36,FALSE)),""))</f>
        <v>1,2,1</v>
      </c>
      <c r="AU280">
        <v>30</v>
      </c>
      <c r="AV280" s="15">
        <f t="shared" si="86"/>
        <v>68</v>
      </c>
      <c r="AY280">
        <f t="shared" si="87"/>
        <v>10</v>
      </c>
      <c r="AZ280">
        <f t="shared" si="88"/>
        <v>0</v>
      </c>
      <c r="BA280">
        <f t="shared" si="89"/>
        <v>0</v>
      </c>
      <c r="BB280" s="3">
        <f t="shared" si="90"/>
        <v>1</v>
      </c>
      <c r="BC280">
        <f t="shared" si="91"/>
        <v>0</v>
      </c>
      <c r="BD280">
        <f>VLOOKUP($E280,Constants!$I:$K, 2, FALSE)</f>
        <v>1</v>
      </c>
      <c r="BE280">
        <f>VLOOKUP($E280,Constants!$I:$K, 3, FALSE)*IF(AND(D280="multiple_unit",Y280&lt;110),0.75,1)</f>
        <v>0.4</v>
      </c>
      <c r="BF280">
        <f>INT(POWER(((Constants!$G$2+$AY280+$AZ280+$BA280+$BC280)*$BB280)*$BE280, 1.05))+$AX280</f>
        <v>6</v>
      </c>
      <c r="BG280">
        <f>INT(POWER((((Constants!$G$1+$AY280+$AZ280+$BA280+$BC280)*($BB280))*$BD280),IF($D280="wagon",1,1.2)))+$AW280</f>
        <v>25</v>
      </c>
      <c r="BH280" s="14">
        <f t="shared" si="92"/>
        <v>375</v>
      </c>
      <c r="BI280" s="14">
        <f t="shared" si="93"/>
        <v>68.25</v>
      </c>
      <c r="BP280">
        <v>7</v>
      </c>
      <c r="BR280" t="s">
        <v>1046</v>
      </c>
      <c r="BS280" t="s">
        <v>697</v>
      </c>
      <c r="BT280" t="str">
        <f>VLOOKUP(G280,Eras!$A$2:$C$10, 2, TRUE)</f>
        <v>vct</v>
      </c>
      <c r="BU280" t="s">
        <v>695</v>
      </c>
      <c r="BV280" t="str">
        <f t="shared" si="94"/>
        <v>vct_Extra</v>
      </c>
      <c r="BW280" t="str">
        <f t="shared" si="95"/>
        <v>brake_RAIL</v>
      </c>
      <c r="BX280" t="str">
        <f>VLOOKUP($BW280, Constants!$M:$N, 2, FALSE)</f>
        <v/>
      </c>
      <c r="BY280" t="str">
        <f t="shared" si="97"/>
        <v/>
      </c>
      <c r="BZ280" t="s">
        <v>1335</v>
      </c>
      <c r="CA280" t="str">
        <f t="shared" si="98"/>
        <v>{YELLOW}Speed bonus for slow wagons{}</v>
      </c>
      <c r="CB280" t="str">
        <f t="shared" si="96"/>
        <v>{YELLOW}Speed bonus for slow wagons{}{SILVER}Brake vans gave extra braking power to allow trains to run at higher speed, and also gave a place for a guard to look after the train from the rear.</v>
      </c>
    </row>
    <row r="281" spans="1:80" x14ac:dyDescent="0.3">
      <c r="A281" t="s">
        <v>116</v>
      </c>
      <c r="B281" t="s">
        <v>204</v>
      </c>
      <c r="C281">
        <v>602</v>
      </c>
      <c r="D281" t="s">
        <v>281</v>
      </c>
      <c r="E281" t="s">
        <v>1108</v>
      </c>
      <c r="F281" t="s">
        <v>275</v>
      </c>
      <c r="G281">
        <v>1894</v>
      </c>
      <c r="I281">
        <v>1970</v>
      </c>
      <c r="T281">
        <v>20</v>
      </c>
      <c r="X281" s="3" t="str">
        <f t="shared" si="84"/>
        <v/>
      </c>
      <c r="Y281">
        <v>70</v>
      </c>
      <c r="Z281">
        <f t="shared" si="81"/>
        <v>112</v>
      </c>
      <c r="AC281">
        <v>7.3</v>
      </c>
      <c r="AD281">
        <v>11</v>
      </c>
      <c r="AG281" s="10">
        <v>0</v>
      </c>
      <c r="AH281" t="str">
        <f>CONCATENATE(VLOOKUP(AI281, 'Voxel Sizes'!$A$2:$B$18,2,FALSE),"x",INT(AE281*15), "x", INT(AF281*15))</f>
        <v>102x0x0</v>
      </c>
      <c r="AI281">
        <f t="shared" si="85"/>
        <v>6</v>
      </c>
      <c r="AK281" t="str">
        <f>CONCATENATE(VLOOKUP(AI281,Constants!$A$2:$C$16,IF(AJ281&lt;&gt;"", 3, 2), FALSE),IF(AJ281&lt;&gt;"",CONCATENATE(",",VLOOKUP(AJ281,$B:$AK,36,FALSE)),""))</f>
        <v>2,2,2</v>
      </c>
      <c r="AU281">
        <v>30</v>
      </c>
      <c r="AV281" s="15">
        <f t="shared" si="86"/>
        <v>84</v>
      </c>
      <c r="AY281">
        <f t="shared" si="87"/>
        <v>14</v>
      </c>
      <c r="AZ281">
        <f t="shared" si="88"/>
        <v>0</v>
      </c>
      <c r="BA281">
        <f t="shared" si="89"/>
        <v>0</v>
      </c>
      <c r="BB281" s="3">
        <f t="shared" si="90"/>
        <v>1</v>
      </c>
      <c r="BC281">
        <f t="shared" si="91"/>
        <v>0</v>
      </c>
      <c r="BD281">
        <f>VLOOKUP($E281,Constants!$I:$K, 2, FALSE)</f>
        <v>1</v>
      </c>
      <c r="BE281">
        <f>VLOOKUP($E281,Constants!$I:$K, 3, FALSE)*IF(AND(D281="multiple_unit",Y281&lt;110),0.75,1)</f>
        <v>0.4</v>
      </c>
      <c r="BF281">
        <f>INT(POWER(((Constants!$G$2+$AY281+$AZ281+$BA281+$BC281)*$BB281)*$BE281, 1.05))+$AX281</f>
        <v>8</v>
      </c>
      <c r="BG281">
        <f>INT(POWER((((Constants!$G$1+$AY281+$AZ281+$BA281+$BC281)*($BB281))*$BD281),IF($D281="wagon",1,1.2)))+$AW281</f>
        <v>29</v>
      </c>
      <c r="BH281" s="14">
        <f t="shared" si="92"/>
        <v>500</v>
      </c>
      <c r="BI281" s="14">
        <f t="shared" si="93"/>
        <v>79.17</v>
      </c>
      <c r="BP281">
        <v>7</v>
      </c>
      <c r="BR281" t="s">
        <v>1046</v>
      </c>
      <c r="BS281" t="s">
        <v>697</v>
      </c>
      <c r="BT281" t="str">
        <f>VLOOKUP(G281,Eras!$A$2:$C$10, 2, TRUE)</f>
        <v>vct</v>
      </c>
      <c r="BU281" t="s">
        <v>695</v>
      </c>
      <c r="BV281" t="str">
        <f t="shared" si="94"/>
        <v>vct_Extra</v>
      </c>
      <c r="BW281" t="str">
        <f t="shared" si="95"/>
        <v>brake_RAIL</v>
      </c>
      <c r="BX281" t="str">
        <f>VLOOKUP($BW281, Constants!$M:$N, 2, FALSE)</f>
        <v/>
      </c>
      <c r="BY281" t="str">
        <f t="shared" si="97"/>
        <v/>
      </c>
      <c r="BZ281" t="s">
        <v>696</v>
      </c>
      <c r="CA281" t="str">
        <f t="shared" si="98"/>
        <v>{YELLOW}Speed bonus for slow wagons{}</v>
      </c>
      <c r="CB281" t="str">
        <f t="shared" si="96"/>
        <v>{YELLOW}Speed bonus for slow wagons{}{SILVER}The Great Western Railway standardised brake van designs from 1894. The distinctive design includes an open "veranda" at the back of the vehicle.</v>
      </c>
    </row>
    <row r="282" spans="1:80" x14ac:dyDescent="0.3">
      <c r="A282" t="s">
        <v>117</v>
      </c>
      <c r="B282" t="s">
        <v>205</v>
      </c>
      <c r="C282">
        <v>604</v>
      </c>
      <c r="D282" t="s">
        <v>281</v>
      </c>
      <c r="E282" t="s">
        <v>1108</v>
      </c>
      <c r="F282" t="s">
        <v>275</v>
      </c>
      <c r="G282">
        <v>1941</v>
      </c>
      <c r="I282">
        <v>1970</v>
      </c>
      <c r="T282">
        <v>20</v>
      </c>
      <c r="X282" s="3" t="str">
        <f t="shared" si="84"/>
        <v/>
      </c>
      <c r="Y282">
        <v>70</v>
      </c>
      <c r="Z282">
        <f t="shared" si="81"/>
        <v>112</v>
      </c>
      <c r="AC282">
        <v>7.3</v>
      </c>
      <c r="AD282">
        <v>11</v>
      </c>
      <c r="AG282" s="10">
        <v>0</v>
      </c>
      <c r="AH282" t="str">
        <f>CONCATENATE(VLOOKUP(AI282, 'Voxel Sizes'!$A$2:$B$18,2,FALSE),"x",INT(AE282*15), "x", INT(AF282*15))</f>
        <v>102x0x0</v>
      </c>
      <c r="AI282">
        <f t="shared" si="85"/>
        <v>6</v>
      </c>
      <c r="AK282" t="str">
        <f>CONCATENATE(VLOOKUP(AI282,Constants!$A$2:$C$16,IF(AJ282&lt;&gt;"", 3, 2), FALSE),IF(AJ282&lt;&gt;"",CONCATENATE(",",VLOOKUP(AJ282,$B:$AK,36,FALSE)),""))</f>
        <v>2,2,2</v>
      </c>
      <c r="AU282">
        <v>30</v>
      </c>
      <c r="AV282" s="15">
        <f t="shared" si="86"/>
        <v>37</v>
      </c>
      <c r="AY282">
        <f t="shared" si="87"/>
        <v>14</v>
      </c>
      <c r="AZ282">
        <f t="shared" si="88"/>
        <v>0</v>
      </c>
      <c r="BA282">
        <f t="shared" si="89"/>
        <v>0</v>
      </c>
      <c r="BB282" s="3">
        <f t="shared" si="90"/>
        <v>0.94533333333333336</v>
      </c>
      <c r="BC282">
        <f t="shared" si="91"/>
        <v>0</v>
      </c>
      <c r="BD282">
        <f>VLOOKUP($E282,Constants!$I:$K, 2, FALSE)</f>
        <v>1</v>
      </c>
      <c r="BE282">
        <f>VLOOKUP($E282,Constants!$I:$K, 3, FALSE)*IF(AND(D282="multiple_unit",Y282&lt;110),0.75,1)</f>
        <v>0.4</v>
      </c>
      <c r="BF282">
        <f>INT(POWER(((Constants!$G$2+$AY282+$AZ282+$BA282+$BC282)*$BB282)*$BE282, 1.05))+$AX282</f>
        <v>7</v>
      </c>
      <c r="BG282">
        <f>INT(POWER((((Constants!$G$1+$AY282+$AZ282+$BA282+$BC282)*($BB282))*$BD282),IF($D282="wagon",1,1.2)))+$AW282</f>
        <v>27</v>
      </c>
      <c r="BH282" s="14">
        <f t="shared" si="92"/>
        <v>437.5</v>
      </c>
      <c r="BI282" s="14">
        <f t="shared" si="93"/>
        <v>73.709999999999994</v>
      </c>
      <c r="BP282">
        <v>8</v>
      </c>
      <c r="BR282" t="s">
        <v>1046</v>
      </c>
      <c r="BS282" t="s">
        <v>697</v>
      </c>
      <c r="BT282" t="str">
        <f>VLOOKUP(G282,Eras!$A$2:$C$10, 2, TRUE)</f>
        <v>big4</v>
      </c>
      <c r="BU282" t="s">
        <v>695</v>
      </c>
      <c r="BV282" t="str">
        <f t="shared" si="94"/>
        <v>big4_Extra</v>
      </c>
      <c r="BW282" t="str">
        <f t="shared" si="95"/>
        <v>brake_RAIL</v>
      </c>
      <c r="BX282" t="str">
        <f>VLOOKUP($BW282, Constants!$M:$N, 2, FALSE)</f>
        <v/>
      </c>
      <c r="BY282" t="str">
        <f t="shared" si="97"/>
        <v/>
      </c>
      <c r="BZ282" t="s">
        <v>708</v>
      </c>
      <c r="CA282" t="str">
        <f t="shared" si="98"/>
        <v>{YELLOW}Speed bonus for slow wagons{}</v>
      </c>
      <c r="CB282" t="str">
        <f t="shared" si="96"/>
        <v>{YELLOW}Speed bonus for slow wagons{}{SILVER}BR inherited a large number of brake vans from the Big Four, but quickly set about introducing their own standard model based on 1940s LNER practice.</v>
      </c>
    </row>
    <row r="283" spans="1:80" x14ac:dyDescent="0.3">
      <c r="A283" t="s">
        <v>95</v>
      </c>
      <c r="B283" t="s">
        <v>229</v>
      </c>
      <c r="C283">
        <v>700</v>
      </c>
      <c r="D283" t="s">
        <v>263</v>
      </c>
      <c r="E283" t="s">
        <v>1109</v>
      </c>
      <c r="F283" t="s">
        <v>1411</v>
      </c>
      <c r="G283">
        <v>1889</v>
      </c>
      <c r="I283">
        <v>1923</v>
      </c>
      <c r="K283">
        <v>100</v>
      </c>
      <c r="T283">
        <v>15</v>
      </c>
      <c r="W283">
        <v>22</v>
      </c>
      <c r="X283" s="3">
        <f t="shared" si="84"/>
        <v>0.14666666666666667</v>
      </c>
      <c r="Y283">
        <v>25</v>
      </c>
      <c r="Z283">
        <f t="shared" ref="Z283:Z302" si="101">ROUND(Y283*1.6, 0)</f>
        <v>40</v>
      </c>
      <c r="AD283">
        <v>8</v>
      </c>
      <c r="AH283" t="str">
        <f>CONCATENATE(VLOOKUP(AI283, 'Voxel Sizes'!$A$2:$B$18,2,FALSE),"x",INT(AE283*15), "x", INT(AF283*15))</f>
        <v>82x0x0</v>
      </c>
      <c r="AI283">
        <f t="shared" si="85"/>
        <v>5</v>
      </c>
      <c r="AK283" t="str">
        <f>CONCATENATE(VLOOKUP(AI283,Constants!$A$2:$C$16,IF(AJ283&lt;&gt;"", 3, 2), FALSE),IF(AJ283&lt;&gt;"",CONCATENATE(",",VLOOKUP(AJ283,$B:$AK,36,FALSE)),""))</f>
        <v>2,1,2</v>
      </c>
      <c r="AU283">
        <v>29</v>
      </c>
      <c r="AV283" s="15">
        <f t="shared" si="86"/>
        <v>42</v>
      </c>
      <c r="AY283">
        <f t="shared" si="87"/>
        <v>5</v>
      </c>
      <c r="AZ283">
        <f t="shared" si="88"/>
        <v>0.5</v>
      </c>
      <c r="BA283">
        <f t="shared" si="89"/>
        <v>1.1000000000000001</v>
      </c>
      <c r="BB283" s="3">
        <f t="shared" si="90"/>
        <v>1</v>
      </c>
      <c r="BC283">
        <f t="shared" si="91"/>
        <v>0</v>
      </c>
      <c r="BD283">
        <f>VLOOKUP($E283,Constants!$I:$K, 2, FALSE)</f>
        <v>0.9</v>
      </c>
      <c r="BE283">
        <f>VLOOKUP($E283,Constants!$I:$K, 3, FALSE)*IF(AND(D283="multiple_unit",Y283&lt;110),0.75,1)</f>
        <v>1.6</v>
      </c>
      <c r="BF283">
        <f>INT(POWER(((Constants!$G$2+$AY283+$AZ283+$BA283+$BC283)*$BB283)*$BE283, 1.05))+$AX283</f>
        <v>21</v>
      </c>
      <c r="BG283">
        <f>INT(POWER((((Constants!$G$1+$AY283+$AZ283+$BA283+$BC283)*($BB283))*$BD283),IF($D283="wagon",1,1.2)))+$AW283</f>
        <v>35</v>
      </c>
      <c r="BH283" s="14">
        <f t="shared" si="92"/>
        <v>16406.25</v>
      </c>
      <c r="BI283" s="14">
        <f t="shared" si="93"/>
        <v>2843.75</v>
      </c>
      <c r="BP283">
        <v>1</v>
      </c>
      <c r="BT283" t="str">
        <f>VLOOKUP(G283,Eras!$A$2:$C$10, 2, TRUE)</f>
        <v>vct</v>
      </c>
      <c r="BU283" t="s">
        <v>345</v>
      </c>
      <c r="BV283" t="str">
        <f t="shared" si="94"/>
        <v>vct_LU</v>
      </c>
      <c r="BW283" t="str">
        <f t="shared" si="95"/>
        <v>tube_FOURTH_RAIL</v>
      </c>
      <c r="BX283" t="str">
        <f>VLOOKUP($BW283, Constants!$M:$N, 2, FALSE)</f>
        <v>{BLACK}Powered by: {GOLD}630V DC</v>
      </c>
      <c r="BY283" t="str">
        <f t="shared" si="97"/>
        <v/>
      </c>
      <c r="BZ283" t="s">
        <v>1458</v>
      </c>
      <c r="CA283" t="str">
        <f t="shared" si="98"/>
        <v/>
      </c>
      <c r="CB283" t="str">
        <f t="shared" si="96"/>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4" spans="1:80" x14ac:dyDescent="0.3">
      <c r="A284" t="s">
        <v>96</v>
      </c>
      <c r="B284" t="s">
        <v>191</v>
      </c>
      <c r="C284">
        <v>702</v>
      </c>
      <c r="D284" t="s">
        <v>404</v>
      </c>
      <c r="E284" t="s">
        <v>1109</v>
      </c>
      <c r="F284" t="s">
        <v>1411</v>
      </c>
      <c r="G284">
        <v>1906</v>
      </c>
      <c r="I284">
        <v>1953</v>
      </c>
      <c r="J284">
        <v>3</v>
      </c>
      <c r="K284">
        <v>350</v>
      </c>
      <c r="T284">
        <f>27+20+20</f>
        <v>67</v>
      </c>
      <c r="V284">
        <v>8</v>
      </c>
      <c r="W284">
        <v>55</v>
      </c>
      <c r="X284" s="3">
        <f t="shared" si="84"/>
        <v>8.2089552238805971E-2</v>
      </c>
      <c r="Y284">
        <v>35</v>
      </c>
      <c r="Z284">
        <f t="shared" si="101"/>
        <v>56</v>
      </c>
      <c r="AC284">
        <v>15.3</v>
      </c>
      <c r="AD284">
        <v>15.3</v>
      </c>
      <c r="AE284">
        <v>2.67</v>
      </c>
      <c r="AF284">
        <v>2.8</v>
      </c>
      <c r="AG284" s="10">
        <v>78</v>
      </c>
      <c r="AH284" t="str">
        <f>CONCATENATE(VLOOKUP(AI284, 'Voxel Sizes'!$A$2:$B$18,2,FALSE),"x",INT(AE284*15), "x", INT(AF284*15))</f>
        <v>152x40x42</v>
      </c>
      <c r="AI284">
        <f t="shared" si="85"/>
        <v>9</v>
      </c>
      <c r="AK284" t="str">
        <f>CONCATENATE(VLOOKUP(AI284,Constants!$A$2:$C$16,IF(AJ284&lt;&gt;"", 3, 2), FALSE),IF(AJ284&lt;&gt;"",CONCATENATE(",",VLOOKUP(AJ284,$B:$AK,36,FALSE)),""))</f>
        <v>2,5,2</v>
      </c>
      <c r="AO284" t="s">
        <v>1460</v>
      </c>
      <c r="AQ284" t="s">
        <v>292</v>
      </c>
      <c r="AU284">
        <v>34</v>
      </c>
      <c r="AV284" s="15">
        <f t="shared" si="86"/>
        <v>55</v>
      </c>
      <c r="AY284">
        <f t="shared" si="87"/>
        <v>7</v>
      </c>
      <c r="AZ284">
        <f t="shared" si="88"/>
        <v>1.75</v>
      </c>
      <c r="BA284">
        <f t="shared" si="89"/>
        <v>2.75</v>
      </c>
      <c r="BB284" s="3">
        <f t="shared" si="90"/>
        <v>0.99199999999999999</v>
      </c>
      <c r="BC284">
        <f t="shared" si="91"/>
        <v>7.8000000000000007</v>
      </c>
      <c r="BD284">
        <f>VLOOKUP($E284,Constants!$I:$K, 2, FALSE)</f>
        <v>0.9</v>
      </c>
      <c r="BE284">
        <f>VLOOKUP($E284,Constants!$I:$K, 3, FALSE)*IF(AND(D284="multiple_unit",Y284&lt;110),0.75,1)</f>
        <v>1.2000000000000002</v>
      </c>
      <c r="BF284">
        <f>INT(POWER(((Constants!$G$2+$AY284+$AZ284+$BA284+$BC284)*$BB284)*$BE284, 1.05))+$AX284</f>
        <v>34</v>
      </c>
      <c r="BG284">
        <f>INT(POWER((((Constants!$G$1+$AY284+$AZ284+$BA284+$BC284)*($BB284))*$BD284),IF($D284="wagon",1,1.2)))+$AW284</f>
        <v>60</v>
      </c>
      <c r="BH284" s="14">
        <f t="shared" si="92"/>
        <v>26562.5</v>
      </c>
      <c r="BI284" s="14">
        <f t="shared" si="93"/>
        <v>4875</v>
      </c>
      <c r="BP284">
        <v>2</v>
      </c>
      <c r="BQ284">
        <v>120</v>
      </c>
      <c r="BS284" t="s">
        <v>283</v>
      </c>
      <c r="BT284" t="str">
        <f>VLOOKUP(G284,Eras!$A$2:$C$10, 2, TRUE)</f>
        <v>edw</v>
      </c>
      <c r="BU284" t="s">
        <v>345</v>
      </c>
      <c r="BV284" t="str">
        <f t="shared" si="94"/>
        <v>edw_LU</v>
      </c>
      <c r="BW284" t="str">
        <f t="shared" si="95"/>
        <v>tube_FOURTH_RAIL</v>
      </c>
      <c r="BX284" t="str">
        <f>VLOOKUP($BW284, Constants!$M:$N, 2, FALSE)</f>
        <v>{BLACK}Powered by: {GOLD}630V DC</v>
      </c>
      <c r="BY284" t="str">
        <f t="shared" si="97"/>
        <v>{BLACK}Cars: {GOLD}3</v>
      </c>
      <c r="BZ284" t="s">
        <v>1461</v>
      </c>
      <c r="CA284" t="str">
        <f t="shared" si="98"/>
        <v>{YELLOW}35% Penalty for long distance travel{}</v>
      </c>
      <c r="CB284" t="str">
        <f t="shared" si="96"/>
        <v>{BLACK}Powered by: {GOLD}630V DC {BLACK}Cars: {GOLD}3{}{YELLOW}35% Penalty for long distance travel{}{SILVER}The Gate Stock was a deep level unit used on Charles Yerkes' Tube lines. It was named for the manual entry gates, each operated by a gateman.</v>
      </c>
    </row>
    <row r="285" spans="1:80" x14ac:dyDescent="0.3">
      <c r="A285" t="s">
        <v>97</v>
      </c>
      <c r="B285" t="s">
        <v>192</v>
      </c>
      <c r="C285">
        <v>704</v>
      </c>
      <c r="D285" t="s">
        <v>404</v>
      </c>
      <c r="E285" t="s">
        <v>1109</v>
      </c>
      <c r="F285" t="s">
        <v>1411</v>
      </c>
      <c r="G285">
        <v>1923</v>
      </c>
      <c r="I285">
        <v>1991</v>
      </c>
      <c r="J285">
        <v>3</v>
      </c>
      <c r="K285">
        <v>450</v>
      </c>
      <c r="T285">
        <v>74</v>
      </c>
      <c r="V285">
        <v>10</v>
      </c>
      <c r="W285">
        <v>60</v>
      </c>
      <c r="X285" s="3">
        <f t="shared" si="84"/>
        <v>8.1081081081081086E-2</v>
      </c>
      <c r="Y285">
        <v>40</v>
      </c>
      <c r="Z285">
        <f t="shared" si="101"/>
        <v>64</v>
      </c>
      <c r="AC285">
        <v>15.3</v>
      </c>
      <c r="AD285">
        <v>15.3</v>
      </c>
      <c r="AE285">
        <v>2.67</v>
      </c>
      <c r="AF285">
        <v>2.8</v>
      </c>
      <c r="AG285" s="10">
        <v>84</v>
      </c>
      <c r="AH285" t="str">
        <f>CONCATENATE(VLOOKUP(AI285, 'Voxel Sizes'!$A$2:$B$18,2,FALSE),"x",INT(AE285*15), "x", INT(AF285*15))</f>
        <v>152x40x42</v>
      </c>
      <c r="AI285">
        <f t="shared" si="85"/>
        <v>9</v>
      </c>
      <c r="AK285" t="str">
        <f>CONCATENATE(VLOOKUP(AI285,Constants!$A$2:$C$16,IF(AJ285&lt;&gt;"", 3, 2), FALSE),IF(AJ285&lt;&gt;"",CONCATENATE(",",VLOOKUP(AJ285,$B:$AK,36,FALSE)),""))</f>
        <v>2,5,2</v>
      </c>
      <c r="AO285" t="s">
        <v>1462</v>
      </c>
      <c r="AQ285" t="s">
        <v>292</v>
      </c>
      <c r="AU285">
        <v>41</v>
      </c>
      <c r="AV285" s="15">
        <f t="shared" si="86"/>
        <v>76</v>
      </c>
      <c r="AY285">
        <f t="shared" si="87"/>
        <v>8</v>
      </c>
      <c r="AZ285">
        <f t="shared" si="88"/>
        <v>2.25</v>
      </c>
      <c r="BA285">
        <f t="shared" si="89"/>
        <v>3</v>
      </c>
      <c r="BB285" s="3">
        <f t="shared" si="90"/>
        <v>0.96933333333333338</v>
      </c>
      <c r="BC285">
        <f t="shared" si="91"/>
        <v>8.4</v>
      </c>
      <c r="BD285">
        <f>VLOOKUP($E285,Constants!$I:$K, 2, FALSE)</f>
        <v>0.9</v>
      </c>
      <c r="BE285">
        <f>VLOOKUP($E285,Constants!$I:$K, 3, FALSE)*IF(AND(D285="multiple_unit",Y285&lt;110),0.75,1)</f>
        <v>1.2000000000000002</v>
      </c>
      <c r="BF285">
        <f>INT(POWER(((Constants!$G$2+$AY285+$AZ285+$BA285+$BC285)*$BB285)*$BE285, 1.05))+$AX285</f>
        <v>36</v>
      </c>
      <c r="BG285">
        <f>INT(POWER((((Constants!$G$1+$AY285+$AZ285+$BA285+$BC285)*($BB285))*$BD285),IF($D285="wagon",1,1.2)))+$AW285</f>
        <v>63</v>
      </c>
      <c r="BH285" s="14">
        <f t="shared" si="92"/>
        <v>28125</v>
      </c>
      <c r="BI285" s="14">
        <f t="shared" si="93"/>
        <v>5118.75</v>
      </c>
      <c r="BP285">
        <v>3</v>
      </c>
      <c r="BQ285">
        <v>120</v>
      </c>
      <c r="BS285" t="s">
        <v>283</v>
      </c>
      <c r="BT285" t="str">
        <f>VLOOKUP(G285,Eras!$A$2:$C$10, 2, TRUE)</f>
        <v>big4</v>
      </c>
      <c r="BU285" t="s">
        <v>345</v>
      </c>
      <c r="BV285" t="str">
        <f t="shared" si="94"/>
        <v>big4_LU</v>
      </c>
      <c r="BW285" t="str">
        <f t="shared" si="95"/>
        <v>tube_FOURTH_RAIL</v>
      </c>
      <c r="BX285" t="str">
        <f>VLOOKUP($BW285, Constants!$M:$N, 2, FALSE)</f>
        <v>{BLACK}Powered by: {GOLD}630V DC</v>
      </c>
      <c r="BY285" t="str">
        <f t="shared" si="97"/>
        <v>{BLACK}Cars: {GOLD}3</v>
      </c>
      <c r="BZ285" t="s">
        <v>1463</v>
      </c>
      <c r="CA285" t="str">
        <f t="shared" si="98"/>
        <v>{YELLOW}35% Penalty for long distance travel{}</v>
      </c>
      <c r="CB285" t="str">
        <f t="shared" si="96"/>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6" spans="1:80" x14ac:dyDescent="0.3">
      <c r="A286" t="s">
        <v>98</v>
      </c>
      <c r="B286" t="s">
        <v>252</v>
      </c>
      <c r="C286">
        <v>708</v>
      </c>
      <c r="D286" t="s">
        <v>404</v>
      </c>
      <c r="E286" t="s">
        <v>1109</v>
      </c>
      <c r="F286" t="s">
        <v>1411</v>
      </c>
      <c r="G286">
        <v>1937</v>
      </c>
      <c r="I286">
        <v>1981</v>
      </c>
      <c r="J286">
        <v>3</v>
      </c>
      <c r="K286">
        <v>500</v>
      </c>
      <c r="T286">
        <v>79</v>
      </c>
      <c r="V286">
        <v>10</v>
      </c>
      <c r="W286">
        <v>60</v>
      </c>
      <c r="X286" s="3">
        <f t="shared" si="84"/>
        <v>7.5949367088607597E-2</v>
      </c>
      <c r="Y286">
        <v>42</v>
      </c>
      <c r="Z286">
        <f t="shared" si="101"/>
        <v>67</v>
      </c>
      <c r="AC286">
        <v>16</v>
      </c>
      <c r="AD286">
        <v>16</v>
      </c>
      <c r="AE286">
        <v>2.92</v>
      </c>
      <c r="AF286">
        <v>3.68</v>
      </c>
      <c r="AG286" s="10">
        <v>129</v>
      </c>
      <c r="AH286" t="str">
        <f>CONCATENATE(VLOOKUP(AI286, 'Voxel Sizes'!$A$2:$B$18,2,FALSE),"x",INT(AE286*15), "x", INT(AF286*15))</f>
        <v>152x43x55</v>
      </c>
      <c r="AI286">
        <f t="shared" si="85"/>
        <v>9</v>
      </c>
      <c r="AK286" t="str">
        <f>CONCATENATE(VLOOKUP(AI286,Constants!$A$2:$C$16,IF(AJ286&lt;&gt;"", 3, 2), FALSE),IF(AJ286&lt;&gt;"",CONCATENATE(",",VLOOKUP(AJ286,$B:$AK,36,FALSE)),""))</f>
        <v>2,5,2</v>
      </c>
      <c r="AO286" t="s">
        <v>1464</v>
      </c>
      <c r="AQ286" t="s">
        <v>292</v>
      </c>
      <c r="AU286">
        <v>39</v>
      </c>
      <c r="AV286" s="15">
        <f t="shared" si="86"/>
        <v>52</v>
      </c>
      <c r="AW286">
        <v>3</v>
      </c>
      <c r="AX286">
        <v>6</v>
      </c>
      <c r="AY286">
        <f t="shared" si="87"/>
        <v>8.4</v>
      </c>
      <c r="AZ286">
        <f t="shared" si="88"/>
        <v>2.5</v>
      </c>
      <c r="BA286">
        <f t="shared" si="89"/>
        <v>3</v>
      </c>
      <c r="BB286" s="3">
        <f t="shared" si="90"/>
        <v>0.95066666666666666</v>
      </c>
      <c r="BC286">
        <f t="shared" si="91"/>
        <v>12.9</v>
      </c>
      <c r="BD286">
        <f>VLOOKUP($E286,Constants!$I:$K, 2, FALSE)</f>
        <v>0.9</v>
      </c>
      <c r="BE286">
        <f>VLOOKUP($E286,Constants!$I:$K, 3, FALSE)*IF(AND(D286="multiple_unit",Y286&lt;110),0.75,1)</f>
        <v>1.2000000000000002</v>
      </c>
      <c r="BF286">
        <f>INT(POWER(((Constants!$G$2+$AY286+$AZ286+$BA286+$BC286)*$BB286)*$BE286, 1.05))+$AX286</f>
        <v>49</v>
      </c>
      <c r="BG286">
        <f>INT(POWER((((Constants!$G$1+$AY286+$AZ286+$BA286+$BC286)*($BB286))*$BD286),IF($D286="wagon",1,1.2)))+$AW286</f>
        <v>76</v>
      </c>
      <c r="BH286" s="14">
        <f t="shared" si="92"/>
        <v>38281.25</v>
      </c>
      <c r="BI286" s="14">
        <f t="shared" si="93"/>
        <v>6175</v>
      </c>
      <c r="BP286">
        <v>5</v>
      </c>
      <c r="BQ286">
        <v>120</v>
      </c>
      <c r="BS286" t="s">
        <v>283</v>
      </c>
      <c r="BT286" t="str">
        <f>VLOOKUP(G286,Eras!$A$2:$C$10, 2, TRUE)</f>
        <v>big4</v>
      </c>
      <c r="BU286" t="s">
        <v>345</v>
      </c>
      <c r="BV286" t="str">
        <f t="shared" si="94"/>
        <v>big4_LU</v>
      </c>
      <c r="BW286" t="str">
        <f t="shared" si="95"/>
        <v>tube_FOURTH_RAIL</v>
      </c>
      <c r="BX286" t="str">
        <f>VLOOKUP($BW286, Constants!$M:$N, 2, FALSE)</f>
        <v>{BLACK}Powered by: {GOLD}630V DC</v>
      </c>
      <c r="BY286" t="str">
        <f t="shared" si="97"/>
        <v>{BLACK}Cars: {GOLD}3</v>
      </c>
      <c r="BZ286" t="s">
        <v>1465</v>
      </c>
      <c r="CA286" t="str">
        <f t="shared" si="98"/>
        <v>{YELLOW}35% Penalty for long distance travel{}</v>
      </c>
      <c r="CB286" t="str">
        <f t="shared" si="96"/>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7" spans="1:80" x14ac:dyDescent="0.3">
      <c r="A287" t="s">
        <v>1410</v>
      </c>
      <c r="B287" t="s">
        <v>190</v>
      </c>
      <c r="C287">
        <v>720</v>
      </c>
      <c r="D287" t="s">
        <v>404</v>
      </c>
      <c r="E287" t="s">
        <v>1109</v>
      </c>
      <c r="F287" t="s">
        <v>1411</v>
      </c>
      <c r="G287">
        <v>1903</v>
      </c>
      <c r="H287">
        <v>1939</v>
      </c>
      <c r="I287">
        <v>1939</v>
      </c>
      <c r="J287">
        <v>6</v>
      </c>
      <c r="K287">
        <v>400</v>
      </c>
      <c r="T287">
        <f>(14*6)+20</f>
        <v>104</v>
      </c>
      <c r="V287">
        <v>10</v>
      </c>
      <c r="W287">
        <v>100</v>
      </c>
      <c r="X287" s="3">
        <f t="shared" si="84"/>
        <v>9.6153846153846159E-2</v>
      </c>
      <c r="Y287">
        <v>30</v>
      </c>
      <c r="Z287">
        <f t="shared" si="101"/>
        <v>48</v>
      </c>
      <c r="AC287">
        <v>13.87</v>
      </c>
      <c r="AD287">
        <v>13.8</v>
      </c>
      <c r="AE287">
        <v>2.59</v>
      </c>
      <c r="AG287" s="10">
        <v>102</v>
      </c>
      <c r="AH287" t="str">
        <f>CONCATENATE(VLOOKUP(AI287, 'Voxel Sizes'!$A$2:$B$18,2,FALSE),"x",INT(AE287*15), "x", INT(AF287*15))</f>
        <v>136x38x0</v>
      </c>
      <c r="AI287">
        <f t="shared" si="85"/>
        <v>8</v>
      </c>
      <c r="AK287" t="str">
        <f>CONCATENATE(VLOOKUP(AI287,Constants!$A$2:$C$16,IF(AJ287&lt;&gt;"", 3, 2), FALSE),IF(AJ287&lt;&gt;"",CONCATENATE(",",VLOOKUP(AJ287,$B:$AK,36,FALSE)),""))</f>
        <v>2,4,2</v>
      </c>
      <c r="AO287" t="s">
        <v>1415</v>
      </c>
      <c r="AQ287" t="s">
        <v>527</v>
      </c>
      <c r="AU287">
        <v>34</v>
      </c>
      <c r="AV287" s="15">
        <f t="shared" si="86"/>
        <v>44</v>
      </c>
      <c r="AY287">
        <f t="shared" si="87"/>
        <v>6</v>
      </c>
      <c r="AZ287">
        <f t="shared" si="88"/>
        <v>2</v>
      </c>
      <c r="BA287">
        <f t="shared" si="89"/>
        <v>5</v>
      </c>
      <c r="BB287" s="3">
        <f t="shared" si="90"/>
        <v>0.996</v>
      </c>
      <c r="BC287">
        <f t="shared" si="91"/>
        <v>20.399999999999999</v>
      </c>
      <c r="BD287">
        <f>VLOOKUP($E287,Constants!$I:$K, 2, FALSE)</f>
        <v>0.9</v>
      </c>
      <c r="BE287">
        <f>VLOOKUP($E287,Constants!$I:$K, 3, FALSE)*IF(AND(D287="multiple_unit",Y287&lt;110),0.75,1)</f>
        <v>1.2000000000000002</v>
      </c>
      <c r="BF287">
        <f>INT(POWER(((Constants!$G$2+$AY287+$AZ287+$BA287+$BC287)*$BB287)*$BE287, 1.05))+$AX287</f>
        <v>55</v>
      </c>
      <c r="BG287">
        <f>INT(POWER((((Constants!$G$1+$AY287+$AZ287+$BA287+$BC287)*($BB287))*$BD287),IF($D287="wagon",1,1.2)))+$AW287</f>
        <v>92</v>
      </c>
      <c r="BH287" s="14">
        <f t="shared" si="92"/>
        <v>42968.75</v>
      </c>
      <c r="BI287" s="14">
        <f t="shared" si="93"/>
        <v>7475</v>
      </c>
      <c r="BP287">
        <v>3</v>
      </c>
      <c r="BQ287">
        <v>120</v>
      </c>
      <c r="BS287" t="s">
        <v>283</v>
      </c>
      <c r="BT287" t="str">
        <f>VLOOKUP(G287,Eras!$A$2:$C$10, 2, TRUE)</f>
        <v>edw</v>
      </c>
      <c r="BU287" t="s">
        <v>345</v>
      </c>
      <c r="BV287" t="str">
        <f t="shared" si="94"/>
        <v>edw_LU</v>
      </c>
      <c r="BW287" t="str">
        <f t="shared" si="95"/>
        <v>tube_FOURTH_RAIL</v>
      </c>
      <c r="BX287" t="str">
        <f>VLOOKUP($BW287, Constants!$M:$N, 2, FALSE)</f>
        <v>{BLACK}Powered by: {GOLD}630V DC</v>
      </c>
      <c r="BY287" t="str">
        <f t="shared" si="97"/>
        <v>{BLACK}Cars: {GOLD}6</v>
      </c>
      <c r="BZ287" t="s">
        <v>1414</v>
      </c>
      <c r="CA287" t="str">
        <f t="shared" si="98"/>
        <v>{YELLOW}35% Penalty for long distance travel{}</v>
      </c>
      <c r="CB287" t="str">
        <f t="shared" si="96"/>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88" spans="1:80" x14ac:dyDescent="0.3">
      <c r="A288" t="s">
        <v>99</v>
      </c>
      <c r="B288" t="s">
        <v>193</v>
      </c>
      <c r="C288">
        <v>722</v>
      </c>
      <c r="D288" t="s">
        <v>404</v>
      </c>
      <c r="E288" t="s">
        <v>1109</v>
      </c>
      <c r="F288" t="s">
        <v>1411</v>
      </c>
      <c r="G288">
        <v>1938</v>
      </c>
      <c r="I288">
        <v>2020</v>
      </c>
      <c r="J288">
        <v>7</v>
      </c>
      <c r="K288">
        <v>650</v>
      </c>
      <c r="T288">
        <v>161</v>
      </c>
      <c r="V288">
        <v>10</v>
      </c>
      <c r="W288">
        <v>130</v>
      </c>
      <c r="X288" s="3">
        <f t="shared" si="84"/>
        <v>8.0745341614906832E-2</v>
      </c>
      <c r="Y288">
        <v>45</v>
      </c>
      <c r="Z288">
        <f t="shared" si="101"/>
        <v>72</v>
      </c>
      <c r="AC288">
        <v>15.8</v>
      </c>
      <c r="AD288">
        <v>15.8</v>
      </c>
      <c r="AE288">
        <v>2.59</v>
      </c>
      <c r="AF288">
        <v>2.883</v>
      </c>
      <c r="AG288" s="10">
        <v>108</v>
      </c>
      <c r="AH288" t="str">
        <f>CONCATENATE(VLOOKUP(AI288, 'Voxel Sizes'!$A$2:$B$18,2,FALSE),"x",INT(AE288*15), "x", INT(AF288*15))</f>
        <v>152x38x43</v>
      </c>
      <c r="AI288">
        <f t="shared" si="85"/>
        <v>9</v>
      </c>
      <c r="AK288" t="str">
        <f>CONCATENATE(VLOOKUP(AI288,Constants!$A$2:$C$16,IF(AJ288&lt;&gt;"", 3, 2), FALSE),IF(AJ288&lt;&gt;"",CONCATENATE(",",VLOOKUP(AJ288,$B:$AK,36,FALSE)),""))</f>
        <v>2,5,2</v>
      </c>
      <c r="AO288" t="s">
        <v>1416</v>
      </c>
      <c r="AQ288" t="s">
        <v>1417</v>
      </c>
      <c r="AU288">
        <v>40</v>
      </c>
      <c r="AV288" s="15">
        <f t="shared" si="86"/>
        <v>90</v>
      </c>
      <c r="AY288">
        <f t="shared" si="87"/>
        <v>9</v>
      </c>
      <c r="AZ288">
        <f t="shared" si="88"/>
        <v>3.25</v>
      </c>
      <c r="BA288">
        <f t="shared" si="89"/>
        <v>6.5</v>
      </c>
      <c r="BB288" s="3">
        <f t="shared" si="90"/>
        <v>0.94933333333333336</v>
      </c>
      <c r="BC288">
        <f t="shared" si="91"/>
        <v>25.2</v>
      </c>
      <c r="BD288">
        <f>VLOOKUP($E288,Constants!$I:$K, 2, FALSE)</f>
        <v>0.9</v>
      </c>
      <c r="BE288">
        <f>VLOOKUP($E288,Constants!$I:$K, 3, FALSE)*IF(AND(D288="multiple_unit",Y288&lt;110),0.75,1)</f>
        <v>1.2000000000000002</v>
      </c>
      <c r="BF288">
        <f>INT(POWER(((Constants!$G$2+$AY288+$AZ288+$BA288+$BC288)*$BB288)*$BE288, 1.05))+$AX288</f>
        <v>68</v>
      </c>
      <c r="BG288">
        <f>INT(POWER((((Constants!$G$1+$AY288+$AZ288+$BA288+$BC288)*($BB288))*$BD288),IF($D288="wagon",1,1.2)))+$AW288</f>
        <v>110</v>
      </c>
      <c r="BH288" s="14">
        <f t="shared" si="92"/>
        <v>53125</v>
      </c>
      <c r="BI288" s="14">
        <f t="shared" si="93"/>
        <v>8937.5</v>
      </c>
      <c r="BP288">
        <v>4</v>
      </c>
      <c r="BQ288">
        <v>120</v>
      </c>
      <c r="BS288" t="s">
        <v>283</v>
      </c>
      <c r="BT288" t="str">
        <f>VLOOKUP(G288,Eras!$A$2:$C$10, 2, TRUE)</f>
        <v>big4</v>
      </c>
      <c r="BU288" t="s">
        <v>345</v>
      </c>
      <c r="BV288" t="str">
        <f t="shared" si="94"/>
        <v>big4_LU</v>
      </c>
      <c r="BW288" t="str">
        <f t="shared" si="95"/>
        <v>tube_FOURTH_RAIL</v>
      </c>
      <c r="BX288" t="str">
        <f>VLOOKUP($BW288, Constants!$M:$N, 2, FALSE)</f>
        <v>{BLACK}Powered by: {GOLD}630V DC</v>
      </c>
      <c r="BY288" t="str">
        <f t="shared" si="97"/>
        <v>{BLACK}Cars: {GOLD}7</v>
      </c>
      <c r="BZ288" t="s">
        <v>1418</v>
      </c>
      <c r="CA288" t="str">
        <f t="shared" si="98"/>
        <v>{YELLOW}35% Penalty for long distance travel{}</v>
      </c>
      <c r="CB288" t="str">
        <f t="shared" si="96"/>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89" spans="1:80" x14ac:dyDescent="0.3">
      <c r="A289" t="s">
        <v>100</v>
      </c>
      <c r="B289" t="s">
        <v>194</v>
      </c>
      <c r="C289">
        <v>724</v>
      </c>
      <c r="D289" t="s">
        <v>404</v>
      </c>
      <c r="E289" t="s">
        <v>1109</v>
      </c>
      <c r="F289" t="s">
        <v>1411</v>
      </c>
      <c r="G289">
        <v>1959</v>
      </c>
      <c r="I289">
        <v>2000</v>
      </c>
      <c r="J289">
        <v>7</v>
      </c>
      <c r="K289">
        <v>750</v>
      </c>
      <c r="T289">
        <v>167</v>
      </c>
      <c r="V289">
        <v>10</v>
      </c>
      <c r="W289">
        <v>135</v>
      </c>
      <c r="X289" s="3">
        <f t="shared" si="84"/>
        <v>8.0838323353293412E-2</v>
      </c>
      <c r="Y289">
        <v>45</v>
      </c>
      <c r="Z289">
        <f t="shared" si="101"/>
        <v>72</v>
      </c>
      <c r="AC289">
        <v>15.9</v>
      </c>
      <c r="AD289">
        <v>15.9</v>
      </c>
      <c r="AE289">
        <v>2.59</v>
      </c>
      <c r="AF289">
        <v>2.883</v>
      </c>
      <c r="AG289" s="10">
        <v>120</v>
      </c>
      <c r="AH289" t="str">
        <f>CONCATENATE(VLOOKUP(AI289, 'Voxel Sizes'!$A$2:$B$18,2,FALSE),"x",INT(AE289*15), "x", INT(AF289*15))</f>
        <v>152x38x43</v>
      </c>
      <c r="AI289">
        <f t="shared" si="85"/>
        <v>9</v>
      </c>
      <c r="AK289" t="str">
        <f>CONCATENATE(VLOOKUP(AI289,Constants!$A$2:$C$16,IF(AJ289&lt;&gt;"", 3, 2), FALSE),IF(AJ289&lt;&gt;"",CONCATENATE(",",VLOOKUP(AJ289,$B:$AK,36,FALSE)),""))</f>
        <v>2,5,2</v>
      </c>
      <c r="AO289" t="s">
        <v>1419</v>
      </c>
      <c r="AQ289" t="s">
        <v>1417</v>
      </c>
      <c r="AU289">
        <v>38</v>
      </c>
      <c r="AV289" s="15">
        <f t="shared" si="86"/>
        <v>49</v>
      </c>
      <c r="AX289">
        <v>-1</v>
      </c>
      <c r="AY289">
        <f t="shared" si="87"/>
        <v>9</v>
      </c>
      <c r="AZ289">
        <f t="shared" si="88"/>
        <v>3.75</v>
      </c>
      <c r="BA289">
        <f t="shared" si="89"/>
        <v>6.75</v>
      </c>
      <c r="BB289" s="3">
        <f t="shared" si="90"/>
        <v>0.92133333333333334</v>
      </c>
      <c r="BC289">
        <f t="shared" si="91"/>
        <v>28.000000000000004</v>
      </c>
      <c r="BD289">
        <f>VLOOKUP($E289,Constants!$I:$K, 2, FALSE)</f>
        <v>0.9</v>
      </c>
      <c r="BE289">
        <f>VLOOKUP($E289,Constants!$I:$K, 3, FALSE)*IF(AND(D289="multiple_unit",Y289&lt;110),0.75,1)</f>
        <v>1.2000000000000002</v>
      </c>
      <c r="BF289">
        <f>INT(POWER(((Constants!$G$2+$AY289+$AZ289+$BA289+$BC289)*$BB289)*$BE289, 1.05))+$AX289</f>
        <v>70</v>
      </c>
      <c r="BG289">
        <f>INT(POWER((((Constants!$G$1+$AY289+$AZ289+$BA289+$BC289)*($BB289))*$BD289),IF($D289="wagon",1,1.2)))+$AW289</f>
        <v>114</v>
      </c>
      <c r="BH289" s="14">
        <f t="shared" si="92"/>
        <v>54687.5</v>
      </c>
      <c r="BI289" s="14">
        <f t="shared" si="93"/>
        <v>9262.5</v>
      </c>
      <c r="BP289">
        <v>5</v>
      </c>
      <c r="BQ289">
        <v>120</v>
      </c>
      <c r="BS289" t="s">
        <v>283</v>
      </c>
      <c r="BT289" t="str">
        <f>VLOOKUP(G289,Eras!$A$2:$C$10, 2, TRUE)</f>
        <v>dsl</v>
      </c>
      <c r="BU289" t="s">
        <v>345</v>
      </c>
      <c r="BV289" t="str">
        <f t="shared" si="94"/>
        <v>dsl_LU</v>
      </c>
      <c r="BW289" t="str">
        <f t="shared" si="95"/>
        <v>tube_FOURTH_RAIL</v>
      </c>
      <c r="BX289" t="str">
        <f>VLOOKUP($BW289, Constants!$M:$N, 2, FALSE)</f>
        <v>{BLACK}Powered by: {GOLD}630V DC</v>
      </c>
      <c r="BY289" t="str">
        <f t="shared" si="97"/>
        <v>{BLACK}Cars: {GOLD}7</v>
      </c>
      <c r="BZ289" t="s">
        <v>1420</v>
      </c>
      <c r="CA289" t="str">
        <f t="shared" si="98"/>
        <v>{YELLOW}35% Penalty for long distance travel{}</v>
      </c>
      <c r="CB289" t="str">
        <f t="shared" si="96"/>
        <v>{BLACK}Powered by: {GOLD}630V DC {BLACK}Cars: {GOLD}7{}{YELLOW}35% Penalty for long distance travel{}{SILVER}The 1959 stock was based on the aluminium-bodied 1956 stock, built for the Piccadilly line but used across many deep level Tube lines over its long life.</v>
      </c>
    </row>
    <row r="290" spans="1:80" x14ac:dyDescent="0.3">
      <c r="A290" t="s">
        <v>101</v>
      </c>
      <c r="B290" t="s">
        <v>195</v>
      </c>
      <c r="C290">
        <v>726</v>
      </c>
      <c r="D290" t="s">
        <v>404</v>
      </c>
      <c r="E290" t="s">
        <v>1109</v>
      </c>
      <c r="F290" t="s">
        <v>1411</v>
      </c>
      <c r="G290">
        <v>1960</v>
      </c>
      <c r="I290">
        <v>2012</v>
      </c>
      <c r="J290">
        <v>4</v>
      </c>
      <c r="K290">
        <v>450</v>
      </c>
      <c r="T290">
        <f>32+21+21+32</f>
        <v>106</v>
      </c>
      <c r="V290">
        <v>10</v>
      </c>
      <c r="W290">
        <v>80</v>
      </c>
      <c r="X290" s="3">
        <f t="shared" si="84"/>
        <v>7.5471698113207544E-2</v>
      </c>
      <c r="Y290">
        <v>70</v>
      </c>
      <c r="Z290">
        <f t="shared" si="101"/>
        <v>112</v>
      </c>
      <c r="AC290">
        <v>16.2</v>
      </c>
      <c r="AD290">
        <v>16.2</v>
      </c>
      <c r="AE290">
        <v>2.94</v>
      </c>
      <c r="AF290">
        <v>3.68</v>
      </c>
      <c r="AG290" s="10">
        <v>114</v>
      </c>
      <c r="AH290" t="str">
        <f>CONCATENATE(VLOOKUP(AI290, 'Voxel Sizes'!$A$2:$B$18,2,FALSE),"x",INT(AE290*15), "x", INT(AF290*15))</f>
        <v>152x44x55</v>
      </c>
      <c r="AI290">
        <f t="shared" si="85"/>
        <v>9</v>
      </c>
      <c r="AK290" t="str">
        <f>CONCATENATE(VLOOKUP(AI290,Constants!$A$2:$C$16,IF(AJ290&lt;&gt;"", 3, 2), FALSE),IF(AJ290&lt;&gt;"",CONCATENATE(",",VLOOKUP(AJ290,$B:$AK,36,FALSE)),""))</f>
        <v>2,5,2</v>
      </c>
      <c r="AO290" t="s">
        <v>1421</v>
      </c>
      <c r="AQ290" t="s">
        <v>465</v>
      </c>
      <c r="AU290">
        <v>39</v>
      </c>
      <c r="AV290" s="15">
        <f t="shared" si="86"/>
        <v>60</v>
      </c>
      <c r="AY290">
        <f t="shared" si="87"/>
        <v>14</v>
      </c>
      <c r="AZ290">
        <f t="shared" si="88"/>
        <v>2.25</v>
      </c>
      <c r="BA290">
        <f t="shared" si="89"/>
        <v>4</v>
      </c>
      <c r="BB290" s="3">
        <f t="shared" si="90"/>
        <v>0.92</v>
      </c>
      <c r="BC290">
        <f t="shared" si="91"/>
        <v>15.2</v>
      </c>
      <c r="BD290">
        <f>VLOOKUP($E290,Constants!$I:$K, 2, FALSE)</f>
        <v>0.9</v>
      </c>
      <c r="BE290">
        <f>VLOOKUP($E290,Constants!$I:$K, 3, FALSE)*IF(AND(D290="multiple_unit",Y290&lt;110),0.75,1)</f>
        <v>1.2000000000000002</v>
      </c>
      <c r="BF290">
        <f>INT(POWER(((Constants!$G$2+$AY290+$AZ290+$BA290+$BC290)*$BB290)*$BE290, 1.05))+$AX290</f>
        <v>53</v>
      </c>
      <c r="BG290">
        <f>INT(POWER((((Constants!$G$1+$AY290+$AZ290+$BA290+$BC290)*($BB290))*$BD290),IF($D290="wagon",1,1.2)))+$AW290</f>
        <v>88</v>
      </c>
      <c r="BH290" s="14">
        <f t="shared" si="92"/>
        <v>41406.25</v>
      </c>
      <c r="BI290" s="14">
        <f t="shared" si="93"/>
        <v>7150</v>
      </c>
      <c r="BP290">
        <v>6</v>
      </c>
      <c r="BQ290">
        <v>120</v>
      </c>
      <c r="BS290" t="s">
        <v>283</v>
      </c>
      <c r="BT290" t="str">
        <f>VLOOKUP(G290,Eras!$A$2:$C$10, 2, TRUE)</f>
        <v>dsl</v>
      </c>
      <c r="BU290" t="s">
        <v>345</v>
      </c>
      <c r="BV290" t="str">
        <f t="shared" si="94"/>
        <v>dsl_LU</v>
      </c>
      <c r="BW290" t="str">
        <f t="shared" si="95"/>
        <v>tube_FOURTH_RAIL</v>
      </c>
      <c r="BX290" t="str">
        <f>VLOOKUP($BW290, Constants!$M:$N, 2, FALSE)</f>
        <v>{BLACK}Powered by: {GOLD}630V DC</v>
      </c>
      <c r="BY290" t="str">
        <f t="shared" si="97"/>
        <v>{BLACK}Cars: {GOLD}4</v>
      </c>
      <c r="BZ290" t="s">
        <v>1422</v>
      </c>
      <c r="CA290" t="str">
        <f t="shared" si="98"/>
        <v>{YELLOW}35% Penalty for long distance travel{}</v>
      </c>
      <c r="CB290" t="str">
        <f t="shared" si="96"/>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1" spans="1:80" x14ac:dyDescent="0.3">
      <c r="A291" t="s">
        <v>102</v>
      </c>
      <c r="B291" t="s">
        <v>196</v>
      </c>
      <c r="C291">
        <v>728</v>
      </c>
      <c r="D291" t="s">
        <v>404</v>
      </c>
      <c r="E291" t="s">
        <v>1109</v>
      </c>
      <c r="F291" t="s">
        <v>1411</v>
      </c>
      <c r="G291">
        <v>1967</v>
      </c>
      <c r="I291">
        <v>2011</v>
      </c>
      <c r="J291">
        <v>4</v>
      </c>
      <c r="K291">
        <v>500</v>
      </c>
      <c r="T291">
        <f>28.5+28.5+19.4+19.4</f>
        <v>95.800000000000011</v>
      </c>
      <c r="V291">
        <v>10</v>
      </c>
      <c r="W291">
        <v>70</v>
      </c>
      <c r="X291" s="3">
        <f t="shared" si="84"/>
        <v>7.3068893528183701E-2</v>
      </c>
      <c r="Y291">
        <v>45</v>
      </c>
      <c r="Z291">
        <f t="shared" si="101"/>
        <v>72</v>
      </c>
      <c r="AC291">
        <v>16</v>
      </c>
      <c r="AD291">
        <v>16</v>
      </c>
      <c r="AE291">
        <v>2.6419999999999999</v>
      </c>
      <c r="AF291">
        <v>2.8769999999999998</v>
      </c>
      <c r="AG291" s="10">
        <v>120</v>
      </c>
      <c r="AH291" t="str">
        <f>CONCATENATE(VLOOKUP(AI291, 'Voxel Sizes'!$A$2:$B$18,2,FALSE),"x",INT(AE291*15), "x", INT(AF291*15))</f>
        <v>152x39x43</v>
      </c>
      <c r="AI291">
        <f t="shared" si="85"/>
        <v>9</v>
      </c>
      <c r="AK291" t="str">
        <f>CONCATENATE(VLOOKUP(AI291,Constants!$A$2:$C$16,IF(AJ291&lt;&gt;"", 3, 2), FALSE),IF(AJ291&lt;&gt;"",CONCATENATE(",",VLOOKUP(AJ291,$B:$AK,36,FALSE)),""))</f>
        <v>2,5,2</v>
      </c>
      <c r="AO291" t="s">
        <v>1423</v>
      </c>
      <c r="AQ291" t="s">
        <v>465</v>
      </c>
      <c r="AU291">
        <v>36</v>
      </c>
      <c r="AV291" s="15">
        <f t="shared" si="86"/>
        <v>52</v>
      </c>
      <c r="AW291">
        <v>-2</v>
      </c>
      <c r="AX291">
        <v>2</v>
      </c>
      <c r="AY291">
        <f t="shared" si="87"/>
        <v>9</v>
      </c>
      <c r="AZ291">
        <f t="shared" si="88"/>
        <v>2.5</v>
      </c>
      <c r="BA291">
        <f t="shared" si="89"/>
        <v>3.5</v>
      </c>
      <c r="BB291" s="3">
        <f t="shared" si="90"/>
        <v>0.91066666666666662</v>
      </c>
      <c r="BC291">
        <f t="shared" si="91"/>
        <v>16</v>
      </c>
      <c r="BD291">
        <f>VLOOKUP($E291,Constants!$I:$K, 2, FALSE)</f>
        <v>0.9</v>
      </c>
      <c r="BE291">
        <f>VLOOKUP($E291,Constants!$I:$K, 3, FALSE)*IF(AND(D291="multiple_unit",Y291&lt;110),0.75,1)</f>
        <v>1.2000000000000002</v>
      </c>
      <c r="BF291">
        <f>INT(POWER(((Constants!$G$2+$AY291+$AZ291+$BA291+$BC291)*$BB291)*$BE291, 1.05))+$AX291</f>
        <v>49</v>
      </c>
      <c r="BG291">
        <f>INT(POWER((((Constants!$G$1+$AY291+$AZ291+$BA291+$BC291)*($BB291))*$BD291),IF($D291="wagon",1,1.2)))+$AW291</f>
        <v>75</v>
      </c>
      <c r="BH291" s="14">
        <f t="shared" si="92"/>
        <v>38281.25</v>
      </c>
      <c r="BI291" s="14">
        <f t="shared" si="93"/>
        <v>6093.75</v>
      </c>
      <c r="BP291">
        <v>7</v>
      </c>
      <c r="BQ291">
        <v>120</v>
      </c>
      <c r="BS291" t="s">
        <v>283</v>
      </c>
      <c r="BT291" t="str">
        <f>VLOOKUP(G291,Eras!$A$2:$C$10, 2, TRUE)</f>
        <v>dsl</v>
      </c>
      <c r="BU291" t="s">
        <v>345</v>
      </c>
      <c r="BV291" t="str">
        <f t="shared" si="94"/>
        <v>dsl_LU</v>
      </c>
      <c r="BW291" t="str">
        <f t="shared" si="95"/>
        <v>tube_FOURTH_RAIL</v>
      </c>
      <c r="BX291" t="str">
        <f>VLOOKUP($BW291, Constants!$M:$N, 2, FALSE)</f>
        <v>{BLACK}Powered by: {GOLD}630V DC</v>
      </c>
      <c r="BY291" t="str">
        <f t="shared" si="97"/>
        <v>{BLACK}Cars: {GOLD}4</v>
      </c>
      <c r="BZ291" t="s">
        <v>1424</v>
      </c>
      <c r="CA291" t="str">
        <f t="shared" si="98"/>
        <v>{YELLOW}35% Penalty for long distance travel{}</v>
      </c>
      <c r="CB291" t="str">
        <f t="shared" si="96"/>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2" spans="1:80" x14ac:dyDescent="0.3">
      <c r="A292" t="s">
        <v>103</v>
      </c>
      <c r="B292" t="s">
        <v>197</v>
      </c>
      <c r="C292">
        <v>730</v>
      </c>
      <c r="D292" t="s">
        <v>404</v>
      </c>
      <c r="E292" t="s">
        <v>1109</v>
      </c>
      <c r="F292" t="s">
        <v>1411</v>
      </c>
      <c r="G292">
        <v>1970</v>
      </c>
      <c r="I292">
        <v>2014</v>
      </c>
      <c r="J292">
        <v>2</v>
      </c>
      <c r="K292">
        <v>580</v>
      </c>
      <c r="T292">
        <f>31+20</f>
        <v>51</v>
      </c>
      <c r="V292">
        <v>10</v>
      </c>
      <c r="W292">
        <v>40</v>
      </c>
      <c r="X292" s="3">
        <f t="shared" si="84"/>
        <v>7.8431372549019607E-2</v>
      </c>
      <c r="Y292">
        <v>45</v>
      </c>
      <c r="Z292">
        <f t="shared" si="101"/>
        <v>72</v>
      </c>
      <c r="AC292">
        <v>16</v>
      </c>
      <c r="AD292">
        <v>16</v>
      </c>
      <c r="AE292">
        <v>2.92</v>
      </c>
      <c r="AF292">
        <v>3.68</v>
      </c>
      <c r="AG292" s="10">
        <v>135</v>
      </c>
      <c r="AH292" t="str">
        <f>CONCATENATE(VLOOKUP(AI292, 'Voxel Sizes'!$A$2:$B$18,2,FALSE),"x",INT(AE292*15), "x", INT(AF292*15))</f>
        <v>152x43x55</v>
      </c>
      <c r="AI292">
        <f t="shared" si="85"/>
        <v>9</v>
      </c>
      <c r="AK292" t="str">
        <f>CONCATENATE(VLOOKUP(AI292,Constants!$A$2:$C$16,IF(AJ292&lt;&gt;"", 3, 2), FALSE),IF(AJ292&lt;&gt;"",CONCATENATE(",",VLOOKUP(AJ292,$B:$AK,36,FALSE)),""))</f>
        <v>2,5,2</v>
      </c>
      <c r="AO292" t="s">
        <v>1425</v>
      </c>
      <c r="AQ292" t="s">
        <v>467</v>
      </c>
      <c r="AU292">
        <v>38</v>
      </c>
      <c r="AV292" s="15">
        <f t="shared" si="86"/>
        <v>52</v>
      </c>
      <c r="AY292">
        <f t="shared" si="87"/>
        <v>9</v>
      </c>
      <c r="AZ292">
        <f t="shared" si="88"/>
        <v>2.9</v>
      </c>
      <c r="BA292">
        <f t="shared" si="89"/>
        <v>2</v>
      </c>
      <c r="BB292" s="3">
        <f t="shared" si="90"/>
        <v>0.90666666666666662</v>
      </c>
      <c r="BC292">
        <f t="shared" si="91"/>
        <v>9</v>
      </c>
      <c r="BD292">
        <f>VLOOKUP($E292,Constants!$I:$K, 2, FALSE)</f>
        <v>0.9</v>
      </c>
      <c r="BE292">
        <f>VLOOKUP($E292,Constants!$I:$K, 3, FALSE)*IF(AND(D292="multiple_unit",Y292&lt;110),0.75,1)</f>
        <v>1.2000000000000002</v>
      </c>
      <c r="BF292">
        <f>INT(POWER(((Constants!$G$2+$AY292+$AZ292+$BA292+$BC292)*$BB292)*$BE292, 1.05))+$AX292</f>
        <v>36</v>
      </c>
      <c r="BG292">
        <f>INT(POWER((((Constants!$G$1+$AY292+$AZ292+$BA292+$BC292)*($BB292))*$BD292),IF($D292="wagon",1,1.2)))+$AW292</f>
        <v>61</v>
      </c>
      <c r="BH292" s="14">
        <f t="shared" si="92"/>
        <v>28125</v>
      </c>
      <c r="BI292" s="14">
        <f t="shared" si="93"/>
        <v>4956.25</v>
      </c>
      <c r="BP292">
        <v>8</v>
      </c>
      <c r="BQ292">
        <v>120</v>
      </c>
      <c r="BS292" t="s">
        <v>283</v>
      </c>
      <c r="BT292" t="str">
        <f>VLOOKUP(G292,Eras!$A$2:$C$10, 2, TRUE)</f>
        <v>lbr</v>
      </c>
      <c r="BU292" t="s">
        <v>345</v>
      </c>
      <c r="BV292" t="str">
        <f t="shared" si="94"/>
        <v>lbr_LU</v>
      </c>
      <c r="BW292" t="str">
        <f t="shared" si="95"/>
        <v>tube_FOURTH_RAIL</v>
      </c>
      <c r="BX292" t="str">
        <f>VLOOKUP($BW292, Constants!$M:$N, 2, FALSE)</f>
        <v>{BLACK}Powered by: {GOLD}630V DC</v>
      </c>
      <c r="BY292" t="str">
        <f t="shared" si="97"/>
        <v>{BLACK}Cars: {GOLD}2</v>
      </c>
      <c r="BZ292" t="s">
        <v>1426</v>
      </c>
      <c r="CA292" t="str">
        <f t="shared" si="98"/>
        <v>{YELLOW}35% Penalty for long distance travel{}</v>
      </c>
      <c r="CB292" t="str">
        <f t="shared" si="96"/>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3" spans="1:80" x14ac:dyDescent="0.3">
      <c r="A293" t="s">
        <v>104</v>
      </c>
      <c r="B293" t="s">
        <v>198</v>
      </c>
      <c r="C293">
        <v>731</v>
      </c>
      <c r="D293" t="s">
        <v>404</v>
      </c>
      <c r="E293" t="s">
        <v>1109</v>
      </c>
      <c r="F293" t="s">
        <v>1411</v>
      </c>
      <c r="G293">
        <v>1975</v>
      </c>
      <c r="J293">
        <v>3</v>
      </c>
      <c r="K293">
        <v>930</v>
      </c>
      <c r="T293">
        <f>27+26+18</f>
        <v>71</v>
      </c>
      <c r="V293">
        <v>10</v>
      </c>
      <c r="W293">
        <v>55</v>
      </c>
      <c r="X293" s="3">
        <f t="shared" si="84"/>
        <v>7.746478873239436E-2</v>
      </c>
      <c r="Y293">
        <v>45</v>
      </c>
      <c r="Z293">
        <f t="shared" si="101"/>
        <v>72</v>
      </c>
      <c r="AC293">
        <v>17.47</v>
      </c>
      <c r="AD293">
        <v>17</v>
      </c>
      <c r="AE293">
        <v>2.62</v>
      </c>
      <c r="AF293">
        <v>2.88</v>
      </c>
      <c r="AG293" s="10">
        <v>114</v>
      </c>
      <c r="AH293" t="str">
        <f>CONCATENATE(VLOOKUP(AI293, 'Voxel Sizes'!$A$2:$B$18,2,FALSE),"x",INT(AE293*15), "x", INT(AF293*15))</f>
        <v>164x39x43</v>
      </c>
      <c r="AI293">
        <f t="shared" si="85"/>
        <v>10</v>
      </c>
      <c r="AK293" t="str">
        <f>CONCATENATE(VLOOKUP(AI293,Constants!$A$2:$C$16,IF(AJ293&lt;&gt;"", 3, 2), FALSE),IF(AJ293&lt;&gt;"",CONCATENATE(",",VLOOKUP(AJ293,$B:$AK,36,FALSE)),""))</f>
        <v>4,2,4</v>
      </c>
      <c r="AO293" t="s">
        <v>1429</v>
      </c>
      <c r="AQ293" t="s">
        <v>292</v>
      </c>
      <c r="AU293">
        <v>39</v>
      </c>
      <c r="AV293" s="15" t="str">
        <f t="shared" si="86"/>
        <v/>
      </c>
      <c r="AY293">
        <f t="shared" si="87"/>
        <v>9</v>
      </c>
      <c r="AZ293">
        <f t="shared" si="88"/>
        <v>4.6500000000000004</v>
      </c>
      <c r="BA293">
        <f t="shared" si="89"/>
        <v>2.75</v>
      </c>
      <c r="BB293" s="3">
        <f t="shared" si="90"/>
        <v>0.9</v>
      </c>
      <c r="BC293">
        <f t="shared" si="91"/>
        <v>11.400000000000002</v>
      </c>
      <c r="BD293">
        <f>VLOOKUP($E293,Constants!$I:$K, 2, FALSE)</f>
        <v>0.9</v>
      </c>
      <c r="BE293">
        <f>VLOOKUP($E293,Constants!$I:$K, 3, FALSE)*IF(AND(D293="multiple_unit",Y293&lt;110),0.75,1)</f>
        <v>1.2000000000000002</v>
      </c>
      <c r="BF293">
        <f>INT(POWER(((Constants!$G$2+$AY293+$AZ293+$BA293+$BC293)*$BB293)*$BE293, 1.05))+$AX293</f>
        <v>42</v>
      </c>
      <c r="BG293">
        <f>INT(POWER((((Constants!$G$1+$AY293+$AZ293+$BA293+$BC293)*($BB293))*$BD293),IF($D293="wagon",1,1.2)))+$AW293</f>
        <v>70</v>
      </c>
      <c r="BH293" s="14">
        <f t="shared" si="92"/>
        <v>32812.5</v>
      </c>
      <c r="BI293" s="14">
        <f t="shared" si="93"/>
        <v>5687.5</v>
      </c>
      <c r="BP293">
        <v>9</v>
      </c>
      <c r="BQ293">
        <v>120</v>
      </c>
      <c r="BS293" t="s">
        <v>283</v>
      </c>
      <c r="BT293" t="str">
        <f>VLOOKUP(G293,Eras!$A$2:$C$10, 2, TRUE)</f>
        <v>lbr</v>
      </c>
      <c r="BU293" t="s">
        <v>345</v>
      </c>
      <c r="BV293" t="str">
        <f t="shared" si="94"/>
        <v>lbr_LU</v>
      </c>
      <c r="BW293" t="str">
        <f t="shared" si="95"/>
        <v>tube_FOURTH_RAIL</v>
      </c>
      <c r="BX293" t="str">
        <f>VLOOKUP($BW293, Constants!$M:$N, 2, FALSE)</f>
        <v>{BLACK}Powered by: {GOLD}630V DC</v>
      </c>
      <c r="BY293" t="str">
        <f t="shared" si="97"/>
        <v>{BLACK}Cars: {GOLD}3</v>
      </c>
      <c r="BZ293" t="s">
        <v>1430</v>
      </c>
      <c r="CA293" t="str">
        <f t="shared" si="98"/>
        <v>{YELLOW}35% Penalty for long distance travel{}</v>
      </c>
      <c r="CB293" t="str">
        <f t="shared" si="96"/>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4" spans="1:80" x14ac:dyDescent="0.3">
      <c r="A294" t="s">
        <v>1466</v>
      </c>
      <c r="B294" t="s">
        <v>1470</v>
      </c>
      <c r="C294">
        <v>732</v>
      </c>
      <c r="D294" t="s">
        <v>404</v>
      </c>
      <c r="E294" t="s">
        <v>1109</v>
      </c>
      <c r="F294" t="s">
        <v>1411</v>
      </c>
      <c r="G294">
        <v>1975</v>
      </c>
      <c r="J294">
        <v>3</v>
      </c>
      <c r="K294">
        <v>930</v>
      </c>
      <c r="T294">
        <f>27+26+18</f>
        <v>71</v>
      </c>
      <c r="V294">
        <v>10</v>
      </c>
      <c r="W294">
        <v>55</v>
      </c>
      <c r="X294" s="3">
        <f t="shared" si="84"/>
        <v>7.746478873239436E-2</v>
      </c>
      <c r="Y294">
        <v>45</v>
      </c>
      <c r="Z294">
        <f t="shared" si="101"/>
        <v>72</v>
      </c>
      <c r="AC294">
        <v>17.47</v>
      </c>
      <c r="AD294">
        <v>17</v>
      </c>
      <c r="AE294">
        <v>2.62</v>
      </c>
      <c r="AF294">
        <v>2.88</v>
      </c>
      <c r="AH294" t="str">
        <f>CONCATENATE(VLOOKUP(AI294, 'Voxel Sizes'!$A$2:$B$18,2,FALSE),"x",INT(AE294*15), "x", INT(AF294*15))</f>
        <v>164x39x43</v>
      </c>
      <c r="AI294">
        <f t="shared" si="85"/>
        <v>10</v>
      </c>
      <c r="AK294" t="str">
        <f>CONCATENATE(VLOOKUP(AI294,Constants!$A$2:$C$16,IF(AJ294&lt;&gt;"", 3, 2), FALSE),IF(AJ294&lt;&gt;"",CONCATENATE(",",VLOOKUP(AJ294,$B:$AK,36,FALSE)),""))</f>
        <v>4,2,4</v>
      </c>
      <c r="AO294" t="s">
        <v>1429</v>
      </c>
      <c r="AQ294" t="s">
        <v>1467</v>
      </c>
      <c r="AR294" t="s">
        <v>198</v>
      </c>
      <c r="AU294">
        <v>39</v>
      </c>
      <c r="AV294" s="15" t="str">
        <f t="shared" si="86"/>
        <v/>
      </c>
      <c r="AY294">
        <f t="shared" si="87"/>
        <v>9</v>
      </c>
      <c r="AZ294">
        <f t="shared" si="88"/>
        <v>4.6500000000000004</v>
      </c>
      <c r="BA294">
        <f t="shared" si="89"/>
        <v>2.75</v>
      </c>
      <c r="BB294" s="3">
        <f t="shared" si="90"/>
        <v>0.9</v>
      </c>
      <c r="BC294">
        <f t="shared" si="91"/>
        <v>0</v>
      </c>
      <c r="BD294">
        <f>VLOOKUP($E294,Constants!$I:$K, 2, FALSE)</f>
        <v>0.9</v>
      </c>
      <c r="BE294">
        <f>VLOOKUP($E294,Constants!$I:$K, 3, FALSE)*IF(AND(D294="multiple_unit",Y294&lt;110),0.75,1)</f>
        <v>1.2000000000000002</v>
      </c>
      <c r="BF294">
        <f>INT(POWER(((Constants!$G$2+$AY294+$AZ294+$BA294+$BC294)*$BB294)*$BE294, 1.05))+$AX294</f>
        <v>27</v>
      </c>
      <c r="BG294">
        <f>INT(POWER((((Constants!$G$1+$AY294+$AZ294+$BA294+$BC294)*($BB294))*$BD294),IF($D294="wagon",1,1.2)))+$AW294</f>
        <v>48</v>
      </c>
      <c r="BH294" s="14">
        <f t="shared" si="92"/>
        <v>21093.75</v>
      </c>
      <c r="BI294" s="14">
        <f t="shared" si="93"/>
        <v>3900</v>
      </c>
      <c r="BO294" t="s">
        <v>1469</v>
      </c>
      <c r="BP294">
        <v>9</v>
      </c>
      <c r="BQ294">
        <v>120</v>
      </c>
      <c r="BS294" t="s">
        <v>283</v>
      </c>
      <c r="BT294" t="str">
        <f>VLOOKUP(G294,Eras!$A$2:$C$10, 2, TRUE)</f>
        <v>lbr</v>
      </c>
      <c r="BU294" t="s">
        <v>345</v>
      </c>
      <c r="BV294" t="str">
        <f t="shared" si="94"/>
        <v>lbr_LU</v>
      </c>
      <c r="BW294" t="str">
        <f t="shared" si="95"/>
        <v>tube_FOURTH_RAIL</v>
      </c>
      <c r="BX294" t="str">
        <f>VLOOKUP($BW294, Constants!$M:$N, 2, FALSE)</f>
        <v>{BLACK}Powered by: {GOLD}630V DC</v>
      </c>
      <c r="BY294" t="str">
        <f t="shared" si="97"/>
        <v>{BLACK}Cars: {GOLD}3</v>
      </c>
      <c r="BZ294" t="s">
        <v>1468</v>
      </c>
      <c r="CA294" t="str">
        <f t="shared" si="98"/>
        <v>{YELLOW}35% Penalty for long distance travel{}</v>
      </c>
      <c r="CB294" t="str">
        <f t="shared" si="96"/>
        <v>{BLACK}Powered by: {GOLD}630V DC {BLACK}Cars: {GOLD}3{}{YELLOW}35% Penalty for long distance travel{}{SILVER}This stock has a bug, it carries no passengers. You should not be able to build this or see it in the build window. It will be removed at the next compatibility-breaking change.</v>
      </c>
    </row>
    <row r="295" spans="1:80" x14ac:dyDescent="0.3">
      <c r="A295" t="s">
        <v>105</v>
      </c>
      <c r="B295" t="s">
        <v>199</v>
      </c>
      <c r="C295">
        <v>736</v>
      </c>
      <c r="D295" t="s">
        <v>404</v>
      </c>
      <c r="E295" t="s">
        <v>1109</v>
      </c>
      <c r="F295" t="s">
        <v>1411</v>
      </c>
      <c r="G295">
        <v>1980</v>
      </c>
      <c r="I295">
        <v>2017</v>
      </c>
      <c r="J295">
        <v>3</v>
      </c>
      <c r="K295">
        <v>980</v>
      </c>
      <c r="T295">
        <f>27+26+18</f>
        <v>71</v>
      </c>
      <c r="V295">
        <v>10</v>
      </c>
      <c r="W295">
        <v>60</v>
      </c>
      <c r="X295" s="3">
        <f t="shared" si="84"/>
        <v>8.4507042253521125E-2</v>
      </c>
      <c r="Y295">
        <v>50</v>
      </c>
      <c r="Z295">
        <f t="shared" si="101"/>
        <v>80</v>
      </c>
      <c r="AC295">
        <v>18.37</v>
      </c>
      <c r="AD295">
        <v>18.37</v>
      </c>
      <c r="AE295">
        <v>2.85</v>
      </c>
      <c r="AF295">
        <v>3.62</v>
      </c>
      <c r="AG295" s="10">
        <v>138</v>
      </c>
      <c r="AH295" t="str">
        <f>CONCATENATE(VLOOKUP(AI295, 'Voxel Sizes'!$A$2:$B$18,2,FALSE),"x",INT(AE295*15), "x", INT(AF295*15))</f>
        <v>186x42x54</v>
      </c>
      <c r="AI295">
        <f t="shared" si="85"/>
        <v>11</v>
      </c>
      <c r="AK295" t="str">
        <f>CONCATENATE(VLOOKUP(AI295,Constants!$A$2:$C$16,IF(AJ295&lt;&gt;"", 3, 2), FALSE),IF(AJ295&lt;&gt;"",CONCATENATE(",",VLOOKUP(AJ295,$B:$AK,36,FALSE)),""))</f>
        <v>4,3,4</v>
      </c>
      <c r="AO295" t="s">
        <v>1427</v>
      </c>
      <c r="AQ295" t="s">
        <v>292</v>
      </c>
      <c r="AU295">
        <v>33</v>
      </c>
      <c r="AV295" s="15">
        <f t="shared" si="86"/>
        <v>45</v>
      </c>
      <c r="AY295">
        <f t="shared" si="87"/>
        <v>10</v>
      </c>
      <c r="AZ295">
        <f t="shared" si="88"/>
        <v>4.9000000000000004</v>
      </c>
      <c r="BA295">
        <f t="shared" si="89"/>
        <v>3</v>
      </c>
      <c r="BB295" s="3">
        <f t="shared" si="90"/>
        <v>0.89333333333333331</v>
      </c>
      <c r="BC295">
        <f t="shared" si="91"/>
        <v>13.8</v>
      </c>
      <c r="BD295">
        <f>VLOOKUP($E295,Constants!$I:$K, 2, FALSE)</f>
        <v>0.9</v>
      </c>
      <c r="BE295">
        <f>VLOOKUP($E295,Constants!$I:$K, 3, FALSE)*IF(AND(D295="multiple_unit",Y295&lt;110),0.75,1)</f>
        <v>1.2000000000000002</v>
      </c>
      <c r="BF295">
        <f>INT(POWER(((Constants!$G$2+$AY295+$AZ295+$BA295+$BC295)*$BB295)*$BE295, 1.05))+$AX295</f>
        <v>47</v>
      </c>
      <c r="BG295">
        <f>INT(POWER((((Constants!$G$1+$AY295+$AZ295+$BA295+$BC295)*($BB295))*$BD295),IF($D295="wagon",1,1.2)))+$AW295</f>
        <v>77</v>
      </c>
      <c r="BH295" s="14">
        <f t="shared" si="92"/>
        <v>36718.75</v>
      </c>
      <c r="BI295" s="14">
        <f t="shared" si="93"/>
        <v>6256.25</v>
      </c>
      <c r="BP295">
        <v>11</v>
      </c>
      <c r="BQ295">
        <v>120</v>
      </c>
      <c r="BS295" t="s">
        <v>283</v>
      </c>
      <c r="BT295" t="str">
        <f>VLOOKUP(G295,Eras!$A$2:$C$10, 2, TRUE)</f>
        <v>lbr</v>
      </c>
      <c r="BU295" t="s">
        <v>345</v>
      </c>
      <c r="BV295" t="str">
        <f t="shared" si="94"/>
        <v>lbr_LU</v>
      </c>
      <c r="BW295" t="str">
        <f t="shared" si="95"/>
        <v>tube_FOURTH_RAIL</v>
      </c>
      <c r="BX295" t="str">
        <f>VLOOKUP($BW295, Constants!$M:$N, 2, FALSE)</f>
        <v>{BLACK}Powered by: {GOLD}630V DC</v>
      </c>
      <c r="BY295" t="str">
        <f t="shared" si="97"/>
        <v>{BLACK}Cars: {GOLD}3</v>
      </c>
      <c r="BZ295" t="s">
        <v>1428</v>
      </c>
      <c r="CA295" t="str">
        <f t="shared" si="98"/>
        <v>{YELLOW}35% Penalty for long distance travel{}</v>
      </c>
      <c r="CB295" t="str">
        <f t="shared" si="96"/>
        <v>{BLACK}Powered by: {GOLD}630V DC {BLACK}Cars: {GOLD}3{}{YELLOW}35% Penalty for long distance travel{}{SILVER}The D78 stock replaced pre-war stock on the District Line. It has the longest car lengths to have been used on the Underground network, at 18.37m for a driving motor car.</v>
      </c>
    </row>
    <row r="296" spans="1:80" x14ac:dyDescent="0.3">
      <c r="A296" t="s">
        <v>106</v>
      </c>
      <c r="B296" t="s">
        <v>200</v>
      </c>
      <c r="C296">
        <v>738</v>
      </c>
      <c r="D296" t="s">
        <v>404</v>
      </c>
      <c r="E296" t="s">
        <v>1109</v>
      </c>
      <c r="F296" t="s">
        <v>1411</v>
      </c>
      <c r="G296">
        <v>1993</v>
      </c>
      <c r="J296">
        <v>4</v>
      </c>
      <c r="K296">
        <v>1150</v>
      </c>
      <c r="T296">
        <f>20+22+29+22</f>
        <v>93</v>
      </c>
      <c r="V296">
        <v>10</v>
      </c>
      <c r="W296">
        <v>70</v>
      </c>
      <c r="X296" s="3">
        <f t="shared" si="84"/>
        <v>7.5268817204301078E-2</v>
      </c>
      <c r="Y296">
        <v>62</v>
      </c>
      <c r="Z296">
        <f t="shared" si="101"/>
        <v>99</v>
      </c>
      <c r="AC296">
        <v>16.25</v>
      </c>
      <c r="AD296">
        <v>16.25</v>
      </c>
      <c r="AE296">
        <v>2.62</v>
      </c>
      <c r="AF296">
        <v>2.87</v>
      </c>
      <c r="AG296" s="10">
        <v>114</v>
      </c>
      <c r="AH296" t="str">
        <f>CONCATENATE(VLOOKUP(AI296, 'Voxel Sizes'!$A$2:$B$18,2,FALSE),"x",INT(AE296*15), "x", INT(AF296*15))</f>
        <v>164x39x43</v>
      </c>
      <c r="AI296">
        <f t="shared" si="85"/>
        <v>10</v>
      </c>
      <c r="AK296" t="str">
        <f>CONCATENATE(VLOOKUP(AI296,Constants!$A$2:$C$16,IF(AJ296&lt;&gt;"", 3, 2), FALSE),IF(AJ296&lt;&gt;"",CONCATENATE(",",VLOOKUP(AJ296,$B:$AK,36,FALSE)),""))</f>
        <v>4,2,4</v>
      </c>
      <c r="AO296" t="s">
        <v>1431</v>
      </c>
      <c r="AQ296" t="s">
        <v>465</v>
      </c>
      <c r="AU296">
        <v>29</v>
      </c>
      <c r="AV296" s="15" t="str">
        <f t="shared" si="86"/>
        <v/>
      </c>
      <c r="AW296">
        <v>3</v>
      </c>
      <c r="AY296">
        <f t="shared" si="87"/>
        <v>12.4</v>
      </c>
      <c r="AZ296">
        <f t="shared" si="88"/>
        <v>5.75</v>
      </c>
      <c r="BA296">
        <f t="shared" si="89"/>
        <v>3.5</v>
      </c>
      <c r="BB296" s="3">
        <f t="shared" si="90"/>
        <v>0.876</v>
      </c>
      <c r="BC296">
        <f t="shared" si="91"/>
        <v>15.2</v>
      </c>
      <c r="BD296">
        <f>VLOOKUP($E296,Constants!$I:$K, 2, FALSE)</f>
        <v>0.9</v>
      </c>
      <c r="BE296">
        <f>VLOOKUP($E296,Constants!$I:$K, 3, FALSE)*IF(AND(D296="multiple_unit",Y296&lt;110),0.75,1)</f>
        <v>1.2000000000000002</v>
      </c>
      <c r="BF296">
        <f>INT(POWER(((Constants!$G$2+$AY296+$AZ296+$BA296+$BC296)*$BB296)*$BE296, 1.05))+$AX296</f>
        <v>53</v>
      </c>
      <c r="BG296">
        <f>INT(POWER((((Constants!$G$1+$AY296+$AZ296+$BA296+$BC296)*($BB296))*$BD296),IF($D296="wagon",1,1.2)))+$AW296</f>
        <v>88</v>
      </c>
      <c r="BH296" s="14">
        <f t="shared" si="92"/>
        <v>41406.25</v>
      </c>
      <c r="BI296" s="14">
        <f t="shared" si="93"/>
        <v>7150</v>
      </c>
      <c r="BP296">
        <v>3</v>
      </c>
      <c r="BQ296">
        <v>120</v>
      </c>
      <c r="BS296" t="s">
        <v>283</v>
      </c>
      <c r="BT296" t="str">
        <f>VLOOKUP(G296,Eras!$A$2:$C$10, 2, TRUE)</f>
        <v>lbr</v>
      </c>
      <c r="BU296" t="s">
        <v>345</v>
      </c>
      <c r="BV296" t="str">
        <f t="shared" si="94"/>
        <v>lbr_LU</v>
      </c>
      <c r="BW296" t="str">
        <f t="shared" si="95"/>
        <v>tube_FOURTH_RAIL</v>
      </c>
      <c r="BX296" t="str">
        <f>VLOOKUP($BW296, Constants!$M:$N, 2, FALSE)</f>
        <v>{BLACK}Powered by: {GOLD}630V DC</v>
      </c>
      <c r="BY296" t="str">
        <f t="shared" si="97"/>
        <v>{BLACK}Cars: {GOLD}4</v>
      </c>
      <c r="BZ296" t="s">
        <v>1432</v>
      </c>
      <c r="CA296" t="str">
        <f t="shared" si="98"/>
        <v>{YELLOW}35% Penalty for long distance travel{}</v>
      </c>
      <c r="CB296" t="str">
        <f t="shared" si="96"/>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7" spans="1:80" x14ac:dyDescent="0.3">
      <c r="A297" t="s">
        <v>1433</v>
      </c>
      <c r="B297" t="s">
        <v>228</v>
      </c>
      <c r="C297">
        <v>740</v>
      </c>
      <c r="D297" t="s">
        <v>404</v>
      </c>
      <c r="E297" t="s">
        <v>1109</v>
      </c>
      <c r="F297" t="s">
        <v>1411</v>
      </c>
      <c r="G297">
        <v>1996</v>
      </c>
      <c r="J297">
        <v>3</v>
      </c>
      <c r="K297">
        <v>1200</v>
      </c>
      <c r="T297">
        <f>29+27+21</f>
        <v>77</v>
      </c>
      <c r="V297">
        <v>10</v>
      </c>
      <c r="W297">
        <v>65</v>
      </c>
      <c r="X297" s="3">
        <f t="shared" si="84"/>
        <v>8.4415584415584416E-2</v>
      </c>
      <c r="Y297">
        <v>62</v>
      </c>
      <c r="Z297">
        <f t="shared" si="101"/>
        <v>99</v>
      </c>
      <c r="AC297">
        <v>17.77</v>
      </c>
      <c r="AD297">
        <v>17.77</v>
      </c>
      <c r="AE297">
        <v>2.63</v>
      </c>
      <c r="AF297">
        <v>2.87</v>
      </c>
      <c r="AG297" s="10">
        <v>108</v>
      </c>
      <c r="AH297" t="str">
        <f>CONCATENATE(VLOOKUP(AI297, 'Voxel Sizes'!$A$2:$B$18,2,FALSE),"x",INT(AE297*15), "x", INT(AF297*15))</f>
        <v>164x39x43</v>
      </c>
      <c r="AI297">
        <f t="shared" si="85"/>
        <v>10</v>
      </c>
      <c r="AK297" t="str">
        <f>CONCATENATE(VLOOKUP(AI297,Constants!$A$2:$C$16,IF(AJ297&lt;&gt;"", 3, 2), FALSE),IF(AJ297&lt;&gt;"",CONCATENATE(",",VLOOKUP(AJ297,$B:$AK,36,FALSE)),""))</f>
        <v>4,2,4</v>
      </c>
      <c r="AO297" t="s">
        <v>1439</v>
      </c>
      <c r="AQ297" t="s">
        <v>292</v>
      </c>
      <c r="AU297">
        <v>32</v>
      </c>
      <c r="AV297" s="15" t="str">
        <f t="shared" si="86"/>
        <v/>
      </c>
      <c r="AX297">
        <v>5</v>
      </c>
      <c r="AY297">
        <f t="shared" si="87"/>
        <v>12.4</v>
      </c>
      <c r="AZ297">
        <f t="shared" si="88"/>
        <v>6</v>
      </c>
      <c r="BA297">
        <f t="shared" si="89"/>
        <v>3.25</v>
      </c>
      <c r="BB297" s="3">
        <f t="shared" si="90"/>
        <v>0.872</v>
      </c>
      <c r="BC297">
        <f t="shared" si="91"/>
        <v>10.8</v>
      </c>
      <c r="BD297">
        <f>VLOOKUP($E297,Constants!$I:$K, 2, FALSE)</f>
        <v>0.9</v>
      </c>
      <c r="BE297">
        <f>VLOOKUP($E297,Constants!$I:$K, 3, FALSE)*IF(AND(D297="multiple_unit",Y297&lt;110),0.75,1)</f>
        <v>1.2000000000000002</v>
      </c>
      <c r="BF297">
        <f>INT(POWER(((Constants!$G$2+$AY297+$AZ297+$BA297+$BC297)*$BB297)*$BE297, 1.05))+$AX297</f>
        <v>52</v>
      </c>
      <c r="BG297">
        <f>INT(POWER((((Constants!$G$1+$AY297+$AZ297+$BA297+$BC297)*($BB297))*$BD297),IF($D297="wagon",1,1.2)))+$AW297</f>
        <v>76</v>
      </c>
      <c r="BH297" s="14">
        <f t="shared" si="92"/>
        <v>40625</v>
      </c>
      <c r="BI297" s="14">
        <f t="shared" si="93"/>
        <v>6175</v>
      </c>
      <c r="BP297">
        <v>2</v>
      </c>
      <c r="BQ297">
        <v>120</v>
      </c>
      <c r="BS297" t="s">
        <v>283</v>
      </c>
      <c r="BT297" t="str">
        <f>VLOOKUP(G297,Eras!$A$2:$C$10, 2, TRUE)</f>
        <v>prv</v>
      </c>
      <c r="BU297" t="s">
        <v>345</v>
      </c>
      <c r="BV297" t="str">
        <f t="shared" si="94"/>
        <v>prv_LU</v>
      </c>
      <c r="BW297" t="str">
        <f t="shared" si="95"/>
        <v>tube_FOURTH_RAIL</v>
      </c>
      <c r="BX297" t="str">
        <f>VLOOKUP($BW297, Constants!$M:$N, 2, FALSE)</f>
        <v>{BLACK}Powered by: {GOLD}630V DC</v>
      </c>
      <c r="BY297" t="str">
        <f t="shared" si="97"/>
        <v>{BLACK}Cars: {GOLD}3</v>
      </c>
      <c r="BZ297" t="s">
        <v>1434</v>
      </c>
      <c r="CA297" t="str">
        <f t="shared" si="98"/>
        <v>{YELLOW}35% Penalty for long distance travel{}</v>
      </c>
      <c r="CB297" t="str">
        <f t="shared" si="96"/>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298" spans="1:80" x14ac:dyDescent="0.3">
      <c r="A298" t="s">
        <v>107</v>
      </c>
      <c r="B298" t="s">
        <v>201</v>
      </c>
      <c r="C298">
        <v>742</v>
      </c>
      <c r="D298" t="s">
        <v>404</v>
      </c>
      <c r="E298" t="s">
        <v>1109</v>
      </c>
      <c r="F298" t="s">
        <v>1411</v>
      </c>
      <c r="G298">
        <v>2009</v>
      </c>
      <c r="J298">
        <v>4</v>
      </c>
      <c r="K298">
        <v>1200</v>
      </c>
      <c r="T298">
        <f>197.3/2</f>
        <v>98.65</v>
      </c>
      <c r="V298">
        <v>10</v>
      </c>
      <c r="W298">
        <v>75</v>
      </c>
      <c r="X298" s="3">
        <f t="shared" si="84"/>
        <v>7.6026355803345158E-2</v>
      </c>
      <c r="Y298">
        <v>50</v>
      </c>
      <c r="Z298">
        <f t="shared" si="101"/>
        <v>80</v>
      </c>
      <c r="AC298">
        <v>16.594999999999999</v>
      </c>
      <c r="AD298">
        <v>16.594999999999999</v>
      </c>
      <c r="AE298">
        <v>2.68</v>
      </c>
      <c r="AF298">
        <v>2.883</v>
      </c>
      <c r="AG298" s="10">
        <v>141</v>
      </c>
      <c r="AH298" t="str">
        <f>CONCATENATE(VLOOKUP(AI298, 'Voxel Sizes'!$A$2:$B$18,2,FALSE),"x",INT(AE298*15), "x", INT(AF298*15))</f>
        <v>164x40x43</v>
      </c>
      <c r="AI298">
        <f t="shared" si="85"/>
        <v>10</v>
      </c>
      <c r="AK298" t="str">
        <f>CONCATENATE(VLOOKUP(AI298,Constants!$A$2:$C$16,IF(AJ298&lt;&gt;"", 3, 2), FALSE),IF(AJ298&lt;&gt;"",CONCATENATE(",",VLOOKUP(AJ298,$B:$AK,36,FALSE)),""))</f>
        <v>4,2,4</v>
      </c>
      <c r="AO298" t="s">
        <v>1440</v>
      </c>
      <c r="AQ298" t="s">
        <v>465</v>
      </c>
      <c r="AU298">
        <v>31</v>
      </c>
      <c r="AV298" s="15" t="str">
        <f t="shared" si="86"/>
        <v/>
      </c>
      <c r="AX298">
        <v>-8</v>
      </c>
      <c r="AY298">
        <f t="shared" si="87"/>
        <v>10</v>
      </c>
      <c r="AZ298">
        <f t="shared" si="88"/>
        <v>6</v>
      </c>
      <c r="BA298">
        <f t="shared" si="89"/>
        <v>3.75</v>
      </c>
      <c r="BB298" s="3">
        <f t="shared" si="90"/>
        <v>0.85466666666666669</v>
      </c>
      <c r="BC298">
        <f t="shared" si="91"/>
        <v>18.799999999999997</v>
      </c>
      <c r="BD298">
        <f>VLOOKUP($E298,Constants!$I:$K, 2, FALSE)</f>
        <v>0.9</v>
      </c>
      <c r="BE298">
        <f>VLOOKUP($E298,Constants!$I:$K, 3, FALSE)*IF(AND(D298="multiple_unit",Y298&lt;110),0.75,1)</f>
        <v>1.2000000000000002</v>
      </c>
      <c r="BF298">
        <f>INT(POWER(((Constants!$G$2+$AY298+$AZ298+$BA298+$BC298)*$BB298)*$BE298, 1.05))+$AX298</f>
        <v>46</v>
      </c>
      <c r="BG298">
        <f>INT(POWER((((Constants!$G$1+$AY298+$AZ298+$BA298+$BC298)*($BB298))*$BD298),IF($D298="wagon",1,1.2)))+$AW298</f>
        <v>86</v>
      </c>
      <c r="BH298" s="14">
        <f t="shared" si="92"/>
        <v>35937.5</v>
      </c>
      <c r="BI298" s="14">
        <f t="shared" si="93"/>
        <v>6987.5</v>
      </c>
      <c r="BP298">
        <v>12</v>
      </c>
      <c r="BQ298">
        <v>120</v>
      </c>
      <c r="BS298" t="s">
        <v>283</v>
      </c>
      <c r="BT298" t="str">
        <f>VLOOKUP(G298,Eras!$A$2:$C$10, 2, TRUE)</f>
        <v>mod</v>
      </c>
      <c r="BU298" t="s">
        <v>345</v>
      </c>
      <c r="BV298" t="str">
        <f t="shared" si="94"/>
        <v>mod_LU</v>
      </c>
      <c r="BW298" t="str">
        <f t="shared" si="95"/>
        <v>tube_FOURTH_RAIL</v>
      </c>
      <c r="BX298" t="str">
        <f>VLOOKUP($BW298, Constants!$M:$N, 2, FALSE)</f>
        <v>{BLACK}Powered by: {GOLD}630V DC</v>
      </c>
      <c r="BY298" t="str">
        <f t="shared" si="97"/>
        <v>{BLACK}Cars: {GOLD}4</v>
      </c>
      <c r="BZ298" t="s">
        <v>1441</v>
      </c>
      <c r="CA298" t="str">
        <f t="shared" si="98"/>
        <v>{YELLOW}35% Penalty for long distance travel{}</v>
      </c>
      <c r="CB298" t="str">
        <f t="shared" si="96"/>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299" spans="1:80" x14ac:dyDescent="0.3">
      <c r="A299" t="s">
        <v>1442</v>
      </c>
      <c r="B299" t="s">
        <v>202</v>
      </c>
      <c r="C299">
        <v>744</v>
      </c>
      <c r="D299" t="s">
        <v>404</v>
      </c>
      <c r="E299" t="s">
        <v>1109</v>
      </c>
      <c r="F299" t="s">
        <v>1411</v>
      </c>
      <c r="G299">
        <v>2010</v>
      </c>
      <c r="J299">
        <v>7</v>
      </c>
      <c r="K299">
        <v>2400</v>
      </c>
      <c r="T299">
        <v>213.7</v>
      </c>
      <c r="V299">
        <v>10</v>
      </c>
      <c r="W299">
        <v>180</v>
      </c>
      <c r="X299" s="3">
        <f t="shared" si="84"/>
        <v>8.4230229293401959E-2</v>
      </c>
      <c r="Y299">
        <v>62</v>
      </c>
      <c r="Z299">
        <f t="shared" si="101"/>
        <v>99</v>
      </c>
      <c r="AC299">
        <v>17.45</v>
      </c>
      <c r="AD299">
        <v>17.45</v>
      </c>
      <c r="AE299">
        <v>2.92</v>
      </c>
      <c r="AF299">
        <v>3.68</v>
      </c>
      <c r="AG299" s="10">
        <v>156</v>
      </c>
      <c r="AH299" t="str">
        <f>CONCATENATE(VLOOKUP(AI299, 'Voxel Sizes'!$A$2:$B$18,2,FALSE),"x",INT(AE299*15), "x", INT(AF299*15))</f>
        <v>164x43x55</v>
      </c>
      <c r="AI299">
        <f t="shared" si="85"/>
        <v>10</v>
      </c>
      <c r="AK299" t="str">
        <f>CONCATENATE(VLOOKUP(AI299,Constants!$A$2:$C$16,IF(AJ299&lt;&gt;"", 3, 2), FALSE),IF(AJ299&lt;&gt;"",CONCATENATE(",",VLOOKUP(AJ299,$B:$AK,36,FALSE)),""))</f>
        <v>4,2,4</v>
      </c>
      <c r="AO299" t="s">
        <v>1443</v>
      </c>
      <c r="AQ299" t="s">
        <v>1444</v>
      </c>
      <c r="AU299">
        <v>34</v>
      </c>
      <c r="AV299" s="15" t="str">
        <f t="shared" si="86"/>
        <v/>
      </c>
      <c r="AY299">
        <f t="shared" si="87"/>
        <v>12.4</v>
      </c>
      <c r="AZ299">
        <f t="shared" si="88"/>
        <v>12</v>
      </c>
      <c r="BA299">
        <f t="shared" si="89"/>
        <v>9</v>
      </c>
      <c r="BB299" s="3">
        <f t="shared" si="90"/>
        <v>0.85333333333333328</v>
      </c>
      <c r="BC299">
        <f t="shared" si="91"/>
        <v>36.4</v>
      </c>
      <c r="BD299">
        <f>VLOOKUP($E299,Constants!$I:$K, 2, FALSE)</f>
        <v>0.9</v>
      </c>
      <c r="BE299">
        <f>VLOOKUP($E299,Constants!$I:$K, 3, FALSE)*IF(AND(D299="multiple_unit",Y299&lt;110),0.75,1)</f>
        <v>1.2000000000000002</v>
      </c>
      <c r="BF299">
        <f>INT(POWER(((Constants!$G$2+$AY299+$AZ299+$BA299+$BC299)*$BB299)*$BE299, 1.05))+$AX299</f>
        <v>95</v>
      </c>
      <c r="BG299">
        <f>INT(POWER((((Constants!$G$1+$AY299+$AZ299+$BA299+$BC299)*($BB299))*$BD299),IF($D299="wagon",1,1.2)))+$AW299</f>
        <v>150</v>
      </c>
      <c r="BH299" s="14">
        <f t="shared" si="92"/>
        <v>74218.75</v>
      </c>
      <c r="BI299" s="14">
        <f t="shared" si="93"/>
        <v>12187.5</v>
      </c>
      <c r="BO299" t="s">
        <v>1146</v>
      </c>
      <c r="BP299">
        <v>1</v>
      </c>
      <c r="BQ299">
        <v>120</v>
      </c>
      <c r="BS299" t="s">
        <v>283</v>
      </c>
      <c r="BT299" t="str">
        <f>VLOOKUP(G299,Eras!$A$2:$C$10, 2, TRUE)</f>
        <v>mod</v>
      </c>
      <c r="BU299" t="s">
        <v>345</v>
      </c>
      <c r="BV299" t="str">
        <f t="shared" si="94"/>
        <v>mod_LU</v>
      </c>
      <c r="BW299" t="str">
        <f t="shared" si="95"/>
        <v>tube_FOURTH_RAIL</v>
      </c>
      <c r="BX299" t="str">
        <f>VLOOKUP($BW299, Constants!$M:$N, 2, FALSE)</f>
        <v>{BLACK}Powered by: {GOLD}630V DC</v>
      </c>
      <c r="BY299" t="str">
        <f t="shared" si="97"/>
        <v>{BLACK}Cars: {GOLD}7</v>
      </c>
      <c r="BZ299" t="s">
        <v>1445</v>
      </c>
      <c r="CA299" t="str">
        <f t="shared" si="98"/>
        <v>{YELLOW}35% Penalty for long distance travel{}</v>
      </c>
      <c r="CB299" t="str">
        <f t="shared" si="96"/>
        <v>{BLACK}Powered by: {GOLD}630V DC {BLACK}Cars: {GOLD}7{}{YELLOW}35% Penalty for long distance travel{}{SILVER}The S stock is the standard stock for London Underground's surface lines. It replaces several types of stock, some of which had become severely outdated and unreliable by 2010.</v>
      </c>
    </row>
    <row r="300" spans="1:80" x14ac:dyDescent="0.3">
      <c r="A300" t="s">
        <v>1446</v>
      </c>
      <c r="B300" t="s">
        <v>1449</v>
      </c>
      <c r="C300">
        <v>745</v>
      </c>
      <c r="D300" t="s">
        <v>404</v>
      </c>
      <c r="E300" t="s">
        <v>1109</v>
      </c>
      <c r="F300" t="s">
        <v>1411</v>
      </c>
      <c r="G300">
        <v>2010</v>
      </c>
      <c r="J300">
        <v>6</v>
      </c>
      <c r="K300">
        <v>2400</v>
      </c>
      <c r="T300">
        <f>213.7/7*6</f>
        <v>183.17142857142858</v>
      </c>
      <c r="V300">
        <v>10</v>
      </c>
      <c r="W300">
        <v>180</v>
      </c>
      <c r="X300" s="3">
        <f t="shared" si="84"/>
        <v>9.8268600842302295E-2</v>
      </c>
      <c r="Y300">
        <v>62</v>
      </c>
      <c r="Z300">
        <f t="shared" si="101"/>
        <v>99</v>
      </c>
      <c r="AC300">
        <v>17.45</v>
      </c>
      <c r="AD300">
        <v>17.45</v>
      </c>
      <c r="AE300">
        <v>2.92</v>
      </c>
      <c r="AF300">
        <v>3.68</v>
      </c>
      <c r="AG300" s="10">
        <v>156</v>
      </c>
      <c r="AH300" t="str">
        <f>CONCATENATE(VLOOKUP(AI300, 'Voxel Sizes'!$A$2:$B$18,2,FALSE),"x",INT(AE300*15), "x", INT(AF300*15))</f>
        <v>164x43x55</v>
      </c>
      <c r="AI300">
        <f t="shared" si="85"/>
        <v>10</v>
      </c>
      <c r="AK300" t="str">
        <f>CONCATENATE(VLOOKUP(AI300,Constants!$A$2:$C$16,IF(AJ300&lt;&gt;"", 3, 2), FALSE),IF(AJ300&lt;&gt;"",CONCATENATE(",",VLOOKUP(AJ300,$B:$AK,36,FALSE)),""))</f>
        <v>4,2,4</v>
      </c>
      <c r="AO300" t="s">
        <v>1447</v>
      </c>
      <c r="AQ300" t="s">
        <v>1304</v>
      </c>
      <c r="AR300" t="s">
        <v>202</v>
      </c>
      <c r="AU300">
        <v>34</v>
      </c>
      <c r="AV300" s="15" t="str">
        <f t="shared" si="86"/>
        <v/>
      </c>
      <c r="AY300">
        <f t="shared" si="87"/>
        <v>12.4</v>
      </c>
      <c r="AZ300">
        <f t="shared" si="88"/>
        <v>12</v>
      </c>
      <c r="BA300">
        <f t="shared" si="89"/>
        <v>9</v>
      </c>
      <c r="BB300" s="3">
        <f t="shared" si="90"/>
        <v>0.85333333333333328</v>
      </c>
      <c r="BC300">
        <f t="shared" si="91"/>
        <v>31.200000000000003</v>
      </c>
      <c r="BD300">
        <f>VLOOKUP($E300,Constants!$I:$K, 2, FALSE)</f>
        <v>0.9</v>
      </c>
      <c r="BE300">
        <f>VLOOKUP($E300,Constants!$I:$K, 3, FALSE)*IF(AND(D300="multiple_unit",Y300&lt;110),0.75,1)</f>
        <v>1.2000000000000002</v>
      </c>
      <c r="BF300">
        <f>INT(POWER(((Constants!$G$2+$AY300+$AZ300+$BA300+$BC300)*$BB300)*$BE300, 1.05))+$AX300</f>
        <v>88</v>
      </c>
      <c r="BG300">
        <f>INT(POWER((((Constants!$G$1+$AY300+$AZ300+$BA300+$BC300)*($BB300))*$BD300),IF($D300="wagon",1,1.2)))+$AW300</f>
        <v>139</v>
      </c>
      <c r="BH300" s="14">
        <f t="shared" si="92"/>
        <v>68750</v>
      </c>
      <c r="BI300" s="14">
        <f t="shared" si="93"/>
        <v>11293.75</v>
      </c>
      <c r="BO300" t="s">
        <v>1148</v>
      </c>
      <c r="BP300">
        <v>1</v>
      </c>
      <c r="BQ300">
        <v>120</v>
      </c>
      <c r="BS300" t="s">
        <v>283</v>
      </c>
      <c r="BT300" t="str">
        <f>VLOOKUP(G300,Eras!$A$2:$C$10, 2, TRUE)</f>
        <v>mod</v>
      </c>
      <c r="BU300" t="s">
        <v>345</v>
      </c>
      <c r="BV300" t="str">
        <f t="shared" si="94"/>
        <v>mod_LU</v>
      </c>
      <c r="BW300" t="str">
        <f t="shared" si="95"/>
        <v>tube_FOURTH_RAIL</v>
      </c>
      <c r="BX300" t="str">
        <f>VLOOKUP($BW300, Constants!$M:$N, 2, FALSE)</f>
        <v>{BLACK}Powered by: {GOLD}630V DC</v>
      </c>
      <c r="BY300" t="str">
        <f t="shared" si="97"/>
        <v>{BLACK}Cars: {GOLD}6</v>
      </c>
      <c r="BZ300" t="s">
        <v>1448</v>
      </c>
      <c r="CA300" t="str">
        <f t="shared" si="98"/>
        <v>{YELLOW}35% Penalty for long distance travel{}</v>
      </c>
      <c r="CB300" t="str">
        <f t="shared" si="96"/>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1" spans="1:80" x14ac:dyDescent="0.3">
      <c r="A301" t="s">
        <v>1493</v>
      </c>
      <c r="B301" t="s">
        <v>1494</v>
      </c>
      <c r="C301">
        <v>746</v>
      </c>
      <c r="D301" t="s">
        <v>404</v>
      </c>
      <c r="E301" t="s">
        <v>1109</v>
      </c>
      <c r="F301" t="s">
        <v>1411</v>
      </c>
      <c r="G301">
        <v>2025</v>
      </c>
      <c r="J301">
        <v>9</v>
      </c>
      <c r="K301">
        <v>3400</v>
      </c>
      <c r="T301">
        <v>190</v>
      </c>
      <c r="V301">
        <v>10</v>
      </c>
      <c r="W301">
        <v>160</v>
      </c>
      <c r="X301" s="3">
        <f t="shared" si="84"/>
        <v>8.4210526315789472E-2</v>
      </c>
      <c r="Y301">
        <v>62</v>
      </c>
      <c r="Z301">
        <f t="shared" si="101"/>
        <v>99</v>
      </c>
      <c r="AC301">
        <f>113.7/9</f>
        <v>12.633333333333333</v>
      </c>
      <c r="AD301">
        <v>12.6</v>
      </c>
      <c r="AE301">
        <v>2.6</v>
      </c>
      <c r="AF301">
        <v>2.8</v>
      </c>
      <c r="AG301" s="10">
        <v>119</v>
      </c>
      <c r="AH301" t="str">
        <f>CONCATENATE(VLOOKUP(AI301, 'Voxel Sizes'!$A$2:$B$18,2,FALSE),"x",INT(AE301*15), "x", INT(AF301*15))</f>
        <v>120x39x42</v>
      </c>
      <c r="AI301">
        <f t="shared" si="85"/>
        <v>7</v>
      </c>
      <c r="AK301" t="str">
        <f>CONCATENATE(VLOOKUP(AI301,Constants!$A$2:$C$16,IF(AJ301&lt;&gt;"", 3, 2), FALSE),IF(AJ301&lt;&gt;"",CONCATENATE(",",VLOOKUP(AJ301,$B:$AK,36,FALSE)),""))</f>
        <v>2,3,2</v>
      </c>
      <c r="AO301" t="s">
        <v>1495</v>
      </c>
      <c r="AQ301" t="s">
        <v>1496</v>
      </c>
      <c r="AU301">
        <v>32</v>
      </c>
      <c r="AV301" s="15" t="str">
        <f t="shared" si="86"/>
        <v/>
      </c>
      <c r="AY301">
        <f t="shared" si="87"/>
        <v>12.4</v>
      </c>
      <c r="AZ301">
        <f t="shared" si="88"/>
        <v>17</v>
      </c>
      <c r="BA301">
        <f t="shared" si="89"/>
        <v>8</v>
      </c>
      <c r="BB301" s="3">
        <f t="shared" si="90"/>
        <v>0.83333333333333337</v>
      </c>
      <c r="BC301">
        <f t="shared" si="91"/>
        <v>35.699999999999996</v>
      </c>
      <c r="BD301">
        <f>VLOOKUP($E301,Constants!$I:$K, 2, FALSE)</f>
        <v>0.9</v>
      </c>
      <c r="BE301">
        <f>VLOOKUP($E301,Constants!$I:$K, 3, FALSE)*IF(AND(D301="multiple_unit",Y301&lt;110),0.75,1)</f>
        <v>1.2000000000000002</v>
      </c>
      <c r="BF301">
        <f>INT(POWER(((Constants!$G$2+$AY301+$AZ301+$BA301+$BC301)*$BB301)*$BE301, 1.05))+$AX301</f>
        <v>97</v>
      </c>
      <c r="BG301">
        <f>INT(POWER((((Constants!$G$1+$AY301+$AZ301+$BA301+$BC301)*($BB301))*$BD301),IF($D301="wagon",1,1.2)))+$AW301</f>
        <v>152</v>
      </c>
      <c r="BH301" s="14">
        <f t="shared" si="92"/>
        <v>75781.25</v>
      </c>
      <c r="BI301" s="14">
        <f t="shared" si="93"/>
        <v>12350</v>
      </c>
      <c r="BP301">
        <v>6</v>
      </c>
      <c r="BQ301">
        <v>120</v>
      </c>
      <c r="BS301" t="s">
        <v>283</v>
      </c>
      <c r="BT301" t="str">
        <f>VLOOKUP(G301,Eras!$A$2:$C$10, 2, TRUE)</f>
        <v>mod</v>
      </c>
      <c r="BU301" t="s">
        <v>345</v>
      </c>
      <c r="BV301" t="str">
        <f t="shared" si="94"/>
        <v>mod_LU</v>
      </c>
      <c r="BW301" t="str">
        <f t="shared" si="95"/>
        <v>tube_FOURTH_RAIL</v>
      </c>
      <c r="BX301" t="str">
        <f>VLOOKUP($BW301, Constants!$M:$N, 2, FALSE)</f>
        <v>{BLACK}Powered by: {GOLD}630V DC</v>
      </c>
      <c r="BY301" t="str">
        <f t="shared" si="97"/>
        <v>{BLACK}Cars: {GOLD}9</v>
      </c>
      <c r="BZ301" t="s">
        <v>1497</v>
      </c>
      <c r="CA301" t="str">
        <f t="shared" si="98"/>
        <v>{YELLOW}35% Penalty for long distance travel{}</v>
      </c>
      <c r="CB301" t="str">
        <f t="shared" si="96"/>
        <v>{BLACK}Powered by: {GOLD}630V DC {BLACK}Cars: {GOLD}9{}{YELLOW}35% Penalty for long distance travel{}{SILVER}The New Tube for London is intended to replace all of London Underground's existing deep-level Tube stock, starting with the 1973 stock on the Piccadilly Line.</v>
      </c>
    </row>
    <row r="302" spans="1:80" x14ac:dyDescent="0.3">
      <c r="A302" t="s">
        <v>1451</v>
      </c>
      <c r="B302" t="s">
        <v>1452</v>
      </c>
      <c r="C302">
        <v>750</v>
      </c>
      <c r="D302" t="s">
        <v>404</v>
      </c>
      <c r="E302" t="s">
        <v>1109</v>
      </c>
      <c r="F302" t="s">
        <v>1411</v>
      </c>
      <c r="G302">
        <v>1980</v>
      </c>
      <c r="J302">
        <v>3</v>
      </c>
      <c r="K302">
        <v>300</v>
      </c>
      <c r="T302">
        <v>60</v>
      </c>
      <c r="V302">
        <v>9</v>
      </c>
      <c r="W302">
        <v>45</v>
      </c>
      <c r="X302" s="3">
        <f t="shared" si="84"/>
        <v>7.4999999999999997E-2</v>
      </c>
      <c r="Y302">
        <v>34</v>
      </c>
      <c r="Z302">
        <f t="shared" si="101"/>
        <v>54</v>
      </c>
      <c r="AC302">
        <v>12.58</v>
      </c>
      <c r="AD302">
        <v>12.58</v>
      </c>
      <c r="AE302">
        <v>2.34</v>
      </c>
      <c r="AF302">
        <v>2.65</v>
      </c>
      <c r="AG302" s="10">
        <v>90</v>
      </c>
      <c r="AH302" t="str">
        <f>CONCATENATE(VLOOKUP(AI302, 'Voxel Sizes'!$A$2:$B$18,2,FALSE),"x",INT(AE302*15), "x", INT(AF302*15))</f>
        <v>120x35x39</v>
      </c>
      <c r="AI302">
        <f t="shared" si="85"/>
        <v>7</v>
      </c>
      <c r="AK302" t="str">
        <f>CONCATENATE(VLOOKUP(AI302,Constants!$A$2:$C$16,IF(AJ302&lt;&gt;"", 3, 2), FALSE),IF(AJ302&lt;&gt;"",CONCATENATE(",",VLOOKUP(AJ302,$B:$AK,36,FALSE)),""))</f>
        <v>2,3,2</v>
      </c>
      <c r="AO302" t="s">
        <v>1454</v>
      </c>
      <c r="AQ302" t="s">
        <v>292</v>
      </c>
      <c r="AU302">
        <v>33</v>
      </c>
      <c r="AV302" s="15" t="str">
        <f t="shared" si="86"/>
        <v/>
      </c>
      <c r="AY302">
        <f t="shared" si="87"/>
        <v>6.8</v>
      </c>
      <c r="AZ302">
        <f t="shared" si="88"/>
        <v>1.5</v>
      </c>
      <c r="BA302">
        <f t="shared" si="89"/>
        <v>2.25</v>
      </c>
      <c r="BB302" s="3">
        <f t="shared" si="90"/>
        <v>0.89333333333333331</v>
      </c>
      <c r="BC302">
        <f t="shared" si="91"/>
        <v>9</v>
      </c>
      <c r="BD302">
        <f>VLOOKUP($E302,Constants!$I:$K, 2, FALSE)</f>
        <v>0.9</v>
      </c>
      <c r="BE302">
        <f>VLOOKUP($E302,Constants!$I:$K, 3, FALSE)*IF(AND(D302="multiple_unit",Y302&lt;110),0.75,1)</f>
        <v>1.2000000000000002</v>
      </c>
      <c r="BF302">
        <f>INT(POWER(((Constants!$G$2+$AY302+$AZ302+$BA302+$BC302)*$BB302)*$BE302, 1.05))+$AX302</f>
        <v>30</v>
      </c>
      <c r="BG302">
        <f>INT(POWER((((Constants!$G$1+$AY302+$AZ302+$BA302+$BC302)*($BB302))*$BD302),IF($D302="wagon",1,1.2)))+$AW302</f>
        <v>54</v>
      </c>
      <c r="BH302" s="14">
        <f t="shared" si="92"/>
        <v>23437.5</v>
      </c>
      <c r="BI302" s="14">
        <f t="shared" si="93"/>
        <v>4387.5</v>
      </c>
      <c r="BP302">
        <v>5</v>
      </c>
      <c r="BQ302">
        <v>120</v>
      </c>
      <c r="BS302" t="s">
        <v>283</v>
      </c>
      <c r="BT302" t="str">
        <f>VLOOKUP(G302,Eras!$A$2:$C$10, 2, TRUE)</f>
        <v>lbr</v>
      </c>
      <c r="BU302" t="s">
        <v>345</v>
      </c>
      <c r="BV302" t="str">
        <f t="shared" si="94"/>
        <v>lbr_LU</v>
      </c>
      <c r="BW302" t="str">
        <f t="shared" si="95"/>
        <v>tube_FOURTH_RAIL</v>
      </c>
      <c r="BX302" t="str">
        <f>VLOOKUP($BW302, Constants!$M:$N, 2, FALSE)</f>
        <v>{BLACK}Powered by: {GOLD}630V DC</v>
      </c>
      <c r="BY302" t="str">
        <f t="shared" si="97"/>
        <v>{BLACK}Cars: {GOLD}3</v>
      </c>
      <c r="BZ302" t="s">
        <v>1453</v>
      </c>
      <c r="CA302" t="str">
        <f t="shared" si="98"/>
        <v>{YELLOW}35% Penalty for long distance travel{}</v>
      </c>
      <c r="CB302" t="str">
        <f t="shared" si="96"/>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BZ302" xr:uid="{CF2E8555-48EE-4386-A1B1-369F6A2E644F}">
    <sortState xmlns:xlrd2="http://schemas.microsoft.com/office/spreadsheetml/2017/richdata2" ref="A2:BZ294">
      <sortCondition ref="C120"/>
    </sortState>
  </autoFilter>
  <sortState xmlns:xlrd2="http://schemas.microsoft.com/office/spreadsheetml/2017/richdata2" ref="A2:CB302">
    <sortCondition ref="C282:C30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BU1:BU1048576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377</v>
      </c>
      <c r="D1" s="1" t="s">
        <v>327</v>
      </c>
      <c r="E1" s="1" t="s">
        <v>326</v>
      </c>
      <c r="F1" s="1" t="s">
        <v>328</v>
      </c>
      <c r="G1" s="1" t="s">
        <v>329</v>
      </c>
      <c r="H1" s="1" t="s">
        <v>337</v>
      </c>
      <c r="I1" s="1" t="s">
        <v>338</v>
      </c>
      <c r="J1" s="1" t="s">
        <v>339</v>
      </c>
      <c r="K1" s="1" t="s">
        <v>330</v>
      </c>
      <c r="L1" s="1" t="s">
        <v>331</v>
      </c>
      <c r="M1" s="1" t="s">
        <v>332</v>
      </c>
      <c r="N1" s="1" t="s">
        <v>333</v>
      </c>
      <c r="O1" s="1" t="s">
        <v>334</v>
      </c>
      <c r="P1" s="1" t="s">
        <v>345</v>
      </c>
      <c r="Q1" s="1" t="s">
        <v>335</v>
      </c>
      <c r="R1" s="1" t="s">
        <v>336</v>
      </c>
      <c r="S1" s="1" t="s">
        <v>340</v>
      </c>
      <c r="T1" s="1" t="s">
        <v>341</v>
      </c>
      <c r="U1" s="1" t="s">
        <v>342</v>
      </c>
      <c r="V1" s="1" t="s">
        <v>343</v>
      </c>
      <c r="W1" s="1" t="s">
        <v>695</v>
      </c>
    </row>
    <row r="2" spans="1:23" x14ac:dyDescent="0.3">
      <c r="A2" s="1" t="s">
        <v>324</v>
      </c>
      <c r="B2" s="1" t="s">
        <v>325</v>
      </c>
    </row>
    <row r="3" spans="1:23" x14ac:dyDescent="0.3">
      <c r="A3" t="s">
        <v>317</v>
      </c>
      <c r="B3" t="str">
        <f>VLOOKUP(A3, Eras!$B$2:$C$10, 2, FALSE)</f>
        <v>Early (1800-1850)</v>
      </c>
      <c r="C3">
        <f>COUNTIF(Table!$BV:$BV,CONCATENATE($A3,"_",C$1))</f>
        <v>0</v>
      </c>
      <c r="D3">
        <f>COUNTIF(Table!$BV:$BV,CONCATENATE($A3,"_",D$1))</f>
        <v>9</v>
      </c>
      <c r="E3">
        <f>COUNTIF(Table!$BV:$BV,CONCATENATE($A3,"_",E$1))</f>
        <v>0</v>
      </c>
      <c r="F3">
        <f>COUNTIF(Table!$BV:$BV,CONCATENATE($A3,"_",F$1))</f>
        <v>1</v>
      </c>
      <c r="G3">
        <f>COUNTIF(Table!$BV:$BV,CONCATENATE($A3,"_",G$1))</f>
        <v>0</v>
      </c>
      <c r="H3">
        <f>COUNTIF(Table!$BV:$BV,CONCATENATE($A3,"_",H$1))</f>
        <v>0</v>
      </c>
      <c r="I3">
        <f>COUNTIF(Table!$BV:$BV,CONCATENATE($A3,"_",I$1))</f>
        <v>0</v>
      </c>
      <c r="J3">
        <f>COUNTIF(Table!$BV:$BV,CONCATENATE($A3,"_",J$1))</f>
        <v>0</v>
      </c>
      <c r="K3">
        <f>COUNTIF(Table!$BV:$BV,CONCATENATE($A3,"_",K$1))</f>
        <v>0</v>
      </c>
      <c r="L3">
        <f>COUNTIF(Table!$BV:$BV,CONCATENATE($A3,"_",L$1))</f>
        <v>0</v>
      </c>
      <c r="M3">
        <f>COUNTIF(Table!$BV:$BV,CONCATENATE($A3,"_",M$1))</f>
        <v>0</v>
      </c>
      <c r="N3">
        <f>COUNTIF(Table!$BV:$BV,CONCATENATE($A3,"_",N$1))</f>
        <v>0</v>
      </c>
      <c r="O3">
        <f>COUNTIF(Table!$BV:$BV,CONCATENATE($A3,"_",O$1))</f>
        <v>0</v>
      </c>
      <c r="P3">
        <f>COUNTIF(Table!$BV:$BV,CONCATENATE($A3,"_",P$1))</f>
        <v>0</v>
      </c>
      <c r="Q3">
        <f>COUNTIF(Table!$BV:$BV,CONCATENATE($A3,"_",Q$1))</f>
        <v>2</v>
      </c>
      <c r="R3">
        <f>COUNTIF(Table!$BV:$BV,CONCATENATE($A3,"_",R$1))</f>
        <v>0</v>
      </c>
      <c r="S3">
        <f>COUNTIF(Table!$BV:$BV,CONCATENATE($A3,"_",S$1))</f>
        <v>1</v>
      </c>
      <c r="T3">
        <f>COUNTIF(Table!$BV:$BV,CONCATENATE($A3,"_",T$1))</f>
        <v>1</v>
      </c>
      <c r="U3">
        <f>COUNTIF(Table!$BV:$BV,CONCATENATE($A3,"_",U$1))</f>
        <v>1</v>
      </c>
      <c r="V3">
        <f>COUNTIF(Table!$BV:$BV,CONCATENATE($A3,"_",V$1))</f>
        <v>0</v>
      </c>
      <c r="W3">
        <f>COUNTIF(Table!$BV:$BV,CONCATENATE($A3,"_",W$1))</f>
        <v>1</v>
      </c>
    </row>
    <row r="4" spans="1:23" x14ac:dyDescent="0.3">
      <c r="A4" t="s">
        <v>384</v>
      </c>
      <c r="B4" t="str">
        <f>VLOOKUP(A4, Eras!$B$2:$C$10, 2, FALSE)</f>
        <v>Victorian (1850-1900)</v>
      </c>
      <c r="C4">
        <f>COUNTIF(Table!$BV:$BV,CONCATENATE($A4,"_",C$1))</f>
        <v>0</v>
      </c>
      <c r="D4">
        <f>COUNTIF(Table!$BV:$BV,CONCATENATE($A4,"_",D$1))</f>
        <v>4</v>
      </c>
      <c r="E4">
        <f>COUNTIF(Table!$BV:$BV,CONCATENATE($A4,"_",E$1))</f>
        <v>2</v>
      </c>
      <c r="F4">
        <f>COUNTIF(Table!$BV:$BV,CONCATENATE($A4,"_",F$1))</f>
        <v>3</v>
      </c>
      <c r="G4">
        <f>COUNTIF(Table!$BV:$BV,CONCATENATE($A4,"_",G$1))</f>
        <v>3</v>
      </c>
      <c r="H4">
        <f>COUNTIF(Table!$BV:$BV,CONCATENATE($A4,"_",H$1))</f>
        <v>0</v>
      </c>
      <c r="I4">
        <f>COUNTIF(Table!$BV:$BV,CONCATENATE($A4,"_",I$1))</f>
        <v>0</v>
      </c>
      <c r="J4">
        <f>COUNTIF(Table!$BV:$BV,CONCATENATE($A4,"_",J$1))</f>
        <v>0</v>
      </c>
      <c r="K4">
        <f>COUNTIF(Table!$BV:$BV,CONCATENATE($A4,"_",K$1))</f>
        <v>0</v>
      </c>
      <c r="L4">
        <f>COUNTIF(Table!$BV:$BV,CONCATENATE($A4,"_",L$1))</f>
        <v>0</v>
      </c>
      <c r="M4">
        <f>COUNTIF(Table!$BV:$BV,CONCATENATE($A4,"_",M$1))</f>
        <v>0</v>
      </c>
      <c r="N4">
        <f>COUNTIF(Table!$BV:$BV,CONCATENATE($A4,"_",N$1))</f>
        <v>0</v>
      </c>
      <c r="O4">
        <f>COUNTIF(Table!$BV:$BV,CONCATENATE($A4,"_",O$1))</f>
        <v>0</v>
      </c>
      <c r="P4">
        <f>COUNTIF(Table!$BV:$BV,CONCATENATE($A4,"_",P$1))</f>
        <v>1</v>
      </c>
      <c r="Q4">
        <f>COUNTIF(Table!$BV:$BV,CONCATENATE($A4,"_",Q$1))</f>
        <v>6</v>
      </c>
      <c r="R4">
        <f>COUNTIF(Table!$BV:$BV,CONCATENATE($A4,"_",R$1))</f>
        <v>1</v>
      </c>
      <c r="S4">
        <f>COUNTIF(Table!$BV:$BV,CONCATENATE($A4,"_",S$1))</f>
        <v>1</v>
      </c>
      <c r="T4">
        <f>COUNTIF(Table!$BV:$BV,CONCATENATE($A4,"_",T$1))</f>
        <v>1</v>
      </c>
      <c r="U4">
        <f>COUNTIF(Table!$BV:$BV,CONCATENATE($A4,"_",U$1))</f>
        <v>2</v>
      </c>
      <c r="V4">
        <f>COUNTIF(Table!$BV:$BV,CONCATENATE($A4,"_",V$1))</f>
        <v>1</v>
      </c>
      <c r="W4">
        <f>COUNTIF(Table!$BV:$BV,CONCATENATE($A4,"_",W$1))</f>
        <v>2</v>
      </c>
    </row>
    <row r="5" spans="1:23" x14ac:dyDescent="0.3">
      <c r="A5" t="s">
        <v>318</v>
      </c>
      <c r="B5" t="str">
        <f>VLOOKUP(A5, Eras!$B$2:$C$10, 2, FALSE)</f>
        <v>Edwardian (1900-1920)</v>
      </c>
      <c r="C5">
        <f>COUNTIF(Table!$BV:$BV,CONCATENATE($A5,"_",C$1))</f>
        <v>2</v>
      </c>
      <c r="D5">
        <f>COUNTIF(Table!$BV:$BV,CONCATENATE($A5,"_",D$1))</f>
        <v>2</v>
      </c>
      <c r="E5">
        <f>COUNTIF(Table!$BV:$BV,CONCATENATE($A5,"_",E$1))</f>
        <v>2</v>
      </c>
      <c r="F5">
        <f>COUNTIF(Table!$BV:$BV,CONCATENATE($A5,"_",F$1))</f>
        <v>3</v>
      </c>
      <c r="G5">
        <f>COUNTIF(Table!$BV:$BV,CONCATENATE($A5,"_",G$1))</f>
        <v>5</v>
      </c>
      <c r="H5">
        <f>COUNTIF(Table!$BV:$BV,CONCATENATE($A5,"_",H$1))</f>
        <v>0</v>
      </c>
      <c r="I5">
        <f>COUNTIF(Table!$BV:$BV,CONCATENATE($A5,"_",I$1))</f>
        <v>0</v>
      </c>
      <c r="J5">
        <f>COUNTIF(Table!$BV:$BV,CONCATENATE($A5,"_",J$1))</f>
        <v>2</v>
      </c>
      <c r="K5">
        <f>COUNTIF(Table!$BV:$BV,CONCATENATE($A5,"_",K$1))</f>
        <v>1</v>
      </c>
      <c r="L5">
        <f>COUNTIF(Table!$BV:$BV,CONCATENATE($A5,"_",L$1))</f>
        <v>0</v>
      </c>
      <c r="M5">
        <f>COUNTIF(Table!$BV:$BV,CONCATENATE($A5,"_",M$1))</f>
        <v>0</v>
      </c>
      <c r="N5">
        <f>COUNTIF(Table!$BV:$BV,CONCATENATE($A5,"_",N$1))</f>
        <v>1</v>
      </c>
      <c r="O5">
        <f>COUNTIF(Table!$BV:$BV,CONCATENATE($A5,"_",O$1))</f>
        <v>0</v>
      </c>
      <c r="P5">
        <f>COUNTIF(Table!$BV:$BV,CONCATENATE($A5,"_",P$1))</f>
        <v>2</v>
      </c>
      <c r="Q5">
        <f>COUNTIF(Table!$BV:$BV,CONCATENATE($A5,"_",Q$1))</f>
        <v>1</v>
      </c>
      <c r="R5">
        <f>COUNTIF(Table!$BV:$BV,CONCATENATE($A5,"_",R$1))</f>
        <v>2</v>
      </c>
      <c r="S5">
        <f>COUNTIF(Table!$BV:$BV,CONCATENATE($A5,"_",S$1))</f>
        <v>1</v>
      </c>
      <c r="T5">
        <f>COUNTIF(Table!$BV:$BV,CONCATENATE($A5,"_",T$1))</f>
        <v>2</v>
      </c>
      <c r="U5">
        <f>COUNTIF(Table!$BV:$BV,CONCATENATE($A5,"_",U$1))</f>
        <v>2</v>
      </c>
      <c r="V5">
        <f>COUNTIF(Table!$BV:$BV,CONCATENATE($A5,"_",V$1))</f>
        <v>1</v>
      </c>
      <c r="W5">
        <f>COUNTIF(Table!$BV:$BV,CONCATENATE($A5,"_",W$1))</f>
        <v>0</v>
      </c>
    </row>
    <row r="6" spans="1:23" x14ac:dyDescent="0.3">
      <c r="A6" t="s">
        <v>319</v>
      </c>
      <c r="B6" t="str">
        <f>VLOOKUP(A6, Eras!$B$2:$C$10, 2, FALSE)</f>
        <v>Big Four (1923-1948)</v>
      </c>
      <c r="C6">
        <f>COUNTIF(Table!$BV:$BV,CONCATENATE($A6,"_",C$1))</f>
        <v>1</v>
      </c>
      <c r="D6">
        <f>COUNTIF(Table!$BV:$BV,CONCATENATE($A6,"_",D$1))</f>
        <v>11</v>
      </c>
      <c r="E6">
        <f>COUNTIF(Table!$BV:$BV,CONCATENATE($A6,"_",E$1))</f>
        <v>6</v>
      </c>
      <c r="F6">
        <f>COUNTIF(Table!$BV:$BV,CONCATENATE($A6,"_",F$1))</f>
        <v>11</v>
      </c>
      <c r="G6">
        <f>COUNTIF(Table!$BV:$BV,CONCATENATE($A6,"_",G$1))</f>
        <v>3</v>
      </c>
      <c r="H6">
        <f>COUNTIF(Table!$BV:$BV,CONCATENATE($A6,"_",H$1))</f>
        <v>1</v>
      </c>
      <c r="I6">
        <f>COUNTIF(Table!$BV:$BV,CONCATENATE($A6,"_",I$1))</f>
        <v>0</v>
      </c>
      <c r="J6">
        <f>COUNTIF(Table!$BV:$BV,CONCATENATE($A6,"_",J$1))</f>
        <v>0</v>
      </c>
      <c r="K6">
        <f>COUNTIF(Table!$BV:$BV,CONCATENATE($A6,"_",K$1))</f>
        <v>1</v>
      </c>
      <c r="L6">
        <f>COUNTIF(Table!$BV:$BV,CONCATENATE($A6,"_",L$1))</f>
        <v>0</v>
      </c>
      <c r="M6">
        <f>COUNTIF(Table!$BV:$BV,CONCATENATE($A6,"_",M$1))</f>
        <v>0</v>
      </c>
      <c r="N6">
        <f>COUNTIF(Table!$BV:$BV,CONCATENATE($A6,"_",N$1))</f>
        <v>2</v>
      </c>
      <c r="O6">
        <f>COUNTIF(Table!$BV:$BV,CONCATENATE($A6,"_",O$1))</f>
        <v>1</v>
      </c>
      <c r="P6">
        <f>COUNTIF(Table!$BV:$BV,CONCATENATE($A6,"_",P$1))</f>
        <v>3</v>
      </c>
      <c r="Q6">
        <f>COUNTIF(Table!$BV:$BV,CONCATENATE($A6,"_",Q$1))</f>
        <v>2</v>
      </c>
      <c r="R6">
        <f>COUNTIF(Table!$BV:$BV,CONCATENATE($A6,"_",R$1))</f>
        <v>0</v>
      </c>
      <c r="S6">
        <f>COUNTIF(Table!$BV:$BV,CONCATENATE($A6,"_",S$1))</f>
        <v>1</v>
      </c>
      <c r="T6">
        <f>COUNTIF(Table!$BV:$BV,CONCATENATE($A6,"_",T$1))</f>
        <v>1</v>
      </c>
      <c r="U6">
        <f>COUNTIF(Table!$BV:$BV,CONCATENATE($A6,"_",U$1))</f>
        <v>2</v>
      </c>
      <c r="V6">
        <f>COUNTIF(Table!$BV:$BV,CONCATENATE($A6,"_",V$1))</f>
        <v>1</v>
      </c>
      <c r="W6">
        <f>COUNTIF(Table!$BV:$BV,CONCATENATE($A6,"_",W$1))</f>
        <v>2</v>
      </c>
    </row>
    <row r="7" spans="1:23" x14ac:dyDescent="0.3">
      <c r="A7" t="s">
        <v>640</v>
      </c>
      <c r="B7" t="str">
        <f>VLOOKUP(A7, Eras!$B$2:$C$10, 2, FALSE)</f>
        <v>Early BR (1948-1955)</v>
      </c>
      <c r="C7">
        <f>COUNTIF(Table!$BV:$BV,CONCATENATE($A7,"_",C$1))</f>
        <v>0</v>
      </c>
      <c r="D7">
        <f>COUNTIF(Table!$BV:$BV,CONCATENATE($A7,"_",D$1))</f>
        <v>2</v>
      </c>
      <c r="E7">
        <f>COUNTIF(Table!$BV:$BV,CONCATENATE($A7,"_",E$1))</f>
        <v>1</v>
      </c>
      <c r="F7">
        <f>COUNTIF(Table!$BV:$BV,CONCATENATE($A7,"_",F$1))</f>
        <v>1</v>
      </c>
      <c r="G7">
        <f>COUNTIF(Table!$BV:$BV,CONCATENATE($A7,"_",G$1))</f>
        <v>1</v>
      </c>
      <c r="H7">
        <f>COUNTIF(Table!$BV:$BV,CONCATENATE($A7,"_",H$1))</f>
        <v>0</v>
      </c>
      <c r="I7">
        <f>COUNTIF(Table!$BV:$BV,CONCATENATE($A7,"_",I$1))</f>
        <v>1</v>
      </c>
      <c r="J7">
        <f>COUNTIF(Table!$BV:$BV,CONCATENATE($A7,"_",J$1))</f>
        <v>1</v>
      </c>
      <c r="K7">
        <f>COUNTIF(Table!$BV:$BV,CONCATENATE($A7,"_",K$1))</f>
        <v>0</v>
      </c>
      <c r="L7">
        <f>COUNTIF(Table!$BV:$BV,CONCATENATE($A7,"_",L$1))</f>
        <v>0</v>
      </c>
      <c r="M7">
        <f>COUNTIF(Table!$BV:$BV,CONCATENATE($A7,"_",M$1))</f>
        <v>0</v>
      </c>
      <c r="N7">
        <f>COUNTIF(Table!$BV:$BV,CONCATENATE($A7,"_",N$1))</f>
        <v>1</v>
      </c>
      <c r="O7">
        <f>COUNTIF(Table!$BV:$BV,CONCATENATE($A7,"_",O$1))</f>
        <v>0</v>
      </c>
      <c r="P7">
        <f>COUNTIF(Table!$BV:$BV,CONCATENATE($A7,"_",P$1))</f>
        <v>0</v>
      </c>
      <c r="Q7">
        <f>COUNTIF(Table!$BV:$BV,CONCATENATE($A7,"_",Q$1))</f>
        <v>1</v>
      </c>
      <c r="R7">
        <f>COUNTIF(Table!$BV:$BV,CONCATENATE($A7,"_",R$1))</f>
        <v>2</v>
      </c>
      <c r="S7">
        <f>COUNTIF(Table!$BV:$BV,CONCATENATE($A7,"_",S$1))</f>
        <v>1</v>
      </c>
      <c r="T7">
        <f>COUNTIF(Table!$BV:$BV,CONCATENATE($A7,"_",T$1))</f>
        <v>1</v>
      </c>
      <c r="U7">
        <f>COUNTIF(Table!$BV:$BV,CONCATENATE($A7,"_",U$1))</f>
        <v>0</v>
      </c>
      <c r="V7">
        <f>COUNTIF(Table!$BV:$BV,CONCATENATE($A7,"_",V$1))</f>
        <v>0</v>
      </c>
      <c r="W7">
        <f>COUNTIF(Table!$BV:$BV,CONCATENATE($A7,"_",W$1))</f>
        <v>0</v>
      </c>
    </row>
    <row r="8" spans="1:23" x14ac:dyDescent="0.3">
      <c r="A8" t="s">
        <v>320</v>
      </c>
      <c r="B8" t="str">
        <f>VLOOKUP(A8, Eras!$B$2:$C$10, 2, FALSE)</f>
        <v>Dieselisation (1955-1970)</v>
      </c>
      <c r="C8">
        <f>COUNTIF(Table!$BV:$BV,CONCATENATE($A8,"_",C$1))</f>
        <v>1</v>
      </c>
      <c r="D8">
        <f>COUNTIF(Table!$BV:$BV,CONCATENATE($A8,"_",D$1))</f>
        <v>7</v>
      </c>
      <c r="E8">
        <f>COUNTIF(Table!$BV:$BV,CONCATENATE($A8,"_",E$1))</f>
        <v>2</v>
      </c>
      <c r="F8">
        <f>COUNTIF(Table!$BV:$BV,CONCATENATE($A8,"_",F$1))</f>
        <v>5</v>
      </c>
      <c r="G8">
        <f>COUNTIF(Table!$BV:$BV,CONCATENATE($A8,"_",G$1))</f>
        <v>4</v>
      </c>
      <c r="H8">
        <f>COUNTIF(Table!$BV:$BV,CONCATENATE($A8,"_",H$1))</f>
        <v>1</v>
      </c>
      <c r="I8">
        <f>COUNTIF(Table!$BV:$BV,CONCATENATE($A8,"_",I$1))</f>
        <v>2</v>
      </c>
      <c r="J8">
        <f>COUNTIF(Table!$BV:$BV,CONCATENATE($A8,"_",J$1))</f>
        <v>0</v>
      </c>
      <c r="K8">
        <f>COUNTIF(Table!$BV:$BV,CONCATENATE($A8,"_",K$1))</f>
        <v>0</v>
      </c>
      <c r="L8">
        <f>COUNTIF(Table!$BV:$BV,CONCATENATE($A8,"_",L$1))</f>
        <v>2</v>
      </c>
      <c r="M8">
        <f>COUNTIF(Table!$BV:$BV,CONCATENATE($A8,"_",M$1))</f>
        <v>3</v>
      </c>
      <c r="N8">
        <f>COUNTIF(Table!$BV:$BV,CONCATENATE($A8,"_",N$1))</f>
        <v>0</v>
      </c>
      <c r="O8">
        <f>COUNTIF(Table!$BV:$BV,CONCATENATE($A8,"_",O$1))</f>
        <v>2</v>
      </c>
      <c r="P8">
        <f>COUNTIF(Table!$BV:$BV,CONCATENATE($A8,"_",P$1))</f>
        <v>3</v>
      </c>
      <c r="Q8">
        <f>COUNTIF(Table!$BV:$BV,CONCATENATE($A8,"_",Q$1))</f>
        <v>2</v>
      </c>
      <c r="R8">
        <f>COUNTIF(Table!$BV:$BV,CONCATENATE($A8,"_",R$1))</f>
        <v>1</v>
      </c>
      <c r="S8">
        <f>COUNTIF(Table!$BV:$BV,CONCATENATE($A8,"_",S$1))</f>
        <v>1</v>
      </c>
      <c r="T8">
        <f>COUNTIF(Table!$BV:$BV,CONCATENATE($A8,"_",T$1))</f>
        <v>0</v>
      </c>
      <c r="U8">
        <f>COUNTIF(Table!$BV:$BV,CONCATENATE($A8,"_",U$1))</f>
        <v>3</v>
      </c>
      <c r="V8">
        <f>COUNTIF(Table!$BV:$BV,CONCATENATE($A8,"_",V$1))</f>
        <v>1</v>
      </c>
      <c r="W8">
        <f>COUNTIF(Table!$BV:$BV,CONCATENATE($A8,"_",W$1))</f>
        <v>1</v>
      </c>
    </row>
    <row r="9" spans="1:23" x14ac:dyDescent="0.3">
      <c r="A9" t="s">
        <v>641</v>
      </c>
      <c r="B9" t="str">
        <f>VLOOKUP(A9, Eras!$B$2:$C$10, 2, FALSE)</f>
        <v>Late BR (1970-1995)</v>
      </c>
      <c r="C9">
        <f>COUNTIF(Table!$BV:$BV,CONCATENATE($A9,"_",C$1))</f>
        <v>0</v>
      </c>
      <c r="D9">
        <f>COUNTIF(Table!$BV:$BV,CONCATENATE($A9,"_",D$1))</f>
        <v>0</v>
      </c>
      <c r="E9">
        <f>COUNTIF(Table!$BV:$BV,CONCATENATE($A9,"_",E$1))</f>
        <v>1</v>
      </c>
      <c r="F9">
        <f>COUNTIF(Table!$BV:$BV,CONCATENATE($A9,"_",F$1))</f>
        <v>3</v>
      </c>
      <c r="G9">
        <f>COUNTIF(Table!$BV:$BV,CONCATENATE($A9,"_",G$1))</f>
        <v>5</v>
      </c>
      <c r="H9">
        <f>COUNTIF(Table!$BV:$BV,CONCATENATE($A9,"_",H$1))</f>
        <v>0</v>
      </c>
      <c r="I9">
        <f>COUNTIF(Table!$BV:$BV,CONCATENATE($A9,"_",I$1))</f>
        <v>3</v>
      </c>
      <c r="J9">
        <f>COUNTIF(Table!$BV:$BV,CONCATENATE($A9,"_",J$1))</f>
        <v>0</v>
      </c>
      <c r="K9">
        <f>COUNTIF(Table!$BV:$BV,CONCATENATE($A9,"_",K$1))</f>
        <v>1</v>
      </c>
      <c r="L9">
        <f>COUNTIF(Table!$BV:$BV,CONCATENATE($A9,"_",L$1))</f>
        <v>3</v>
      </c>
      <c r="M9">
        <f>COUNTIF(Table!$BV:$BV,CONCATENATE($A9,"_",M$1))</f>
        <v>1</v>
      </c>
      <c r="N9">
        <f>COUNTIF(Table!$BV:$BV,CONCATENATE($A9,"_",N$1))</f>
        <v>7</v>
      </c>
      <c r="O9">
        <f>COUNTIF(Table!$BV:$BV,CONCATENATE($A9,"_",O$1))</f>
        <v>8</v>
      </c>
      <c r="P9">
        <f>COUNTIF(Table!$BV:$BV,CONCATENATE($A9,"_",P$1))</f>
        <v>6</v>
      </c>
      <c r="Q9">
        <f>COUNTIF(Table!$BV:$BV,CONCATENATE($A9,"_",Q$1))</f>
        <v>2</v>
      </c>
      <c r="R9">
        <f>COUNTIF(Table!$BV:$BV,CONCATENATE($A9,"_",R$1))</f>
        <v>0</v>
      </c>
      <c r="S9">
        <f>COUNTIF(Table!$BV:$BV,CONCATENATE($A9,"_",S$1))</f>
        <v>2</v>
      </c>
      <c r="T9">
        <f>COUNTIF(Table!$BV:$BV,CONCATENATE($A9,"_",T$1))</f>
        <v>2</v>
      </c>
      <c r="U9">
        <f>COUNTIF(Table!$BV:$BV,CONCATENATE($A9,"_",U$1))</f>
        <v>3</v>
      </c>
      <c r="V9">
        <f>COUNTIF(Table!$BV:$BV,CONCATENATE($A9,"_",V$1))</f>
        <v>1</v>
      </c>
      <c r="W9">
        <f>COUNTIF(Table!$BV:$BV,CONCATENATE($A9,"_",W$1))</f>
        <v>1</v>
      </c>
    </row>
    <row r="10" spans="1:23" x14ac:dyDescent="0.3">
      <c r="A10" t="s">
        <v>321</v>
      </c>
      <c r="B10" t="str">
        <f>VLOOKUP(A10, Eras!$B$2:$C$10, 2, FALSE)</f>
        <v>Privatisation (1995-2005)</v>
      </c>
      <c r="C10">
        <f>COUNTIF(Table!$BV:$BV,CONCATENATE($A10,"_",C$1))</f>
        <v>0</v>
      </c>
      <c r="D10">
        <f>COUNTIF(Table!$BV:$BV,CONCATENATE($A10,"_",D$1))</f>
        <v>0</v>
      </c>
      <c r="E10">
        <f>COUNTIF(Table!$BV:$BV,CONCATENATE($A10,"_",E$1))</f>
        <v>0</v>
      </c>
      <c r="F10">
        <f>COUNTIF(Table!$BV:$BV,CONCATENATE($A10,"_",F$1))</f>
        <v>0</v>
      </c>
      <c r="G10">
        <f>COUNTIF(Table!$BV:$BV,CONCATENATE($A10,"_",G$1))</f>
        <v>3</v>
      </c>
      <c r="H10">
        <f>COUNTIF(Table!$BV:$BV,CONCATENATE($A10,"_",H$1))</f>
        <v>0</v>
      </c>
      <c r="I10">
        <f>COUNTIF(Table!$BV:$BV,CONCATENATE($A10,"_",I$1))</f>
        <v>0</v>
      </c>
      <c r="J10">
        <f>COUNTIF(Table!$BV:$BV,CONCATENATE($A10,"_",J$1))</f>
        <v>0</v>
      </c>
      <c r="K10">
        <f>COUNTIF(Table!$BV:$BV,CONCATENATE($A10,"_",K$1))</f>
        <v>0</v>
      </c>
      <c r="L10">
        <f>COUNTIF(Table!$BV:$BV,CONCATENATE($A10,"_",L$1))</f>
        <v>2</v>
      </c>
      <c r="M10">
        <f>COUNTIF(Table!$BV:$BV,CONCATENATE($A10,"_",M$1))</f>
        <v>6</v>
      </c>
      <c r="N10">
        <f>COUNTIF(Table!$BV:$BV,CONCATENATE($A10,"_",N$1))</f>
        <v>3</v>
      </c>
      <c r="O10">
        <f>COUNTIF(Table!$BV:$BV,CONCATENATE($A10,"_",O$1))</f>
        <v>7</v>
      </c>
      <c r="P10">
        <f>COUNTIF(Table!$BV:$BV,CONCATENATE($A10,"_",P$1))</f>
        <v>1</v>
      </c>
      <c r="Q10">
        <f>COUNTIF(Table!$BV:$BV,CONCATENATE($A10,"_",Q$1))</f>
        <v>0</v>
      </c>
      <c r="R10">
        <f>COUNTIF(Table!$BV:$BV,CONCATENATE($A10,"_",R$1))</f>
        <v>0</v>
      </c>
      <c r="S10">
        <f>COUNTIF(Table!$BV:$BV,CONCATENATE($A10,"_",S$1))</f>
        <v>1</v>
      </c>
      <c r="T10">
        <f>COUNTIF(Table!$BV:$BV,CONCATENATE($A10,"_",T$1))</f>
        <v>1</v>
      </c>
      <c r="U10">
        <f>COUNTIF(Table!$BV:$BV,CONCATENATE($A10,"_",U$1))</f>
        <v>0</v>
      </c>
      <c r="V10">
        <f>COUNTIF(Table!$BV:$BV,CONCATENATE($A10,"_",V$1))</f>
        <v>0</v>
      </c>
      <c r="W10">
        <f>COUNTIF(Table!$BV:$BV,CONCATENATE($A10,"_",W$1))</f>
        <v>1</v>
      </c>
    </row>
    <row r="11" spans="1:23" x14ac:dyDescent="0.3">
      <c r="A11" t="s">
        <v>322</v>
      </c>
      <c r="B11" t="str">
        <f>VLOOKUP(A11, Eras!$B$2:$C$10, 2, FALSE)</f>
        <v>Modern (2005-)</v>
      </c>
      <c r="C11">
        <f>COUNTIF(Table!$BV:$BV,CONCATENATE($A11,"_",C$1))</f>
        <v>0</v>
      </c>
      <c r="D11">
        <f>COUNTIF(Table!$BV:$BV,CONCATENATE($A11,"_",D$1))</f>
        <v>1</v>
      </c>
      <c r="E11">
        <f>COUNTIF(Table!$BV:$BV,CONCATENATE($A11,"_",E$1))</f>
        <v>0</v>
      </c>
      <c r="F11">
        <f>COUNTIF(Table!$BV:$BV,CONCATENATE($A11,"_",F$1))</f>
        <v>0</v>
      </c>
      <c r="G11">
        <f>COUNTIF(Table!$BV:$BV,CONCATENATE($A11,"_",G$1))</f>
        <v>1</v>
      </c>
      <c r="H11">
        <f>COUNTIF(Table!$BV:$BV,CONCATENATE($A11,"_",H$1))</f>
        <v>0</v>
      </c>
      <c r="I11">
        <f>COUNTIF(Table!$BV:$BV,CONCATENATE($A11,"_",I$1))</f>
        <v>0</v>
      </c>
      <c r="J11">
        <f>COUNTIF(Table!$BV:$BV,CONCATENATE($A11,"_",J$1))</f>
        <v>1</v>
      </c>
      <c r="K11">
        <f>COUNTIF(Table!$BV:$BV,CONCATENATE($A11,"_",K$1))</f>
        <v>1</v>
      </c>
      <c r="L11">
        <f>COUNTIF(Table!$BV:$BV,CONCATENATE($A11,"_",L$1))</f>
        <v>1</v>
      </c>
      <c r="M11">
        <f>COUNTIF(Table!$BV:$BV,CONCATENATE($A11,"_",M$1))</f>
        <v>0</v>
      </c>
      <c r="N11">
        <f>COUNTIF(Table!$BV:$BV,CONCATENATE($A11,"_",N$1))</f>
        <v>11</v>
      </c>
      <c r="O11">
        <f>COUNTIF(Table!$BV:$BV,CONCATENATE($A11,"_",O$1))</f>
        <v>4</v>
      </c>
      <c r="P11">
        <f>COUNTIF(Table!$BV:$BV,CONCATENATE($A11,"_",P$1))</f>
        <v>4</v>
      </c>
      <c r="Q11">
        <f>COUNTIF(Table!$BV:$BV,CONCATENATE($A11,"_",Q$1))</f>
        <v>0</v>
      </c>
      <c r="R11">
        <f>COUNTIF(Table!$BV:$BV,CONCATENATE($A11,"_",R$1))</f>
        <v>0</v>
      </c>
      <c r="S11">
        <f>COUNTIF(Table!$BV:$BV,CONCATENATE($A11,"_",S$1))</f>
        <v>1</v>
      </c>
      <c r="T11">
        <f>COUNTIF(Table!$BV:$BV,CONCATENATE($A11,"_",T$1))</f>
        <v>1</v>
      </c>
      <c r="U11">
        <f>COUNTIF(Table!$BV:$BV,CONCATENATE($A11,"_",U$1))</f>
        <v>0</v>
      </c>
      <c r="V11">
        <f>COUNTIF(Table!$BV:$BV,CONCATENATE($A11,"_",V$1))</f>
        <v>0</v>
      </c>
      <c r="W11">
        <f>COUNTIF(Table!$BV:$BV,CONCATENATE($A11,"_",W$1))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310</v>
      </c>
      <c r="B1" s="1" t="s">
        <v>316</v>
      </c>
      <c r="C1" s="1" t="s">
        <v>311</v>
      </c>
    </row>
    <row r="2" spans="1:3" x14ac:dyDescent="0.3">
      <c r="A2">
        <v>1700</v>
      </c>
      <c r="B2" t="s">
        <v>317</v>
      </c>
      <c r="C2" t="s">
        <v>383</v>
      </c>
    </row>
    <row r="3" spans="1:3" x14ac:dyDescent="0.3">
      <c r="A3">
        <v>1850</v>
      </c>
      <c r="B3" t="s">
        <v>384</v>
      </c>
      <c r="C3" t="s">
        <v>382</v>
      </c>
    </row>
    <row r="4" spans="1:3" x14ac:dyDescent="0.3">
      <c r="A4">
        <v>1900</v>
      </c>
      <c r="B4" t="s">
        <v>318</v>
      </c>
      <c r="C4" t="s">
        <v>312</v>
      </c>
    </row>
    <row r="5" spans="1:3" x14ac:dyDescent="0.3">
      <c r="A5">
        <v>1923</v>
      </c>
      <c r="B5" t="s">
        <v>319</v>
      </c>
      <c r="C5" t="s">
        <v>416</v>
      </c>
    </row>
    <row r="6" spans="1:3" x14ac:dyDescent="0.3">
      <c r="A6">
        <v>1948</v>
      </c>
      <c r="B6" t="s">
        <v>640</v>
      </c>
      <c r="C6" t="s">
        <v>313</v>
      </c>
    </row>
    <row r="7" spans="1:3" x14ac:dyDescent="0.3">
      <c r="A7">
        <v>1955</v>
      </c>
      <c r="B7" t="s">
        <v>320</v>
      </c>
      <c r="C7" t="s">
        <v>643</v>
      </c>
    </row>
    <row r="8" spans="1:3" x14ac:dyDescent="0.3">
      <c r="A8">
        <v>1970</v>
      </c>
      <c r="B8" t="s">
        <v>641</v>
      </c>
      <c r="C8" t="s">
        <v>642</v>
      </c>
    </row>
    <row r="9" spans="1:3" x14ac:dyDescent="0.3">
      <c r="A9">
        <v>1995</v>
      </c>
      <c r="B9" t="s">
        <v>321</v>
      </c>
      <c r="C9" t="s">
        <v>314</v>
      </c>
    </row>
    <row r="10" spans="1:3" x14ac:dyDescent="0.3">
      <c r="A10">
        <v>2005</v>
      </c>
      <c r="B10" t="s">
        <v>322</v>
      </c>
      <c r="C10" t="s">
        <v>315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246</v>
      </c>
      <c r="B1" s="1" t="s">
        <v>247</v>
      </c>
      <c r="C1" s="1" t="s">
        <v>501</v>
      </c>
      <c r="F1" s="1" t="s">
        <v>1097</v>
      </c>
      <c r="G1">
        <v>15</v>
      </c>
      <c r="I1" s="1" t="s">
        <v>1101</v>
      </c>
      <c r="J1" s="1" t="s">
        <v>1102</v>
      </c>
      <c r="K1" s="1" t="s">
        <v>1103</v>
      </c>
      <c r="M1" s="1" t="s">
        <v>1203</v>
      </c>
      <c r="N1" s="1" t="s">
        <v>1204</v>
      </c>
      <c r="O1" s="1" t="s">
        <v>140</v>
      </c>
    </row>
    <row r="2" spans="1:15" x14ac:dyDescent="0.3">
      <c r="A2">
        <v>0</v>
      </c>
      <c r="B2" t="s">
        <v>147</v>
      </c>
      <c r="F2" s="1" t="s">
        <v>1098</v>
      </c>
      <c r="G2">
        <v>5</v>
      </c>
      <c r="I2" t="s">
        <v>273</v>
      </c>
      <c r="J2">
        <v>1</v>
      </c>
      <c r="K2">
        <v>2</v>
      </c>
      <c r="M2" t="s">
        <v>1205</v>
      </c>
      <c r="N2" t="str">
        <f>IF(O2&lt;&gt;"", _xlfn.CONCAT("{BLACK}Powered by: {GOLD}",O2), "")</f>
        <v>{BLACK}Powered by: {GOLD}Diesel</v>
      </c>
      <c r="O2" t="s">
        <v>1214</v>
      </c>
    </row>
    <row r="3" spans="1:15" x14ac:dyDescent="0.3">
      <c r="A3">
        <v>3</v>
      </c>
      <c r="B3" t="s">
        <v>292</v>
      </c>
      <c r="C3" t="s">
        <v>292</v>
      </c>
      <c r="I3" t="s">
        <v>296</v>
      </c>
      <c r="J3">
        <v>0.85</v>
      </c>
      <c r="K3">
        <v>2.2999999999999998</v>
      </c>
      <c r="M3" t="s">
        <v>1206</v>
      </c>
      <c r="N3" t="str">
        <f t="shared" ref="N3:N25" si="0">IF(O3&lt;&gt;"", _xlfn.CONCAT("{BLACK}Powered by: {GOLD}",O3), "")</f>
        <v>{BLACK}Powered by: {GOLD}Steam</v>
      </c>
      <c r="O3" t="s">
        <v>1215</v>
      </c>
    </row>
    <row r="4" spans="1:15" x14ac:dyDescent="0.3">
      <c r="A4">
        <v>4</v>
      </c>
      <c r="B4" t="s">
        <v>707</v>
      </c>
      <c r="C4" t="s">
        <v>707</v>
      </c>
      <c r="I4" t="s">
        <v>272</v>
      </c>
      <c r="J4">
        <v>1.1499999999999999</v>
      </c>
      <c r="K4">
        <v>1.7</v>
      </c>
      <c r="M4" t="s">
        <v>1207</v>
      </c>
      <c r="N4" t="str">
        <f t="shared" si="0"/>
        <v>{BLACK}Powered by: {GOLD}25kV AC</v>
      </c>
      <c r="O4" t="s">
        <v>1216</v>
      </c>
    </row>
    <row r="5" spans="1:15" x14ac:dyDescent="0.3">
      <c r="A5">
        <v>5</v>
      </c>
      <c r="B5" t="s">
        <v>703</v>
      </c>
      <c r="C5" t="s">
        <v>703</v>
      </c>
      <c r="I5" t="s">
        <v>541</v>
      </c>
      <c r="J5">
        <v>0.9</v>
      </c>
      <c r="K5">
        <v>2.5</v>
      </c>
      <c r="M5" t="s">
        <v>1218</v>
      </c>
      <c r="N5" t="str">
        <f t="shared" si="0"/>
        <v>{BLACK}Powered by: {GOLD}750V DC</v>
      </c>
      <c r="O5" t="s">
        <v>1217</v>
      </c>
    </row>
    <row r="6" spans="1:15" x14ac:dyDescent="0.3">
      <c r="A6">
        <v>6</v>
      </c>
      <c r="B6" t="s">
        <v>304</v>
      </c>
      <c r="C6" t="s">
        <v>304</v>
      </c>
      <c r="I6" t="s">
        <v>552</v>
      </c>
      <c r="J6">
        <v>0.85</v>
      </c>
      <c r="K6">
        <v>2.4</v>
      </c>
      <c r="M6" t="s">
        <v>1209</v>
      </c>
      <c r="N6" t="str">
        <f t="shared" si="0"/>
        <v/>
      </c>
    </row>
    <row r="7" spans="1:15" x14ac:dyDescent="0.3">
      <c r="A7">
        <v>7</v>
      </c>
      <c r="B7" t="s">
        <v>702</v>
      </c>
      <c r="C7" t="s">
        <v>702</v>
      </c>
      <c r="I7" t="s">
        <v>1106</v>
      </c>
      <c r="J7">
        <v>1.2</v>
      </c>
      <c r="K7">
        <v>0.6</v>
      </c>
      <c r="M7" t="s">
        <v>1210</v>
      </c>
      <c r="N7" t="str">
        <f t="shared" si="0"/>
        <v/>
      </c>
    </row>
    <row r="8" spans="1:15" x14ac:dyDescent="0.3">
      <c r="A8">
        <v>8</v>
      </c>
      <c r="B8" t="s">
        <v>699</v>
      </c>
      <c r="C8" t="s">
        <v>699</v>
      </c>
      <c r="I8" t="s">
        <v>1107</v>
      </c>
      <c r="J8">
        <v>1.5</v>
      </c>
      <c r="K8">
        <v>0.7</v>
      </c>
      <c r="M8" t="s">
        <v>1211</v>
      </c>
      <c r="N8" t="str">
        <f t="shared" si="0"/>
        <v/>
      </c>
    </row>
    <row r="9" spans="1:15" x14ac:dyDescent="0.3">
      <c r="A9">
        <v>9</v>
      </c>
      <c r="B9" t="s">
        <v>701</v>
      </c>
      <c r="C9" t="s">
        <v>701</v>
      </c>
      <c r="I9" t="s">
        <v>281</v>
      </c>
      <c r="J9">
        <v>1</v>
      </c>
      <c r="K9">
        <v>0.45</v>
      </c>
      <c r="M9" t="s">
        <v>1212</v>
      </c>
      <c r="N9" t="str">
        <f t="shared" si="0"/>
        <v/>
      </c>
    </row>
    <row r="10" spans="1:15" x14ac:dyDescent="0.3">
      <c r="A10">
        <v>10</v>
      </c>
      <c r="B10" t="s">
        <v>1490</v>
      </c>
      <c r="C10" t="s">
        <v>1490</v>
      </c>
      <c r="I10" t="s">
        <v>1108</v>
      </c>
      <c r="J10">
        <v>1</v>
      </c>
      <c r="K10">
        <v>0.4</v>
      </c>
      <c r="M10" t="s">
        <v>1213</v>
      </c>
      <c r="N10" t="str">
        <f t="shared" si="0"/>
        <v/>
      </c>
    </row>
    <row r="11" spans="1:15" x14ac:dyDescent="0.3">
      <c r="A11">
        <v>11</v>
      </c>
      <c r="B11" t="s">
        <v>1491</v>
      </c>
      <c r="C11" t="s">
        <v>1491</v>
      </c>
      <c r="I11" t="s">
        <v>1109</v>
      </c>
      <c r="J11">
        <v>0.9</v>
      </c>
      <c r="K11">
        <v>1.6</v>
      </c>
      <c r="M11" t="s">
        <v>1219</v>
      </c>
      <c r="N11" t="str">
        <f t="shared" si="0"/>
        <v>{BLACK}Powered by: {GOLD}750V DC / Diesel</v>
      </c>
      <c r="O11" t="s">
        <v>1220</v>
      </c>
    </row>
    <row r="12" spans="1:15" x14ac:dyDescent="0.3">
      <c r="A12">
        <v>12</v>
      </c>
      <c r="B12" t="s">
        <v>698</v>
      </c>
      <c r="C12" t="s">
        <v>698</v>
      </c>
      <c r="I12" t="s">
        <v>291</v>
      </c>
      <c r="J12">
        <v>0</v>
      </c>
      <c r="K12">
        <v>0</v>
      </c>
      <c r="M12" t="s">
        <v>1221</v>
      </c>
      <c r="N12" t="str">
        <f t="shared" si="0"/>
        <v>{BLACK}Powered by: {GOLD}25kV AC / 750V DC</v>
      </c>
      <c r="O12" t="s">
        <v>1222</v>
      </c>
    </row>
    <row r="13" spans="1:15" x14ac:dyDescent="0.3">
      <c r="A13">
        <v>13</v>
      </c>
      <c r="B13" t="s">
        <v>704</v>
      </c>
      <c r="C13" t="s">
        <v>704</v>
      </c>
      <c r="I13" t="s">
        <v>1226</v>
      </c>
      <c r="J13">
        <v>1.05</v>
      </c>
      <c r="K13">
        <v>1.9</v>
      </c>
      <c r="M13" t="s">
        <v>1223</v>
      </c>
      <c r="N13" t="str">
        <f t="shared" si="0"/>
        <v/>
      </c>
    </row>
    <row r="14" spans="1:15" x14ac:dyDescent="0.3">
      <c r="A14">
        <v>14</v>
      </c>
      <c r="B14" t="s">
        <v>700</v>
      </c>
      <c r="C14" t="s">
        <v>700</v>
      </c>
      <c r="I14" t="s">
        <v>1312</v>
      </c>
      <c r="J14">
        <v>0.98</v>
      </c>
      <c r="K14">
        <v>1.88</v>
      </c>
      <c r="M14" t="s">
        <v>1224</v>
      </c>
      <c r="N14" t="str">
        <f t="shared" si="0"/>
        <v/>
      </c>
    </row>
    <row r="15" spans="1:15" x14ac:dyDescent="0.3">
      <c r="A15">
        <v>15</v>
      </c>
      <c r="B15" t="s">
        <v>705</v>
      </c>
      <c r="C15" t="s">
        <v>705</v>
      </c>
      <c r="I15" t="s">
        <v>1392</v>
      </c>
      <c r="J15">
        <v>0.5</v>
      </c>
      <c r="K15">
        <v>0.5</v>
      </c>
      <c r="M15" t="s">
        <v>1225</v>
      </c>
      <c r="N15" t="str">
        <f t="shared" si="0"/>
        <v/>
      </c>
    </row>
    <row r="16" spans="1:15" x14ac:dyDescent="0.3">
      <c r="A16">
        <v>16</v>
      </c>
      <c r="B16" t="s">
        <v>706</v>
      </c>
      <c r="C16" t="s">
        <v>706</v>
      </c>
      <c r="I16" t="s">
        <v>1484</v>
      </c>
      <c r="J16">
        <v>0.85</v>
      </c>
      <c r="K16">
        <v>2.2999999999999998</v>
      </c>
      <c r="M16" t="s">
        <v>1227</v>
      </c>
      <c r="N16" t="str">
        <f t="shared" si="0"/>
        <v>{BLACK}Powered by: {GOLD}Petrol</v>
      </c>
      <c r="O16" t="s">
        <v>898</v>
      </c>
    </row>
    <row r="17" spans="9:15" x14ac:dyDescent="0.3">
      <c r="I17" t="s">
        <v>1487</v>
      </c>
      <c r="J17">
        <v>1</v>
      </c>
      <c r="K17">
        <v>2</v>
      </c>
      <c r="M17" t="s">
        <v>1242</v>
      </c>
      <c r="N17" t="str">
        <f t="shared" si="0"/>
        <v>{BLACK}Powered by: {GOLD}25kV AC / Diesel</v>
      </c>
      <c r="O17" t="s">
        <v>1243</v>
      </c>
    </row>
    <row r="18" spans="9:15" x14ac:dyDescent="0.3">
      <c r="M18" t="s">
        <v>1313</v>
      </c>
      <c r="N18" t="str">
        <f t="shared" si="0"/>
        <v>{BLACK}Powered by: {GOLD}LPG / Flywheel</v>
      </c>
      <c r="O18" t="s">
        <v>1314</v>
      </c>
    </row>
    <row r="19" spans="9:15" x14ac:dyDescent="0.3">
      <c r="M19" t="s">
        <v>1387</v>
      </c>
      <c r="N19" t="str">
        <f t="shared" si="0"/>
        <v/>
      </c>
    </row>
    <row r="20" spans="9:15" x14ac:dyDescent="0.3">
      <c r="M20" t="s">
        <v>1386</v>
      </c>
      <c r="N20" t="str">
        <f t="shared" si="0"/>
        <v>{BLACK}Powered by: {GOLD}Steam</v>
      </c>
      <c r="O20" t="s">
        <v>1215</v>
      </c>
    </row>
    <row r="21" spans="9:15" x14ac:dyDescent="0.3">
      <c r="M21" t="s">
        <v>1389</v>
      </c>
      <c r="N21" t="str">
        <f t="shared" si="0"/>
        <v/>
      </c>
    </row>
    <row r="22" spans="9:15" x14ac:dyDescent="0.3">
      <c r="M22" t="s">
        <v>1394</v>
      </c>
      <c r="N22" t="str">
        <f t="shared" si="0"/>
        <v>{BLACK}Powered by: {GOLD}Grass and hay</v>
      </c>
      <c r="O22" t="s">
        <v>1393</v>
      </c>
    </row>
    <row r="23" spans="9:15" x14ac:dyDescent="0.3">
      <c r="M23" t="s">
        <v>1412</v>
      </c>
      <c r="N23" t="str">
        <f t="shared" si="0"/>
        <v>{BLACK}Powered by: {GOLD}630V DC</v>
      </c>
      <c r="O23" t="s">
        <v>1413</v>
      </c>
    </row>
    <row r="24" spans="9:15" x14ac:dyDescent="0.3">
      <c r="M24" t="s">
        <v>1450</v>
      </c>
      <c r="N24" t="str">
        <f t="shared" si="0"/>
        <v/>
      </c>
    </row>
    <row r="25" spans="9:15" x14ac:dyDescent="0.3">
      <c r="M25" t="s">
        <v>1459</v>
      </c>
      <c r="N25" t="str">
        <f t="shared" si="0"/>
        <v/>
      </c>
    </row>
    <row r="26" spans="9:15" x14ac:dyDescent="0.3">
      <c r="M26" t="s">
        <v>1485</v>
      </c>
      <c r="N26" t="str">
        <f t="shared" ref="N26" si="1">IF(O26&lt;&gt;"", _xlfn.CONCAT("{BLACK}Powered by: {GOLD}",O26), "")</f>
        <v/>
      </c>
    </row>
    <row r="27" spans="9:15" x14ac:dyDescent="0.3">
      <c r="M27" t="s">
        <v>1488</v>
      </c>
      <c r="N27" t="str">
        <f>IF(O27&lt;&gt;"", _xlfn.CONCAT("{BLACK}Powered by: {GOLD}",O27), "")</f>
        <v>{BLACK}Powered by: {GOLD}Gas Turbine</v>
      </c>
      <c r="O27" t="s">
        <v>1489</v>
      </c>
    </row>
    <row r="28" spans="9:15" x14ac:dyDescent="0.3">
      <c r="M28" t="s">
        <v>1502</v>
      </c>
      <c r="N28" t="str">
        <f>IF(O28&lt;&gt;"", _xlfn.CONCAT("{BLACK}Powered by: {GOLD}",O28), "")</f>
        <v>{BLACK}Powered by: {GOLD}750V DC / Battery</v>
      </c>
      <c r="O28" t="s">
        <v>1503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299</v>
      </c>
      <c r="B1" s="1" t="s">
        <v>300</v>
      </c>
      <c r="C1" s="1" t="s">
        <v>301</v>
      </c>
      <c r="D1" s="1" t="s">
        <v>302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60</v>
      </c>
      <c r="C6">
        <f t="shared" si="1"/>
        <v>68</v>
      </c>
      <c r="D6">
        <v>60</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672</v>
      </c>
    </row>
    <row r="3" spans="1:21" x14ac:dyDescent="0.3">
      <c r="A3" t="s">
        <v>680</v>
      </c>
      <c r="B3" t="s">
        <v>668</v>
      </c>
      <c r="C3" t="s">
        <v>671</v>
      </c>
      <c r="D3" t="s">
        <v>671</v>
      </c>
      <c r="E3" t="s">
        <v>671</v>
      </c>
      <c r="F3" t="s">
        <v>671</v>
      </c>
      <c r="G3" t="s">
        <v>675</v>
      </c>
      <c r="H3" t="s">
        <v>674</v>
      </c>
      <c r="I3" t="s">
        <v>674</v>
      </c>
      <c r="J3" t="s">
        <v>676</v>
      </c>
      <c r="K3" t="s">
        <v>671</v>
      </c>
      <c r="L3" t="s">
        <v>671</v>
      </c>
      <c r="M3" t="s">
        <v>671</v>
      </c>
      <c r="N3" t="s">
        <v>671</v>
      </c>
      <c r="O3" t="s">
        <v>673</v>
      </c>
    </row>
    <row r="4" spans="1:21" x14ac:dyDescent="0.3">
      <c r="A4" t="s">
        <v>681</v>
      </c>
      <c r="B4">
        <v>1</v>
      </c>
      <c r="C4">
        <v>1</v>
      </c>
      <c r="D4">
        <v>0</v>
      </c>
      <c r="E4">
        <v>0</v>
      </c>
      <c r="F4">
        <v>0</v>
      </c>
      <c r="G4">
        <v>1</v>
      </c>
      <c r="H4">
        <v>1</v>
      </c>
      <c r="I4">
        <v>0</v>
      </c>
      <c r="J4">
        <v>1</v>
      </c>
      <c r="K4">
        <v>0</v>
      </c>
      <c r="L4">
        <v>0</v>
      </c>
      <c r="M4">
        <v>0</v>
      </c>
      <c r="N4">
        <v>0</v>
      </c>
      <c r="O4">
        <v>1</v>
      </c>
    </row>
    <row r="6" spans="1:21" ht="14.25" customHeight="1" x14ac:dyDescent="0.3">
      <c r="B6" t="s">
        <v>679</v>
      </c>
    </row>
    <row r="7" spans="1:21" x14ac:dyDescent="0.3">
      <c r="A7" t="s">
        <v>680</v>
      </c>
      <c r="B7" t="s">
        <v>647</v>
      </c>
      <c r="C7" t="s">
        <v>685</v>
      </c>
      <c r="D7" t="s">
        <v>684</v>
      </c>
      <c r="E7" t="s">
        <v>684</v>
      </c>
      <c r="F7" t="s">
        <v>684</v>
      </c>
      <c r="G7" t="s">
        <v>684</v>
      </c>
      <c r="H7" t="s">
        <v>686</v>
      </c>
      <c r="I7" t="s">
        <v>684</v>
      </c>
      <c r="J7" t="s">
        <v>684</v>
      </c>
      <c r="K7" t="s">
        <v>684</v>
      </c>
      <c r="L7" t="s">
        <v>684</v>
      </c>
      <c r="M7" t="s">
        <v>684</v>
      </c>
      <c r="N7" t="s">
        <v>684</v>
      </c>
      <c r="O7" t="s">
        <v>686</v>
      </c>
      <c r="P7" t="s">
        <v>684</v>
      </c>
      <c r="Q7" t="s">
        <v>684</v>
      </c>
      <c r="R7" t="s">
        <v>684</v>
      </c>
      <c r="S7" t="s">
        <v>684</v>
      </c>
      <c r="T7" t="s">
        <v>687</v>
      </c>
      <c r="U7" t="s">
        <v>688</v>
      </c>
    </row>
    <row r="8" spans="1:21" x14ac:dyDescent="0.3">
      <c r="A8" t="s">
        <v>681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246</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682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683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692</v>
      </c>
    </row>
    <row r="19" spans="1:9" x14ac:dyDescent="0.3">
      <c r="A19" t="s">
        <v>680</v>
      </c>
      <c r="B19" t="s">
        <v>647</v>
      </c>
      <c r="C19" t="s">
        <v>685</v>
      </c>
      <c r="D19" t="s">
        <v>684</v>
      </c>
      <c r="E19" t="s">
        <v>686</v>
      </c>
      <c r="F19" t="s">
        <v>684</v>
      </c>
      <c r="G19" t="s">
        <v>686</v>
      </c>
      <c r="H19" t="s">
        <v>687</v>
      </c>
      <c r="I19" t="s">
        <v>688</v>
      </c>
    </row>
    <row r="20" spans="1:9" x14ac:dyDescent="0.3">
      <c r="A20" t="s">
        <v>681</v>
      </c>
      <c r="B20">
        <v>0</v>
      </c>
      <c r="C20">
        <v>0</v>
      </c>
      <c r="D20">
        <v>0</v>
      </c>
      <c r="E20">
        <v>0</v>
      </c>
      <c r="F20">
        <v>0</v>
      </c>
      <c r="G20">
        <v>0</v>
      </c>
      <c r="H20">
        <v>0</v>
      </c>
      <c r="I20">
        <v>0</v>
      </c>
    </row>
    <row r="21" spans="1:9" x14ac:dyDescent="0.3">
      <c r="A21" t="s">
        <v>246</v>
      </c>
      <c r="B21">
        <v>22.15</v>
      </c>
      <c r="C21">
        <v>21.84</v>
      </c>
      <c r="D21">
        <v>18.7</v>
      </c>
      <c r="E21">
        <v>18.7</v>
      </c>
      <c r="F21">
        <v>18.7</v>
      </c>
      <c r="G21">
        <v>18.7</v>
      </c>
      <c r="H21">
        <v>21.84</v>
      </c>
      <c r="I21">
        <v>22.15</v>
      </c>
    </row>
    <row r="22" spans="1:9" x14ac:dyDescent="0.3">
      <c r="A22" t="s">
        <v>682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683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1235</v>
      </c>
    </row>
    <row r="31" spans="1:9" x14ac:dyDescent="0.3">
      <c r="A31" t="s">
        <v>680</v>
      </c>
      <c r="B31" t="s">
        <v>647</v>
      </c>
      <c r="C31" t="s">
        <v>685</v>
      </c>
      <c r="D31" t="s">
        <v>684</v>
      </c>
      <c r="E31" t="s">
        <v>687</v>
      </c>
      <c r="F31" t="s">
        <v>688</v>
      </c>
    </row>
    <row r="32" spans="1:9" x14ac:dyDescent="0.3">
      <c r="A32" t="s">
        <v>681</v>
      </c>
      <c r="B32">
        <v>0</v>
      </c>
      <c r="C32">
        <v>0</v>
      </c>
      <c r="D32">
        <v>0</v>
      </c>
      <c r="E32">
        <v>0</v>
      </c>
      <c r="F32">
        <v>0</v>
      </c>
    </row>
    <row r="33" spans="1:6" x14ac:dyDescent="0.3">
      <c r="A33" t="s">
        <v>246</v>
      </c>
      <c r="B33">
        <v>22.15</v>
      </c>
      <c r="C33">
        <v>21.84</v>
      </c>
      <c r="D33">
        <v>18.7</v>
      </c>
      <c r="E33">
        <v>21.84</v>
      </c>
      <c r="F33">
        <v>22.15</v>
      </c>
    </row>
    <row r="34" spans="1:6" x14ac:dyDescent="0.3">
      <c r="A34" t="s">
        <v>682</v>
      </c>
      <c r="B34">
        <f t="shared" ref="B34:F34" si="2">ROUND(15*((B33*10)/256),0)</f>
        <v>13</v>
      </c>
      <c r="C34">
        <f t="shared" si="2"/>
        <v>13</v>
      </c>
      <c r="D34">
        <f t="shared" si="2"/>
        <v>11</v>
      </c>
      <c r="E34">
        <f t="shared" si="2"/>
        <v>13</v>
      </c>
      <c r="F34">
        <f t="shared" si="2"/>
        <v>13</v>
      </c>
    </row>
    <row r="35" spans="1:6" x14ac:dyDescent="0.3">
      <c r="A35" t="s">
        <v>683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1246</v>
      </c>
    </row>
    <row r="43" spans="1:6" x14ac:dyDescent="0.3">
      <c r="A43" t="s">
        <v>680</v>
      </c>
      <c r="B43" t="s">
        <v>1245</v>
      </c>
      <c r="C43" t="s">
        <v>1248</v>
      </c>
      <c r="D43" t="s">
        <v>1250</v>
      </c>
      <c r="E43" t="s">
        <v>1249</v>
      </c>
      <c r="F43" t="s">
        <v>1247</v>
      </c>
    </row>
    <row r="44" spans="1:6" x14ac:dyDescent="0.3">
      <c r="A44" t="s">
        <v>681</v>
      </c>
      <c r="B44">
        <v>1</v>
      </c>
      <c r="C44">
        <v>1</v>
      </c>
      <c r="D44">
        <v>1</v>
      </c>
      <c r="E44">
        <v>1</v>
      </c>
      <c r="F44">
        <v>1</v>
      </c>
    </row>
    <row r="45" spans="1:6" x14ac:dyDescent="0.3">
      <c r="A45" t="s">
        <v>246</v>
      </c>
      <c r="B45">
        <v>20.2</v>
      </c>
      <c r="C45">
        <v>15.7</v>
      </c>
      <c r="D45">
        <v>10</v>
      </c>
      <c r="E45">
        <v>15.7</v>
      </c>
      <c r="F45">
        <v>20.2</v>
      </c>
    </row>
    <row r="46" spans="1:6" x14ac:dyDescent="0.3">
      <c r="A46" t="s">
        <v>682</v>
      </c>
      <c r="B46">
        <f t="shared" ref="B46:F46" si="3">ROUND(15*((B45*10)/256),0)</f>
        <v>12</v>
      </c>
      <c r="C46">
        <f t="shared" si="3"/>
        <v>9</v>
      </c>
      <c r="D46">
        <f t="shared" si="3"/>
        <v>6</v>
      </c>
      <c r="E46">
        <f t="shared" si="3"/>
        <v>9</v>
      </c>
      <c r="F46">
        <f t="shared" si="3"/>
        <v>12</v>
      </c>
    </row>
    <row r="47" spans="1:6" x14ac:dyDescent="0.3">
      <c r="A47" t="s">
        <v>683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4.4" x14ac:dyDescent="0.3"/>
  <cols>
    <col min="1" max="1" width="14.33203125" bestFit="1" customWidth="1"/>
    <col min="2" max="2" width="22.33203125" bestFit="1" customWidth="1"/>
    <col min="3" max="3" width="39.44140625" bestFit="1" customWidth="1"/>
    <col min="6" max="6" width="11.5546875" bestFit="1" customWidth="1"/>
    <col min="7" max="7" width="19.88671875" bestFit="1" customWidth="1"/>
    <col min="8" max="8" width="12.88671875" bestFit="1" customWidth="1"/>
    <col min="10" max="10" width="14.44140625" bestFit="1" customWidth="1"/>
  </cols>
  <sheetData>
    <row r="1" spans="1:18" x14ac:dyDescent="0.3">
      <c r="A1" s="1" t="s">
        <v>814</v>
      </c>
      <c r="B1" s="1" t="s">
        <v>813</v>
      </c>
      <c r="C1" s="1" t="s">
        <v>1040</v>
      </c>
      <c r="F1" s="1" t="s">
        <v>1048</v>
      </c>
      <c r="G1" s="1" t="s">
        <v>311</v>
      </c>
      <c r="H1" s="1" t="s">
        <v>1050</v>
      </c>
      <c r="J1" s="1" t="s">
        <v>1063</v>
      </c>
      <c r="K1" s="1" t="s">
        <v>1064</v>
      </c>
      <c r="L1" s="1" t="s">
        <v>1065</v>
      </c>
      <c r="M1" s="1" t="s">
        <v>1066</v>
      </c>
      <c r="N1" s="1" t="s">
        <v>1051</v>
      </c>
      <c r="O1" s="1" t="s">
        <v>1059</v>
      </c>
      <c r="P1" s="1" t="s">
        <v>1057</v>
      </c>
      <c r="Q1" s="1" t="s">
        <v>1055</v>
      </c>
      <c r="R1" s="1" t="s">
        <v>1091</v>
      </c>
    </row>
    <row r="2" spans="1:18" ht="15.75" customHeight="1" x14ac:dyDescent="0.3">
      <c r="A2" t="s">
        <v>860</v>
      </c>
      <c r="B2" t="s">
        <v>918</v>
      </c>
      <c r="C2" t="s">
        <v>966</v>
      </c>
      <c r="D2" t="str">
        <f t="shared" ref="D2:D33" si="0">CONCATENATE("""", A2, """,")</f>
        <v>"ACID",</v>
      </c>
      <c r="F2" t="s">
        <v>1016</v>
      </c>
      <c r="G2" s="13" t="str">
        <f>VLOOKUP(F2,A:B,2, FALSE)</f>
        <v>Batteries</v>
      </c>
      <c r="H2" s="13" t="s">
        <v>1059</v>
      </c>
      <c r="J2" t="s">
        <v>1062</v>
      </c>
      <c r="K2">
        <v>136</v>
      </c>
      <c r="L2">
        <v>38</v>
      </c>
      <c r="M2">
        <v>28</v>
      </c>
      <c r="N2">
        <f>K2/45</f>
        <v>3.0222222222222221</v>
      </c>
      <c r="O2">
        <f>K2/30</f>
        <v>4.5333333333333332</v>
      </c>
      <c r="P2">
        <f>K2/34</f>
        <v>4</v>
      </c>
      <c r="Q2">
        <f>K2/68</f>
        <v>2</v>
      </c>
      <c r="R2">
        <f>K2/60</f>
        <v>2.2666666666666666</v>
      </c>
    </row>
    <row r="3" spans="1:18" x14ac:dyDescent="0.3">
      <c r="A3" t="s">
        <v>819</v>
      </c>
      <c r="B3" t="s">
        <v>881</v>
      </c>
      <c r="C3" t="s">
        <v>938</v>
      </c>
      <c r="D3" t="str">
        <f t="shared" si="0"/>
        <v>"AORE",</v>
      </c>
      <c r="F3" t="s">
        <v>828</v>
      </c>
      <c r="G3" s="13" t="str">
        <f t="shared" ref="G3:G42" si="1">VLOOKUP(F3,A:B,2, FALSE)</f>
        <v>Bulding Materials</v>
      </c>
      <c r="H3" s="13" t="s">
        <v>1051</v>
      </c>
      <c r="J3" t="s">
        <v>1067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3">
      <c r="A4" t="s">
        <v>1016</v>
      </c>
      <c r="B4" t="s">
        <v>1017</v>
      </c>
      <c r="C4" t="s">
        <v>942</v>
      </c>
      <c r="D4" t="str">
        <f t="shared" si="0"/>
        <v>"BATT",</v>
      </c>
      <c r="F4" t="s">
        <v>827</v>
      </c>
      <c r="G4" s="13" t="str">
        <f t="shared" si="1"/>
        <v>Beer</v>
      </c>
      <c r="H4" s="13" t="s">
        <v>1059</v>
      </c>
      <c r="J4" t="s">
        <v>1068</v>
      </c>
      <c r="K4">
        <v>136</v>
      </c>
      <c r="L4">
        <v>38</v>
      </c>
      <c r="M4">
        <v>28</v>
      </c>
      <c r="N4">
        <f t="shared" si="2"/>
        <v>3.0222222222222221</v>
      </c>
      <c r="O4">
        <f t="shared" si="3"/>
        <v>4.5333333333333332</v>
      </c>
      <c r="P4">
        <f t="shared" si="4"/>
        <v>4</v>
      </c>
      <c r="Q4">
        <f t="shared" si="5"/>
        <v>2</v>
      </c>
      <c r="R4">
        <f t="shared" si="6"/>
        <v>2.2666666666666666</v>
      </c>
    </row>
    <row r="5" spans="1:18" x14ac:dyDescent="0.3">
      <c r="A5" t="s">
        <v>828</v>
      </c>
      <c r="B5" t="s">
        <v>893</v>
      </c>
      <c r="C5" t="s">
        <v>954</v>
      </c>
      <c r="D5" t="str">
        <f t="shared" si="0"/>
        <v>"BDMT",</v>
      </c>
      <c r="F5" t="s">
        <v>955</v>
      </c>
      <c r="G5" s="13" t="str">
        <f t="shared" si="1"/>
        <v>Explosives</v>
      </c>
      <c r="H5" s="13" t="s">
        <v>1059</v>
      </c>
      <c r="J5" t="s">
        <v>1069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3">
      <c r="A6" t="s">
        <v>951</v>
      </c>
      <c r="B6" t="s">
        <v>952</v>
      </c>
      <c r="C6" t="s">
        <v>938</v>
      </c>
      <c r="D6" t="str">
        <f t="shared" si="0"/>
        <v>"BEAN",</v>
      </c>
      <c r="F6" t="s">
        <v>857</v>
      </c>
      <c r="G6" s="13" t="str">
        <f t="shared" si="1"/>
        <v>Bricks</v>
      </c>
      <c r="H6" s="13" t="s">
        <v>1051</v>
      </c>
      <c r="J6" t="s">
        <v>1070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3">
      <c r="A7" t="s">
        <v>827</v>
      </c>
      <c r="B7" t="s">
        <v>892</v>
      </c>
      <c r="C7" t="s">
        <v>953</v>
      </c>
      <c r="D7" t="str">
        <f t="shared" si="0"/>
        <v>"BEER",</v>
      </c>
      <c r="F7" t="s">
        <v>1018</v>
      </c>
      <c r="G7" s="13" t="str">
        <f t="shared" si="1"/>
        <v>Bubbles</v>
      </c>
      <c r="H7" s="13" t="s">
        <v>1059</v>
      </c>
      <c r="J7" t="s">
        <v>1071</v>
      </c>
      <c r="K7">
        <v>180</v>
      </c>
      <c r="L7">
        <v>38</v>
      </c>
      <c r="M7">
        <v>28</v>
      </c>
      <c r="N7">
        <f t="shared" si="2"/>
        <v>4</v>
      </c>
      <c r="O7">
        <f t="shared" si="3"/>
        <v>6</v>
      </c>
      <c r="P7">
        <f t="shared" si="4"/>
        <v>5.2941176470588234</v>
      </c>
      <c r="Q7">
        <f t="shared" si="5"/>
        <v>2.6470588235294117</v>
      </c>
      <c r="R7">
        <f t="shared" si="6"/>
        <v>3</v>
      </c>
    </row>
    <row r="8" spans="1:18" x14ac:dyDescent="0.3">
      <c r="A8" t="s">
        <v>955</v>
      </c>
      <c r="B8" t="s">
        <v>956</v>
      </c>
      <c r="C8" t="s">
        <v>957</v>
      </c>
      <c r="D8" t="str">
        <f t="shared" si="0"/>
        <v>"BOOM",</v>
      </c>
      <c r="F8" t="s">
        <v>961</v>
      </c>
      <c r="G8" s="13" t="str">
        <f t="shared" si="1"/>
        <v>Ceramics</v>
      </c>
      <c r="H8" s="13" t="s">
        <v>1059</v>
      </c>
      <c r="J8" t="s">
        <v>1072</v>
      </c>
      <c r="K8">
        <v>180</v>
      </c>
      <c r="L8">
        <v>38</v>
      </c>
      <c r="M8">
        <v>28</v>
      </c>
      <c r="N8">
        <f t="shared" si="2"/>
        <v>4</v>
      </c>
      <c r="O8">
        <f t="shared" si="3"/>
        <v>6</v>
      </c>
      <c r="P8">
        <f t="shared" si="4"/>
        <v>5.2941176470588234</v>
      </c>
      <c r="Q8">
        <f t="shared" si="5"/>
        <v>2.6470588235294117</v>
      </c>
      <c r="R8">
        <f t="shared" si="6"/>
        <v>3</v>
      </c>
    </row>
    <row r="9" spans="1:18" x14ac:dyDescent="0.3">
      <c r="A9" t="s">
        <v>857</v>
      </c>
      <c r="B9" t="s">
        <v>916</v>
      </c>
      <c r="C9" t="s">
        <v>942</v>
      </c>
      <c r="D9" t="str">
        <f t="shared" si="0"/>
        <v>"BRCK",</v>
      </c>
      <c r="F9" t="s">
        <v>833</v>
      </c>
      <c r="G9" s="13" t="str">
        <f t="shared" si="1"/>
        <v>Copper</v>
      </c>
      <c r="H9" s="13" t="s">
        <v>1056</v>
      </c>
      <c r="J9" t="s">
        <v>1073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3">
      <c r="A10" t="s">
        <v>1018</v>
      </c>
      <c r="B10" t="s">
        <v>1019</v>
      </c>
      <c r="C10" t="s">
        <v>942</v>
      </c>
      <c r="D10" t="str">
        <f t="shared" si="0"/>
        <v>"BUBL",</v>
      </c>
      <c r="F10" t="s">
        <v>858</v>
      </c>
      <c r="G10" s="13" t="str">
        <f t="shared" si="1"/>
        <v>Cast Iron</v>
      </c>
      <c r="H10" s="13" t="s">
        <v>1056</v>
      </c>
    </row>
    <row r="11" spans="1:18" x14ac:dyDescent="0.3">
      <c r="A11" t="s">
        <v>872</v>
      </c>
      <c r="B11" t="s">
        <v>929</v>
      </c>
      <c r="C11" t="s">
        <v>938</v>
      </c>
      <c r="D11" t="str">
        <f t="shared" si="0"/>
        <v>"CASS",</v>
      </c>
      <c r="F11" t="s">
        <v>1023</v>
      </c>
      <c r="G11" s="13" t="str">
        <f t="shared" si="1"/>
        <v>Fizzy Drinks</v>
      </c>
      <c r="H11" s="13" t="s">
        <v>1059</v>
      </c>
    </row>
    <row r="12" spans="1:18" x14ac:dyDescent="0.3">
      <c r="A12" t="s">
        <v>958</v>
      </c>
      <c r="B12" t="s">
        <v>959</v>
      </c>
      <c r="C12" t="s">
        <v>960</v>
      </c>
      <c r="D12" t="str">
        <f t="shared" si="0"/>
        <v>"CBLK",</v>
      </c>
      <c r="F12" t="s">
        <v>864</v>
      </c>
      <c r="G12" s="13" t="str">
        <f t="shared" si="1"/>
        <v>Iron</v>
      </c>
      <c r="H12" s="13" t="s">
        <v>1056</v>
      </c>
    </row>
    <row r="13" spans="1:18" x14ac:dyDescent="0.3">
      <c r="A13" t="s">
        <v>961</v>
      </c>
      <c r="B13" t="s">
        <v>962</v>
      </c>
      <c r="C13" t="s">
        <v>942</v>
      </c>
      <c r="D13" t="str">
        <f t="shared" si="0"/>
        <v>"CERA",</v>
      </c>
      <c r="F13" t="s">
        <v>856</v>
      </c>
      <c r="G13" s="13" t="str">
        <f t="shared" si="1"/>
        <v>Coffee</v>
      </c>
      <c r="H13" s="13" t="s">
        <v>1059</v>
      </c>
    </row>
    <row r="14" spans="1:18" x14ac:dyDescent="0.3">
      <c r="A14" t="s">
        <v>840</v>
      </c>
      <c r="B14" t="s">
        <v>933</v>
      </c>
      <c r="C14" t="s">
        <v>963</v>
      </c>
      <c r="D14" t="str">
        <f t="shared" si="0"/>
        <v>"CERE",</v>
      </c>
      <c r="F14" t="s">
        <v>854</v>
      </c>
      <c r="G14" s="13" t="str">
        <f t="shared" si="1"/>
        <v>Metal</v>
      </c>
      <c r="H14" s="13" t="s">
        <v>1056</v>
      </c>
    </row>
    <row r="15" spans="1:18" x14ac:dyDescent="0.3">
      <c r="A15" t="s">
        <v>861</v>
      </c>
      <c r="B15" t="s">
        <v>917</v>
      </c>
      <c r="C15" t="s">
        <v>966</v>
      </c>
      <c r="D15" t="str">
        <f t="shared" si="0"/>
        <v>"CHLO",</v>
      </c>
      <c r="F15" t="s">
        <v>999</v>
      </c>
      <c r="G15" s="13" t="str">
        <f t="shared" si="1"/>
        <v>Nuts</v>
      </c>
      <c r="H15" s="13" t="s">
        <v>1059</v>
      </c>
    </row>
    <row r="16" spans="1:18" x14ac:dyDescent="0.3">
      <c r="A16" t="s">
        <v>821</v>
      </c>
      <c r="B16" t="s">
        <v>883</v>
      </c>
      <c r="C16" t="s">
        <v>964</v>
      </c>
      <c r="D16" t="str">
        <f t="shared" si="0"/>
        <v>"CLAY",</v>
      </c>
      <c r="F16" t="s">
        <v>830</v>
      </c>
      <c r="G16" s="13" t="str">
        <f t="shared" si="1"/>
        <v>Paper</v>
      </c>
      <c r="H16" s="13" t="s">
        <v>1059</v>
      </c>
    </row>
    <row r="17" spans="1:8" x14ac:dyDescent="0.3">
      <c r="A17" t="s">
        <v>863</v>
      </c>
      <c r="B17" t="s">
        <v>924</v>
      </c>
      <c r="C17" t="s">
        <v>964</v>
      </c>
      <c r="D17" t="str">
        <f t="shared" si="0"/>
        <v>"CMNT",</v>
      </c>
      <c r="F17" t="s">
        <v>1001</v>
      </c>
      <c r="G17" s="13" t="str">
        <f t="shared" si="1"/>
        <v>Pipe</v>
      </c>
      <c r="H17" s="13" t="s">
        <v>1052</v>
      </c>
    </row>
    <row r="18" spans="1:8" x14ac:dyDescent="0.3">
      <c r="A18" t="s">
        <v>714</v>
      </c>
      <c r="B18" t="s">
        <v>877</v>
      </c>
      <c r="C18" t="s">
        <v>938</v>
      </c>
      <c r="D18" t="str">
        <f t="shared" si="0"/>
        <v>"COAL",</v>
      </c>
      <c r="F18" t="s">
        <v>1003</v>
      </c>
      <c r="G18" s="13" t="str">
        <f t="shared" si="1"/>
        <v>Electrical Equipment</v>
      </c>
      <c r="H18" s="13" t="s">
        <v>1059</v>
      </c>
    </row>
    <row r="19" spans="1:8" x14ac:dyDescent="0.3">
      <c r="A19" t="s">
        <v>862</v>
      </c>
      <c r="B19" t="s">
        <v>919</v>
      </c>
      <c r="C19" t="s">
        <v>938</v>
      </c>
      <c r="D19" t="str">
        <f t="shared" si="0"/>
        <v>"COKE",</v>
      </c>
      <c r="F19" t="s">
        <v>1005</v>
      </c>
      <c r="G19" s="13" t="str">
        <f t="shared" si="1"/>
        <v>Alloy Steel</v>
      </c>
      <c r="H19" s="13" t="s">
        <v>1056</v>
      </c>
    </row>
    <row r="20" spans="1:8" x14ac:dyDescent="0.3">
      <c r="A20" t="s">
        <v>1020</v>
      </c>
      <c r="B20" t="s">
        <v>1021</v>
      </c>
      <c r="C20" t="s">
        <v>940</v>
      </c>
      <c r="D20" t="str">
        <f t="shared" si="0"/>
        <v>"COLA",</v>
      </c>
      <c r="F20" t="s">
        <v>1007</v>
      </c>
      <c r="G20" s="13" t="str">
        <f t="shared" si="1"/>
        <v>Carbon Steel</v>
      </c>
      <c r="H20" s="13" t="s">
        <v>1056</v>
      </c>
    </row>
    <row r="21" spans="1:8" x14ac:dyDescent="0.3">
      <c r="A21" t="s">
        <v>833</v>
      </c>
      <c r="B21" t="s">
        <v>965</v>
      </c>
      <c r="C21" t="s">
        <v>942</v>
      </c>
      <c r="D21" t="str">
        <f t="shared" si="0"/>
        <v>"COPR",</v>
      </c>
      <c r="F21" t="s">
        <v>793</v>
      </c>
      <c r="G21" s="13" t="str">
        <f t="shared" si="1"/>
        <v>Steel</v>
      </c>
      <c r="H21" s="13" t="s">
        <v>1056</v>
      </c>
    </row>
    <row r="22" spans="1:8" x14ac:dyDescent="0.3">
      <c r="A22" t="s">
        <v>820</v>
      </c>
      <c r="B22" t="s">
        <v>882</v>
      </c>
      <c r="C22" t="s">
        <v>938</v>
      </c>
      <c r="D22" t="str">
        <f t="shared" si="0"/>
        <v>"CORE",</v>
      </c>
      <c r="F22" t="s">
        <v>1009</v>
      </c>
      <c r="G22" s="13" t="str">
        <f t="shared" si="1"/>
        <v>Stainless Steel</v>
      </c>
      <c r="H22" s="13" t="s">
        <v>1056</v>
      </c>
    </row>
    <row r="23" spans="1:8" x14ac:dyDescent="0.3">
      <c r="A23" t="s">
        <v>858</v>
      </c>
      <c r="B23" t="s">
        <v>934</v>
      </c>
      <c r="C23" t="s">
        <v>942</v>
      </c>
      <c r="D23" t="str">
        <f t="shared" si="0"/>
        <v>"CSTI",</v>
      </c>
      <c r="F23" t="s">
        <v>1029</v>
      </c>
      <c r="G23" s="13" t="str">
        <f t="shared" si="1"/>
        <v>Toys</v>
      </c>
      <c r="H23" s="13" t="s">
        <v>1059</v>
      </c>
    </row>
    <row r="24" spans="1:8" x14ac:dyDescent="0.3">
      <c r="A24" t="s">
        <v>859</v>
      </c>
      <c r="B24" t="s">
        <v>935</v>
      </c>
      <c r="C24" t="s">
        <v>966</v>
      </c>
      <c r="D24" t="str">
        <f t="shared" si="0"/>
        <v>"CTAR",</v>
      </c>
      <c r="F24" t="s">
        <v>991</v>
      </c>
      <c r="G24" s="13" t="str">
        <f t="shared" si="1"/>
        <v>Tyres</v>
      </c>
      <c r="H24" s="13" t="s">
        <v>1060</v>
      </c>
    </row>
    <row r="25" spans="1:8" x14ac:dyDescent="0.3">
      <c r="A25" t="s">
        <v>1022</v>
      </c>
      <c r="B25" t="s">
        <v>1036</v>
      </c>
      <c r="C25" t="s">
        <v>938</v>
      </c>
      <c r="D25" t="str">
        <f t="shared" si="0"/>
        <v>"CTCD",</v>
      </c>
      <c r="F25" t="s">
        <v>1011</v>
      </c>
      <c r="G25" s="13" t="str">
        <f t="shared" si="1"/>
        <v>Vehicle Bodies</v>
      </c>
      <c r="H25" s="13" t="s">
        <v>1061</v>
      </c>
    </row>
    <row r="26" spans="1:8" x14ac:dyDescent="0.3">
      <c r="A26" t="s">
        <v>949</v>
      </c>
      <c r="B26" t="s">
        <v>950</v>
      </c>
      <c r="C26" t="s">
        <v>944</v>
      </c>
      <c r="D26" t="str">
        <f t="shared" si="0"/>
        <v>"DIAM",</v>
      </c>
      <c r="F26" t="s">
        <v>1012</v>
      </c>
      <c r="G26" s="13" t="str">
        <f t="shared" si="1"/>
        <v>Vehicle Engines</v>
      </c>
      <c r="H26" s="13" t="s">
        <v>1059</v>
      </c>
    </row>
    <row r="27" spans="1:8" x14ac:dyDescent="0.3">
      <c r="A27" t="s">
        <v>834</v>
      </c>
      <c r="B27" t="s">
        <v>896</v>
      </c>
      <c r="C27" t="s">
        <v>967</v>
      </c>
      <c r="D27" t="str">
        <f t="shared" si="0"/>
        <v>"DYES",</v>
      </c>
      <c r="F27" t="s">
        <v>411</v>
      </c>
      <c r="G27" s="13" t="str">
        <f t="shared" si="1"/>
        <v>Wood</v>
      </c>
      <c r="H27" s="13" t="s">
        <v>1053</v>
      </c>
    </row>
    <row r="28" spans="1:8" x14ac:dyDescent="0.3">
      <c r="A28" t="s">
        <v>826</v>
      </c>
      <c r="B28" t="s">
        <v>891</v>
      </c>
      <c r="C28" t="s">
        <v>957</v>
      </c>
      <c r="D28" t="str">
        <f t="shared" si="0"/>
        <v>"ENSP",</v>
      </c>
      <c r="F28" t="s">
        <v>869</v>
      </c>
      <c r="G28" s="13" t="str">
        <f t="shared" si="1"/>
        <v>Zinc</v>
      </c>
      <c r="H28" s="13" t="s">
        <v>1056</v>
      </c>
    </row>
    <row r="29" spans="1:8" x14ac:dyDescent="0.3">
      <c r="A29" t="s">
        <v>996</v>
      </c>
      <c r="B29" t="s">
        <v>997</v>
      </c>
      <c r="C29" t="s">
        <v>967</v>
      </c>
      <c r="D29" t="str">
        <f t="shared" si="0"/>
        <v>"EOIL",</v>
      </c>
      <c r="F29" t="s">
        <v>826</v>
      </c>
      <c r="G29" s="13" t="str">
        <f t="shared" si="1"/>
        <v>Engineering Supplies</v>
      </c>
      <c r="H29" s="13" t="s">
        <v>1054</v>
      </c>
    </row>
    <row r="30" spans="1:8" x14ac:dyDescent="0.3">
      <c r="A30" t="s">
        <v>968</v>
      </c>
      <c r="B30" t="s">
        <v>969</v>
      </c>
      <c r="C30" t="s">
        <v>938</v>
      </c>
      <c r="D30" t="str">
        <f t="shared" si="0"/>
        <v>"FECR",</v>
      </c>
      <c r="F30" t="s">
        <v>825</v>
      </c>
      <c r="G30" s="13" t="str">
        <f t="shared" si="1"/>
        <v>Farm Supplies</v>
      </c>
      <c r="H30" s="13" t="s">
        <v>1055</v>
      </c>
    </row>
    <row r="31" spans="1:8" x14ac:dyDescent="0.3">
      <c r="A31" t="s">
        <v>970</v>
      </c>
      <c r="B31" t="s">
        <v>971</v>
      </c>
      <c r="C31" t="s">
        <v>972</v>
      </c>
      <c r="D31" t="str">
        <f t="shared" si="0"/>
        <v>"FERT",</v>
      </c>
      <c r="F31" t="s">
        <v>1014</v>
      </c>
      <c r="G31" s="13" t="str">
        <f t="shared" si="1"/>
        <v>Vehicle Parts</v>
      </c>
      <c r="H31" s="13" t="s">
        <v>1059</v>
      </c>
    </row>
    <row r="32" spans="1:8" x14ac:dyDescent="0.3">
      <c r="A32" t="s">
        <v>841</v>
      </c>
      <c r="B32" t="s">
        <v>930</v>
      </c>
      <c r="C32" t="s">
        <v>972</v>
      </c>
      <c r="D32" t="str">
        <f t="shared" si="0"/>
        <v>"FICR",</v>
      </c>
      <c r="F32" t="s">
        <v>831</v>
      </c>
      <c r="G32" s="13" t="str">
        <f t="shared" si="1"/>
        <v>Timber</v>
      </c>
      <c r="H32" s="13" t="s">
        <v>1057</v>
      </c>
    </row>
    <row r="33" spans="1:8" x14ac:dyDescent="0.3">
      <c r="A33" t="s">
        <v>839</v>
      </c>
      <c r="B33" t="s">
        <v>901</v>
      </c>
      <c r="C33" t="s">
        <v>945</v>
      </c>
      <c r="D33" t="str">
        <f t="shared" si="0"/>
        <v>"FISH",</v>
      </c>
      <c r="F33" t="s">
        <v>837</v>
      </c>
      <c r="G33" s="13" t="str">
        <f t="shared" si="1"/>
        <v>Plastics</v>
      </c>
      <c r="H33" s="13" t="s">
        <v>1059</v>
      </c>
    </row>
    <row r="34" spans="1:8" x14ac:dyDescent="0.3">
      <c r="A34" t="s">
        <v>825</v>
      </c>
      <c r="B34" t="s">
        <v>890</v>
      </c>
      <c r="C34" t="s">
        <v>957</v>
      </c>
      <c r="D34" t="str">
        <f t="shared" ref="D34:D65" si="7">CONCATENATE("""", A34, """,")</f>
        <v>"FMSP",</v>
      </c>
      <c r="F34" t="s">
        <v>834</v>
      </c>
      <c r="G34" s="13" t="str">
        <f t="shared" si="1"/>
        <v>Dyes</v>
      </c>
      <c r="H34" s="13" t="s">
        <v>1059</v>
      </c>
    </row>
    <row r="35" spans="1:8" x14ac:dyDescent="0.3">
      <c r="A35" t="s">
        <v>824</v>
      </c>
      <c r="B35" t="s">
        <v>888</v>
      </c>
      <c r="C35" t="s">
        <v>945</v>
      </c>
      <c r="D35" t="str">
        <f t="shared" si="7"/>
        <v>"FOOD",</v>
      </c>
      <c r="F35" t="s">
        <v>832</v>
      </c>
      <c r="G35" s="13" t="str">
        <f t="shared" si="1"/>
        <v>Vehicles</v>
      </c>
      <c r="H35" s="13" t="s">
        <v>1058</v>
      </c>
    </row>
    <row r="36" spans="1:8" x14ac:dyDescent="0.3">
      <c r="A36" t="s">
        <v>843</v>
      </c>
      <c r="B36" t="s">
        <v>907</v>
      </c>
      <c r="C36" t="s">
        <v>948</v>
      </c>
      <c r="D36" t="str">
        <f t="shared" si="7"/>
        <v>"FRUT",</v>
      </c>
      <c r="F36" t="s">
        <v>841</v>
      </c>
      <c r="G36" s="13" t="str">
        <f t="shared" si="1"/>
        <v>Fibre Crops</v>
      </c>
      <c r="H36" s="13" t="s">
        <v>1059</v>
      </c>
    </row>
    <row r="37" spans="1:8" x14ac:dyDescent="0.3">
      <c r="A37" t="s">
        <v>842</v>
      </c>
      <c r="B37" t="s">
        <v>931</v>
      </c>
      <c r="C37" t="s">
        <v>1033</v>
      </c>
      <c r="D37" t="str">
        <f t="shared" si="7"/>
        <v>"FRVG",</v>
      </c>
      <c r="F37" t="s">
        <v>829</v>
      </c>
      <c r="G37" s="13" t="str">
        <f t="shared" si="1"/>
        <v>Packaging</v>
      </c>
      <c r="H37" s="13" t="s">
        <v>1059</v>
      </c>
    </row>
    <row r="38" spans="1:8" x14ac:dyDescent="0.3">
      <c r="A38" t="s">
        <v>1023</v>
      </c>
      <c r="B38" t="s">
        <v>1024</v>
      </c>
      <c r="C38" t="s">
        <v>942</v>
      </c>
      <c r="D38" t="str">
        <f t="shared" si="7"/>
        <v>"FZDR",</v>
      </c>
      <c r="F38" t="s">
        <v>1087</v>
      </c>
      <c r="G38" s="13" t="str">
        <f t="shared" si="1"/>
        <v>Steel Sheet</v>
      </c>
      <c r="H38" s="13"/>
    </row>
    <row r="39" spans="1:8" x14ac:dyDescent="0.3">
      <c r="A39" t="s">
        <v>946</v>
      </c>
      <c r="B39" t="s">
        <v>947</v>
      </c>
      <c r="C39" t="s">
        <v>944</v>
      </c>
      <c r="D39" t="str">
        <f t="shared" si="7"/>
        <v>"GOLD",</v>
      </c>
      <c r="F39" t="s">
        <v>1089</v>
      </c>
      <c r="G39" s="13" t="str">
        <f t="shared" si="1"/>
        <v>Steel Wire Rod</v>
      </c>
      <c r="H39" s="13"/>
    </row>
    <row r="40" spans="1:8" x14ac:dyDescent="0.3">
      <c r="A40" t="s">
        <v>286</v>
      </c>
      <c r="B40" t="s">
        <v>887</v>
      </c>
      <c r="C40" t="s">
        <v>943</v>
      </c>
      <c r="D40" t="str">
        <f t="shared" si="7"/>
        <v>"GOOD",</v>
      </c>
      <c r="F40" t="s">
        <v>1086</v>
      </c>
      <c r="G40" s="13" t="str">
        <f t="shared" si="1"/>
        <v>Rebar</v>
      </c>
      <c r="H40" s="13"/>
    </row>
    <row r="41" spans="1:8" x14ac:dyDescent="0.3">
      <c r="A41" t="s">
        <v>844</v>
      </c>
      <c r="B41" t="s">
        <v>906</v>
      </c>
      <c r="C41" t="s">
        <v>938</v>
      </c>
      <c r="D41" t="str">
        <f t="shared" si="7"/>
        <v>"GRAI",</v>
      </c>
      <c r="F41" s="13" t="s">
        <v>1077</v>
      </c>
      <c r="G41" s="13" t="str">
        <f t="shared" si="1"/>
        <v>Cleaning Agents</v>
      </c>
      <c r="H41" s="13" t="s">
        <v>1059</v>
      </c>
    </row>
    <row r="42" spans="1:8" x14ac:dyDescent="0.3">
      <c r="A42" t="s">
        <v>817</v>
      </c>
      <c r="B42" t="s">
        <v>879</v>
      </c>
      <c r="C42" t="s">
        <v>938</v>
      </c>
      <c r="D42" t="str">
        <f t="shared" si="7"/>
        <v>"GRVL",</v>
      </c>
      <c r="F42" s="13" t="s">
        <v>1084</v>
      </c>
      <c r="G42" s="13" t="str">
        <f t="shared" si="1"/>
        <v>Paints and coatings</v>
      </c>
      <c r="H42" s="13" t="s">
        <v>1059</v>
      </c>
    </row>
    <row r="43" spans="1:8" x14ac:dyDescent="0.3">
      <c r="A43" t="s">
        <v>816</v>
      </c>
      <c r="B43" t="s">
        <v>878</v>
      </c>
      <c r="C43" t="s">
        <v>938</v>
      </c>
      <c r="D43" t="str">
        <f t="shared" si="7"/>
        <v>"IORE",</v>
      </c>
    </row>
    <row r="44" spans="1:8" x14ac:dyDescent="0.3">
      <c r="A44" t="s">
        <v>864</v>
      </c>
      <c r="B44" t="s">
        <v>920</v>
      </c>
      <c r="C44" t="s">
        <v>942</v>
      </c>
      <c r="D44" t="str">
        <f t="shared" si="7"/>
        <v>"IRON",</v>
      </c>
    </row>
    <row r="45" spans="1:8" x14ac:dyDescent="0.3">
      <c r="A45" t="s">
        <v>856</v>
      </c>
      <c r="B45" t="s">
        <v>915</v>
      </c>
      <c r="C45" t="s">
        <v>942</v>
      </c>
      <c r="D45" t="str">
        <f t="shared" si="7"/>
        <v>"JAVA",</v>
      </c>
    </row>
    <row r="46" spans="1:8" x14ac:dyDescent="0.3">
      <c r="A46" t="s">
        <v>974</v>
      </c>
      <c r="B46" t="s">
        <v>1034</v>
      </c>
      <c r="C46" t="s">
        <v>975</v>
      </c>
      <c r="D46" t="str">
        <f t="shared" si="7"/>
        <v>"KAOL",</v>
      </c>
    </row>
    <row r="47" spans="1:8" x14ac:dyDescent="0.3">
      <c r="A47" t="s">
        <v>823</v>
      </c>
      <c r="B47" t="s">
        <v>886</v>
      </c>
      <c r="C47" t="s">
        <v>938</v>
      </c>
      <c r="D47" t="str">
        <f t="shared" si="7"/>
        <v>"LIME",</v>
      </c>
    </row>
    <row r="48" spans="1:8" x14ac:dyDescent="0.3">
      <c r="A48" t="s">
        <v>753</v>
      </c>
      <c r="B48" t="s">
        <v>905</v>
      </c>
      <c r="C48" t="s">
        <v>942</v>
      </c>
      <c r="D48" t="str">
        <f t="shared" si="7"/>
        <v>"LVST",</v>
      </c>
    </row>
    <row r="49" spans="1:4" x14ac:dyDescent="0.3">
      <c r="A49" t="s">
        <v>652</v>
      </c>
      <c r="B49" t="s">
        <v>876</v>
      </c>
      <c r="C49" t="s">
        <v>939</v>
      </c>
      <c r="D49" t="str">
        <f t="shared" si="7"/>
        <v>"MAIL",</v>
      </c>
    </row>
    <row r="50" spans="1:4" x14ac:dyDescent="0.3">
      <c r="A50" t="s">
        <v>845</v>
      </c>
      <c r="B50" t="s">
        <v>904</v>
      </c>
      <c r="C50" t="s">
        <v>938</v>
      </c>
      <c r="D50" t="str">
        <f t="shared" si="7"/>
        <v>"MAIZ",</v>
      </c>
    </row>
    <row r="51" spans="1:4" x14ac:dyDescent="0.3">
      <c r="A51" t="s">
        <v>854</v>
      </c>
      <c r="B51" t="s">
        <v>913</v>
      </c>
      <c r="C51" t="s">
        <v>942</v>
      </c>
      <c r="D51" t="str">
        <f t="shared" si="7"/>
        <v>"METL",</v>
      </c>
    </row>
    <row r="52" spans="1:4" x14ac:dyDescent="0.3">
      <c r="A52" t="s">
        <v>846</v>
      </c>
      <c r="B52" t="s">
        <v>902</v>
      </c>
      <c r="C52" t="s">
        <v>976</v>
      </c>
      <c r="D52" t="str">
        <f t="shared" si="7"/>
        <v>"MILK",</v>
      </c>
    </row>
    <row r="53" spans="1:4" x14ac:dyDescent="0.3">
      <c r="A53" t="s">
        <v>873</v>
      </c>
      <c r="B53" t="s">
        <v>925</v>
      </c>
      <c r="C53" t="s">
        <v>938</v>
      </c>
      <c r="D53" t="str">
        <f t="shared" si="7"/>
        <v>"MNO2",</v>
      </c>
    </row>
    <row r="54" spans="1:4" x14ac:dyDescent="0.3">
      <c r="A54" t="s">
        <v>829</v>
      </c>
      <c r="B54" t="s">
        <v>1074</v>
      </c>
      <c r="C54" t="s">
        <v>998</v>
      </c>
      <c r="D54" t="str">
        <f t="shared" si="7"/>
        <v>"MNSP",</v>
      </c>
    </row>
    <row r="55" spans="1:4" x14ac:dyDescent="0.3">
      <c r="A55" t="s">
        <v>977</v>
      </c>
      <c r="B55" t="s">
        <v>978</v>
      </c>
      <c r="C55" t="s">
        <v>938</v>
      </c>
      <c r="D55" t="str">
        <f t="shared" si="7"/>
        <v>"NITR",</v>
      </c>
    </row>
    <row r="56" spans="1:4" x14ac:dyDescent="0.3">
      <c r="A56" t="s">
        <v>999</v>
      </c>
      <c r="B56" t="s">
        <v>1000</v>
      </c>
      <c r="C56" t="s">
        <v>942</v>
      </c>
      <c r="D56" t="str">
        <f t="shared" si="7"/>
        <v>"NUTS",</v>
      </c>
    </row>
    <row r="57" spans="1:4" x14ac:dyDescent="0.3">
      <c r="A57" t="s">
        <v>284</v>
      </c>
      <c r="B57" t="s">
        <v>897</v>
      </c>
      <c r="C57" t="s">
        <v>940</v>
      </c>
      <c r="D57" t="str">
        <f t="shared" si="7"/>
        <v>"OIL_",</v>
      </c>
    </row>
    <row r="58" spans="1:4" x14ac:dyDescent="0.3">
      <c r="A58" t="s">
        <v>852</v>
      </c>
      <c r="B58" t="s">
        <v>932</v>
      </c>
      <c r="C58" t="s">
        <v>963</v>
      </c>
      <c r="D58" t="str">
        <f t="shared" si="7"/>
        <v>"OLSD",</v>
      </c>
    </row>
    <row r="59" spans="1:4" x14ac:dyDescent="0.3">
      <c r="A59" t="s">
        <v>830</v>
      </c>
      <c r="B59" t="s">
        <v>894</v>
      </c>
      <c r="C59" t="s">
        <v>942</v>
      </c>
      <c r="D59" t="str">
        <f t="shared" si="7"/>
        <v>"PAPR",</v>
      </c>
    </row>
    <row r="60" spans="1:4" x14ac:dyDescent="0.3">
      <c r="A60" t="s">
        <v>283</v>
      </c>
      <c r="B60" t="s">
        <v>874</v>
      </c>
      <c r="C60" t="s">
        <v>937</v>
      </c>
      <c r="D60" t="str">
        <f t="shared" si="7"/>
        <v>"PASS",</v>
      </c>
    </row>
    <row r="61" spans="1:4" x14ac:dyDescent="0.3">
      <c r="A61" t="s">
        <v>979</v>
      </c>
      <c r="B61" t="s">
        <v>980</v>
      </c>
      <c r="C61" t="s">
        <v>938</v>
      </c>
      <c r="D61" t="str">
        <f t="shared" si="7"/>
        <v>"PEAT",</v>
      </c>
    </row>
    <row r="62" spans="1:4" x14ac:dyDescent="0.3">
      <c r="A62" t="s">
        <v>836</v>
      </c>
      <c r="B62" t="s">
        <v>898</v>
      </c>
      <c r="C62" t="s">
        <v>940</v>
      </c>
      <c r="D62" t="str">
        <f t="shared" si="7"/>
        <v>"PETR",</v>
      </c>
    </row>
    <row r="63" spans="1:4" x14ac:dyDescent="0.3">
      <c r="A63" t="s">
        <v>981</v>
      </c>
      <c r="B63" t="s">
        <v>982</v>
      </c>
      <c r="C63" t="s">
        <v>938</v>
      </c>
      <c r="D63" t="str">
        <f t="shared" si="7"/>
        <v>"PHOS",</v>
      </c>
    </row>
    <row r="64" spans="1:4" x14ac:dyDescent="0.3">
      <c r="A64" t="s">
        <v>1001</v>
      </c>
      <c r="B64" t="s">
        <v>1002</v>
      </c>
      <c r="C64" t="s">
        <v>942</v>
      </c>
      <c r="D64" t="str">
        <f t="shared" si="7"/>
        <v>"PIPE",</v>
      </c>
    </row>
    <row r="65" spans="1:4" x14ac:dyDescent="0.3">
      <c r="A65" t="s">
        <v>837</v>
      </c>
      <c r="B65" t="s">
        <v>899</v>
      </c>
      <c r="C65" t="s">
        <v>984</v>
      </c>
      <c r="D65" t="str">
        <f t="shared" si="7"/>
        <v>"PLAS",</v>
      </c>
    </row>
    <row r="66" spans="1:4" x14ac:dyDescent="0.3">
      <c r="A66" t="s">
        <v>1025</v>
      </c>
      <c r="B66" t="s">
        <v>983</v>
      </c>
      <c r="C66" t="s">
        <v>940</v>
      </c>
      <c r="D66" t="str">
        <f t="shared" ref="D66:D97" si="8">CONCATENATE("""", A66, """,")</f>
        <v>"PLST",</v>
      </c>
    </row>
    <row r="67" spans="1:4" x14ac:dyDescent="0.3">
      <c r="A67" t="s">
        <v>985</v>
      </c>
      <c r="B67" t="s">
        <v>986</v>
      </c>
      <c r="C67" t="s">
        <v>938</v>
      </c>
      <c r="D67" t="str">
        <f t="shared" si="8"/>
        <v>"PORE",</v>
      </c>
    </row>
    <row r="68" spans="1:4" x14ac:dyDescent="0.3">
      <c r="A68" t="s">
        <v>987</v>
      </c>
      <c r="B68" t="s">
        <v>988</v>
      </c>
      <c r="C68" t="s">
        <v>963</v>
      </c>
      <c r="D68" t="str">
        <f t="shared" si="8"/>
        <v>"POTA",</v>
      </c>
    </row>
    <row r="69" spans="1:4" x14ac:dyDescent="0.3">
      <c r="A69" t="s">
        <v>1003</v>
      </c>
      <c r="B69" t="s">
        <v>1081</v>
      </c>
      <c r="C69" t="s">
        <v>942</v>
      </c>
      <c r="D69" t="str">
        <f t="shared" si="8"/>
        <v>"POWR",</v>
      </c>
    </row>
    <row r="70" spans="1:4" x14ac:dyDescent="0.3">
      <c r="A70" t="s">
        <v>865</v>
      </c>
      <c r="B70" t="s">
        <v>926</v>
      </c>
      <c r="C70" t="s">
        <v>963</v>
      </c>
      <c r="D70" t="str">
        <f t="shared" si="8"/>
        <v>"QLME",</v>
      </c>
    </row>
    <row r="71" spans="1:4" x14ac:dyDescent="0.3">
      <c r="A71" t="s">
        <v>871</v>
      </c>
      <c r="B71" t="s">
        <v>928</v>
      </c>
      <c r="C71" t="s">
        <v>1004</v>
      </c>
      <c r="D71" t="str">
        <f t="shared" si="8"/>
        <v>"RCYC",</v>
      </c>
    </row>
    <row r="72" spans="1:4" x14ac:dyDescent="0.3">
      <c r="A72" t="s">
        <v>835</v>
      </c>
      <c r="B72" t="s">
        <v>1080</v>
      </c>
      <c r="C72" t="s">
        <v>940</v>
      </c>
      <c r="D72" t="str">
        <f t="shared" si="8"/>
        <v>"RFPR",</v>
      </c>
    </row>
    <row r="73" spans="1:4" x14ac:dyDescent="0.3">
      <c r="A73" t="s">
        <v>847</v>
      </c>
      <c r="B73" t="s">
        <v>908</v>
      </c>
      <c r="C73" t="s">
        <v>940</v>
      </c>
      <c r="D73" t="str">
        <f t="shared" si="8"/>
        <v>"RUBR",</v>
      </c>
    </row>
    <row r="74" spans="1:4" x14ac:dyDescent="0.3">
      <c r="A74" t="s">
        <v>866</v>
      </c>
      <c r="B74" t="s">
        <v>921</v>
      </c>
      <c r="C74" t="s">
        <v>938</v>
      </c>
      <c r="D74" t="str">
        <f t="shared" si="8"/>
        <v>"SALT",</v>
      </c>
    </row>
    <row r="75" spans="1:4" x14ac:dyDescent="0.3">
      <c r="A75" t="s">
        <v>818</v>
      </c>
      <c r="B75" t="s">
        <v>880</v>
      </c>
      <c r="C75" t="s">
        <v>938</v>
      </c>
      <c r="D75" t="str">
        <f t="shared" si="8"/>
        <v>"SAND",</v>
      </c>
    </row>
    <row r="76" spans="1:4" x14ac:dyDescent="0.3">
      <c r="A76" t="s">
        <v>867</v>
      </c>
      <c r="B76" t="s">
        <v>936</v>
      </c>
      <c r="C76" t="s">
        <v>963</v>
      </c>
      <c r="D76" t="str">
        <f t="shared" si="8"/>
        <v>"SASH",</v>
      </c>
    </row>
    <row r="77" spans="1:4" x14ac:dyDescent="0.3">
      <c r="A77" t="s">
        <v>822</v>
      </c>
      <c r="B77" t="s">
        <v>884</v>
      </c>
      <c r="C77" t="s">
        <v>989</v>
      </c>
      <c r="D77" t="str">
        <f t="shared" si="8"/>
        <v>"SCMT",</v>
      </c>
    </row>
    <row r="78" spans="1:4" x14ac:dyDescent="0.3">
      <c r="A78" t="s">
        <v>848</v>
      </c>
      <c r="B78" t="s">
        <v>909</v>
      </c>
      <c r="C78" t="s">
        <v>938</v>
      </c>
      <c r="D78" t="str">
        <f t="shared" si="8"/>
        <v>"SGBT",</v>
      </c>
    </row>
    <row r="79" spans="1:4" x14ac:dyDescent="0.3">
      <c r="A79" t="s">
        <v>849</v>
      </c>
      <c r="B79" t="s">
        <v>910</v>
      </c>
      <c r="C79" t="s">
        <v>989</v>
      </c>
      <c r="D79" t="str">
        <f t="shared" si="8"/>
        <v>"SGCN",</v>
      </c>
    </row>
    <row r="80" spans="1:4" x14ac:dyDescent="0.3">
      <c r="A80" t="s">
        <v>870</v>
      </c>
      <c r="B80" t="s">
        <v>923</v>
      </c>
      <c r="C80" t="s">
        <v>938</v>
      </c>
      <c r="D80" t="str">
        <f t="shared" si="8"/>
        <v>"SLAG",</v>
      </c>
    </row>
    <row r="81" spans="1:4" x14ac:dyDescent="0.3">
      <c r="A81" t="s">
        <v>1005</v>
      </c>
      <c r="B81" t="s">
        <v>1006</v>
      </c>
      <c r="C81" t="s">
        <v>942</v>
      </c>
      <c r="D81" t="str">
        <f t="shared" si="8"/>
        <v>"STAL",</v>
      </c>
    </row>
    <row r="82" spans="1:4" x14ac:dyDescent="0.3">
      <c r="A82" t="s">
        <v>1007</v>
      </c>
      <c r="B82" t="s">
        <v>1008</v>
      </c>
      <c r="C82" t="s">
        <v>942</v>
      </c>
      <c r="D82" t="str">
        <f t="shared" si="8"/>
        <v>"STCB",</v>
      </c>
    </row>
    <row r="83" spans="1:4" x14ac:dyDescent="0.3">
      <c r="A83" t="s">
        <v>793</v>
      </c>
      <c r="B83" t="s">
        <v>889</v>
      </c>
      <c r="C83" t="s">
        <v>942</v>
      </c>
      <c r="D83" t="str">
        <f t="shared" si="8"/>
        <v>"STEL",</v>
      </c>
    </row>
    <row r="84" spans="1:4" x14ac:dyDescent="0.3">
      <c r="A84" t="s">
        <v>1009</v>
      </c>
      <c r="B84" t="s">
        <v>1010</v>
      </c>
      <c r="C84" t="s">
        <v>942</v>
      </c>
      <c r="D84" t="str">
        <f t="shared" si="8"/>
        <v>"STST",</v>
      </c>
    </row>
    <row r="85" spans="1:4" x14ac:dyDescent="0.3">
      <c r="A85" t="s">
        <v>853</v>
      </c>
      <c r="B85" t="s">
        <v>912</v>
      </c>
      <c r="C85" t="s">
        <v>938</v>
      </c>
      <c r="D85" t="str">
        <f t="shared" si="8"/>
        <v>"SUGR",</v>
      </c>
    </row>
    <row r="86" spans="1:4" x14ac:dyDescent="0.3">
      <c r="A86" t="s">
        <v>868</v>
      </c>
      <c r="B86" t="s">
        <v>927</v>
      </c>
      <c r="C86" t="s">
        <v>963</v>
      </c>
      <c r="D86" t="str">
        <f t="shared" si="8"/>
        <v>"SULP",</v>
      </c>
    </row>
    <row r="87" spans="1:4" x14ac:dyDescent="0.3">
      <c r="A87" t="s">
        <v>1026</v>
      </c>
      <c r="B87" t="s">
        <v>1037</v>
      </c>
      <c r="C87" t="s">
        <v>943</v>
      </c>
      <c r="D87" t="str">
        <f t="shared" si="8"/>
        <v>"SWET",</v>
      </c>
    </row>
    <row r="88" spans="1:4" x14ac:dyDescent="0.3">
      <c r="A88" t="s">
        <v>1027</v>
      </c>
      <c r="B88" t="s">
        <v>1028</v>
      </c>
      <c r="C88" t="s">
        <v>938</v>
      </c>
      <c r="D88" t="str">
        <f t="shared" si="8"/>
        <v>"TOFF",</v>
      </c>
    </row>
    <row r="89" spans="1:4" x14ac:dyDescent="0.3">
      <c r="A89" t="s">
        <v>815</v>
      </c>
      <c r="B89" t="s">
        <v>875</v>
      </c>
      <c r="C89" t="s">
        <v>990</v>
      </c>
      <c r="D89" t="str">
        <f t="shared" si="8"/>
        <v>"TOUR",</v>
      </c>
    </row>
    <row r="90" spans="1:4" x14ac:dyDescent="0.3">
      <c r="A90" t="s">
        <v>1029</v>
      </c>
      <c r="B90" t="s">
        <v>1030</v>
      </c>
      <c r="C90" t="s">
        <v>942</v>
      </c>
      <c r="D90" t="str">
        <f t="shared" si="8"/>
        <v>"TOYS",</v>
      </c>
    </row>
    <row r="91" spans="1:4" x14ac:dyDescent="0.3">
      <c r="A91" t="s">
        <v>991</v>
      </c>
      <c r="B91" t="s">
        <v>992</v>
      </c>
      <c r="C91" t="s">
        <v>942</v>
      </c>
      <c r="D91" t="str">
        <f t="shared" si="8"/>
        <v>"TYRE",</v>
      </c>
    </row>
    <row r="92" spans="1:4" x14ac:dyDescent="0.3">
      <c r="A92" t="s">
        <v>993</v>
      </c>
      <c r="B92" t="s">
        <v>994</v>
      </c>
      <c r="C92" t="s">
        <v>995</v>
      </c>
      <c r="D92" t="str">
        <f t="shared" si="8"/>
        <v>"URAN",</v>
      </c>
    </row>
    <row r="93" spans="1:4" x14ac:dyDescent="0.3">
      <c r="A93" t="s">
        <v>855</v>
      </c>
      <c r="B93" t="s">
        <v>914</v>
      </c>
      <c r="C93" t="s">
        <v>944</v>
      </c>
      <c r="D93" t="str">
        <f t="shared" si="8"/>
        <v>"VALU",</v>
      </c>
    </row>
    <row r="94" spans="1:4" x14ac:dyDescent="0.3">
      <c r="A94" t="s">
        <v>1011</v>
      </c>
      <c r="B94" t="s">
        <v>1035</v>
      </c>
      <c r="C94" t="s">
        <v>942</v>
      </c>
      <c r="D94" t="str">
        <f t="shared" si="8"/>
        <v>"VBOD",</v>
      </c>
    </row>
    <row r="95" spans="1:4" x14ac:dyDescent="0.3">
      <c r="A95" t="s">
        <v>832</v>
      </c>
      <c r="B95" t="s">
        <v>895</v>
      </c>
      <c r="C95" t="s">
        <v>973</v>
      </c>
      <c r="D95" t="str">
        <f t="shared" si="8"/>
        <v>"VEHI",</v>
      </c>
    </row>
    <row r="96" spans="1:4" x14ac:dyDescent="0.3">
      <c r="A96" t="s">
        <v>1012</v>
      </c>
      <c r="B96" t="s">
        <v>1013</v>
      </c>
      <c r="C96" t="s">
        <v>942</v>
      </c>
      <c r="D96" t="str">
        <f t="shared" si="8"/>
        <v>"VENG",</v>
      </c>
    </row>
    <row r="97" spans="1:4" x14ac:dyDescent="0.3">
      <c r="A97" t="s">
        <v>1014</v>
      </c>
      <c r="B97" t="s">
        <v>1015</v>
      </c>
      <c r="C97" t="s">
        <v>998</v>
      </c>
      <c r="D97" t="str">
        <f t="shared" si="8"/>
        <v>"VPTS",</v>
      </c>
    </row>
    <row r="98" spans="1:4" x14ac:dyDescent="0.3">
      <c r="A98" t="s">
        <v>838</v>
      </c>
      <c r="B98" t="s">
        <v>900</v>
      </c>
      <c r="C98" t="s">
        <v>940</v>
      </c>
      <c r="D98" t="str">
        <f t="shared" ref="D98:D112" si="9">CONCATENATE("""", A98, """,")</f>
        <v>"WATR",</v>
      </c>
    </row>
    <row r="99" spans="1:4" x14ac:dyDescent="0.3">
      <c r="A99" t="s">
        <v>831</v>
      </c>
      <c r="B99" t="s">
        <v>1049</v>
      </c>
      <c r="C99" t="s">
        <v>972</v>
      </c>
      <c r="D99" t="str">
        <f t="shared" si="9"/>
        <v>"WDPR",</v>
      </c>
    </row>
    <row r="100" spans="1:4" x14ac:dyDescent="0.3">
      <c r="A100" t="s">
        <v>850</v>
      </c>
      <c r="B100" t="s">
        <v>911</v>
      </c>
      <c r="C100" t="s">
        <v>938</v>
      </c>
      <c r="D100" t="str">
        <f t="shared" si="9"/>
        <v>"WHEA",</v>
      </c>
    </row>
    <row r="101" spans="1:4" x14ac:dyDescent="0.3">
      <c r="A101" t="s">
        <v>411</v>
      </c>
      <c r="B101" t="s">
        <v>885</v>
      </c>
      <c r="C101" t="s">
        <v>942</v>
      </c>
      <c r="D101" t="str">
        <f t="shared" si="9"/>
        <v>"WOOD",</v>
      </c>
    </row>
    <row r="102" spans="1:4" x14ac:dyDescent="0.3">
      <c r="A102" t="s">
        <v>851</v>
      </c>
      <c r="B102" t="s">
        <v>903</v>
      </c>
      <c r="C102" t="s">
        <v>954</v>
      </c>
      <c r="D102" t="str">
        <f t="shared" si="9"/>
        <v>"WOOL",</v>
      </c>
    </row>
    <row r="103" spans="1:4" x14ac:dyDescent="0.3">
      <c r="A103" t="s">
        <v>941</v>
      </c>
      <c r="B103" t="s">
        <v>1038</v>
      </c>
      <c r="C103" t="s">
        <v>1031</v>
      </c>
      <c r="D103" t="str">
        <f t="shared" si="9"/>
        <v>"YETI",</v>
      </c>
    </row>
    <row r="104" spans="1:4" x14ac:dyDescent="0.3">
      <c r="A104" t="s">
        <v>1032</v>
      </c>
      <c r="B104" t="s">
        <v>1039</v>
      </c>
      <c r="C104" t="s">
        <v>1031</v>
      </c>
      <c r="D104" t="str">
        <f t="shared" si="9"/>
        <v>"YETY",</v>
      </c>
    </row>
    <row r="105" spans="1:4" x14ac:dyDescent="0.3">
      <c r="A105" t="s">
        <v>869</v>
      </c>
      <c r="B105" t="s">
        <v>922</v>
      </c>
      <c r="C105" t="s">
        <v>942</v>
      </c>
      <c r="D105" t="str">
        <f t="shared" si="9"/>
        <v>"ZINC",</v>
      </c>
    </row>
    <row r="106" spans="1:4" x14ac:dyDescent="0.3">
      <c r="A106" t="s">
        <v>1077</v>
      </c>
      <c r="B106" t="s">
        <v>1076</v>
      </c>
      <c r="C106" t="s">
        <v>984</v>
      </c>
      <c r="D106" t="str">
        <f t="shared" si="9"/>
        <v>"SOAP",</v>
      </c>
    </row>
    <row r="107" spans="1:4" x14ac:dyDescent="0.3">
      <c r="A107" t="s">
        <v>1078</v>
      </c>
      <c r="B107" t="s">
        <v>1079</v>
      </c>
      <c r="C107" t="s">
        <v>966</v>
      </c>
      <c r="D107" t="str">
        <f t="shared" si="9"/>
        <v>"NH3_",</v>
      </c>
    </row>
    <row r="108" spans="1:4" x14ac:dyDescent="0.3">
      <c r="A108" t="s">
        <v>1082</v>
      </c>
      <c r="B108" t="s">
        <v>1083</v>
      </c>
      <c r="C108" t="s">
        <v>966</v>
      </c>
      <c r="D108" t="str">
        <f t="shared" si="9"/>
        <v>"O2__",</v>
      </c>
    </row>
    <row r="109" spans="1:4" x14ac:dyDescent="0.3">
      <c r="A109" t="s">
        <v>1084</v>
      </c>
      <c r="B109" t="s">
        <v>1085</v>
      </c>
      <c r="C109" t="s">
        <v>984</v>
      </c>
      <c r="D109" t="str">
        <f t="shared" si="9"/>
        <v>"COAT",</v>
      </c>
    </row>
    <row r="110" spans="1:4" x14ac:dyDescent="0.3">
      <c r="A110" t="s">
        <v>1086</v>
      </c>
      <c r="B110" t="s">
        <v>1075</v>
      </c>
      <c r="C110" t="s">
        <v>942</v>
      </c>
      <c r="D110" t="str">
        <f t="shared" si="9"/>
        <v>"RBAR",</v>
      </c>
    </row>
    <row r="111" spans="1:4" x14ac:dyDescent="0.3">
      <c r="A111" t="s">
        <v>1087</v>
      </c>
      <c r="B111" t="s">
        <v>1088</v>
      </c>
      <c r="C111" t="s">
        <v>942</v>
      </c>
      <c r="D111" t="str">
        <f t="shared" si="9"/>
        <v>"STSH",</v>
      </c>
    </row>
    <row r="112" spans="1:4" x14ac:dyDescent="0.3">
      <c r="A112" t="s">
        <v>1089</v>
      </c>
      <c r="B112" t="s">
        <v>1090</v>
      </c>
      <c r="C112" t="s">
        <v>942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2023-08-27T20:13:38Z</dcterms:modified>
</cp:coreProperties>
</file>