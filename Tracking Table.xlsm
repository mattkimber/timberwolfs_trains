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B78893B1-937F-472E-B299-E2DA48DA0B93}" xr6:coauthVersionLast="45" xr6:coauthVersionMax="45" xr10:uidLastSave="{00000000-0000-0000-0000-000000000000}"/>
  <bookViews>
    <workbookView xWindow="10785" yWindow="2025" windowWidth="15900" windowHeight="12210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1" i="1" l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2" i="1"/>
  <c r="L3" i="1"/>
  <c r="L4" i="1"/>
  <c r="L5" i="1"/>
  <c r="L6" i="1"/>
  <c r="L7" i="1"/>
  <c r="L8" i="1"/>
  <c r="L9" i="1"/>
  <c r="L10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76" i="1"/>
  <c r="R85" i="1"/>
  <c r="S2" i="1"/>
  <c r="R198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 l="1"/>
  <c r="H125" i="1" l="1"/>
  <c r="H124" i="1"/>
  <c r="I120" i="1"/>
  <c r="I118" i="1" l="1"/>
  <c r="I117" i="1"/>
  <c r="Q116" i="1"/>
  <c r="Q114" i="1"/>
  <c r="H84" i="1" l="1"/>
  <c r="H79" i="1"/>
  <c r="I34" i="1" l="1"/>
  <c r="I15" i="1"/>
</calcChain>
</file>

<file path=xl/sharedStrings.xml><?xml version="1.0" encoding="utf-8"?>
<sst xmlns="http://schemas.openxmlformats.org/spreadsheetml/2006/main" count="630" uniqueCount="433">
  <si>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</si>
  <si>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</si>
  <si>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</si>
  <si>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</si>
  <si>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</si>
  <si>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</si>
  <si>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</si>
  <si>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</si>
  <si>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</si>
  <si>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</si>
  <si>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</si>
  <si>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</si>
  <si>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</si>
  <si>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</si>
  <si>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</si>
  <si>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</si>
  <si>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</si>
  <si>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</si>
  <si>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</si>
  <si>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</si>
  <si>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</si>
  <si>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</si>
  <si>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</si>
  <si>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</si>
  <si>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</si>
  <si>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</si>
  <si>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</si>
  <si>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</si>
  <si>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</si>
  <si>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</si>
  <si>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</si>
  <si>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</si>
  <si>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</si>
  <si>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</si>
  <si>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</si>
  <si>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</si>
  <si>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</si>
  <si>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</si>
  <si>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</si>
  <si>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</si>
  <si>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</si>
  <si>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</si>
  <si>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</si>
  <si>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</si>
  <si>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</si>
  <si>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</si>
  <si>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</si>
  <si>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</si>
  <si>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</si>
  <si>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</si>
  <si>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</si>
  <si>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</si>
  <si>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</si>
  <si>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</si>
  <si>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</si>
  <si>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</si>
  <si>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</si>
  <si>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</si>
  <si>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</si>
  <si>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</si>
  <si>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</si>
  <si>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</si>
  <si>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</si>
  <si>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</si>
  <si>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</si>
  <si>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</si>
  <si>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</si>
  <si>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</si>
  <si>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</si>
  <si>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</si>
  <si>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</si>
  <si>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</si>
  <si>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</si>
  <si>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</si>
  <si>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</si>
  <si>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</si>
  <si>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</si>
  <si>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</si>
  <si>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</si>
  <si>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</si>
  <si>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</si>
  <si>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</si>
  <si>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</si>
  <si>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</si>
  <si>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</si>
  <si>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</si>
  <si>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</si>
  <si>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</si>
  <si>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</si>
  <si>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</si>
  <si>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</si>
  <si>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</si>
  <si>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</si>
  <si>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</si>
  <si>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</si>
  <si>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</si>
  <si>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</si>
  <si>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</si>
  <si>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</si>
  <si>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</si>
  <si>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</si>
  <si>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</si>
  <si>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</si>
  <si>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</si>
  <si>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</si>
  <si>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</si>
  <si>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</si>
  <si>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</si>
  <si>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</si>
  <si>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</si>
  <si>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</si>
  <si>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</si>
  <si>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</si>
  <si>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</si>
  <si>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</si>
  <si>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</si>
  <si>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</si>
  <si>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</si>
  <si>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</si>
  <si>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</si>
  <si>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</si>
  <si>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</si>
  <si>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</si>
  <si>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</si>
  <si>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</si>
  <si>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</si>
  <si>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</si>
  <si>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</si>
  <si>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</si>
  <si>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</si>
  <si>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</si>
  <si>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</si>
  <si>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</si>
  <si>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</si>
  <si>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</si>
  <si>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</si>
  <si>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</si>
  <si>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</si>
  <si>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</si>
  <si>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</si>
  <si>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</si>
  <si>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</si>
  <si>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</si>
  <si>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</si>
  <si>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</si>
  <si>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</si>
  <si>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</si>
  <si>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</si>
  <si>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</si>
  <si>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</si>
  <si>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</si>
  <si>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</si>
  <si>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</si>
  <si>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</si>
  <si>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</si>
  <si>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</si>
  <si>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</si>
  <si>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</si>
  <si>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</si>
  <si>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</si>
  <si>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</si>
  <si>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</si>
  <si>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</si>
  <si>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</si>
  <si>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</si>
  <si>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</si>
  <si>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</si>
  <si>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</si>
  <si>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</si>
  <si>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</si>
  <si>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</si>
  <si>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</si>
  <si>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</si>
  <si>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</si>
  <si>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</si>
  <si>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</si>
  <si>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</si>
  <si>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</si>
  <si>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</si>
  <si>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</si>
  <si>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</si>
  <si>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</si>
  <si>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</si>
  <si>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</si>
  <si>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</si>
  <si>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</si>
  <si>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</si>
  <si>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</si>
  <si>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</si>
  <si>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</si>
  <si>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</si>
  <si>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</si>
  <si>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</si>
  <si>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</si>
  <si>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</si>
  <si>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</si>
  <si>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</si>
  <si>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</si>
  <si>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</si>
  <si>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</si>
  <si>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</si>
  <si>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</si>
  <si>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</si>
  <si>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</si>
  <si>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</si>
  <si>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</si>
  <si>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</si>
  <si>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</si>
  <si>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</si>
  <si>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</si>
  <si>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</si>
  <si>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</si>
  <si>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</si>
  <si>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</si>
  <si>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carriage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</si>
  <si>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</si>
  <si>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</si>
  <si>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</si>
  <si>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</si>
  <si>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</si>
  <si>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</si>
  <si>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</si>
  <si>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</si>
  <si>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</si>
  <si>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</si>
  <si>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</si>
  <si>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</si>
  <si>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</si>
  <si>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</si>
  <si>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</si>
  <si>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</si>
  <si>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</si>
  <si>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</si>
  <si>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</si>
  <si>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</si>
  <si>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</si>
  <si>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</si>
  <si>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</si>
  <si>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</si>
  <si>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</si>
  <si>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</si>
  <si>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</si>
  <si>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lms_hughes_crab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</si>
  <si>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</si>
  <si>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</si>
  <si>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</si>
  <si>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</si>
  <si>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</si>
  <si>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</si>
  <si>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</si>
  <si>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lms_stanier_class_5</t>
  </si>
  <si>
    <t>lms_stanier_jubilee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</si>
  <si>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</si>
  <si>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</si>
  <si>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</si>
  <si>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</si>
  <si>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</si>
  <si>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</si>
  <si>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</si>
  <si>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</si>
  <si>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</si>
  <si>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</si>
  <si>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</si>
  <si>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</si>
  <si>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</si>
  <si>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</si>
  <si>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</si>
  <si>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</si>
  <si>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</si>
  <si>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</si>
  <si>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</si>
  <si>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</si>
  <si>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</si>
  <si>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</si>
  <si>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</si>
  <si>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</si>
  <si>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</si>
  <si>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</si>
  <si>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</si>
  <si>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</si>
  <si>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</si>
  <si>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</si>
  <si>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</si>
  <si>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</si>
  <si>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</si>
  <si>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</si>
  <si>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</si>
  <si>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</si>
  <si>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</si>
  <si>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</si>
  <si>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</si>
  <si>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</si>
  <si>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</si>
  <si>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</si>
  <si>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</si>
  <si>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</si>
  <si>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</si>
  <si>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</si>
  <si>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</si>
  <si>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</si>
  <si>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</si>
  <si>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</si>
  <si>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</si>
  <si>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</si>
  <si>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</si>
  <si>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</si>
  <si>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</si>
  <si>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</si>
  <si>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</si>
  <si>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</si>
  <si>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</si>
  <si>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</si>
  <si>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</si>
  <si>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</si>
  <si>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</si>
  <si>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</si>
  <si>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</si>
  <si>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</si>
  <si>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</si>
  <si>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</si>
  <si>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</si>
  <si>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</si>
  <si>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</si>
  <si>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</si>
  <si>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</si>
  <si>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</si>
  <si>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</si>
  <si>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</si>
  <si>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</si>
  <si>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</si>
  <si>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</si>
  <si>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</si>
  <si>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</si>
  <si>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</si>
  <si>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</si>
  <si>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</si>
  <si>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</si>
  <si>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</si>
  <si>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</si>
  <si>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</si>
  <si>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</si>
  <si>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</si>
  <si>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</si>
  <si>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</si>
  <si>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</si>
  <si>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</si>
  <si>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</si>
  <si>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</si>
  <si>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</si>
  <si>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</si>
  <si>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</si>
  <si>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</si>
  <si>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</si>
  <si>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</si>
  <si>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</si>
  <si>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</si>
  <si>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</si>
  <si>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</si>
  <si>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</si>
  <si>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</si>
  <si>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</si>
  <si>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</si>
  <si>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</si>
  <si>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</si>
  <si>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</si>
  <si>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</si>
  <si>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</si>
  <si>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</si>
  <si>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</si>
  <si>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</si>
  <si>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</si>
  <si>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</si>
  <si>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</si>
  <si>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</si>
  <si>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</si>
  <si>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</si>
  <si>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</si>
  <si>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</si>
  <si>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</si>
  <si>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</si>
  <si>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</si>
  <si>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</si>
  <si>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</si>
  <si>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</si>
  <si>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</si>
  <si>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</si>
  <si>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</si>
  <si>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</si>
  <si>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</si>
  <si>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</si>
  <si>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</si>
  <si>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1,1,1</t>
  </si>
  <si>
    <t>1,2,1</t>
  </si>
  <si>
    <t>1,3,1</t>
  </si>
  <si>
    <t>2,2,2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</si>
  <si>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</si>
  <si>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</si>
  <si>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</si>
  <si>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</si>
  <si>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</si>
  <si>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</si>
  <si>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</si>
  <si>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</si>
  <si>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</si>
  <si>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</si>
  <si>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</si>
  <si>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</si>
  <si>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</si>
  <si>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</si>
  <si>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</si>
  <si>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</si>
  <si>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</si>
  <si>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</si>
  <si>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</si>
  <si>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</si>
  <si>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</si>
  <si>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</si>
  <si>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</si>
  <si>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four_wheel_tank_wagon</t>
  </si>
  <si>
    <t>six_wheel_tank_wagon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</si>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</sst>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S198"/>
  <sheetViews>
    <sheetView tabSelected="1" topLeftCell="B1" workbookViewId="0">
      <pane ySplit="1" topLeftCell="A62" activePane="bottomLeft" state="frozenSplit"/>
      <selection pane="bottomLeft" activeCell="K103" sqref="K103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8" max="8" width="10.85546875" bestFit="1" customWidth="1"/>
    <col min="9" max="9" width="10" bestFit="1" customWidth="1"/>
    <col min="10" max="10" width="10" customWidth="1"/>
    <col min="11" max="11" width="18" bestFit="1" customWidth="1"/>
    <col min="12" max="12" width="8.42578125" style="4" bestFit="1" customWidth="1"/>
    <col min="13" max="13" width="12.42578125" bestFit="1" customWidth="1"/>
    <col min="14" max="14" width="10.5703125" bestFit="1" customWidth="1"/>
    <col min="15" max="15" width="10.5703125" customWidth="1"/>
    <col min="16" max="16" width="10.42578125" bestFit="1" customWidth="1"/>
    <col min="18" max="18" width="10.28515625" bestFit="1" customWidth="1"/>
    <col min="19" max="19" width="18.42578125" bestFit="1" customWidth="1"/>
  </cols>
  <sheetData>
    <row r="1" spans="1:19" s="1" customFormat="1" x14ac:dyDescent="0.25">
      <c r="A1" s="1" t="s">
        <v>199</v>
      </c>
      <c r="B1" s="1" t="s">
        <v>200</v>
      </c>
      <c r="C1" s="1" t="s">
        <v>198</v>
      </c>
      <c r="D1" s="1" t="s">
        <v>202</v>
      </c>
      <c r="E1" s="1" t="s">
        <v>203</v>
      </c>
      <c r="F1" s="1" t="s">
        <v>204</v>
      </c>
      <c r="G1" s="1" t="s">
        <v>205</v>
      </c>
      <c r="H1" s="1" t="s">
        <v>206</v>
      </c>
      <c r="I1" s="1" t="s">
        <v>207</v>
      </c>
      <c r="J1" s="1" t="s">
        <v>208</v>
      </c>
      <c r="K1" s="1" t="s">
        <v>209</v>
      </c>
      <c r="L1" s="3" t="s">
        <v>429</v>
      </c>
      <c r="M1" s="1" t="s">
        <v>210</v>
      </c>
      <c r="N1" s="1" t="s">
        <v>211</v>
      </c>
      <c r="O1" s="1" t="s">
        <v>387</v>
      </c>
      <c r="P1" s="1" t="s">
        <v>212</v>
      </c>
      <c r="Q1" s="1" t="s">
        <v>428</v>
      </c>
      <c r="R1" s="1" t="s">
        <v>201</v>
      </c>
      <c r="S1" s="1" t="s">
        <v>388</v>
      </c>
    </row>
    <row r="2" spans="1:19" x14ac:dyDescent="0.25">
      <c r="A2" t="s">
        <v>195</v>
      </c>
      <c r="B2" t="s">
        <v>341</v>
      </c>
      <c r="C2" t="s">
        <v>213</v>
      </c>
      <c r="D2">
        <v>1802</v>
      </c>
      <c r="I2">
        <v>5</v>
      </c>
      <c r="L2" s="4" t="str">
        <f t="shared" ref="L2:L9" si="0">IF(AND(I2&gt;0,K2&gt;0),(K2/(I2*10)),"")</f>
        <v/>
      </c>
      <c r="M2">
        <v>5</v>
      </c>
      <c r="R2" t="str">
        <f t="shared" ref="R2:R65" si="1">CONCATENATE(INT(N2*10),"x",INT(O2*15), "x", INT(P2*15))</f>
        <v>0x0x0</v>
      </c>
      <c r="S2" t="e">
        <f>VLOOKUP(CEILING((N2/56)*32,1),'Articulated Lengths'!$A$3:$B$16, 2, FALSE)</f>
        <v>#N/A</v>
      </c>
    </row>
    <row r="3" spans="1:19" x14ac:dyDescent="0.25">
      <c r="A3" t="s">
        <v>0</v>
      </c>
      <c r="B3" t="s">
        <v>215</v>
      </c>
      <c r="C3" t="s">
        <v>213</v>
      </c>
      <c r="D3">
        <v>1812</v>
      </c>
      <c r="I3">
        <v>5</v>
      </c>
      <c r="L3" s="4" t="str">
        <f t="shared" si="0"/>
        <v/>
      </c>
      <c r="R3" t="str">
        <f t="shared" si="1"/>
        <v>0x0x0</v>
      </c>
      <c r="S3" t="e">
        <f>VLOOKUP(CEILING((N3/54)*32,1),'Articulated Lengths'!$A$3:$B$16, 2, FALSE)</f>
        <v>#N/A</v>
      </c>
    </row>
    <row r="4" spans="1:19" x14ac:dyDescent="0.25">
      <c r="A4" t="s">
        <v>1</v>
      </c>
      <c r="B4" t="s">
        <v>216</v>
      </c>
      <c r="C4" t="s">
        <v>213</v>
      </c>
      <c r="D4">
        <v>1825</v>
      </c>
      <c r="I4">
        <v>7</v>
      </c>
      <c r="K4">
        <v>8.5</v>
      </c>
      <c r="L4" s="4">
        <f t="shared" si="0"/>
        <v>0.12142857142857143</v>
      </c>
      <c r="M4">
        <v>15</v>
      </c>
      <c r="R4" t="str">
        <f t="shared" si="1"/>
        <v>0x0x0</v>
      </c>
      <c r="S4" t="e">
        <f>VLOOKUP(CEILING((N4/54)*32,1),'Articulated Lengths'!$A$3:$B$16, 2, FALSE)</f>
        <v>#N/A</v>
      </c>
    </row>
    <row r="5" spans="1:19" x14ac:dyDescent="0.25">
      <c r="A5" t="s">
        <v>2</v>
      </c>
      <c r="B5" t="s">
        <v>217</v>
      </c>
      <c r="C5" t="s">
        <v>213</v>
      </c>
      <c r="D5">
        <v>1830</v>
      </c>
      <c r="I5">
        <v>4.3</v>
      </c>
      <c r="L5" s="4" t="str">
        <f t="shared" si="0"/>
        <v/>
      </c>
      <c r="R5" t="str">
        <f t="shared" si="1"/>
        <v>0x0x0</v>
      </c>
      <c r="S5" t="e">
        <f>VLOOKUP(CEILING((N5/54)*32,1),'Articulated Lengths'!$A$3:$B$16, 2, FALSE)</f>
        <v>#N/A</v>
      </c>
    </row>
    <row r="6" spans="1:19" x14ac:dyDescent="0.25">
      <c r="A6" t="s">
        <v>187</v>
      </c>
      <c r="B6" t="s">
        <v>342</v>
      </c>
      <c r="C6" t="s">
        <v>213</v>
      </c>
      <c r="D6">
        <v>1838</v>
      </c>
      <c r="K6">
        <v>9.6</v>
      </c>
      <c r="L6" s="4" t="str">
        <f t="shared" si="0"/>
        <v/>
      </c>
      <c r="M6">
        <v>45</v>
      </c>
      <c r="R6" t="str">
        <f t="shared" si="1"/>
        <v>0x0x0</v>
      </c>
      <c r="S6" t="e">
        <f>VLOOKUP(CEILING((N6/54)*32,1),'Articulated Lengths'!$A$3:$B$16, 2, FALSE)</f>
        <v>#N/A</v>
      </c>
    </row>
    <row r="7" spans="1:19" x14ac:dyDescent="0.25">
      <c r="A7" t="s">
        <v>188</v>
      </c>
      <c r="B7" t="s">
        <v>343</v>
      </c>
      <c r="C7" t="s">
        <v>213</v>
      </c>
      <c r="D7">
        <v>1838</v>
      </c>
      <c r="L7" s="4" t="str">
        <f t="shared" si="0"/>
        <v/>
      </c>
      <c r="R7" t="str">
        <f t="shared" si="1"/>
        <v>0x0x0</v>
      </c>
      <c r="S7" t="e">
        <f>VLOOKUP(CEILING((N7/54)*32,1),'Articulated Lengths'!$A$3:$B$16, 2, FALSE)</f>
        <v>#N/A</v>
      </c>
    </row>
    <row r="8" spans="1:19" x14ac:dyDescent="0.25">
      <c r="A8" t="s">
        <v>3</v>
      </c>
      <c r="B8" t="s">
        <v>218</v>
      </c>
      <c r="C8" t="s">
        <v>213</v>
      </c>
      <c r="D8">
        <v>1846</v>
      </c>
      <c r="I8">
        <v>19</v>
      </c>
      <c r="K8">
        <v>34</v>
      </c>
      <c r="L8" s="4">
        <f t="shared" si="0"/>
        <v>0.17894736842105263</v>
      </c>
      <c r="R8" t="str">
        <f t="shared" si="1"/>
        <v>0x0x0</v>
      </c>
      <c r="S8" t="e">
        <f>VLOOKUP(CEILING((N8/54)*32,1),'Articulated Lengths'!$A$3:$B$16, 2, FALSE)</f>
        <v>#N/A</v>
      </c>
    </row>
    <row r="9" spans="1:19" x14ac:dyDescent="0.25">
      <c r="A9" t="s">
        <v>6</v>
      </c>
      <c r="B9" t="s">
        <v>344</v>
      </c>
      <c r="C9" t="s">
        <v>213</v>
      </c>
      <c r="D9">
        <v>1846</v>
      </c>
      <c r="I9">
        <v>42</v>
      </c>
      <c r="L9" s="4" t="str">
        <f t="shared" si="0"/>
        <v/>
      </c>
      <c r="N9">
        <v>6</v>
      </c>
      <c r="R9" t="str">
        <f t="shared" si="1"/>
        <v>60x0x0</v>
      </c>
      <c r="S9" t="str">
        <f>VLOOKUP(CEILING((N9/54)*32,1),'Articulated Lengths'!$A$3:$B$16, 2, FALSE)</f>
        <v>1,2,1</v>
      </c>
    </row>
    <row r="10" spans="1:19" x14ac:dyDescent="0.25">
      <c r="A10" t="s">
        <v>4</v>
      </c>
      <c r="B10" t="s">
        <v>219</v>
      </c>
      <c r="C10" t="s">
        <v>213</v>
      </c>
      <c r="D10">
        <v>1847</v>
      </c>
      <c r="L10" s="4" t="str">
        <f>IF(AND(I10&gt;0,K10&gt;0),(K10/(I10*10)),"")</f>
        <v/>
      </c>
      <c r="M10">
        <v>60</v>
      </c>
      <c r="R10" t="str">
        <f t="shared" si="1"/>
        <v>0x0x0</v>
      </c>
      <c r="S10" t="e">
        <f>VLOOKUP(CEILING((N10/54)*32,1),'Articulated Lengths'!$A$3:$B$16, 2, FALSE)</f>
        <v>#N/A</v>
      </c>
    </row>
    <row r="11" spans="1:19" x14ac:dyDescent="0.25">
      <c r="A11" t="s">
        <v>5</v>
      </c>
      <c r="B11" t="s">
        <v>220</v>
      </c>
      <c r="C11" t="s">
        <v>213</v>
      </c>
      <c r="D11">
        <v>1852</v>
      </c>
      <c r="I11">
        <v>64</v>
      </c>
      <c r="K11">
        <v>65</v>
      </c>
      <c r="L11" s="4">
        <f t="shared" ref="L11:L74" si="2">IF(AND(I11&gt;0,K11&gt;0),(K11/(I11*10)),"")</f>
        <v>0.1015625</v>
      </c>
      <c r="R11" t="str">
        <f t="shared" si="1"/>
        <v>0x0x0</v>
      </c>
      <c r="S11" t="e">
        <f>VLOOKUP(CEILING((N11/54)*32,1),'Articulated Lengths'!$A$3:$B$16, 2, FALSE)</f>
        <v>#N/A</v>
      </c>
    </row>
    <row r="12" spans="1:19" x14ac:dyDescent="0.25">
      <c r="A12" t="s">
        <v>7</v>
      </c>
      <c r="B12" t="s">
        <v>345</v>
      </c>
      <c r="C12" t="s">
        <v>213</v>
      </c>
      <c r="D12">
        <v>1859</v>
      </c>
      <c r="I12">
        <v>27.4</v>
      </c>
      <c r="L12" s="4" t="str">
        <f t="shared" si="2"/>
        <v/>
      </c>
      <c r="M12">
        <v>70</v>
      </c>
      <c r="R12" t="str">
        <f t="shared" si="1"/>
        <v>0x0x0</v>
      </c>
      <c r="S12" t="e">
        <f>VLOOKUP(CEILING((N12/54)*32,1),'Articulated Lengths'!$A$3:$B$16, 2, FALSE)</f>
        <v>#N/A</v>
      </c>
    </row>
    <row r="13" spans="1:19" x14ac:dyDescent="0.25">
      <c r="A13" t="s">
        <v>23</v>
      </c>
      <c r="B13" t="s">
        <v>221</v>
      </c>
      <c r="C13" t="s">
        <v>213</v>
      </c>
      <c r="D13">
        <v>1868</v>
      </c>
      <c r="I13">
        <v>35.799999999999997</v>
      </c>
      <c r="K13">
        <v>65</v>
      </c>
      <c r="L13" s="4">
        <f t="shared" si="2"/>
        <v>0.18156424581005587</v>
      </c>
      <c r="N13">
        <v>8.65</v>
      </c>
      <c r="P13">
        <v>3.7</v>
      </c>
      <c r="R13" t="str">
        <f t="shared" si="1"/>
        <v>86x0x55</v>
      </c>
      <c r="S13" t="str">
        <f>VLOOKUP(CEILING((N13/54)*32,1),'Articulated Lengths'!$A$3:$B$16, 2, FALSE)</f>
        <v>2,2,2</v>
      </c>
    </row>
    <row r="14" spans="1:19" x14ac:dyDescent="0.25">
      <c r="A14" t="s">
        <v>56</v>
      </c>
      <c r="B14" t="s">
        <v>346</v>
      </c>
      <c r="C14" t="s">
        <v>213</v>
      </c>
      <c r="D14">
        <v>1872</v>
      </c>
      <c r="E14">
        <v>1880</v>
      </c>
      <c r="I14">
        <v>28</v>
      </c>
      <c r="K14">
        <v>34</v>
      </c>
      <c r="L14" s="4">
        <f t="shared" si="2"/>
        <v>0.12142857142857143</v>
      </c>
      <c r="M14">
        <v>45</v>
      </c>
      <c r="N14">
        <v>7.94</v>
      </c>
      <c r="R14" t="str">
        <f t="shared" si="1"/>
        <v>79x0x0</v>
      </c>
      <c r="S14" t="str">
        <f>VLOOKUP(CEILING((N14/54)*32,1),'Articulated Lengths'!$A$3:$B$16, 2, FALSE)</f>
        <v>1,3,1</v>
      </c>
    </row>
    <row r="15" spans="1:19" x14ac:dyDescent="0.25">
      <c r="A15" t="s">
        <v>9</v>
      </c>
      <c r="B15" t="s">
        <v>222</v>
      </c>
      <c r="C15" t="s">
        <v>213</v>
      </c>
      <c r="D15">
        <v>1883</v>
      </c>
      <c r="I15">
        <f>41.6+34.3</f>
        <v>75.900000000000006</v>
      </c>
      <c r="K15">
        <v>75.400000000000006</v>
      </c>
      <c r="L15" s="4">
        <f t="shared" si="2"/>
        <v>9.9341238471673268E-2</v>
      </c>
      <c r="R15" t="str">
        <f t="shared" si="1"/>
        <v>0x0x0</v>
      </c>
      <c r="S15" t="e">
        <f>VLOOKUP(CEILING((N15/54)*32,1),'Articulated Lengths'!$A$3:$B$16, 2, FALSE)</f>
        <v>#N/A</v>
      </c>
    </row>
    <row r="16" spans="1:19" x14ac:dyDescent="0.25">
      <c r="A16" t="s">
        <v>189</v>
      </c>
      <c r="B16" t="s">
        <v>223</v>
      </c>
      <c r="C16" t="s">
        <v>213</v>
      </c>
      <c r="D16">
        <v>1883</v>
      </c>
      <c r="I16">
        <v>41.2</v>
      </c>
      <c r="K16">
        <v>76</v>
      </c>
      <c r="L16" s="4">
        <f t="shared" si="2"/>
        <v>0.18446601941747573</v>
      </c>
      <c r="N16">
        <v>14.4</v>
      </c>
      <c r="R16" t="str">
        <f t="shared" si="1"/>
        <v>144x0x0</v>
      </c>
      <c r="S16" t="str">
        <f>VLOOKUP(CEILING((N16/54)*32,1),'Articulated Lengths'!$A$3:$B$16, 2, FALSE)</f>
        <v>2,5,2</v>
      </c>
    </row>
    <row r="17" spans="1:19" x14ac:dyDescent="0.25">
      <c r="A17" t="s">
        <v>17</v>
      </c>
      <c r="B17" t="s">
        <v>224</v>
      </c>
      <c r="C17" t="s">
        <v>213</v>
      </c>
      <c r="D17">
        <v>1888</v>
      </c>
      <c r="I17">
        <v>42.6</v>
      </c>
      <c r="K17">
        <v>88</v>
      </c>
      <c r="L17" s="4">
        <f t="shared" si="2"/>
        <v>0.20657276995305165</v>
      </c>
      <c r="N17">
        <v>14.99</v>
      </c>
      <c r="R17" t="str">
        <f t="shared" si="1"/>
        <v>149x0x0</v>
      </c>
      <c r="S17" t="str">
        <f>VLOOKUP(CEILING((N17/54)*32,1),'Articulated Lengths'!$A$3:$B$16, 2, FALSE)</f>
        <v>2,5,2</v>
      </c>
    </row>
    <row r="18" spans="1:19" x14ac:dyDescent="0.25">
      <c r="A18" t="s">
        <v>8</v>
      </c>
      <c r="B18" t="s">
        <v>225</v>
      </c>
      <c r="C18" t="s">
        <v>213</v>
      </c>
      <c r="D18">
        <v>1891</v>
      </c>
      <c r="L18" s="4" t="str">
        <f t="shared" si="2"/>
        <v/>
      </c>
      <c r="R18" t="str">
        <f t="shared" si="1"/>
        <v>0x0x0</v>
      </c>
      <c r="S18" t="e">
        <f>VLOOKUP(CEILING((N18/54)*32,1),'Articulated Lengths'!$A$3:$B$16, 2, FALSE)</f>
        <v>#N/A</v>
      </c>
    </row>
    <row r="19" spans="1:19" x14ac:dyDescent="0.25">
      <c r="A19" t="s">
        <v>19</v>
      </c>
      <c r="B19" t="s">
        <v>382</v>
      </c>
      <c r="C19" t="s">
        <v>213</v>
      </c>
      <c r="D19">
        <v>1896</v>
      </c>
      <c r="I19">
        <v>48</v>
      </c>
      <c r="K19">
        <v>68</v>
      </c>
      <c r="L19" s="4">
        <f t="shared" si="2"/>
        <v>0.14166666666666666</v>
      </c>
      <c r="M19">
        <v>90</v>
      </c>
      <c r="R19" t="str">
        <f t="shared" si="1"/>
        <v>0x0x0</v>
      </c>
      <c r="S19" t="e">
        <f>VLOOKUP(CEILING((N19/54)*32,1),'Articulated Lengths'!$A$3:$B$16, 2, FALSE)</f>
        <v>#N/A</v>
      </c>
    </row>
    <row r="20" spans="1:19" x14ac:dyDescent="0.25">
      <c r="A20" t="s">
        <v>197</v>
      </c>
      <c r="B20" t="s">
        <v>226</v>
      </c>
      <c r="C20" t="s">
        <v>213</v>
      </c>
      <c r="D20">
        <v>1897</v>
      </c>
      <c r="E20">
        <v>1911</v>
      </c>
      <c r="K20">
        <v>87</v>
      </c>
      <c r="L20" s="4" t="str">
        <f t="shared" si="2"/>
        <v/>
      </c>
      <c r="N20">
        <v>10.5</v>
      </c>
      <c r="R20" t="str">
        <f t="shared" si="1"/>
        <v>105x0x0</v>
      </c>
      <c r="S20" t="str">
        <f>VLOOKUP(CEILING((N20/54)*32,1),'Articulated Lengths'!$A$3:$B$16, 2, FALSE)</f>
        <v>2,3,2</v>
      </c>
    </row>
    <row r="21" spans="1:19" x14ac:dyDescent="0.25">
      <c r="A21" t="s">
        <v>13</v>
      </c>
      <c r="B21" t="s">
        <v>381</v>
      </c>
      <c r="C21" t="s">
        <v>213</v>
      </c>
      <c r="D21">
        <v>1899</v>
      </c>
      <c r="L21" s="4" t="str">
        <f t="shared" si="2"/>
        <v/>
      </c>
      <c r="R21" t="str">
        <f t="shared" si="1"/>
        <v>0x0x0</v>
      </c>
      <c r="S21" t="e">
        <f>VLOOKUP(CEILING((N21/54)*32,1),'Articulated Lengths'!$A$3:$B$16, 2, FALSE)</f>
        <v>#N/A</v>
      </c>
    </row>
    <row r="22" spans="1:19" x14ac:dyDescent="0.25">
      <c r="A22" t="s">
        <v>18</v>
      </c>
      <c r="B22" t="s">
        <v>380</v>
      </c>
      <c r="C22" t="s">
        <v>213</v>
      </c>
      <c r="D22">
        <v>1902</v>
      </c>
      <c r="K22">
        <v>97</v>
      </c>
      <c r="L22" s="4" t="str">
        <f t="shared" si="2"/>
        <v/>
      </c>
      <c r="R22" t="str">
        <f t="shared" si="1"/>
        <v>0x0x0</v>
      </c>
      <c r="S22" t="e">
        <f>VLOOKUP(CEILING((N22/54)*32,1),'Articulated Lengths'!$A$3:$B$16, 2, FALSE)</f>
        <v>#N/A</v>
      </c>
    </row>
    <row r="23" spans="1:19" x14ac:dyDescent="0.25">
      <c r="A23" t="s">
        <v>85</v>
      </c>
      <c r="B23" t="s">
        <v>227</v>
      </c>
      <c r="C23" t="s">
        <v>213</v>
      </c>
      <c r="D23">
        <v>1903</v>
      </c>
      <c r="E23">
        <v>1904</v>
      </c>
      <c r="H23">
        <v>640</v>
      </c>
      <c r="I23">
        <v>57</v>
      </c>
      <c r="K23">
        <v>111</v>
      </c>
      <c r="L23" s="4">
        <f t="shared" si="2"/>
        <v>0.19473684210526315</v>
      </c>
      <c r="M23">
        <v>27</v>
      </c>
      <c r="N23">
        <v>11.56</v>
      </c>
      <c r="P23">
        <v>3.93</v>
      </c>
      <c r="R23" t="str">
        <f t="shared" si="1"/>
        <v>115x0x58</v>
      </c>
      <c r="S23" t="str">
        <f>VLOOKUP(CEILING((N23/54)*32,1),'Articulated Lengths'!$A$3:$B$16, 2, FALSE)</f>
        <v>2,3,2</v>
      </c>
    </row>
    <row r="24" spans="1:19" x14ac:dyDescent="0.25">
      <c r="A24" t="s">
        <v>194</v>
      </c>
      <c r="B24" t="s">
        <v>228</v>
      </c>
      <c r="C24" t="s">
        <v>213</v>
      </c>
      <c r="D24">
        <v>1903</v>
      </c>
      <c r="L24" s="4" t="str">
        <f t="shared" si="2"/>
        <v/>
      </c>
      <c r="R24" t="str">
        <f t="shared" si="1"/>
        <v>0x0x0</v>
      </c>
      <c r="S24" t="e">
        <f>VLOOKUP(CEILING((N24/54)*32,1),'Articulated Lengths'!$A$3:$B$16, 2, FALSE)</f>
        <v>#N/A</v>
      </c>
    </row>
    <row r="25" spans="1:19" x14ac:dyDescent="0.25">
      <c r="A25" t="s">
        <v>20</v>
      </c>
      <c r="B25" t="s">
        <v>229</v>
      </c>
      <c r="C25" t="s">
        <v>213</v>
      </c>
      <c r="D25">
        <v>1904</v>
      </c>
      <c r="I25">
        <v>55</v>
      </c>
      <c r="K25">
        <v>77</v>
      </c>
      <c r="L25" s="4">
        <f t="shared" si="2"/>
        <v>0.14000000000000001</v>
      </c>
      <c r="N25">
        <v>10.02</v>
      </c>
      <c r="R25" t="str">
        <f t="shared" si="1"/>
        <v>100x0x0</v>
      </c>
      <c r="S25" t="str">
        <f>VLOOKUP(CEILING((N25/54)*32,1),'Articulated Lengths'!$A$3:$B$16, 2, FALSE)</f>
        <v>2,2,2</v>
      </c>
    </row>
    <row r="26" spans="1:19" x14ac:dyDescent="0.25">
      <c r="A26" t="s">
        <v>25</v>
      </c>
      <c r="B26" t="s">
        <v>230</v>
      </c>
      <c r="C26" t="s">
        <v>213</v>
      </c>
      <c r="D26">
        <v>1904</v>
      </c>
      <c r="E26">
        <v>1914</v>
      </c>
      <c r="I26">
        <v>63.4</v>
      </c>
      <c r="K26">
        <v>95</v>
      </c>
      <c r="L26" s="4">
        <f t="shared" si="2"/>
        <v>0.14984227129337541</v>
      </c>
      <c r="R26" t="str">
        <f t="shared" si="1"/>
        <v>0x0x0</v>
      </c>
      <c r="S26" t="e">
        <f>VLOOKUP(CEILING((N26/54)*32,1),'Articulated Lengths'!$A$3:$B$16, 2, FALSE)</f>
        <v>#N/A</v>
      </c>
    </row>
    <row r="27" spans="1:19" x14ac:dyDescent="0.25">
      <c r="A27" t="s">
        <v>14</v>
      </c>
      <c r="B27" t="s">
        <v>231</v>
      </c>
      <c r="C27" t="s">
        <v>213</v>
      </c>
      <c r="D27">
        <v>1911</v>
      </c>
      <c r="I27">
        <v>74</v>
      </c>
      <c r="K27">
        <v>139</v>
      </c>
      <c r="L27" s="4">
        <f t="shared" si="2"/>
        <v>0.18783783783783783</v>
      </c>
      <c r="N27">
        <v>18.8</v>
      </c>
      <c r="R27" t="str">
        <f t="shared" si="1"/>
        <v>188x0x0</v>
      </c>
      <c r="S27" t="str">
        <f>VLOOKUP(CEILING((N27/54)*32,1),'Articulated Lengths'!$A$3:$B$16, 2, FALSE)</f>
        <v>3,6,3</v>
      </c>
    </row>
    <row r="28" spans="1:19" x14ac:dyDescent="0.25">
      <c r="A28" t="s">
        <v>37</v>
      </c>
      <c r="B28" t="s">
        <v>232</v>
      </c>
      <c r="C28" t="s">
        <v>213</v>
      </c>
      <c r="D28">
        <v>1911</v>
      </c>
      <c r="E28">
        <v>1926</v>
      </c>
      <c r="I28">
        <v>87</v>
      </c>
      <c r="K28">
        <v>106</v>
      </c>
      <c r="L28" s="4">
        <f t="shared" si="2"/>
        <v>0.12183908045977011</v>
      </c>
      <c r="N28">
        <v>13.1</v>
      </c>
      <c r="R28" t="str">
        <f t="shared" si="1"/>
        <v>131x0x0</v>
      </c>
      <c r="S28" t="str">
        <f>VLOOKUP(CEILING((N28/54)*32,1),'Articulated Lengths'!$A$3:$B$16, 2, FALSE)</f>
        <v>2,4,2</v>
      </c>
    </row>
    <row r="29" spans="1:19" x14ac:dyDescent="0.25">
      <c r="A29" t="s">
        <v>38</v>
      </c>
      <c r="B29" t="s">
        <v>233</v>
      </c>
      <c r="C29" t="s">
        <v>213</v>
      </c>
      <c r="D29">
        <v>1911</v>
      </c>
      <c r="E29">
        <v>1914</v>
      </c>
      <c r="I29">
        <v>75</v>
      </c>
      <c r="K29">
        <v>139</v>
      </c>
      <c r="L29" s="4">
        <f t="shared" si="2"/>
        <v>0.18533333333333332</v>
      </c>
      <c r="N29">
        <v>18.809999999999999</v>
      </c>
      <c r="R29" t="str">
        <f t="shared" si="1"/>
        <v>188x0x0</v>
      </c>
      <c r="S29" t="str">
        <f>VLOOKUP(CEILING((N29/54)*32,1),'Articulated Lengths'!$A$3:$B$16, 2, FALSE)</f>
        <v>3,6,3</v>
      </c>
    </row>
    <row r="30" spans="1:19" x14ac:dyDescent="0.25">
      <c r="A30" t="s">
        <v>36</v>
      </c>
      <c r="B30" t="s">
        <v>234</v>
      </c>
      <c r="C30" t="s">
        <v>213</v>
      </c>
      <c r="D30">
        <v>1912</v>
      </c>
      <c r="I30">
        <v>61</v>
      </c>
      <c r="K30">
        <v>104</v>
      </c>
      <c r="L30" s="4">
        <f t="shared" si="2"/>
        <v>0.17049180327868851</v>
      </c>
      <c r="M30">
        <v>60</v>
      </c>
      <c r="R30" t="str">
        <f t="shared" si="1"/>
        <v>0x0x0</v>
      </c>
      <c r="S30" t="e">
        <f>VLOOKUP(CEILING((N30/54)*32,1),'Articulated Lengths'!$A$3:$B$16, 2, FALSE)</f>
        <v>#N/A</v>
      </c>
    </row>
    <row r="31" spans="1:19" x14ac:dyDescent="0.25">
      <c r="A31" t="s">
        <v>86</v>
      </c>
      <c r="B31" t="s">
        <v>235</v>
      </c>
      <c r="C31" t="s">
        <v>213</v>
      </c>
      <c r="D31">
        <v>1914</v>
      </c>
      <c r="E31">
        <v>1919</v>
      </c>
      <c r="H31">
        <v>1100</v>
      </c>
      <c r="I31">
        <v>76</v>
      </c>
      <c r="K31">
        <v>140</v>
      </c>
      <c r="L31" s="4">
        <f t="shared" si="2"/>
        <v>0.18421052631578946</v>
      </c>
      <c r="M31">
        <v>35</v>
      </c>
      <c r="N31">
        <v>12</v>
      </c>
      <c r="R31" t="str">
        <f t="shared" si="1"/>
        <v>120x0x0</v>
      </c>
      <c r="S31" t="str">
        <f>VLOOKUP(CEILING((N31/54)*32,1),'Articulated Lengths'!$A$3:$B$16, 2, FALSE)</f>
        <v>2,4,2</v>
      </c>
    </row>
    <row r="32" spans="1:19" x14ac:dyDescent="0.25">
      <c r="A32" t="s">
        <v>51</v>
      </c>
      <c r="B32" t="s">
        <v>236</v>
      </c>
      <c r="C32" t="s">
        <v>213</v>
      </c>
      <c r="D32">
        <v>1921</v>
      </c>
      <c r="E32">
        <v>1922</v>
      </c>
      <c r="I32">
        <v>63</v>
      </c>
      <c r="J32">
        <v>41</v>
      </c>
      <c r="K32">
        <v>125</v>
      </c>
      <c r="L32" s="4">
        <f t="shared" si="2"/>
        <v>0.1984126984126984</v>
      </c>
      <c r="R32" t="str">
        <f t="shared" si="1"/>
        <v>0x0x0</v>
      </c>
      <c r="S32" t="e">
        <f>VLOOKUP(CEILING((N32/54)*32,1),'Articulated Lengths'!$A$3:$B$16, 2, FALSE)</f>
        <v>#N/A</v>
      </c>
    </row>
    <row r="33" spans="1:19" x14ac:dyDescent="0.25">
      <c r="A33" t="s">
        <v>32</v>
      </c>
      <c r="B33" t="s">
        <v>237</v>
      </c>
      <c r="C33" t="s">
        <v>213</v>
      </c>
      <c r="D33">
        <v>1922</v>
      </c>
      <c r="E33">
        <v>1924</v>
      </c>
      <c r="K33">
        <v>119</v>
      </c>
      <c r="L33" s="4" t="str">
        <f t="shared" si="2"/>
        <v/>
      </c>
      <c r="R33" t="str">
        <f t="shared" si="1"/>
        <v>0x0x0</v>
      </c>
      <c r="S33" t="e">
        <f>VLOOKUP(CEILING((N33/54)*32,1),'Articulated Lengths'!$A$3:$B$16, 2, FALSE)</f>
        <v>#N/A</v>
      </c>
    </row>
    <row r="34" spans="1:19" x14ac:dyDescent="0.25">
      <c r="A34" t="s">
        <v>11</v>
      </c>
      <c r="B34" t="s">
        <v>238</v>
      </c>
      <c r="C34" t="s">
        <v>213</v>
      </c>
      <c r="D34">
        <v>1923</v>
      </c>
      <c r="H34">
        <v>800</v>
      </c>
      <c r="I34">
        <f>49.5+41.8</f>
        <v>91.3</v>
      </c>
      <c r="K34">
        <v>109</v>
      </c>
      <c r="L34" s="4">
        <f t="shared" si="2"/>
        <v>0.11938663745892661</v>
      </c>
      <c r="N34">
        <v>15.8</v>
      </c>
      <c r="R34" t="str">
        <f t="shared" si="1"/>
        <v>158x0x0</v>
      </c>
      <c r="S34" t="str">
        <f>VLOOKUP(CEILING((N34/54)*32,1),'Articulated Lengths'!$A$3:$B$16, 2, FALSE)</f>
        <v>3,4,3</v>
      </c>
    </row>
    <row r="35" spans="1:19" x14ac:dyDescent="0.25">
      <c r="A35" t="s">
        <v>24</v>
      </c>
      <c r="B35" t="s">
        <v>239</v>
      </c>
      <c r="C35" t="s">
        <v>213</v>
      </c>
      <c r="D35">
        <v>1923</v>
      </c>
      <c r="E35">
        <v>1950</v>
      </c>
      <c r="I35">
        <v>81.099999999999994</v>
      </c>
      <c r="K35">
        <v>141</v>
      </c>
      <c r="L35" s="4">
        <f t="shared" si="2"/>
        <v>0.17385943279901356</v>
      </c>
      <c r="M35">
        <v>102</v>
      </c>
      <c r="N35">
        <v>19.86</v>
      </c>
      <c r="P35">
        <v>4.07</v>
      </c>
      <c r="R35" t="str">
        <f t="shared" si="1"/>
        <v>198x0x61</v>
      </c>
      <c r="S35" t="str">
        <f>VLOOKUP(CEILING((N35/54)*32,1),'Articulated Lengths'!$A$3:$B$16, 2, FALSE)</f>
        <v>3,6,3</v>
      </c>
    </row>
    <row r="36" spans="1:19" x14ac:dyDescent="0.25">
      <c r="A36" t="s">
        <v>193</v>
      </c>
      <c r="B36" t="s">
        <v>379</v>
      </c>
      <c r="C36" t="s">
        <v>213</v>
      </c>
      <c r="D36">
        <v>1899</v>
      </c>
      <c r="E36">
        <v>1902</v>
      </c>
      <c r="I36">
        <v>49.5</v>
      </c>
      <c r="K36">
        <v>92</v>
      </c>
      <c r="L36" s="4">
        <f t="shared" si="2"/>
        <v>0.18585858585858586</v>
      </c>
      <c r="R36" t="str">
        <f t="shared" si="1"/>
        <v>0x0x0</v>
      </c>
      <c r="S36" t="e">
        <f>VLOOKUP(CEILING((N36/54)*32,1),'Articulated Lengths'!$A$3:$B$16, 2, FALSE)</f>
        <v>#N/A</v>
      </c>
    </row>
    <row r="37" spans="1:19" x14ac:dyDescent="0.25">
      <c r="A37" t="s">
        <v>10</v>
      </c>
      <c r="B37" t="s">
        <v>240</v>
      </c>
      <c r="C37" t="s">
        <v>213</v>
      </c>
      <c r="D37">
        <v>1924</v>
      </c>
      <c r="H37">
        <v>700</v>
      </c>
      <c r="I37">
        <v>50.2</v>
      </c>
      <c r="K37">
        <v>93</v>
      </c>
      <c r="L37" s="4">
        <f t="shared" si="2"/>
        <v>0.1852589641434263</v>
      </c>
      <c r="N37">
        <v>9.57</v>
      </c>
      <c r="R37" t="str">
        <f t="shared" si="1"/>
        <v>95x0x0</v>
      </c>
      <c r="S37" t="str">
        <f>VLOOKUP(CEILING((N37/54)*32,1),'Articulated Lengths'!$A$3:$B$16, 2, FALSE)</f>
        <v>2,2,2</v>
      </c>
    </row>
    <row r="38" spans="1:19" x14ac:dyDescent="0.25">
      <c r="A38" t="s">
        <v>26</v>
      </c>
      <c r="B38" t="s">
        <v>241</v>
      </c>
      <c r="C38" t="s">
        <v>213</v>
      </c>
      <c r="D38">
        <v>1924</v>
      </c>
      <c r="E38">
        <v>1928</v>
      </c>
      <c r="K38">
        <v>115</v>
      </c>
      <c r="L38" s="4" t="str">
        <f t="shared" si="2"/>
        <v/>
      </c>
      <c r="R38" t="str">
        <f t="shared" si="1"/>
        <v>0x0x0</v>
      </c>
      <c r="S38" t="e">
        <f>VLOOKUP(CEILING((N38/54)*32,1),'Articulated Lengths'!$A$3:$B$16, 2, FALSE)</f>
        <v>#N/A</v>
      </c>
    </row>
    <row r="39" spans="1:19" x14ac:dyDescent="0.25">
      <c r="A39" t="s">
        <v>40</v>
      </c>
      <c r="B39" t="s">
        <v>242</v>
      </c>
      <c r="C39" t="s">
        <v>213</v>
      </c>
      <c r="D39">
        <v>1926</v>
      </c>
      <c r="E39">
        <v>1932</v>
      </c>
      <c r="H39">
        <v>1290</v>
      </c>
      <c r="I39">
        <v>67</v>
      </c>
      <c r="K39">
        <v>118</v>
      </c>
      <c r="L39" s="4">
        <f t="shared" si="2"/>
        <v>0.17611940298507461</v>
      </c>
      <c r="N39">
        <v>18.079999999999998</v>
      </c>
      <c r="R39" t="str">
        <f t="shared" si="1"/>
        <v>180x0x0</v>
      </c>
      <c r="S39" t="str">
        <f>VLOOKUP(CEILING((N39/54)*32,1),'Articulated Lengths'!$A$3:$B$16, 2, FALSE)</f>
        <v>3,5,3</v>
      </c>
    </row>
    <row r="40" spans="1:19" x14ac:dyDescent="0.25">
      <c r="A40" t="s">
        <v>191</v>
      </c>
      <c r="B40" t="s">
        <v>243</v>
      </c>
      <c r="C40" t="s">
        <v>213</v>
      </c>
      <c r="D40">
        <v>1927</v>
      </c>
      <c r="I40">
        <v>66</v>
      </c>
      <c r="K40">
        <v>96</v>
      </c>
      <c r="L40" s="4">
        <f t="shared" si="2"/>
        <v>0.14545454545454545</v>
      </c>
      <c r="N40">
        <v>17.899999999999999</v>
      </c>
      <c r="R40" t="str">
        <f t="shared" si="1"/>
        <v>179x0x0</v>
      </c>
      <c r="S40" t="str">
        <f>VLOOKUP(CEILING((N40/54)*32,1),'Articulated Lengths'!$A$3:$B$16, 2, FALSE)</f>
        <v>3,5,3</v>
      </c>
    </row>
    <row r="41" spans="1:19" x14ac:dyDescent="0.25">
      <c r="A41" t="s">
        <v>28</v>
      </c>
      <c r="B41" t="s">
        <v>244</v>
      </c>
      <c r="C41" t="s">
        <v>213</v>
      </c>
      <c r="D41">
        <v>1927</v>
      </c>
      <c r="E41">
        <v>1936</v>
      </c>
      <c r="I41">
        <v>90.4</v>
      </c>
      <c r="K41">
        <v>179</v>
      </c>
      <c r="L41" s="4">
        <f t="shared" si="2"/>
        <v>0.19800884955752213</v>
      </c>
      <c r="N41">
        <v>20.78</v>
      </c>
      <c r="P41">
        <v>4.08</v>
      </c>
      <c r="R41" t="str">
        <f t="shared" si="1"/>
        <v>207x0x61</v>
      </c>
      <c r="S41" t="str">
        <f>VLOOKUP(CEILING((N41/54)*32,1),'Articulated Lengths'!$A$3:$B$16, 2, FALSE)</f>
        <v>4,5,4</v>
      </c>
    </row>
    <row r="42" spans="1:19" x14ac:dyDescent="0.25">
      <c r="A42" t="s">
        <v>43</v>
      </c>
      <c r="B42" t="s">
        <v>405</v>
      </c>
      <c r="C42" t="s">
        <v>213</v>
      </c>
      <c r="D42">
        <v>1927</v>
      </c>
      <c r="E42">
        <v>1934</v>
      </c>
      <c r="I42">
        <v>87.6</v>
      </c>
      <c r="K42">
        <v>102</v>
      </c>
      <c r="L42" s="4">
        <f t="shared" si="2"/>
        <v>0.11643835616438356</v>
      </c>
      <c r="N42">
        <v>14.4</v>
      </c>
      <c r="R42" t="str">
        <f t="shared" si="1"/>
        <v>144x0x0</v>
      </c>
      <c r="S42" t="str">
        <f>VLOOKUP(CEILING((N42/54)*32,1),'Articulated Lengths'!$A$3:$B$16, 2, FALSE)</f>
        <v>2,5,2</v>
      </c>
    </row>
    <row r="43" spans="1:19" x14ac:dyDescent="0.25">
      <c r="A43" t="s">
        <v>29</v>
      </c>
      <c r="B43" t="s">
        <v>245</v>
      </c>
      <c r="C43" t="s">
        <v>213</v>
      </c>
      <c r="D43">
        <v>1928</v>
      </c>
      <c r="E43">
        <v>1943</v>
      </c>
      <c r="I43">
        <v>76.2</v>
      </c>
      <c r="K43">
        <v>121</v>
      </c>
      <c r="L43" s="4">
        <f t="shared" si="2"/>
        <v>0.15879265091863518</v>
      </c>
      <c r="N43">
        <v>19.2</v>
      </c>
      <c r="P43">
        <v>4.04</v>
      </c>
      <c r="R43" t="str">
        <f t="shared" si="1"/>
        <v>192x0x60</v>
      </c>
      <c r="S43" t="str">
        <f>VLOOKUP(CEILING((N43/54)*32,1),'Articulated Lengths'!$A$3:$B$16, 2, FALSE)</f>
        <v>3,6,3</v>
      </c>
    </row>
    <row r="44" spans="1:19" x14ac:dyDescent="0.25">
      <c r="A44" t="s">
        <v>34</v>
      </c>
      <c r="B44" t="s">
        <v>246</v>
      </c>
      <c r="C44" t="s">
        <v>213</v>
      </c>
      <c r="D44">
        <v>1928</v>
      </c>
      <c r="E44">
        <v>1935</v>
      </c>
      <c r="I44">
        <v>92.8</v>
      </c>
      <c r="K44">
        <v>146</v>
      </c>
      <c r="L44" s="4">
        <f t="shared" si="2"/>
        <v>0.15732758620689655</v>
      </c>
      <c r="M44">
        <v>108</v>
      </c>
      <c r="N44">
        <v>21.46</v>
      </c>
      <c r="R44" t="str">
        <f t="shared" si="1"/>
        <v>214x0x0</v>
      </c>
      <c r="S44" t="str">
        <f>VLOOKUP(CEILING((N44/54)*32,1),'Articulated Lengths'!$A$3:$B$16, 2, FALSE)</f>
        <v>4,5,4</v>
      </c>
    </row>
    <row r="45" spans="1:19" x14ac:dyDescent="0.25">
      <c r="A45" t="s">
        <v>27</v>
      </c>
      <c r="B45" t="s">
        <v>247</v>
      </c>
      <c r="C45" t="s">
        <v>213</v>
      </c>
      <c r="D45">
        <v>1929</v>
      </c>
      <c r="E45">
        <v>1950</v>
      </c>
      <c r="I45">
        <v>48.3</v>
      </c>
      <c r="K45">
        <v>100</v>
      </c>
      <c r="L45" s="4">
        <f t="shared" si="2"/>
        <v>0.20703933747412009</v>
      </c>
      <c r="N45">
        <v>9.5</v>
      </c>
      <c r="P45">
        <v>3.7349999999999999</v>
      </c>
      <c r="R45" t="str">
        <f t="shared" si="1"/>
        <v>95x0x56</v>
      </c>
      <c r="S45" t="str">
        <f>VLOOKUP(CEILING((N45/54)*32,1),'Articulated Lengths'!$A$3:$B$16, 2, FALSE)</f>
        <v>2,2,2</v>
      </c>
    </row>
    <row r="46" spans="1:19" x14ac:dyDescent="0.25">
      <c r="A46" t="s">
        <v>46</v>
      </c>
      <c r="B46" t="s">
        <v>248</v>
      </c>
      <c r="C46" t="s">
        <v>213</v>
      </c>
      <c r="D46">
        <v>1930</v>
      </c>
      <c r="E46">
        <v>1935</v>
      </c>
      <c r="I46">
        <v>68.2</v>
      </c>
      <c r="J46">
        <v>43.1</v>
      </c>
      <c r="K46">
        <v>111</v>
      </c>
      <c r="L46" s="4">
        <f t="shared" si="2"/>
        <v>0.1627565982404692</v>
      </c>
      <c r="M46">
        <v>95</v>
      </c>
      <c r="N46">
        <v>17.93</v>
      </c>
      <c r="P46">
        <v>3.96</v>
      </c>
      <c r="R46" t="str">
        <f t="shared" si="1"/>
        <v>179x0x59</v>
      </c>
      <c r="S46" t="str">
        <f>VLOOKUP(CEILING((N46/54)*32,1),'Articulated Lengths'!$A$3:$B$16, 2, FALSE)</f>
        <v>3,5,3</v>
      </c>
    </row>
    <row r="47" spans="1:19" x14ac:dyDescent="0.25">
      <c r="A47" t="s">
        <v>22</v>
      </c>
      <c r="B47" t="s">
        <v>249</v>
      </c>
      <c r="C47" t="s">
        <v>213</v>
      </c>
      <c r="D47">
        <v>1932</v>
      </c>
      <c r="I47">
        <v>43</v>
      </c>
      <c r="K47">
        <v>62</v>
      </c>
      <c r="L47" s="4">
        <f t="shared" si="2"/>
        <v>0.14418604651162792</v>
      </c>
      <c r="N47">
        <v>9.1199999999999992</v>
      </c>
      <c r="P47">
        <v>3.82</v>
      </c>
      <c r="R47" t="str">
        <f t="shared" si="1"/>
        <v>91x0x57</v>
      </c>
      <c r="S47" t="str">
        <f>VLOOKUP(CEILING((N47/54)*32,1),'Articulated Lengths'!$A$3:$B$16, 2, FALSE)</f>
        <v>2,2,2</v>
      </c>
    </row>
    <row r="48" spans="1:19" x14ac:dyDescent="0.25">
      <c r="A48" t="s">
        <v>39</v>
      </c>
      <c r="B48" t="s">
        <v>250</v>
      </c>
      <c r="C48" t="s">
        <v>213</v>
      </c>
      <c r="D48">
        <v>1934</v>
      </c>
      <c r="E48">
        <v>1951</v>
      </c>
      <c r="I48">
        <v>73.400000000000006</v>
      </c>
      <c r="K48">
        <v>113</v>
      </c>
      <c r="L48" s="4">
        <f t="shared" si="2"/>
        <v>0.15395095367847411</v>
      </c>
      <c r="N48">
        <v>19.399999999999999</v>
      </c>
      <c r="R48" t="str">
        <f t="shared" si="1"/>
        <v>194x0x0</v>
      </c>
      <c r="S48" t="str">
        <f>VLOOKUP(CEILING((N48/54)*32,1),'Articulated Lengths'!$A$3:$B$16, 2, FALSE)</f>
        <v>3,6,3</v>
      </c>
    </row>
    <row r="49" spans="1:19" x14ac:dyDescent="0.25">
      <c r="A49" t="s">
        <v>41</v>
      </c>
      <c r="B49" t="s">
        <v>251</v>
      </c>
      <c r="C49" t="s">
        <v>213</v>
      </c>
      <c r="D49">
        <v>1934</v>
      </c>
      <c r="E49">
        <v>1936</v>
      </c>
      <c r="H49">
        <v>1375</v>
      </c>
      <c r="I49">
        <v>80.8</v>
      </c>
      <c r="K49">
        <v>118</v>
      </c>
      <c r="L49" s="4">
        <f t="shared" si="2"/>
        <v>0.14603960396039603</v>
      </c>
      <c r="N49">
        <v>19.73</v>
      </c>
      <c r="R49" t="str">
        <f t="shared" si="1"/>
        <v>197x0x0</v>
      </c>
      <c r="S49" t="str">
        <f>VLOOKUP(CEILING((N49/54)*32,1),'Articulated Lengths'!$A$3:$B$16, 2, FALSE)</f>
        <v>3,6,3</v>
      </c>
    </row>
    <row r="50" spans="1:19" x14ac:dyDescent="0.25">
      <c r="A50" t="s">
        <v>12</v>
      </c>
      <c r="B50" t="s">
        <v>252</v>
      </c>
      <c r="C50" t="s">
        <v>213</v>
      </c>
      <c r="D50">
        <v>1935</v>
      </c>
      <c r="H50">
        <v>1300</v>
      </c>
      <c r="I50">
        <v>73</v>
      </c>
      <c r="K50">
        <v>144</v>
      </c>
      <c r="L50" s="4">
        <f t="shared" si="2"/>
        <v>0.19726027397260273</v>
      </c>
      <c r="N50">
        <v>19.22</v>
      </c>
      <c r="R50" t="str">
        <f t="shared" si="1"/>
        <v>192x0x0</v>
      </c>
      <c r="S50" t="str">
        <f>VLOOKUP(CEILING((N50/54)*32,1),'Articulated Lengths'!$A$3:$B$16, 2, FALSE)</f>
        <v>3,6,3</v>
      </c>
    </row>
    <row r="51" spans="1:19" x14ac:dyDescent="0.25">
      <c r="A51" t="s">
        <v>35</v>
      </c>
      <c r="B51" t="s">
        <v>253</v>
      </c>
      <c r="C51" t="s">
        <v>213</v>
      </c>
      <c r="D51">
        <v>1935</v>
      </c>
      <c r="E51">
        <v>1938</v>
      </c>
      <c r="H51">
        <v>1850</v>
      </c>
      <c r="I51">
        <v>104.6</v>
      </c>
      <c r="K51">
        <v>157</v>
      </c>
      <c r="L51" s="4">
        <f t="shared" si="2"/>
        <v>0.15009560229445507</v>
      </c>
      <c r="M51">
        <v>125</v>
      </c>
      <c r="N51">
        <v>21.65</v>
      </c>
      <c r="P51">
        <v>3.99</v>
      </c>
      <c r="R51" t="str">
        <f t="shared" si="1"/>
        <v>216x0x59</v>
      </c>
      <c r="S51" t="str">
        <f>VLOOKUP(CEILING((N51/54)*32,1),'Articulated Lengths'!$A$3:$B$16, 2, FALSE)</f>
        <v>4,5,4</v>
      </c>
    </row>
    <row r="52" spans="1:19" x14ac:dyDescent="0.25">
      <c r="A52" t="s">
        <v>44</v>
      </c>
      <c r="B52" t="s">
        <v>406</v>
      </c>
      <c r="C52" t="s">
        <v>213</v>
      </c>
      <c r="D52">
        <v>1935</v>
      </c>
      <c r="E52">
        <v>1943</v>
      </c>
      <c r="I52">
        <v>89.2</v>
      </c>
      <c r="K52">
        <v>110</v>
      </c>
      <c r="L52" s="4">
        <f t="shared" si="2"/>
        <v>0.12331838565022421</v>
      </c>
      <c r="N52">
        <v>14.4</v>
      </c>
      <c r="R52" t="str">
        <f t="shared" si="1"/>
        <v>144x0x0</v>
      </c>
      <c r="S52" t="str">
        <f>VLOOKUP(CEILING((N52/54)*32,1),'Articulated Lengths'!$A$3:$B$16, 2, FALSE)</f>
        <v>2,5,2</v>
      </c>
    </row>
    <row r="53" spans="1:19" x14ac:dyDescent="0.25">
      <c r="A53" t="s">
        <v>16</v>
      </c>
      <c r="B53" t="s">
        <v>254</v>
      </c>
      <c r="C53" t="s">
        <v>213</v>
      </c>
      <c r="D53">
        <v>1936</v>
      </c>
      <c r="K53">
        <v>150</v>
      </c>
      <c r="L53" s="4" t="str">
        <f t="shared" si="2"/>
        <v/>
      </c>
      <c r="N53">
        <v>20.239999999999998</v>
      </c>
      <c r="R53" t="str">
        <f t="shared" si="1"/>
        <v>202x0x0</v>
      </c>
      <c r="S53" t="str">
        <f>VLOOKUP(CEILING((N53/54)*32,1),'Articulated Lengths'!$A$3:$B$16, 2, FALSE)</f>
        <v>3,6,3</v>
      </c>
    </row>
    <row r="54" spans="1:19" x14ac:dyDescent="0.25">
      <c r="A54" t="s">
        <v>30</v>
      </c>
      <c r="B54" t="s">
        <v>255</v>
      </c>
      <c r="C54" t="s">
        <v>213</v>
      </c>
      <c r="D54">
        <v>1936</v>
      </c>
      <c r="E54">
        <v>1939</v>
      </c>
      <c r="I54">
        <v>75.2</v>
      </c>
      <c r="K54">
        <v>128</v>
      </c>
      <c r="L54" s="4">
        <f t="shared" si="2"/>
        <v>0.1702127659574468</v>
      </c>
      <c r="N54">
        <v>19.21</v>
      </c>
      <c r="P54">
        <v>3.96</v>
      </c>
      <c r="R54" t="str">
        <f t="shared" si="1"/>
        <v>192x0x59</v>
      </c>
      <c r="S54" t="str">
        <f>VLOOKUP(CEILING((N54/54)*32,1),'Articulated Lengths'!$A$3:$B$16, 2, FALSE)</f>
        <v>3,6,3</v>
      </c>
    </row>
    <row r="55" spans="1:19" x14ac:dyDescent="0.25">
      <c r="A55" t="s">
        <v>42</v>
      </c>
      <c r="B55" t="s">
        <v>347</v>
      </c>
      <c r="C55" t="s">
        <v>213</v>
      </c>
      <c r="D55">
        <v>1937</v>
      </c>
      <c r="E55">
        <v>1948</v>
      </c>
      <c r="H55">
        <v>3300</v>
      </c>
      <c r="I55">
        <v>110</v>
      </c>
      <c r="K55">
        <v>180</v>
      </c>
      <c r="L55" s="4">
        <f t="shared" si="2"/>
        <v>0.16363636363636364</v>
      </c>
      <c r="N55">
        <v>22.49</v>
      </c>
      <c r="P55">
        <v>4.0389999999999997</v>
      </c>
      <c r="R55" t="str">
        <f t="shared" si="1"/>
        <v>224x0x60</v>
      </c>
      <c r="S55" t="str">
        <f>VLOOKUP(CEILING((N55/54)*32,1),'Articulated Lengths'!$A$3:$B$16, 2, FALSE)</f>
        <v>4,6,4</v>
      </c>
    </row>
    <row r="56" spans="1:19" x14ac:dyDescent="0.25">
      <c r="A56" t="s">
        <v>47</v>
      </c>
      <c r="B56" t="s">
        <v>256</v>
      </c>
      <c r="C56" t="s">
        <v>213</v>
      </c>
      <c r="D56">
        <v>1941</v>
      </c>
      <c r="E56">
        <v>1949</v>
      </c>
      <c r="I56">
        <v>96.3</v>
      </c>
      <c r="K56">
        <v>167</v>
      </c>
      <c r="L56" s="4">
        <f t="shared" si="2"/>
        <v>0.17341640706126688</v>
      </c>
      <c r="M56">
        <v>105</v>
      </c>
      <c r="N56">
        <v>21.23</v>
      </c>
      <c r="R56" t="str">
        <f t="shared" si="1"/>
        <v>212x0x0</v>
      </c>
      <c r="S56" t="str">
        <f>VLOOKUP(CEILING((N56/54)*32,1),'Articulated Lengths'!$A$3:$B$16, 2, FALSE)</f>
        <v>4,5,4</v>
      </c>
    </row>
    <row r="57" spans="1:19" x14ac:dyDescent="0.25">
      <c r="A57" t="s">
        <v>87</v>
      </c>
      <c r="B57" t="s">
        <v>257</v>
      </c>
      <c r="C57" t="s">
        <v>213</v>
      </c>
      <c r="D57">
        <v>1941</v>
      </c>
      <c r="E57">
        <v>1948</v>
      </c>
      <c r="H57">
        <v>1470</v>
      </c>
      <c r="I57">
        <v>101</v>
      </c>
      <c r="K57">
        <v>178</v>
      </c>
      <c r="L57" s="4">
        <f t="shared" si="2"/>
        <v>0.17623762376237623</v>
      </c>
      <c r="M57">
        <v>75</v>
      </c>
      <c r="R57" t="str">
        <f t="shared" si="1"/>
        <v>0x0x0</v>
      </c>
      <c r="S57" t="e">
        <f>VLOOKUP(CEILING((N57/54)*32,1),'Articulated Lengths'!$A$3:$B$16, 2, FALSE)</f>
        <v>#N/A</v>
      </c>
    </row>
    <row r="58" spans="1:19" x14ac:dyDescent="0.25">
      <c r="A58" t="s">
        <v>15</v>
      </c>
      <c r="B58" t="s">
        <v>258</v>
      </c>
      <c r="C58" t="s">
        <v>213</v>
      </c>
      <c r="D58">
        <v>1942</v>
      </c>
      <c r="I58">
        <v>72</v>
      </c>
      <c r="K58">
        <v>119</v>
      </c>
      <c r="L58" s="4">
        <f t="shared" si="2"/>
        <v>0.16527777777777777</v>
      </c>
      <c r="R58" t="str">
        <f t="shared" si="1"/>
        <v>0x0x0</v>
      </c>
      <c r="S58" t="e">
        <f>VLOOKUP(CEILING((N58/54)*32,1),'Articulated Lengths'!$A$3:$B$16, 2, FALSE)</f>
        <v>#N/A</v>
      </c>
    </row>
    <row r="59" spans="1:19" x14ac:dyDescent="0.25">
      <c r="A59" t="s">
        <v>54</v>
      </c>
      <c r="B59" t="s">
        <v>259</v>
      </c>
      <c r="C59" t="s">
        <v>213</v>
      </c>
      <c r="D59">
        <v>1942</v>
      </c>
      <c r="E59">
        <v>1942</v>
      </c>
      <c r="I59">
        <v>90.7</v>
      </c>
      <c r="K59">
        <v>134</v>
      </c>
      <c r="L59" s="4">
        <f t="shared" si="2"/>
        <v>0.14773980154355015</v>
      </c>
      <c r="N59">
        <v>16.73</v>
      </c>
      <c r="R59" t="str">
        <f t="shared" si="1"/>
        <v>167x0x0</v>
      </c>
      <c r="S59" t="str">
        <f>VLOOKUP(CEILING((N59/54)*32,1),'Articulated Lengths'!$A$3:$B$16, 2, FALSE)</f>
        <v>3,4,3</v>
      </c>
    </row>
    <row r="60" spans="1:19" x14ac:dyDescent="0.25">
      <c r="A60" t="s">
        <v>52</v>
      </c>
      <c r="B60" t="s">
        <v>348</v>
      </c>
      <c r="C60" t="s">
        <v>213</v>
      </c>
      <c r="D60">
        <v>1943</v>
      </c>
      <c r="E60">
        <v>1964</v>
      </c>
      <c r="I60">
        <v>49</v>
      </c>
      <c r="K60">
        <v>106</v>
      </c>
      <c r="L60" s="4">
        <f t="shared" si="2"/>
        <v>0.21632653061224491</v>
      </c>
      <c r="N60">
        <v>9.25</v>
      </c>
      <c r="R60" t="str">
        <f t="shared" si="1"/>
        <v>92x0x0</v>
      </c>
      <c r="S60" t="str">
        <f>VLOOKUP(CEILING((N60/54)*32,1),'Articulated Lengths'!$A$3:$B$16, 2, FALSE)</f>
        <v>2,2,2</v>
      </c>
    </row>
    <row r="61" spans="1:19" x14ac:dyDescent="0.25">
      <c r="A61" t="s">
        <v>53</v>
      </c>
      <c r="B61" t="s">
        <v>407</v>
      </c>
      <c r="C61" t="s">
        <v>213</v>
      </c>
      <c r="D61">
        <v>1943</v>
      </c>
      <c r="E61">
        <v>1945</v>
      </c>
      <c r="I61">
        <v>71.400000000000006</v>
      </c>
      <c r="J61">
        <v>56.4</v>
      </c>
      <c r="K61">
        <v>152</v>
      </c>
      <c r="L61" s="4">
        <f t="shared" si="2"/>
        <v>0.21288515406162464</v>
      </c>
      <c r="N61">
        <v>19.350000000000001</v>
      </c>
      <c r="R61" t="str">
        <f t="shared" si="1"/>
        <v>193x0x0</v>
      </c>
      <c r="S61" t="str">
        <f>VLOOKUP(CEILING((N61/54)*32,1),'Articulated Lengths'!$A$3:$B$16, 2, FALSE)</f>
        <v>3,6,3</v>
      </c>
    </row>
    <row r="62" spans="1:19" x14ac:dyDescent="0.25">
      <c r="A62" t="s">
        <v>31</v>
      </c>
      <c r="B62" t="s">
        <v>378</v>
      </c>
      <c r="C62" t="s">
        <v>213</v>
      </c>
      <c r="D62">
        <v>1944</v>
      </c>
      <c r="E62">
        <v>1950</v>
      </c>
      <c r="I62">
        <v>77</v>
      </c>
      <c r="K62">
        <v>121</v>
      </c>
      <c r="L62" s="4">
        <f t="shared" si="2"/>
        <v>0.15714285714285714</v>
      </c>
      <c r="N62">
        <v>19.2</v>
      </c>
      <c r="P62">
        <v>4.01</v>
      </c>
      <c r="R62" t="str">
        <f t="shared" si="1"/>
        <v>192x0x60</v>
      </c>
      <c r="S62" t="str">
        <f>VLOOKUP(CEILING((N62/54)*32,1),'Articulated Lengths'!$A$3:$B$16, 2, FALSE)</f>
        <v>3,6,3</v>
      </c>
    </row>
    <row r="63" spans="1:19" x14ac:dyDescent="0.25">
      <c r="A63" t="s">
        <v>21</v>
      </c>
      <c r="B63" t="s">
        <v>260</v>
      </c>
      <c r="C63" t="s">
        <v>213</v>
      </c>
      <c r="D63">
        <v>1945</v>
      </c>
      <c r="I63">
        <v>78.099999999999994</v>
      </c>
      <c r="K63">
        <v>145</v>
      </c>
      <c r="L63" s="4">
        <f t="shared" si="2"/>
        <v>0.1856594110115237</v>
      </c>
      <c r="N63">
        <v>19.21</v>
      </c>
      <c r="P63">
        <v>4.08</v>
      </c>
      <c r="R63" t="str">
        <f t="shared" si="1"/>
        <v>192x0x61</v>
      </c>
      <c r="S63" t="str">
        <f>VLOOKUP(CEILING((N63/54)*32,1),'Articulated Lengths'!$A$3:$B$16, 2, FALSE)</f>
        <v>3,6,3</v>
      </c>
    </row>
    <row r="64" spans="1:19" x14ac:dyDescent="0.25">
      <c r="A64" t="s">
        <v>48</v>
      </c>
      <c r="B64" t="s">
        <v>261</v>
      </c>
      <c r="C64" t="s">
        <v>213</v>
      </c>
      <c r="D64">
        <v>1945</v>
      </c>
      <c r="E64">
        <v>1951</v>
      </c>
      <c r="I64">
        <v>87.4</v>
      </c>
      <c r="K64">
        <v>138</v>
      </c>
      <c r="L64" s="4">
        <f t="shared" si="2"/>
        <v>0.15789473684210525</v>
      </c>
      <c r="N64">
        <v>20.54</v>
      </c>
      <c r="R64" t="str">
        <f t="shared" si="1"/>
        <v>205x0x0</v>
      </c>
      <c r="S64" t="str">
        <f>VLOOKUP(CEILING((N64/54)*32,1),'Articulated Lengths'!$A$3:$B$16, 2, FALSE)</f>
        <v>4,5,4</v>
      </c>
    </row>
    <row r="65" spans="1:19" x14ac:dyDescent="0.25">
      <c r="A65" t="s">
        <v>55</v>
      </c>
      <c r="B65" t="s">
        <v>262</v>
      </c>
      <c r="C65" t="s">
        <v>213</v>
      </c>
      <c r="D65">
        <v>1946</v>
      </c>
      <c r="E65">
        <v>1949</v>
      </c>
      <c r="I65">
        <v>152</v>
      </c>
      <c r="K65">
        <v>117</v>
      </c>
      <c r="L65" s="4">
        <f t="shared" si="2"/>
        <v>7.6973684210526319E-2</v>
      </c>
      <c r="N65">
        <v>20.420000000000002</v>
      </c>
      <c r="R65" t="str">
        <f t="shared" si="1"/>
        <v>204x0x0</v>
      </c>
      <c r="S65" t="str">
        <f>VLOOKUP(CEILING((N65/54)*32,1),'Articulated Lengths'!$A$3:$B$16, 2, FALSE)</f>
        <v>4,5,4</v>
      </c>
    </row>
    <row r="66" spans="1:19" x14ac:dyDescent="0.25">
      <c r="A66" t="s">
        <v>57</v>
      </c>
      <c r="B66" t="s">
        <v>263</v>
      </c>
      <c r="C66" t="s">
        <v>213</v>
      </c>
      <c r="D66">
        <v>1946</v>
      </c>
      <c r="E66">
        <v>1953</v>
      </c>
      <c r="I66">
        <v>48</v>
      </c>
      <c r="K66">
        <v>77</v>
      </c>
      <c r="L66" s="4">
        <f t="shared" si="2"/>
        <v>0.16041666666666668</v>
      </c>
      <c r="N66">
        <v>16.2</v>
      </c>
      <c r="R66" t="str">
        <f t="shared" ref="R66:R129" si="3">CONCATENATE(INT(N66*10),"x",INT(O66*15), "x", INT(P66*15))</f>
        <v>162x0x0</v>
      </c>
      <c r="S66" t="str">
        <f>VLOOKUP(CEILING((N66/54)*32,1),'Articulated Lengths'!$A$3:$B$16, 2, FALSE)</f>
        <v>3,4,3</v>
      </c>
    </row>
    <row r="67" spans="1:19" x14ac:dyDescent="0.25">
      <c r="A67" t="s">
        <v>88</v>
      </c>
      <c r="B67" t="s">
        <v>264</v>
      </c>
      <c r="C67" t="s">
        <v>213</v>
      </c>
      <c r="D67">
        <v>1947</v>
      </c>
      <c r="E67">
        <v>1948</v>
      </c>
      <c r="H67">
        <v>1600</v>
      </c>
      <c r="I67">
        <v>129.69999999999999</v>
      </c>
      <c r="K67">
        <v>184</v>
      </c>
      <c r="L67" s="4">
        <f t="shared" si="2"/>
        <v>0.14186584425597532</v>
      </c>
      <c r="M67">
        <v>93</v>
      </c>
      <c r="N67">
        <v>18.64</v>
      </c>
      <c r="P67">
        <v>3.95</v>
      </c>
      <c r="R67" t="str">
        <f t="shared" si="3"/>
        <v>186x0x59</v>
      </c>
      <c r="S67" t="str">
        <f>VLOOKUP(CEILING((N67/54)*32,1),'Articulated Lengths'!$A$3:$B$16, 2, FALSE)</f>
        <v>3,6,3</v>
      </c>
    </row>
    <row r="68" spans="1:19" x14ac:dyDescent="0.25">
      <c r="A68" t="s">
        <v>33</v>
      </c>
      <c r="B68" t="s">
        <v>265</v>
      </c>
      <c r="C68" t="s">
        <v>213</v>
      </c>
      <c r="D68">
        <v>1948</v>
      </c>
      <c r="E68">
        <v>1949</v>
      </c>
      <c r="H68">
        <v>2700</v>
      </c>
      <c r="I68">
        <v>106.9</v>
      </c>
      <c r="K68">
        <v>166</v>
      </c>
      <c r="L68" s="4">
        <f t="shared" si="2"/>
        <v>0.15528531337698784</v>
      </c>
      <c r="M68">
        <v>100</v>
      </c>
      <c r="N68">
        <v>22.24</v>
      </c>
      <c r="P68">
        <v>3.99</v>
      </c>
      <c r="R68" t="str">
        <f t="shared" si="3"/>
        <v>222x0x59</v>
      </c>
      <c r="S68" t="str">
        <f>VLOOKUP(CEILING((N68/54)*32,1),'Articulated Lengths'!$A$3:$B$16, 2, FALSE)</f>
        <v>4,6,4</v>
      </c>
    </row>
    <row r="69" spans="1:19" x14ac:dyDescent="0.25">
      <c r="A69" t="s">
        <v>92</v>
      </c>
      <c r="B69" t="s">
        <v>408</v>
      </c>
      <c r="C69" t="s">
        <v>213</v>
      </c>
      <c r="D69">
        <v>1950</v>
      </c>
      <c r="E69">
        <v>1953</v>
      </c>
      <c r="H69">
        <v>1300</v>
      </c>
      <c r="I69">
        <v>89.3</v>
      </c>
      <c r="K69">
        <v>200</v>
      </c>
      <c r="L69" s="4">
        <f t="shared" si="2"/>
        <v>0.22396416573348266</v>
      </c>
      <c r="M69">
        <v>65</v>
      </c>
      <c r="N69">
        <v>15.34</v>
      </c>
      <c r="R69" t="str">
        <f t="shared" si="3"/>
        <v>153x0x0</v>
      </c>
      <c r="S69" t="str">
        <f>VLOOKUP(CEILING((N69/54)*32,1),'Articulated Lengths'!$A$3:$B$16, 2, FALSE)</f>
        <v>3,4,3</v>
      </c>
    </row>
    <row r="70" spans="1:19" x14ac:dyDescent="0.25">
      <c r="A70" t="s">
        <v>45</v>
      </c>
      <c r="B70" t="s">
        <v>349</v>
      </c>
      <c r="C70" t="s">
        <v>213</v>
      </c>
      <c r="D70">
        <v>1951</v>
      </c>
      <c r="E70">
        <v>1952</v>
      </c>
      <c r="I70">
        <v>89.92</v>
      </c>
      <c r="J70">
        <v>14.38</v>
      </c>
      <c r="K70">
        <v>122</v>
      </c>
      <c r="L70" s="4">
        <f t="shared" si="2"/>
        <v>0.13567615658362989</v>
      </c>
      <c r="N70">
        <v>20.96</v>
      </c>
      <c r="P70">
        <v>3.98</v>
      </c>
      <c r="R70" t="str">
        <f t="shared" si="3"/>
        <v>209x0x59</v>
      </c>
      <c r="S70" t="str">
        <f>VLOOKUP(CEILING((N70/54)*32,1),'Articulated Lengths'!$A$3:$B$16, 2, FALSE)</f>
        <v>4,5,4</v>
      </c>
    </row>
    <row r="71" spans="1:19" x14ac:dyDescent="0.25">
      <c r="A71" t="s">
        <v>49</v>
      </c>
      <c r="B71" t="s">
        <v>350</v>
      </c>
      <c r="C71" t="s">
        <v>213</v>
      </c>
      <c r="D71">
        <v>1951</v>
      </c>
      <c r="E71">
        <v>1954</v>
      </c>
      <c r="I71">
        <v>95.5</v>
      </c>
      <c r="J71">
        <v>50</v>
      </c>
      <c r="K71">
        <v>143</v>
      </c>
      <c r="L71" s="4">
        <f t="shared" si="2"/>
        <v>0.14973821989528796</v>
      </c>
      <c r="N71">
        <v>20.96</v>
      </c>
      <c r="P71">
        <v>3.98</v>
      </c>
      <c r="R71" t="str">
        <f t="shared" si="3"/>
        <v>209x0x59</v>
      </c>
      <c r="S71" t="str">
        <f>VLOOKUP(CEILING((N71/54)*32,1),'Articulated Lengths'!$A$3:$B$16, 2, FALSE)</f>
        <v>4,5,4</v>
      </c>
    </row>
    <row r="72" spans="1:19" x14ac:dyDescent="0.25">
      <c r="A72" t="s">
        <v>98</v>
      </c>
      <c r="B72" t="s">
        <v>266</v>
      </c>
      <c r="C72" t="s">
        <v>213</v>
      </c>
      <c r="D72">
        <v>1952</v>
      </c>
      <c r="E72">
        <v>1962</v>
      </c>
      <c r="H72">
        <v>350</v>
      </c>
      <c r="I72">
        <v>49.8</v>
      </c>
      <c r="K72">
        <v>160</v>
      </c>
      <c r="L72" s="4">
        <f t="shared" si="2"/>
        <v>0.32128514056224899</v>
      </c>
      <c r="M72">
        <v>20</v>
      </c>
      <c r="N72">
        <v>8.92</v>
      </c>
      <c r="P72">
        <v>3.87</v>
      </c>
      <c r="R72" t="str">
        <f t="shared" si="3"/>
        <v>89x0x58</v>
      </c>
      <c r="S72" t="str">
        <f>VLOOKUP(CEILING((N72/54)*32,1),'Articulated Lengths'!$A$3:$B$16, 2, FALSE)</f>
        <v>2,2,2</v>
      </c>
    </row>
    <row r="73" spans="1:19" x14ac:dyDescent="0.25">
      <c r="A73" t="s">
        <v>93</v>
      </c>
      <c r="B73" t="s">
        <v>409</v>
      </c>
      <c r="C73" t="s">
        <v>213</v>
      </c>
      <c r="D73">
        <v>1953</v>
      </c>
      <c r="E73">
        <v>1954</v>
      </c>
      <c r="H73">
        <v>2490</v>
      </c>
      <c r="I73">
        <v>104.1</v>
      </c>
      <c r="K73">
        <v>200</v>
      </c>
      <c r="L73" s="4">
        <f t="shared" si="2"/>
        <v>0.19212295869356388</v>
      </c>
      <c r="M73">
        <v>90</v>
      </c>
      <c r="N73">
        <v>17.98</v>
      </c>
      <c r="R73" t="str">
        <f t="shared" si="3"/>
        <v>179x0x0</v>
      </c>
      <c r="S73" t="str">
        <f>VLOOKUP(CEILING((N73/54)*32,1),'Articulated Lengths'!$A$3:$B$16, 2, FALSE)</f>
        <v>3,5,3</v>
      </c>
    </row>
    <row r="74" spans="1:19" x14ac:dyDescent="0.25">
      <c r="A74" t="s">
        <v>50</v>
      </c>
      <c r="B74" t="s">
        <v>267</v>
      </c>
      <c r="C74" t="s">
        <v>213</v>
      </c>
      <c r="D74">
        <v>1954</v>
      </c>
      <c r="E74">
        <v>1960</v>
      </c>
      <c r="I74">
        <v>90</v>
      </c>
      <c r="J74">
        <v>51</v>
      </c>
      <c r="K74">
        <v>176</v>
      </c>
      <c r="L74" s="4">
        <f t="shared" si="2"/>
        <v>0.19555555555555557</v>
      </c>
      <c r="M74">
        <v>90</v>
      </c>
      <c r="N74">
        <v>20.170000000000002</v>
      </c>
      <c r="R74" t="str">
        <f t="shared" si="3"/>
        <v>201x0x0</v>
      </c>
      <c r="S74" t="str">
        <f>VLOOKUP(CEILING((N74/54)*32,1),'Articulated Lengths'!$A$3:$B$16, 2, FALSE)</f>
        <v>3,6,3</v>
      </c>
    </row>
    <row r="75" spans="1:19" x14ac:dyDescent="0.25">
      <c r="A75" t="s">
        <v>64</v>
      </c>
      <c r="B75" t="s">
        <v>432</v>
      </c>
      <c r="C75" t="s">
        <v>213</v>
      </c>
      <c r="D75">
        <v>1955</v>
      </c>
      <c r="E75">
        <v>1962</v>
      </c>
      <c r="H75">
        <v>3300</v>
      </c>
      <c r="I75">
        <v>108</v>
      </c>
      <c r="K75">
        <v>233</v>
      </c>
      <c r="L75" s="4">
        <f t="shared" ref="L75:L138" si="4">IF(AND(I75&gt;0,K75&gt;0),(K75/(I75*10)),"")</f>
        <v>0.21574074074074073</v>
      </c>
      <c r="M75">
        <v>106</v>
      </c>
      <c r="N75">
        <v>21.18</v>
      </c>
      <c r="P75">
        <v>3.91</v>
      </c>
      <c r="R75" t="str">
        <f t="shared" si="3"/>
        <v>211x0x58</v>
      </c>
      <c r="S75" t="str">
        <f>VLOOKUP(CEILING((N75/54)*32,1),'Articulated Lengths'!$A$3:$B$16, 2, FALSE)</f>
        <v>4,5,4</v>
      </c>
    </row>
    <row r="76" spans="1:19" x14ac:dyDescent="0.25">
      <c r="A76" t="s">
        <v>71</v>
      </c>
      <c r="B76" t="s">
        <v>268</v>
      </c>
      <c r="C76" t="s">
        <v>213</v>
      </c>
      <c r="D76">
        <v>1957</v>
      </c>
      <c r="E76">
        <v>1962</v>
      </c>
      <c r="H76">
        <v>1250</v>
      </c>
      <c r="I76">
        <v>108.4</v>
      </c>
      <c r="K76">
        <v>160</v>
      </c>
      <c r="L76" s="4">
        <f t="shared" si="4"/>
        <v>0.14760147601476015</v>
      </c>
      <c r="M76">
        <v>80</v>
      </c>
      <c r="N76">
        <v>17.3</v>
      </c>
      <c r="P76">
        <v>3.84</v>
      </c>
      <c r="R76" t="str">
        <f t="shared" si="3"/>
        <v>173x0x57</v>
      </c>
      <c r="S76" t="str">
        <f>VLOOKUP(CEILING((N76/54)*32,1),'Articulated Lengths'!$A$3:$B$16, 2, FALSE)</f>
        <v>3,5,3</v>
      </c>
    </row>
    <row r="77" spans="1:19" x14ac:dyDescent="0.25">
      <c r="A77" t="s">
        <v>75</v>
      </c>
      <c r="B77" t="s">
        <v>430</v>
      </c>
      <c r="C77" t="s">
        <v>427</v>
      </c>
      <c r="D77">
        <v>1957</v>
      </c>
      <c r="E77">
        <v>1968</v>
      </c>
      <c r="H77">
        <v>1000</v>
      </c>
      <c r="I77">
        <v>73</v>
      </c>
      <c r="K77">
        <v>186</v>
      </c>
      <c r="L77" s="4">
        <f t="shared" si="4"/>
        <v>0.25479452054794521</v>
      </c>
      <c r="M77">
        <v>75</v>
      </c>
      <c r="N77">
        <v>14.25</v>
      </c>
      <c r="O77">
        <v>2.67</v>
      </c>
      <c r="P77">
        <v>3.85</v>
      </c>
      <c r="R77" t="str">
        <f t="shared" si="3"/>
        <v>142x40x57</v>
      </c>
      <c r="S77" t="str">
        <f>VLOOKUP(CEILING((N77/54)*32,1),'Articulated Lengths'!$A$3:$B$16, 2, FALSE)</f>
        <v>2,5,2</v>
      </c>
    </row>
    <row r="78" spans="1:19" x14ac:dyDescent="0.25">
      <c r="A78" t="s">
        <v>58</v>
      </c>
      <c r="B78" t="s">
        <v>269</v>
      </c>
      <c r="C78" t="s">
        <v>213</v>
      </c>
      <c r="D78">
        <v>1958</v>
      </c>
      <c r="E78">
        <v>1961</v>
      </c>
      <c r="H78">
        <v>2750</v>
      </c>
      <c r="I78">
        <v>45</v>
      </c>
      <c r="K78">
        <v>169</v>
      </c>
      <c r="L78" s="4">
        <f t="shared" si="4"/>
        <v>0.37555555555555553</v>
      </c>
      <c r="M78">
        <v>90</v>
      </c>
      <c r="N78">
        <v>20.74</v>
      </c>
      <c r="R78" t="str">
        <f t="shared" si="3"/>
        <v>207x0x0</v>
      </c>
      <c r="S78" t="str">
        <f>VLOOKUP(CEILING((N78/54)*32,1),'Articulated Lengths'!$A$3:$B$16, 2, FALSE)</f>
        <v>4,5,4</v>
      </c>
    </row>
    <row r="79" spans="1:19" x14ac:dyDescent="0.25">
      <c r="A79" t="s">
        <v>62</v>
      </c>
      <c r="B79" t="s">
        <v>270</v>
      </c>
      <c r="C79" t="s">
        <v>213</v>
      </c>
      <c r="D79">
        <v>1958</v>
      </c>
      <c r="E79">
        <v>1961</v>
      </c>
      <c r="H79">
        <f>1035*2</f>
        <v>2070</v>
      </c>
      <c r="I79">
        <v>79.3</v>
      </c>
      <c r="K79">
        <v>214</v>
      </c>
      <c r="L79" s="4">
        <f t="shared" si="4"/>
        <v>0.26986128625472888</v>
      </c>
      <c r="M79">
        <v>90</v>
      </c>
      <c r="N79">
        <v>18.29</v>
      </c>
      <c r="P79">
        <v>3.67</v>
      </c>
      <c r="R79" t="str">
        <f t="shared" si="3"/>
        <v>182x0x55</v>
      </c>
      <c r="S79" t="str">
        <f>VLOOKUP(CEILING((N79/54)*32,1),'Articulated Lengths'!$A$3:$B$16, 2, FALSE)</f>
        <v>3,5,3</v>
      </c>
    </row>
    <row r="80" spans="1:19" x14ac:dyDescent="0.25">
      <c r="A80" t="s">
        <v>67</v>
      </c>
      <c r="B80" t="s">
        <v>271</v>
      </c>
      <c r="C80" t="s">
        <v>213</v>
      </c>
      <c r="D80">
        <v>1958</v>
      </c>
      <c r="E80">
        <v>1962</v>
      </c>
      <c r="H80">
        <v>2000</v>
      </c>
      <c r="I80">
        <v>135</v>
      </c>
      <c r="K80">
        <v>231</v>
      </c>
      <c r="L80" s="4">
        <f t="shared" si="4"/>
        <v>0.1711111111111111</v>
      </c>
      <c r="M80">
        <v>90</v>
      </c>
      <c r="N80">
        <v>21.18</v>
      </c>
      <c r="P80">
        <v>3.91</v>
      </c>
      <c r="R80" t="str">
        <f t="shared" si="3"/>
        <v>211x0x58</v>
      </c>
      <c r="S80" t="str">
        <f>VLOOKUP(CEILING((N80/54)*32,1),'Articulated Lengths'!$A$3:$B$16, 2, FALSE)</f>
        <v>4,5,4</v>
      </c>
    </row>
    <row r="81" spans="1:19" x14ac:dyDescent="0.25">
      <c r="A81" t="s">
        <v>68</v>
      </c>
      <c r="B81" t="s">
        <v>272</v>
      </c>
      <c r="C81" t="s">
        <v>213</v>
      </c>
      <c r="D81">
        <v>1958</v>
      </c>
      <c r="E81">
        <v>1959</v>
      </c>
      <c r="H81">
        <v>1200</v>
      </c>
      <c r="I81">
        <v>98.6</v>
      </c>
      <c r="K81">
        <v>222</v>
      </c>
      <c r="L81" s="4">
        <f t="shared" si="4"/>
        <v>0.22515212981744423</v>
      </c>
      <c r="M81">
        <v>75</v>
      </c>
      <c r="N81">
        <v>17.260000000000002</v>
      </c>
      <c r="P81">
        <v>3.7</v>
      </c>
      <c r="R81" t="str">
        <f t="shared" si="3"/>
        <v>172x0x55</v>
      </c>
      <c r="S81" t="str">
        <f>VLOOKUP(CEILING((N81/54)*32,1),'Articulated Lengths'!$A$3:$B$16, 2, FALSE)</f>
        <v>3,5,3</v>
      </c>
    </row>
    <row r="82" spans="1:19" x14ac:dyDescent="0.25">
      <c r="A82" t="s">
        <v>94</v>
      </c>
      <c r="B82" t="s">
        <v>351</v>
      </c>
      <c r="C82" t="s">
        <v>213</v>
      </c>
      <c r="D82">
        <v>1958</v>
      </c>
      <c r="E82">
        <v>1960</v>
      </c>
      <c r="H82">
        <v>2300</v>
      </c>
      <c r="I82">
        <v>78.239999999999995</v>
      </c>
      <c r="K82">
        <v>195</v>
      </c>
      <c r="L82" s="4">
        <f t="shared" si="4"/>
        <v>0.24923312883435583</v>
      </c>
      <c r="M82">
        <v>90</v>
      </c>
      <c r="R82" t="str">
        <f t="shared" si="3"/>
        <v>0x0x0</v>
      </c>
      <c r="S82" t="e">
        <f>VLOOKUP(CEILING((N82/54)*32,1),'Articulated Lengths'!$A$3:$B$16, 2, FALSE)</f>
        <v>#N/A</v>
      </c>
    </row>
    <row r="83" spans="1:19" x14ac:dyDescent="0.25">
      <c r="A83" t="s">
        <v>65</v>
      </c>
      <c r="B83" t="s">
        <v>431</v>
      </c>
      <c r="C83" t="s">
        <v>213</v>
      </c>
      <c r="D83">
        <v>1959</v>
      </c>
      <c r="E83">
        <v>1959</v>
      </c>
      <c r="H83">
        <v>1100</v>
      </c>
      <c r="I83">
        <v>75.2</v>
      </c>
      <c r="K83">
        <v>209</v>
      </c>
      <c r="L83" s="4">
        <f t="shared" si="4"/>
        <v>0.27792553191489361</v>
      </c>
      <c r="M83">
        <v>75</v>
      </c>
      <c r="N83">
        <v>16</v>
      </c>
      <c r="P83">
        <v>3.86</v>
      </c>
      <c r="R83" t="str">
        <f t="shared" si="3"/>
        <v>160x0x57</v>
      </c>
      <c r="S83" t="str">
        <f>VLOOKUP(CEILING((N83/54)*32,1),'Articulated Lengths'!$A$3:$B$16, 2, FALSE)</f>
        <v>3,4,3</v>
      </c>
    </row>
    <row r="84" spans="1:19" x14ac:dyDescent="0.25">
      <c r="A84" t="s">
        <v>89</v>
      </c>
      <c r="B84" t="s">
        <v>352</v>
      </c>
      <c r="C84" t="s">
        <v>213</v>
      </c>
      <c r="D84">
        <v>1959</v>
      </c>
      <c r="E84">
        <v>1964</v>
      </c>
      <c r="H84">
        <f>4*847</f>
        <v>3388</v>
      </c>
      <c r="I84">
        <v>80.900000000000006</v>
      </c>
      <c r="K84">
        <v>222</v>
      </c>
      <c r="L84" s="4">
        <f t="shared" si="4"/>
        <v>0.27441285537700866</v>
      </c>
      <c r="M84">
        <v>100</v>
      </c>
      <c r="N84">
        <v>17.22</v>
      </c>
      <c r="P84">
        <v>3.77</v>
      </c>
      <c r="R84" t="str">
        <f t="shared" si="3"/>
        <v>172x0x56</v>
      </c>
      <c r="S84" t="str">
        <f>VLOOKUP(CEILING((N84/54)*32,1),'Articulated Lengths'!$A$3:$B$16, 2, FALSE)</f>
        <v>3,5,3</v>
      </c>
    </row>
    <row r="85" spans="1:19" x14ac:dyDescent="0.25">
      <c r="A85" t="s">
        <v>66</v>
      </c>
      <c r="B85" t="s">
        <v>426</v>
      </c>
      <c r="C85" t="s">
        <v>427</v>
      </c>
      <c r="D85">
        <v>1960</v>
      </c>
      <c r="E85">
        <v>1965</v>
      </c>
      <c r="H85">
        <v>1750</v>
      </c>
      <c r="I85">
        <v>102</v>
      </c>
      <c r="K85">
        <v>247</v>
      </c>
      <c r="L85" s="4">
        <f t="shared" si="4"/>
        <v>0.24215686274509804</v>
      </c>
      <c r="M85">
        <v>90</v>
      </c>
      <c r="N85">
        <v>18.75</v>
      </c>
      <c r="O85">
        <v>2.71</v>
      </c>
      <c r="P85">
        <v>3.89</v>
      </c>
      <c r="Q85">
        <v>0</v>
      </c>
      <c r="R85" t="str">
        <f>CONCATENATE(INT(N85*10),"x",INT(O85*15), "x", INT(P85*15))</f>
        <v>187x40x58</v>
      </c>
      <c r="S85" t="str">
        <f>VLOOKUP(CEILING((N85/54)*32,1),'Articulated Lengths'!$A$3:$B$16, 2, FALSE)</f>
        <v>3,6,3</v>
      </c>
    </row>
    <row r="86" spans="1:19" x14ac:dyDescent="0.25">
      <c r="A86" t="s">
        <v>77</v>
      </c>
      <c r="B86" t="s">
        <v>273</v>
      </c>
      <c r="C86" t="s">
        <v>213</v>
      </c>
      <c r="D86">
        <v>1960</v>
      </c>
      <c r="E86">
        <v>1962</v>
      </c>
      <c r="H86">
        <v>2500</v>
      </c>
      <c r="I86">
        <v>135</v>
      </c>
      <c r="K86">
        <v>245</v>
      </c>
      <c r="L86" s="4">
        <f t="shared" si="4"/>
        <v>0.18148148148148149</v>
      </c>
      <c r="M86">
        <v>90</v>
      </c>
      <c r="N86">
        <v>20.7</v>
      </c>
      <c r="P86">
        <v>3.91</v>
      </c>
      <c r="R86" t="str">
        <f t="shared" si="3"/>
        <v>207x0x58</v>
      </c>
      <c r="S86" t="str">
        <f>VLOOKUP(CEILING((N86/54)*32,1),'Articulated Lengths'!$A$3:$B$16, 2, FALSE)</f>
        <v>4,5,4</v>
      </c>
    </row>
    <row r="87" spans="1:19" x14ac:dyDescent="0.25">
      <c r="A87" t="s">
        <v>78</v>
      </c>
      <c r="B87" t="s">
        <v>274</v>
      </c>
      <c r="C87" t="s">
        <v>213</v>
      </c>
      <c r="D87">
        <v>1960</v>
      </c>
      <c r="E87">
        <v>1962</v>
      </c>
      <c r="H87">
        <v>1550</v>
      </c>
      <c r="I87">
        <v>74.2</v>
      </c>
      <c r="K87">
        <v>200</v>
      </c>
      <c r="L87" s="4">
        <f t="shared" si="4"/>
        <v>0.26954177897574122</v>
      </c>
      <c r="M87">
        <v>85</v>
      </c>
      <c r="N87">
        <v>15.47</v>
      </c>
      <c r="P87">
        <v>3.86</v>
      </c>
      <c r="R87" t="str">
        <f t="shared" si="3"/>
        <v>154x0x57</v>
      </c>
      <c r="S87" t="str">
        <f>VLOOKUP(CEILING((N87/54)*32,1),'Articulated Lengths'!$A$3:$B$16, 2, FALSE)</f>
        <v>3,4,3</v>
      </c>
    </row>
    <row r="88" spans="1:19" x14ac:dyDescent="0.25">
      <c r="A88" t="s">
        <v>190</v>
      </c>
      <c r="B88" t="s">
        <v>377</v>
      </c>
      <c r="C88" t="s">
        <v>213</v>
      </c>
      <c r="D88">
        <v>1960</v>
      </c>
      <c r="H88">
        <v>1000</v>
      </c>
      <c r="I88">
        <v>304</v>
      </c>
      <c r="L88" s="4" t="str">
        <f t="shared" si="4"/>
        <v/>
      </c>
      <c r="M88">
        <v>90</v>
      </c>
      <c r="R88" t="str">
        <f t="shared" si="3"/>
        <v>0x0x0</v>
      </c>
      <c r="S88" t="e">
        <f>VLOOKUP(CEILING((N88/54)*32,1),'Articulated Lengths'!$A$3:$B$16, 2, FALSE)</f>
        <v>#N/A</v>
      </c>
    </row>
    <row r="89" spans="1:19" x14ac:dyDescent="0.25">
      <c r="A89" t="s">
        <v>61</v>
      </c>
      <c r="B89" t="s">
        <v>275</v>
      </c>
      <c r="C89" t="s">
        <v>213</v>
      </c>
      <c r="D89">
        <v>1961</v>
      </c>
      <c r="E89">
        <v>1964</v>
      </c>
      <c r="H89">
        <v>1700</v>
      </c>
      <c r="I89">
        <v>76.2</v>
      </c>
      <c r="K89">
        <v>207</v>
      </c>
      <c r="L89" s="4">
        <f t="shared" si="4"/>
        <v>0.27165354330708663</v>
      </c>
      <c r="M89">
        <v>90</v>
      </c>
      <c r="N89">
        <v>15.76</v>
      </c>
      <c r="P89">
        <v>3.91</v>
      </c>
      <c r="R89" t="str">
        <f t="shared" si="3"/>
        <v>157x0x58</v>
      </c>
      <c r="S89" t="str">
        <f>VLOOKUP(CEILING((N89/54)*32,1),'Articulated Lengths'!$A$3:$B$16, 2, FALSE)</f>
        <v>3,4,3</v>
      </c>
    </row>
    <row r="90" spans="1:19" x14ac:dyDescent="0.25">
      <c r="A90" t="s">
        <v>63</v>
      </c>
      <c r="B90" t="s">
        <v>276</v>
      </c>
      <c r="C90" t="s">
        <v>213</v>
      </c>
      <c r="D90">
        <v>1961</v>
      </c>
      <c r="E90">
        <v>1964</v>
      </c>
      <c r="H90">
        <v>2000</v>
      </c>
      <c r="I90">
        <v>110</v>
      </c>
      <c r="K90">
        <v>297</v>
      </c>
      <c r="L90" s="4">
        <f t="shared" si="4"/>
        <v>0.27</v>
      </c>
      <c r="M90">
        <v>90</v>
      </c>
      <c r="N90">
        <v>20.73</v>
      </c>
      <c r="P90">
        <v>3.96</v>
      </c>
      <c r="R90" t="str">
        <f t="shared" si="3"/>
        <v>207x0x59</v>
      </c>
      <c r="S90" t="str">
        <f>VLOOKUP(CEILING((N90/54)*32,1),'Articulated Lengths'!$A$3:$B$16, 2, FALSE)</f>
        <v>4,5,4</v>
      </c>
    </row>
    <row r="91" spans="1:19" x14ac:dyDescent="0.25">
      <c r="A91" t="s">
        <v>76</v>
      </c>
      <c r="B91" t="s">
        <v>277</v>
      </c>
      <c r="C91" t="s">
        <v>213</v>
      </c>
      <c r="D91">
        <v>1961</v>
      </c>
      <c r="E91">
        <v>1967</v>
      </c>
      <c r="H91">
        <v>1250</v>
      </c>
      <c r="I91">
        <v>74.2</v>
      </c>
      <c r="K91">
        <v>170</v>
      </c>
      <c r="L91" s="4">
        <f t="shared" si="4"/>
        <v>0.22911051212938005</v>
      </c>
      <c r="M91">
        <v>90</v>
      </c>
      <c r="N91">
        <v>15.39</v>
      </c>
      <c r="P91">
        <v>3.86</v>
      </c>
      <c r="R91" t="str">
        <f t="shared" si="3"/>
        <v>153x0x57</v>
      </c>
      <c r="S91" t="str">
        <f>VLOOKUP(CEILING((N91/54)*32,1),'Articulated Lengths'!$A$3:$B$16, 2, FALSE)</f>
        <v>3,4,3</v>
      </c>
    </row>
    <row r="92" spans="1:19" x14ac:dyDescent="0.25">
      <c r="A92" t="s">
        <v>79</v>
      </c>
      <c r="B92" t="s">
        <v>278</v>
      </c>
      <c r="C92" t="s">
        <v>213</v>
      </c>
      <c r="D92">
        <v>1961</v>
      </c>
      <c r="E92">
        <v>1962</v>
      </c>
      <c r="H92">
        <v>1250</v>
      </c>
      <c r="I92">
        <v>73.7</v>
      </c>
      <c r="K92">
        <v>187</v>
      </c>
      <c r="L92" s="4">
        <f t="shared" si="4"/>
        <v>0.2537313432835821</v>
      </c>
      <c r="M92">
        <v>90</v>
      </c>
      <c r="N92">
        <v>15.47</v>
      </c>
      <c r="P92">
        <v>3.86</v>
      </c>
      <c r="R92" t="str">
        <f t="shared" si="3"/>
        <v>154x0x57</v>
      </c>
      <c r="S92" t="str">
        <f>VLOOKUP(CEILING((N92/54)*32,1),'Articulated Lengths'!$A$3:$B$16, 2, FALSE)</f>
        <v>3,4,3</v>
      </c>
    </row>
    <row r="93" spans="1:19" x14ac:dyDescent="0.25">
      <c r="A93" t="s">
        <v>70</v>
      </c>
      <c r="B93" t="s">
        <v>279</v>
      </c>
      <c r="C93" t="s">
        <v>213</v>
      </c>
      <c r="D93">
        <v>1962</v>
      </c>
      <c r="E93">
        <v>1968</v>
      </c>
      <c r="H93">
        <v>2750</v>
      </c>
      <c r="I93">
        <v>114</v>
      </c>
      <c r="K93">
        <v>245</v>
      </c>
      <c r="L93" s="4">
        <f t="shared" si="4"/>
        <v>0.21491228070175439</v>
      </c>
      <c r="M93">
        <v>95</v>
      </c>
      <c r="N93">
        <v>19.38</v>
      </c>
      <c r="P93">
        <v>3.9</v>
      </c>
      <c r="R93" t="str">
        <f t="shared" si="3"/>
        <v>193x0x58</v>
      </c>
      <c r="S93" t="str">
        <f>VLOOKUP(CEILING((N93/54)*32,1),'Articulated Lengths'!$A$3:$B$16, 2, FALSE)</f>
        <v>3,6,3</v>
      </c>
    </row>
    <row r="94" spans="1:19" x14ac:dyDescent="0.25">
      <c r="A94" t="s">
        <v>82</v>
      </c>
      <c r="B94" t="s">
        <v>280</v>
      </c>
      <c r="C94" t="s">
        <v>213</v>
      </c>
      <c r="D94">
        <v>1962</v>
      </c>
      <c r="E94">
        <v>1965</v>
      </c>
      <c r="H94">
        <v>900</v>
      </c>
      <c r="I94">
        <v>69</v>
      </c>
      <c r="K94">
        <v>178</v>
      </c>
      <c r="L94" s="4">
        <f t="shared" si="4"/>
        <v>0.25797101449275361</v>
      </c>
      <c r="M94">
        <v>60</v>
      </c>
      <c r="N94">
        <v>15.4</v>
      </c>
      <c r="P94">
        <v>3.86</v>
      </c>
      <c r="R94" t="str">
        <f t="shared" si="3"/>
        <v>154x0x57</v>
      </c>
      <c r="S94" t="str">
        <f>VLOOKUP(CEILING((N94/54)*32,1),'Articulated Lengths'!$A$3:$B$16, 2, FALSE)</f>
        <v>3,4,3</v>
      </c>
    </row>
    <row r="95" spans="1:19" x14ac:dyDescent="0.25">
      <c r="A95" t="s">
        <v>81</v>
      </c>
      <c r="B95" t="s">
        <v>281</v>
      </c>
      <c r="C95" t="s">
        <v>213</v>
      </c>
      <c r="D95">
        <v>1964</v>
      </c>
      <c r="E95">
        <v>1965</v>
      </c>
      <c r="H95">
        <v>650</v>
      </c>
      <c r="I95">
        <v>48.5</v>
      </c>
      <c r="K95">
        <v>137</v>
      </c>
      <c r="L95" s="4">
        <f t="shared" si="4"/>
        <v>0.28247422680412371</v>
      </c>
      <c r="M95">
        <v>40</v>
      </c>
      <c r="N95">
        <v>10.3</v>
      </c>
      <c r="R95" t="str">
        <f t="shared" si="3"/>
        <v>103x0x0</v>
      </c>
      <c r="S95" t="str">
        <f>VLOOKUP(CEILING((N95/54)*32,1),'Articulated Lengths'!$A$3:$B$16, 2, FALSE)</f>
        <v>2,3,2</v>
      </c>
    </row>
    <row r="96" spans="1:19" x14ac:dyDescent="0.25">
      <c r="A96" t="s">
        <v>83</v>
      </c>
      <c r="B96" t="s">
        <v>410</v>
      </c>
      <c r="C96" t="s">
        <v>213</v>
      </c>
      <c r="D96">
        <v>1965</v>
      </c>
      <c r="E96">
        <v>1967</v>
      </c>
      <c r="H96">
        <v>1420</v>
      </c>
      <c r="I96">
        <v>76.3</v>
      </c>
      <c r="K96">
        <v>186</v>
      </c>
      <c r="L96" s="4">
        <f t="shared" si="4"/>
        <v>0.24377457404980341</v>
      </c>
      <c r="M96">
        <v>80</v>
      </c>
      <c r="N96">
        <v>16.36</v>
      </c>
      <c r="R96" t="str">
        <f t="shared" si="3"/>
        <v>163x0x0</v>
      </c>
      <c r="S96" t="str">
        <f>VLOOKUP(CEILING((N96/54)*32,1),'Articulated Lengths'!$A$3:$B$16, 2, FALSE)</f>
        <v>3,4,3</v>
      </c>
    </row>
    <row r="97" spans="1:19" x14ac:dyDescent="0.25">
      <c r="A97" t="s">
        <v>90</v>
      </c>
      <c r="B97" t="s">
        <v>411</v>
      </c>
      <c r="C97" t="s">
        <v>213</v>
      </c>
      <c r="D97">
        <v>1965</v>
      </c>
      <c r="E97">
        <v>1966</v>
      </c>
      <c r="H97">
        <v>3600</v>
      </c>
      <c r="I97">
        <v>82</v>
      </c>
      <c r="K97">
        <v>267</v>
      </c>
      <c r="L97" s="4">
        <f t="shared" si="4"/>
        <v>0.32560975609756099</v>
      </c>
      <c r="M97">
        <v>100</v>
      </c>
      <c r="N97">
        <v>17.829999999999998</v>
      </c>
      <c r="P97">
        <v>3.77</v>
      </c>
      <c r="R97" t="str">
        <f t="shared" si="3"/>
        <v>178x0x56</v>
      </c>
      <c r="S97" t="str">
        <f>VLOOKUP(CEILING((N97/54)*32,1),'Articulated Lengths'!$A$3:$B$16, 2, FALSE)</f>
        <v>3,5,3</v>
      </c>
    </row>
    <row r="98" spans="1:19" x14ac:dyDescent="0.25">
      <c r="A98" t="s">
        <v>69</v>
      </c>
      <c r="B98" t="s">
        <v>282</v>
      </c>
      <c r="C98" t="s">
        <v>213</v>
      </c>
      <c r="D98">
        <v>1967</v>
      </c>
      <c r="E98">
        <v>1968</v>
      </c>
      <c r="H98">
        <v>2700</v>
      </c>
      <c r="I98">
        <v>117</v>
      </c>
      <c r="K98">
        <v>216</v>
      </c>
      <c r="L98" s="4">
        <f t="shared" si="4"/>
        <v>0.18461538461538463</v>
      </c>
      <c r="M98">
        <v>100</v>
      </c>
      <c r="N98">
        <v>20.88</v>
      </c>
      <c r="P98">
        <v>3.89</v>
      </c>
      <c r="R98" t="str">
        <f t="shared" si="3"/>
        <v>208x0x58</v>
      </c>
      <c r="S98" t="str">
        <f>VLOOKUP(CEILING((N98/54)*32,1),'Articulated Lengths'!$A$3:$B$16, 2, FALSE)</f>
        <v>4,5,4</v>
      </c>
    </row>
    <row r="99" spans="1:19" x14ac:dyDescent="0.25">
      <c r="A99" t="s">
        <v>91</v>
      </c>
      <c r="B99" t="s">
        <v>283</v>
      </c>
      <c r="C99" t="s">
        <v>213</v>
      </c>
      <c r="D99">
        <v>1973</v>
      </c>
      <c r="E99">
        <v>1975</v>
      </c>
      <c r="H99">
        <v>5000</v>
      </c>
      <c r="I99">
        <v>81</v>
      </c>
      <c r="K99">
        <v>258</v>
      </c>
      <c r="L99" s="4">
        <f t="shared" si="4"/>
        <v>0.31851851851851853</v>
      </c>
      <c r="M99">
        <v>110</v>
      </c>
      <c r="N99">
        <v>17.829999999999998</v>
      </c>
      <c r="P99">
        <v>3.77</v>
      </c>
      <c r="R99" t="str">
        <f t="shared" si="3"/>
        <v>178x0x56</v>
      </c>
      <c r="S99" t="str">
        <f>VLOOKUP(CEILING((N99/54)*32,1),'Articulated Lengths'!$A$3:$B$16, 2, FALSE)</f>
        <v>3,5,3</v>
      </c>
    </row>
    <row r="100" spans="1:19" x14ac:dyDescent="0.25">
      <c r="A100" t="s">
        <v>60</v>
      </c>
      <c r="B100" t="s">
        <v>284</v>
      </c>
      <c r="C100" t="s">
        <v>213</v>
      </c>
      <c r="D100">
        <v>1975</v>
      </c>
      <c r="E100">
        <v>1982</v>
      </c>
      <c r="H100">
        <v>1770</v>
      </c>
      <c r="I100">
        <v>70.25</v>
      </c>
      <c r="K100">
        <v>160</v>
      </c>
      <c r="L100" s="4">
        <f t="shared" si="4"/>
        <v>0.22775800711743771</v>
      </c>
      <c r="M100">
        <v>125</v>
      </c>
      <c r="N100">
        <v>17.79</v>
      </c>
      <c r="R100" t="str">
        <f t="shared" si="3"/>
        <v>177x0x0</v>
      </c>
      <c r="S100" t="str">
        <f>VLOOKUP(CEILING((N100/54)*32,1),'Articulated Lengths'!$A$3:$B$16, 2, FALSE)</f>
        <v>3,5,3</v>
      </c>
    </row>
    <row r="101" spans="1:19" x14ac:dyDescent="0.25">
      <c r="A101" t="s">
        <v>186</v>
      </c>
      <c r="B101" t="s">
        <v>285</v>
      </c>
      <c r="C101" t="s">
        <v>213</v>
      </c>
      <c r="D101">
        <v>1976</v>
      </c>
      <c r="E101">
        <v>1984</v>
      </c>
      <c r="H101">
        <v>3250</v>
      </c>
      <c r="I101">
        <v>125</v>
      </c>
      <c r="K101">
        <v>275</v>
      </c>
      <c r="L101" s="4">
        <f t="shared" si="4"/>
        <v>0.22</v>
      </c>
      <c r="M101">
        <v>80</v>
      </c>
      <c r="N101">
        <v>19.350000000000001</v>
      </c>
      <c r="P101">
        <v>3.89</v>
      </c>
      <c r="R101" t="str">
        <f t="shared" si="3"/>
        <v>193x0x58</v>
      </c>
      <c r="S101" t="str">
        <f>VLOOKUP(CEILING((N101/54)*32,1),'Articulated Lengths'!$A$3:$B$16, 2, FALSE)</f>
        <v>3,6,3</v>
      </c>
    </row>
    <row r="102" spans="1:19" x14ac:dyDescent="0.25">
      <c r="A102" t="s">
        <v>72</v>
      </c>
      <c r="B102" t="s">
        <v>286</v>
      </c>
      <c r="C102" t="s">
        <v>213</v>
      </c>
      <c r="D102">
        <v>1983</v>
      </c>
      <c r="E102">
        <v>1987</v>
      </c>
      <c r="H102">
        <v>3300</v>
      </c>
      <c r="I102">
        <v>130</v>
      </c>
      <c r="K102">
        <v>267</v>
      </c>
      <c r="L102" s="4">
        <f t="shared" si="4"/>
        <v>0.20538461538461539</v>
      </c>
      <c r="M102">
        <v>80</v>
      </c>
      <c r="N102">
        <v>19.13</v>
      </c>
      <c r="P102">
        <v>3.91</v>
      </c>
      <c r="R102" t="str">
        <f t="shared" si="3"/>
        <v>191x0x58</v>
      </c>
      <c r="S102" t="str">
        <f>VLOOKUP(CEILING((N102/54)*32,1),'Articulated Lengths'!$A$3:$B$16, 2, FALSE)</f>
        <v>3,6,3</v>
      </c>
    </row>
    <row r="103" spans="1:19" x14ac:dyDescent="0.25">
      <c r="A103" t="s">
        <v>59</v>
      </c>
      <c r="B103" t="s">
        <v>287</v>
      </c>
      <c r="C103" t="s">
        <v>213</v>
      </c>
      <c r="D103">
        <v>1985</v>
      </c>
      <c r="E103">
        <v>1995</v>
      </c>
      <c r="H103">
        <v>3300</v>
      </c>
      <c r="I103">
        <v>126</v>
      </c>
      <c r="K103">
        <v>508</v>
      </c>
      <c r="L103" s="4">
        <f t="shared" si="4"/>
        <v>0.40317460317460319</v>
      </c>
      <c r="M103">
        <v>75</v>
      </c>
      <c r="N103">
        <v>21.4</v>
      </c>
      <c r="P103">
        <v>3.91</v>
      </c>
      <c r="R103" t="str">
        <f t="shared" si="3"/>
        <v>214x0x58</v>
      </c>
      <c r="S103" t="str">
        <f>VLOOKUP(CEILING((N103/54)*32,1),'Articulated Lengths'!$A$3:$B$16, 2, FALSE)</f>
        <v>4,5,4</v>
      </c>
    </row>
    <row r="104" spans="1:19" x14ac:dyDescent="0.25">
      <c r="A104" t="s">
        <v>97</v>
      </c>
      <c r="B104" t="s">
        <v>288</v>
      </c>
      <c r="C104" t="s">
        <v>213</v>
      </c>
      <c r="D104">
        <v>1987</v>
      </c>
      <c r="E104">
        <v>1990</v>
      </c>
      <c r="H104">
        <v>5000</v>
      </c>
      <c r="I104">
        <v>84.5</v>
      </c>
      <c r="K104">
        <v>258</v>
      </c>
      <c r="L104" s="4">
        <f t="shared" si="4"/>
        <v>0.30532544378698223</v>
      </c>
      <c r="M104">
        <v>110</v>
      </c>
      <c r="N104">
        <v>18.75</v>
      </c>
      <c r="P104">
        <v>3.96</v>
      </c>
      <c r="R104" t="str">
        <f t="shared" si="3"/>
        <v>187x0x59</v>
      </c>
      <c r="S104" t="str">
        <f>VLOOKUP(CEILING((N104/54)*32,1),'Articulated Lengths'!$A$3:$B$16, 2, FALSE)</f>
        <v>3,6,3</v>
      </c>
    </row>
    <row r="105" spans="1:19" x14ac:dyDescent="0.25">
      <c r="A105" t="s">
        <v>95</v>
      </c>
      <c r="B105" t="s">
        <v>376</v>
      </c>
      <c r="C105" t="s">
        <v>213</v>
      </c>
      <c r="D105">
        <v>1988</v>
      </c>
      <c r="E105">
        <v>1991</v>
      </c>
      <c r="H105">
        <v>6480</v>
      </c>
      <c r="I105">
        <v>81.5</v>
      </c>
      <c r="K105">
        <v>190</v>
      </c>
      <c r="L105" s="4">
        <f t="shared" si="4"/>
        <v>0.23312883435582821</v>
      </c>
      <c r="M105">
        <v>140</v>
      </c>
      <c r="N105">
        <v>19.399999999999999</v>
      </c>
      <c r="R105" t="str">
        <f t="shared" si="3"/>
        <v>194x0x0</v>
      </c>
      <c r="S105" t="str">
        <f>VLOOKUP(CEILING((N105/54)*32,1),'Articulated Lengths'!$A$3:$B$16, 2, FALSE)</f>
        <v>3,6,3</v>
      </c>
    </row>
    <row r="106" spans="1:19" x14ac:dyDescent="0.25">
      <c r="A106" t="s">
        <v>96</v>
      </c>
      <c r="B106" t="s">
        <v>289</v>
      </c>
      <c r="C106" t="s">
        <v>213</v>
      </c>
      <c r="D106">
        <v>1993</v>
      </c>
      <c r="E106">
        <v>1996</v>
      </c>
      <c r="H106">
        <v>6760</v>
      </c>
      <c r="I106">
        <v>126</v>
      </c>
      <c r="K106">
        <v>360</v>
      </c>
      <c r="L106" s="4">
        <f t="shared" si="4"/>
        <v>0.2857142857142857</v>
      </c>
      <c r="M106">
        <v>87</v>
      </c>
      <c r="N106">
        <v>21.36</v>
      </c>
      <c r="R106" t="str">
        <f t="shared" si="3"/>
        <v>213x0x0</v>
      </c>
      <c r="S106" t="str">
        <f>VLOOKUP(CEILING((N106/54)*32,1),'Articulated Lengths'!$A$3:$B$16, 2, FALSE)</f>
        <v>4,5,4</v>
      </c>
    </row>
    <row r="107" spans="1:19" x14ac:dyDescent="0.25">
      <c r="A107" t="s">
        <v>73</v>
      </c>
      <c r="B107" t="s">
        <v>290</v>
      </c>
      <c r="C107" t="s">
        <v>213</v>
      </c>
      <c r="D107">
        <v>1998</v>
      </c>
      <c r="E107">
        <v>2015</v>
      </c>
      <c r="H107">
        <v>3300</v>
      </c>
      <c r="I107">
        <v>129.6</v>
      </c>
      <c r="K107">
        <v>409</v>
      </c>
      <c r="L107" s="4">
        <f t="shared" si="4"/>
        <v>0.31558641975308643</v>
      </c>
      <c r="M107">
        <v>75</v>
      </c>
      <c r="N107">
        <v>21.4</v>
      </c>
      <c r="P107">
        <v>3.9</v>
      </c>
      <c r="R107" t="str">
        <f t="shared" si="3"/>
        <v>214x0x58</v>
      </c>
      <c r="S107" t="str">
        <f>VLOOKUP(CEILING((N107/54)*32,1),'Articulated Lengths'!$A$3:$B$16, 2, FALSE)</f>
        <v>4,5,4</v>
      </c>
    </row>
    <row r="108" spans="1:19" x14ac:dyDescent="0.25">
      <c r="A108" t="s">
        <v>192</v>
      </c>
      <c r="B108" t="s">
        <v>375</v>
      </c>
      <c r="C108" t="s">
        <v>213</v>
      </c>
      <c r="D108">
        <v>1998</v>
      </c>
      <c r="E108">
        <v>2004</v>
      </c>
      <c r="H108">
        <v>3000</v>
      </c>
      <c r="I108">
        <v>120.6</v>
      </c>
      <c r="K108">
        <v>250</v>
      </c>
      <c r="L108" s="4">
        <f t="shared" si="4"/>
        <v>0.20729684908789386</v>
      </c>
      <c r="M108">
        <v>95</v>
      </c>
      <c r="N108">
        <v>19.38</v>
      </c>
      <c r="P108">
        <v>3.9</v>
      </c>
      <c r="R108" t="str">
        <f t="shared" si="3"/>
        <v>193x0x58</v>
      </c>
      <c r="S108" t="str">
        <f>VLOOKUP(CEILING((N108/54)*32,1),'Articulated Lengths'!$A$3:$B$16, 2, FALSE)</f>
        <v>3,6,3</v>
      </c>
    </row>
    <row r="109" spans="1:19" x14ac:dyDescent="0.25">
      <c r="A109" t="s">
        <v>74</v>
      </c>
      <c r="B109" t="s">
        <v>291</v>
      </c>
      <c r="C109" t="s">
        <v>213</v>
      </c>
      <c r="D109">
        <v>1999</v>
      </c>
      <c r="E109">
        <v>2000</v>
      </c>
      <c r="H109">
        <v>3200</v>
      </c>
      <c r="I109">
        <v>88</v>
      </c>
      <c r="K109">
        <v>144</v>
      </c>
      <c r="L109" s="4">
        <f t="shared" si="4"/>
        <v>0.16363636363636364</v>
      </c>
      <c r="M109">
        <v>125</v>
      </c>
      <c r="N109">
        <v>19.71</v>
      </c>
      <c r="P109">
        <v>3.93</v>
      </c>
      <c r="R109" t="str">
        <f t="shared" si="3"/>
        <v>197x0x58</v>
      </c>
      <c r="S109" t="str">
        <f>VLOOKUP(CEILING((N109/54)*32,1),'Articulated Lengths'!$A$3:$B$16, 2, FALSE)</f>
        <v>3,6,3</v>
      </c>
    </row>
    <row r="110" spans="1:19" x14ac:dyDescent="0.25">
      <c r="A110" t="s">
        <v>80</v>
      </c>
      <c r="B110" t="s">
        <v>292</v>
      </c>
      <c r="C110" t="s">
        <v>213</v>
      </c>
      <c r="D110">
        <v>2008</v>
      </c>
      <c r="E110">
        <v>2017</v>
      </c>
      <c r="H110">
        <v>3690</v>
      </c>
      <c r="I110">
        <v>129</v>
      </c>
      <c r="K110">
        <v>534</v>
      </c>
      <c r="L110" s="4">
        <f t="shared" si="4"/>
        <v>0.413953488372093</v>
      </c>
      <c r="M110">
        <v>75</v>
      </c>
      <c r="N110">
        <v>21.27</v>
      </c>
      <c r="P110">
        <v>3.91</v>
      </c>
      <c r="R110" t="str">
        <f t="shared" si="3"/>
        <v>212x0x58</v>
      </c>
      <c r="S110" t="str">
        <f>VLOOKUP(CEILING((N110/54)*32,1),'Articulated Lengths'!$A$3:$B$16, 2, FALSE)</f>
        <v>4,5,4</v>
      </c>
    </row>
    <row r="111" spans="1:19" x14ac:dyDescent="0.25">
      <c r="A111" t="s">
        <v>84</v>
      </c>
      <c r="B111" t="s">
        <v>293</v>
      </c>
      <c r="C111" t="s">
        <v>213</v>
      </c>
      <c r="D111">
        <v>2015</v>
      </c>
      <c r="E111">
        <v>2016</v>
      </c>
      <c r="H111">
        <v>5400</v>
      </c>
      <c r="I111">
        <v>86</v>
      </c>
      <c r="K111">
        <v>317</v>
      </c>
      <c r="L111" s="4">
        <f t="shared" si="4"/>
        <v>0.36860465116279068</v>
      </c>
      <c r="M111">
        <v>100</v>
      </c>
      <c r="R111" t="str">
        <f t="shared" si="3"/>
        <v>0x0x0</v>
      </c>
      <c r="S111" t="e">
        <f>VLOOKUP(CEILING((N111/54)*32,1),'Articulated Lengths'!$A$3:$B$16, 2, FALSE)</f>
        <v>#N/A</v>
      </c>
    </row>
    <row r="112" spans="1:19" x14ac:dyDescent="0.25">
      <c r="A112" t="s">
        <v>99</v>
      </c>
      <c r="B112" t="s">
        <v>294</v>
      </c>
      <c r="C112" t="s">
        <v>213</v>
      </c>
      <c r="D112">
        <v>1933</v>
      </c>
      <c r="E112">
        <v>1942</v>
      </c>
      <c r="H112">
        <v>260</v>
      </c>
      <c r="L112" s="4" t="str">
        <f t="shared" si="4"/>
        <v/>
      </c>
      <c r="R112" t="str">
        <f t="shared" si="3"/>
        <v>0x0x0</v>
      </c>
      <c r="S112" t="e">
        <f>VLOOKUP(CEILING((N112/54)*32,1),'Articulated Lengths'!$A$3:$B$16, 2, FALSE)</f>
        <v>#N/A</v>
      </c>
    </row>
    <row r="113" spans="1:19" x14ac:dyDescent="0.25">
      <c r="A113" t="s">
        <v>100</v>
      </c>
      <c r="B113" t="s">
        <v>383</v>
      </c>
      <c r="C113" t="s">
        <v>213</v>
      </c>
      <c r="D113">
        <v>1914</v>
      </c>
      <c r="H113">
        <v>1000</v>
      </c>
      <c r="L113" s="4" t="str">
        <f t="shared" si="4"/>
        <v/>
      </c>
      <c r="R113" t="str">
        <f t="shared" si="3"/>
        <v>0x0x0</v>
      </c>
      <c r="S113" t="e">
        <f>VLOOKUP(CEILING((N113/54)*32,1),'Articulated Lengths'!$A$3:$B$16, 2, FALSE)</f>
        <v>#N/A</v>
      </c>
    </row>
    <row r="114" spans="1:19" x14ac:dyDescent="0.25">
      <c r="A114" t="s">
        <v>101</v>
      </c>
      <c r="B114" t="s">
        <v>370</v>
      </c>
      <c r="C114" t="s">
        <v>213</v>
      </c>
      <c r="D114">
        <v>1932</v>
      </c>
      <c r="F114">
        <v>1972</v>
      </c>
      <c r="H114">
        <v>1800</v>
      </c>
      <c r="I114">
        <v>253</v>
      </c>
      <c r="L114" s="4" t="str">
        <f t="shared" si="4"/>
        <v/>
      </c>
      <c r="M114">
        <v>75</v>
      </c>
      <c r="Q114">
        <f>40+132</f>
        <v>172</v>
      </c>
      <c r="R114" t="str">
        <f t="shared" si="3"/>
        <v>0x0x0</v>
      </c>
      <c r="S114" t="e">
        <f>VLOOKUP(CEILING((N114/54)*32,1),'Articulated Lengths'!$A$3:$B$16, 2, FALSE)</f>
        <v>#N/A</v>
      </c>
    </row>
    <row r="115" spans="1:19" x14ac:dyDescent="0.25">
      <c r="A115" t="s">
        <v>102</v>
      </c>
      <c r="B115" t="s">
        <v>371</v>
      </c>
      <c r="C115" t="s">
        <v>213</v>
      </c>
      <c r="D115">
        <v>1937</v>
      </c>
      <c r="E115">
        <v>1938</v>
      </c>
      <c r="F115">
        <v>1972</v>
      </c>
      <c r="H115">
        <v>900</v>
      </c>
      <c r="I115">
        <v>160.80000000000001</v>
      </c>
      <c r="L115" s="4" t="str">
        <f t="shared" si="4"/>
        <v/>
      </c>
      <c r="M115">
        <v>75</v>
      </c>
      <c r="R115" t="str">
        <f t="shared" si="3"/>
        <v>0x0x0</v>
      </c>
      <c r="S115" t="e">
        <f>VLOOKUP(CEILING((N115/54)*32,1),'Articulated Lengths'!$A$3:$B$16, 2, FALSE)</f>
        <v>#N/A</v>
      </c>
    </row>
    <row r="116" spans="1:19" x14ac:dyDescent="0.25">
      <c r="A116" t="s">
        <v>103</v>
      </c>
      <c r="B116" t="s">
        <v>372</v>
      </c>
      <c r="C116" t="s">
        <v>213</v>
      </c>
      <c r="D116">
        <v>1938</v>
      </c>
      <c r="E116">
        <v>1939</v>
      </c>
      <c r="F116">
        <v>1971</v>
      </c>
      <c r="H116">
        <v>550</v>
      </c>
      <c r="I116">
        <v>77</v>
      </c>
      <c r="L116" s="4" t="str">
        <f t="shared" si="4"/>
        <v/>
      </c>
      <c r="Q116">
        <f>32+102</f>
        <v>134</v>
      </c>
      <c r="R116" t="str">
        <f t="shared" si="3"/>
        <v>0x0x0</v>
      </c>
      <c r="S116" t="e">
        <f>VLOOKUP(CEILING((N116/54)*32,1),'Articulated Lengths'!$A$3:$B$16, 2, FALSE)</f>
        <v>#N/A</v>
      </c>
    </row>
    <row r="117" spans="1:19" x14ac:dyDescent="0.25">
      <c r="A117" t="s">
        <v>104</v>
      </c>
      <c r="B117" t="s">
        <v>373</v>
      </c>
      <c r="C117" t="s">
        <v>213</v>
      </c>
      <c r="D117">
        <v>1956</v>
      </c>
      <c r="E117">
        <v>1960</v>
      </c>
      <c r="F117">
        <v>2003</v>
      </c>
      <c r="H117">
        <v>300</v>
      </c>
      <c r="I117">
        <f>32.5+25</f>
        <v>57.5</v>
      </c>
      <c r="L117" s="4" t="str">
        <f t="shared" si="4"/>
        <v/>
      </c>
      <c r="M117">
        <v>70</v>
      </c>
      <c r="N117">
        <v>17.37</v>
      </c>
      <c r="P117">
        <v>3.77</v>
      </c>
      <c r="R117" t="str">
        <f t="shared" si="3"/>
        <v>173x0x56</v>
      </c>
      <c r="S117" t="str">
        <f>VLOOKUP(CEILING((N117/54)*32,1),'Articulated Lengths'!$A$3:$B$16, 2, FALSE)</f>
        <v>3,5,3</v>
      </c>
    </row>
    <row r="118" spans="1:19" x14ac:dyDescent="0.25">
      <c r="A118" t="s">
        <v>105</v>
      </c>
      <c r="B118" t="s">
        <v>374</v>
      </c>
      <c r="C118" t="s">
        <v>213</v>
      </c>
      <c r="D118">
        <v>1959</v>
      </c>
      <c r="E118">
        <v>1961</v>
      </c>
      <c r="F118">
        <v>2000</v>
      </c>
      <c r="H118">
        <v>600</v>
      </c>
      <c r="I118">
        <f>36.6+30.5+36.6</f>
        <v>103.69999999999999</v>
      </c>
      <c r="L118" s="4" t="str">
        <f t="shared" si="4"/>
        <v/>
      </c>
      <c r="M118">
        <v>70</v>
      </c>
      <c r="N118">
        <v>19.510000000000002</v>
      </c>
      <c r="P118">
        <v>3.87</v>
      </c>
      <c r="R118" t="str">
        <f t="shared" si="3"/>
        <v>195x0x58</v>
      </c>
      <c r="S118" t="str">
        <f>VLOOKUP(CEILING((N118/54)*32,1),'Articulated Lengths'!$A$3:$B$16, 2, FALSE)</f>
        <v>3,6,3</v>
      </c>
    </row>
    <row r="119" spans="1:19" x14ac:dyDescent="0.25">
      <c r="A119" t="s">
        <v>106</v>
      </c>
      <c r="B119" t="s">
        <v>353</v>
      </c>
      <c r="C119" t="s">
        <v>213</v>
      </c>
      <c r="D119">
        <v>1960</v>
      </c>
      <c r="F119">
        <v>2017</v>
      </c>
      <c r="H119">
        <v>300</v>
      </c>
      <c r="I119">
        <v>38</v>
      </c>
      <c r="L119" s="4" t="str">
        <f t="shared" si="4"/>
        <v/>
      </c>
      <c r="M119">
        <v>70</v>
      </c>
      <c r="N119">
        <v>19.66</v>
      </c>
      <c r="P119">
        <v>3.77</v>
      </c>
      <c r="Q119">
        <v>65</v>
      </c>
      <c r="R119" t="str">
        <f t="shared" si="3"/>
        <v>196x0x56</v>
      </c>
      <c r="S119" t="str">
        <f>VLOOKUP(CEILING((N119/54)*32,1),'Articulated Lengths'!$A$3:$B$16, 2, FALSE)</f>
        <v>3,6,3</v>
      </c>
    </row>
    <row r="120" spans="1:19" x14ac:dyDescent="0.25">
      <c r="A120" t="s">
        <v>107</v>
      </c>
      <c r="B120" t="s">
        <v>295</v>
      </c>
      <c r="C120" t="s">
        <v>213</v>
      </c>
      <c r="D120">
        <v>1956</v>
      </c>
      <c r="E120">
        <v>1959</v>
      </c>
      <c r="F120">
        <v>1988</v>
      </c>
      <c r="H120">
        <v>300</v>
      </c>
      <c r="I120">
        <f>30.5*2</f>
        <v>61</v>
      </c>
      <c r="L120" s="4" t="str">
        <f t="shared" si="4"/>
        <v/>
      </c>
      <c r="M120">
        <v>70</v>
      </c>
      <c r="N120">
        <v>17.53</v>
      </c>
      <c r="P120">
        <v>3.84</v>
      </c>
      <c r="R120" t="str">
        <f t="shared" si="3"/>
        <v>175x0x57</v>
      </c>
      <c r="S120" t="str">
        <f>VLOOKUP(CEILING((N120/54)*32,1),'Articulated Lengths'!$A$3:$B$16, 2, FALSE)</f>
        <v>3,5,3</v>
      </c>
    </row>
    <row r="121" spans="1:19" x14ac:dyDescent="0.25">
      <c r="A121" t="s">
        <v>108</v>
      </c>
      <c r="B121" t="s">
        <v>354</v>
      </c>
      <c r="C121" t="s">
        <v>213</v>
      </c>
      <c r="D121">
        <v>2003</v>
      </c>
      <c r="H121">
        <v>1600</v>
      </c>
      <c r="I121">
        <v>173.6</v>
      </c>
      <c r="L121" s="4" t="str">
        <f t="shared" si="4"/>
        <v/>
      </c>
      <c r="M121">
        <v>100</v>
      </c>
      <c r="N121">
        <v>20.399999999999999</v>
      </c>
      <c r="P121">
        <v>3.78</v>
      </c>
      <c r="R121" t="str">
        <f t="shared" si="3"/>
        <v>204x0x56</v>
      </c>
      <c r="S121" t="str">
        <f>VLOOKUP(CEILING((N121/54)*32,1),'Articulated Lengths'!$A$3:$B$16, 2, FALSE)</f>
        <v>4,5,4</v>
      </c>
    </row>
    <row r="122" spans="1:19" x14ac:dyDescent="0.25">
      <c r="A122" t="s">
        <v>109</v>
      </c>
      <c r="B122" t="s">
        <v>384</v>
      </c>
      <c r="C122" t="s">
        <v>213</v>
      </c>
      <c r="D122">
        <v>1992</v>
      </c>
      <c r="E122">
        <v>1994</v>
      </c>
      <c r="F122" t="s">
        <v>196</v>
      </c>
      <c r="H122">
        <v>1608</v>
      </c>
      <c r="I122">
        <v>136</v>
      </c>
      <c r="L122" s="4" t="str">
        <f t="shared" si="4"/>
        <v/>
      </c>
      <c r="M122">
        <v>75</v>
      </c>
      <c r="N122">
        <v>20.89</v>
      </c>
      <c r="P122">
        <v>3.77</v>
      </c>
      <c r="Q122">
        <v>348</v>
      </c>
      <c r="R122" t="str">
        <f t="shared" si="3"/>
        <v>208x0x56</v>
      </c>
      <c r="S122" t="str">
        <f>VLOOKUP(CEILING((N122/54)*32,1),'Articulated Lengths'!$A$3:$B$16, 2, FALSE)</f>
        <v>4,5,4</v>
      </c>
    </row>
    <row r="123" spans="1:19" x14ac:dyDescent="0.25">
      <c r="A123" t="s">
        <v>110</v>
      </c>
      <c r="B123" t="s">
        <v>385</v>
      </c>
      <c r="C123" t="s">
        <v>213</v>
      </c>
      <c r="D123">
        <v>2000</v>
      </c>
      <c r="E123">
        <v>2001</v>
      </c>
      <c r="F123">
        <v>2012</v>
      </c>
      <c r="G123">
        <v>8</v>
      </c>
      <c r="H123">
        <v>3620</v>
      </c>
      <c r="L123" s="4" t="str">
        <f t="shared" si="4"/>
        <v/>
      </c>
      <c r="M123">
        <v>100</v>
      </c>
      <c r="R123" t="str">
        <f t="shared" si="3"/>
        <v>0x0x0</v>
      </c>
      <c r="S123" t="e">
        <f>VLOOKUP(CEILING((N123/54)*32,1),'Articulated Lengths'!$A$3:$B$16, 2, FALSE)</f>
        <v>#N/A</v>
      </c>
    </row>
    <row r="124" spans="1:19" x14ac:dyDescent="0.25">
      <c r="A124" t="s">
        <v>111</v>
      </c>
      <c r="B124" t="s">
        <v>386</v>
      </c>
      <c r="C124" t="s">
        <v>213</v>
      </c>
      <c r="D124">
        <v>2007</v>
      </c>
      <c r="E124">
        <v>2009</v>
      </c>
      <c r="F124" t="s">
        <v>196</v>
      </c>
      <c r="H124">
        <f>16*280</f>
        <v>4480</v>
      </c>
      <c r="I124">
        <v>265</v>
      </c>
      <c r="L124" s="4" t="str">
        <f t="shared" si="4"/>
        <v/>
      </c>
      <c r="M124">
        <v>157</v>
      </c>
      <c r="N124">
        <v>20.88</v>
      </c>
      <c r="P124">
        <v>3.82</v>
      </c>
      <c r="Q124">
        <v>352</v>
      </c>
      <c r="R124" t="str">
        <f t="shared" si="3"/>
        <v>208x0x57</v>
      </c>
      <c r="S124" t="str">
        <f>VLOOKUP(CEILING((N124/54)*32,1),'Articulated Lengths'!$A$3:$B$16, 2, FALSE)</f>
        <v>4,5,4</v>
      </c>
    </row>
    <row r="125" spans="1:19" x14ac:dyDescent="0.25">
      <c r="A125" t="s">
        <v>112</v>
      </c>
      <c r="B125" t="s">
        <v>296</v>
      </c>
      <c r="C125" t="s">
        <v>213</v>
      </c>
      <c r="D125">
        <v>1987</v>
      </c>
      <c r="E125">
        <v>1990</v>
      </c>
      <c r="G125">
        <v>4</v>
      </c>
      <c r="H125">
        <f>4*332</f>
        <v>1328</v>
      </c>
      <c r="I125">
        <v>140.30000000000001</v>
      </c>
      <c r="L125" s="4" t="str">
        <f t="shared" si="4"/>
        <v/>
      </c>
      <c r="M125">
        <v>100</v>
      </c>
      <c r="N125">
        <v>19.829999999999998</v>
      </c>
      <c r="P125">
        <v>3.58</v>
      </c>
      <c r="R125" t="str">
        <f t="shared" si="3"/>
        <v>198x0x53</v>
      </c>
      <c r="S125" t="str">
        <f>VLOOKUP(CEILING((N125/54)*32,1),'Articulated Lengths'!$A$3:$B$16, 2, FALSE)</f>
        <v>3,6,3</v>
      </c>
    </row>
    <row r="126" spans="1:19" x14ac:dyDescent="0.25">
      <c r="A126" t="s">
        <v>113</v>
      </c>
      <c r="B126" t="s">
        <v>297</v>
      </c>
      <c r="C126" t="s">
        <v>213</v>
      </c>
      <c r="D126">
        <v>1980</v>
      </c>
      <c r="E126">
        <v>1981</v>
      </c>
      <c r="F126" t="s">
        <v>196</v>
      </c>
      <c r="G126">
        <v>4</v>
      </c>
      <c r="H126">
        <v>880</v>
      </c>
      <c r="I126">
        <v>127.5</v>
      </c>
      <c r="L126" s="4" t="str">
        <f t="shared" si="4"/>
        <v/>
      </c>
      <c r="M126">
        <v>75</v>
      </c>
      <c r="N126">
        <v>19.8</v>
      </c>
      <c r="P126">
        <v>3.58</v>
      </c>
      <c r="Q126">
        <v>318</v>
      </c>
      <c r="R126" t="str">
        <f t="shared" si="3"/>
        <v>198x0x53</v>
      </c>
      <c r="S126" t="str">
        <f>VLOOKUP(CEILING((N126/54)*32,1),'Articulated Lengths'!$A$3:$B$16, 2, FALSE)</f>
        <v>3,6,3</v>
      </c>
    </row>
    <row r="127" spans="1:19" x14ac:dyDescent="0.25">
      <c r="A127" t="s">
        <v>114</v>
      </c>
      <c r="B127" t="s">
        <v>298</v>
      </c>
      <c r="C127" t="s">
        <v>213</v>
      </c>
      <c r="D127">
        <v>1976</v>
      </c>
      <c r="E127">
        <v>1977</v>
      </c>
      <c r="F127" t="s">
        <v>196</v>
      </c>
      <c r="G127">
        <v>3</v>
      </c>
      <c r="H127">
        <v>880</v>
      </c>
      <c r="I127">
        <v>104.5</v>
      </c>
      <c r="L127" s="4" t="str">
        <f t="shared" si="4"/>
        <v/>
      </c>
      <c r="M127">
        <v>75</v>
      </c>
      <c r="N127">
        <v>20.329999999999998</v>
      </c>
      <c r="P127">
        <v>3.58</v>
      </c>
      <c r="Q127">
        <v>232</v>
      </c>
      <c r="R127" t="str">
        <f t="shared" si="3"/>
        <v>203x0x53</v>
      </c>
      <c r="S127" t="str">
        <f>VLOOKUP(CEILING((N127/54)*32,1),'Articulated Lengths'!$A$3:$B$16, 2, FALSE)</f>
        <v>4,5,4</v>
      </c>
    </row>
    <row r="128" spans="1:19" x14ac:dyDescent="0.25">
      <c r="A128" t="s">
        <v>115</v>
      </c>
      <c r="B128" t="s">
        <v>355</v>
      </c>
      <c r="C128" t="s">
        <v>213</v>
      </c>
      <c r="L128" s="4" t="str">
        <f t="shared" si="4"/>
        <v/>
      </c>
      <c r="R128" t="str">
        <f t="shared" si="3"/>
        <v>0x0x0</v>
      </c>
      <c r="S128" t="e">
        <f>VLOOKUP(CEILING((N128/54)*32,1),'Articulated Lengths'!$A$3:$B$16, 2, FALSE)</f>
        <v>#N/A</v>
      </c>
    </row>
    <row r="129" spans="1:19" x14ac:dyDescent="0.25">
      <c r="A129" t="s">
        <v>116</v>
      </c>
      <c r="B129" t="s">
        <v>356</v>
      </c>
      <c r="C129" t="s">
        <v>213</v>
      </c>
      <c r="L129" s="4" t="str">
        <f t="shared" si="4"/>
        <v/>
      </c>
      <c r="R129" t="str">
        <f t="shared" si="3"/>
        <v>0x0x0</v>
      </c>
      <c r="S129" t="e">
        <f>VLOOKUP(CEILING((N129/54)*32,1),'Articulated Lengths'!$A$3:$B$16, 2, FALSE)</f>
        <v>#N/A</v>
      </c>
    </row>
    <row r="130" spans="1:19" x14ac:dyDescent="0.25">
      <c r="A130" t="s">
        <v>117</v>
      </c>
      <c r="B130" t="s">
        <v>357</v>
      </c>
      <c r="C130" t="s">
        <v>213</v>
      </c>
      <c r="L130" s="4" t="str">
        <f t="shared" si="4"/>
        <v/>
      </c>
      <c r="R130" t="str">
        <f t="shared" ref="R130:R175" si="5">CONCATENATE(INT(N130*10),"x",INT(O130*15), "x", INT(P130*15))</f>
        <v>0x0x0</v>
      </c>
      <c r="S130" t="e">
        <f>VLOOKUP(CEILING((N130/54)*32,1),'Articulated Lengths'!$A$3:$B$16, 2, FALSE)</f>
        <v>#N/A</v>
      </c>
    </row>
    <row r="131" spans="1:19" x14ac:dyDescent="0.25">
      <c r="A131" t="s">
        <v>118</v>
      </c>
      <c r="B131" t="s">
        <v>358</v>
      </c>
      <c r="C131" t="s">
        <v>213</v>
      </c>
      <c r="L131" s="4" t="str">
        <f t="shared" si="4"/>
        <v/>
      </c>
      <c r="R131" t="str">
        <f t="shared" si="5"/>
        <v>0x0x0</v>
      </c>
      <c r="S131" t="e">
        <f>VLOOKUP(CEILING((N131/54)*32,1),'Articulated Lengths'!$A$3:$B$16, 2, FALSE)</f>
        <v>#N/A</v>
      </c>
    </row>
    <row r="132" spans="1:19" x14ac:dyDescent="0.25">
      <c r="A132" t="s">
        <v>119</v>
      </c>
      <c r="B132" t="s">
        <v>299</v>
      </c>
      <c r="C132" t="s">
        <v>213</v>
      </c>
      <c r="L132" s="4" t="str">
        <f t="shared" si="4"/>
        <v/>
      </c>
      <c r="R132" t="str">
        <f t="shared" si="5"/>
        <v>0x0x0</v>
      </c>
      <c r="S132" t="e">
        <f>VLOOKUP(CEILING((N132/54)*32,1),'Articulated Lengths'!$A$3:$B$16, 2, FALSE)</f>
        <v>#N/A</v>
      </c>
    </row>
    <row r="133" spans="1:19" x14ac:dyDescent="0.25">
      <c r="A133" t="s">
        <v>120</v>
      </c>
      <c r="B133" t="s">
        <v>300</v>
      </c>
      <c r="C133" t="s">
        <v>213</v>
      </c>
      <c r="L133" s="4" t="str">
        <f t="shared" si="4"/>
        <v/>
      </c>
      <c r="R133" t="str">
        <f t="shared" si="5"/>
        <v>0x0x0</v>
      </c>
      <c r="S133" t="e">
        <f>VLOOKUP(CEILING((N133/54)*32,1),'Articulated Lengths'!$A$3:$B$16, 2, FALSE)</f>
        <v>#N/A</v>
      </c>
    </row>
    <row r="134" spans="1:19" x14ac:dyDescent="0.25">
      <c r="A134" t="s">
        <v>121</v>
      </c>
      <c r="B134" t="s">
        <v>301</v>
      </c>
      <c r="C134" t="s">
        <v>213</v>
      </c>
      <c r="L134" s="4" t="str">
        <f t="shared" si="4"/>
        <v/>
      </c>
      <c r="R134" t="str">
        <f t="shared" si="5"/>
        <v>0x0x0</v>
      </c>
      <c r="S134" t="e">
        <f>VLOOKUP(CEILING((N134/54)*32,1),'Articulated Lengths'!$A$3:$B$16, 2, FALSE)</f>
        <v>#N/A</v>
      </c>
    </row>
    <row r="135" spans="1:19" x14ac:dyDescent="0.25">
      <c r="A135" t="s">
        <v>122</v>
      </c>
      <c r="B135" t="s">
        <v>412</v>
      </c>
      <c r="C135" t="s">
        <v>213</v>
      </c>
      <c r="L135" s="4" t="str">
        <f t="shared" si="4"/>
        <v/>
      </c>
      <c r="R135" t="str">
        <f t="shared" si="5"/>
        <v>0x0x0</v>
      </c>
      <c r="S135" t="e">
        <f>VLOOKUP(CEILING((N135/54)*32,1),'Articulated Lengths'!$A$3:$B$16, 2, FALSE)</f>
        <v>#N/A</v>
      </c>
    </row>
    <row r="136" spans="1:19" x14ac:dyDescent="0.25">
      <c r="A136" t="s">
        <v>123</v>
      </c>
      <c r="B136" t="s">
        <v>302</v>
      </c>
      <c r="C136" t="s">
        <v>213</v>
      </c>
      <c r="L136" s="4" t="str">
        <f t="shared" si="4"/>
        <v/>
      </c>
      <c r="R136" t="str">
        <f t="shared" si="5"/>
        <v>0x0x0</v>
      </c>
      <c r="S136" t="e">
        <f>VLOOKUP(CEILING((N136/54)*32,1),'Articulated Lengths'!$A$3:$B$16, 2, FALSE)</f>
        <v>#N/A</v>
      </c>
    </row>
    <row r="137" spans="1:19" x14ac:dyDescent="0.25">
      <c r="A137" t="s">
        <v>124</v>
      </c>
      <c r="B137" t="s">
        <v>414</v>
      </c>
      <c r="C137" t="s">
        <v>213</v>
      </c>
      <c r="L137" s="4" t="str">
        <f t="shared" si="4"/>
        <v/>
      </c>
      <c r="R137" t="str">
        <f t="shared" si="5"/>
        <v>0x0x0</v>
      </c>
      <c r="S137" t="e">
        <f>VLOOKUP(CEILING((N137/54)*32,1),'Articulated Lengths'!$A$3:$B$16, 2, FALSE)</f>
        <v>#N/A</v>
      </c>
    </row>
    <row r="138" spans="1:19" x14ac:dyDescent="0.25">
      <c r="A138" t="s">
        <v>125</v>
      </c>
      <c r="B138" t="s">
        <v>303</v>
      </c>
      <c r="C138" t="s">
        <v>213</v>
      </c>
      <c r="L138" s="4" t="str">
        <f t="shared" si="4"/>
        <v/>
      </c>
      <c r="R138" t="str">
        <f t="shared" si="5"/>
        <v>0x0x0</v>
      </c>
      <c r="S138" t="e">
        <f>VLOOKUP(CEILING((N138/54)*32,1),'Articulated Lengths'!$A$3:$B$16, 2, FALSE)</f>
        <v>#N/A</v>
      </c>
    </row>
    <row r="139" spans="1:19" x14ac:dyDescent="0.25">
      <c r="A139" t="s">
        <v>126</v>
      </c>
      <c r="B139" t="s">
        <v>361</v>
      </c>
      <c r="C139" t="s">
        <v>213</v>
      </c>
      <c r="L139" s="4" t="str">
        <f t="shared" ref="L139:L198" si="6">IF(AND(I139&gt;0,K139&gt;0),(K139/(I139*10)),"")</f>
        <v/>
      </c>
      <c r="R139" t="str">
        <f t="shared" si="5"/>
        <v>0x0x0</v>
      </c>
      <c r="S139" t="e">
        <f>VLOOKUP(CEILING((N139/54)*32,1),'Articulated Lengths'!$A$3:$B$16, 2, FALSE)</f>
        <v>#N/A</v>
      </c>
    </row>
    <row r="140" spans="1:19" x14ac:dyDescent="0.25">
      <c r="A140" t="s">
        <v>127</v>
      </c>
      <c r="B140" t="s">
        <v>362</v>
      </c>
      <c r="C140" t="s">
        <v>213</v>
      </c>
      <c r="L140" s="4" t="str">
        <f t="shared" si="6"/>
        <v/>
      </c>
      <c r="R140" t="str">
        <f t="shared" si="5"/>
        <v>0x0x0</v>
      </c>
      <c r="S140" t="e">
        <f>VLOOKUP(CEILING((N140/54)*32,1),'Articulated Lengths'!$A$3:$B$16, 2, FALSE)</f>
        <v>#N/A</v>
      </c>
    </row>
    <row r="141" spans="1:19" x14ac:dyDescent="0.25">
      <c r="A141" t="s">
        <v>128</v>
      </c>
      <c r="B141" t="s">
        <v>363</v>
      </c>
      <c r="C141" t="s">
        <v>213</v>
      </c>
      <c r="L141" s="4" t="str">
        <f t="shared" si="6"/>
        <v/>
      </c>
      <c r="R141" t="str">
        <f t="shared" si="5"/>
        <v>0x0x0</v>
      </c>
      <c r="S141" t="e">
        <f>VLOOKUP(CEILING((N141/54)*32,1),'Articulated Lengths'!$A$3:$B$16, 2, FALSE)</f>
        <v>#N/A</v>
      </c>
    </row>
    <row r="142" spans="1:19" x14ac:dyDescent="0.25">
      <c r="A142" t="s">
        <v>129</v>
      </c>
      <c r="B142" t="s">
        <v>364</v>
      </c>
      <c r="C142" t="s">
        <v>213</v>
      </c>
      <c r="L142" s="4" t="str">
        <f t="shared" si="6"/>
        <v/>
      </c>
      <c r="R142" t="str">
        <f t="shared" si="5"/>
        <v>0x0x0</v>
      </c>
      <c r="S142" t="e">
        <f>VLOOKUP(CEILING((N142/54)*32,1),'Articulated Lengths'!$A$3:$B$16, 2, FALSE)</f>
        <v>#N/A</v>
      </c>
    </row>
    <row r="143" spans="1:19" x14ac:dyDescent="0.25">
      <c r="A143" t="s">
        <v>130</v>
      </c>
      <c r="B143" t="s">
        <v>304</v>
      </c>
      <c r="C143" t="s">
        <v>213</v>
      </c>
      <c r="L143" s="4" t="str">
        <f t="shared" si="6"/>
        <v/>
      </c>
      <c r="R143" t="str">
        <f t="shared" si="5"/>
        <v>0x0x0</v>
      </c>
      <c r="S143" t="e">
        <f>VLOOKUP(CEILING((N143/54)*32,1),'Articulated Lengths'!$A$3:$B$16, 2, FALSE)</f>
        <v>#N/A</v>
      </c>
    </row>
    <row r="144" spans="1:19" x14ac:dyDescent="0.25">
      <c r="A144" t="s">
        <v>131</v>
      </c>
      <c r="B144" t="s">
        <v>305</v>
      </c>
      <c r="C144" t="s">
        <v>213</v>
      </c>
      <c r="L144" s="4" t="str">
        <f t="shared" si="6"/>
        <v/>
      </c>
      <c r="R144" t="str">
        <f t="shared" si="5"/>
        <v>0x0x0</v>
      </c>
      <c r="S144" t="e">
        <f>VLOOKUP(CEILING((N144/54)*32,1),'Articulated Lengths'!$A$3:$B$16, 2, FALSE)</f>
        <v>#N/A</v>
      </c>
    </row>
    <row r="145" spans="1:19" x14ac:dyDescent="0.25">
      <c r="A145" t="s">
        <v>132</v>
      </c>
      <c r="B145" t="s">
        <v>306</v>
      </c>
      <c r="C145" t="s">
        <v>213</v>
      </c>
      <c r="L145" s="4" t="str">
        <f t="shared" si="6"/>
        <v/>
      </c>
      <c r="R145" t="str">
        <f t="shared" si="5"/>
        <v>0x0x0</v>
      </c>
      <c r="S145" t="e">
        <f>VLOOKUP(CEILING((N145/54)*32,1),'Articulated Lengths'!$A$3:$B$16, 2, FALSE)</f>
        <v>#N/A</v>
      </c>
    </row>
    <row r="146" spans="1:19" x14ac:dyDescent="0.25">
      <c r="A146" t="s">
        <v>133</v>
      </c>
      <c r="B146" t="s">
        <v>365</v>
      </c>
      <c r="C146" t="s">
        <v>213</v>
      </c>
      <c r="L146" s="4" t="str">
        <f t="shared" si="6"/>
        <v/>
      </c>
      <c r="R146" t="str">
        <f t="shared" si="5"/>
        <v>0x0x0</v>
      </c>
      <c r="S146" t="e">
        <f>VLOOKUP(CEILING((N146/54)*32,1),'Articulated Lengths'!$A$3:$B$16, 2, FALSE)</f>
        <v>#N/A</v>
      </c>
    </row>
    <row r="147" spans="1:19" x14ac:dyDescent="0.25">
      <c r="A147" t="s">
        <v>134</v>
      </c>
      <c r="B147" t="s">
        <v>360</v>
      </c>
      <c r="C147" t="s">
        <v>213</v>
      </c>
      <c r="L147" s="4" t="str">
        <f t="shared" si="6"/>
        <v/>
      </c>
      <c r="R147" t="str">
        <f t="shared" si="5"/>
        <v>0x0x0</v>
      </c>
      <c r="S147" t="e">
        <f>VLOOKUP(CEILING((N147/54)*32,1),'Articulated Lengths'!$A$3:$B$16, 2, FALSE)</f>
        <v>#N/A</v>
      </c>
    </row>
    <row r="148" spans="1:19" x14ac:dyDescent="0.25">
      <c r="A148" t="s">
        <v>135</v>
      </c>
      <c r="B148" t="s">
        <v>359</v>
      </c>
      <c r="C148" t="s">
        <v>213</v>
      </c>
      <c r="L148" s="4" t="str">
        <f t="shared" si="6"/>
        <v/>
      </c>
      <c r="R148" t="str">
        <f t="shared" si="5"/>
        <v>0x0x0</v>
      </c>
      <c r="S148" t="e">
        <f>VLOOKUP(CEILING((N148/54)*32,1),'Articulated Lengths'!$A$3:$B$16, 2, FALSE)</f>
        <v>#N/A</v>
      </c>
    </row>
    <row r="149" spans="1:19" x14ac:dyDescent="0.25">
      <c r="A149" t="s">
        <v>136</v>
      </c>
      <c r="B149" t="s">
        <v>369</v>
      </c>
      <c r="C149" t="s">
        <v>213</v>
      </c>
      <c r="L149" s="4" t="str">
        <f t="shared" si="6"/>
        <v/>
      </c>
      <c r="R149" t="str">
        <f t="shared" si="5"/>
        <v>0x0x0</v>
      </c>
      <c r="S149" t="e">
        <f>VLOOKUP(CEILING((N149/54)*32,1),'Articulated Lengths'!$A$3:$B$16, 2, FALSE)</f>
        <v>#N/A</v>
      </c>
    </row>
    <row r="150" spans="1:19" x14ac:dyDescent="0.25">
      <c r="A150" t="s">
        <v>137</v>
      </c>
      <c r="B150" t="s">
        <v>415</v>
      </c>
      <c r="C150" t="s">
        <v>213</v>
      </c>
      <c r="L150" s="4" t="str">
        <f t="shared" si="6"/>
        <v/>
      </c>
      <c r="R150" t="str">
        <f t="shared" si="5"/>
        <v>0x0x0</v>
      </c>
      <c r="S150" t="e">
        <f>VLOOKUP(CEILING((N150/54)*32,1),'Articulated Lengths'!$A$3:$B$16, 2, FALSE)</f>
        <v>#N/A</v>
      </c>
    </row>
    <row r="151" spans="1:19" x14ac:dyDescent="0.25">
      <c r="A151" t="s">
        <v>138</v>
      </c>
      <c r="B151" t="s">
        <v>368</v>
      </c>
      <c r="C151" t="s">
        <v>213</v>
      </c>
      <c r="L151" s="4" t="str">
        <f t="shared" si="6"/>
        <v/>
      </c>
      <c r="R151" t="str">
        <f t="shared" si="5"/>
        <v>0x0x0</v>
      </c>
      <c r="S151" t="e">
        <f>VLOOKUP(CEILING((N151/54)*32,1),'Articulated Lengths'!$A$3:$B$16, 2, FALSE)</f>
        <v>#N/A</v>
      </c>
    </row>
    <row r="152" spans="1:19" x14ac:dyDescent="0.25">
      <c r="A152" t="s">
        <v>139</v>
      </c>
      <c r="B152" t="s">
        <v>307</v>
      </c>
      <c r="C152" t="s">
        <v>213</v>
      </c>
      <c r="L152" s="4" t="str">
        <f t="shared" si="6"/>
        <v/>
      </c>
      <c r="R152" t="str">
        <f t="shared" si="5"/>
        <v>0x0x0</v>
      </c>
      <c r="S152" t="e">
        <f>VLOOKUP(CEILING((N152/54)*32,1),'Articulated Lengths'!$A$3:$B$16, 2, FALSE)</f>
        <v>#N/A</v>
      </c>
    </row>
    <row r="153" spans="1:19" x14ac:dyDescent="0.25">
      <c r="A153" t="s">
        <v>140</v>
      </c>
      <c r="B153" t="s">
        <v>308</v>
      </c>
      <c r="C153" t="s">
        <v>213</v>
      </c>
      <c r="L153" s="4" t="str">
        <f t="shared" si="6"/>
        <v/>
      </c>
      <c r="R153" t="str">
        <f t="shared" si="5"/>
        <v>0x0x0</v>
      </c>
      <c r="S153" t="e">
        <f>VLOOKUP(CEILING((N153/54)*32,1),'Articulated Lengths'!$A$3:$B$16, 2, FALSE)</f>
        <v>#N/A</v>
      </c>
    </row>
    <row r="154" spans="1:19" x14ac:dyDescent="0.25">
      <c r="A154" t="s">
        <v>141</v>
      </c>
      <c r="B154" t="s">
        <v>309</v>
      </c>
      <c r="C154" t="s">
        <v>213</v>
      </c>
      <c r="L154" s="4" t="str">
        <f t="shared" si="6"/>
        <v/>
      </c>
      <c r="R154" t="str">
        <f t="shared" si="5"/>
        <v>0x0x0</v>
      </c>
      <c r="S154" t="e">
        <f>VLOOKUP(CEILING((N154/54)*32,1),'Articulated Lengths'!$A$3:$B$16, 2, FALSE)</f>
        <v>#N/A</v>
      </c>
    </row>
    <row r="155" spans="1:19" x14ac:dyDescent="0.25">
      <c r="A155" t="s">
        <v>142</v>
      </c>
      <c r="B155" t="s">
        <v>366</v>
      </c>
      <c r="C155" t="s">
        <v>213</v>
      </c>
      <c r="L155" s="4" t="str">
        <f t="shared" si="6"/>
        <v/>
      </c>
      <c r="R155" t="str">
        <f t="shared" si="5"/>
        <v>0x0x0</v>
      </c>
      <c r="S155" t="e">
        <f>VLOOKUP(CEILING((N155/54)*32,1),'Articulated Lengths'!$A$3:$B$16, 2, FALSE)</f>
        <v>#N/A</v>
      </c>
    </row>
    <row r="156" spans="1:19" x14ac:dyDescent="0.25">
      <c r="A156" t="s">
        <v>143</v>
      </c>
      <c r="B156" t="s">
        <v>413</v>
      </c>
      <c r="C156" t="s">
        <v>213</v>
      </c>
      <c r="L156" s="4" t="str">
        <f t="shared" si="6"/>
        <v/>
      </c>
      <c r="R156" t="str">
        <f t="shared" si="5"/>
        <v>0x0x0</v>
      </c>
      <c r="S156" t="e">
        <f>VLOOKUP(CEILING((N156/54)*32,1),'Articulated Lengths'!$A$3:$B$16, 2, FALSE)</f>
        <v>#N/A</v>
      </c>
    </row>
    <row r="157" spans="1:19" x14ac:dyDescent="0.25">
      <c r="A157" t="s">
        <v>144</v>
      </c>
      <c r="B157" t="s">
        <v>310</v>
      </c>
      <c r="C157" t="s">
        <v>213</v>
      </c>
      <c r="L157" s="4" t="str">
        <f t="shared" si="6"/>
        <v/>
      </c>
      <c r="R157" t="str">
        <f t="shared" si="5"/>
        <v>0x0x0</v>
      </c>
      <c r="S157" t="e">
        <f>VLOOKUP(CEILING((N157/54)*32,1),'Articulated Lengths'!$A$3:$B$16, 2, FALSE)</f>
        <v>#N/A</v>
      </c>
    </row>
    <row r="158" spans="1:19" x14ac:dyDescent="0.25">
      <c r="A158" t="s">
        <v>145</v>
      </c>
      <c r="B158" t="s">
        <v>311</v>
      </c>
      <c r="C158" t="s">
        <v>213</v>
      </c>
      <c r="L158" s="4" t="str">
        <f t="shared" si="6"/>
        <v/>
      </c>
      <c r="R158" t="str">
        <f t="shared" si="5"/>
        <v>0x0x0</v>
      </c>
      <c r="S158" t="e">
        <f>VLOOKUP(CEILING((N158/54)*32,1),'Articulated Lengths'!$A$3:$B$16, 2, FALSE)</f>
        <v>#N/A</v>
      </c>
    </row>
    <row r="159" spans="1:19" x14ac:dyDescent="0.25">
      <c r="A159" t="s">
        <v>146</v>
      </c>
      <c r="B159" t="s">
        <v>312</v>
      </c>
      <c r="C159" t="s">
        <v>213</v>
      </c>
      <c r="L159" s="4" t="str">
        <f t="shared" si="6"/>
        <v/>
      </c>
      <c r="R159" t="str">
        <f t="shared" si="5"/>
        <v>0x0x0</v>
      </c>
      <c r="S159" t="e">
        <f>VLOOKUP(CEILING((N159/54)*32,1),'Articulated Lengths'!$A$3:$B$16, 2, FALSE)</f>
        <v>#N/A</v>
      </c>
    </row>
    <row r="160" spans="1:19" x14ac:dyDescent="0.25">
      <c r="A160" t="s">
        <v>147</v>
      </c>
      <c r="B160" t="s">
        <v>313</v>
      </c>
      <c r="C160" t="s">
        <v>213</v>
      </c>
      <c r="L160" s="4" t="str">
        <f t="shared" si="6"/>
        <v/>
      </c>
      <c r="R160" t="str">
        <f t="shared" si="5"/>
        <v>0x0x0</v>
      </c>
      <c r="S160" t="e">
        <f>VLOOKUP(CEILING((N160/54)*32,1),'Articulated Lengths'!$A$3:$B$16, 2, FALSE)</f>
        <v>#N/A</v>
      </c>
    </row>
    <row r="161" spans="1:19" x14ac:dyDescent="0.25">
      <c r="A161" t="s">
        <v>148</v>
      </c>
      <c r="B161" t="s">
        <v>314</v>
      </c>
      <c r="C161" t="s">
        <v>213</v>
      </c>
      <c r="L161" s="4" t="str">
        <f t="shared" si="6"/>
        <v/>
      </c>
      <c r="R161" t="str">
        <f t="shared" si="5"/>
        <v>0x0x0</v>
      </c>
      <c r="S161" t="e">
        <f>VLOOKUP(CEILING((N161/54)*32,1),'Articulated Lengths'!$A$3:$B$16, 2, FALSE)</f>
        <v>#N/A</v>
      </c>
    </row>
    <row r="162" spans="1:19" x14ac:dyDescent="0.25">
      <c r="A162" t="s">
        <v>149</v>
      </c>
      <c r="B162" t="s">
        <v>315</v>
      </c>
      <c r="C162" t="s">
        <v>213</v>
      </c>
      <c r="L162" s="4" t="str">
        <f t="shared" si="6"/>
        <v/>
      </c>
      <c r="R162" t="str">
        <f t="shared" si="5"/>
        <v>0x0x0</v>
      </c>
      <c r="S162" t="e">
        <f>VLOOKUP(CEILING((N162/54)*32,1),'Articulated Lengths'!$A$3:$B$16, 2, FALSE)</f>
        <v>#N/A</v>
      </c>
    </row>
    <row r="163" spans="1:19" x14ac:dyDescent="0.25">
      <c r="A163" t="s">
        <v>150</v>
      </c>
      <c r="B163" t="s">
        <v>316</v>
      </c>
      <c r="C163" t="s">
        <v>213</v>
      </c>
      <c r="L163" s="4" t="str">
        <f t="shared" si="6"/>
        <v/>
      </c>
      <c r="R163" t="str">
        <f t="shared" si="5"/>
        <v>0x0x0</v>
      </c>
      <c r="S163" t="e">
        <f>VLOOKUP(CEILING((N163/54)*32,1),'Articulated Lengths'!$A$3:$B$16, 2, FALSE)</f>
        <v>#N/A</v>
      </c>
    </row>
    <row r="164" spans="1:19" x14ac:dyDescent="0.25">
      <c r="A164" t="s">
        <v>151</v>
      </c>
      <c r="B164" t="s">
        <v>317</v>
      </c>
      <c r="C164" t="s">
        <v>213</v>
      </c>
      <c r="L164" s="4" t="str">
        <f t="shared" si="6"/>
        <v/>
      </c>
      <c r="R164" t="str">
        <f t="shared" si="5"/>
        <v>0x0x0</v>
      </c>
      <c r="S164" t="e">
        <f>VLOOKUP(CEILING((N164/54)*32,1),'Articulated Lengths'!$A$3:$B$16, 2, FALSE)</f>
        <v>#N/A</v>
      </c>
    </row>
    <row r="165" spans="1:19" x14ac:dyDescent="0.25">
      <c r="A165" t="s">
        <v>152</v>
      </c>
      <c r="B165" t="s">
        <v>318</v>
      </c>
      <c r="C165" t="s">
        <v>213</v>
      </c>
      <c r="L165" s="4" t="str">
        <f t="shared" si="6"/>
        <v/>
      </c>
      <c r="R165" t="str">
        <f t="shared" si="5"/>
        <v>0x0x0</v>
      </c>
      <c r="S165" t="e">
        <f>VLOOKUP(CEILING((N165/54)*32,1),'Articulated Lengths'!$A$3:$B$16, 2, FALSE)</f>
        <v>#N/A</v>
      </c>
    </row>
    <row r="166" spans="1:19" x14ac:dyDescent="0.25">
      <c r="A166" t="s">
        <v>153</v>
      </c>
      <c r="B166" t="s">
        <v>319</v>
      </c>
      <c r="C166" t="s">
        <v>213</v>
      </c>
      <c r="L166" s="4" t="str">
        <f t="shared" si="6"/>
        <v/>
      </c>
      <c r="R166" t="str">
        <f t="shared" si="5"/>
        <v>0x0x0</v>
      </c>
      <c r="S166" t="e">
        <f>VLOOKUP(CEILING((N166/54)*32,1),'Articulated Lengths'!$A$3:$B$16, 2, FALSE)</f>
        <v>#N/A</v>
      </c>
    </row>
    <row r="167" spans="1:19" x14ac:dyDescent="0.25">
      <c r="A167" t="s">
        <v>154</v>
      </c>
      <c r="B167" t="s">
        <v>367</v>
      </c>
      <c r="C167" t="s">
        <v>213</v>
      </c>
      <c r="L167" s="4" t="str">
        <f t="shared" si="6"/>
        <v/>
      </c>
      <c r="R167" t="str">
        <f t="shared" si="5"/>
        <v>0x0x0</v>
      </c>
      <c r="S167" t="e">
        <f>VLOOKUP(CEILING((N167/54)*32,1),'Articulated Lengths'!$A$3:$B$16, 2, FALSE)</f>
        <v>#N/A</v>
      </c>
    </row>
    <row r="168" spans="1:19" x14ac:dyDescent="0.25">
      <c r="A168" t="s">
        <v>155</v>
      </c>
      <c r="B168" t="s">
        <v>320</v>
      </c>
      <c r="C168" t="s">
        <v>213</v>
      </c>
      <c r="L168" s="4" t="str">
        <f t="shared" si="6"/>
        <v/>
      </c>
      <c r="R168" t="str">
        <f t="shared" si="5"/>
        <v>0x0x0</v>
      </c>
      <c r="S168" t="e">
        <f>VLOOKUP(CEILING((N168/54)*32,1),'Articulated Lengths'!$A$3:$B$16, 2, FALSE)</f>
        <v>#N/A</v>
      </c>
    </row>
    <row r="169" spans="1:19" x14ac:dyDescent="0.25">
      <c r="A169" t="s">
        <v>156</v>
      </c>
      <c r="B169" t="s">
        <v>321</v>
      </c>
      <c r="C169" t="s">
        <v>213</v>
      </c>
      <c r="L169" s="4" t="str">
        <f t="shared" si="6"/>
        <v/>
      </c>
      <c r="R169" t="str">
        <f t="shared" si="5"/>
        <v>0x0x0</v>
      </c>
      <c r="S169" t="e">
        <f>VLOOKUP(CEILING((N169/54)*32,1),'Articulated Lengths'!$A$3:$B$16, 2, FALSE)</f>
        <v>#N/A</v>
      </c>
    </row>
    <row r="170" spans="1:19" x14ac:dyDescent="0.25">
      <c r="A170" t="s">
        <v>157</v>
      </c>
      <c r="B170" t="s">
        <v>416</v>
      </c>
      <c r="C170" t="s">
        <v>213</v>
      </c>
      <c r="L170" s="4" t="str">
        <f t="shared" si="6"/>
        <v/>
      </c>
      <c r="R170" t="str">
        <f t="shared" si="5"/>
        <v>0x0x0</v>
      </c>
      <c r="S170" t="e">
        <f>VLOOKUP(CEILING((N170/54)*32,1),'Articulated Lengths'!$A$3:$B$16, 2, FALSE)</f>
        <v>#N/A</v>
      </c>
    </row>
    <row r="171" spans="1:19" x14ac:dyDescent="0.25">
      <c r="A171" t="s">
        <v>158</v>
      </c>
      <c r="B171" t="s">
        <v>417</v>
      </c>
      <c r="C171" t="s">
        <v>213</v>
      </c>
      <c r="L171" s="4" t="str">
        <f t="shared" si="6"/>
        <v/>
      </c>
      <c r="R171" t="str">
        <f t="shared" si="5"/>
        <v>0x0x0</v>
      </c>
      <c r="S171" t="e">
        <f>VLOOKUP(CEILING((N171/54)*32,1),'Articulated Lengths'!$A$3:$B$16, 2, FALSE)</f>
        <v>#N/A</v>
      </c>
    </row>
    <row r="172" spans="1:19" x14ac:dyDescent="0.25">
      <c r="A172" t="s">
        <v>159</v>
      </c>
      <c r="B172" t="s">
        <v>322</v>
      </c>
      <c r="C172" t="s">
        <v>213</v>
      </c>
      <c r="L172" s="4" t="str">
        <f t="shared" si="6"/>
        <v/>
      </c>
      <c r="R172" t="str">
        <f t="shared" si="5"/>
        <v>0x0x0</v>
      </c>
      <c r="S172" t="e">
        <f>VLOOKUP(CEILING((N172/54)*32,1),'Articulated Lengths'!$A$3:$B$16, 2, FALSE)</f>
        <v>#N/A</v>
      </c>
    </row>
    <row r="173" spans="1:19" x14ac:dyDescent="0.25">
      <c r="A173" t="s">
        <v>160</v>
      </c>
      <c r="B173" t="s">
        <v>323</v>
      </c>
      <c r="C173" t="s">
        <v>213</v>
      </c>
      <c r="L173" s="4" t="str">
        <f t="shared" si="6"/>
        <v/>
      </c>
      <c r="R173" t="str">
        <f t="shared" si="5"/>
        <v>0x0x0</v>
      </c>
      <c r="S173" t="e">
        <f>VLOOKUP(CEILING((N173/54)*32,1),'Articulated Lengths'!$A$3:$B$16, 2, FALSE)</f>
        <v>#N/A</v>
      </c>
    </row>
    <row r="174" spans="1:19" x14ac:dyDescent="0.25">
      <c r="A174" t="s">
        <v>161</v>
      </c>
      <c r="B174" t="s">
        <v>324</v>
      </c>
      <c r="C174" t="s">
        <v>213</v>
      </c>
      <c r="L174" s="4" t="str">
        <f t="shared" si="6"/>
        <v/>
      </c>
      <c r="R174" t="str">
        <f t="shared" si="5"/>
        <v>0x0x0</v>
      </c>
      <c r="S174" t="e">
        <f>VLOOKUP(CEILING((N174/54)*32,1),'Articulated Lengths'!$A$3:$B$16, 2, FALSE)</f>
        <v>#N/A</v>
      </c>
    </row>
    <row r="175" spans="1:19" x14ac:dyDescent="0.25">
      <c r="A175" t="s">
        <v>162</v>
      </c>
      <c r="B175" t="s">
        <v>423</v>
      </c>
      <c r="C175" t="s">
        <v>213</v>
      </c>
      <c r="L175" s="4" t="str">
        <f t="shared" si="6"/>
        <v/>
      </c>
      <c r="R175" t="str">
        <f t="shared" si="5"/>
        <v>0x0x0</v>
      </c>
      <c r="S175" t="e">
        <f>VLOOKUP(CEILING((N175/54)*32,1),'Articulated Lengths'!$A$3:$B$16, 2, FALSE)</f>
        <v>#N/A</v>
      </c>
    </row>
    <row r="176" spans="1:19" x14ac:dyDescent="0.25">
      <c r="A176" t="s">
        <v>163</v>
      </c>
      <c r="B176" t="s">
        <v>422</v>
      </c>
      <c r="C176" t="s">
        <v>214</v>
      </c>
      <c r="D176">
        <v>1956</v>
      </c>
      <c r="I176">
        <v>40</v>
      </c>
      <c r="L176" s="4" t="str">
        <f t="shared" si="6"/>
        <v/>
      </c>
      <c r="M176">
        <v>100</v>
      </c>
      <c r="N176">
        <v>19.66</v>
      </c>
      <c r="O176">
        <v>2.83</v>
      </c>
      <c r="P176">
        <v>3.79</v>
      </c>
      <c r="Q176">
        <v>57</v>
      </c>
      <c r="R176" t="str">
        <f>CONCATENATE(INT(N176*10),"x",INT(O176*15), "x", INT(P176*15))</f>
        <v>196x42x56</v>
      </c>
      <c r="S176" t="str">
        <f>VLOOKUP(CEILING((N176/54)*32,1),'Articulated Lengths'!$A$3:$B$16, 2, FALSE)</f>
        <v>3,6,3</v>
      </c>
    </row>
    <row r="177" spans="1:19" x14ac:dyDescent="0.25">
      <c r="A177" t="s">
        <v>164</v>
      </c>
      <c r="B177" t="s">
        <v>424</v>
      </c>
      <c r="C177" t="s">
        <v>213</v>
      </c>
      <c r="L177" s="4" t="str">
        <f t="shared" si="6"/>
        <v/>
      </c>
      <c r="R177" t="str">
        <f t="shared" ref="R177:R197" si="7">CONCATENATE(INT(N177*10),"x",INT(O177*15), "x", INT(P177*15))</f>
        <v>0x0x0</v>
      </c>
      <c r="S177" t="e">
        <f>VLOOKUP(CEILING((N177/54)*32,1),'Articulated Lengths'!$A$3:$B$16, 2, FALSE)</f>
        <v>#N/A</v>
      </c>
    </row>
    <row r="178" spans="1:19" x14ac:dyDescent="0.25">
      <c r="A178" t="s">
        <v>165</v>
      </c>
      <c r="B178" t="s">
        <v>425</v>
      </c>
      <c r="C178" t="s">
        <v>213</v>
      </c>
      <c r="L178" s="4" t="str">
        <f t="shared" si="6"/>
        <v/>
      </c>
      <c r="R178" t="str">
        <f t="shared" si="7"/>
        <v>0x0x0</v>
      </c>
      <c r="S178" t="e">
        <f>VLOOKUP(CEILING((N178/54)*32,1),'Articulated Lengths'!$A$3:$B$16, 2, FALSE)</f>
        <v>#N/A</v>
      </c>
    </row>
    <row r="179" spans="1:19" x14ac:dyDescent="0.25">
      <c r="A179" t="s">
        <v>166</v>
      </c>
      <c r="B179" t="s">
        <v>325</v>
      </c>
      <c r="C179" t="s">
        <v>213</v>
      </c>
      <c r="L179" s="4" t="str">
        <f t="shared" si="6"/>
        <v/>
      </c>
      <c r="R179" t="str">
        <f t="shared" si="7"/>
        <v>0x0x0</v>
      </c>
      <c r="S179" t="e">
        <f>VLOOKUP(CEILING((N179/54)*32,1),'Articulated Lengths'!$A$3:$B$16, 2, FALSE)</f>
        <v>#N/A</v>
      </c>
    </row>
    <row r="180" spans="1:19" x14ac:dyDescent="0.25">
      <c r="A180" t="s">
        <v>167</v>
      </c>
      <c r="B180" t="s">
        <v>326</v>
      </c>
      <c r="C180" t="s">
        <v>213</v>
      </c>
      <c r="L180" s="4" t="str">
        <f t="shared" si="6"/>
        <v/>
      </c>
      <c r="R180" t="str">
        <f t="shared" si="7"/>
        <v>0x0x0</v>
      </c>
      <c r="S180" t="e">
        <f>VLOOKUP(CEILING((N180/54)*32,1),'Articulated Lengths'!$A$3:$B$16, 2, FALSE)</f>
        <v>#N/A</v>
      </c>
    </row>
    <row r="181" spans="1:19" x14ac:dyDescent="0.25">
      <c r="A181" t="s">
        <v>168</v>
      </c>
      <c r="B181" t="s">
        <v>327</v>
      </c>
      <c r="C181" t="s">
        <v>213</v>
      </c>
      <c r="L181" s="4" t="str">
        <f t="shared" si="6"/>
        <v/>
      </c>
      <c r="R181" t="str">
        <f t="shared" si="7"/>
        <v>0x0x0</v>
      </c>
      <c r="S181" t="e">
        <f>VLOOKUP(CEILING((N181/54)*32,1),'Articulated Lengths'!$A$3:$B$16, 2, FALSE)</f>
        <v>#N/A</v>
      </c>
    </row>
    <row r="182" spans="1:19" x14ac:dyDescent="0.25">
      <c r="A182" t="s">
        <v>169</v>
      </c>
      <c r="B182" t="s">
        <v>418</v>
      </c>
      <c r="C182" t="s">
        <v>213</v>
      </c>
      <c r="L182" s="4" t="str">
        <f t="shared" si="6"/>
        <v/>
      </c>
      <c r="R182" t="str">
        <f t="shared" si="7"/>
        <v>0x0x0</v>
      </c>
      <c r="S182" t="e">
        <f>VLOOKUP(CEILING((N182/54)*32,1),'Articulated Lengths'!$A$3:$B$16, 2, FALSE)</f>
        <v>#N/A</v>
      </c>
    </row>
    <row r="183" spans="1:19" x14ac:dyDescent="0.25">
      <c r="A183" t="s">
        <v>170</v>
      </c>
      <c r="B183" t="s">
        <v>419</v>
      </c>
      <c r="C183" t="s">
        <v>213</v>
      </c>
      <c r="L183" s="4" t="str">
        <f t="shared" si="6"/>
        <v/>
      </c>
      <c r="R183" t="str">
        <f t="shared" si="7"/>
        <v>0x0x0</v>
      </c>
      <c r="S183" t="e">
        <f>VLOOKUP(CEILING((N183/54)*32,1),'Articulated Lengths'!$A$3:$B$16, 2, FALSE)</f>
        <v>#N/A</v>
      </c>
    </row>
    <row r="184" spans="1:19" x14ac:dyDescent="0.25">
      <c r="A184" t="s">
        <v>171</v>
      </c>
      <c r="B184" t="s">
        <v>328</v>
      </c>
      <c r="C184" t="s">
        <v>213</v>
      </c>
      <c r="L184" s="4" t="str">
        <f t="shared" si="6"/>
        <v/>
      </c>
      <c r="R184" t="str">
        <f t="shared" si="7"/>
        <v>0x0x0</v>
      </c>
      <c r="S184" t="e">
        <f>VLOOKUP(CEILING((N184/54)*32,1),'Articulated Lengths'!$A$3:$B$16, 2, FALSE)</f>
        <v>#N/A</v>
      </c>
    </row>
    <row r="185" spans="1:19" x14ac:dyDescent="0.25">
      <c r="A185" t="s">
        <v>172</v>
      </c>
      <c r="B185" t="s">
        <v>329</v>
      </c>
      <c r="C185" t="s">
        <v>213</v>
      </c>
      <c r="L185" s="4" t="str">
        <f t="shared" si="6"/>
        <v/>
      </c>
      <c r="R185" t="str">
        <f t="shared" si="7"/>
        <v>0x0x0</v>
      </c>
      <c r="S185" t="e">
        <f>VLOOKUP(CEILING((N185/54)*32,1),'Articulated Lengths'!$A$3:$B$16, 2, FALSE)</f>
        <v>#N/A</v>
      </c>
    </row>
    <row r="186" spans="1:19" x14ac:dyDescent="0.25">
      <c r="A186" t="s">
        <v>173</v>
      </c>
      <c r="B186" t="s">
        <v>420</v>
      </c>
      <c r="C186" t="s">
        <v>213</v>
      </c>
      <c r="L186" s="4" t="str">
        <f t="shared" si="6"/>
        <v/>
      </c>
      <c r="R186" t="str">
        <f t="shared" si="7"/>
        <v>0x0x0</v>
      </c>
      <c r="S186" t="e">
        <f>VLOOKUP(CEILING((N186/54)*32,1),'Articulated Lengths'!$A$3:$B$16, 2, FALSE)</f>
        <v>#N/A</v>
      </c>
    </row>
    <row r="187" spans="1:19" x14ac:dyDescent="0.25">
      <c r="A187" t="s">
        <v>174</v>
      </c>
      <c r="B187" t="s">
        <v>421</v>
      </c>
      <c r="C187" t="s">
        <v>213</v>
      </c>
      <c r="L187" s="4" t="str">
        <f t="shared" si="6"/>
        <v/>
      </c>
      <c r="R187" t="str">
        <f t="shared" si="7"/>
        <v>0x0x0</v>
      </c>
      <c r="S187" t="e">
        <f>VLOOKUP(CEILING((N187/54)*32,1),'Articulated Lengths'!$A$3:$B$16, 2, FALSE)</f>
        <v>#N/A</v>
      </c>
    </row>
    <row r="188" spans="1:19" x14ac:dyDescent="0.25">
      <c r="A188" t="s">
        <v>175</v>
      </c>
      <c r="B188" t="s">
        <v>330</v>
      </c>
      <c r="C188" t="s">
        <v>213</v>
      </c>
      <c r="L188" s="4" t="str">
        <f t="shared" si="6"/>
        <v/>
      </c>
      <c r="R188" t="str">
        <f t="shared" si="7"/>
        <v>0x0x0</v>
      </c>
      <c r="S188" t="e">
        <f>VLOOKUP(CEILING((N188/54)*32,1),'Articulated Lengths'!$A$3:$B$16, 2, FALSE)</f>
        <v>#N/A</v>
      </c>
    </row>
    <row r="189" spans="1:19" x14ac:dyDescent="0.25">
      <c r="A189" t="s">
        <v>176</v>
      </c>
      <c r="B189" t="s">
        <v>331</v>
      </c>
      <c r="C189" t="s">
        <v>213</v>
      </c>
      <c r="L189" s="4" t="str">
        <f t="shared" si="6"/>
        <v/>
      </c>
      <c r="R189" t="str">
        <f t="shared" si="7"/>
        <v>0x0x0</v>
      </c>
      <c r="S189" t="e">
        <f>VLOOKUP(CEILING((N189/54)*32,1),'Articulated Lengths'!$A$3:$B$16, 2, FALSE)</f>
        <v>#N/A</v>
      </c>
    </row>
    <row r="190" spans="1:19" x14ac:dyDescent="0.25">
      <c r="A190" t="s">
        <v>177</v>
      </c>
      <c r="B190" t="s">
        <v>332</v>
      </c>
      <c r="C190" t="s">
        <v>213</v>
      </c>
      <c r="L190" s="4" t="str">
        <f t="shared" si="6"/>
        <v/>
      </c>
      <c r="R190" t="str">
        <f t="shared" si="7"/>
        <v>0x0x0</v>
      </c>
      <c r="S190" t="e">
        <f>VLOOKUP(CEILING((N190/54)*32,1),'Articulated Lengths'!$A$3:$B$16, 2, FALSE)</f>
        <v>#N/A</v>
      </c>
    </row>
    <row r="191" spans="1:19" x14ac:dyDescent="0.25">
      <c r="A191" t="s">
        <v>178</v>
      </c>
      <c r="B191" t="s">
        <v>333</v>
      </c>
      <c r="C191" t="s">
        <v>213</v>
      </c>
      <c r="L191" s="4" t="str">
        <f t="shared" si="6"/>
        <v/>
      </c>
      <c r="R191" t="str">
        <f t="shared" si="7"/>
        <v>0x0x0</v>
      </c>
      <c r="S191" t="e">
        <f>VLOOKUP(CEILING((N191/54)*32,1),'Articulated Lengths'!$A$3:$B$16, 2, FALSE)</f>
        <v>#N/A</v>
      </c>
    </row>
    <row r="192" spans="1:19" x14ac:dyDescent="0.25">
      <c r="A192" t="s">
        <v>179</v>
      </c>
      <c r="B192" t="s">
        <v>334</v>
      </c>
      <c r="C192" t="s">
        <v>213</v>
      </c>
      <c r="L192" s="4" t="str">
        <f t="shared" si="6"/>
        <v/>
      </c>
      <c r="R192" t="str">
        <f t="shared" si="7"/>
        <v>0x0x0</v>
      </c>
      <c r="S192" t="e">
        <f>VLOOKUP(CEILING((N192/54)*32,1),'Articulated Lengths'!$A$3:$B$16, 2, FALSE)</f>
        <v>#N/A</v>
      </c>
    </row>
    <row r="193" spans="1:19" x14ac:dyDescent="0.25">
      <c r="A193" t="s">
        <v>180</v>
      </c>
      <c r="B193" t="s">
        <v>335</v>
      </c>
      <c r="C193" t="s">
        <v>213</v>
      </c>
      <c r="L193" s="4" t="str">
        <f t="shared" si="6"/>
        <v/>
      </c>
      <c r="R193" t="str">
        <f t="shared" si="7"/>
        <v>0x0x0</v>
      </c>
      <c r="S193" t="e">
        <f>VLOOKUP(CEILING((N193/54)*32,1),'Articulated Lengths'!$A$3:$B$16, 2, FALSE)</f>
        <v>#N/A</v>
      </c>
    </row>
    <row r="194" spans="1:19" x14ac:dyDescent="0.25">
      <c r="A194" t="s">
        <v>181</v>
      </c>
      <c r="B194" t="s">
        <v>336</v>
      </c>
      <c r="C194" t="s">
        <v>213</v>
      </c>
      <c r="L194" s="4" t="str">
        <f t="shared" si="6"/>
        <v/>
      </c>
      <c r="R194" t="str">
        <f t="shared" si="7"/>
        <v>0x0x0</v>
      </c>
      <c r="S194" t="e">
        <f>VLOOKUP(CEILING((N194/54)*32,1),'Articulated Lengths'!$A$3:$B$16, 2, FALSE)</f>
        <v>#N/A</v>
      </c>
    </row>
    <row r="195" spans="1:19" x14ac:dyDescent="0.25">
      <c r="A195" t="s">
        <v>182</v>
      </c>
      <c r="B195" t="s">
        <v>337</v>
      </c>
      <c r="C195" t="s">
        <v>213</v>
      </c>
      <c r="L195" s="4" t="str">
        <f t="shared" si="6"/>
        <v/>
      </c>
      <c r="R195" t="str">
        <f t="shared" si="7"/>
        <v>0x0x0</v>
      </c>
      <c r="S195" t="e">
        <f>VLOOKUP(CEILING((N195/54)*32,1),'Articulated Lengths'!$A$3:$B$16, 2, FALSE)</f>
        <v>#N/A</v>
      </c>
    </row>
    <row r="196" spans="1:19" x14ac:dyDescent="0.25">
      <c r="A196" t="s">
        <v>183</v>
      </c>
      <c r="B196" t="s">
        <v>338</v>
      </c>
      <c r="C196" t="s">
        <v>213</v>
      </c>
      <c r="L196" s="4" t="str">
        <f t="shared" si="6"/>
        <v/>
      </c>
      <c r="R196" t="str">
        <f t="shared" si="7"/>
        <v>0x0x0</v>
      </c>
      <c r="S196" t="e">
        <f>VLOOKUP(CEILING((N196/54)*32,1),'Articulated Lengths'!$A$3:$B$16, 2, FALSE)</f>
        <v>#N/A</v>
      </c>
    </row>
    <row r="197" spans="1:19" x14ac:dyDescent="0.25">
      <c r="A197" t="s">
        <v>184</v>
      </c>
      <c r="B197" t="s">
        <v>339</v>
      </c>
      <c r="C197" t="s">
        <v>213</v>
      </c>
      <c r="L197" s="4" t="str">
        <f t="shared" si="6"/>
        <v/>
      </c>
      <c r="R197" t="str">
        <f t="shared" si="7"/>
        <v>0x0x0</v>
      </c>
      <c r="S197" t="e">
        <f>VLOOKUP(CEILING((N197/54)*32,1),'Articulated Lengths'!$A$3:$B$16, 2, FALSE)</f>
        <v>#N/A</v>
      </c>
    </row>
    <row r="198" spans="1:19" x14ac:dyDescent="0.25">
      <c r="A198" t="s">
        <v>185</v>
      </c>
      <c r="B198" t="s">
        <v>340</v>
      </c>
      <c r="C198" t="s">
        <v>213</v>
      </c>
      <c r="L198" s="4" t="str">
        <f t="shared" si="6"/>
        <v/>
      </c>
      <c r="R198" t="str">
        <f>CONCATENATE(INT(N198*10),"x",INT(O198*15), "x", INT(P198*15))</f>
        <v>0x0x0</v>
      </c>
      <c r="S198" t="e">
        <f>VLOOKUP(CEILING((N198/54)*32,1),'Articulated Lengths'!$A$3:$B$16, 2, FALSE)</f>
        <v>#N/A</v>
      </c>
    </row>
  </sheetData>
  <sortState xmlns:xlrd2="http://schemas.microsoft.com/office/spreadsheetml/2017/richdata2" ref="A2:Q198">
    <sortCondition ref="D2:D19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/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389</v>
      </c>
      <c r="B1" s="1" t="s">
        <v>390</v>
      </c>
    </row>
    <row r="2" spans="1:2" x14ac:dyDescent="0.25">
      <c r="A2" s="2">
        <v>0</v>
      </c>
      <c r="B2" s="2">
        <v>0</v>
      </c>
    </row>
    <row r="3" spans="1:2" x14ac:dyDescent="0.25">
      <c r="A3">
        <v>3</v>
      </c>
      <c r="B3" t="s">
        <v>391</v>
      </c>
    </row>
    <row r="4" spans="1:2" x14ac:dyDescent="0.25">
      <c r="A4">
        <v>4</v>
      </c>
      <c r="B4" t="s">
        <v>392</v>
      </c>
    </row>
    <row r="5" spans="1:2" x14ac:dyDescent="0.25">
      <c r="A5">
        <v>5</v>
      </c>
      <c r="B5" t="s">
        <v>393</v>
      </c>
    </row>
    <row r="6" spans="1:2" x14ac:dyDescent="0.25">
      <c r="A6">
        <v>6</v>
      </c>
      <c r="B6" t="s">
        <v>394</v>
      </c>
    </row>
    <row r="7" spans="1:2" x14ac:dyDescent="0.25">
      <c r="A7">
        <v>7</v>
      </c>
      <c r="B7" t="s">
        <v>395</v>
      </c>
    </row>
    <row r="8" spans="1:2" x14ac:dyDescent="0.25">
      <c r="A8">
        <v>8</v>
      </c>
      <c r="B8" t="s">
        <v>396</v>
      </c>
    </row>
    <row r="9" spans="1:2" x14ac:dyDescent="0.25">
      <c r="A9">
        <v>9</v>
      </c>
      <c r="B9" t="s">
        <v>399</v>
      </c>
    </row>
    <row r="10" spans="1:2" x14ac:dyDescent="0.25">
      <c r="A10">
        <v>10</v>
      </c>
      <c r="B10" t="s">
        <v>397</v>
      </c>
    </row>
    <row r="11" spans="1:2" x14ac:dyDescent="0.25">
      <c r="A11">
        <v>11</v>
      </c>
      <c r="B11" t="s">
        <v>398</v>
      </c>
    </row>
    <row r="12" spans="1:2" x14ac:dyDescent="0.25">
      <c r="A12">
        <v>12</v>
      </c>
      <c r="B12" t="s">
        <v>400</v>
      </c>
    </row>
    <row r="13" spans="1:2" x14ac:dyDescent="0.25">
      <c r="A13">
        <v>13</v>
      </c>
      <c r="B13" t="s">
        <v>401</v>
      </c>
    </row>
    <row r="14" spans="1:2" x14ac:dyDescent="0.25">
      <c r="A14">
        <v>14</v>
      </c>
      <c r="B14" t="s">
        <v>402</v>
      </c>
    </row>
    <row r="15" spans="1:2" x14ac:dyDescent="0.25">
      <c r="A15">
        <v>15</v>
      </c>
      <c r="B15" t="s">
        <v>403</v>
      </c>
    </row>
    <row r="16" spans="1:2" x14ac:dyDescent="0.25">
      <c r="A16">
        <v>16</v>
      </c>
      <c r="B16" t="s">
        <v>404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2020-06-06T18:22:45Z</dcterms:modified>
</cp:coreProperties>
</file>