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E0D7A196-7A17-4CB9-9BDF-B4873BF47B46}" xr6:coauthVersionLast="45" xr6:coauthVersionMax="45" xr10:uidLastSave="{00000000-0000-0000-0000-000000000000}"/>
  <bookViews>
    <workbookView xWindow="690" yWindow="2835" windowWidth="24000"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U3" i="1" l="1"/>
  <c r="BU4" i="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 i="1"/>
  <c r="BX20" i="1" l="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 i="1"/>
  <c r="BX3" i="1"/>
  <c r="BX4" i="1"/>
  <c r="BX5" i="1"/>
  <c r="BX6" i="1"/>
  <c r="BX7" i="1"/>
  <c r="BX8" i="1"/>
  <c r="BX9" i="1"/>
  <c r="BX10" i="1"/>
  <c r="BX11" i="1"/>
  <c r="BX12" i="1"/>
  <c r="BX13" i="1"/>
  <c r="BX14" i="1"/>
  <c r="BX15" i="1"/>
  <c r="BX16" i="1"/>
  <c r="BX17" i="1"/>
  <c r="BX18" i="1"/>
  <c r="BX19" i="1"/>
  <c r="BV4" i="1" l="1"/>
  <c r="BY4" i="1"/>
  <c r="BR4" i="1"/>
  <c r="BT4" i="1" s="1"/>
  <c r="BA4" i="1"/>
  <c r="AZ4" i="1"/>
  <c r="AY4" i="1"/>
  <c r="AW4" i="1"/>
  <c r="AV4" i="1"/>
  <c r="AU4" i="1"/>
  <c r="AR4" i="1"/>
  <c r="AG4" i="1"/>
  <c r="AI4" i="1" s="1"/>
  <c r="X4" i="1"/>
  <c r="BV6" i="1"/>
  <c r="BY6" i="1"/>
  <c r="BR6" i="1"/>
  <c r="BT6" i="1" s="1"/>
  <c r="BA6" i="1"/>
  <c r="AZ6" i="1"/>
  <c r="AY6" i="1"/>
  <c r="AW6" i="1"/>
  <c r="AV6" i="1"/>
  <c r="AU6" i="1"/>
  <c r="AR6" i="1"/>
  <c r="AG6" i="1"/>
  <c r="AI6" i="1" s="1"/>
  <c r="X6" i="1"/>
  <c r="U104" i="1"/>
  <c r="X104" i="1" s="1"/>
  <c r="Q105" i="1"/>
  <c r="S105" i="1" s="1"/>
  <c r="Q104" i="1"/>
  <c r="S104" i="1" s="1"/>
  <c r="U101" i="1"/>
  <c r="BV104" i="1"/>
  <c r="BR104" i="1"/>
  <c r="BT104" i="1" s="1"/>
  <c r="BA104" i="1"/>
  <c r="AZ104" i="1"/>
  <c r="AY104" i="1"/>
  <c r="AW104" i="1"/>
  <c r="AV104" i="1"/>
  <c r="AU104" i="1"/>
  <c r="AR104" i="1"/>
  <c r="AG104" i="1"/>
  <c r="AF104" i="1"/>
  <c r="BV102" i="1"/>
  <c r="BR102" i="1"/>
  <c r="BT102" i="1" s="1"/>
  <c r="BA102" i="1"/>
  <c r="AZ102" i="1"/>
  <c r="AY102" i="1"/>
  <c r="AW102" i="1"/>
  <c r="AV102" i="1"/>
  <c r="AU102" i="1"/>
  <c r="AR102" i="1"/>
  <c r="AG102" i="1"/>
  <c r="AF102" i="1" s="1"/>
  <c r="X102" i="1"/>
  <c r="Q102" i="1"/>
  <c r="S102" i="1" s="1"/>
  <c r="BV106" i="1"/>
  <c r="BR106" i="1"/>
  <c r="BT106" i="1" s="1"/>
  <c r="BA106" i="1"/>
  <c r="AZ106" i="1"/>
  <c r="AY106" i="1"/>
  <c r="AW106" i="1"/>
  <c r="AV106" i="1"/>
  <c r="AU106" i="1"/>
  <c r="AR106" i="1"/>
  <c r="AG106" i="1"/>
  <c r="AF106" i="1" s="1"/>
  <c r="X106" i="1"/>
  <c r="Q106" i="1"/>
  <c r="S106" i="1" s="1"/>
  <c r="BV103" i="1"/>
  <c r="BR103" i="1"/>
  <c r="BT103" i="1" s="1"/>
  <c r="BA103" i="1"/>
  <c r="AZ103" i="1"/>
  <c r="AY103" i="1"/>
  <c r="AW103" i="1"/>
  <c r="AV103" i="1"/>
  <c r="AU103" i="1"/>
  <c r="AR103" i="1"/>
  <c r="AG103" i="1"/>
  <c r="AF103" i="1" s="1"/>
  <c r="X103" i="1"/>
  <c r="Q103" i="1"/>
  <c r="S103" i="1" s="1"/>
  <c r="BV101" i="1"/>
  <c r="BR101" i="1"/>
  <c r="BT101" i="1" s="1"/>
  <c r="BA101" i="1"/>
  <c r="AZ101" i="1"/>
  <c r="AY101" i="1"/>
  <c r="AW101" i="1"/>
  <c r="AV101" i="1"/>
  <c r="AU101" i="1"/>
  <c r="AR101" i="1"/>
  <c r="AG101" i="1"/>
  <c r="AF101" i="1" s="1"/>
  <c r="X101" i="1"/>
  <c r="Q101" i="1"/>
  <c r="S101" i="1" s="1"/>
  <c r="BC4" i="1" l="1"/>
  <c r="BE4" i="1" s="1"/>
  <c r="AF4" i="1"/>
  <c r="BC6" i="1"/>
  <c r="BE6" i="1" s="1"/>
  <c r="BY104" i="1"/>
  <c r="AF6" i="1"/>
  <c r="BB4" i="1"/>
  <c r="BD4" i="1" s="1"/>
  <c r="BC104" i="1"/>
  <c r="BE104" i="1" s="1"/>
  <c r="BB6" i="1"/>
  <c r="BD6" i="1" s="1"/>
  <c r="BB104" i="1"/>
  <c r="BD104" i="1" s="1"/>
  <c r="BY102" i="1"/>
  <c r="BC102" i="1"/>
  <c r="BE102" i="1" s="1"/>
  <c r="BY106" i="1"/>
  <c r="BB102" i="1"/>
  <c r="BD102" i="1" s="1"/>
  <c r="BC106" i="1"/>
  <c r="BE106" i="1" s="1"/>
  <c r="BC103" i="1"/>
  <c r="BE103" i="1" s="1"/>
  <c r="BB103" i="1"/>
  <c r="BD103" i="1" s="1"/>
  <c r="BY103" i="1"/>
  <c r="BB106" i="1"/>
  <c r="BD106" i="1" s="1"/>
  <c r="BY101" i="1"/>
  <c r="BC101" i="1"/>
  <c r="BE101" i="1" s="1"/>
  <c r="BB101" i="1"/>
  <c r="BD101" i="1" s="1"/>
  <c r="BV69" i="1" l="1"/>
  <c r="BR69" i="1"/>
  <c r="BT69" i="1" s="1"/>
  <c r="BH69" i="1"/>
  <c r="BA69" i="1"/>
  <c r="AZ69" i="1"/>
  <c r="AY69" i="1"/>
  <c r="AW69" i="1"/>
  <c r="AV69" i="1"/>
  <c r="AU69" i="1"/>
  <c r="AR69" i="1"/>
  <c r="AG69" i="1"/>
  <c r="AI69" i="1" s="1"/>
  <c r="X69" i="1"/>
  <c r="BV66" i="1"/>
  <c r="BR66" i="1"/>
  <c r="BT66" i="1" s="1"/>
  <c r="BH66" i="1"/>
  <c r="BA66" i="1"/>
  <c r="AZ66" i="1"/>
  <c r="AY66" i="1"/>
  <c r="AW66" i="1"/>
  <c r="AV66" i="1"/>
  <c r="AU66" i="1"/>
  <c r="AR66" i="1"/>
  <c r="AG66" i="1"/>
  <c r="AI66" i="1" s="1"/>
  <c r="X66" i="1"/>
  <c r="BV68" i="1"/>
  <c r="BR68" i="1"/>
  <c r="BT68" i="1" s="1"/>
  <c r="BH68" i="1"/>
  <c r="BA68" i="1"/>
  <c r="AZ68" i="1"/>
  <c r="AY68" i="1"/>
  <c r="AW68" i="1"/>
  <c r="AV68" i="1"/>
  <c r="AU68" i="1"/>
  <c r="AR68" i="1"/>
  <c r="AG68" i="1"/>
  <c r="AI68" i="1" s="1"/>
  <c r="X68" i="1"/>
  <c r="BV67" i="1"/>
  <c r="BR67" i="1"/>
  <c r="BT67" i="1" s="1"/>
  <c r="BH67" i="1"/>
  <c r="BA67" i="1"/>
  <c r="AZ67" i="1"/>
  <c r="AY67" i="1"/>
  <c r="AW67" i="1"/>
  <c r="AV67" i="1"/>
  <c r="AU67" i="1"/>
  <c r="AR67" i="1"/>
  <c r="AG67" i="1"/>
  <c r="AI67" i="1" s="1"/>
  <c r="X67" i="1"/>
  <c r="V237" i="1"/>
  <c r="V233" i="1"/>
  <c r="V234" i="1"/>
  <c r="V235" i="1"/>
  <c r="V226" i="1"/>
  <c r="V227" i="1"/>
  <c r="V228" i="1"/>
  <c r="V229" i="1"/>
  <c r="V230" i="1"/>
  <c r="V231" i="1"/>
  <c r="V232" i="1"/>
  <c r="V224" i="1"/>
  <c r="V215" i="1"/>
  <c r="V216" i="1"/>
  <c r="V217" i="1"/>
  <c r="V221" i="1"/>
  <c r="V222" i="1"/>
  <c r="V207" i="1"/>
  <c r="V208" i="1"/>
  <c r="V209" i="1"/>
  <c r="V210" i="1"/>
  <c r="V211" i="1"/>
  <c r="V212" i="1"/>
  <c r="V213" i="1"/>
  <c r="V214" i="1"/>
  <c r="V206" i="1"/>
  <c r="V202" i="1"/>
  <c r="V201" i="1"/>
  <c r="V200" i="1"/>
  <c r="V198" i="1"/>
  <c r="V197" i="1"/>
  <c r="V195" i="1"/>
  <c r="V193" i="1"/>
  <c r="V192" i="1"/>
  <c r="V191" i="1"/>
  <c r="V190" i="1"/>
  <c r="V189" i="1"/>
  <c r="AT24" i="1"/>
  <c r="AT23" i="1"/>
  <c r="AT22" i="1"/>
  <c r="AT21" i="1"/>
  <c r="AT20" i="1"/>
  <c r="AT19" i="1"/>
  <c r="AT18" i="1"/>
  <c r="AT17" i="1"/>
  <c r="BY69" i="1" l="1"/>
  <c r="AF66" i="1"/>
  <c r="BC69" i="1"/>
  <c r="BE69" i="1" s="1"/>
  <c r="BC67" i="1"/>
  <c r="BE67" i="1" s="1"/>
  <c r="BC66" i="1"/>
  <c r="BE66" i="1" s="1"/>
  <c r="BC68" i="1"/>
  <c r="BE68" i="1" s="1"/>
  <c r="BY66" i="1"/>
  <c r="AF67" i="1"/>
  <c r="AF69" i="1"/>
  <c r="AF68" i="1"/>
  <c r="BB68" i="1"/>
  <c r="BD68" i="1" s="1"/>
  <c r="BY68" i="1"/>
  <c r="BY67" i="1"/>
  <c r="BB69" i="1"/>
  <c r="BD69" i="1" s="1"/>
  <c r="BB66" i="1"/>
  <c r="BD66" i="1" s="1"/>
  <c r="BB67" i="1"/>
  <c r="BD67" i="1" s="1"/>
  <c r="BV3" i="1"/>
  <c r="BV5"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8" i="1"/>
  <c r="BV99" i="1"/>
  <c r="BV100" i="1"/>
  <c r="BV105"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 i="1"/>
  <c r="Q91" i="1"/>
  <c r="S91" i="1" s="1"/>
  <c r="T227" i="1"/>
  <c r="X227" i="1" s="1"/>
  <c r="BR227" i="1"/>
  <c r="BT227" i="1" s="1"/>
  <c r="BA227" i="1"/>
  <c r="AZ227" i="1"/>
  <c r="AY227" i="1"/>
  <c r="AW227" i="1"/>
  <c r="AV227" i="1"/>
  <c r="AU227" i="1"/>
  <c r="AR227" i="1"/>
  <c r="AG227" i="1"/>
  <c r="AI227" i="1" s="1"/>
  <c r="T205" i="1"/>
  <c r="X205" i="1" s="1"/>
  <c r="BR205" i="1"/>
  <c r="BT205" i="1" s="1"/>
  <c r="BA205" i="1"/>
  <c r="AZ205" i="1"/>
  <c r="AY205" i="1"/>
  <c r="AW205" i="1"/>
  <c r="AV205" i="1"/>
  <c r="AU205" i="1"/>
  <c r="AR205" i="1"/>
  <c r="AG205" i="1"/>
  <c r="AI205" i="1" s="1"/>
  <c r="T224" i="1"/>
  <c r="BR223" i="1"/>
  <c r="BT223" i="1" s="1"/>
  <c r="BA223" i="1"/>
  <c r="AZ223" i="1"/>
  <c r="AW223" i="1"/>
  <c r="AV223" i="1"/>
  <c r="AU223" i="1"/>
  <c r="AR223" i="1"/>
  <c r="AG223" i="1"/>
  <c r="AI223" i="1" s="1"/>
  <c r="AE223" i="1"/>
  <c r="AY223" i="1" s="1"/>
  <c r="X223" i="1"/>
  <c r="T235" i="1"/>
  <c r="BR234" i="1"/>
  <c r="BT234" i="1" s="1"/>
  <c r="BA234" i="1"/>
  <c r="AZ234" i="1"/>
  <c r="AY234" i="1"/>
  <c r="AW234" i="1"/>
  <c r="AV234" i="1"/>
  <c r="AU234" i="1"/>
  <c r="AR234" i="1"/>
  <c r="AG234" i="1"/>
  <c r="AI234" i="1" s="1"/>
  <c r="X234" i="1"/>
  <c r="T230" i="1"/>
  <c r="X230" i="1" s="1"/>
  <c r="BR230" i="1"/>
  <c r="BT230" i="1" s="1"/>
  <c r="BA230" i="1"/>
  <c r="AZ230" i="1"/>
  <c r="AY230" i="1"/>
  <c r="AW230" i="1"/>
  <c r="AU230" i="1"/>
  <c r="AR230" i="1"/>
  <c r="AG230" i="1"/>
  <c r="AI230" i="1" s="1"/>
  <c r="K230" i="1"/>
  <c r="AV230" i="1" s="1"/>
  <c r="T213" i="1"/>
  <c r="X213" i="1" s="1"/>
  <c r="BR213" i="1"/>
  <c r="BT213" i="1" s="1"/>
  <c r="BA213" i="1"/>
  <c r="AZ213" i="1"/>
  <c r="AY213" i="1"/>
  <c r="AW213" i="1"/>
  <c r="AV213" i="1"/>
  <c r="AU213" i="1"/>
  <c r="AR213" i="1"/>
  <c r="AG213" i="1"/>
  <c r="AI213" i="1" s="1"/>
  <c r="T198" i="1"/>
  <c r="X198" i="1" s="1"/>
  <c r="BR198" i="1"/>
  <c r="BT198" i="1" s="1"/>
  <c r="BA198" i="1"/>
  <c r="AZ198" i="1"/>
  <c r="AY198" i="1"/>
  <c r="AW198" i="1"/>
  <c r="AV198" i="1"/>
  <c r="AU198" i="1"/>
  <c r="AR198" i="1"/>
  <c r="AG198" i="1"/>
  <c r="AI198" i="1" s="1"/>
  <c r="T220" i="1"/>
  <c r="X220" i="1" s="1"/>
  <c r="T226" i="1"/>
  <c r="X226" i="1" s="1"/>
  <c r="BR226" i="1"/>
  <c r="BT226" i="1" s="1"/>
  <c r="BA226" i="1"/>
  <c r="AZ226" i="1"/>
  <c r="AY226" i="1"/>
  <c r="AW226" i="1"/>
  <c r="AV226" i="1"/>
  <c r="AU226" i="1"/>
  <c r="AR226" i="1"/>
  <c r="AG226" i="1"/>
  <c r="AI226" i="1" s="1"/>
  <c r="T204" i="1"/>
  <c r="X204" i="1" s="1"/>
  <c r="BR204" i="1"/>
  <c r="BT204" i="1" s="1"/>
  <c r="BA204" i="1"/>
  <c r="AZ204" i="1"/>
  <c r="AY204" i="1"/>
  <c r="AW204" i="1"/>
  <c r="AV204" i="1"/>
  <c r="AU204" i="1"/>
  <c r="AR204" i="1"/>
  <c r="AG204" i="1"/>
  <c r="AI204" i="1" s="1"/>
  <c r="BR220" i="1"/>
  <c r="BT220" i="1" s="1"/>
  <c r="BA220" i="1"/>
  <c r="AZ220" i="1"/>
  <c r="AY220" i="1"/>
  <c r="AW220" i="1"/>
  <c r="AV220" i="1"/>
  <c r="AU220" i="1"/>
  <c r="AR220" i="1"/>
  <c r="AG220" i="1"/>
  <c r="AI220" i="1" s="1"/>
  <c r="BC205" i="1" l="1"/>
  <c r="BE205" i="1" s="1"/>
  <c r="BC198" i="1"/>
  <c r="BE198" i="1" s="1"/>
  <c r="BC226" i="1"/>
  <c r="BE226" i="1" s="1"/>
  <c r="BC230" i="1"/>
  <c r="BE230" i="1" s="1"/>
  <c r="BC220" i="1"/>
  <c r="BE220" i="1" s="1"/>
  <c r="BC213" i="1"/>
  <c r="BE213" i="1" s="1"/>
  <c r="BC227" i="1"/>
  <c r="BE227" i="1" s="1"/>
  <c r="BC204" i="1"/>
  <c r="BE204" i="1" s="1"/>
  <c r="BC234" i="1"/>
  <c r="BE234" i="1" s="1"/>
  <c r="BC223" i="1"/>
  <c r="BE223" i="1" s="1"/>
  <c r="BY63" i="1"/>
  <c r="BY14" i="1"/>
  <c r="BY10" i="1"/>
  <c r="BY259" i="1"/>
  <c r="BY255" i="1"/>
  <c r="BY243" i="1"/>
  <c r="BY239" i="1"/>
  <c r="BY227" i="1"/>
  <c r="BY223" i="1"/>
  <c r="BY211" i="1"/>
  <c r="BY207" i="1"/>
  <c r="BY195" i="1"/>
  <c r="BY191" i="1"/>
  <c r="BY179" i="1"/>
  <c r="BY175" i="1"/>
  <c r="BY163" i="1"/>
  <c r="BY159" i="1"/>
  <c r="BY147" i="1"/>
  <c r="BY143" i="1"/>
  <c r="BY131" i="1"/>
  <c r="BY127" i="1"/>
  <c r="BY115" i="1"/>
  <c r="BY111" i="1"/>
  <c r="BY94" i="1"/>
  <c r="BY90" i="1"/>
  <c r="BY78" i="1"/>
  <c r="BY74" i="1"/>
  <c r="BY269" i="1"/>
  <c r="BY261" i="1"/>
  <c r="BY245" i="1"/>
  <c r="BY237" i="1"/>
  <c r="BY229" i="1"/>
  <c r="BY221" i="1"/>
  <c r="BY213" i="1"/>
  <c r="BY201" i="1"/>
  <c r="BY181" i="1"/>
  <c r="BY169" i="1"/>
  <c r="BY157" i="1"/>
  <c r="BY149" i="1"/>
  <c r="BY141" i="1"/>
  <c r="BY133" i="1"/>
  <c r="BY125" i="1"/>
  <c r="BY121" i="1"/>
  <c r="BY117" i="1"/>
  <c r="BY109" i="1"/>
  <c r="BY100" i="1"/>
  <c r="BY96" i="1"/>
  <c r="BY88" i="1"/>
  <c r="BY84" i="1"/>
  <c r="BY80" i="1"/>
  <c r="BY72" i="1"/>
  <c r="BY15" i="1"/>
  <c r="BY13" i="1"/>
  <c r="BY11" i="1"/>
  <c r="BY9" i="1"/>
  <c r="BY7" i="1"/>
  <c r="BY3" i="1"/>
  <c r="BY265" i="1"/>
  <c r="BY249" i="1"/>
  <c r="BY233" i="1"/>
  <c r="BY217" i="1"/>
  <c r="BY205" i="1"/>
  <c r="BY197" i="1"/>
  <c r="BY185" i="1"/>
  <c r="BY173" i="1"/>
  <c r="BY165" i="1"/>
  <c r="BY153" i="1"/>
  <c r="BY137" i="1"/>
  <c r="BY270" i="1"/>
  <c r="BY268" i="1"/>
  <c r="BY266" i="1"/>
  <c r="BY264" i="1"/>
  <c r="BY262" i="1"/>
  <c r="BY260" i="1"/>
  <c r="BY258" i="1"/>
  <c r="BY256" i="1"/>
  <c r="BY254" i="1"/>
  <c r="BY252" i="1"/>
  <c r="BY250" i="1"/>
  <c r="BY248" i="1"/>
  <c r="BY246" i="1"/>
  <c r="BY244" i="1"/>
  <c r="BY242" i="1"/>
  <c r="BY240" i="1"/>
  <c r="BY238" i="1"/>
  <c r="BY236" i="1"/>
  <c r="BY234" i="1"/>
  <c r="BY232" i="1"/>
  <c r="BY230" i="1"/>
  <c r="BY228" i="1"/>
  <c r="BY226" i="1"/>
  <c r="BY224" i="1"/>
  <c r="BY222" i="1"/>
  <c r="BY220" i="1"/>
  <c r="BY218" i="1"/>
  <c r="BY216" i="1"/>
  <c r="BY214" i="1"/>
  <c r="BY212" i="1"/>
  <c r="BY210" i="1"/>
  <c r="BY208" i="1"/>
  <c r="BY206" i="1"/>
  <c r="BY204" i="1"/>
  <c r="BY202" i="1"/>
  <c r="BY200" i="1"/>
  <c r="BY198" i="1"/>
  <c r="BY196" i="1"/>
  <c r="BY194" i="1"/>
  <c r="BY192" i="1"/>
  <c r="BY190" i="1"/>
  <c r="BY188" i="1"/>
  <c r="BY186" i="1"/>
  <c r="BY184" i="1"/>
  <c r="BY182" i="1"/>
  <c r="BY180" i="1"/>
  <c r="BY178" i="1"/>
  <c r="BY176" i="1"/>
  <c r="BY174" i="1"/>
  <c r="BY172" i="1"/>
  <c r="BY170" i="1"/>
  <c r="BY168" i="1"/>
  <c r="BY166" i="1"/>
  <c r="BY164" i="1"/>
  <c r="BY162" i="1"/>
  <c r="BY160" i="1"/>
  <c r="BY158" i="1"/>
  <c r="BY156" i="1"/>
  <c r="BY154" i="1"/>
  <c r="BY152" i="1"/>
  <c r="BY150" i="1"/>
  <c r="BY148" i="1"/>
  <c r="BY146" i="1"/>
  <c r="BY144" i="1"/>
  <c r="BY142" i="1"/>
  <c r="BY140" i="1"/>
  <c r="BY138" i="1"/>
  <c r="BY136" i="1"/>
  <c r="BY134" i="1"/>
  <c r="BY132" i="1"/>
  <c r="BY130" i="1"/>
  <c r="BY128" i="1"/>
  <c r="BY126" i="1"/>
  <c r="BY124" i="1"/>
  <c r="BY122" i="1"/>
  <c r="BY120" i="1"/>
  <c r="BY118" i="1"/>
  <c r="BY116" i="1"/>
  <c r="BY114" i="1"/>
  <c r="BY112" i="1"/>
  <c r="BY110" i="1"/>
  <c r="BY108" i="1"/>
  <c r="BY105" i="1"/>
  <c r="BY99" i="1"/>
  <c r="BY97" i="1"/>
  <c r="BY95" i="1"/>
  <c r="BY93" i="1"/>
  <c r="BY91" i="1"/>
  <c r="BY89" i="1"/>
  <c r="BY87" i="1"/>
  <c r="BY85" i="1"/>
  <c r="BY83" i="1"/>
  <c r="BY81" i="1"/>
  <c r="BY79" i="1"/>
  <c r="BY77" i="1"/>
  <c r="BY75" i="1"/>
  <c r="BY73" i="1"/>
  <c r="BY71" i="1"/>
  <c r="BY267" i="1"/>
  <c r="BY263" i="1"/>
  <c r="BY251" i="1"/>
  <c r="BY247" i="1"/>
  <c r="BY235" i="1"/>
  <c r="BY231" i="1"/>
  <c r="BY219" i="1"/>
  <c r="BY215" i="1"/>
  <c r="BY203" i="1"/>
  <c r="BY199" i="1"/>
  <c r="BY187" i="1"/>
  <c r="BY183" i="1"/>
  <c r="BY171" i="1"/>
  <c r="BY167" i="1"/>
  <c r="BY155" i="1"/>
  <c r="BY151" i="1"/>
  <c r="BY139" i="1"/>
  <c r="BY135" i="1"/>
  <c r="BY123" i="1"/>
  <c r="BY119" i="1"/>
  <c r="BY107" i="1"/>
  <c r="BY98" i="1"/>
  <c r="BY86" i="1"/>
  <c r="BY82" i="1"/>
  <c r="BY8" i="1"/>
  <c r="BY16" i="1"/>
  <c r="BY5" i="1"/>
  <c r="BY257" i="1"/>
  <c r="BY253" i="1"/>
  <c r="BY241" i="1"/>
  <c r="BY225" i="1"/>
  <c r="BY209" i="1"/>
  <c r="BY193" i="1"/>
  <c r="BY189" i="1"/>
  <c r="BY177" i="1"/>
  <c r="BY161" i="1"/>
  <c r="BY145" i="1"/>
  <c r="BY129" i="1"/>
  <c r="BY113" i="1"/>
  <c r="BY92" i="1"/>
  <c r="BY76" i="1"/>
  <c r="BY12" i="1"/>
  <c r="BY2" i="1"/>
  <c r="AF205" i="1"/>
  <c r="AF227" i="1"/>
  <c r="BB227" i="1"/>
  <c r="BD227" i="1" s="1"/>
  <c r="BB205" i="1"/>
  <c r="BD205" i="1" s="1"/>
  <c r="AF223" i="1"/>
  <c r="BB223" i="1"/>
  <c r="BD223" i="1" s="1"/>
  <c r="AF230" i="1"/>
  <c r="AF234" i="1"/>
  <c r="BB234" i="1"/>
  <c r="BD234" i="1" s="1"/>
  <c r="BB230" i="1"/>
  <c r="BD230" i="1" s="1"/>
  <c r="AF213" i="1"/>
  <c r="BB213" i="1"/>
  <c r="BD213" i="1" s="1"/>
  <c r="AF198" i="1"/>
  <c r="AF226" i="1"/>
  <c r="BB198" i="1"/>
  <c r="BD198" i="1" s="1"/>
  <c r="AF204" i="1"/>
  <c r="BB226" i="1"/>
  <c r="BD226" i="1" s="1"/>
  <c r="BB204" i="1"/>
  <c r="BD204" i="1" s="1"/>
  <c r="AF220" i="1"/>
  <c r="BB220" i="1"/>
  <c r="BD220" i="1" s="1"/>
  <c r="BR20" i="1"/>
  <c r="BT20" i="1" s="1"/>
  <c r="BH20" i="1"/>
  <c r="BY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5" i="1"/>
  <c r="AR107" i="1"/>
  <c r="AR92" i="1"/>
  <c r="AR93" i="1"/>
  <c r="AR94" i="1"/>
  <c r="AR95" i="1"/>
  <c r="AR96" i="1"/>
  <c r="AR97" i="1"/>
  <c r="AR98" i="1"/>
  <c r="AR99" i="1"/>
  <c r="AR100"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9" i="1"/>
  <c r="AR200" i="1"/>
  <c r="AR201" i="1"/>
  <c r="AR202" i="1"/>
  <c r="AR203" i="1"/>
  <c r="AR206" i="1"/>
  <c r="AR207" i="1"/>
  <c r="AR208" i="1"/>
  <c r="AR209" i="1"/>
  <c r="AR210" i="1"/>
  <c r="AR211" i="1"/>
  <c r="AR212" i="1"/>
  <c r="AR214" i="1"/>
  <c r="AR215" i="1"/>
  <c r="AR216" i="1"/>
  <c r="AR217" i="1"/>
  <c r="AR218" i="1"/>
  <c r="AR219" i="1"/>
  <c r="AR221" i="1"/>
  <c r="AR222" i="1"/>
  <c r="AR224" i="1"/>
  <c r="AR225" i="1"/>
  <c r="AR228" i="1"/>
  <c r="AR229" i="1"/>
  <c r="AR231" i="1"/>
  <c r="AR232" i="1"/>
  <c r="AR235" i="1"/>
  <c r="AR236" i="1"/>
  <c r="AR237" i="1"/>
  <c r="AR233"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 i="1"/>
  <c r="BH26" i="1"/>
  <c r="BY26" i="1" s="1"/>
  <c r="BH27" i="1"/>
  <c r="BY27" i="1" s="1"/>
  <c r="BH28" i="1"/>
  <c r="BY28" i="1" s="1"/>
  <c r="BH29" i="1"/>
  <c r="BY29" i="1" s="1"/>
  <c r="BH30" i="1"/>
  <c r="BY30" i="1" s="1"/>
  <c r="BH31" i="1"/>
  <c r="BY31" i="1" s="1"/>
  <c r="BH32" i="1"/>
  <c r="BY32" i="1" s="1"/>
  <c r="BH33" i="1"/>
  <c r="BY33" i="1" s="1"/>
  <c r="BH34" i="1"/>
  <c r="BY34" i="1" s="1"/>
  <c r="BH35" i="1"/>
  <c r="BY35" i="1" s="1"/>
  <c r="BH36" i="1"/>
  <c r="BY36" i="1" s="1"/>
  <c r="BH37" i="1"/>
  <c r="BY37" i="1" s="1"/>
  <c r="BH38" i="1"/>
  <c r="BY38" i="1" s="1"/>
  <c r="BH39" i="1"/>
  <c r="BY39" i="1" s="1"/>
  <c r="BH40" i="1"/>
  <c r="BY40" i="1" s="1"/>
  <c r="BH41" i="1"/>
  <c r="BY41" i="1" s="1"/>
  <c r="BH42" i="1"/>
  <c r="BY42" i="1" s="1"/>
  <c r="BH43" i="1"/>
  <c r="BY43" i="1" s="1"/>
  <c r="BH44" i="1"/>
  <c r="BY44" i="1" s="1"/>
  <c r="BH45" i="1"/>
  <c r="BY45" i="1" s="1"/>
  <c r="BH46" i="1"/>
  <c r="BY46" i="1" s="1"/>
  <c r="BH47" i="1"/>
  <c r="BY47" i="1" s="1"/>
  <c r="BH48" i="1"/>
  <c r="BY48" i="1" s="1"/>
  <c r="BH49" i="1"/>
  <c r="BY49" i="1" s="1"/>
  <c r="BH50" i="1"/>
  <c r="BY50" i="1" s="1"/>
  <c r="BH51" i="1"/>
  <c r="BY51" i="1" s="1"/>
  <c r="BH52" i="1"/>
  <c r="BY52" i="1" s="1"/>
  <c r="BH53" i="1"/>
  <c r="BY53" i="1" s="1"/>
  <c r="BH54" i="1"/>
  <c r="BY54" i="1" s="1"/>
  <c r="BH55" i="1"/>
  <c r="BY55" i="1" s="1"/>
  <c r="BH56" i="1"/>
  <c r="BY56" i="1" s="1"/>
  <c r="BH57" i="1"/>
  <c r="BY57" i="1" s="1"/>
  <c r="BH58" i="1"/>
  <c r="BY58" i="1" s="1"/>
  <c r="BH59" i="1"/>
  <c r="BY59" i="1" s="1"/>
  <c r="BH60" i="1"/>
  <c r="BY60" i="1" s="1"/>
  <c r="BH61" i="1"/>
  <c r="BY61" i="1" s="1"/>
  <c r="BH62" i="1"/>
  <c r="BY62" i="1" s="1"/>
  <c r="BH25" i="1"/>
  <c r="BY25" i="1" s="1"/>
  <c r="BH65" i="1" l="1"/>
  <c r="BY65" i="1" s="1"/>
  <c r="BH70" i="1"/>
  <c r="BY70" i="1" s="1"/>
  <c r="BH64" i="1"/>
  <c r="BY64" i="1" s="1"/>
  <c r="BH18" i="1"/>
  <c r="BY18" i="1" s="1"/>
  <c r="BH19" i="1"/>
  <c r="BY19" i="1" s="1"/>
  <c r="BH21" i="1"/>
  <c r="BY21" i="1" s="1"/>
  <c r="BH22" i="1"/>
  <c r="BY22" i="1" s="1"/>
  <c r="BH23" i="1"/>
  <c r="BY23" i="1" s="1"/>
  <c r="BH24" i="1"/>
  <c r="BY24" i="1" s="1"/>
  <c r="BH17" i="1"/>
  <c r="BY17" i="1" s="1"/>
  <c r="BA19" i="1" l="1"/>
  <c r="BA17" i="1"/>
  <c r="BA18" i="1"/>
  <c r="BA239"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5" i="1"/>
  <c r="BA107" i="1"/>
  <c r="BA130" i="1"/>
  <c r="BA194" i="1"/>
  <c r="BA196" i="1"/>
  <c r="BA236" i="1"/>
  <c r="BA187"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189" i="1"/>
  <c r="BA190" i="1"/>
  <c r="BA191" i="1"/>
  <c r="BA192" i="1"/>
  <c r="BA193" i="1"/>
  <c r="BA149" i="1"/>
  <c r="BA195" i="1"/>
  <c r="BA197" i="1"/>
  <c r="BA199" i="1"/>
  <c r="BA200" i="1"/>
  <c r="BA201" i="1"/>
  <c r="BA202" i="1"/>
  <c r="BA203" i="1"/>
  <c r="BA206" i="1"/>
  <c r="BA207" i="1"/>
  <c r="BA208" i="1"/>
  <c r="BA209" i="1"/>
  <c r="BA210" i="1"/>
  <c r="BA211" i="1"/>
  <c r="BA212" i="1"/>
  <c r="BA214" i="1"/>
  <c r="BA215" i="1"/>
  <c r="BA216" i="1"/>
  <c r="BA217" i="1"/>
  <c r="BA218" i="1"/>
  <c r="BA221" i="1"/>
  <c r="BA222" i="1"/>
  <c r="BA224" i="1"/>
  <c r="BA225" i="1"/>
  <c r="BA228" i="1"/>
  <c r="BA229" i="1"/>
  <c r="BA231" i="1"/>
  <c r="BA232" i="1"/>
  <c r="BA235" i="1"/>
  <c r="BA237" i="1"/>
  <c r="BA233" i="1"/>
  <c r="BA219" i="1"/>
  <c r="BA92" i="1"/>
  <c r="BA93" i="1"/>
  <c r="BA94" i="1"/>
  <c r="BA188" i="1"/>
  <c r="BA95" i="1"/>
  <c r="BA96" i="1"/>
  <c r="BA97" i="1"/>
  <c r="BA98" i="1"/>
  <c r="BA99" i="1"/>
  <c r="BA100" i="1"/>
  <c r="BA108" i="1"/>
  <c r="BA109" i="1"/>
  <c r="BA110" i="1"/>
  <c r="BA111" i="1"/>
  <c r="BA112" i="1"/>
  <c r="BA113" i="1"/>
  <c r="BA114" i="1"/>
  <c r="BA115" i="1"/>
  <c r="BA116" i="1"/>
  <c r="BA117" i="1"/>
  <c r="BA118" i="1"/>
  <c r="BA119" i="1"/>
  <c r="BA121" i="1"/>
  <c r="BA120" i="1"/>
  <c r="BA122" i="1"/>
  <c r="BA123" i="1"/>
  <c r="BA124" i="1"/>
  <c r="BA125" i="1"/>
  <c r="BA126" i="1"/>
  <c r="BA127" i="1"/>
  <c r="BA128" i="1"/>
  <c r="BA129" i="1"/>
  <c r="BA131" i="1"/>
  <c r="BA132" i="1"/>
  <c r="BA133" i="1"/>
  <c r="BA134" i="1"/>
  <c r="BA135" i="1"/>
  <c r="BA136" i="1"/>
  <c r="BA137" i="1"/>
  <c r="BA138" i="1"/>
  <c r="BA139" i="1"/>
  <c r="BA140" i="1"/>
  <c r="BA141" i="1"/>
  <c r="BA142" i="1"/>
  <c r="BA143" i="1"/>
  <c r="BA144" i="1"/>
  <c r="BA145" i="1"/>
  <c r="BA146" i="1"/>
  <c r="BA147" i="1"/>
  <c r="BA148"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238" i="1"/>
  <c r="AY19" i="1"/>
  <c r="AY17" i="1"/>
  <c r="AY18" i="1"/>
  <c r="AY239"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5" i="1"/>
  <c r="AY107" i="1"/>
  <c r="AY130" i="1"/>
  <c r="AY194" i="1"/>
  <c r="AY196" i="1"/>
  <c r="AY236" i="1"/>
  <c r="AY187" i="1"/>
  <c r="AY240" i="1"/>
  <c r="AY241" i="1"/>
  <c r="AY242" i="1"/>
  <c r="AY243" i="1"/>
  <c r="AY244" i="1"/>
  <c r="AY245" i="1"/>
  <c r="AY246" i="1"/>
  <c r="AY247" i="1"/>
  <c r="AY248" i="1"/>
  <c r="AY249" i="1"/>
  <c r="AY250" i="1"/>
  <c r="AY251" i="1"/>
  <c r="AY252" i="1"/>
  <c r="AY253" i="1"/>
  <c r="AY254" i="1"/>
  <c r="AY255" i="1"/>
  <c r="AY256" i="1"/>
  <c r="AY258" i="1"/>
  <c r="AY259" i="1"/>
  <c r="AY260" i="1"/>
  <c r="AY261" i="1"/>
  <c r="AY262" i="1"/>
  <c r="AY263" i="1"/>
  <c r="AY264" i="1"/>
  <c r="AY265" i="1"/>
  <c r="AY266" i="1"/>
  <c r="AY267" i="1"/>
  <c r="AY268" i="1"/>
  <c r="AY269" i="1"/>
  <c r="AY270" i="1"/>
  <c r="AY189" i="1"/>
  <c r="AY190" i="1"/>
  <c r="AY191" i="1"/>
  <c r="AY193" i="1"/>
  <c r="AY149" i="1"/>
  <c r="AY195" i="1"/>
  <c r="AY197" i="1"/>
  <c r="AY199" i="1"/>
  <c r="AY200" i="1"/>
  <c r="AY201" i="1"/>
  <c r="AY202" i="1"/>
  <c r="AY203" i="1"/>
  <c r="AY206" i="1"/>
  <c r="AY207" i="1"/>
  <c r="AY208" i="1"/>
  <c r="AY209" i="1"/>
  <c r="AY210" i="1"/>
  <c r="AY211" i="1"/>
  <c r="AY212" i="1"/>
  <c r="AY214" i="1"/>
  <c r="AY215" i="1"/>
  <c r="AY216" i="1"/>
  <c r="AY217" i="1"/>
  <c r="AY218" i="1"/>
  <c r="AY221" i="1"/>
  <c r="AY222" i="1"/>
  <c r="AY225" i="1"/>
  <c r="AY228" i="1"/>
  <c r="AY229" i="1"/>
  <c r="AY231" i="1"/>
  <c r="AY232" i="1"/>
  <c r="AY235" i="1"/>
  <c r="AY237" i="1"/>
  <c r="AY233" i="1"/>
  <c r="AY219" i="1"/>
  <c r="AY92" i="1"/>
  <c r="AY93" i="1"/>
  <c r="AY94" i="1"/>
  <c r="AY188" i="1"/>
  <c r="AY95" i="1"/>
  <c r="AY96" i="1"/>
  <c r="AY97" i="1"/>
  <c r="AY98" i="1"/>
  <c r="AY99" i="1"/>
  <c r="AY100" i="1"/>
  <c r="AY108" i="1"/>
  <c r="AY109" i="1"/>
  <c r="AY110" i="1"/>
  <c r="AY111" i="1"/>
  <c r="AY112" i="1"/>
  <c r="AY113" i="1"/>
  <c r="AY114" i="1"/>
  <c r="AY115" i="1"/>
  <c r="AY116" i="1"/>
  <c r="AY117" i="1"/>
  <c r="AY118" i="1"/>
  <c r="AY119" i="1"/>
  <c r="AY121" i="1"/>
  <c r="AY120" i="1"/>
  <c r="AY122" i="1"/>
  <c r="AY123" i="1"/>
  <c r="AY124" i="1"/>
  <c r="AY125" i="1"/>
  <c r="AY126" i="1"/>
  <c r="AY127" i="1"/>
  <c r="AY128" i="1"/>
  <c r="AY129" i="1"/>
  <c r="AY131" i="1"/>
  <c r="AY132" i="1"/>
  <c r="AY133" i="1"/>
  <c r="AY134" i="1"/>
  <c r="AY135" i="1"/>
  <c r="AY136" i="1"/>
  <c r="AY137" i="1"/>
  <c r="AY138" i="1"/>
  <c r="AY139" i="1"/>
  <c r="AY140" i="1"/>
  <c r="AY141" i="1"/>
  <c r="AY142" i="1"/>
  <c r="AY143" i="1"/>
  <c r="AY144" i="1"/>
  <c r="AY145" i="1"/>
  <c r="AY146" i="1"/>
  <c r="AY147" i="1"/>
  <c r="AY148"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238" i="1"/>
  <c r="AU19" i="1"/>
  <c r="AV19" i="1"/>
  <c r="AW19" i="1"/>
  <c r="AZ19" i="1"/>
  <c r="AU17" i="1"/>
  <c r="AV17" i="1"/>
  <c r="AW17" i="1"/>
  <c r="AZ17" i="1"/>
  <c r="AU18" i="1"/>
  <c r="AV18" i="1"/>
  <c r="AW18" i="1"/>
  <c r="AZ18" i="1"/>
  <c r="AU239" i="1"/>
  <c r="AV239" i="1"/>
  <c r="AW239" i="1"/>
  <c r="AZ239"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5" i="1"/>
  <c r="AV105" i="1"/>
  <c r="AW105" i="1"/>
  <c r="AZ105" i="1"/>
  <c r="AU107" i="1"/>
  <c r="AV107" i="1"/>
  <c r="AW107" i="1"/>
  <c r="AZ107" i="1"/>
  <c r="AU130" i="1"/>
  <c r="AV130" i="1"/>
  <c r="AW130" i="1"/>
  <c r="AZ130" i="1"/>
  <c r="AU194" i="1"/>
  <c r="AV194" i="1"/>
  <c r="AW194" i="1"/>
  <c r="AZ194" i="1"/>
  <c r="AU196" i="1"/>
  <c r="AV196" i="1"/>
  <c r="AW196" i="1"/>
  <c r="AZ196" i="1"/>
  <c r="AU236" i="1"/>
  <c r="AW236" i="1"/>
  <c r="AZ236" i="1"/>
  <c r="AU187" i="1"/>
  <c r="AV187" i="1"/>
  <c r="AW187" i="1"/>
  <c r="AZ187"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189" i="1"/>
  <c r="AV189" i="1"/>
  <c r="AW189" i="1"/>
  <c r="AZ189" i="1"/>
  <c r="AU190" i="1"/>
  <c r="AV190" i="1"/>
  <c r="AW190" i="1"/>
  <c r="AZ190" i="1"/>
  <c r="AU191" i="1"/>
  <c r="AV191" i="1"/>
  <c r="AW191" i="1"/>
  <c r="AZ191" i="1"/>
  <c r="AU192" i="1"/>
  <c r="AV192" i="1"/>
  <c r="AW192" i="1"/>
  <c r="AZ192" i="1"/>
  <c r="AU193" i="1"/>
  <c r="AV193" i="1"/>
  <c r="AW193" i="1"/>
  <c r="AZ193" i="1"/>
  <c r="AU149" i="1"/>
  <c r="AV149" i="1"/>
  <c r="AW149" i="1"/>
  <c r="AZ149" i="1"/>
  <c r="AU195" i="1"/>
  <c r="AV195" i="1"/>
  <c r="AW195" i="1"/>
  <c r="AZ195" i="1"/>
  <c r="AU197" i="1"/>
  <c r="AV197" i="1"/>
  <c r="AW197" i="1"/>
  <c r="AZ197" i="1"/>
  <c r="AU199" i="1"/>
  <c r="AV199" i="1"/>
  <c r="AW199" i="1"/>
  <c r="AZ199" i="1"/>
  <c r="AU200" i="1"/>
  <c r="AV200" i="1"/>
  <c r="AW200" i="1"/>
  <c r="AZ200" i="1"/>
  <c r="AU201" i="1"/>
  <c r="AV201" i="1"/>
  <c r="AW201" i="1"/>
  <c r="AZ201" i="1"/>
  <c r="AU202" i="1"/>
  <c r="AV202" i="1"/>
  <c r="AW202" i="1"/>
  <c r="AZ202" i="1"/>
  <c r="AU203" i="1"/>
  <c r="AV203" i="1"/>
  <c r="AW203" i="1"/>
  <c r="AZ203" i="1"/>
  <c r="AU206" i="1"/>
  <c r="AV206" i="1"/>
  <c r="AW206" i="1"/>
  <c r="AZ206" i="1"/>
  <c r="AU207" i="1"/>
  <c r="AV207" i="1"/>
  <c r="AW207" i="1"/>
  <c r="AZ207" i="1"/>
  <c r="AU208" i="1"/>
  <c r="AW208" i="1"/>
  <c r="AZ208" i="1"/>
  <c r="AU209" i="1"/>
  <c r="AV209" i="1"/>
  <c r="AW209" i="1"/>
  <c r="AZ209" i="1"/>
  <c r="AU210" i="1"/>
  <c r="AW210" i="1"/>
  <c r="AZ210" i="1"/>
  <c r="AU211" i="1"/>
  <c r="AW211" i="1"/>
  <c r="AZ211" i="1"/>
  <c r="AU212" i="1"/>
  <c r="AV212" i="1"/>
  <c r="AW212" i="1"/>
  <c r="AZ212" i="1"/>
  <c r="AU214" i="1"/>
  <c r="AW214" i="1"/>
  <c r="AZ214" i="1"/>
  <c r="AU215" i="1"/>
  <c r="AV215" i="1"/>
  <c r="AW215" i="1"/>
  <c r="AZ215" i="1"/>
  <c r="AU216" i="1"/>
  <c r="AW216" i="1"/>
  <c r="AZ216" i="1"/>
  <c r="AU217" i="1"/>
  <c r="AV217" i="1"/>
  <c r="AW217" i="1"/>
  <c r="AZ217" i="1"/>
  <c r="AU218" i="1"/>
  <c r="AV218" i="1"/>
  <c r="AW218" i="1"/>
  <c r="AZ218" i="1"/>
  <c r="AU221" i="1"/>
  <c r="AV221" i="1"/>
  <c r="AW221" i="1"/>
  <c r="AZ221" i="1"/>
  <c r="AU222" i="1"/>
  <c r="AV222" i="1"/>
  <c r="AW222" i="1"/>
  <c r="AZ222" i="1"/>
  <c r="AU224" i="1"/>
  <c r="AV224" i="1"/>
  <c r="AW224" i="1"/>
  <c r="AZ224" i="1"/>
  <c r="AU225" i="1"/>
  <c r="AV225" i="1"/>
  <c r="AW225" i="1"/>
  <c r="AZ225" i="1"/>
  <c r="AU228" i="1"/>
  <c r="AV228" i="1"/>
  <c r="AW228" i="1"/>
  <c r="AZ228" i="1"/>
  <c r="AU229" i="1"/>
  <c r="AW229" i="1"/>
  <c r="AZ229" i="1"/>
  <c r="AU231" i="1"/>
  <c r="AV231" i="1"/>
  <c r="AW231" i="1"/>
  <c r="AZ231" i="1"/>
  <c r="AU232" i="1"/>
  <c r="AV232" i="1"/>
  <c r="AW232" i="1"/>
  <c r="AZ232" i="1"/>
  <c r="AU235" i="1"/>
  <c r="AV235" i="1"/>
  <c r="AW235" i="1"/>
  <c r="AZ235" i="1"/>
  <c r="AU237" i="1"/>
  <c r="AW237" i="1"/>
  <c r="AZ237" i="1"/>
  <c r="AU233" i="1"/>
  <c r="AW233" i="1"/>
  <c r="AZ233" i="1"/>
  <c r="AU219" i="1"/>
  <c r="AV219" i="1"/>
  <c r="AW219" i="1"/>
  <c r="AZ219" i="1"/>
  <c r="AU92" i="1"/>
  <c r="AV92" i="1"/>
  <c r="AW92" i="1"/>
  <c r="AZ92" i="1"/>
  <c r="AU93" i="1"/>
  <c r="AV93" i="1"/>
  <c r="AW93" i="1"/>
  <c r="AZ93" i="1"/>
  <c r="AU94" i="1"/>
  <c r="AV94" i="1"/>
  <c r="AW94" i="1"/>
  <c r="AZ94" i="1"/>
  <c r="AU188" i="1"/>
  <c r="AV188" i="1"/>
  <c r="AW188" i="1"/>
  <c r="AZ188" i="1"/>
  <c r="AU95" i="1"/>
  <c r="AV95" i="1"/>
  <c r="AW95" i="1"/>
  <c r="AZ95" i="1"/>
  <c r="AU96" i="1"/>
  <c r="AV96" i="1"/>
  <c r="AW96" i="1"/>
  <c r="AZ96" i="1"/>
  <c r="AU97" i="1"/>
  <c r="AV97" i="1"/>
  <c r="AW97" i="1"/>
  <c r="AZ97" i="1"/>
  <c r="AU98" i="1"/>
  <c r="AV98" i="1"/>
  <c r="AW98" i="1"/>
  <c r="AZ98" i="1"/>
  <c r="AU99" i="1"/>
  <c r="AV99" i="1"/>
  <c r="AW99" i="1"/>
  <c r="AZ99" i="1"/>
  <c r="AU100" i="1"/>
  <c r="AV100" i="1"/>
  <c r="AW100" i="1"/>
  <c r="AZ100" i="1"/>
  <c r="AU108" i="1"/>
  <c r="AV108" i="1"/>
  <c r="AW108" i="1"/>
  <c r="AZ108"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1" i="1"/>
  <c r="AV121" i="1"/>
  <c r="AW121" i="1"/>
  <c r="AZ121" i="1"/>
  <c r="AU120" i="1"/>
  <c r="AV120" i="1"/>
  <c r="AW120" i="1"/>
  <c r="AZ120" i="1"/>
  <c r="AU122" i="1"/>
  <c r="AV122" i="1"/>
  <c r="AW122" i="1"/>
  <c r="AZ122"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50" i="1"/>
  <c r="AV150" i="1"/>
  <c r="AW150" i="1"/>
  <c r="AZ150" i="1"/>
  <c r="AU151" i="1"/>
  <c r="AV151" i="1"/>
  <c r="AW151" i="1"/>
  <c r="AZ151" i="1"/>
  <c r="AU152" i="1"/>
  <c r="AV152" i="1"/>
  <c r="AW152" i="1"/>
  <c r="AZ152" i="1"/>
  <c r="AU153" i="1"/>
  <c r="AW153" i="1"/>
  <c r="AZ153" i="1"/>
  <c r="AU154" i="1"/>
  <c r="AV154" i="1"/>
  <c r="AW154" i="1"/>
  <c r="AZ154" i="1"/>
  <c r="AU155" i="1"/>
  <c r="AV155" i="1"/>
  <c r="AW155" i="1"/>
  <c r="AZ155" i="1"/>
  <c r="AU156" i="1"/>
  <c r="AV156" i="1"/>
  <c r="AW156" i="1"/>
  <c r="AZ156" i="1"/>
  <c r="AU157" i="1"/>
  <c r="AV157" i="1"/>
  <c r="AW157" i="1"/>
  <c r="AZ157" i="1"/>
  <c r="AU158" i="1"/>
  <c r="AV158" i="1"/>
  <c r="AW158" i="1"/>
  <c r="AZ158" i="1"/>
  <c r="AU159" i="1"/>
  <c r="AW159" i="1"/>
  <c r="AZ159" i="1"/>
  <c r="AU160" i="1"/>
  <c r="AV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W238" i="1"/>
  <c r="AV238" i="1"/>
  <c r="AU238" i="1"/>
  <c r="AZ238" i="1"/>
  <c r="BC186" i="1" l="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160" i="1"/>
  <c r="BE160" i="1" s="1"/>
  <c r="BC235" i="1"/>
  <c r="BE235" i="1" s="1"/>
  <c r="BC232" i="1"/>
  <c r="BE232" i="1" s="1"/>
  <c r="BC231" i="1"/>
  <c r="BE231" i="1" s="1"/>
  <c r="BC212" i="1"/>
  <c r="BE212" i="1" s="1"/>
  <c r="BC196" i="1"/>
  <c r="BE196" i="1" s="1"/>
  <c r="BC194" i="1"/>
  <c r="BE194" i="1" s="1"/>
  <c r="BC130" i="1"/>
  <c r="BE130" i="1" s="1"/>
  <c r="BC107" i="1"/>
  <c r="BE107" i="1" s="1"/>
  <c r="BC105" i="1"/>
  <c r="BE105"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39" i="1"/>
  <c r="BE239" i="1" s="1"/>
  <c r="BC18" i="1"/>
  <c r="BE18" i="1" s="1"/>
  <c r="BC17" i="1"/>
  <c r="BE17" i="1" s="1"/>
  <c r="BC19" i="1"/>
  <c r="BE19" i="1" s="1"/>
  <c r="BC238" i="1"/>
  <c r="BE238" i="1" s="1"/>
  <c r="BC151" i="1"/>
  <c r="BE151" i="1" s="1"/>
  <c r="BC147" i="1"/>
  <c r="BE147" i="1" s="1"/>
  <c r="BC145" i="1"/>
  <c r="BE145" i="1" s="1"/>
  <c r="BC143" i="1"/>
  <c r="BE143" i="1" s="1"/>
  <c r="BC141" i="1"/>
  <c r="BE141" i="1" s="1"/>
  <c r="BC139" i="1"/>
  <c r="BE139" i="1" s="1"/>
  <c r="BC138" i="1"/>
  <c r="BE138" i="1" s="1"/>
  <c r="BC137" i="1"/>
  <c r="BE137" i="1" s="1"/>
  <c r="BC135" i="1"/>
  <c r="BE135" i="1" s="1"/>
  <c r="BC134" i="1"/>
  <c r="BE134" i="1" s="1"/>
  <c r="BC133" i="1"/>
  <c r="BE133" i="1" s="1"/>
  <c r="BC132" i="1"/>
  <c r="BE132" i="1" s="1"/>
  <c r="BC131" i="1"/>
  <c r="BE131" i="1" s="1"/>
  <c r="BC129" i="1"/>
  <c r="BE129" i="1" s="1"/>
  <c r="BC128" i="1"/>
  <c r="BE128" i="1" s="1"/>
  <c r="BC127" i="1"/>
  <c r="BE127" i="1" s="1"/>
  <c r="BC126" i="1"/>
  <c r="BE126" i="1" s="1"/>
  <c r="BC125" i="1"/>
  <c r="BE125" i="1" s="1"/>
  <c r="BC124" i="1"/>
  <c r="BE124" i="1" s="1"/>
  <c r="BC123" i="1"/>
  <c r="BE123" i="1" s="1"/>
  <c r="BC122" i="1"/>
  <c r="BE122" i="1" s="1"/>
  <c r="BC120" i="1"/>
  <c r="BE120" i="1" s="1"/>
  <c r="BC121" i="1"/>
  <c r="BE121"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8" i="1"/>
  <c r="BE108" i="1" s="1"/>
  <c r="BC100" i="1"/>
  <c r="BE100" i="1" s="1"/>
  <c r="BC99" i="1"/>
  <c r="BE99" i="1" s="1"/>
  <c r="BC98" i="1"/>
  <c r="BE98" i="1" s="1"/>
  <c r="BC97" i="1"/>
  <c r="BE97" i="1" s="1"/>
  <c r="BC96" i="1"/>
  <c r="BE96" i="1" s="1"/>
  <c r="BC95" i="1"/>
  <c r="BE95" i="1" s="1"/>
  <c r="BC188" i="1"/>
  <c r="BE188" i="1" s="1"/>
  <c r="BC94" i="1"/>
  <c r="BE94" i="1" s="1"/>
  <c r="BC93" i="1"/>
  <c r="BE93" i="1" s="1"/>
  <c r="BC92" i="1"/>
  <c r="BE92" i="1" s="1"/>
  <c r="BC219" i="1"/>
  <c r="BE219" i="1" s="1"/>
  <c r="BC215" i="1"/>
  <c r="BE215" i="1" s="1"/>
  <c r="BC207" i="1"/>
  <c r="BE207" i="1" s="1"/>
  <c r="BC206" i="1"/>
  <c r="BE206" i="1" s="1"/>
  <c r="BC203" i="1"/>
  <c r="BE203" i="1" s="1"/>
  <c r="BC202" i="1"/>
  <c r="BE202" i="1" s="1"/>
  <c r="BC201" i="1"/>
  <c r="BE201" i="1" s="1"/>
  <c r="BC200" i="1"/>
  <c r="BE200" i="1" s="1"/>
  <c r="BC199" i="1"/>
  <c r="BE199" i="1" s="1"/>
  <c r="BC197" i="1"/>
  <c r="BE197" i="1" s="1"/>
  <c r="BC195" i="1"/>
  <c r="BE195" i="1" s="1"/>
  <c r="BC149" i="1"/>
  <c r="BE149" i="1" s="1"/>
  <c r="BC193" i="1"/>
  <c r="BE193" i="1" s="1"/>
  <c r="BC191" i="1"/>
  <c r="BE191" i="1" s="1"/>
  <c r="BC190" i="1"/>
  <c r="BE190" i="1" s="1"/>
  <c r="BC189" i="1"/>
  <c r="BE189"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8" i="1"/>
  <c r="BE258"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240" i="1"/>
  <c r="BE240" i="1" s="1"/>
  <c r="BC187" i="1"/>
  <c r="BE187" i="1" s="1"/>
  <c r="BC152" i="1"/>
  <c r="BE152" i="1" s="1"/>
  <c r="BC150" i="1"/>
  <c r="BE150" i="1" s="1"/>
  <c r="BC148" i="1"/>
  <c r="BE148" i="1" s="1"/>
  <c r="BC146" i="1"/>
  <c r="BE146" i="1" s="1"/>
  <c r="BC144" i="1"/>
  <c r="BE144" i="1" s="1"/>
  <c r="BC142" i="1"/>
  <c r="BE142" i="1" s="1"/>
  <c r="BC140" i="1"/>
  <c r="BE140" i="1" s="1"/>
  <c r="BC136" i="1"/>
  <c r="BE136" i="1" s="1"/>
  <c r="BC158" i="1"/>
  <c r="BE158" i="1" s="1"/>
  <c r="BC157" i="1"/>
  <c r="BE157" i="1" s="1"/>
  <c r="BC156" i="1"/>
  <c r="BE156" i="1" s="1"/>
  <c r="BC155" i="1"/>
  <c r="BE155" i="1" s="1"/>
  <c r="BC154" i="1"/>
  <c r="BE154" i="1" s="1"/>
  <c r="BC228" i="1"/>
  <c r="BE228" i="1" s="1"/>
  <c r="BC225" i="1"/>
  <c r="BE225" i="1" s="1"/>
  <c r="BC222" i="1"/>
  <c r="BE222" i="1" s="1"/>
  <c r="BC221" i="1"/>
  <c r="BE221" i="1" s="1"/>
  <c r="BC218" i="1"/>
  <c r="BE218" i="1" s="1"/>
  <c r="BC217" i="1"/>
  <c r="BE217" i="1" s="1"/>
  <c r="BC209" i="1"/>
  <c r="BE209" i="1" s="1"/>
  <c r="BB185" i="1"/>
  <c r="BD185" i="1" s="1"/>
  <c r="BB173" i="1"/>
  <c r="BD173" i="1" s="1"/>
  <c r="BB235" i="1"/>
  <c r="BD235" i="1" s="1"/>
  <c r="BB231" i="1"/>
  <c r="BD231" i="1" s="1"/>
  <c r="BB194" i="1"/>
  <c r="BD194"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39" i="1"/>
  <c r="BD239" i="1" s="1"/>
  <c r="BB17" i="1"/>
  <c r="BD17" i="1" s="1"/>
  <c r="BB177" i="1"/>
  <c r="BD177" i="1" s="1"/>
  <c r="BB167" i="1"/>
  <c r="BD167" i="1" s="1"/>
  <c r="BB107" i="1"/>
  <c r="BD107" i="1" s="1"/>
  <c r="BB91" i="1"/>
  <c r="BD91" i="1" s="1"/>
  <c r="BB87" i="1"/>
  <c r="BD87" i="1" s="1"/>
  <c r="BB85" i="1"/>
  <c r="BD85" i="1" s="1"/>
  <c r="BB81" i="1"/>
  <c r="BD81" i="1" s="1"/>
  <c r="BB79" i="1"/>
  <c r="BD79" i="1" s="1"/>
  <c r="BB75" i="1"/>
  <c r="BD75" i="1" s="1"/>
  <c r="BB71" i="1"/>
  <c r="BD71" i="1" s="1"/>
  <c r="BB37" i="1"/>
  <c r="BD37" i="1" s="1"/>
  <c r="BB152" i="1"/>
  <c r="BD152" i="1" s="1"/>
  <c r="BB150" i="1"/>
  <c r="BD150" i="1" s="1"/>
  <c r="BB147" i="1"/>
  <c r="BD147" i="1" s="1"/>
  <c r="BB145" i="1"/>
  <c r="BD145" i="1" s="1"/>
  <c r="BB143" i="1"/>
  <c r="BD143" i="1" s="1"/>
  <c r="BB141" i="1"/>
  <c r="BD141" i="1" s="1"/>
  <c r="BB139" i="1"/>
  <c r="BD139" i="1" s="1"/>
  <c r="BB137" i="1"/>
  <c r="BD137" i="1" s="1"/>
  <c r="BB135" i="1"/>
  <c r="BD135" i="1" s="1"/>
  <c r="BB133" i="1"/>
  <c r="BD133" i="1" s="1"/>
  <c r="BB131" i="1"/>
  <c r="BD131" i="1" s="1"/>
  <c r="BB128" i="1"/>
  <c r="BD128" i="1" s="1"/>
  <c r="BB126" i="1"/>
  <c r="BD126" i="1" s="1"/>
  <c r="BB124" i="1"/>
  <c r="BD124" i="1" s="1"/>
  <c r="BB122" i="1"/>
  <c r="BD122" i="1" s="1"/>
  <c r="BB121" i="1"/>
  <c r="BD121" i="1" s="1"/>
  <c r="BB118" i="1"/>
  <c r="BD118" i="1" s="1"/>
  <c r="BB116" i="1"/>
  <c r="BD116" i="1" s="1"/>
  <c r="BB114" i="1"/>
  <c r="BD114" i="1" s="1"/>
  <c r="BB112" i="1"/>
  <c r="BD112" i="1" s="1"/>
  <c r="BB110" i="1"/>
  <c r="BD110" i="1" s="1"/>
  <c r="BB108" i="1"/>
  <c r="BD108" i="1" s="1"/>
  <c r="BB99" i="1"/>
  <c r="BD99" i="1" s="1"/>
  <c r="BB97" i="1"/>
  <c r="BD97" i="1" s="1"/>
  <c r="BB95" i="1"/>
  <c r="BD95" i="1" s="1"/>
  <c r="BB94" i="1"/>
  <c r="BD94" i="1" s="1"/>
  <c r="BB92" i="1"/>
  <c r="BD92" i="1" s="1"/>
  <c r="BB206" i="1"/>
  <c r="BD206" i="1" s="1"/>
  <c r="BB202" i="1"/>
  <c r="BD202" i="1" s="1"/>
  <c r="BB200" i="1"/>
  <c r="BD200" i="1" s="1"/>
  <c r="BB197" i="1"/>
  <c r="BD197" i="1" s="1"/>
  <c r="BB149" i="1"/>
  <c r="BD149" i="1" s="1"/>
  <c r="BB190" i="1"/>
  <c r="BD190"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240" i="1"/>
  <c r="BD240" i="1" s="1"/>
  <c r="BB183" i="1"/>
  <c r="BD183" i="1" s="1"/>
  <c r="BB171" i="1"/>
  <c r="BD171" i="1" s="1"/>
  <c r="BB158" i="1"/>
  <c r="BD158" i="1" s="1"/>
  <c r="BB156" i="1"/>
  <c r="BD156" i="1" s="1"/>
  <c r="BB154" i="1"/>
  <c r="BD154" i="1" s="1"/>
  <c r="BB222" i="1"/>
  <c r="BD222" i="1" s="1"/>
  <c r="BB218" i="1"/>
  <c r="BD218" i="1" s="1"/>
  <c r="BB225" i="1"/>
  <c r="BD225"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60" i="1"/>
  <c r="BD160" i="1" s="1"/>
  <c r="BB232" i="1"/>
  <c r="BD232" i="1" s="1"/>
  <c r="BB179" i="1"/>
  <c r="BD179" i="1" s="1"/>
  <c r="BB169" i="1"/>
  <c r="BD169" i="1" s="1"/>
  <c r="BB163" i="1"/>
  <c r="BD163" i="1" s="1"/>
  <c r="BB212" i="1"/>
  <c r="BD212" i="1" s="1"/>
  <c r="BB196" i="1"/>
  <c r="BD196" i="1" s="1"/>
  <c r="BB105" i="1"/>
  <c r="BD105"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0" i="1"/>
  <c r="BD120" i="1" s="1"/>
  <c r="BB119" i="1"/>
  <c r="BD119" i="1" s="1"/>
  <c r="BB117" i="1"/>
  <c r="BD117" i="1" s="1"/>
  <c r="BB115" i="1"/>
  <c r="BD115" i="1" s="1"/>
  <c r="BB113" i="1"/>
  <c r="BD113" i="1" s="1"/>
  <c r="BB111" i="1"/>
  <c r="BD111" i="1" s="1"/>
  <c r="BB109" i="1"/>
  <c r="BD109" i="1" s="1"/>
  <c r="BB100" i="1"/>
  <c r="BD100" i="1" s="1"/>
  <c r="BB98" i="1"/>
  <c r="BD98" i="1" s="1"/>
  <c r="BB96" i="1"/>
  <c r="BD96" i="1" s="1"/>
  <c r="BB188" i="1"/>
  <c r="BD188" i="1" s="1"/>
  <c r="BB93" i="1"/>
  <c r="BD93" i="1" s="1"/>
  <c r="BB219" i="1"/>
  <c r="BD219" i="1" s="1"/>
  <c r="BB215" i="1"/>
  <c r="BD215" i="1" s="1"/>
  <c r="BB207" i="1"/>
  <c r="BD207" i="1" s="1"/>
  <c r="BB203" i="1"/>
  <c r="BD203" i="1" s="1"/>
  <c r="BB201" i="1"/>
  <c r="BD201" i="1" s="1"/>
  <c r="BB199" i="1"/>
  <c r="BD199" i="1" s="1"/>
  <c r="BB195" i="1"/>
  <c r="BD195" i="1" s="1"/>
  <c r="BB193" i="1"/>
  <c r="BD193" i="1" s="1"/>
  <c r="BB191" i="1"/>
  <c r="BD191" i="1" s="1"/>
  <c r="BB189" i="1"/>
  <c r="BD189" i="1" s="1"/>
  <c r="BB269" i="1"/>
  <c r="BD269" i="1" s="1"/>
  <c r="BB267" i="1"/>
  <c r="BD267" i="1" s="1"/>
  <c r="BB265" i="1"/>
  <c r="BD265" i="1" s="1"/>
  <c r="BB263" i="1"/>
  <c r="BD263" i="1" s="1"/>
  <c r="BB261" i="1"/>
  <c r="BD261" i="1" s="1"/>
  <c r="BB259" i="1"/>
  <c r="BD259" i="1" s="1"/>
  <c r="BB255" i="1"/>
  <c r="BD255" i="1" s="1"/>
  <c r="BB253" i="1"/>
  <c r="BD253" i="1" s="1"/>
  <c r="BB251" i="1"/>
  <c r="BD251" i="1" s="1"/>
  <c r="BB249" i="1"/>
  <c r="BD249" i="1" s="1"/>
  <c r="BB247" i="1"/>
  <c r="BD247" i="1" s="1"/>
  <c r="BB245" i="1"/>
  <c r="BD245" i="1" s="1"/>
  <c r="BB243" i="1"/>
  <c r="BD243" i="1" s="1"/>
  <c r="BB241" i="1"/>
  <c r="BD241" i="1" s="1"/>
  <c r="BB187" i="1"/>
  <c r="BD187" i="1" s="1"/>
  <c r="BB181" i="1"/>
  <c r="BD181" i="1" s="1"/>
  <c r="BB175" i="1"/>
  <c r="BD175" i="1" s="1"/>
  <c r="BB165" i="1"/>
  <c r="BD165" i="1" s="1"/>
  <c r="BB161" i="1"/>
  <c r="BD161" i="1" s="1"/>
  <c r="BB130" i="1"/>
  <c r="BD130"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8" i="1"/>
  <c r="BD238" i="1" s="1"/>
  <c r="BB157" i="1"/>
  <c r="BD157" i="1" s="1"/>
  <c r="BB155" i="1"/>
  <c r="BD155" i="1" s="1"/>
  <c r="BB228" i="1"/>
  <c r="BD228" i="1" s="1"/>
  <c r="BB221" i="1"/>
  <c r="BD221" i="1" s="1"/>
  <c r="BB217" i="1"/>
  <c r="BD217" i="1" s="1"/>
  <c r="BB209" i="1"/>
  <c r="BD20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4" i="1" l="1"/>
  <c r="BT64" i="1" s="1"/>
  <c r="AG64" i="1"/>
  <c r="AI64" i="1" s="1"/>
  <c r="X64" i="1"/>
  <c r="AF64" i="1" l="1"/>
  <c r="BR34" i="1"/>
  <c r="BT34" i="1" s="1"/>
  <c r="AG34" i="1"/>
  <c r="AI34" i="1" s="1"/>
  <c r="X34" i="1"/>
  <c r="AF34" i="1" l="1"/>
  <c r="BR65" i="1"/>
  <c r="BT65" i="1" s="1"/>
  <c r="AG65" i="1"/>
  <c r="AI65" i="1" s="1"/>
  <c r="X65" i="1"/>
  <c r="BR70" i="1"/>
  <c r="BT70" i="1" s="1"/>
  <c r="AG70" i="1"/>
  <c r="AI70" i="1" s="1"/>
  <c r="X70" i="1"/>
  <c r="BR46" i="1"/>
  <c r="BT46" i="1" s="1"/>
  <c r="AG46" i="1"/>
  <c r="AI46" i="1" s="1"/>
  <c r="X46" i="1"/>
  <c r="BR38" i="1"/>
  <c r="BT38" i="1" s="1"/>
  <c r="AG38" i="1"/>
  <c r="AI38" i="1" s="1"/>
  <c r="X38" i="1"/>
  <c r="BR44" i="1"/>
  <c r="BT44" i="1" s="1"/>
  <c r="AG44" i="1"/>
  <c r="AI44" i="1" s="1"/>
  <c r="X44" i="1"/>
  <c r="AE42" i="1"/>
  <c r="AY42" i="1" s="1"/>
  <c r="BC42" i="1" s="1"/>
  <c r="BE42" i="1" s="1"/>
  <c r="BR42" i="1"/>
  <c r="BT42" i="1" s="1"/>
  <c r="AG42" i="1"/>
  <c r="AI42" i="1" s="1"/>
  <c r="X42" i="1"/>
  <c r="BR43" i="1"/>
  <c r="BT43" i="1" s="1"/>
  <c r="AG43" i="1"/>
  <c r="AF43" i="1" s="1"/>
  <c r="X43" i="1"/>
  <c r="BR41" i="1"/>
  <c r="BT41" i="1" s="1"/>
  <c r="AG41" i="1"/>
  <c r="AI41" i="1" s="1"/>
  <c r="X41" i="1"/>
  <c r="BR37" i="1"/>
  <c r="BT37" i="1" s="1"/>
  <c r="AG37" i="1"/>
  <c r="AI37" i="1" s="1"/>
  <c r="X37" i="1"/>
  <c r="BR36" i="1"/>
  <c r="BT36" i="1" s="1"/>
  <c r="AG36" i="1"/>
  <c r="AI36" i="1" s="1"/>
  <c r="X36" i="1"/>
  <c r="BB42" i="1" l="1"/>
  <c r="BD42" i="1" s="1"/>
  <c r="AI43" i="1"/>
  <c r="AF44" i="1"/>
  <c r="AF70" i="1"/>
  <c r="AF65" i="1"/>
  <c r="AF46" i="1"/>
  <c r="AF38" i="1"/>
  <c r="AF42" i="1"/>
  <c r="AF41" i="1"/>
  <c r="AF37" i="1"/>
  <c r="AF36" i="1"/>
  <c r="BR56" i="1"/>
  <c r="BT56" i="1" s="1"/>
  <c r="AG56" i="1"/>
  <c r="X56" i="1"/>
  <c r="BR55" i="1"/>
  <c r="BT55" i="1" s="1"/>
  <c r="AG55" i="1"/>
  <c r="X55" i="1"/>
  <c r="BR54" i="1"/>
  <c r="BT54" i="1" s="1"/>
  <c r="AG54" i="1"/>
  <c r="X54" i="1"/>
  <c r="BR53" i="1"/>
  <c r="BT53" i="1" s="1"/>
  <c r="AG53" i="1"/>
  <c r="X53" i="1"/>
  <c r="BR57" i="1"/>
  <c r="BT57" i="1" s="1"/>
  <c r="AG57" i="1"/>
  <c r="X57" i="1"/>
  <c r="BR63" i="1"/>
  <c r="BT63" i="1" s="1"/>
  <c r="AG63" i="1"/>
  <c r="X63" i="1"/>
  <c r="BR62" i="1"/>
  <c r="BT62" i="1" s="1"/>
  <c r="AG62" i="1"/>
  <c r="AI62" i="1" s="1"/>
  <c r="X62" i="1"/>
  <c r="BR60" i="1"/>
  <c r="BT60" i="1" s="1"/>
  <c r="AG60" i="1"/>
  <c r="X60" i="1"/>
  <c r="AF55" i="1" l="1"/>
  <c r="AI55" i="1"/>
  <c r="AF60" i="1"/>
  <c r="AI60" i="1"/>
  <c r="AF53" i="1"/>
  <c r="AI53" i="1"/>
  <c r="AF57" i="1"/>
  <c r="AI57" i="1"/>
  <c r="AF56" i="1"/>
  <c r="AI56" i="1"/>
  <c r="AF63" i="1"/>
  <c r="AI63" i="1"/>
  <c r="AF54" i="1"/>
  <c r="AI54" i="1"/>
  <c r="AF62" i="1"/>
  <c r="BR49" i="1"/>
  <c r="BT49" i="1" s="1"/>
  <c r="BR50" i="1"/>
  <c r="AG49" i="1"/>
  <c r="AG50" i="1"/>
  <c r="BR32" i="1"/>
  <c r="BT32" i="1" s="1"/>
  <c r="AG32" i="1"/>
  <c r="AI32" i="1" s="1"/>
  <c r="X32" i="1"/>
  <c r="AF50" i="1" l="1"/>
  <c r="AI50" i="1"/>
  <c r="AF49" i="1"/>
  <c r="AI49" i="1"/>
  <c r="AF32" i="1"/>
  <c r="BR30" i="1"/>
  <c r="BT30" i="1" s="1"/>
  <c r="BR31" i="1"/>
  <c r="BT31" i="1" s="1"/>
  <c r="BR33" i="1"/>
  <c r="AG30" i="1"/>
  <c r="X30" i="1"/>
  <c r="AF30" i="1" l="1"/>
  <c r="AI30" i="1"/>
  <c r="AG29" i="1"/>
  <c r="X29" i="1"/>
  <c r="BR28" i="1"/>
  <c r="BT28" i="1" s="1"/>
  <c r="BR29" i="1"/>
  <c r="BT29" i="1" s="1"/>
  <c r="BT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19" i="1"/>
  <c r="BR218" i="1"/>
  <c r="BT218" i="1" s="1"/>
  <c r="AG218" i="1"/>
  <c r="AI218" i="1" s="1"/>
  <c r="X218" i="1"/>
  <c r="AF21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3" i="1"/>
  <c r="AI203" i="1" s="1"/>
  <c r="BR252" i="1"/>
  <c r="BT252" i="1" s="1"/>
  <c r="BR253" i="1"/>
  <c r="BT253" i="1" s="1"/>
  <c r="BR254" i="1"/>
  <c r="BT254" i="1" s="1"/>
  <c r="BR255" i="1"/>
  <c r="BT255" i="1" s="1"/>
  <c r="BR256" i="1"/>
  <c r="BT256" i="1" s="1"/>
  <c r="BR257" i="1"/>
  <c r="BT257" i="1" s="1"/>
  <c r="AE257" i="1"/>
  <c r="AY257" i="1" s="1"/>
  <c r="BC257" i="1" s="1"/>
  <c r="BE257" i="1" s="1"/>
  <c r="AG252" i="1"/>
  <c r="AG253" i="1"/>
  <c r="AG254" i="1"/>
  <c r="AG255" i="1"/>
  <c r="AG256" i="1"/>
  <c r="AG257" i="1"/>
  <c r="X257" i="1"/>
  <c r="BB257" i="1" l="1"/>
  <c r="BD257" i="1" s="1"/>
  <c r="AF257" i="1"/>
  <c r="AI257" i="1"/>
  <c r="AF256" i="1"/>
  <c r="AI256" i="1"/>
  <c r="AF255" i="1"/>
  <c r="AI255" i="1"/>
  <c r="AF254" i="1"/>
  <c r="AI254" i="1"/>
  <c r="AF253" i="1"/>
  <c r="AI253" i="1"/>
  <c r="AF252" i="1"/>
  <c r="AI252" i="1"/>
  <c r="B15" i="6"/>
  <c r="K229" i="1"/>
  <c r="AV229" i="1" s="1"/>
  <c r="BC229" i="1" s="1"/>
  <c r="BE229" i="1" s="1"/>
  <c r="K233" i="1"/>
  <c r="AV233" i="1" s="1"/>
  <c r="BC233" i="1" s="1"/>
  <c r="BE233" i="1" s="1"/>
  <c r="BR251" i="1"/>
  <c r="BT251" i="1" s="1"/>
  <c r="AG251" i="1"/>
  <c r="AI251" i="1" s="1"/>
  <c r="X251" i="1"/>
  <c r="BB229" i="1" l="1"/>
  <c r="BD229" i="1" s="1"/>
  <c r="BB233" i="1"/>
  <c r="BD233" i="1" s="1"/>
  <c r="AF251" i="1"/>
  <c r="T209" i="1"/>
  <c r="K216" i="1"/>
  <c r="AV216" i="1" s="1"/>
  <c r="BC216" i="1" s="1"/>
  <c r="BE216" i="1" s="1"/>
  <c r="BR16" i="1"/>
  <c r="BT16" i="1" s="1"/>
  <c r="AG16" i="1"/>
  <c r="AI16" i="1" s="1"/>
  <c r="X16" i="1"/>
  <c r="BR214" i="1"/>
  <c r="K214" i="1"/>
  <c r="AV214" i="1" s="1"/>
  <c r="BC214" i="1" s="1"/>
  <c r="BE214" i="1" s="1"/>
  <c r="T214" i="1"/>
  <c r="BB216" i="1" l="1"/>
  <c r="BD216" i="1" s="1"/>
  <c r="BB214" i="1"/>
  <c r="BD214" i="1" s="1"/>
  <c r="AF16" i="1"/>
  <c r="K211" i="1"/>
  <c r="AV211" i="1" s="1"/>
  <c r="BC211" i="1" s="1"/>
  <c r="BE211" i="1" s="1"/>
  <c r="T211" i="1"/>
  <c r="BB211" i="1" l="1"/>
  <c r="BD211" i="1" s="1"/>
  <c r="K208" i="1"/>
  <c r="AV208" i="1" s="1"/>
  <c r="BC208" i="1" s="1"/>
  <c r="BE208" i="1" s="1"/>
  <c r="T208" i="1"/>
  <c r="BB208" i="1" l="1"/>
  <c r="BD208" i="1" s="1"/>
  <c r="AA200" i="1"/>
  <c r="T195" i="1" l="1"/>
  <c r="T193" i="1"/>
  <c r="BR180" i="1"/>
  <c r="BT180" i="1" s="1"/>
  <c r="AG180" i="1"/>
  <c r="X180" i="1"/>
  <c r="AF180" i="1" l="1"/>
  <c r="AI180" i="1"/>
  <c r="K237" i="1"/>
  <c r="AV237" i="1" s="1"/>
  <c r="BC237" i="1" s="1"/>
  <c r="BE237" i="1" s="1"/>
  <c r="BR187" i="1"/>
  <c r="BT187" i="1" s="1"/>
  <c r="AG187" i="1"/>
  <c r="X187" i="1"/>
  <c r="BB237" i="1" l="1"/>
  <c r="BD237" i="1" s="1"/>
  <c r="AF187" i="1"/>
  <c r="AI187" i="1"/>
  <c r="AE224" i="1"/>
  <c r="AY224" i="1" s="1"/>
  <c r="BC224" i="1" s="1"/>
  <c r="BE224" i="1" s="1"/>
  <c r="BB224" i="1" l="1"/>
  <c r="BD224" i="1" s="1"/>
  <c r="BR24" i="1"/>
  <c r="BT24" i="1" s="1"/>
  <c r="AG24" i="1"/>
  <c r="X24" i="1"/>
  <c r="BR178" i="1"/>
  <c r="BT178" i="1" s="1"/>
  <c r="AG178" i="1"/>
  <c r="AI178" i="1" s="1"/>
  <c r="X178" i="1"/>
  <c r="AF24" i="1" l="1"/>
  <c r="AI24" i="1"/>
  <c r="AF178" i="1"/>
  <c r="X206" i="1"/>
  <c r="X202" i="1"/>
  <c r="Q147" i="1" l="1"/>
  <c r="S147" i="1" s="1"/>
  <c r="Q143" i="1" l="1"/>
  <c r="S143" i="1" s="1"/>
  <c r="AB143" i="1"/>
  <c r="AB144" i="1"/>
  <c r="Q144" i="1"/>
  <c r="S144" i="1" s="1"/>
  <c r="AB141" i="1" l="1"/>
  <c r="AG141" i="1" s="1"/>
  <c r="BR15" i="1"/>
  <c r="BT15" i="1" s="1"/>
  <c r="AG15" i="1"/>
  <c r="AI15" i="1" s="1"/>
  <c r="X15" i="1"/>
  <c r="AB139" i="1"/>
  <c r="Q139" i="1"/>
  <c r="S139" i="1" s="1"/>
  <c r="Q138" i="1"/>
  <c r="S138" i="1" s="1"/>
  <c r="AF15" i="1" l="1"/>
  <c r="Q137" i="1"/>
  <c r="S137" i="1" s="1"/>
  <c r="Q136" i="1"/>
  <c r="S136" i="1" s="1"/>
  <c r="Q135" i="1"/>
  <c r="S135" i="1" s="1"/>
  <c r="BR14" i="1"/>
  <c r="BT14" i="1" s="1"/>
  <c r="AG14" i="1"/>
  <c r="AI14" i="1" s="1"/>
  <c r="X14" i="1"/>
  <c r="Q134" i="1"/>
  <c r="S134" i="1" s="1"/>
  <c r="Q110" i="1"/>
  <c r="S110" i="1" s="1"/>
  <c r="Q133" i="1"/>
  <c r="S133" i="1" s="1"/>
  <c r="AF14" i="1" l="1"/>
  <c r="BR13" i="1"/>
  <c r="BT13" i="1" s="1"/>
  <c r="AG13" i="1"/>
  <c r="AI13" i="1" s="1"/>
  <c r="X13" i="1"/>
  <c r="U132" i="1"/>
  <c r="Q132" i="1"/>
  <c r="S132" i="1" s="1"/>
  <c r="AF13" i="1" l="1"/>
  <c r="BR12" i="1"/>
  <c r="BT12" i="1" s="1"/>
  <c r="AG12" i="1"/>
  <c r="AI12" i="1" s="1"/>
  <c r="X12" i="1"/>
  <c r="AB129" i="1"/>
  <c r="Q129" i="1"/>
  <c r="S129" i="1" s="1"/>
  <c r="AE192" i="1"/>
  <c r="AY192" i="1" s="1"/>
  <c r="BC192" i="1" s="1"/>
  <c r="BE192" i="1" s="1"/>
  <c r="BB192" i="1" l="1"/>
  <c r="BD192" i="1" s="1"/>
  <c r="AF12" i="1"/>
  <c r="BR11" i="1"/>
  <c r="BT11" i="1" s="1"/>
  <c r="AG11" i="1"/>
  <c r="AI11" i="1" s="1"/>
  <c r="X11" i="1"/>
  <c r="AB128" i="1"/>
  <c r="AB127" i="1"/>
  <c r="Q127" i="1"/>
  <c r="S127" i="1" s="1"/>
  <c r="AF11" i="1" l="1"/>
  <c r="AB126" i="1"/>
  <c r="Q126" i="1"/>
  <c r="S126" i="1" s="1"/>
  <c r="X127" i="1"/>
  <c r="X128" i="1"/>
  <c r="X191" i="1"/>
  <c r="X192" i="1"/>
  <c r="X259" i="1"/>
  <c r="X129" i="1"/>
  <c r="X131" i="1"/>
  <c r="X130" i="1"/>
  <c r="X132" i="1"/>
  <c r="X133" i="1"/>
  <c r="X134" i="1"/>
  <c r="X135" i="1"/>
  <c r="X136" i="1"/>
  <c r="X137" i="1"/>
  <c r="X138" i="1"/>
  <c r="X139" i="1"/>
  <c r="X140" i="1"/>
  <c r="X141" i="1"/>
  <c r="X142" i="1"/>
  <c r="X143" i="1"/>
  <c r="X144" i="1"/>
  <c r="X145" i="1"/>
  <c r="X146" i="1"/>
  <c r="X147" i="1"/>
  <c r="X148" i="1"/>
  <c r="X22" i="1"/>
  <c r="X150" i="1"/>
  <c r="X151" i="1"/>
  <c r="X152" i="1"/>
  <c r="X153" i="1"/>
  <c r="X154" i="1"/>
  <c r="X155" i="1"/>
  <c r="X156" i="1"/>
  <c r="X158" i="1"/>
  <c r="X159" i="1"/>
  <c r="X260" i="1"/>
  <c r="X160" i="1"/>
  <c r="X161" i="1"/>
  <c r="X162" i="1"/>
  <c r="X197" i="1"/>
  <c r="X199" i="1"/>
  <c r="X261" i="1"/>
  <c r="X163" i="1"/>
  <c r="X164" i="1"/>
  <c r="X165" i="1"/>
  <c r="X157" i="1"/>
  <c r="X166" i="1"/>
  <c r="X167" i="1"/>
  <c r="X168" i="1"/>
  <c r="X169" i="1"/>
  <c r="X170" i="1"/>
  <c r="X171" i="1"/>
  <c r="X262" i="1"/>
  <c r="X263" i="1"/>
  <c r="X172" i="1"/>
  <c r="X264" i="1"/>
  <c r="X173" i="1"/>
  <c r="X23" i="1"/>
  <c r="X174" i="1"/>
  <c r="X266" i="1"/>
  <c r="X175" i="1"/>
  <c r="X265" i="1"/>
  <c r="X176" i="1"/>
  <c r="X177" i="1"/>
  <c r="X210" i="1"/>
  <c r="X179" i="1"/>
  <c r="X217" i="1"/>
  <c r="X270" i="1"/>
  <c r="X181" i="1"/>
  <c r="X269" i="1"/>
  <c r="X182" i="1"/>
  <c r="X183" i="1"/>
  <c r="X184" i="1"/>
  <c r="X224" i="1"/>
  <c r="X231" i="1"/>
  <c r="X236" i="1"/>
  <c r="X185" i="1"/>
  <c r="X267" i="1"/>
  <c r="X268" i="1"/>
  <c r="X186" i="1"/>
  <c r="X222" i="1"/>
  <c r="X237" i="1"/>
  <c r="X232" i="1"/>
  <c r="X235" i="1"/>
  <c r="X207" i="1"/>
  <c r="X215" i="1"/>
  <c r="X193" i="1"/>
  <c r="X195" i="1"/>
  <c r="X201" i="1"/>
  <c r="X200" i="1"/>
  <c r="X208" i="1"/>
  <c r="X211" i="1"/>
  <c r="X214" i="1"/>
  <c r="X216" i="1"/>
  <c r="X209" i="1"/>
  <c r="X233" i="1"/>
  <c r="X221" i="1"/>
  <c r="X203" i="1"/>
  <c r="X225" i="1"/>
  <c r="X228" i="1"/>
  <c r="X229" i="1"/>
  <c r="X212" i="1"/>
  <c r="X219" i="1"/>
  <c r="X244" i="1"/>
  <c r="X245" i="1"/>
  <c r="X246" i="1"/>
  <c r="X247" i="1"/>
  <c r="X248" i="1"/>
  <c r="X249" i="1"/>
  <c r="X241" i="1"/>
  <c r="X242" i="1"/>
  <c r="X17" i="1"/>
  <c r="X243" i="1"/>
  <c r="X21" i="1"/>
  <c r="X238" i="1"/>
  <c r="X239" i="1"/>
  <c r="X240" i="1"/>
  <c r="X50" i="1"/>
  <c r="X51" i="1"/>
  <c r="X27" i="1"/>
  <c r="X31" i="1"/>
  <c r="X33" i="1"/>
  <c r="X40" i="1"/>
  <c r="X35" i="1"/>
  <c r="X250" i="1"/>
  <c r="X59" i="1"/>
  <c r="X52" i="1"/>
  <c r="X61" i="1"/>
  <c r="X45" i="1"/>
  <c r="X252" i="1"/>
  <c r="X253" i="1"/>
  <c r="X254" i="1"/>
  <c r="X255" i="1"/>
  <c r="X25" i="1"/>
  <c r="X71" i="1"/>
  <c r="X72" i="1"/>
  <c r="X73" i="1"/>
  <c r="X74" i="1"/>
  <c r="X75" i="1"/>
  <c r="X76" i="1"/>
  <c r="X77" i="1"/>
  <c r="X78" i="1"/>
  <c r="X79" i="1"/>
  <c r="X80" i="1"/>
  <c r="X81" i="1"/>
  <c r="X47" i="1"/>
  <c r="X82" i="1"/>
  <c r="X83" i="1"/>
  <c r="X85" i="1"/>
  <c r="X86" i="1"/>
  <c r="X87" i="1"/>
  <c r="X88" i="1"/>
  <c r="X89" i="1"/>
  <c r="X90" i="1"/>
  <c r="X91" i="1"/>
  <c r="X2" i="1"/>
  <c r="X3" i="1"/>
  <c r="X10" i="1"/>
  <c r="X5" i="1"/>
  <c r="X258" i="1"/>
  <c r="X92" i="1"/>
  <c r="X93" i="1"/>
  <c r="X26" i="1"/>
  <c r="X94" i="1"/>
  <c r="X188" i="1"/>
  <c r="X58" i="1"/>
  <c r="X39" i="1"/>
  <c r="X48" i="1"/>
  <c r="X18" i="1"/>
  <c r="X19" i="1"/>
  <c r="X95" i="1"/>
  <c r="X96" i="1"/>
  <c r="X97" i="1"/>
  <c r="X98" i="1"/>
  <c r="X99" i="1"/>
  <c r="X100" i="1"/>
  <c r="X189" i="1"/>
  <c r="X105" i="1"/>
  <c r="X107" i="1"/>
  <c r="X109" i="1"/>
  <c r="X110" i="1"/>
  <c r="X111" i="1"/>
  <c r="X7" i="1"/>
  <c r="X8" i="1"/>
  <c r="X9" i="1"/>
  <c r="X112" i="1"/>
  <c r="X113" i="1"/>
  <c r="X114" i="1"/>
  <c r="X115" i="1"/>
  <c r="X116" i="1"/>
  <c r="X117" i="1"/>
  <c r="X118" i="1"/>
  <c r="X119" i="1"/>
  <c r="X121" i="1"/>
  <c r="X190" i="1"/>
  <c r="X120" i="1"/>
  <c r="X122" i="1"/>
  <c r="X123" i="1"/>
  <c r="X124" i="1"/>
  <c r="X125" i="1"/>
  <c r="X126" i="1"/>
  <c r="AB125" i="1"/>
  <c r="AB124" i="1" l="1"/>
  <c r="Q121" i="1" l="1"/>
  <c r="S121" i="1" s="1"/>
  <c r="BR7" i="1"/>
  <c r="BT7" i="1" s="1"/>
  <c r="AG7" i="1"/>
  <c r="AI7" i="1" s="1"/>
  <c r="Q119" i="1"/>
  <c r="S119" i="1" s="1"/>
  <c r="AB119" i="1"/>
  <c r="AF7" i="1" l="1"/>
  <c r="Q118" i="1"/>
  <c r="S118" i="1" s="1"/>
  <c r="BR10" i="1" l="1"/>
  <c r="BT10" i="1" s="1"/>
  <c r="AG10" i="1"/>
  <c r="AI10" i="1" s="1"/>
  <c r="Q117" i="1"/>
  <c r="S117" i="1" s="1"/>
  <c r="AB117" i="1"/>
  <c r="Q116" i="1"/>
  <c r="S116" i="1" s="1"/>
  <c r="AB116" i="1"/>
  <c r="Q115" i="1"/>
  <c r="S115" i="1" s="1"/>
  <c r="AB114" i="1"/>
  <c r="Q114" i="1"/>
  <c r="S114" i="1" s="1"/>
  <c r="AB113" i="1"/>
  <c r="Q113" i="1"/>
  <c r="S113" i="1" s="1"/>
  <c r="Q112" i="1"/>
  <c r="S112" i="1" s="1"/>
  <c r="AB109" i="1"/>
  <c r="BR2" i="1"/>
  <c r="BT2" i="1" s="1"/>
  <c r="AG2" i="1"/>
  <c r="AI2" i="1" s="1"/>
  <c r="Q109" i="1"/>
  <c r="S109" i="1" s="1"/>
  <c r="Q108" i="1"/>
  <c r="S108" i="1" s="1"/>
  <c r="BR58" i="1"/>
  <c r="BT58" i="1" s="1"/>
  <c r="AG58" i="1"/>
  <c r="AI58" i="1" s="1"/>
  <c r="BR39" i="1"/>
  <c r="BT39" i="1" s="1"/>
  <c r="BR48" i="1"/>
  <c r="BT48" i="1" s="1"/>
  <c r="AG39" i="1"/>
  <c r="AI39" i="1" s="1"/>
  <c r="AG48" i="1"/>
  <c r="AI48" i="1" s="1"/>
  <c r="AI141" i="1" l="1"/>
  <c r="AF2" i="1"/>
  <c r="AF10" i="1"/>
  <c r="AF48" i="1"/>
  <c r="AF58" i="1"/>
  <c r="AF39" i="1"/>
  <c r="BR92" i="1"/>
  <c r="BT92" i="1" s="1"/>
  <c r="AG92" i="1"/>
  <c r="AI92" i="1" s="1"/>
  <c r="Q92" i="1"/>
  <c r="S92" i="1" s="1"/>
  <c r="BR18" i="1"/>
  <c r="BT18" i="1" s="1"/>
  <c r="AG18" i="1"/>
  <c r="AI18" i="1" s="1"/>
  <c r="AF92" i="1" l="1"/>
  <c r="AF18" i="1"/>
  <c r="BR5" i="1"/>
  <c r="BT5" i="1" s="1"/>
  <c r="AG5" i="1"/>
  <c r="AI5" i="1" s="1"/>
  <c r="Q98" i="1"/>
  <c r="S98" i="1" s="1"/>
  <c r="Q99" i="1"/>
  <c r="S99" i="1" s="1"/>
  <c r="AI106" i="1" l="1"/>
  <c r="AI102" i="1"/>
  <c r="AI103" i="1"/>
  <c r="AF5" i="1"/>
  <c r="Q97" i="1"/>
  <c r="S97" i="1" s="1"/>
  <c r="Q96" i="1"/>
  <c r="S96" i="1" s="1"/>
  <c r="P93" i="1" l="1"/>
  <c r="Q93" i="1"/>
  <c r="Q95" i="1"/>
  <c r="S95" i="1" s="1"/>
  <c r="Q141" i="1"/>
  <c r="S141" i="1" s="1"/>
  <c r="S93" i="1" l="1"/>
  <c r="B4" i="4"/>
  <c r="B5" i="4"/>
  <c r="B6" i="4"/>
  <c r="B7" i="4"/>
  <c r="B8" i="4"/>
  <c r="B9" i="4"/>
  <c r="B10" i="4"/>
  <c r="B11" i="4"/>
  <c r="B3" i="4"/>
  <c r="BR83" i="1"/>
  <c r="BT83" i="1" s="1"/>
  <c r="BR84" i="1"/>
  <c r="BT84" i="1" s="1"/>
  <c r="BR85" i="1"/>
  <c r="BT85" i="1" s="1"/>
  <c r="BR86" i="1"/>
  <c r="BT86" i="1" s="1"/>
  <c r="BR87" i="1"/>
  <c r="BT87" i="1" s="1"/>
  <c r="BR88" i="1"/>
  <c r="BT88" i="1" s="1"/>
  <c r="BR89" i="1"/>
  <c r="BT89" i="1" s="1"/>
  <c r="BR90" i="1"/>
  <c r="BT90" i="1" s="1"/>
  <c r="BR93" i="1"/>
  <c r="BT93" i="1" s="1"/>
  <c r="BR94" i="1"/>
  <c r="BT94" i="1" s="1"/>
  <c r="BR188" i="1"/>
  <c r="BT188" i="1" s="1"/>
  <c r="BR95" i="1"/>
  <c r="BT95" i="1" s="1"/>
  <c r="BR96" i="1"/>
  <c r="BT96" i="1" s="1"/>
  <c r="BR97" i="1"/>
  <c r="BT97" i="1" s="1"/>
  <c r="BR98" i="1"/>
  <c r="BT98" i="1" s="1"/>
  <c r="BR99" i="1"/>
  <c r="BT99" i="1" s="1"/>
  <c r="BR100" i="1"/>
  <c r="BT100" i="1" s="1"/>
  <c r="BR105" i="1"/>
  <c r="BT105" i="1" s="1"/>
  <c r="BR107" i="1"/>
  <c r="BT107" i="1" s="1"/>
  <c r="BR108" i="1"/>
  <c r="BT108" i="1" s="1"/>
  <c r="BR109" i="1"/>
  <c r="BT109" i="1" s="1"/>
  <c r="BR91" i="1"/>
  <c r="BT91" i="1" s="1"/>
  <c r="BR110" i="1"/>
  <c r="BT110" i="1" s="1"/>
  <c r="BR111" i="1"/>
  <c r="BT111" i="1" s="1"/>
  <c r="BR112" i="1"/>
  <c r="BT112" i="1" s="1"/>
  <c r="BR113" i="1"/>
  <c r="BT113" i="1" s="1"/>
  <c r="BR114" i="1"/>
  <c r="BT114" i="1" s="1"/>
  <c r="BR115" i="1"/>
  <c r="BT115" i="1" s="1"/>
  <c r="BR116" i="1"/>
  <c r="BT116" i="1" s="1"/>
  <c r="BR117" i="1"/>
  <c r="BT117" i="1" s="1"/>
  <c r="BR118" i="1"/>
  <c r="BT118" i="1" s="1"/>
  <c r="BR119" i="1"/>
  <c r="BT119" i="1" s="1"/>
  <c r="BR121" i="1"/>
  <c r="BT121" i="1" s="1"/>
  <c r="BR122" i="1"/>
  <c r="BT122" i="1" s="1"/>
  <c r="BR123" i="1"/>
  <c r="BT123" i="1" s="1"/>
  <c r="BR124" i="1"/>
  <c r="BT124" i="1" s="1"/>
  <c r="BR125" i="1"/>
  <c r="BT125" i="1" s="1"/>
  <c r="BR126" i="1"/>
  <c r="BT126" i="1" s="1"/>
  <c r="BR127" i="1"/>
  <c r="BT127" i="1" s="1"/>
  <c r="BR128" i="1"/>
  <c r="BT128" i="1" s="1"/>
  <c r="BR129" i="1"/>
  <c r="BT129" i="1" s="1"/>
  <c r="BR131" i="1"/>
  <c r="BT131" i="1" s="1"/>
  <c r="BR130" i="1"/>
  <c r="BT130" i="1" s="1"/>
  <c r="BR132" i="1"/>
  <c r="BT132" i="1" s="1"/>
  <c r="BR133" i="1"/>
  <c r="BT133"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50" i="1"/>
  <c r="BT150" i="1" s="1"/>
  <c r="BR151" i="1"/>
  <c r="BT151" i="1" s="1"/>
  <c r="BR152" i="1"/>
  <c r="BT152" i="1" s="1"/>
  <c r="BR153" i="1"/>
  <c r="BT153" i="1" s="1"/>
  <c r="BR154" i="1"/>
  <c r="BT154" i="1" s="1"/>
  <c r="BR155" i="1"/>
  <c r="BT155" i="1" s="1"/>
  <c r="BR156" i="1"/>
  <c r="BT156" i="1" s="1"/>
  <c r="BR158" i="1"/>
  <c r="BT158" i="1" s="1"/>
  <c r="BR159" i="1"/>
  <c r="BT159" i="1" s="1"/>
  <c r="BR160" i="1"/>
  <c r="BT160" i="1" s="1"/>
  <c r="BR161" i="1"/>
  <c r="BT161" i="1" s="1"/>
  <c r="BR162" i="1"/>
  <c r="BT162" i="1" s="1"/>
  <c r="BR197" i="1"/>
  <c r="BT197" i="1" s="1"/>
  <c r="BR163" i="1"/>
  <c r="BT163" i="1" s="1"/>
  <c r="BR164" i="1"/>
  <c r="BT164" i="1" s="1"/>
  <c r="BR165" i="1"/>
  <c r="BT165" i="1" s="1"/>
  <c r="BR157" i="1"/>
  <c r="BT157" i="1" s="1"/>
  <c r="BR166" i="1"/>
  <c r="BT166" i="1" s="1"/>
  <c r="BR167" i="1"/>
  <c r="BT167"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9" i="1"/>
  <c r="BT179" i="1" s="1"/>
  <c r="BR181" i="1"/>
  <c r="BT181" i="1" s="1"/>
  <c r="BR182" i="1"/>
  <c r="BT182" i="1" s="1"/>
  <c r="BR183" i="1"/>
  <c r="BT183" i="1" s="1"/>
  <c r="BR184" i="1"/>
  <c r="BT184" i="1" s="1"/>
  <c r="BR185" i="1"/>
  <c r="BT185" i="1" s="1"/>
  <c r="BR186" i="1"/>
  <c r="BT186" i="1" s="1"/>
  <c r="BR120" i="1"/>
  <c r="BT120" i="1" s="1"/>
  <c r="BR189" i="1"/>
  <c r="BT189" i="1" s="1"/>
  <c r="BR190" i="1"/>
  <c r="BT190" i="1" s="1"/>
  <c r="BR191" i="1"/>
  <c r="BT191" i="1" s="1"/>
  <c r="BR192" i="1"/>
  <c r="BT192" i="1" s="1"/>
  <c r="BR149" i="1"/>
  <c r="BT149" i="1" s="1"/>
  <c r="BR196" i="1"/>
  <c r="BT196" i="1" s="1"/>
  <c r="BR199" i="1"/>
  <c r="BT199" i="1" s="1"/>
  <c r="BR194" i="1"/>
  <c r="BT194" i="1" s="1"/>
  <c r="BR231" i="1"/>
  <c r="BT231" i="1" s="1"/>
  <c r="BR217" i="1"/>
  <c r="BT217" i="1" s="1"/>
  <c r="BR224" i="1"/>
  <c r="BT224" i="1" s="1"/>
  <c r="BR236" i="1"/>
  <c r="BT236" i="1" s="1"/>
  <c r="BR210" i="1"/>
  <c r="BT210" i="1" s="1"/>
  <c r="BR206" i="1"/>
  <c r="BT206" i="1" s="1"/>
  <c r="BR202" i="1"/>
  <c r="BT202" i="1" s="1"/>
  <c r="BR222" i="1"/>
  <c r="BT222" i="1" s="1"/>
  <c r="BR237" i="1"/>
  <c r="BT237" i="1" s="1"/>
  <c r="BR232" i="1"/>
  <c r="BT232" i="1" s="1"/>
  <c r="BR235" i="1"/>
  <c r="BT235" i="1" s="1"/>
  <c r="BR207" i="1"/>
  <c r="BT207" i="1" s="1"/>
  <c r="BR215" i="1"/>
  <c r="BT215" i="1" s="1"/>
  <c r="BR193" i="1"/>
  <c r="BT193" i="1" s="1"/>
  <c r="BR195" i="1"/>
  <c r="BT195" i="1" s="1"/>
  <c r="BR201" i="1"/>
  <c r="BT201" i="1" s="1"/>
  <c r="BR200" i="1"/>
  <c r="BT200" i="1" s="1"/>
  <c r="BR208" i="1"/>
  <c r="BT208" i="1" s="1"/>
  <c r="BR211" i="1"/>
  <c r="BT211" i="1" s="1"/>
  <c r="BT214" i="1"/>
  <c r="BR216" i="1"/>
  <c r="BT216" i="1" s="1"/>
  <c r="BR209" i="1"/>
  <c r="BT209" i="1" s="1"/>
  <c r="BR233" i="1"/>
  <c r="BT233" i="1" s="1"/>
  <c r="BR221" i="1"/>
  <c r="BT221" i="1" s="1"/>
  <c r="BR203" i="1"/>
  <c r="BT203" i="1" s="1"/>
  <c r="BR225" i="1"/>
  <c r="BT225" i="1" s="1"/>
  <c r="BR228" i="1"/>
  <c r="BT228" i="1" s="1"/>
  <c r="BR229" i="1"/>
  <c r="BT229" i="1" s="1"/>
  <c r="BR212" i="1"/>
  <c r="BT212" i="1" s="1"/>
  <c r="BR219" i="1"/>
  <c r="BT219" i="1" s="1"/>
  <c r="BR244" i="1"/>
  <c r="BT244" i="1" s="1"/>
  <c r="BR258" i="1"/>
  <c r="BT258" i="1" s="1"/>
  <c r="BR245" i="1"/>
  <c r="BT245" i="1" s="1"/>
  <c r="BR246" i="1"/>
  <c r="BT246" i="1" s="1"/>
  <c r="BR247" i="1"/>
  <c r="BT247" i="1" s="1"/>
  <c r="BR248" i="1"/>
  <c r="BT248" i="1" s="1"/>
  <c r="BR249" i="1"/>
  <c r="BT249" i="1" s="1"/>
  <c r="BR259" i="1"/>
  <c r="BT259" i="1" s="1"/>
  <c r="BR260" i="1"/>
  <c r="BT260" i="1" s="1"/>
  <c r="BR261" i="1"/>
  <c r="BT261" i="1" s="1"/>
  <c r="BR262" i="1"/>
  <c r="BT262" i="1" s="1"/>
  <c r="BR263" i="1"/>
  <c r="BT263" i="1" s="1"/>
  <c r="BR264" i="1"/>
  <c r="BT264" i="1" s="1"/>
  <c r="BR266" i="1"/>
  <c r="BT266" i="1" s="1"/>
  <c r="BR265" i="1"/>
  <c r="BT265" i="1" s="1"/>
  <c r="BR270" i="1"/>
  <c r="BT270" i="1" s="1"/>
  <c r="BR269" i="1"/>
  <c r="BT269" i="1" s="1"/>
  <c r="BR267" i="1"/>
  <c r="BT267" i="1" s="1"/>
  <c r="BR268" i="1"/>
  <c r="BT268" i="1" s="1"/>
  <c r="BR241" i="1"/>
  <c r="BT241" i="1" s="1"/>
  <c r="BR242" i="1"/>
  <c r="BT242" i="1" s="1"/>
  <c r="BR17" i="1"/>
  <c r="BT17" i="1" s="1"/>
  <c r="BR19" i="1"/>
  <c r="BT19" i="1" s="1"/>
  <c r="BR243" i="1"/>
  <c r="BT243" i="1" s="1"/>
  <c r="BR21" i="1"/>
  <c r="BT21" i="1" s="1"/>
  <c r="BR22" i="1"/>
  <c r="BT22" i="1" s="1"/>
  <c r="BR23" i="1"/>
  <c r="BT23" i="1" s="1"/>
  <c r="BR238" i="1"/>
  <c r="BT238" i="1" s="1"/>
  <c r="BR239" i="1"/>
  <c r="BT239" i="1" s="1"/>
  <c r="BR240" i="1"/>
  <c r="BT240" i="1" s="1"/>
  <c r="BR47" i="1"/>
  <c r="BT47" i="1" s="1"/>
  <c r="BT50" i="1"/>
  <c r="BR51" i="1"/>
  <c r="BT51" i="1" s="1"/>
  <c r="BR25" i="1"/>
  <c r="BT25" i="1" s="1"/>
  <c r="BR26" i="1"/>
  <c r="BT26" i="1" s="1"/>
  <c r="BR27" i="1"/>
  <c r="BT27" i="1" s="1"/>
  <c r="BR40" i="1"/>
  <c r="BT40" i="1" s="1"/>
  <c r="BR35" i="1"/>
  <c r="BT35" i="1" s="1"/>
  <c r="BR250" i="1"/>
  <c r="BT250" i="1" s="1"/>
  <c r="BR59" i="1"/>
  <c r="BT59" i="1" s="1"/>
  <c r="BR52" i="1"/>
  <c r="BT52" i="1" s="1"/>
  <c r="BR61" i="1"/>
  <c r="BT61" i="1" s="1"/>
  <c r="BR45" i="1"/>
  <c r="BT45" i="1" s="1"/>
  <c r="BR9" i="1"/>
  <c r="BT9" i="1" s="1"/>
  <c r="BR3" i="1"/>
  <c r="BT3" i="1" s="1"/>
  <c r="BR71" i="1"/>
  <c r="BT71"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 i="1"/>
  <c r="BT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1" i="1" l="1"/>
  <c r="AI104" i="1"/>
  <c r="AG146" i="1"/>
  <c r="AI146" i="1" s="1"/>
  <c r="AG147" i="1"/>
  <c r="AI147"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8" i="1"/>
  <c r="AI188" i="1" s="1"/>
  <c r="AG95" i="1"/>
  <c r="AI95" i="1" s="1"/>
  <c r="AG96" i="1"/>
  <c r="AI96" i="1" s="1"/>
  <c r="AG97" i="1"/>
  <c r="AI97" i="1" s="1"/>
  <c r="AG98" i="1"/>
  <c r="AI98" i="1" s="1"/>
  <c r="AG99" i="1"/>
  <c r="AI99" i="1" s="1"/>
  <c r="AG100" i="1"/>
  <c r="AI100" i="1" s="1"/>
  <c r="AG105" i="1"/>
  <c r="AI105" i="1" s="1"/>
  <c r="AG107" i="1"/>
  <c r="AI107" i="1" s="1"/>
  <c r="AG108" i="1"/>
  <c r="AI108" i="1" s="1"/>
  <c r="AG109" i="1"/>
  <c r="AI109" i="1" s="1"/>
  <c r="AG91" i="1"/>
  <c r="AI91" i="1" s="1"/>
  <c r="AG110" i="1"/>
  <c r="AI110" i="1" s="1"/>
  <c r="AG111" i="1"/>
  <c r="AI111" i="1" s="1"/>
  <c r="AG112" i="1"/>
  <c r="AG113" i="1"/>
  <c r="AI113" i="1" s="1"/>
  <c r="AG114" i="1"/>
  <c r="AI114" i="1" s="1"/>
  <c r="AG115" i="1"/>
  <c r="AI115" i="1" s="1"/>
  <c r="AG116" i="1"/>
  <c r="AI116" i="1" s="1"/>
  <c r="AG117" i="1"/>
  <c r="AI117" i="1" s="1"/>
  <c r="AG118" i="1"/>
  <c r="AI118" i="1" s="1"/>
  <c r="AG119" i="1"/>
  <c r="AI119" i="1" s="1"/>
  <c r="AG121" i="1"/>
  <c r="AI121" i="1" s="1"/>
  <c r="AG122" i="1"/>
  <c r="AG123" i="1"/>
  <c r="AG124" i="1"/>
  <c r="AI124" i="1" s="1"/>
  <c r="AG125" i="1"/>
  <c r="AI125" i="1" s="1"/>
  <c r="AG126" i="1"/>
  <c r="AI126" i="1" s="1"/>
  <c r="AG127" i="1"/>
  <c r="AI127" i="1" s="1"/>
  <c r="AG128" i="1"/>
  <c r="AI128" i="1" s="1"/>
  <c r="AG129" i="1"/>
  <c r="AI129" i="1" s="1"/>
  <c r="AG131" i="1"/>
  <c r="AI131" i="1" s="1"/>
  <c r="AG130" i="1"/>
  <c r="AI130" i="1" s="1"/>
  <c r="AG132" i="1"/>
  <c r="AI132" i="1" s="1"/>
  <c r="AG133" i="1"/>
  <c r="AI133" i="1" s="1"/>
  <c r="AG134" i="1"/>
  <c r="AI134" i="1" s="1"/>
  <c r="AG135" i="1"/>
  <c r="AI135" i="1" s="1"/>
  <c r="AG136" i="1"/>
  <c r="AI136" i="1" s="1"/>
  <c r="AG137" i="1"/>
  <c r="AI137" i="1" s="1"/>
  <c r="AG138" i="1"/>
  <c r="AI138" i="1" s="1"/>
  <c r="AG139" i="1"/>
  <c r="AI139" i="1" s="1"/>
  <c r="AG140" i="1"/>
  <c r="AI140" i="1" s="1"/>
  <c r="AG142" i="1"/>
  <c r="AI142" i="1" s="1"/>
  <c r="AG143" i="1"/>
  <c r="AI143" i="1" s="1"/>
  <c r="AG144" i="1"/>
  <c r="AI144" i="1" s="1"/>
  <c r="AG145" i="1"/>
  <c r="AI145" i="1" s="1"/>
  <c r="AG148" i="1"/>
  <c r="AI148" i="1" s="1"/>
  <c r="AG150" i="1"/>
  <c r="AI150" i="1" s="1"/>
  <c r="AG151" i="1"/>
  <c r="AI151" i="1" s="1"/>
  <c r="AG152" i="1"/>
  <c r="AI152" i="1" s="1"/>
  <c r="AG153" i="1"/>
  <c r="AI153" i="1" s="1"/>
  <c r="AG154" i="1"/>
  <c r="AI154" i="1" s="1"/>
  <c r="AG155" i="1"/>
  <c r="AI155" i="1" s="1"/>
  <c r="AG156" i="1"/>
  <c r="AI156" i="1" s="1"/>
  <c r="AG158" i="1"/>
  <c r="AI158" i="1" s="1"/>
  <c r="AG159" i="1"/>
  <c r="AI159" i="1" s="1"/>
  <c r="AG160" i="1"/>
  <c r="AI160" i="1" s="1"/>
  <c r="AG161" i="1"/>
  <c r="AI161" i="1" s="1"/>
  <c r="AG162" i="1"/>
  <c r="AI162" i="1" s="1"/>
  <c r="AG197" i="1"/>
  <c r="AI197" i="1" s="1"/>
  <c r="AG163" i="1"/>
  <c r="AI163" i="1" s="1"/>
  <c r="AG164" i="1"/>
  <c r="AI164" i="1" s="1"/>
  <c r="AG165" i="1"/>
  <c r="AI165" i="1" s="1"/>
  <c r="AG157" i="1"/>
  <c r="AI157" i="1" s="1"/>
  <c r="AG166" i="1"/>
  <c r="AI166"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9" i="1"/>
  <c r="AI179" i="1" s="1"/>
  <c r="AG181" i="1"/>
  <c r="AI181" i="1" s="1"/>
  <c r="AG182" i="1"/>
  <c r="AI182" i="1" s="1"/>
  <c r="AG183" i="1"/>
  <c r="AI183" i="1" s="1"/>
  <c r="AG184" i="1"/>
  <c r="AI184" i="1" s="1"/>
  <c r="AG185" i="1"/>
  <c r="AI185" i="1" s="1"/>
  <c r="AG186" i="1"/>
  <c r="AI186" i="1" s="1"/>
  <c r="AG120" i="1"/>
  <c r="AI120" i="1" s="1"/>
  <c r="AG189" i="1"/>
  <c r="AI189" i="1" s="1"/>
  <c r="AG190" i="1"/>
  <c r="AI190" i="1" s="1"/>
  <c r="AG191" i="1"/>
  <c r="AI191" i="1" s="1"/>
  <c r="AG192" i="1"/>
  <c r="AI192" i="1" s="1"/>
  <c r="AG149" i="1"/>
  <c r="AI149" i="1" s="1"/>
  <c r="AG196" i="1"/>
  <c r="AI196" i="1" s="1"/>
  <c r="AG199" i="1"/>
  <c r="AI199" i="1" s="1"/>
  <c r="AG194" i="1"/>
  <c r="AI194" i="1" s="1"/>
  <c r="AG231" i="1"/>
  <c r="AI231" i="1" s="1"/>
  <c r="AG217" i="1"/>
  <c r="AI217" i="1" s="1"/>
  <c r="AG224" i="1"/>
  <c r="AI224" i="1" s="1"/>
  <c r="AG236" i="1"/>
  <c r="AI236" i="1" s="1"/>
  <c r="AG210" i="1"/>
  <c r="AI210" i="1" s="1"/>
  <c r="AG206" i="1"/>
  <c r="AI206" i="1" s="1"/>
  <c r="AG202" i="1"/>
  <c r="AI202" i="1" s="1"/>
  <c r="AG222" i="1"/>
  <c r="AI222" i="1" s="1"/>
  <c r="AG237" i="1"/>
  <c r="AI237" i="1" s="1"/>
  <c r="AG232" i="1"/>
  <c r="AI232" i="1" s="1"/>
  <c r="AG235" i="1"/>
  <c r="AI235" i="1" s="1"/>
  <c r="AG207" i="1"/>
  <c r="AI207" i="1" s="1"/>
  <c r="AG215" i="1"/>
  <c r="AI215" i="1" s="1"/>
  <c r="AG193" i="1"/>
  <c r="AI193" i="1" s="1"/>
  <c r="AG195" i="1"/>
  <c r="AI195" i="1" s="1"/>
  <c r="AG201" i="1"/>
  <c r="AI201" i="1" s="1"/>
  <c r="AG200" i="1"/>
  <c r="AI200" i="1" s="1"/>
  <c r="AG208" i="1"/>
  <c r="AI208" i="1" s="1"/>
  <c r="AG211" i="1"/>
  <c r="AI211" i="1" s="1"/>
  <c r="AG214" i="1"/>
  <c r="AI214" i="1" s="1"/>
  <c r="AG216" i="1"/>
  <c r="AI216" i="1" s="1"/>
  <c r="AG209" i="1"/>
  <c r="AI209" i="1" s="1"/>
  <c r="AG233" i="1"/>
  <c r="AI233" i="1" s="1"/>
  <c r="AG221" i="1"/>
  <c r="AI221" i="1" s="1"/>
  <c r="AG225" i="1"/>
  <c r="AI225" i="1" s="1"/>
  <c r="AG228" i="1"/>
  <c r="AI228" i="1" s="1"/>
  <c r="AG229" i="1"/>
  <c r="AI229" i="1" s="1"/>
  <c r="AG212" i="1"/>
  <c r="AI212" i="1" s="1"/>
  <c r="AG219" i="1"/>
  <c r="AI219" i="1" s="1"/>
  <c r="AG244" i="1"/>
  <c r="AI244" i="1" s="1"/>
  <c r="AG258" i="1"/>
  <c r="AI258" i="1" s="1"/>
  <c r="AG245" i="1"/>
  <c r="AI245" i="1" s="1"/>
  <c r="AG246" i="1"/>
  <c r="AI246" i="1" s="1"/>
  <c r="AG247" i="1"/>
  <c r="AI247" i="1" s="1"/>
  <c r="AG248" i="1"/>
  <c r="AI248" i="1" s="1"/>
  <c r="AG249" i="1"/>
  <c r="AI249" i="1" s="1"/>
  <c r="AG259" i="1"/>
  <c r="AI259" i="1" s="1"/>
  <c r="AG260" i="1"/>
  <c r="AI260" i="1" s="1"/>
  <c r="AG261" i="1"/>
  <c r="AI261" i="1" s="1"/>
  <c r="AG262" i="1"/>
  <c r="AI262" i="1" s="1"/>
  <c r="AG263" i="1"/>
  <c r="AI263" i="1" s="1"/>
  <c r="AG264" i="1"/>
  <c r="AI264" i="1" s="1"/>
  <c r="AG266" i="1"/>
  <c r="AI266" i="1" s="1"/>
  <c r="AG265" i="1"/>
  <c r="AI265" i="1" s="1"/>
  <c r="AG270" i="1"/>
  <c r="AI270" i="1" s="1"/>
  <c r="AG269" i="1"/>
  <c r="AI269" i="1" s="1"/>
  <c r="AG267" i="1"/>
  <c r="AI267" i="1" s="1"/>
  <c r="AG268" i="1"/>
  <c r="AI268" i="1" s="1"/>
  <c r="AG241" i="1"/>
  <c r="AI241" i="1" s="1"/>
  <c r="AG242" i="1"/>
  <c r="AI242" i="1" s="1"/>
  <c r="AG17" i="1"/>
  <c r="AI17" i="1" s="1"/>
  <c r="AG19" i="1"/>
  <c r="AI19" i="1" s="1"/>
  <c r="AG243" i="1"/>
  <c r="AI243" i="1" s="1"/>
  <c r="AG21" i="1"/>
  <c r="AI21" i="1" s="1"/>
  <c r="AG22" i="1"/>
  <c r="AI22" i="1" s="1"/>
  <c r="AG23" i="1"/>
  <c r="AI23" i="1" s="1"/>
  <c r="AG238" i="1"/>
  <c r="AI238" i="1" s="1"/>
  <c r="AG239" i="1"/>
  <c r="AI239" i="1" s="1"/>
  <c r="AG240" i="1"/>
  <c r="AI240" i="1" s="1"/>
  <c r="AG47" i="1"/>
  <c r="AI47" i="1" s="1"/>
  <c r="AG51" i="1"/>
  <c r="AI51" i="1" s="1"/>
  <c r="AG25" i="1"/>
  <c r="AI25" i="1" s="1"/>
  <c r="AG26" i="1"/>
  <c r="AI26" i="1" s="1"/>
  <c r="AG27" i="1"/>
  <c r="AI27" i="1" s="1"/>
  <c r="AG31" i="1"/>
  <c r="AI31" i="1" s="1"/>
  <c r="AG33" i="1"/>
  <c r="AG40" i="1"/>
  <c r="AI40" i="1" s="1"/>
  <c r="AG35" i="1"/>
  <c r="AI35" i="1" s="1"/>
  <c r="AG250" i="1"/>
  <c r="AI250" i="1" s="1"/>
  <c r="AG59" i="1"/>
  <c r="AI59" i="1" s="1"/>
  <c r="AG52" i="1"/>
  <c r="AI52" i="1" s="1"/>
  <c r="AG61" i="1"/>
  <c r="AI61" i="1" s="1"/>
  <c r="AG45" i="1"/>
  <c r="AI45" i="1" s="1"/>
  <c r="AG8" i="1"/>
  <c r="AI8" i="1" s="1"/>
  <c r="AI123" i="1" s="1"/>
  <c r="AF33" i="1" l="1"/>
  <c r="AI33" i="1"/>
  <c r="AI122" i="1"/>
  <c r="AI112" i="1"/>
  <c r="AF31" i="1"/>
  <c r="AF250" i="1"/>
  <c r="AF112" i="1"/>
  <c r="AF123" i="1"/>
  <c r="AF122" i="1"/>
  <c r="AF8" i="1"/>
  <c r="AF109" i="1"/>
  <c r="AF100" i="1"/>
  <c r="AF96" i="1"/>
  <c r="AF93" i="1"/>
  <c r="AF87" i="1"/>
  <c r="AF83" i="1"/>
  <c r="AF79" i="1"/>
  <c r="AF75" i="1"/>
  <c r="AF71" i="1"/>
  <c r="AF240" i="1"/>
  <c r="AF19" i="1"/>
  <c r="AF265" i="1"/>
  <c r="AF212" i="1"/>
  <c r="AF200" i="1"/>
  <c r="AF210" i="1"/>
  <c r="AF184" i="1"/>
  <c r="AF170" i="1"/>
  <c r="AF160" i="1"/>
  <c r="AF144" i="1"/>
  <c r="AF136" i="1"/>
  <c r="AF125" i="1"/>
  <c r="AF266" i="1"/>
  <c r="AF229" i="1"/>
  <c r="AF201" i="1"/>
  <c r="AF222" i="1"/>
  <c r="AF192" i="1"/>
  <c r="AF177" i="1"/>
  <c r="AF157" i="1"/>
  <c r="AF154" i="1"/>
  <c r="AF143" i="1"/>
  <c r="AF135" i="1"/>
  <c r="AF130" i="1"/>
  <c r="AF124" i="1"/>
  <c r="AF115" i="1"/>
  <c r="AF111" i="1"/>
  <c r="AF108" i="1"/>
  <c r="AF95" i="1"/>
  <c r="AF90" i="1"/>
  <c r="AF86" i="1"/>
  <c r="AF82" i="1"/>
  <c r="AF78" i="1"/>
  <c r="AF74" i="1"/>
  <c r="AF9" i="1"/>
  <c r="AF61" i="1"/>
  <c r="AF51" i="1"/>
  <c r="AF262" i="1"/>
  <c r="AF245" i="1"/>
  <c r="AF216" i="1"/>
  <c r="AF237" i="1"/>
  <c r="AF149" i="1"/>
  <c r="AF179" i="1"/>
  <c r="AF166" i="1"/>
  <c r="AF155" i="1"/>
  <c r="AF140" i="1"/>
  <c r="AF128" i="1"/>
  <c r="AF121" i="1"/>
  <c r="AF27" i="1"/>
  <c r="AF239" i="1"/>
  <c r="AF17" i="1"/>
  <c r="AF261" i="1"/>
  <c r="AF258" i="1"/>
  <c r="AF221" i="1"/>
  <c r="AF207" i="1"/>
  <c r="AF194" i="1"/>
  <c r="AF183" i="1"/>
  <c r="AF173" i="1"/>
  <c r="AF169" i="1"/>
  <c r="AF159" i="1"/>
  <c r="AF150" i="1"/>
  <c r="AF139" i="1"/>
  <c r="AF127" i="1"/>
  <c r="AF119" i="1"/>
  <c r="AF52" i="1"/>
  <c r="AF40" i="1"/>
  <c r="AF21" i="1"/>
  <c r="AF242" i="1"/>
  <c r="AF269" i="1"/>
  <c r="AF264" i="1"/>
  <c r="AF260" i="1"/>
  <c r="AF247" i="1"/>
  <c r="AF244" i="1"/>
  <c r="AF228" i="1"/>
  <c r="AF233" i="1"/>
  <c r="AF211" i="1"/>
  <c r="AF195" i="1"/>
  <c r="AF235" i="1"/>
  <c r="AF202" i="1"/>
  <c r="AF224" i="1"/>
  <c r="AF199" i="1"/>
  <c r="AF191" i="1"/>
  <c r="AF186" i="1"/>
  <c r="AF182" i="1"/>
  <c r="AF176" i="1"/>
  <c r="AF172" i="1"/>
  <c r="AF168" i="1"/>
  <c r="AF165" i="1"/>
  <c r="AF162" i="1"/>
  <c r="AF158" i="1"/>
  <c r="AF153" i="1"/>
  <c r="AF148" i="1"/>
  <c r="AF142" i="1"/>
  <c r="AF138" i="1"/>
  <c r="AF134" i="1"/>
  <c r="AF131" i="1"/>
  <c r="AF126" i="1"/>
  <c r="AF118" i="1"/>
  <c r="AF114" i="1"/>
  <c r="AF110" i="1"/>
  <c r="AF107" i="1"/>
  <c r="AF188" i="1"/>
  <c r="AF89" i="1"/>
  <c r="AF85" i="1"/>
  <c r="AF81" i="1"/>
  <c r="AF77" i="1"/>
  <c r="AF73" i="1"/>
  <c r="AF147" i="1"/>
  <c r="AF23" i="1"/>
  <c r="AF268" i="1"/>
  <c r="AF249" i="1"/>
  <c r="AF203" i="1"/>
  <c r="AF215" i="1"/>
  <c r="AF231" i="1"/>
  <c r="AF189" i="1"/>
  <c r="AF174" i="1"/>
  <c r="AF163" i="1"/>
  <c r="AF151" i="1"/>
  <c r="AF132" i="1"/>
  <c r="AF116" i="1"/>
  <c r="AF35" i="1"/>
  <c r="AF22" i="1"/>
  <c r="AF267" i="1"/>
  <c r="AF248" i="1"/>
  <c r="AF214" i="1"/>
  <c r="AF236" i="1"/>
  <c r="AF120" i="1"/>
  <c r="AF197" i="1"/>
  <c r="AF26" i="1"/>
  <c r="AF238" i="1"/>
  <c r="AF45" i="1"/>
  <c r="AF59" i="1"/>
  <c r="AF25" i="1"/>
  <c r="AF47" i="1"/>
  <c r="AF243" i="1"/>
  <c r="AF241" i="1"/>
  <c r="AF270" i="1"/>
  <c r="AF263" i="1"/>
  <c r="AF259" i="1"/>
  <c r="AF246" i="1"/>
  <c r="AF219" i="1"/>
  <c r="AF225" i="1"/>
  <c r="AF209" i="1"/>
  <c r="AF208" i="1"/>
  <c r="AF193" i="1"/>
  <c r="AF232" i="1"/>
  <c r="AF206" i="1"/>
  <c r="AF217" i="1"/>
  <c r="AF196" i="1"/>
  <c r="AF190" i="1"/>
  <c r="AF185" i="1"/>
  <c r="AF181" i="1"/>
  <c r="AF175" i="1"/>
  <c r="AF171" i="1"/>
  <c r="AF167" i="1"/>
  <c r="AF164" i="1"/>
  <c r="AF161" i="1"/>
  <c r="AF156" i="1"/>
  <c r="AF152" i="1"/>
  <c r="AF145" i="1"/>
  <c r="AF141" i="1"/>
  <c r="AF137" i="1"/>
  <c r="AF133" i="1"/>
  <c r="AF129" i="1"/>
  <c r="AF117" i="1"/>
  <c r="AF113" i="1"/>
  <c r="AF91" i="1"/>
  <c r="AF105" i="1"/>
  <c r="AF97" i="1"/>
  <c r="AF94" i="1"/>
  <c r="AF88" i="1"/>
  <c r="AF84" i="1"/>
  <c r="AF80" i="1"/>
  <c r="AF76" i="1"/>
  <c r="AF72" i="1"/>
  <c r="AF146" i="1"/>
  <c r="AF99" i="1"/>
  <c r="AF98" i="1"/>
  <c r="K210" i="1" l="1"/>
  <c r="AV210" i="1" s="1"/>
  <c r="BC210" i="1" s="1"/>
  <c r="BE210" i="1" s="1"/>
  <c r="K236" i="1"/>
  <c r="AV236" i="1" s="1"/>
  <c r="BC236" i="1" s="1"/>
  <c r="BE236" i="1" s="1"/>
  <c r="T194" i="1"/>
  <c r="X194" i="1" s="1"/>
  <c r="BB236" i="1" l="1"/>
  <c r="BD236" i="1" s="1"/>
  <c r="BB210" i="1"/>
  <c r="BD210" i="1" s="1"/>
  <c r="T196" i="1"/>
  <c r="X196" i="1" s="1"/>
  <c r="T149" i="1"/>
  <c r="X149" i="1" s="1"/>
  <c r="K159" i="1" l="1"/>
  <c r="AV159" i="1" s="1"/>
  <c r="BC159" i="1" s="1"/>
  <c r="BE159" i="1" s="1"/>
  <c r="K153" i="1"/>
  <c r="AV153" i="1" s="1"/>
  <c r="BC153" i="1" s="1"/>
  <c r="BE153" i="1" s="1"/>
  <c r="BB153" i="1" l="1"/>
  <c r="BD153" i="1" s="1"/>
  <c r="BB159" i="1"/>
  <c r="BD159" i="1" s="1"/>
  <c r="T108" i="1"/>
  <c r="X108" i="1" s="1"/>
  <c r="T84" i="1"/>
  <c r="X84" i="1" s="1"/>
</calcChain>
</file>

<file path=xl/sharedStrings.xml><?xml version="1.0" encoding="utf-8"?>
<sst xmlns="http://schemas.openxmlformats.org/spreadsheetml/2006/main" count="2791" uniqueCount="1268">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</sst>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3"/>
  <sheetViews>
    <sheetView tabSelected="1" workbookViewId="0">
      <pane xSplit="1" ySplit="1" topLeftCell="BM2" activePane="bottomRight" state="frozenSplit"/>
      <selection pane="topRight" activeCell="B1" sqref="B1"/>
      <selection pane="bottomLeft" activeCell="A2" sqref="A2"/>
      <selection pane="bottomRight" activeCell="BU3" sqref="BU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782</v>
      </c>
      <c r="D1" s="1" t="s">
        <v>153</v>
      </c>
      <c r="E1" s="1" t="s">
        <v>310</v>
      </c>
      <c r="F1" s="1" t="s">
        <v>313</v>
      </c>
      <c r="G1" s="1" t="s">
        <v>157</v>
      </c>
      <c r="H1" s="1" t="s">
        <v>158</v>
      </c>
      <c r="I1" s="1" t="s">
        <v>159</v>
      </c>
      <c r="J1" s="1" t="s">
        <v>160</v>
      </c>
      <c r="K1" s="1" t="s">
        <v>161</v>
      </c>
      <c r="L1" s="8" t="s">
        <v>595</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740</v>
      </c>
      <c r="AK1" s="1" t="s">
        <v>450</v>
      </c>
      <c r="AL1" s="1" t="s">
        <v>606</v>
      </c>
      <c r="AM1" s="1" t="s">
        <v>451</v>
      </c>
      <c r="AN1" s="1" t="s">
        <v>533</v>
      </c>
      <c r="AO1" s="1" t="s">
        <v>309</v>
      </c>
      <c r="AP1" s="1" t="s">
        <v>1238</v>
      </c>
      <c r="AQ1" s="1" t="s">
        <v>1159</v>
      </c>
      <c r="AR1" s="1" t="s">
        <v>1186</v>
      </c>
      <c r="AS1" s="1" t="s">
        <v>1160</v>
      </c>
      <c r="AT1" s="1" t="s">
        <v>1177</v>
      </c>
      <c r="AU1" s="1" t="s">
        <v>1161</v>
      </c>
      <c r="AV1" s="1" t="s">
        <v>1162</v>
      </c>
      <c r="AW1" s="1" t="s">
        <v>1163</v>
      </c>
      <c r="AX1" s="1" t="s">
        <v>1166</v>
      </c>
      <c r="AY1" s="1" t="s">
        <v>1172</v>
      </c>
      <c r="AZ1" s="1" t="s">
        <v>1167</v>
      </c>
      <c r="BA1" s="1" t="s">
        <v>1171</v>
      </c>
      <c r="BB1" s="1" t="s">
        <v>317</v>
      </c>
      <c r="BC1" s="1" t="s">
        <v>318</v>
      </c>
      <c r="BD1" s="1" t="s">
        <v>1240</v>
      </c>
      <c r="BE1" s="1" t="s">
        <v>1241</v>
      </c>
      <c r="BF1" s="1" t="s">
        <v>347</v>
      </c>
      <c r="BG1" s="1" t="s">
        <v>1178</v>
      </c>
      <c r="BH1" s="1" t="s">
        <v>1264</v>
      </c>
      <c r="BI1" s="1" t="s">
        <v>620</v>
      </c>
      <c r="BJ1" s="1" t="s">
        <v>715</v>
      </c>
      <c r="BK1" s="1" t="s">
        <v>1179</v>
      </c>
      <c r="BL1" s="1" t="s">
        <v>1192</v>
      </c>
      <c r="BM1" s="1" t="s">
        <v>1215</v>
      </c>
      <c r="BN1" s="1" t="s">
        <v>1224</v>
      </c>
      <c r="BO1" s="1" t="s">
        <v>1225</v>
      </c>
      <c r="BP1" s="1" t="s">
        <v>1109</v>
      </c>
      <c r="BQ1" s="1" t="s">
        <v>322</v>
      </c>
      <c r="BR1" s="1" t="s">
        <v>363</v>
      </c>
      <c r="BS1" s="1" t="s">
        <v>384</v>
      </c>
      <c r="BT1" s="1" t="s">
        <v>386</v>
      </c>
      <c r="BU1" s="1" t="s">
        <v>1188</v>
      </c>
      <c r="BV1" s="1" t="s">
        <v>1222</v>
      </c>
      <c r="BW1" s="1" t="s">
        <v>1187</v>
      </c>
      <c r="BX1" s="1" t="s">
        <v>1223</v>
      </c>
      <c r="BY1" s="1" t="s">
        <v>387</v>
      </c>
    </row>
    <row r="2" spans="1:77" x14ac:dyDescent="0.25">
      <c r="A2" t="s">
        <v>469</v>
      </c>
      <c r="B2" t="s">
        <v>470</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30</v>
      </c>
      <c r="AR2" t="str">
        <f t="shared" ref="AR2:AR65" si="2">IF(I2&lt;&gt;"",MAX(8,(I2-G2)-4),"")</f>
        <v/>
      </c>
      <c r="AU2">
        <f t="shared" ref="AU2:AU65" si="3">MIN(Y2/150, 1)*30</f>
        <v>0</v>
      </c>
      <c r="AV2">
        <f t="shared" ref="AV2:AV65" si="4">MIN(K2/4000, 1)*20</f>
        <v>0</v>
      </c>
      <c r="AW2">
        <f t="shared" ref="AW2:AW65" si="5">MIN(W2/400,1)*20</f>
        <v>0</v>
      </c>
      <c r="AX2" s="4">
        <v>1</v>
      </c>
      <c r="AY2">
        <f t="shared" ref="AY2:AY65"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7">BB2*IF($D2="wagon",62.5,781.25)</f>
        <v>0</v>
      </c>
      <c r="BE2" s="15">
        <f t="shared" ref="BE2:BE67" si="8">BC2*IF($D2="wagon",2.73,81.25)</f>
        <v>0</v>
      </c>
      <c r="BR2" t="str">
        <f>VLOOKUP(G2,Eras!$A$2:$C$10, 2, TRUE)</f>
        <v>edw</v>
      </c>
      <c r="BT2" t="str">
        <f t="shared" ref="BT2:BT71" si="9">CONCATENATE(BR2,"_",BS2)</f>
        <v>edw_</v>
      </c>
      <c r="BU2" t="str">
        <f>IF(AND(BG2&lt;&gt;Y2,BG2&lt;&gt;""),_xlfn.CONCAT("{BLACK}","Tare speed: ","{GOLD}{VELOCITY}{}"), "")</f>
        <v/>
      </c>
      <c r="BV2" t="str">
        <f t="shared" ref="BV2:BV65" si="10">IF(J2&gt;1,_xlfn.CONCAT("{BLACK}Cars: {GOLD}", J2, "{}"),"")</f>
        <v/>
      </c>
      <c r="BX2" t="str">
        <f t="shared" ref="BX2:BX18" si="11">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6" si="12">IF(AND(BG3&lt;&gt;Y3,BG3&lt;&gt;""),_xlfn.CONCAT("{BLACK}","Tare speed: ","{GOLD}{VELOCITY}{}"), "")</f>
        <v/>
      </c>
      <c r="BV3" t="str">
        <f t="shared" si="10"/>
        <v/>
      </c>
      <c r="BX3" t="str">
        <f t="shared" si="11"/>
        <v/>
      </c>
      <c r="BY3" t="str">
        <f t="shared" ref="BY3:BY72" si="13">_xlfn.CONCAT(BU3,BV3,BX3,"{SILVER}", BW3)</f>
        <v>{SILVER}</v>
      </c>
    </row>
    <row r="4" spans="1:77" x14ac:dyDescent="0.25">
      <c r="A4" t="s">
        <v>1262</v>
      </c>
      <c r="B4" t="s">
        <v>1261</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30</v>
      </c>
      <c r="AR4" t="str">
        <f t="shared" si="2"/>
        <v/>
      </c>
      <c r="AU4">
        <f t="shared" si="3"/>
        <v>0</v>
      </c>
      <c r="AV4">
        <f t="shared" si="4"/>
        <v>0</v>
      </c>
      <c r="AW4">
        <f t="shared" si="5"/>
        <v>0</v>
      </c>
      <c r="AX4" s="4">
        <v>1</v>
      </c>
      <c r="AY4">
        <f t="shared" si="6"/>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16">BB4*IF($D4="wagon",62.5,781.25)</f>
        <v>0</v>
      </c>
      <c r="BE4" s="15">
        <f t="shared" ref="BE4" si="17">BC4*IF($D4="wagon",2.73,81.25)</f>
        <v>0</v>
      </c>
      <c r="BR4" t="str">
        <f>VLOOKUP(G4,Eras!$A$2:$C$10, 2, TRUE)</f>
        <v>edw</v>
      </c>
      <c r="BT4" t="str">
        <f t="shared" ref="BT4" si="18">CONCATENATE(BR4,"_",BS4)</f>
        <v>edw_</v>
      </c>
      <c r="BU4" t="str">
        <f t="shared" si="12"/>
        <v/>
      </c>
      <c r="BV4" t="str">
        <f t="shared" si="10"/>
        <v/>
      </c>
      <c r="BX4" t="str">
        <f t="shared" si="11"/>
        <v/>
      </c>
      <c r="BY4" t="str">
        <f t="shared" ref="BY4" si="19">_xlfn.CONCAT(BU4,BV4,BX4,"{SILVER}", BW4)</f>
        <v>{SILVER}</v>
      </c>
    </row>
    <row r="5" spans="1:77" x14ac:dyDescent="0.25">
      <c r="A5" t="s">
        <v>438</v>
      </c>
      <c r="B5" t="s">
        <v>439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si="7"/>
        <v>0</v>
      </c>
      <c r="BE5" s="15">
        <f t="shared" si="8"/>
        <v>0</v>
      </c>
      <c r="BR5" t="str">
        <f>VLOOKUP(G5,Eras!$A$2:$C$10, 2, TRUE)</f>
        <v>edw</v>
      </c>
      <c r="BT5" t="str">
        <f t="shared" si="9"/>
        <v>edw_</v>
      </c>
      <c r="BU5" t="str">
        <f t="shared" si="12"/>
        <v/>
      </c>
      <c r="BV5" t="str">
        <f t="shared" si="10"/>
        <v/>
      </c>
      <c r="BX5" t="str">
        <f t="shared" si="11"/>
        <v/>
      </c>
      <c r="BY5" t="str">
        <f t="shared" si="13"/>
        <v>{SILVER}</v>
      </c>
    </row>
    <row r="6" spans="1:77" x14ac:dyDescent="0.25">
      <c r="A6" t="s">
        <v>1257</v>
      </c>
      <c r="B6" t="s">
        <v>1256</v>
      </c>
      <c r="C6">
        <v>-1</v>
      </c>
      <c r="D6" t="s">
        <v>331</v>
      </c>
      <c r="E6" t="s">
        <v>331</v>
      </c>
      <c r="F6" t="s">
        <v>314</v>
      </c>
      <c r="G6">
        <v>1920</v>
      </c>
      <c r="T6">
        <v>52</v>
      </c>
      <c r="X6" s="4" t="str">
        <f t="shared" ref="X6" si="20">IF(AND(T6&gt;0,W6&gt;0),(W6/((T6+U6)*10)),"")</f>
        <v/>
      </c>
      <c r="AA6">
        <v>7.64</v>
      </c>
      <c r="AB6">
        <v>8</v>
      </c>
      <c r="AE6" s="11">
        <v>0</v>
      </c>
      <c r="AF6" t="str">
        <f>CONCATENATE(VLOOKUP(AG6, 'Voxel Sizes'!$A$2:$B$18,2,FALSE),"x",INT(AC6*15), "x", INT(AD6*15))</f>
        <v>82x0x0</v>
      </c>
      <c r="AG6">
        <f t="shared" ref="AG6" si="21">ROUND(15*((AB6*10)/256),0)</f>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22">BB6*IF($D6="wagon",62.5,781.25)</f>
        <v>0</v>
      </c>
      <c r="BE6" s="15">
        <f t="shared" ref="BE6" si="23">BC6*IF($D6="wagon",2.73,81.25)</f>
        <v>0</v>
      </c>
      <c r="BR6" t="str">
        <f>VLOOKUP(G6,Eras!$A$2:$C$10, 2, TRUE)</f>
        <v>edw</v>
      </c>
      <c r="BT6" t="str">
        <f t="shared" ref="BT6" si="24">CONCATENATE(BR6,"_",BS6)</f>
        <v>edw_</v>
      </c>
      <c r="BU6" t="str">
        <f t="shared" si="12"/>
        <v/>
      </c>
      <c r="BV6" t="str">
        <f t="shared" si="10"/>
        <v/>
      </c>
      <c r="BX6" t="str">
        <f t="shared" si="11"/>
        <v/>
      </c>
      <c r="BY6" t="str">
        <f t="shared" ref="BY6" si="25">_xlfn.CONCAT(BU6,BV6,BX6,"{SILVER}", BW6)</f>
        <v>{SILVER}</v>
      </c>
    </row>
    <row r="7" spans="1:77" x14ac:dyDescent="0.25">
      <c r="A7" t="s">
        <v>489</v>
      </c>
      <c r="B7" t="s">
        <v>490</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si="7"/>
        <v>0</v>
      </c>
      <c r="BE7" s="15">
        <f t="shared" si="8"/>
        <v>0</v>
      </c>
      <c r="BR7" t="str">
        <f>VLOOKUP(G7,Eras!$A$2:$C$10, 2, TRUE)</f>
        <v>big4</v>
      </c>
      <c r="BT7" t="str">
        <f t="shared" si="9"/>
        <v>big4_</v>
      </c>
      <c r="BU7" t="str">
        <f t="shared" si="12"/>
        <v/>
      </c>
      <c r="BV7" t="str">
        <f t="shared" si="10"/>
        <v/>
      </c>
      <c r="BX7" t="str">
        <f t="shared" si="11"/>
        <v/>
      </c>
      <c r="BY7" t="str">
        <f t="shared" si="13"/>
        <v>{SILVER}</v>
      </c>
    </row>
    <row r="8" spans="1:77"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2"/>
        <v/>
      </c>
      <c r="BV8" t="str">
        <f t="shared" si="10"/>
        <v/>
      </c>
      <c r="BX8" t="str">
        <f t="shared" si="11"/>
        <v/>
      </c>
      <c r="BY8" t="str">
        <f t="shared" si="13"/>
        <v>{SILVER}</v>
      </c>
    </row>
    <row r="9" spans="1:77"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2"/>
        <v/>
      </c>
      <c r="BV9" t="str">
        <f t="shared" si="10"/>
        <v/>
      </c>
      <c r="BX9" t="str">
        <f t="shared" si="11"/>
        <v/>
      </c>
      <c r="BY9" t="str">
        <f t="shared" si="13"/>
        <v>{SILVER}</v>
      </c>
    </row>
    <row r="10" spans="1:77" x14ac:dyDescent="0.25">
      <c r="A10" t="s">
        <v>484</v>
      </c>
      <c r="B10" t="s">
        <v>485</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2"/>
        <v/>
      </c>
      <c r="BV10" t="str">
        <f t="shared" si="10"/>
        <v/>
      </c>
      <c r="BX10" t="str">
        <f t="shared" si="11"/>
        <v/>
      </c>
      <c r="BY10" t="str">
        <f t="shared" si="13"/>
        <v>{SILVER}</v>
      </c>
    </row>
    <row r="11" spans="1:77" x14ac:dyDescent="0.25">
      <c r="A11" t="s">
        <v>511</v>
      </c>
      <c r="B11" t="s">
        <v>510</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2"/>
        <v/>
      </c>
      <c r="BV11" t="str">
        <f t="shared" si="10"/>
        <v/>
      </c>
      <c r="BX11" t="str">
        <f t="shared" si="11"/>
        <v/>
      </c>
      <c r="BY11" t="str">
        <f t="shared" si="13"/>
        <v>{SILVER}</v>
      </c>
    </row>
    <row r="12" spans="1:77" ht="13.5" customHeight="1" x14ac:dyDescent="0.25">
      <c r="A12" t="s">
        <v>518</v>
      </c>
      <c r="B12" t="s">
        <v>519</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2"/>
        <v/>
      </c>
      <c r="BV12" t="str">
        <f t="shared" si="10"/>
        <v/>
      </c>
      <c r="BX12" t="str">
        <f t="shared" si="11"/>
        <v/>
      </c>
      <c r="BY12" t="str">
        <f t="shared" si="13"/>
        <v>{SILVER}</v>
      </c>
    </row>
    <row r="13" spans="1:77" x14ac:dyDescent="0.25">
      <c r="A13" t="s">
        <v>526</v>
      </c>
      <c r="B13" t="s">
        <v>525</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2"/>
        <v/>
      </c>
      <c r="BV13" t="str">
        <f t="shared" si="10"/>
        <v/>
      </c>
      <c r="BX13" t="str">
        <f t="shared" si="11"/>
        <v/>
      </c>
      <c r="BY13" t="str">
        <f t="shared" si="13"/>
        <v>{SILVER}</v>
      </c>
    </row>
    <row r="14" spans="1:77" x14ac:dyDescent="0.25">
      <c r="A14" t="s">
        <v>531</v>
      </c>
      <c r="B14" t="s">
        <v>532</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2"/>
        <v/>
      </c>
      <c r="BV14" t="str">
        <f t="shared" si="10"/>
        <v/>
      </c>
      <c r="BX14" t="str">
        <f t="shared" si="11"/>
        <v/>
      </c>
      <c r="BY14" t="str">
        <f t="shared" si="13"/>
        <v>{SILVER}</v>
      </c>
    </row>
    <row r="15" spans="1:77" x14ac:dyDescent="0.25">
      <c r="A15" t="s">
        <v>546</v>
      </c>
      <c r="B15" t="s">
        <v>545</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2"/>
        <v/>
      </c>
      <c r="BV15" t="str">
        <f t="shared" si="10"/>
        <v/>
      </c>
      <c r="BX15" t="str">
        <f t="shared" si="11"/>
        <v/>
      </c>
      <c r="BY15" t="str">
        <f t="shared" si="13"/>
        <v>{SILVER}</v>
      </c>
    </row>
    <row r="16" spans="1:77" x14ac:dyDescent="0.25">
      <c r="A16" t="s">
        <v>689</v>
      </c>
      <c r="B16" t="s">
        <v>690</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dsl</v>
      </c>
      <c r="BT16" t="str">
        <f t="shared" si="9"/>
        <v>dsl_</v>
      </c>
      <c r="BU16" t="str">
        <f t="shared" si="12"/>
        <v/>
      </c>
      <c r="BV16" t="str">
        <f t="shared" si="10"/>
        <v/>
      </c>
      <c r="BX16" t="str">
        <f t="shared" si="11"/>
        <v/>
      </c>
      <c r="BY16" t="str">
        <f t="shared" si="13"/>
        <v>{SILVER}</v>
      </c>
    </row>
    <row r="17" spans="1:77" x14ac:dyDescent="0.25">
      <c r="A17" t="s">
        <v>127</v>
      </c>
      <c r="B17" t="s">
        <v>235</v>
      </c>
      <c r="C17">
        <v>10</v>
      </c>
      <c r="D17" t="s">
        <v>321</v>
      </c>
      <c r="E17" t="s">
        <v>1173</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30</v>
      </c>
      <c r="AR17">
        <f t="shared" si="2"/>
        <v>39</v>
      </c>
      <c r="AS17">
        <v>69</v>
      </c>
      <c r="AT17">
        <f>19*3</f>
        <v>57</v>
      </c>
      <c r="AU17">
        <f t="shared" si="3"/>
        <v>16</v>
      </c>
      <c r="AV17">
        <f t="shared" si="4"/>
        <v>0</v>
      </c>
      <c r="AW17">
        <f t="shared" si="5"/>
        <v>0</v>
      </c>
      <c r="AX17" s="4">
        <v>1</v>
      </c>
      <c r="AY17">
        <f t="shared" si="6"/>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7"/>
        <v>4750</v>
      </c>
      <c r="BE17" s="15">
        <f t="shared" si="8"/>
        <v>311.21999999999997</v>
      </c>
      <c r="BH17">
        <f t="shared" ref="BH17:BH24" si="26">Y17</f>
        <v>80</v>
      </c>
      <c r="BN17">
        <v>1</v>
      </c>
      <c r="BO17">
        <v>185</v>
      </c>
      <c r="BP17" t="s">
        <v>941</v>
      </c>
      <c r="BQ17" t="s">
        <v>323</v>
      </c>
      <c r="BR17" t="str">
        <f>VLOOKUP(G17,Eras!$A$2:$C$10, 2, TRUE)</f>
        <v>vct</v>
      </c>
      <c r="BS17" t="s">
        <v>375</v>
      </c>
      <c r="BT17" t="str">
        <f t="shared" si="9"/>
        <v>vct_Carriage</v>
      </c>
      <c r="BU17" t="str">
        <f t="shared" si="12"/>
        <v/>
      </c>
      <c r="BV17" t="str">
        <f t="shared" si="10"/>
        <v/>
      </c>
      <c r="BW17" t="s">
        <v>775</v>
      </c>
      <c r="BX17" t="str">
        <f t="shared" si="11"/>
        <v/>
      </c>
      <c r="BY17" t="str">
        <f t="shared" si="13"/>
        <v>{SILVER}Toward the end of the Victorian era, passenger carriages began to be mounted on bogies rather than fixed axles. Many featured clerestory-style roofs.</v>
      </c>
    </row>
    <row r="18" spans="1:77" x14ac:dyDescent="0.25">
      <c r="A18" t="s">
        <v>444</v>
      </c>
      <c r="B18" t="s">
        <v>445</v>
      </c>
      <c r="C18">
        <v>12</v>
      </c>
      <c r="D18" t="s">
        <v>321</v>
      </c>
      <c r="E18" t="s">
        <v>1173</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30</v>
      </c>
      <c r="AR18">
        <f t="shared" si="2"/>
        <v>47</v>
      </c>
      <c r="AS18">
        <v>72</v>
      </c>
      <c r="AT18">
        <f>20*3</f>
        <v>60</v>
      </c>
      <c r="AU18">
        <f t="shared" si="3"/>
        <v>17</v>
      </c>
      <c r="AV18">
        <f t="shared" si="4"/>
        <v>0</v>
      </c>
      <c r="AW18">
        <f t="shared" si="5"/>
        <v>0</v>
      </c>
      <c r="AX18" s="4">
        <v>1</v>
      </c>
      <c r="AY18">
        <f t="shared" si="6"/>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7"/>
        <v>5000</v>
      </c>
      <c r="BE18" s="15">
        <f t="shared" si="8"/>
        <v>327.60000000000002</v>
      </c>
      <c r="BH18">
        <f t="shared" si="26"/>
        <v>85</v>
      </c>
      <c r="BN18">
        <v>1</v>
      </c>
      <c r="BO18">
        <v>185</v>
      </c>
      <c r="BP18" t="s">
        <v>941</v>
      </c>
      <c r="BQ18" t="s">
        <v>323</v>
      </c>
      <c r="BR18" t="str">
        <f>VLOOKUP(G18,Eras!$A$2:$C$10, 2, TRUE)</f>
        <v>edw</v>
      </c>
      <c r="BS18" t="s">
        <v>375</v>
      </c>
      <c r="BT18" t="str">
        <f t="shared" si="9"/>
        <v>edw_Carriage</v>
      </c>
      <c r="BU18" t="str">
        <f t="shared" si="12"/>
        <v/>
      </c>
      <c r="BV18" t="str">
        <f t="shared" si="10"/>
        <v/>
      </c>
      <c r="BW18" t="s">
        <v>446</v>
      </c>
      <c r="BX18" t="str">
        <f t="shared" si="11"/>
        <v/>
      </c>
      <c r="BY18" t="str">
        <f t="shared" si="13"/>
        <v>{SILVER}In the early 20th century passenger coaches were stretched to greater lengths. This is a typical LNWR design.</v>
      </c>
    </row>
    <row r="19" spans="1:77" x14ac:dyDescent="0.25">
      <c r="A19" t="s">
        <v>128</v>
      </c>
      <c r="B19" t="s">
        <v>496</v>
      </c>
      <c r="C19">
        <v>14</v>
      </c>
      <c r="D19" t="s">
        <v>321</v>
      </c>
      <c r="E19" t="s">
        <v>1174</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30</v>
      </c>
      <c r="AR19">
        <f t="shared" si="2"/>
        <v>38</v>
      </c>
      <c r="AS19">
        <v>93</v>
      </c>
      <c r="AT19">
        <f>26*3</f>
        <v>78</v>
      </c>
      <c r="AU19">
        <f t="shared" si="3"/>
        <v>19</v>
      </c>
      <c r="AV19">
        <f t="shared" si="4"/>
        <v>0</v>
      </c>
      <c r="AW19">
        <f t="shared" si="5"/>
        <v>0</v>
      </c>
      <c r="AX19" s="4">
        <v>1</v>
      </c>
      <c r="AY19">
        <f t="shared" si="6"/>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7"/>
        <v>6500</v>
      </c>
      <c r="BE19" s="15">
        <f t="shared" si="8"/>
        <v>425.88</v>
      </c>
      <c r="BH19">
        <f t="shared" si="26"/>
        <v>95</v>
      </c>
      <c r="BN19">
        <v>1</v>
      </c>
      <c r="BO19">
        <v>260</v>
      </c>
      <c r="BP19" t="s">
        <v>941</v>
      </c>
      <c r="BQ19" t="s">
        <v>323</v>
      </c>
      <c r="BR19" t="str">
        <f>VLOOKUP(G19,Eras!$A$2:$C$10, 2, TRUE)</f>
        <v>big4</v>
      </c>
      <c r="BS19" t="s">
        <v>375</v>
      </c>
      <c r="BT19" t="str">
        <f t="shared" si="9"/>
        <v>big4_Carriage</v>
      </c>
      <c r="BU19" t="str">
        <f t="shared" si="12"/>
        <v/>
      </c>
      <c r="BV19" t="str">
        <f t="shared" si="10"/>
        <v/>
      </c>
      <c r="BW19" t="s">
        <v>497</v>
      </c>
      <c r="BX19" t="str">
        <f>IF(BQ19="BRAKE","{YELLOW}Speed bonus for slow wagons{}",IF(BO19&gt;190,CONCATENATE("{YELLOW}",INT((BO19-185)/1.85),"% Bonus for long distance travel{}"),IF(AND(BO19&lt;180,BO19&lt;&gt;0),CONCATENATE("{YELLOW}",INT((185-BO19)/1.85),"% Penalty for long distance travel{}"),"")))</f>
        <v>{YELLOW}40% Bonus for long distance travel{}</v>
      </c>
      <c r="BY19" t="str">
        <f t="shared" si="13"/>
        <v>{YELLOW}40% Bonus for long distance travel{}{SILVER}The luxurious Pullman cars were large  and heavy, with many still in use today for restaurant services.</v>
      </c>
    </row>
    <row r="20" spans="1:77" x14ac:dyDescent="0.25">
      <c r="A20" t="s">
        <v>1189</v>
      </c>
      <c r="B20" t="s">
        <v>1190</v>
      </c>
      <c r="C20">
        <v>15</v>
      </c>
      <c r="D20" t="s">
        <v>321</v>
      </c>
      <c r="E20" t="s">
        <v>1174</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1239</v>
      </c>
      <c r="AQ20">
        <v>30</v>
      </c>
      <c r="AR20">
        <f t="shared" si="2"/>
        <v>30</v>
      </c>
      <c r="AS20">
        <v>102</v>
      </c>
      <c r="AT20">
        <f>31*3</f>
        <v>93</v>
      </c>
      <c r="AU20">
        <f t="shared" si="3"/>
        <v>26</v>
      </c>
      <c r="AV20">
        <f t="shared" si="4"/>
        <v>0</v>
      </c>
      <c r="AW20">
        <f t="shared" si="5"/>
        <v>0</v>
      </c>
      <c r="AX20" s="4">
        <v>1</v>
      </c>
      <c r="AY20">
        <f t="shared" si="6"/>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7"/>
        <v>7750</v>
      </c>
      <c r="BE20" s="15">
        <f t="shared" si="8"/>
        <v>475.02</v>
      </c>
      <c r="BH20">
        <f t="shared" si="26"/>
        <v>130</v>
      </c>
      <c r="BN20">
        <v>1</v>
      </c>
      <c r="BO20">
        <v>222</v>
      </c>
      <c r="BP20" t="s">
        <v>941</v>
      </c>
      <c r="BQ20" t="s">
        <v>323</v>
      </c>
      <c r="BR20" t="str">
        <f>VLOOKUP(G20,Eras!$A$2:$C$10, 2, TRUE)</f>
        <v>big4</v>
      </c>
      <c r="BS20" t="s">
        <v>375</v>
      </c>
      <c r="BT20" t="str">
        <f t="shared" si="9"/>
        <v>big4_Carriage</v>
      </c>
      <c r="BU20" t="str">
        <f t="shared" si="12"/>
        <v/>
      </c>
      <c r="BV20" t="str">
        <f t="shared" si="10"/>
        <v/>
      </c>
      <c r="BW20" t="s">
        <v>1191</v>
      </c>
      <c r="BX20" t="str">
        <f t="shared" ref="BX20:BX83" si="27">IF(BQ20="BRAKE","{YELLOW}Speed bonus for slow wagons{}",IF(BO20&gt;190,CONCATENATE("{YELLOW}",INT((BO20-185)/1.85),"% Bonus for long distance travel{}"),IF(AND(BO20&lt;180,BO20&lt;&gt;0),CONCATENATE("{YELLOW}",INT((185-BO20)/1.85),"% Penalty for long distance travel{}"),"")))</f>
        <v>{YELLOW}20% Bonus for long distance travel{}</v>
      </c>
      <c r="BY20" t="str">
        <f t="shared" si="13"/>
        <v>{YELLOW}20% Bonus for long distance travel{}{SILVER}As express services increased in speed, carriages were streamlined with valances between bogies and flexible walls connecting each carriage.</v>
      </c>
    </row>
    <row r="21" spans="1:77" x14ac:dyDescent="0.25">
      <c r="A21" t="s">
        <v>130</v>
      </c>
      <c r="B21" t="s">
        <v>298</v>
      </c>
      <c r="C21">
        <v>16</v>
      </c>
      <c r="D21" t="s">
        <v>321</v>
      </c>
      <c r="E21" t="s">
        <v>1173</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30</v>
      </c>
      <c r="AR21">
        <f t="shared" si="2"/>
        <v>19</v>
      </c>
      <c r="AS21">
        <v>76</v>
      </c>
      <c r="AT21">
        <f>23*3</f>
        <v>69</v>
      </c>
      <c r="AU21">
        <f t="shared" si="3"/>
        <v>20</v>
      </c>
      <c r="AV21">
        <f t="shared" si="4"/>
        <v>0</v>
      </c>
      <c r="AW21">
        <f t="shared" si="5"/>
        <v>0</v>
      </c>
      <c r="AX21" s="4">
        <v>1</v>
      </c>
      <c r="AY21">
        <f t="shared" si="6"/>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7"/>
        <v>5750</v>
      </c>
      <c r="BE21" s="15">
        <f t="shared" si="8"/>
        <v>349.44</v>
      </c>
      <c r="BH21">
        <f t="shared" si="26"/>
        <v>100</v>
      </c>
      <c r="BN21">
        <v>1</v>
      </c>
      <c r="BO21">
        <v>185</v>
      </c>
      <c r="BP21" t="s">
        <v>941</v>
      </c>
      <c r="BQ21" t="s">
        <v>323</v>
      </c>
      <c r="BR21" t="str">
        <f>VLOOKUP(G21,Eras!$A$2:$C$10, 2, TRUE)</f>
        <v>ebr</v>
      </c>
      <c r="BS21" t="s">
        <v>375</v>
      </c>
      <c r="BT21" t="str">
        <f t="shared" si="9"/>
        <v>ebr_Carriage</v>
      </c>
      <c r="BU21" t="str">
        <f t="shared" si="12"/>
        <v/>
      </c>
      <c r="BV21" t="str">
        <f t="shared" si="10"/>
        <v/>
      </c>
      <c r="BW21" t="s">
        <v>679</v>
      </c>
      <c r="BX21" t="str">
        <f t="shared" si="27"/>
        <v/>
      </c>
      <c r="BY21" t="str">
        <f t="shared" si="13"/>
        <v>{SILVER}The Mk1 carriage combined best practice from the different Big Four carriage designs into a single standard design that could be used across the BR network.</v>
      </c>
    </row>
    <row r="22" spans="1:77" x14ac:dyDescent="0.25">
      <c r="A22" t="s">
        <v>131</v>
      </c>
      <c r="B22" t="s">
        <v>297</v>
      </c>
      <c r="C22">
        <v>17</v>
      </c>
      <c r="D22" t="s">
        <v>321</v>
      </c>
      <c r="E22" t="s">
        <v>1173</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30</v>
      </c>
      <c r="AR22">
        <f t="shared" si="2"/>
        <v>50</v>
      </c>
      <c r="AS22">
        <v>79</v>
      </c>
      <c r="AT22">
        <f>25*3</f>
        <v>75</v>
      </c>
      <c r="AU22">
        <f t="shared" si="3"/>
        <v>22</v>
      </c>
      <c r="AV22">
        <f t="shared" si="4"/>
        <v>0</v>
      </c>
      <c r="AW22">
        <f t="shared" si="5"/>
        <v>0</v>
      </c>
      <c r="AX22" s="4">
        <v>1</v>
      </c>
      <c r="AY22">
        <f t="shared" si="6"/>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7"/>
        <v>6250</v>
      </c>
      <c r="BE22" s="15">
        <f t="shared" si="8"/>
        <v>365.82</v>
      </c>
      <c r="BH22">
        <f t="shared" si="26"/>
        <v>110</v>
      </c>
      <c r="BN22">
        <v>1</v>
      </c>
      <c r="BO22">
        <v>185</v>
      </c>
      <c r="BP22" t="s">
        <v>941</v>
      </c>
      <c r="BQ22" t="s">
        <v>323</v>
      </c>
      <c r="BR22" t="str">
        <f>VLOOKUP(G22,Eras!$A$2:$C$10, 2, TRUE)</f>
        <v>dsl</v>
      </c>
      <c r="BS22" t="s">
        <v>375</v>
      </c>
      <c r="BT22" t="str">
        <f t="shared" si="9"/>
        <v>dsl_Carriage</v>
      </c>
      <c r="BU22" t="str">
        <f t="shared" si="12"/>
        <v/>
      </c>
      <c r="BV22" t="str">
        <f t="shared" si="10"/>
        <v/>
      </c>
      <c r="BW22" t="s">
        <v>401</v>
      </c>
      <c r="BX22" t="str">
        <f t="shared" si="27"/>
        <v/>
      </c>
      <c r="BY22" t="str">
        <f t="shared" si="13"/>
        <v>{SILVER}The Mk2 carriage is the second BR carriage design. It was built to be stronger than the Mk1, giving better corrosion resistance and being safer for passengers in an accident.</v>
      </c>
    </row>
    <row r="23" spans="1:77" x14ac:dyDescent="0.25">
      <c r="A23" t="s">
        <v>132</v>
      </c>
      <c r="B23" t="s">
        <v>299</v>
      </c>
      <c r="C23">
        <v>18</v>
      </c>
      <c r="D23" t="s">
        <v>321</v>
      </c>
      <c r="E23" t="s">
        <v>1173</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30</v>
      </c>
      <c r="AR23" t="str">
        <f t="shared" si="2"/>
        <v/>
      </c>
      <c r="AS23">
        <v>86</v>
      </c>
      <c r="AT23">
        <f>29*3</f>
        <v>87</v>
      </c>
      <c r="AU23">
        <f t="shared" si="3"/>
        <v>25</v>
      </c>
      <c r="AV23">
        <f t="shared" si="4"/>
        <v>0</v>
      </c>
      <c r="AW23">
        <f t="shared" si="5"/>
        <v>0</v>
      </c>
      <c r="AX23" s="4">
        <v>1</v>
      </c>
      <c r="AY23">
        <f t="shared" si="6"/>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7"/>
        <v>7250</v>
      </c>
      <c r="BE23" s="15">
        <f t="shared" si="8"/>
        <v>404.04</v>
      </c>
      <c r="BH23">
        <f t="shared" si="26"/>
        <v>125</v>
      </c>
      <c r="BN23">
        <v>1</v>
      </c>
      <c r="BO23">
        <v>205</v>
      </c>
      <c r="BP23" t="s">
        <v>941</v>
      </c>
      <c r="BQ23" t="s">
        <v>323</v>
      </c>
      <c r="BR23" t="str">
        <f>VLOOKUP(G23,Eras!$A$2:$C$10, 2, TRUE)</f>
        <v>lbr</v>
      </c>
      <c r="BS23" t="s">
        <v>375</v>
      </c>
      <c r="BT23" t="str">
        <f t="shared" si="9"/>
        <v>lbr_Carriage</v>
      </c>
      <c r="BU23" t="str">
        <f t="shared" si="12"/>
        <v/>
      </c>
      <c r="BV23" t="str">
        <f t="shared" si="10"/>
        <v/>
      </c>
      <c r="BW23" t="s">
        <v>402</v>
      </c>
      <c r="BX23" t="str">
        <f t="shared" si="27"/>
        <v>{YELLOW}10% Bonus for long distance travel{}</v>
      </c>
      <c r="BY23" t="str">
        <f t="shared" si="13"/>
        <v xml:space="preserve">{YELLOW}10% Bonus for long distance travel{}{SILVER}The Mk3 carriage is designed for higher speed operation, capable of running at up to 125mph. The first Mk3 carriages were built for the prototype HST. </v>
      </c>
    </row>
    <row r="24" spans="1:77" x14ac:dyDescent="0.25">
      <c r="A24" t="s">
        <v>133</v>
      </c>
      <c r="B24" t="s">
        <v>300</v>
      </c>
      <c r="C24">
        <v>19</v>
      </c>
      <c r="D24" t="s">
        <v>321</v>
      </c>
      <c r="E24" t="s">
        <v>1173</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90</v>
      </c>
      <c r="AT24">
        <f>31*3</f>
        <v>93</v>
      </c>
      <c r="AU24">
        <f t="shared" si="3"/>
        <v>28</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7"/>
        <v>7750</v>
      </c>
      <c r="BE24" s="15">
        <f t="shared" si="8"/>
        <v>425.88</v>
      </c>
      <c r="BH24">
        <f t="shared" si="26"/>
        <v>140</v>
      </c>
      <c r="BN24">
        <v>1</v>
      </c>
      <c r="BO24">
        <v>222</v>
      </c>
      <c r="BP24" t="s">
        <v>941</v>
      </c>
      <c r="BQ24" t="s">
        <v>323</v>
      </c>
      <c r="BR24" t="str">
        <f>VLOOKUP(G24,Eras!$A$2:$C$10, 2, TRUE)</f>
        <v>lbr</v>
      </c>
      <c r="BS24" t="s">
        <v>375</v>
      </c>
      <c r="BT24" t="str">
        <f t="shared" si="9"/>
        <v>lbr_Carriage</v>
      </c>
      <c r="BU24" t="str">
        <f t="shared" si="12"/>
        <v/>
      </c>
      <c r="BV24" t="str">
        <f t="shared" si="10"/>
        <v/>
      </c>
      <c r="BW24" t="s">
        <v>626</v>
      </c>
      <c r="BX24" t="str">
        <f t="shared" si="27"/>
        <v>{YELLOW}20% Bonus for long distance travel{}</v>
      </c>
      <c r="BY24" t="str">
        <f t="shared" si="13"/>
        <v>{YELLOW}20% Bonus for long distance travel{}{SILVER}The Mk4 carriage is a further improvement on the Mk3. It's designed for use with the Class 91 for Intercity 225 services.</v>
      </c>
    </row>
    <row r="25" spans="1:77"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30</v>
      </c>
      <c r="AR25">
        <f t="shared" si="2"/>
        <v>66</v>
      </c>
      <c r="AU25">
        <f t="shared" si="3"/>
        <v>7</v>
      </c>
      <c r="AV25">
        <f t="shared" si="4"/>
        <v>0</v>
      </c>
      <c r="AW25">
        <f t="shared" si="5"/>
        <v>0</v>
      </c>
      <c r="AX25" s="4">
        <v>1</v>
      </c>
      <c r="AY25">
        <f t="shared" si="6"/>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7"/>
        <v>437.5</v>
      </c>
      <c r="BE25" s="15">
        <f t="shared" si="8"/>
        <v>65.52</v>
      </c>
      <c r="BH25">
        <f t="shared" ref="BH25:BH62" si="28">INT(Y25*1.25)</f>
        <v>43</v>
      </c>
      <c r="BN25">
        <v>1</v>
      </c>
      <c r="BO25">
        <v>185</v>
      </c>
      <c r="BP25" t="s">
        <v>1108</v>
      </c>
      <c r="BQ25" t="s">
        <v>780</v>
      </c>
      <c r="BR25" t="str">
        <f>VLOOKUP(G25,Eras!$A$2:$C$10, 2, TRUE)</f>
        <v>vct</v>
      </c>
      <c r="BS25" t="s">
        <v>380</v>
      </c>
      <c r="BT25" t="str">
        <f t="shared" si="9"/>
        <v>vct_Open Wagon</v>
      </c>
      <c r="BU25" t="str">
        <f t="shared" si="12"/>
        <v/>
      </c>
      <c r="BV25" t="str">
        <f t="shared" si="10"/>
        <v/>
      </c>
      <c r="BW25" t="s">
        <v>404</v>
      </c>
      <c r="BX25" t="str">
        <f t="shared" si="27"/>
        <v/>
      </c>
      <c r="BY25" t="str">
        <f t="shared" si="13"/>
        <v>{SILVER}Open "plank" wagons are named for the number of planks used in the construction of their sides.</v>
      </c>
    </row>
    <row r="26" spans="1:77"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59</v>
      </c>
      <c r="AU26">
        <f t="shared" si="3"/>
        <v>9</v>
      </c>
      <c r="AV26">
        <f t="shared" si="4"/>
        <v>0</v>
      </c>
      <c r="AW26">
        <f t="shared" si="5"/>
        <v>0</v>
      </c>
      <c r="AX26" s="4">
        <v>1</v>
      </c>
      <c r="AY26">
        <f t="shared" si="6"/>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7"/>
        <v>500</v>
      </c>
      <c r="BE26" s="15">
        <f t="shared" si="8"/>
        <v>73.709999999999994</v>
      </c>
      <c r="BH26">
        <f t="shared" si="28"/>
        <v>56</v>
      </c>
      <c r="BN26">
        <v>1</v>
      </c>
      <c r="BO26">
        <v>185</v>
      </c>
      <c r="BP26" t="s">
        <v>1108</v>
      </c>
      <c r="BQ26" t="s">
        <v>780</v>
      </c>
      <c r="BR26" t="str">
        <f>VLOOKUP(G26,Eras!$A$2:$C$10, 2, TRUE)</f>
        <v>edw</v>
      </c>
      <c r="BS26" t="s">
        <v>380</v>
      </c>
      <c r="BT26" t="str">
        <f t="shared" si="9"/>
        <v>edw_Open Wagon</v>
      </c>
      <c r="BU26" t="str">
        <f t="shared" si="12"/>
        <v/>
      </c>
      <c r="BV26" t="str">
        <f t="shared" si="10"/>
        <v/>
      </c>
      <c r="BW26" t="s">
        <v>405</v>
      </c>
      <c r="BX26" t="str">
        <f t="shared" si="27"/>
        <v/>
      </c>
      <c r="BY26" t="str">
        <f t="shared" si="13"/>
        <v>{SILVER}The 5 plank wagon became one of the common standard types used by the GWR, with thousands built.</v>
      </c>
    </row>
    <row r="27" spans="1:77"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30</v>
      </c>
      <c r="AR27">
        <f t="shared" si="2"/>
        <v>31</v>
      </c>
      <c r="AU27">
        <f t="shared" si="3"/>
        <v>10</v>
      </c>
      <c r="AV27">
        <f t="shared" si="4"/>
        <v>0</v>
      </c>
      <c r="AW27">
        <f t="shared" si="5"/>
        <v>0</v>
      </c>
      <c r="AX27" s="4">
        <v>1</v>
      </c>
      <c r="AY27">
        <f t="shared" si="6"/>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7"/>
        <v>562.5</v>
      </c>
      <c r="BE27" s="15">
        <f t="shared" si="8"/>
        <v>79.17</v>
      </c>
      <c r="BH27">
        <f t="shared" si="28"/>
        <v>62</v>
      </c>
      <c r="BN27">
        <v>1</v>
      </c>
      <c r="BO27">
        <v>185</v>
      </c>
      <c r="BP27" t="s">
        <v>1108</v>
      </c>
      <c r="BQ27" t="s">
        <v>780</v>
      </c>
      <c r="BR27" t="str">
        <f>VLOOKUP(G27,Eras!$A$2:$C$10, 2, TRUE)</f>
        <v>big4</v>
      </c>
      <c r="BS27" t="s">
        <v>380</v>
      </c>
      <c r="BT27" t="str">
        <f t="shared" si="9"/>
        <v>big4_Open Wagon</v>
      </c>
      <c r="BU27" t="str">
        <f t="shared" si="12"/>
        <v/>
      </c>
      <c r="BV27" t="str">
        <f t="shared" si="10"/>
        <v/>
      </c>
      <c r="BW27" t="s">
        <v>781</v>
      </c>
      <c r="BX27" t="str">
        <f t="shared" si="27"/>
        <v/>
      </c>
      <c r="BY27" t="str">
        <f t="shared" si="13"/>
        <v>{SILVER}Steel wagons were introduced in the 1930s to have a longer service life than wooden wagons, which were proving uneconomical for many owners to operate after recessions at the start of the decade.</v>
      </c>
    </row>
    <row r="28" spans="1:77" x14ac:dyDescent="0.25">
      <c r="A28" t="s">
        <v>785</v>
      </c>
      <c r="B28" t="s">
        <v>786</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30</v>
      </c>
      <c r="AU28">
        <f t="shared" si="3"/>
        <v>12</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7"/>
        <v>625</v>
      </c>
      <c r="BE28" s="15">
        <f t="shared" si="8"/>
        <v>84.63</v>
      </c>
      <c r="BH28">
        <f t="shared" si="28"/>
        <v>75</v>
      </c>
      <c r="BN28">
        <v>1</v>
      </c>
      <c r="BO28">
        <v>185</v>
      </c>
      <c r="BP28" t="s">
        <v>1108</v>
      </c>
      <c r="BQ28" t="s">
        <v>780</v>
      </c>
      <c r="BR28" t="str">
        <f>VLOOKUP(G28,Eras!$A$2:$C$10, 2, TRUE)</f>
        <v>ebr</v>
      </c>
      <c r="BS28" t="s">
        <v>380</v>
      </c>
      <c r="BT28" t="str">
        <f t="shared" si="9"/>
        <v>ebr_Open Wagon</v>
      </c>
      <c r="BU28" t="str">
        <f t="shared" si="12"/>
        <v/>
      </c>
      <c r="BV28" t="str">
        <f t="shared" si="10"/>
        <v/>
      </c>
      <c r="BW28" t="s">
        <v>787</v>
      </c>
      <c r="BX28" t="str">
        <f t="shared" si="27"/>
        <v/>
      </c>
      <c r="BY28" t="str">
        <f t="shared" si="13"/>
        <v>{SILVER}BR continued to make steel bodied wagons following LNER designs, gradually altering the body style.</v>
      </c>
    </row>
    <row r="29" spans="1:77" x14ac:dyDescent="0.25">
      <c r="A29" t="s">
        <v>783</v>
      </c>
      <c r="B29" t="s">
        <v>784</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30</v>
      </c>
      <c r="AR29">
        <f t="shared" si="2"/>
        <v>43</v>
      </c>
      <c r="AU29">
        <f t="shared" si="3"/>
        <v>14</v>
      </c>
      <c r="AV29">
        <f t="shared" si="4"/>
        <v>0</v>
      </c>
      <c r="AW29">
        <f t="shared" si="5"/>
        <v>0</v>
      </c>
      <c r="AX29" s="4">
        <v>1</v>
      </c>
      <c r="AY29">
        <f t="shared" si="6"/>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7"/>
        <v>750</v>
      </c>
      <c r="BE29" s="15">
        <f t="shared" si="8"/>
        <v>92.82</v>
      </c>
      <c r="BH29">
        <f t="shared" si="28"/>
        <v>87</v>
      </c>
      <c r="BN29">
        <v>1</v>
      </c>
      <c r="BO29">
        <v>185</v>
      </c>
      <c r="BP29" t="s">
        <v>1108</v>
      </c>
      <c r="BQ29" t="s">
        <v>780</v>
      </c>
      <c r="BR29" t="str">
        <f>VLOOKUP(G29,Eras!$A$2:$C$10, 2, TRUE)</f>
        <v>lbr</v>
      </c>
      <c r="BS29" t="s">
        <v>380</v>
      </c>
      <c r="BT29" t="str">
        <f t="shared" si="9"/>
        <v>lbr_Open Wagon</v>
      </c>
      <c r="BU29" t="str">
        <f t="shared" si="12"/>
        <v/>
      </c>
      <c r="BV29" t="str">
        <f t="shared" si="10"/>
        <v/>
      </c>
      <c r="BW29" t="s">
        <v>788</v>
      </c>
      <c r="BX29" t="str">
        <f t="shared" si="27"/>
        <v/>
      </c>
      <c r="BY29" t="str">
        <f t="shared" si="13"/>
        <v>{SILVER}The OAA/OBA wagons were BR's first air braked open wagons, later forming part of the Speedlink network. They featured steel end frames with wooden drop sides.</v>
      </c>
    </row>
    <row r="30" spans="1:77" x14ac:dyDescent="0.25">
      <c r="A30" t="s">
        <v>789</v>
      </c>
      <c r="B30" t="s">
        <v>791</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30</v>
      </c>
      <c r="AR30" t="str">
        <f t="shared" si="2"/>
        <v/>
      </c>
      <c r="AU30">
        <f t="shared" si="3"/>
        <v>16</v>
      </c>
      <c r="AV30">
        <f t="shared" si="4"/>
        <v>0</v>
      </c>
      <c r="AW30">
        <f t="shared" si="5"/>
        <v>0</v>
      </c>
      <c r="AX30" s="4">
        <v>1</v>
      </c>
      <c r="AY30">
        <f t="shared" si="6"/>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7"/>
        <v>875</v>
      </c>
      <c r="BE30" s="15">
        <f t="shared" si="8"/>
        <v>103.74</v>
      </c>
      <c r="BH30">
        <f t="shared" si="28"/>
        <v>100</v>
      </c>
      <c r="BN30">
        <v>1</v>
      </c>
      <c r="BO30">
        <v>185</v>
      </c>
      <c r="BP30" t="s">
        <v>1108</v>
      </c>
      <c r="BQ30" t="s">
        <v>780</v>
      </c>
      <c r="BR30" t="str">
        <f>VLOOKUP(G30,Eras!$A$2:$C$10, 2, TRUE)</f>
        <v>lbr</v>
      </c>
      <c r="BS30" t="s">
        <v>380</v>
      </c>
      <c r="BT30" t="str">
        <f t="shared" si="9"/>
        <v>lbr_Open Wagon</v>
      </c>
      <c r="BU30" t="str">
        <f t="shared" si="12"/>
        <v/>
      </c>
      <c r="BV30" t="str">
        <f t="shared" si="10"/>
        <v/>
      </c>
      <c r="BW30" t="s">
        <v>792</v>
      </c>
      <c r="BX30" t="str">
        <f t="shared" si="27"/>
        <v/>
      </c>
      <c r="BY30" t="str">
        <f t="shared" si="13"/>
        <v>{SILVER}MEA wagons used frames from old hopper wagons combined with a new box body.</v>
      </c>
    </row>
    <row r="31" spans="1:77" x14ac:dyDescent="0.25">
      <c r="A31" t="s">
        <v>790</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30</v>
      </c>
      <c r="AR31" t="str">
        <f t="shared" si="2"/>
        <v/>
      </c>
      <c r="AU31">
        <f t="shared" si="3"/>
        <v>16</v>
      </c>
      <c r="AV31">
        <f t="shared" si="4"/>
        <v>0</v>
      </c>
      <c r="AW31">
        <f t="shared" si="5"/>
        <v>0</v>
      </c>
      <c r="AX31" s="4">
        <v>1</v>
      </c>
      <c r="AY31">
        <f t="shared" si="6"/>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7"/>
        <v>1062.5</v>
      </c>
      <c r="BE31" s="15">
        <f t="shared" si="8"/>
        <v>120.12</v>
      </c>
      <c r="BH31">
        <f t="shared" si="28"/>
        <v>100</v>
      </c>
      <c r="BN31">
        <v>1</v>
      </c>
      <c r="BO31">
        <v>185</v>
      </c>
      <c r="BP31" t="s">
        <v>1108</v>
      </c>
      <c r="BQ31" t="s">
        <v>780</v>
      </c>
      <c r="BR31" t="str">
        <f>VLOOKUP(G31,Eras!$A$2:$C$10, 2, TRUE)</f>
        <v>mod</v>
      </c>
      <c r="BS31" t="s">
        <v>380</v>
      </c>
      <c r="BT31" t="str">
        <f t="shared" si="9"/>
        <v>mod_Open Wagon</v>
      </c>
      <c r="BU31" t="str">
        <f t="shared" si="12"/>
        <v/>
      </c>
      <c r="BV31" t="str">
        <f t="shared" si="10"/>
        <v/>
      </c>
      <c r="BW31" t="s">
        <v>793</v>
      </c>
      <c r="BX31" t="str">
        <f t="shared" si="27"/>
        <v/>
      </c>
      <c r="BY31" t="str">
        <f t="shared" si="13"/>
        <v>{SILVER}The MWA is another wagon rebuilt using new bodies on an old frame, resulting in a high capacity bogie open wagon.</v>
      </c>
    </row>
    <row r="32" spans="1:77" x14ac:dyDescent="0.25">
      <c r="A32" t="s">
        <v>795</v>
      </c>
      <c r="B32" t="s">
        <v>797</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30</v>
      </c>
      <c r="AR32">
        <f t="shared" si="2"/>
        <v>38</v>
      </c>
      <c r="AU32">
        <f t="shared" si="3"/>
        <v>12</v>
      </c>
      <c r="AV32">
        <f t="shared" si="4"/>
        <v>0</v>
      </c>
      <c r="AW32">
        <f t="shared" si="5"/>
        <v>0</v>
      </c>
      <c r="AX32" s="4">
        <v>1</v>
      </c>
      <c r="AY32">
        <f t="shared" si="6"/>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7"/>
        <v>750</v>
      </c>
      <c r="BE32" s="15">
        <f t="shared" si="8"/>
        <v>92.82</v>
      </c>
      <c r="BH32">
        <f t="shared" si="28"/>
        <v>75</v>
      </c>
      <c r="BN32">
        <v>1</v>
      </c>
      <c r="BO32">
        <v>185</v>
      </c>
      <c r="BP32" t="s">
        <v>1108</v>
      </c>
      <c r="BQ32" t="s">
        <v>780</v>
      </c>
      <c r="BR32" t="str">
        <f>VLOOKUP(G32,Eras!$A$2:$C$10, 2, TRUE)</f>
        <v>dsl</v>
      </c>
      <c r="BS32" t="s">
        <v>380</v>
      </c>
      <c r="BT32" t="str">
        <f t="shared" si="9"/>
        <v>dsl_Open Wagon</v>
      </c>
      <c r="BU32" t="str">
        <f t="shared" si="12"/>
        <v/>
      </c>
      <c r="BV32" t="str">
        <f t="shared" si="10"/>
        <v/>
      </c>
      <c r="BW32" t="s">
        <v>798</v>
      </c>
      <c r="BX32" t="str">
        <f t="shared" si="27"/>
        <v/>
      </c>
      <c r="BY32" t="str">
        <f t="shared" si="13"/>
        <v>{SILVER}MGR "merry-go-round" hoppers enabled coal trains to load and unload without stopping, emptying coal into discharge hoppers underneath the wagons. In OpenTTD this is represented by faster loading speeds.</v>
      </c>
    </row>
    <row r="33" spans="1:77" x14ac:dyDescent="0.25">
      <c r="A33" t="s">
        <v>796</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30</v>
      </c>
      <c r="AR33" t="str">
        <f t="shared" si="2"/>
        <v/>
      </c>
      <c r="AU33">
        <f t="shared" si="3"/>
        <v>16</v>
      </c>
      <c r="AV33">
        <f t="shared" si="4"/>
        <v>0</v>
      </c>
      <c r="AW33">
        <f t="shared" si="5"/>
        <v>0</v>
      </c>
      <c r="AX33" s="4">
        <v>1</v>
      </c>
      <c r="AY33">
        <f t="shared" si="6"/>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7"/>
        <v>1062.5</v>
      </c>
      <c r="BE33" s="15">
        <f t="shared" si="8"/>
        <v>120.12</v>
      </c>
      <c r="BH33">
        <f t="shared" si="28"/>
        <v>100</v>
      </c>
      <c r="BN33">
        <v>1</v>
      </c>
      <c r="BO33">
        <v>185</v>
      </c>
      <c r="BP33" t="s">
        <v>1108</v>
      </c>
      <c r="BQ33" t="s">
        <v>780</v>
      </c>
      <c r="BR33" t="str">
        <f>VLOOKUP(G33,Eras!$A$2:$C$10, 2, TRUE)</f>
        <v>prv</v>
      </c>
      <c r="BS33" t="s">
        <v>380</v>
      </c>
      <c r="BT33" t="str">
        <f t="shared" si="9"/>
        <v>prv_Open Wagon</v>
      </c>
      <c r="BU33" t="str">
        <f t="shared" si="12"/>
        <v/>
      </c>
      <c r="BV33" t="str">
        <f t="shared" si="10"/>
        <v/>
      </c>
      <c r="BW33" t="s">
        <v>794</v>
      </c>
      <c r="BX33" t="str">
        <f t="shared" si="27"/>
        <v/>
      </c>
      <c r="BY33" t="str">
        <f t="shared" si="13"/>
        <v>{SILVER}The HHA is a large self-discharging hopper built for Freightliner to use on coal trains.</v>
      </c>
    </row>
    <row r="34" spans="1:77" x14ac:dyDescent="0.25">
      <c r="A34" t="s">
        <v>861</v>
      </c>
      <c r="B34" t="s">
        <v>862</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30</v>
      </c>
      <c r="AR34">
        <f t="shared" si="2"/>
        <v>36</v>
      </c>
      <c r="AU34">
        <f t="shared" si="3"/>
        <v>12</v>
      </c>
      <c r="AV34">
        <f t="shared" si="4"/>
        <v>0</v>
      </c>
      <c r="AW34">
        <f t="shared" si="5"/>
        <v>0</v>
      </c>
      <c r="AX34" s="4">
        <v>1</v>
      </c>
      <c r="AY34">
        <f t="shared" si="6"/>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7"/>
        <v>625</v>
      </c>
      <c r="BE34" s="15">
        <f t="shared" si="8"/>
        <v>84.63</v>
      </c>
      <c r="BH34">
        <f t="shared" si="28"/>
        <v>75</v>
      </c>
      <c r="BN34">
        <v>1</v>
      </c>
      <c r="BO34">
        <v>185</v>
      </c>
      <c r="BP34" t="s">
        <v>1111</v>
      </c>
      <c r="BQ34" t="s">
        <v>326</v>
      </c>
      <c r="BR34" t="str">
        <f>VLOOKUP(G34,Eras!$A$2:$C$10, 2, TRUE)</f>
        <v>big4</v>
      </c>
      <c r="BS34" t="s">
        <v>759</v>
      </c>
      <c r="BT34" t="str">
        <f t="shared" si="9"/>
        <v>big4_Extra</v>
      </c>
      <c r="BU34" t="str">
        <f t="shared" si="12"/>
        <v/>
      </c>
      <c r="BV34" t="str">
        <f t="shared" si="10"/>
        <v/>
      </c>
      <c r="BW34" t="s">
        <v>863</v>
      </c>
      <c r="BX34" t="str">
        <f t="shared" si="27"/>
        <v/>
      </c>
      <c r="BY34" t="str">
        <f t="shared" si="13"/>
        <v>{SILVER}Conflats were built to carry containers, meaning goods could be loaded seperately and then the whole container placed on the train in one operation.</v>
      </c>
    </row>
    <row r="35" spans="1:77" x14ac:dyDescent="0.25">
      <c r="A35" t="s">
        <v>830</v>
      </c>
      <c r="B35" t="s">
        <v>831</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30</v>
      </c>
      <c r="AR35">
        <f t="shared" si="2"/>
        <v>27</v>
      </c>
      <c r="AU35">
        <f t="shared" si="3"/>
        <v>14</v>
      </c>
      <c r="AV35">
        <f t="shared" si="4"/>
        <v>0</v>
      </c>
      <c r="AW35">
        <f t="shared" si="5"/>
        <v>0</v>
      </c>
      <c r="AX35" s="4">
        <v>1</v>
      </c>
      <c r="AY35">
        <f t="shared" si="6"/>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7"/>
        <v>875</v>
      </c>
      <c r="BE35" s="15">
        <f t="shared" si="8"/>
        <v>106.47</v>
      </c>
      <c r="BH35">
        <f t="shared" si="28"/>
        <v>87</v>
      </c>
      <c r="BN35">
        <v>1</v>
      </c>
      <c r="BO35">
        <v>185</v>
      </c>
      <c r="BP35" t="s">
        <v>1111</v>
      </c>
      <c r="BQ35" t="s">
        <v>326</v>
      </c>
      <c r="BR35" t="str">
        <f>VLOOKUP(G35,Eras!$A$2:$C$10, 2, TRUE)</f>
        <v>dsl</v>
      </c>
      <c r="BS35" t="s">
        <v>759</v>
      </c>
      <c r="BT35" t="str">
        <f t="shared" si="9"/>
        <v>dsl_Extra</v>
      </c>
      <c r="BU35" t="str">
        <f t="shared" si="12"/>
        <v/>
      </c>
      <c r="BV35" t="str">
        <f t="shared" si="10"/>
        <v/>
      </c>
      <c r="BW35" t="s">
        <v>864</v>
      </c>
      <c r="BX35" t="str">
        <f t="shared" si="27"/>
        <v/>
      </c>
      <c r="BY35" t="str">
        <f t="shared" si="13"/>
        <v>{SILVER}The FFA container wagons were a major advance over short-wheelbase conflats when built, and being easily adapted to the then-new ISO container standard only increased this advantage.</v>
      </c>
    </row>
    <row r="36" spans="1:77" x14ac:dyDescent="0.25">
      <c r="A36" t="s">
        <v>832</v>
      </c>
      <c r="B36" t="s">
        <v>833</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t="str">
        <f t="shared" si="2"/>
        <v/>
      </c>
      <c r="AU36">
        <f t="shared" si="3"/>
        <v>18</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7"/>
        <v>1000</v>
      </c>
      <c r="BE36" s="15">
        <f t="shared" si="8"/>
        <v>117.39</v>
      </c>
      <c r="BH36">
        <f t="shared" si="28"/>
        <v>112</v>
      </c>
      <c r="BN36">
        <v>1</v>
      </c>
      <c r="BO36">
        <v>185</v>
      </c>
      <c r="BP36" t="s">
        <v>1111</v>
      </c>
      <c r="BQ36" t="s">
        <v>326</v>
      </c>
      <c r="BR36" t="str">
        <f>VLOOKUP(G36,Eras!$A$2:$C$10, 2, TRUE)</f>
        <v>lbr</v>
      </c>
      <c r="BS36" t="s">
        <v>759</v>
      </c>
      <c r="BT36" t="str">
        <f t="shared" si="9"/>
        <v>lbr_Extra</v>
      </c>
      <c r="BU36" t="str">
        <f t="shared" si="12"/>
        <v/>
      </c>
      <c r="BV36" t="str">
        <f t="shared" si="10"/>
        <v/>
      </c>
      <c r="BW36" t="s">
        <v>865</v>
      </c>
      <c r="BX36" t="str">
        <f t="shared" si="27"/>
        <v/>
      </c>
      <c r="BY36" t="str">
        <f t="shared" si="13"/>
        <v>{SILVER}Freightliner had considered replacing the FFA wagons with a shorter 40ft container flat, but the poor running quality of fixed axle wagons resulted in the choice of another standard bogie flat.</v>
      </c>
    </row>
    <row r="37" spans="1:77" x14ac:dyDescent="0.25">
      <c r="A37" t="s">
        <v>866</v>
      </c>
      <c r="B37" t="s">
        <v>867</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7"/>
        <v>1000</v>
      </c>
      <c r="BE37" s="15">
        <f t="shared" si="8"/>
        <v>111.92999999999999</v>
      </c>
      <c r="BH37">
        <f t="shared" si="28"/>
        <v>112</v>
      </c>
      <c r="BN37">
        <v>1</v>
      </c>
      <c r="BO37">
        <v>185</v>
      </c>
      <c r="BP37" t="s">
        <v>1111</v>
      </c>
      <c r="BQ37" t="s">
        <v>326</v>
      </c>
      <c r="BR37" t="str">
        <f>VLOOKUP(G37,Eras!$A$2:$C$10, 2, TRUE)</f>
        <v>prv</v>
      </c>
      <c r="BS37" t="s">
        <v>759</v>
      </c>
      <c r="BT37" t="str">
        <f t="shared" si="9"/>
        <v>prv_Extra</v>
      </c>
      <c r="BU37" t="str">
        <f t="shared" si="12"/>
        <v/>
      </c>
      <c r="BV37" t="str">
        <f t="shared" si="10"/>
        <v/>
      </c>
      <c r="BW37" t="s">
        <v>878</v>
      </c>
      <c r="BX37" t="str">
        <f t="shared" si="27"/>
        <v/>
      </c>
      <c r="BY37" t="str">
        <f t="shared" si="13"/>
        <v>{SILVER}KTA wagons solve the problem of carrying high-cube containers in the small British loading gauge, using a "pocket" between the axles that can take either a single 40ft container or two 20ft ones.</v>
      </c>
    </row>
    <row r="38" spans="1:77" x14ac:dyDescent="0.25">
      <c r="A38" t="s">
        <v>846</v>
      </c>
      <c r="B38" t="s">
        <v>848</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30</v>
      </c>
      <c r="AR38">
        <f t="shared" si="2"/>
        <v>70</v>
      </c>
      <c r="AU38">
        <f t="shared" si="3"/>
        <v>7</v>
      </c>
      <c r="AV38">
        <f t="shared" si="4"/>
        <v>0</v>
      </c>
      <c r="AW38">
        <f t="shared" si="5"/>
        <v>0</v>
      </c>
      <c r="AX38" s="4">
        <v>1</v>
      </c>
      <c r="AY38">
        <f t="shared" si="6"/>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7"/>
        <v>437.5</v>
      </c>
      <c r="BE38" s="15">
        <f t="shared" si="8"/>
        <v>70.98</v>
      </c>
      <c r="BH38">
        <f t="shared" si="28"/>
        <v>43</v>
      </c>
      <c r="BN38">
        <v>1</v>
      </c>
      <c r="BO38">
        <v>185</v>
      </c>
      <c r="BP38" t="s">
        <v>1110</v>
      </c>
      <c r="BQ38" t="s">
        <v>460</v>
      </c>
      <c r="BR38" t="str">
        <f>VLOOKUP(G38,Eras!$A$2:$C$10, 2, TRUE)</f>
        <v>vct</v>
      </c>
      <c r="BS38" t="s">
        <v>381</v>
      </c>
      <c r="BT38" t="str">
        <f t="shared" si="9"/>
        <v>vct_Flat Wagon</v>
      </c>
      <c r="BU38" t="str">
        <f t="shared" si="12"/>
        <v/>
      </c>
      <c r="BV38" t="str">
        <f t="shared" si="10"/>
        <v/>
      </c>
      <c r="BW38" t="s">
        <v>847</v>
      </c>
      <c r="BX38" t="str">
        <f t="shared" si="27"/>
        <v/>
      </c>
      <c r="BY38" t="str">
        <f t="shared" si="13"/>
        <v>{SILVER}Flat wagons carried goods such as metal pipes and wood, where a flat surface with bolsters for tying loads down was most convenient.</v>
      </c>
    </row>
    <row r="39" spans="1:77" x14ac:dyDescent="0.25">
      <c r="A39" t="s">
        <v>458</v>
      </c>
      <c r="B39" t="s">
        <v>459</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30</v>
      </c>
      <c r="AR39">
        <f t="shared" si="2"/>
        <v>50</v>
      </c>
      <c r="AU39">
        <f t="shared" si="3"/>
        <v>9</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7"/>
        <v>500</v>
      </c>
      <c r="BE39" s="15">
        <f t="shared" si="8"/>
        <v>76.44</v>
      </c>
      <c r="BH39">
        <f t="shared" si="28"/>
        <v>56</v>
      </c>
      <c r="BN39">
        <v>1</v>
      </c>
      <c r="BO39">
        <v>185</v>
      </c>
      <c r="BP39" t="s">
        <v>1110</v>
      </c>
      <c r="BQ39" t="s">
        <v>460</v>
      </c>
      <c r="BR39" t="str">
        <f>VLOOKUP(G39,Eras!$A$2:$C$10, 2, TRUE)</f>
        <v>edw</v>
      </c>
      <c r="BS39" t="s">
        <v>381</v>
      </c>
      <c r="BT39" t="str">
        <f t="shared" si="9"/>
        <v>edw_Flat Wagon</v>
      </c>
      <c r="BU39" t="str">
        <f t="shared" si="12"/>
        <v/>
      </c>
      <c r="BV39" t="str">
        <f t="shared" si="10"/>
        <v/>
      </c>
      <c r="BW39" t="s">
        <v>461</v>
      </c>
      <c r="BX39" t="str">
        <f t="shared" si="27"/>
        <v/>
      </c>
      <c r="BY39" t="str">
        <f t="shared" si="13"/>
        <v>{SILVER}"Beaver" was the GWR telegraph code for a flat wagon, with an additional letter used to identify the length.</v>
      </c>
    </row>
    <row r="40" spans="1:77" x14ac:dyDescent="0.25">
      <c r="A40" t="s">
        <v>141</v>
      </c>
      <c r="B40" t="s">
        <v>829</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30</v>
      </c>
      <c r="AR40">
        <f t="shared" si="2"/>
        <v>45</v>
      </c>
      <c r="AU40">
        <f t="shared" si="3"/>
        <v>9</v>
      </c>
      <c r="AV40">
        <f t="shared" si="4"/>
        <v>0</v>
      </c>
      <c r="AW40">
        <f t="shared" si="5"/>
        <v>0</v>
      </c>
      <c r="AX40" s="4">
        <v>1</v>
      </c>
      <c r="AY40">
        <f t="shared" si="6"/>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7"/>
        <v>625</v>
      </c>
      <c r="BE40" s="15">
        <f t="shared" si="8"/>
        <v>84.63</v>
      </c>
      <c r="BH40">
        <f t="shared" si="28"/>
        <v>56</v>
      </c>
      <c r="BN40">
        <v>1</v>
      </c>
      <c r="BO40">
        <v>185</v>
      </c>
      <c r="BP40" t="s">
        <v>1110</v>
      </c>
      <c r="BQ40" t="s">
        <v>460</v>
      </c>
      <c r="BR40" t="str">
        <f>VLOOKUP(G40,Eras!$A$2:$C$10, 2, TRUE)</f>
        <v>edw</v>
      </c>
      <c r="BS40" t="s">
        <v>381</v>
      </c>
      <c r="BT40" t="str">
        <f t="shared" si="9"/>
        <v>edw_Flat Wagon</v>
      </c>
      <c r="BU40" t="str">
        <f t="shared" si="12"/>
        <v/>
      </c>
      <c r="BV40" t="str">
        <f t="shared" si="10"/>
        <v/>
      </c>
      <c r="BW40" t="s">
        <v>828</v>
      </c>
      <c r="BX40" t="str">
        <f t="shared" si="27"/>
        <v/>
      </c>
      <c r="BY40" t="str">
        <f t="shared" si="13"/>
        <v>{SILVER}Bolster wagons were some of the earliest goods vehicles to use bogies rather than fixed axles. The wooden bolsters running across the wagon made long, rigid loads easy to tie down.</v>
      </c>
    </row>
    <row r="41" spans="1:77" x14ac:dyDescent="0.25">
      <c r="A41" t="s">
        <v>834</v>
      </c>
      <c r="B41" t="s">
        <v>835</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30</v>
      </c>
      <c r="AR41">
        <f t="shared" si="2"/>
        <v>41</v>
      </c>
      <c r="AU41">
        <f t="shared" si="3"/>
        <v>10</v>
      </c>
      <c r="AV41">
        <f t="shared" si="4"/>
        <v>0</v>
      </c>
      <c r="AW41">
        <f t="shared" si="5"/>
        <v>0</v>
      </c>
      <c r="AX41" s="4">
        <v>1</v>
      </c>
      <c r="AY41">
        <f t="shared" si="6"/>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7"/>
        <v>625</v>
      </c>
      <c r="BE41" s="15">
        <f t="shared" si="8"/>
        <v>81.900000000000006</v>
      </c>
      <c r="BH41">
        <f t="shared" si="28"/>
        <v>62</v>
      </c>
      <c r="BN41">
        <v>1</v>
      </c>
      <c r="BO41">
        <v>185</v>
      </c>
      <c r="BP41" t="s">
        <v>1110</v>
      </c>
      <c r="BQ41" t="s">
        <v>460</v>
      </c>
      <c r="BR41" t="str">
        <f>VLOOKUP(G41,Eras!$A$2:$C$10, 2, TRUE)</f>
        <v>big4</v>
      </c>
      <c r="BS41" t="s">
        <v>381</v>
      </c>
      <c r="BT41" t="str">
        <f t="shared" si="9"/>
        <v>big4_Flat Wagon</v>
      </c>
      <c r="BU41" t="str">
        <f t="shared" si="12"/>
        <v/>
      </c>
      <c r="BV41" t="str">
        <f t="shared" si="10"/>
        <v/>
      </c>
      <c r="BW41" t="s">
        <v>836</v>
      </c>
      <c r="BX41" t="str">
        <f t="shared" si="27"/>
        <v/>
      </c>
      <c r="BY41" t="str">
        <f t="shared" si="13"/>
        <v>{SILVER}The LMS built double bolsters to carry welded rail, with single rails laid across multiple bolster wagons.</v>
      </c>
    </row>
    <row r="42" spans="1:77" x14ac:dyDescent="0.25">
      <c r="A42" t="s">
        <v>840</v>
      </c>
      <c r="B42" t="s">
        <v>841</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30</v>
      </c>
      <c r="AR42">
        <f t="shared" si="2"/>
        <v>57</v>
      </c>
      <c r="AU42">
        <f t="shared" si="3"/>
        <v>12</v>
      </c>
      <c r="AV42">
        <f t="shared" si="4"/>
        <v>0</v>
      </c>
      <c r="AW42">
        <f t="shared" si="5"/>
        <v>0</v>
      </c>
      <c r="AX42" s="4">
        <v>1</v>
      </c>
      <c r="AY42">
        <f t="shared" si="6"/>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7"/>
        <v>812.5</v>
      </c>
      <c r="BE42" s="15">
        <f t="shared" si="8"/>
        <v>98.28</v>
      </c>
      <c r="BH42">
        <f t="shared" si="28"/>
        <v>75</v>
      </c>
      <c r="BN42">
        <v>1</v>
      </c>
      <c r="BO42">
        <v>185</v>
      </c>
      <c r="BP42" t="s">
        <v>1110</v>
      </c>
      <c r="BQ42" t="s">
        <v>460</v>
      </c>
      <c r="BR42" t="str">
        <f>VLOOKUP(G42,Eras!$A$2:$C$10, 2, TRUE)</f>
        <v>ebr</v>
      </c>
      <c r="BS42" t="s">
        <v>381</v>
      </c>
      <c r="BT42" t="str">
        <f t="shared" si="9"/>
        <v>ebr_Flat Wagon</v>
      </c>
      <c r="BU42" t="str">
        <f t="shared" si="12"/>
        <v/>
      </c>
      <c r="BV42" t="str">
        <f t="shared" si="10"/>
        <v/>
      </c>
      <c r="BW42" t="s">
        <v>842</v>
      </c>
      <c r="BX42" t="str">
        <f t="shared" si="27"/>
        <v/>
      </c>
      <c r="BY42"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43" spans="1:77" x14ac:dyDescent="0.25">
      <c r="A43" t="s">
        <v>837</v>
      </c>
      <c r="B43" t="s">
        <v>838</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30</v>
      </c>
      <c r="AR43" t="str">
        <f t="shared" si="2"/>
        <v/>
      </c>
      <c r="AU43">
        <f t="shared" si="3"/>
        <v>14</v>
      </c>
      <c r="AV43">
        <f t="shared" si="4"/>
        <v>0</v>
      </c>
      <c r="AW43">
        <f t="shared" si="5"/>
        <v>0</v>
      </c>
      <c r="AX43" s="4">
        <v>1</v>
      </c>
      <c r="AY43">
        <f t="shared" si="6"/>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28"/>
        <v>87</v>
      </c>
      <c r="BN43">
        <v>1</v>
      </c>
      <c r="BO43">
        <v>185</v>
      </c>
      <c r="BP43" t="s">
        <v>1110</v>
      </c>
      <c r="BQ43" t="s">
        <v>460</v>
      </c>
      <c r="BR43" t="str">
        <f>VLOOKUP(G43,Eras!$A$2:$C$10, 2, TRUE)</f>
        <v>lbr</v>
      </c>
      <c r="BS43" t="s">
        <v>381</v>
      </c>
      <c r="BT43" t="str">
        <f t="shared" si="9"/>
        <v>lbr_Flat Wagon</v>
      </c>
      <c r="BU43" t="str">
        <f t="shared" si="12"/>
        <v/>
      </c>
      <c r="BV43" t="str">
        <f t="shared" si="10"/>
        <v/>
      </c>
      <c r="BW43" t="s">
        <v>839</v>
      </c>
      <c r="BX43" t="str">
        <f t="shared" si="27"/>
        <v/>
      </c>
      <c r="BY43"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7" x14ac:dyDescent="0.25">
      <c r="A44" t="s">
        <v>843</v>
      </c>
      <c r="B44" t="s">
        <v>844</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30</v>
      </c>
      <c r="AR44" t="str">
        <f t="shared" si="2"/>
        <v/>
      </c>
      <c r="AU44">
        <f t="shared" si="3"/>
        <v>17</v>
      </c>
      <c r="AV44">
        <f t="shared" si="4"/>
        <v>0</v>
      </c>
      <c r="AW44">
        <f t="shared" si="5"/>
        <v>0</v>
      </c>
      <c r="AX44" s="4">
        <v>1</v>
      </c>
      <c r="AY44">
        <f t="shared" si="6"/>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7"/>
        <v>1000</v>
      </c>
      <c r="BE44" s="15">
        <f t="shared" si="8"/>
        <v>114.66</v>
      </c>
      <c r="BH44">
        <f t="shared" si="28"/>
        <v>106</v>
      </c>
      <c r="BN44">
        <v>1</v>
      </c>
      <c r="BO44">
        <v>185</v>
      </c>
      <c r="BP44" t="s">
        <v>1110</v>
      </c>
      <c r="BQ44" t="s">
        <v>460</v>
      </c>
      <c r="BR44" t="str">
        <f>VLOOKUP(G44,Eras!$A$2:$C$10, 2, TRUE)</f>
        <v>mod</v>
      </c>
      <c r="BS44" t="s">
        <v>381</v>
      </c>
      <c r="BT44" t="str">
        <f t="shared" si="9"/>
        <v>mod_Flat Wagon</v>
      </c>
      <c r="BU44" t="str">
        <f t="shared" si="12"/>
        <v/>
      </c>
      <c r="BV44" t="str">
        <f t="shared" si="10"/>
        <v/>
      </c>
      <c r="BW44" t="s">
        <v>845</v>
      </c>
      <c r="BX44" t="str">
        <f t="shared" si="27"/>
        <v/>
      </c>
      <c r="BY44" t="str">
        <f t="shared" si="13"/>
        <v>{SILVER}Despite the age of the "Salmon" bolster wagons, in 2009 they were refurbished with new end plates to make loading track panels simpler.</v>
      </c>
    </row>
    <row r="45" spans="1:77" x14ac:dyDescent="0.25">
      <c r="A45" t="s">
        <v>849</v>
      </c>
      <c r="B45" t="s">
        <v>850</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30</v>
      </c>
      <c r="AR45" t="str">
        <f t="shared" si="2"/>
        <v/>
      </c>
      <c r="AU45">
        <f t="shared" si="3"/>
        <v>14</v>
      </c>
      <c r="AV45">
        <f t="shared" si="4"/>
        <v>0</v>
      </c>
      <c r="AW45">
        <f t="shared" si="5"/>
        <v>0</v>
      </c>
      <c r="AX45" s="4">
        <v>1</v>
      </c>
      <c r="AY45">
        <f t="shared" si="6"/>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7"/>
        <v>812.5</v>
      </c>
      <c r="BE45" s="15">
        <f t="shared" si="8"/>
        <v>98.28</v>
      </c>
      <c r="BH45">
        <f t="shared" si="28"/>
        <v>87</v>
      </c>
      <c r="BN45">
        <v>1</v>
      </c>
      <c r="BO45">
        <v>185</v>
      </c>
      <c r="BP45" t="s">
        <v>956</v>
      </c>
      <c r="BQ45" t="s">
        <v>859</v>
      </c>
      <c r="BR45" t="str">
        <f>VLOOKUP(G45,Eras!$A$2:$C$10, 2, TRUE)</f>
        <v>lbr</v>
      </c>
      <c r="BS45" t="s">
        <v>381</v>
      </c>
      <c r="BT45" t="str">
        <f t="shared" si="9"/>
        <v>lbr_Flat Wagon</v>
      </c>
      <c r="BU45" t="str">
        <f t="shared" si="12"/>
        <v/>
      </c>
      <c r="BV45" t="str">
        <f t="shared" si="10"/>
        <v/>
      </c>
      <c r="BW45" t="s">
        <v>860</v>
      </c>
      <c r="BX45" t="str">
        <f t="shared" si="27"/>
        <v/>
      </c>
      <c r="BY45" t="str">
        <f t="shared" si="13"/>
        <v>{SILVER}BAA wagons could initially carry steel in a large variety of forms, although many were later modified to be dedicated coil carriers.</v>
      </c>
    </row>
    <row r="46" spans="1:77" x14ac:dyDescent="0.25">
      <c r="A46" t="s">
        <v>851</v>
      </c>
      <c r="B46" t="s">
        <v>852</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30</v>
      </c>
      <c r="AR46" t="str">
        <f t="shared" si="2"/>
        <v/>
      </c>
      <c r="AU46">
        <f t="shared" si="3"/>
        <v>17</v>
      </c>
      <c r="AV46">
        <f t="shared" si="4"/>
        <v>0</v>
      </c>
      <c r="AW46">
        <f t="shared" si="5"/>
        <v>0</v>
      </c>
      <c r="AX46" s="4">
        <v>1</v>
      </c>
      <c r="AY46">
        <f t="shared" si="6"/>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7"/>
        <v>1125</v>
      </c>
      <c r="BE46" s="15">
        <f t="shared" si="8"/>
        <v>122.85</v>
      </c>
      <c r="BH46">
        <f t="shared" si="28"/>
        <v>106</v>
      </c>
      <c r="BN46">
        <v>1</v>
      </c>
      <c r="BO46">
        <v>185</v>
      </c>
      <c r="BP46" t="s">
        <v>956</v>
      </c>
      <c r="BQ46" t="s">
        <v>859</v>
      </c>
      <c r="BR46" t="str">
        <f>VLOOKUP(G46,Eras!$A$2:$C$10, 2, TRUE)</f>
        <v>prv</v>
      </c>
      <c r="BS46" t="s">
        <v>381</v>
      </c>
      <c r="BT46" t="str">
        <f t="shared" si="9"/>
        <v>prv_Flat Wagon</v>
      </c>
      <c r="BU46" t="str">
        <f t="shared" si="12"/>
        <v/>
      </c>
      <c r="BV46" t="str">
        <f t="shared" si="10"/>
        <v/>
      </c>
      <c r="BW46" t="s">
        <v>858</v>
      </c>
      <c r="BX46" t="str">
        <f t="shared" si="27"/>
        <v/>
      </c>
      <c r="BY46" t="str">
        <f t="shared" si="13"/>
        <v>{SILVER}The BYA/BRA covered steel carriers gained their name from the corrugated sliding cover and its curved cross section.</v>
      </c>
    </row>
    <row r="47" spans="1:77"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30</v>
      </c>
      <c r="AR47">
        <f t="shared" si="2"/>
        <v>56</v>
      </c>
      <c r="AU47">
        <f t="shared" si="3"/>
        <v>7</v>
      </c>
      <c r="AV47">
        <f t="shared" si="4"/>
        <v>0</v>
      </c>
      <c r="AW47">
        <f t="shared" si="5"/>
        <v>0</v>
      </c>
      <c r="AX47" s="4">
        <v>1</v>
      </c>
      <c r="AY47">
        <f t="shared" si="6"/>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7"/>
        <v>437.5</v>
      </c>
      <c r="BE47" s="15">
        <f t="shared" si="8"/>
        <v>65.52</v>
      </c>
      <c r="BH47">
        <f t="shared" si="28"/>
        <v>43</v>
      </c>
      <c r="BN47">
        <v>1</v>
      </c>
      <c r="BO47">
        <v>185</v>
      </c>
      <c r="BP47" t="s">
        <v>383</v>
      </c>
      <c r="BQ47" t="s">
        <v>324</v>
      </c>
      <c r="BR47" t="str">
        <f>VLOOKUP(G47,Eras!$A$2:$C$10, 2, TRUE)</f>
        <v>vct</v>
      </c>
      <c r="BS47" t="s">
        <v>383</v>
      </c>
      <c r="BT47" t="str">
        <f t="shared" si="9"/>
        <v>vct_Tanker</v>
      </c>
      <c r="BU47" t="str">
        <f t="shared" si="12"/>
        <v/>
      </c>
      <c r="BV47" t="str">
        <f t="shared" si="10"/>
        <v/>
      </c>
      <c r="BW47" t="s">
        <v>403</v>
      </c>
      <c r="BX47" t="str">
        <f t="shared" si="27"/>
        <v/>
      </c>
      <c r="BY47" t="str">
        <f t="shared" si="13"/>
        <v>{SILVER}Early four wheel tank wagons are limited to low speeds by their construction and primitive suspension.</v>
      </c>
    </row>
    <row r="48" spans="1:77" x14ac:dyDescent="0.25">
      <c r="A48" t="s">
        <v>455</v>
      </c>
      <c r="B48" t="s">
        <v>456</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30</v>
      </c>
      <c r="AR48">
        <f t="shared" si="2"/>
        <v>34</v>
      </c>
      <c r="AU48">
        <f t="shared" si="3"/>
        <v>9</v>
      </c>
      <c r="AV48">
        <f t="shared" si="4"/>
        <v>0</v>
      </c>
      <c r="AW48">
        <f t="shared" si="5"/>
        <v>0</v>
      </c>
      <c r="AX48" s="4">
        <v>1</v>
      </c>
      <c r="AY48">
        <f t="shared" si="6"/>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7"/>
        <v>500</v>
      </c>
      <c r="BE48" s="15">
        <f t="shared" si="8"/>
        <v>73.709999999999994</v>
      </c>
      <c r="BH48">
        <f t="shared" si="28"/>
        <v>56</v>
      </c>
      <c r="BN48">
        <v>1</v>
      </c>
      <c r="BO48">
        <v>185</v>
      </c>
      <c r="BP48" t="s">
        <v>383</v>
      </c>
      <c r="BQ48" t="s">
        <v>324</v>
      </c>
      <c r="BR48" t="str">
        <f>VLOOKUP(G48,Eras!$A$2:$C$10, 2, TRUE)</f>
        <v>edw</v>
      </c>
      <c r="BS48" t="s">
        <v>383</v>
      </c>
      <c r="BT48" t="str">
        <f t="shared" si="9"/>
        <v>edw_Tanker</v>
      </c>
      <c r="BU48" t="str">
        <f t="shared" si="12"/>
        <v/>
      </c>
      <c r="BV48" t="str">
        <f t="shared" si="10"/>
        <v/>
      </c>
      <c r="BW48" t="s">
        <v>457</v>
      </c>
      <c r="BX48" t="str">
        <f t="shared" si="27"/>
        <v/>
      </c>
      <c r="BY48" t="str">
        <f t="shared" si="13"/>
        <v>{SILVER}The GWR's cylindrical tank wagons were built by the Locomotive department, as the iron cylinders used similar techniques to steam engines.</v>
      </c>
    </row>
    <row r="49" spans="1:77" x14ac:dyDescent="0.25">
      <c r="A49" t="s">
        <v>801</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43</v>
      </c>
      <c r="AU49">
        <f t="shared" si="3"/>
        <v>10</v>
      </c>
      <c r="AV49">
        <f t="shared" si="4"/>
        <v>0</v>
      </c>
      <c r="AW49">
        <f t="shared" si="5"/>
        <v>0</v>
      </c>
      <c r="AX49" s="4">
        <v>1</v>
      </c>
      <c r="AY49">
        <f t="shared" si="6"/>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7"/>
        <v>562.5</v>
      </c>
      <c r="BE49" s="15">
        <f t="shared" si="8"/>
        <v>79.17</v>
      </c>
      <c r="BH49">
        <f t="shared" si="28"/>
        <v>62</v>
      </c>
      <c r="BN49">
        <v>1</v>
      </c>
      <c r="BO49">
        <v>185</v>
      </c>
      <c r="BP49" t="s">
        <v>383</v>
      </c>
      <c r="BQ49" t="s">
        <v>324</v>
      </c>
      <c r="BR49" t="str">
        <f>VLOOKUP(G49,Eras!$A$2:$C$10, 2, TRUE)</f>
        <v>big4</v>
      </c>
      <c r="BS49" t="s">
        <v>383</v>
      </c>
      <c r="BT49" t="str">
        <f t="shared" si="9"/>
        <v>big4_Tanker</v>
      </c>
      <c r="BU49" t="str">
        <f t="shared" si="12"/>
        <v/>
      </c>
      <c r="BV49" t="str">
        <f t="shared" si="10"/>
        <v/>
      </c>
      <c r="BW49" t="s">
        <v>802</v>
      </c>
      <c r="BX49" t="str">
        <f t="shared" si="27"/>
        <v/>
      </c>
      <c r="BY49" t="str">
        <f t="shared" si="13"/>
        <v>{SILVER}Six wheeled tank wagons formed the core of the GWR (and later BR) "milk trains", long freight consists transporting milk from farms to cities.</v>
      </c>
    </row>
    <row r="50" spans="1:77" x14ac:dyDescent="0.25">
      <c r="A50" t="s">
        <v>799</v>
      </c>
      <c r="B50" t="s">
        <v>778</v>
      </c>
      <c r="C50">
        <v>97</v>
      </c>
      <c r="D50" t="s">
        <v>321</v>
      </c>
      <c r="E50" t="s">
        <v>321</v>
      </c>
      <c r="F50" t="s">
        <v>314</v>
      </c>
      <c r="G50">
        <v>1966</v>
      </c>
      <c r="T50">
        <v>12</v>
      </c>
      <c r="V50">
        <v>6</v>
      </c>
      <c r="X50" s="4" t="str">
        <f t="shared" ref="X50:X85" si="29">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30</v>
      </c>
      <c r="AR50" t="str">
        <f t="shared" si="2"/>
        <v/>
      </c>
      <c r="AU50">
        <f t="shared" si="3"/>
        <v>13</v>
      </c>
      <c r="AV50">
        <f t="shared" si="4"/>
        <v>0</v>
      </c>
      <c r="AW50">
        <f t="shared" si="5"/>
        <v>0</v>
      </c>
      <c r="AX50" s="4">
        <v>1</v>
      </c>
      <c r="AY50">
        <f t="shared" si="6"/>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7"/>
        <v>687.5</v>
      </c>
      <c r="BE50" s="15">
        <f t="shared" si="8"/>
        <v>90.09</v>
      </c>
      <c r="BH50">
        <f t="shared" si="28"/>
        <v>81</v>
      </c>
      <c r="BN50">
        <v>1</v>
      </c>
      <c r="BO50">
        <v>185</v>
      </c>
      <c r="BP50" t="s">
        <v>383</v>
      </c>
      <c r="BQ50" t="s">
        <v>324</v>
      </c>
      <c r="BR50" t="str">
        <f>VLOOKUP(G50,Eras!$A$2:$C$10, 2, TRUE)</f>
        <v>dsl</v>
      </c>
      <c r="BS50" t="s">
        <v>383</v>
      </c>
      <c r="BT50" t="str">
        <f t="shared" si="9"/>
        <v>dsl_Tanker</v>
      </c>
      <c r="BU50" t="str">
        <f t="shared" si="12"/>
        <v/>
      </c>
      <c r="BV50" t="str">
        <f t="shared" si="10"/>
        <v/>
      </c>
      <c r="BW50" t="s">
        <v>776</v>
      </c>
      <c r="BX50" t="str">
        <f t="shared" si="27"/>
        <v/>
      </c>
      <c r="BY50" t="str">
        <f t="shared" si="13"/>
        <v>{SILVER}TTA tankers were constructed on "monobloc" principles and featured automatic braking.</v>
      </c>
    </row>
    <row r="51" spans="1:77" x14ac:dyDescent="0.25">
      <c r="A51" t="s">
        <v>800</v>
      </c>
      <c r="B51" t="s">
        <v>779</v>
      </c>
      <c r="C51">
        <v>99</v>
      </c>
      <c r="D51" t="s">
        <v>321</v>
      </c>
      <c r="E51" t="s">
        <v>321</v>
      </c>
      <c r="F51" t="s">
        <v>314</v>
      </c>
      <c r="G51">
        <v>1970</v>
      </c>
      <c r="T51">
        <v>24</v>
      </c>
      <c r="V51">
        <v>7</v>
      </c>
      <c r="X51" s="4" t="str">
        <f t="shared" si="29"/>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30</v>
      </c>
      <c r="AR51" t="str">
        <f t="shared" si="2"/>
        <v/>
      </c>
      <c r="AU51">
        <f t="shared" si="3"/>
        <v>14</v>
      </c>
      <c r="AV51">
        <f t="shared" si="4"/>
        <v>0</v>
      </c>
      <c r="AW51">
        <f t="shared" si="5"/>
        <v>0</v>
      </c>
      <c r="AX51" s="4">
        <v>1</v>
      </c>
      <c r="AY51">
        <f t="shared" si="6"/>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7"/>
        <v>1000</v>
      </c>
      <c r="BE51" s="15">
        <f t="shared" si="8"/>
        <v>114.66</v>
      </c>
      <c r="BH51">
        <f t="shared" si="28"/>
        <v>87</v>
      </c>
      <c r="BN51">
        <v>1</v>
      </c>
      <c r="BO51">
        <v>185</v>
      </c>
      <c r="BP51" t="s">
        <v>383</v>
      </c>
      <c r="BQ51" t="s">
        <v>324</v>
      </c>
      <c r="BR51" t="str">
        <f>VLOOKUP(G51,Eras!$A$2:$C$10, 2, TRUE)</f>
        <v>lbr</v>
      </c>
      <c r="BS51" t="s">
        <v>383</v>
      </c>
      <c r="BT51" t="str">
        <f t="shared" si="9"/>
        <v>lbr_Tanker</v>
      </c>
      <c r="BU51" t="str">
        <f t="shared" si="12"/>
        <v/>
      </c>
      <c r="BV51" t="str">
        <f t="shared" si="10"/>
        <v/>
      </c>
      <c r="BW51" t="s">
        <v>777</v>
      </c>
      <c r="BX51" t="str">
        <f t="shared" si="27"/>
        <v/>
      </c>
      <c r="BY51" t="str">
        <f t="shared" si="13"/>
        <v>{SILVER}Large bogie tankers allowed for carrying heavy loads of liquids at high speeds. The long frames allow tanks to take up more space without fouling axles.</v>
      </c>
    </row>
    <row r="52" spans="1:77" x14ac:dyDescent="0.25">
      <c r="A52" t="s">
        <v>870</v>
      </c>
      <c r="B52" t="s">
        <v>244</v>
      </c>
      <c r="C52">
        <v>100</v>
      </c>
      <c r="D52" t="s">
        <v>321</v>
      </c>
      <c r="E52" t="s">
        <v>321</v>
      </c>
      <c r="F52" t="s">
        <v>314</v>
      </c>
      <c r="G52">
        <v>1850</v>
      </c>
      <c r="I52">
        <v>1925</v>
      </c>
      <c r="T52">
        <v>8</v>
      </c>
      <c r="V52">
        <v>4</v>
      </c>
      <c r="X52" s="4" t="str">
        <f t="shared" si="29"/>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30</v>
      </c>
      <c r="AR52">
        <f t="shared" si="2"/>
        <v>71</v>
      </c>
      <c r="AU52">
        <f t="shared" si="3"/>
        <v>8</v>
      </c>
      <c r="AV52">
        <f t="shared" si="4"/>
        <v>0</v>
      </c>
      <c r="AW52">
        <f t="shared" si="5"/>
        <v>0</v>
      </c>
      <c r="AX52" s="4">
        <v>1</v>
      </c>
      <c r="AY52">
        <f t="shared" si="6"/>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7"/>
        <v>437.5</v>
      </c>
      <c r="BE52" s="15">
        <f t="shared" si="8"/>
        <v>70.98</v>
      </c>
      <c r="BH52">
        <f t="shared" si="28"/>
        <v>50</v>
      </c>
      <c r="BN52">
        <v>1</v>
      </c>
      <c r="BO52">
        <v>185</v>
      </c>
      <c r="BP52" t="s">
        <v>972</v>
      </c>
      <c r="BQ52" t="s">
        <v>819</v>
      </c>
      <c r="BR52" t="str">
        <f>VLOOKUP(G52,Eras!$A$2:$C$10, 2, TRUE)</f>
        <v>vct</v>
      </c>
      <c r="BS52" t="s">
        <v>382</v>
      </c>
      <c r="BT52" t="str">
        <f t="shared" si="9"/>
        <v>vct_Van</v>
      </c>
      <c r="BU52" t="str">
        <f t="shared" si="12"/>
        <v/>
      </c>
      <c r="BV52" t="str">
        <f t="shared" si="10"/>
        <v/>
      </c>
      <c r="BW52" t="s">
        <v>818</v>
      </c>
      <c r="BX52" t="str">
        <f t="shared" si="27"/>
        <v/>
      </c>
      <c r="BY52" t="str">
        <f t="shared" si="13"/>
        <v>{SILVER}Livestock traffic was common early on in railway history, with specialised cattle wagons and stations equipped to handle loading and unloading.</v>
      </c>
    </row>
    <row r="53" spans="1:77" x14ac:dyDescent="0.25">
      <c r="A53" t="s">
        <v>871</v>
      </c>
      <c r="B53" t="s">
        <v>820</v>
      </c>
      <c r="C53">
        <v>101</v>
      </c>
      <c r="D53" t="s">
        <v>321</v>
      </c>
      <c r="E53" t="s">
        <v>321</v>
      </c>
      <c r="F53" t="s">
        <v>314</v>
      </c>
      <c r="G53">
        <v>1905</v>
      </c>
      <c r="I53">
        <v>1955</v>
      </c>
      <c r="T53">
        <v>10</v>
      </c>
      <c r="V53">
        <v>5</v>
      </c>
      <c r="X53" s="4" t="str">
        <f t="shared" si="29"/>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30</v>
      </c>
      <c r="AR53">
        <f t="shared" si="2"/>
        <v>46</v>
      </c>
      <c r="AU53">
        <f t="shared" si="3"/>
        <v>9</v>
      </c>
      <c r="AV53">
        <f t="shared" si="4"/>
        <v>0</v>
      </c>
      <c r="AW53">
        <f t="shared" si="5"/>
        <v>0</v>
      </c>
      <c r="AX53" s="4">
        <v>1</v>
      </c>
      <c r="AY53">
        <f t="shared" si="6"/>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7"/>
        <v>500</v>
      </c>
      <c r="BE53" s="15">
        <f t="shared" si="8"/>
        <v>76.44</v>
      </c>
      <c r="BH53">
        <f t="shared" si="28"/>
        <v>56</v>
      </c>
      <c r="BN53">
        <v>1</v>
      </c>
      <c r="BO53">
        <v>185</v>
      </c>
      <c r="BP53" t="s">
        <v>972</v>
      </c>
      <c r="BQ53" t="s">
        <v>819</v>
      </c>
      <c r="BR53" t="str">
        <f>VLOOKUP(G53,Eras!$A$2:$C$10, 2, TRUE)</f>
        <v>edw</v>
      </c>
      <c r="BS53" t="s">
        <v>382</v>
      </c>
      <c r="BT53" t="str">
        <f t="shared" si="9"/>
        <v>edw_Van</v>
      </c>
      <c r="BU53" t="str">
        <f t="shared" si="12"/>
        <v/>
      </c>
      <c r="BV53" t="str">
        <f t="shared" si="10"/>
        <v/>
      </c>
      <c r="BW53" t="s">
        <v>822</v>
      </c>
      <c r="BX53" t="str">
        <f t="shared" si="27"/>
        <v/>
      </c>
      <c r="BY53" t="str">
        <f t="shared" si="13"/>
        <v>{SILVER}Livestock vans evolved along with improvements in covered van design.</v>
      </c>
    </row>
    <row r="54" spans="1:77" x14ac:dyDescent="0.25">
      <c r="A54" t="s">
        <v>872</v>
      </c>
      <c r="B54" t="s">
        <v>821</v>
      </c>
      <c r="C54">
        <v>102</v>
      </c>
      <c r="D54" t="s">
        <v>321</v>
      </c>
      <c r="E54" t="s">
        <v>321</v>
      </c>
      <c r="F54" t="s">
        <v>314</v>
      </c>
      <c r="G54">
        <v>1930</v>
      </c>
      <c r="I54">
        <v>1975</v>
      </c>
      <c r="T54">
        <v>10</v>
      </c>
      <c r="V54">
        <v>5</v>
      </c>
      <c r="X54" s="4" t="str">
        <f t="shared" si="29"/>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41</v>
      </c>
      <c r="AU54">
        <f t="shared" si="3"/>
        <v>10</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7"/>
        <v>562.5</v>
      </c>
      <c r="BE54" s="15">
        <f t="shared" si="8"/>
        <v>79.17</v>
      </c>
      <c r="BH54">
        <f t="shared" si="28"/>
        <v>62</v>
      </c>
      <c r="BN54">
        <v>1</v>
      </c>
      <c r="BO54">
        <v>185</v>
      </c>
      <c r="BP54" t="s">
        <v>972</v>
      </c>
      <c r="BQ54" t="s">
        <v>819</v>
      </c>
      <c r="BR54" t="str">
        <f>VLOOKUP(G54,Eras!$A$2:$C$10, 2, TRUE)</f>
        <v>big4</v>
      </c>
      <c r="BS54" t="s">
        <v>382</v>
      </c>
      <c r="BT54" t="str">
        <f t="shared" si="9"/>
        <v>big4_Van</v>
      </c>
      <c r="BU54" t="str">
        <f t="shared" si="12"/>
        <v/>
      </c>
      <c r="BV54" t="str">
        <f t="shared" si="10"/>
        <v/>
      </c>
      <c r="BW54" t="s">
        <v>823</v>
      </c>
      <c r="BX54" t="str">
        <f t="shared" si="27"/>
        <v/>
      </c>
      <c r="BY54" t="str">
        <f t="shared" si="13"/>
        <v>{SILVER}Specialised cattle vans such as this Southern Railway example were built from the 1930s to the 1950s, although livestock traffic reduced in the latter part of this period.</v>
      </c>
    </row>
    <row r="55" spans="1:77" x14ac:dyDescent="0.25">
      <c r="A55" t="s">
        <v>873</v>
      </c>
      <c r="B55" t="s">
        <v>824</v>
      </c>
      <c r="C55">
        <v>103</v>
      </c>
      <c r="D55" t="s">
        <v>321</v>
      </c>
      <c r="E55" t="s">
        <v>321</v>
      </c>
      <c r="F55" t="s">
        <v>314</v>
      </c>
      <c r="G55">
        <v>1960</v>
      </c>
      <c r="I55">
        <v>1990</v>
      </c>
      <c r="T55">
        <v>14</v>
      </c>
      <c r="V55">
        <v>6</v>
      </c>
      <c r="X55" s="4" t="str">
        <f t="shared" si="29"/>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30</v>
      </c>
      <c r="AR55">
        <f t="shared" si="2"/>
        <v>26</v>
      </c>
      <c r="AU55">
        <f t="shared" si="3"/>
        <v>13</v>
      </c>
      <c r="AV55">
        <f t="shared" si="4"/>
        <v>0</v>
      </c>
      <c r="AW55">
        <f t="shared" si="5"/>
        <v>0</v>
      </c>
      <c r="AX55" s="4">
        <v>1</v>
      </c>
      <c r="AY55">
        <f t="shared" si="6"/>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7"/>
        <v>750</v>
      </c>
      <c r="BE55" s="15">
        <f t="shared" si="8"/>
        <v>92.82</v>
      </c>
      <c r="BH55">
        <f t="shared" si="28"/>
        <v>81</v>
      </c>
      <c r="BN55">
        <v>1</v>
      </c>
      <c r="BO55">
        <v>185</v>
      </c>
      <c r="BP55" t="s">
        <v>972</v>
      </c>
      <c r="BQ55" t="s">
        <v>819</v>
      </c>
      <c r="BR55" t="str">
        <f>VLOOKUP(G55,Eras!$A$2:$C$10, 2, TRUE)</f>
        <v>dsl</v>
      </c>
      <c r="BS55" t="s">
        <v>382</v>
      </c>
      <c r="BT55" t="str">
        <f t="shared" si="9"/>
        <v>dsl_Van</v>
      </c>
      <c r="BU55" t="str">
        <f t="shared" si="12"/>
        <v/>
      </c>
      <c r="BV55" t="str">
        <f t="shared" si="10"/>
        <v/>
      </c>
      <c r="BW55" t="s">
        <v>827</v>
      </c>
      <c r="BX55" t="str">
        <f t="shared" si="27"/>
        <v/>
      </c>
      <c r="BY55" t="str">
        <f t="shared" si="13"/>
        <v>{SILVER}In reality by the 1960s cattle traffic on the railways had heavily declined with few stations still equipped to handle livestock, and eventually ceased altogether. This wagon represents a plausible development had mainline livestock traffic continued.</v>
      </c>
    </row>
    <row r="56" spans="1:77" x14ac:dyDescent="0.25">
      <c r="A56" t="s">
        <v>874</v>
      </c>
      <c r="B56" t="s">
        <v>825</v>
      </c>
      <c r="C56">
        <v>104</v>
      </c>
      <c r="D56" t="s">
        <v>321</v>
      </c>
      <c r="E56" t="s">
        <v>321</v>
      </c>
      <c r="F56" t="s">
        <v>314</v>
      </c>
      <c r="G56">
        <v>1990</v>
      </c>
      <c r="T56">
        <v>16</v>
      </c>
      <c r="V56">
        <v>6</v>
      </c>
      <c r="X56" s="4" t="str">
        <f t="shared" si="29"/>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30</v>
      </c>
      <c r="AR56" t="str">
        <f t="shared" si="2"/>
        <v/>
      </c>
      <c r="AU56">
        <f t="shared" si="3"/>
        <v>15</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7"/>
        <v>812.5</v>
      </c>
      <c r="BE56" s="15">
        <f t="shared" si="8"/>
        <v>98.28</v>
      </c>
      <c r="BH56">
        <f t="shared" si="28"/>
        <v>93</v>
      </c>
      <c r="BN56">
        <v>1</v>
      </c>
      <c r="BO56">
        <v>185</v>
      </c>
      <c r="BP56" t="s">
        <v>972</v>
      </c>
      <c r="BQ56" t="s">
        <v>819</v>
      </c>
      <c r="BR56" t="str">
        <f>VLOOKUP(G56,Eras!$A$2:$C$10, 2, TRUE)</f>
        <v>lbr</v>
      </c>
      <c r="BS56" t="s">
        <v>382</v>
      </c>
      <c r="BT56" t="str">
        <f t="shared" si="9"/>
        <v>lbr_Van</v>
      </c>
      <c r="BU56" t="str">
        <f t="shared" si="12"/>
        <v/>
      </c>
      <c r="BV56" t="str">
        <f t="shared" si="10"/>
        <v/>
      </c>
      <c r="BW56" t="s">
        <v>826</v>
      </c>
      <c r="BX56" t="str">
        <f t="shared" si="27"/>
        <v/>
      </c>
      <c r="BY56" t="str">
        <f t="shared" si="13"/>
        <v>{SILVER}Although there is no modern livestock traffic on railways in the UK, other countries have continued to build livestock wagons. This wagon is representative of contemporary livestock transport, if it were built to British loading gauge.</v>
      </c>
    </row>
    <row r="57" spans="1:77" x14ac:dyDescent="0.25">
      <c r="A57" t="s">
        <v>815</v>
      </c>
      <c r="B57" t="s">
        <v>816</v>
      </c>
      <c r="C57">
        <v>112</v>
      </c>
      <c r="D57" t="s">
        <v>321</v>
      </c>
      <c r="E57" t="s">
        <v>321</v>
      </c>
      <c r="F57" t="s">
        <v>314</v>
      </c>
      <c r="G57">
        <v>1850</v>
      </c>
      <c r="I57">
        <v>1930</v>
      </c>
      <c r="T57">
        <v>8</v>
      </c>
      <c r="V57">
        <v>4</v>
      </c>
      <c r="X57" s="4" t="str">
        <f t="shared" si="29"/>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30</v>
      </c>
      <c r="AR57">
        <f t="shared" si="2"/>
        <v>76</v>
      </c>
      <c r="AU57">
        <f t="shared" si="3"/>
        <v>9</v>
      </c>
      <c r="AV57">
        <f t="shared" si="4"/>
        <v>0</v>
      </c>
      <c r="AW57">
        <f t="shared" si="5"/>
        <v>0</v>
      </c>
      <c r="AX57" s="4">
        <v>1</v>
      </c>
      <c r="AY57">
        <f t="shared" si="6"/>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7"/>
        <v>500</v>
      </c>
      <c r="BE57" s="15">
        <f t="shared" si="8"/>
        <v>73.709999999999994</v>
      </c>
      <c r="BH57">
        <f t="shared" si="28"/>
        <v>56</v>
      </c>
      <c r="BN57">
        <v>1</v>
      </c>
      <c r="BO57">
        <v>185</v>
      </c>
      <c r="BP57" t="s">
        <v>382</v>
      </c>
      <c r="BQ57" t="s">
        <v>326</v>
      </c>
      <c r="BR57" t="str">
        <f>VLOOKUP(G57,Eras!$A$2:$C$10, 2, TRUE)</f>
        <v>vct</v>
      </c>
      <c r="BS57" t="s">
        <v>382</v>
      </c>
      <c r="BT57" t="str">
        <f t="shared" si="9"/>
        <v>vct_Van</v>
      </c>
      <c r="BU57" t="str">
        <f t="shared" si="12"/>
        <v/>
      </c>
      <c r="BV57" t="str">
        <f t="shared" si="10"/>
        <v/>
      </c>
      <c r="BW57" t="s">
        <v>817</v>
      </c>
      <c r="BX57" t="str">
        <f t="shared" si="27"/>
        <v/>
      </c>
      <c r="BY57" t="str">
        <f t="shared" si="13"/>
        <v>{SILVER}Piece goods were an important source of revenue for early railways, with most building large quantities of covered vans.</v>
      </c>
    </row>
    <row r="58" spans="1:77" x14ac:dyDescent="0.25">
      <c r="A58" t="s">
        <v>463</v>
      </c>
      <c r="B58" t="s">
        <v>464</v>
      </c>
      <c r="C58">
        <v>114</v>
      </c>
      <c r="D58" t="s">
        <v>321</v>
      </c>
      <c r="E58" t="s">
        <v>321</v>
      </c>
      <c r="F58" t="s">
        <v>314</v>
      </c>
      <c r="G58">
        <v>1902</v>
      </c>
      <c r="I58">
        <v>1960</v>
      </c>
      <c r="T58">
        <v>8</v>
      </c>
      <c r="V58">
        <v>5</v>
      </c>
      <c r="X58" s="4" t="str">
        <f t="shared" si="29"/>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30</v>
      </c>
      <c r="AR58">
        <f t="shared" si="2"/>
        <v>54</v>
      </c>
      <c r="AU58">
        <f t="shared" si="3"/>
        <v>10</v>
      </c>
      <c r="AV58">
        <f t="shared" si="4"/>
        <v>0</v>
      </c>
      <c r="AW58">
        <f t="shared" si="5"/>
        <v>0</v>
      </c>
      <c r="AX58" s="4">
        <v>1</v>
      </c>
      <c r="AY58">
        <f t="shared" si="6"/>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7"/>
        <v>562.5</v>
      </c>
      <c r="BE58" s="15">
        <f t="shared" si="8"/>
        <v>79.17</v>
      </c>
      <c r="BH58">
        <f t="shared" si="28"/>
        <v>62</v>
      </c>
      <c r="BN58">
        <v>1</v>
      </c>
      <c r="BO58">
        <v>185</v>
      </c>
      <c r="BP58" t="s">
        <v>382</v>
      </c>
      <c r="BQ58" t="s">
        <v>326</v>
      </c>
      <c r="BR58" t="str">
        <f>VLOOKUP(G58,Eras!$A$2:$C$10, 2, TRUE)</f>
        <v>edw</v>
      </c>
      <c r="BS58" t="s">
        <v>382</v>
      </c>
      <c r="BT58" t="str">
        <f t="shared" si="9"/>
        <v>edw_Van</v>
      </c>
      <c r="BU58" t="str">
        <f t="shared" si="12"/>
        <v/>
      </c>
      <c r="BV58" t="str">
        <f t="shared" si="10"/>
        <v/>
      </c>
      <c r="BW58" t="s">
        <v>462</v>
      </c>
      <c r="BX58" t="str">
        <f t="shared" si="27"/>
        <v/>
      </c>
      <c r="BY58" t="str">
        <f t="shared" si="13"/>
        <v>{SILVER}This goods van uses an iron frame with a wooden body, making it stronger than earlier wooden-framed vans.</v>
      </c>
    </row>
    <row r="59" spans="1:77" x14ac:dyDescent="0.25">
      <c r="A59" t="s">
        <v>803</v>
      </c>
      <c r="B59" t="s">
        <v>804</v>
      </c>
      <c r="C59">
        <v>116</v>
      </c>
      <c r="D59" t="s">
        <v>321</v>
      </c>
      <c r="E59" t="s">
        <v>321</v>
      </c>
      <c r="F59" t="s">
        <v>314</v>
      </c>
      <c r="G59">
        <v>1932</v>
      </c>
      <c r="I59">
        <v>1970</v>
      </c>
      <c r="T59">
        <v>8</v>
      </c>
      <c r="V59">
        <v>5</v>
      </c>
      <c r="X59" s="4" t="str">
        <f t="shared" si="29"/>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34</v>
      </c>
      <c r="AU59">
        <f t="shared" si="3"/>
        <v>12</v>
      </c>
      <c r="AV59">
        <f t="shared" si="4"/>
        <v>0</v>
      </c>
      <c r="AW59">
        <f t="shared" si="5"/>
        <v>0</v>
      </c>
      <c r="AX59" s="4">
        <v>1</v>
      </c>
      <c r="AY59">
        <f t="shared" si="6"/>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7"/>
        <v>625</v>
      </c>
      <c r="BE59" s="15">
        <f t="shared" si="8"/>
        <v>84.63</v>
      </c>
      <c r="BH59">
        <f t="shared" si="28"/>
        <v>75</v>
      </c>
      <c r="BN59">
        <v>1</v>
      </c>
      <c r="BO59">
        <v>185</v>
      </c>
      <c r="BP59" t="s">
        <v>382</v>
      </c>
      <c r="BQ59" t="s">
        <v>326</v>
      </c>
      <c r="BR59" t="str">
        <f>VLOOKUP(G59,Eras!$A$2:$C$10, 2, TRUE)</f>
        <v>big4</v>
      </c>
      <c r="BS59" t="s">
        <v>382</v>
      </c>
      <c r="BT59" t="str">
        <f t="shared" si="9"/>
        <v>big4_Van</v>
      </c>
      <c r="BU59" t="str">
        <f t="shared" si="12"/>
        <v/>
      </c>
      <c r="BV59" t="str">
        <f t="shared" si="10"/>
        <v/>
      </c>
      <c r="BW59" t="s">
        <v>805</v>
      </c>
      <c r="BX59" t="str">
        <f t="shared" si="27"/>
        <v/>
      </c>
      <c r="BY59" t="str">
        <f t="shared" si="13"/>
        <v>{SILVER}Fitted vans had brakes which could be controlled from the locomotive or a brake van, allowing higher braking force and thus speed. This example is typical of a Southern Railways vacuum-braked model.</v>
      </c>
    </row>
    <row r="60" spans="1:77" x14ac:dyDescent="0.25">
      <c r="A60" t="s">
        <v>806</v>
      </c>
      <c r="B60" t="s">
        <v>807</v>
      </c>
      <c r="C60">
        <v>118</v>
      </c>
      <c r="D60" t="s">
        <v>321</v>
      </c>
      <c r="E60" t="s">
        <v>321</v>
      </c>
      <c r="F60" t="s">
        <v>314</v>
      </c>
      <c r="G60">
        <v>1962</v>
      </c>
      <c r="I60">
        <v>1985</v>
      </c>
      <c r="T60">
        <v>8</v>
      </c>
      <c r="V60">
        <v>7</v>
      </c>
      <c r="X60" s="4" t="str">
        <f t="shared" si="29"/>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19</v>
      </c>
      <c r="AU60">
        <f t="shared" si="3"/>
        <v>13</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7"/>
        <v>687.5</v>
      </c>
      <c r="BE60" s="15">
        <f t="shared" si="8"/>
        <v>87.36</v>
      </c>
      <c r="BH60">
        <f t="shared" si="28"/>
        <v>81</v>
      </c>
      <c r="BN60">
        <v>1</v>
      </c>
      <c r="BO60">
        <v>185</v>
      </c>
      <c r="BP60" t="s">
        <v>382</v>
      </c>
      <c r="BQ60" t="s">
        <v>326</v>
      </c>
      <c r="BR60" t="str">
        <f>VLOOKUP(G60,Eras!$A$2:$C$10, 2, TRUE)</f>
        <v>dsl</v>
      </c>
      <c r="BS60" t="s">
        <v>382</v>
      </c>
      <c r="BT60" t="str">
        <f t="shared" si="9"/>
        <v>dsl_Van</v>
      </c>
      <c r="BU60" t="str">
        <f t="shared" si="12"/>
        <v/>
      </c>
      <c r="BV60" t="str">
        <f t="shared" si="10"/>
        <v/>
      </c>
      <c r="BW60" t="s">
        <v>808</v>
      </c>
      <c r="BX60" t="str">
        <f t="shared" si="27"/>
        <v/>
      </c>
      <c r="BY60" t="str">
        <f t="shared" si="13"/>
        <v>{SILVER}The Vanwide was BR's final development of the traditional van design, featuring wider doors for increased loading speed.</v>
      </c>
    </row>
    <row r="61" spans="1:77" x14ac:dyDescent="0.25">
      <c r="A61" t="s">
        <v>868</v>
      </c>
      <c r="B61" t="s">
        <v>245</v>
      </c>
      <c r="C61">
        <v>121</v>
      </c>
      <c r="D61" t="s">
        <v>321</v>
      </c>
      <c r="E61" t="s">
        <v>321</v>
      </c>
      <c r="F61" t="s">
        <v>314</v>
      </c>
      <c r="G61">
        <v>1969</v>
      </c>
      <c r="I61">
        <v>2010</v>
      </c>
      <c r="T61">
        <v>16</v>
      </c>
      <c r="V61">
        <v>7</v>
      </c>
      <c r="X61" s="4" t="str">
        <f t="shared" si="29"/>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30</v>
      </c>
      <c r="AR61">
        <f t="shared" si="2"/>
        <v>37</v>
      </c>
      <c r="AU61">
        <f t="shared" si="3"/>
        <v>15</v>
      </c>
      <c r="AV61">
        <f t="shared" si="4"/>
        <v>0</v>
      </c>
      <c r="AW61">
        <f t="shared" si="5"/>
        <v>0</v>
      </c>
      <c r="AX61" s="4">
        <v>1</v>
      </c>
      <c r="AY61">
        <f t="shared" si="6"/>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7"/>
        <v>812.5</v>
      </c>
      <c r="BE61" s="15">
        <f t="shared" si="8"/>
        <v>98.28</v>
      </c>
      <c r="BH61">
        <f t="shared" si="28"/>
        <v>93</v>
      </c>
      <c r="BN61">
        <v>1</v>
      </c>
      <c r="BO61">
        <v>185</v>
      </c>
      <c r="BP61" t="s">
        <v>382</v>
      </c>
      <c r="BQ61" t="s">
        <v>326</v>
      </c>
      <c r="BR61" t="str">
        <f>VLOOKUP(G61,Eras!$A$2:$C$10, 2, TRUE)</f>
        <v>dsl</v>
      </c>
      <c r="BS61" t="s">
        <v>382</v>
      </c>
      <c r="BT61" t="str">
        <f t="shared" si="9"/>
        <v>dsl_Van</v>
      </c>
      <c r="BU61" t="str">
        <f t="shared" si="12"/>
        <v/>
      </c>
      <c r="BV61" t="str">
        <f t="shared" si="10"/>
        <v/>
      </c>
      <c r="BW61" t="s">
        <v>812</v>
      </c>
      <c r="BX61" t="str">
        <f t="shared" si="27"/>
        <v/>
      </c>
      <c r="BY61" t="str">
        <f t="shared" si="13"/>
        <v>{SILVER}The VDA was BR's first air braked general purpose van, later used for the Speedlink freight network.</v>
      </c>
    </row>
    <row r="62" spans="1:77" x14ac:dyDescent="0.25">
      <c r="A62" t="s">
        <v>809</v>
      </c>
      <c r="B62" t="s">
        <v>810</v>
      </c>
      <c r="C62">
        <v>123</v>
      </c>
      <c r="D62" t="s">
        <v>321</v>
      </c>
      <c r="E62" t="s">
        <v>321</v>
      </c>
      <c r="F62" t="s">
        <v>314</v>
      </c>
      <c r="G62">
        <v>1978</v>
      </c>
      <c r="T62">
        <v>8</v>
      </c>
      <c r="V62">
        <v>7</v>
      </c>
      <c r="X62" s="4" t="str">
        <f t="shared" si="29"/>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30</v>
      </c>
      <c r="AR62" t="str">
        <f t="shared" si="2"/>
        <v/>
      </c>
      <c r="AU62">
        <f t="shared" si="3"/>
        <v>15</v>
      </c>
      <c r="AV62">
        <f t="shared" si="4"/>
        <v>0</v>
      </c>
      <c r="AW62">
        <f t="shared" si="5"/>
        <v>0</v>
      </c>
      <c r="AX62" s="4">
        <v>1</v>
      </c>
      <c r="AY62">
        <f t="shared" si="6"/>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7"/>
        <v>750</v>
      </c>
      <c r="BE62" s="15">
        <f t="shared" si="8"/>
        <v>92.82</v>
      </c>
      <c r="BH62">
        <f t="shared" si="28"/>
        <v>93</v>
      </c>
      <c r="BN62">
        <v>1</v>
      </c>
      <c r="BO62">
        <v>185</v>
      </c>
      <c r="BP62" t="s">
        <v>382</v>
      </c>
      <c r="BQ62" t="s">
        <v>326</v>
      </c>
      <c r="BR62" t="str">
        <f>VLOOKUP(G62,Eras!$A$2:$C$10, 2, TRUE)</f>
        <v>lbr</v>
      </c>
      <c r="BS62" t="s">
        <v>382</v>
      </c>
      <c r="BT62" t="str">
        <f t="shared" si="9"/>
        <v>lbr_Van</v>
      </c>
      <c r="BU62" t="str">
        <f t="shared" si="12"/>
        <v/>
      </c>
      <c r="BV62" t="str">
        <f t="shared" si="10"/>
        <v/>
      </c>
      <c r="BW62" t="s">
        <v>811</v>
      </c>
      <c r="BX62" t="str">
        <f t="shared" si="27"/>
        <v/>
      </c>
      <c r="BY62" t="str">
        <f t="shared" si="13"/>
        <v>{SILVER}VEA vans were refurbished vans fitted with improved suspension and air brakes, allowing higher speed operation while still being suitable for narrow radius curves in small yards.</v>
      </c>
    </row>
    <row r="63" spans="1:77" x14ac:dyDescent="0.25">
      <c r="A63" t="s">
        <v>869</v>
      </c>
      <c r="B63" t="s">
        <v>813</v>
      </c>
      <c r="C63">
        <v>125</v>
      </c>
      <c r="D63" t="s">
        <v>321</v>
      </c>
      <c r="E63" t="s">
        <v>321</v>
      </c>
      <c r="F63" t="s">
        <v>314</v>
      </c>
      <c r="G63">
        <v>1982</v>
      </c>
      <c r="T63">
        <v>21</v>
      </c>
      <c r="V63">
        <v>9</v>
      </c>
      <c r="X63" s="4" t="str">
        <f t="shared" si="29"/>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30</v>
      </c>
      <c r="AR63" t="str">
        <f t="shared" si="2"/>
        <v/>
      </c>
      <c r="AU63">
        <f t="shared" si="3"/>
        <v>17</v>
      </c>
      <c r="AV63">
        <f t="shared" si="4"/>
        <v>0</v>
      </c>
      <c r="AW63">
        <f t="shared" si="5"/>
        <v>0</v>
      </c>
      <c r="AX63" s="4">
        <v>1</v>
      </c>
      <c r="AY63">
        <f t="shared" si="6"/>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7"/>
        <v>937.5</v>
      </c>
      <c r="BE63" s="15">
        <f t="shared" si="8"/>
        <v>106.47</v>
      </c>
      <c r="BH63">
        <v>100</v>
      </c>
      <c r="BN63">
        <v>1</v>
      </c>
      <c r="BO63">
        <v>185</v>
      </c>
      <c r="BP63" t="s">
        <v>382</v>
      </c>
      <c r="BQ63" t="s">
        <v>326</v>
      </c>
      <c r="BR63" t="str">
        <f>VLOOKUP(G63,Eras!$A$2:$C$10, 2, TRUE)</f>
        <v>lbr</v>
      </c>
      <c r="BS63" t="s">
        <v>382</v>
      </c>
      <c r="BT63" t="str">
        <f t="shared" si="9"/>
        <v>lbr_Van</v>
      </c>
      <c r="BU63" t="str">
        <f t="shared" si="12"/>
        <v/>
      </c>
      <c r="BV63" t="str">
        <f t="shared" si="10"/>
        <v/>
      </c>
      <c r="BW63" t="s">
        <v>814</v>
      </c>
      <c r="BX63" t="str">
        <f t="shared" si="27"/>
        <v/>
      </c>
      <c r="BY63" t="str">
        <f t="shared" si="13"/>
        <v>{SILVER}VGA vans followed continental practice with doors extending into the roof panel, providing a larger vertical opening.</v>
      </c>
    </row>
    <row r="64" spans="1:77" x14ac:dyDescent="0.25">
      <c r="A64" t="s">
        <v>876</v>
      </c>
      <c r="B64" t="s">
        <v>875</v>
      </c>
      <c r="C64">
        <v>131</v>
      </c>
      <c r="D64" t="s">
        <v>321</v>
      </c>
      <c r="E64" t="s">
        <v>321</v>
      </c>
      <c r="F64" t="s">
        <v>314</v>
      </c>
      <c r="G64">
        <v>1913</v>
      </c>
      <c r="H64">
        <v>1955</v>
      </c>
      <c r="I64">
        <v>1965</v>
      </c>
      <c r="T64">
        <v>20</v>
      </c>
      <c r="V64">
        <v>7</v>
      </c>
      <c r="X64" s="4" t="str">
        <f t="shared" si="29"/>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30</v>
      </c>
      <c r="AR64">
        <f t="shared" si="2"/>
        <v>48</v>
      </c>
      <c r="AS64">
        <v>25</v>
      </c>
      <c r="AT64">
        <v>8</v>
      </c>
      <c r="AU64">
        <f t="shared" si="3"/>
        <v>14</v>
      </c>
      <c r="AV64">
        <f t="shared" si="4"/>
        <v>0</v>
      </c>
      <c r="AW64">
        <f t="shared" si="5"/>
        <v>0</v>
      </c>
      <c r="AX64" s="4">
        <v>1</v>
      </c>
      <c r="AY64">
        <f t="shared" si="6"/>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7"/>
        <v>1375</v>
      </c>
      <c r="BE64" s="15">
        <f t="shared" si="8"/>
        <v>174.72</v>
      </c>
      <c r="BH64">
        <f t="shared" ref="BH64:BH70" si="30">Y64</f>
        <v>70</v>
      </c>
      <c r="BN64">
        <v>1</v>
      </c>
      <c r="BO64">
        <v>185</v>
      </c>
      <c r="BP64" t="s">
        <v>1114</v>
      </c>
      <c r="BQ64" t="s">
        <v>708</v>
      </c>
      <c r="BR64" t="str">
        <f>VLOOKUP(G64,Eras!$A$2:$C$10, 2, TRUE)</f>
        <v>edw</v>
      </c>
      <c r="BS64" t="s">
        <v>376</v>
      </c>
      <c r="BT64" t="str">
        <f t="shared" si="9"/>
        <v>edw_Mail Carriage</v>
      </c>
      <c r="BU64" t="str">
        <f t="shared" si="12"/>
        <v/>
      </c>
      <c r="BV64" t="str">
        <f t="shared" si="10"/>
        <v/>
      </c>
      <c r="BW64" t="s">
        <v>877</v>
      </c>
      <c r="BX64" t="str">
        <f t="shared" si="27"/>
        <v/>
      </c>
      <c r="BY64" t="str">
        <f t="shared" si="13"/>
        <v>{SILVER}GWR's "Siphon" vans were built to carry loads of milk churns at passenger train speeds. They were also used for parcel and newspaper traffic, the basic design being built well into the BR era.</v>
      </c>
    </row>
    <row r="65" spans="1:77" x14ac:dyDescent="0.25">
      <c r="A65" t="s">
        <v>853</v>
      </c>
      <c r="B65" t="s">
        <v>855</v>
      </c>
      <c r="C65">
        <v>133</v>
      </c>
      <c r="D65" t="s">
        <v>321</v>
      </c>
      <c r="E65" t="s">
        <v>321</v>
      </c>
      <c r="F65" t="s">
        <v>314</v>
      </c>
      <c r="G65">
        <v>1950</v>
      </c>
      <c r="I65">
        <v>1975</v>
      </c>
      <c r="T65">
        <v>18</v>
      </c>
      <c r="V65">
        <v>7</v>
      </c>
      <c r="X65" s="4" t="str">
        <f t="shared" si="29"/>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30</v>
      </c>
      <c r="AR65">
        <f t="shared" si="2"/>
        <v>21</v>
      </c>
      <c r="AS65">
        <v>25</v>
      </c>
      <c r="AT65">
        <v>9</v>
      </c>
      <c r="AU65">
        <f t="shared" si="3"/>
        <v>16</v>
      </c>
      <c r="AV65">
        <f t="shared" si="4"/>
        <v>0</v>
      </c>
      <c r="AW65">
        <f t="shared" si="5"/>
        <v>0</v>
      </c>
      <c r="AX65" s="4">
        <v>1</v>
      </c>
      <c r="AY65">
        <f t="shared" si="6"/>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7"/>
        <v>1437.5</v>
      </c>
      <c r="BE65" s="15">
        <f t="shared" si="8"/>
        <v>171.99</v>
      </c>
      <c r="BH65">
        <f t="shared" si="30"/>
        <v>80</v>
      </c>
      <c r="BN65">
        <v>1</v>
      </c>
      <c r="BO65">
        <v>185</v>
      </c>
      <c r="BP65" t="s">
        <v>1112</v>
      </c>
      <c r="BQ65" t="s">
        <v>708</v>
      </c>
      <c r="BR65" t="str">
        <f>VLOOKUP(G65,Eras!$A$2:$C$10, 2, TRUE)</f>
        <v>ebr</v>
      </c>
      <c r="BS65" t="s">
        <v>376</v>
      </c>
      <c r="BT65" t="str">
        <f t="shared" si="9"/>
        <v>ebr_Mail Carriage</v>
      </c>
      <c r="BU65" t="str">
        <f t="shared" si="12"/>
        <v/>
      </c>
      <c r="BV65" t="str">
        <f t="shared" si="10"/>
        <v/>
      </c>
      <c r="BW65" t="s">
        <v>879</v>
      </c>
      <c r="BX65" t="str">
        <f t="shared" si="27"/>
        <v/>
      </c>
      <c r="BY65" t="str">
        <f t="shared" si="13"/>
        <v>{SILVER}BR built several of these six-wheeled parcels vans in the early 1950s.</v>
      </c>
    </row>
    <row r="66" spans="1:77" x14ac:dyDescent="0.25">
      <c r="A66" t="s">
        <v>1231</v>
      </c>
      <c r="B66" t="s">
        <v>1232</v>
      </c>
      <c r="C66">
        <v>140</v>
      </c>
      <c r="D66" t="s">
        <v>321</v>
      </c>
      <c r="E66" t="s">
        <v>1173</v>
      </c>
      <c r="F66" t="s">
        <v>314</v>
      </c>
      <c r="G66">
        <v>1892</v>
      </c>
      <c r="I66">
        <v>1935</v>
      </c>
      <c r="T66">
        <v>28</v>
      </c>
      <c r="V66">
        <v>6</v>
      </c>
      <c r="X66" s="4" t="str">
        <f t="shared" si="29"/>
        <v/>
      </c>
      <c r="Y66">
        <v>80</v>
      </c>
      <c r="AA66">
        <v>16.2</v>
      </c>
      <c r="AB66">
        <v>16.2</v>
      </c>
      <c r="AC66">
        <v>2.8</v>
      </c>
      <c r="AE66" s="11">
        <v>51</v>
      </c>
      <c r="AF66" t="str">
        <f>CONCATENATE(VLOOKUP(AG66, 'Voxel Sizes'!$A$2:$B$18,2,FALSE),"x",INT(AC66*15), "x", INT(AD66*15))</f>
        <v>152x42x0</v>
      </c>
      <c r="AG66">
        <f t="shared" ref="AG66" si="31">ROUND(15*((AB66*10)/256),0)</f>
        <v>9</v>
      </c>
      <c r="AI66" t="str">
        <f>CONCATENATE(VLOOKUP(AG66,Constants!$A$2:$C$16,IF(AH66&lt;&gt;"", 3, 2), FALSE),IF(AH66&lt;&gt;"",CONCATENATE(",",VLOOKUP(AH66,$B:$AI,34,FALSE)),""))</f>
        <v>2,5,2</v>
      </c>
      <c r="AQ66">
        <v>30</v>
      </c>
      <c r="AR66">
        <f t="shared" ref="AR66:AR129" si="32">IF(I66&lt;&gt;"",MAX(8,(I66-G66)-4),"")</f>
        <v>39</v>
      </c>
      <c r="AS66">
        <v>47</v>
      </c>
      <c r="AT66">
        <v>20</v>
      </c>
      <c r="AU66">
        <f t="shared" ref="AU66:AU129" si="33">MIN(Y66/150, 1)*30</f>
        <v>16</v>
      </c>
      <c r="AV66">
        <f t="shared" ref="AV66:AV129" si="34">MIN(K66/4000, 1)*20</f>
        <v>0</v>
      </c>
      <c r="AW66">
        <f t="shared" ref="AW66:AW129" si="35">MIN(W66/400,1)*20</f>
        <v>0</v>
      </c>
      <c r="AX66" s="4">
        <v>1</v>
      </c>
      <c r="AY66">
        <f t="shared" ref="AY66:AY129" si="36">((MAX($J66,1)*MIN($AE66/300,1)))*IF(D66="Wagon",50,10)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7"/>
        <v>2500</v>
      </c>
      <c r="BE66" s="15">
        <f t="shared" si="8"/>
        <v>256.62</v>
      </c>
      <c r="BH66">
        <f t="shared" si="30"/>
        <v>80</v>
      </c>
      <c r="BN66">
        <v>1</v>
      </c>
      <c r="BO66">
        <v>185</v>
      </c>
      <c r="BP66" t="s">
        <v>1112</v>
      </c>
      <c r="BQ66" t="s">
        <v>708</v>
      </c>
      <c r="BR66" t="str">
        <f>VLOOKUP(G66,Eras!$A$2:$C$10, 2, TRUE)</f>
        <v>vct</v>
      </c>
      <c r="BS66" t="s">
        <v>376</v>
      </c>
      <c r="BT66" t="str">
        <f t="shared" ref="BT66" si="37">CONCATENATE(BR66,"_",BS66)</f>
        <v>vct_Mail Carriage</v>
      </c>
      <c r="BU66" t="str">
        <f t="shared" si="12"/>
        <v/>
      </c>
      <c r="BV66" t="str">
        <f t="shared" ref="BV66:BV129" si="38">IF(J66&gt;1,_xlfn.CONCAT("{BLACK}Cars: {GOLD}", J66, "{}"),"")</f>
        <v/>
      </c>
      <c r="BW66" t="s">
        <v>1233</v>
      </c>
      <c r="BX66" t="str">
        <f t="shared" si="27"/>
        <v/>
      </c>
      <c r="BY66" t="str">
        <f t="shared" ref="BY66" si="39">_xlfn.CONCAT(BU66,BV66,BX66,"{SILVER}", BW66)</f>
        <v>{SILVER}This brake carriage is designed for use with clerestory carriages. It can carry parcels and mail.</v>
      </c>
    </row>
    <row r="67" spans="1:77" x14ac:dyDescent="0.25">
      <c r="A67" t="s">
        <v>1227</v>
      </c>
      <c r="B67" t="s">
        <v>1226</v>
      </c>
      <c r="C67">
        <v>141</v>
      </c>
      <c r="D67" t="s">
        <v>321</v>
      </c>
      <c r="E67" t="s">
        <v>1173</v>
      </c>
      <c r="F67" t="s">
        <v>314</v>
      </c>
      <c r="G67">
        <v>1904</v>
      </c>
      <c r="I67">
        <v>1955</v>
      </c>
      <c r="T67">
        <v>29</v>
      </c>
      <c r="V67">
        <v>7</v>
      </c>
      <c r="X67" s="4" t="str">
        <f t="shared" si="29"/>
        <v/>
      </c>
      <c r="Y67">
        <v>85</v>
      </c>
      <c r="AA67">
        <v>17.7</v>
      </c>
      <c r="AB67">
        <v>17.7</v>
      </c>
      <c r="AC67">
        <v>2.83</v>
      </c>
      <c r="AD67">
        <v>3.79</v>
      </c>
      <c r="AE67" s="11">
        <v>57</v>
      </c>
      <c r="AF67" t="str">
        <f>CONCATENATE(VLOOKUP(AG67, 'Voxel Sizes'!$A$2:$B$18,2,FALSE),"x",INT(AC67*15), "x", INT(AD67*15))</f>
        <v>164x42x56</v>
      </c>
      <c r="AG67">
        <f t="shared" ref="AG67:AG69" si="40">ROUND(15*((AB67*10)/256),0)</f>
        <v>10</v>
      </c>
      <c r="AI67" t="str">
        <f>CONCATENATE(VLOOKUP(AG67,Constants!$A$2:$C$16,IF(AH67&lt;&gt;"", 3, 2), FALSE),IF(AH67&lt;&gt;"",CONCATENATE(",",VLOOKUP(AH67,$B:$AI,34,FALSE)),""))</f>
        <v>4,2,4</v>
      </c>
      <c r="AQ67">
        <v>30</v>
      </c>
      <c r="AR67">
        <f t="shared" si="32"/>
        <v>47</v>
      </c>
      <c r="AS67">
        <v>49</v>
      </c>
      <c r="AT67">
        <v>21</v>
      </c>
      <c r="AU67">
        <f t="shared" si="33"/>
        <v>17</v>
      </c>
      <c r="AV67">
        <f t="shared" si="34"/>
        <v>0</v>
      </c>
      <c r="AW67">
        <f t="shared" si="35"/>
        <v>0</v>
      </c>
      <c r="AX67" s="4">
        <v>1</v>
      </c>
      <c r="AY67">
        <f t="shared" si="36"/>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7"/>
        <v>2625</v>
      </c>
      <c r="BE67" s="15">
        <f t="shared" si="8"/>
        <v>267.54000000000002</v>
      </c>
      <c r="BH67">
        <f t="shared" si="30"/>
        <v>85</v>
      </c>
      <c r="BN67">
        <v>1</v>
      </c>
      <c r="BO67">
        <v>185</v>
      </c>
      <c r="BP67" t="s">
        <v>1112</v>
      </c>
      <c r="BQ67" t="s">
        <v>708</v>
      </c>
      <c r="BR67" t="str">
        <f>VLOOKUP(G67,Eras!$A$2:$C$10, 2, TRUE)</f>
        <v>edw</v>
      </c>
      <c r="BS67" t="s">
        <v>376</v>
      </c>
      <c r="BT67" t="str">
        <f t="shared" ref="BT67:BT69" si="41">CONCATENATE(BR67,"_",BS67)</f>
        <v>edw_Mail Carriage</v>
      </c>
      <c r="BU67" t="str">
        <f t="shared" ref="BU67:BU130" si="42">IF(AND(BG67&lt;&gt;Y67,BG67&lt;&gt;""),_xlfn.CONCAT("{BLACK}","Tare speed: ","{GOLD}{VELOCITY}{}"), "")</f>
        <v/>
      </c>
      <c r="BV67" t="str">
        <f t="shared" si="38"/>
        <v/>
      </c>
      <c r="BW67" t="s">
        <v>1234</v>
      </c>
      <c r="BX67" t="str">
        <f t="shared" si="27"/>
        <v/>
      </c>
      <c r="BY67" t="str">
        <f t="shared" ref="BY67:BY69" si="43">_xlfn.CONCAT(BU67,BV67,BX67,"{SILVER}", BW67)</f>
        <v>{SILVER}Brake carriages continued to be a fixture of passenger trains during the steam era, carrying bulky luggage and parcels.</v>
      </c>
    </row>
    <row r="68" spans="1:77" x14ac:dyDescent="0.25">
      <c r="A68" t="s">
        <v>1228</v>
      </c>
      <c r="B68" t="s">
        <v>1229</v>
      </c>
      <c r="C68">
        <v>142</v>
      </c>
      <c r="D68" t="s">
        <v>321</v>
      </c>
      <c r="E68" t="s">
        <v>1173</v>
      </c>
      <c r="F68" t="s">
        <v>314</v>
      </c>
      <c r="G68">
        <v>1951</v>
      </c>
      <c r="H68">
        <v>1963</v>
      </c>
      <c r="I68">
        <v>1974</v>
      </c>
      <c r="T68">
        <v>31</v>
      </c>
      <c r="V68">
        <v>7</v>
      </c>
      <c r="X68" s="4" t="str">
        <f t="shared" si="29"/>
        <v/>
      </c>
      <c r="Y68">
        <v>100</v>
      </c>
      <c r="AA68">
        <v>19.3</v>
      </c>
      <c r="AB68">
        <v>20</v>
      </c>
      <c r="AE68" s="11">
        <v>66</v>
      </c>
      <c r="AF68" t="str">
        <f>CONCATENATE(VLOOKUP(AG68, 'Voxel Sizes'!$A$2:$B$18,2,FALSE),"x",INT(AC68*15), "x", INT(AD68*15))</f>
        <v>198x0x0</v>
      </c>
      <c r="AG68">
        <f t="shared" si="40"/>
        <v>12</v>
      </c>
      <c r="AI68" t="str">
        <f>CONCATENATE(VLOOKUP(AG68,Constants!$A$2:$C$16,IF(AH68&lt;&gt;"", 3, 2), FALSE),IF(AH68&lt;&gt;"",CONCATENATE(",",VLOOKUP(AH68,$B:$AI,34,FALSE)),""))</f>
        <v>4,4,4</v>
      </c>
      <c r="AQ68">
        <v>30</v>
      </c>
      <c r="AR68">
        <f t="shared" si="32"/>
        <v>19</v>
      </c>
      <c r="AS68">
        <v>55</v>
      </c>
      <c r="AT68">
        <v>25</v>
      </c>
      <c r="AU68">
        <f t="shared" si="33"/>
        <v>20</v>
      </c>
      <c r="AV68">
        <f t="shared" si="34"/>
        <v>0</v>
      </c>
      <c r="AW68">
        <f t="shared" si="35"/>
        <v>0</v>
      </c>
      <c r="AX68" s="4">
        <v>1</v>
      </c>
      <c r="AY68">
        <f t="shared" si="36"/>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44">BB68*IF($D68="wagon",62.5,781.25)</f>
        <v>3125</v>
      </c>
      <c r="BE68" s="15">
        <f t="shared" ref="BE68:BE70" si="45">BC68*IF($D68="wagon",2.73,81.25)</f>
        <v>300.3</v>
      </c>
      <c r="BH68">
        <f t="shared" si="30"/>
        <v>100</v>
      </c>
      <c r="BN68">
        <v>1</v>
      </c>
      <c r="BO68">
        <v>185</v>
      </c>
      <c r="BP68" t="s">
        <v>1112</v>
      </c>
      <c r="BQ68" t="s">
        <v>708</v>
      </c>
      <c r="BR68" t="str">
        <f>VLOOKUP(G68,Eras!$A$2:$C$10, 2, TRUE)</f>
        <v>ebr</v>
      </c>
      <c r="BS68" t="s">
        <v>376</v>
      </c>
      <c r="BT68" t="str">
        <f t="shared" si="41"/>
        <v>ebr_Mail Carriage</v>
      </c>
      <c r="BU68" t="str">
        <f t="shared" si="42"/>
        <v/>
      </c>
      <c r="BV68" t="str">
        <f t="shared" si="38"/>
        <v/>
      </c>
      <c r="BW68" t="s">
        <v>1230</v>
      </c>
      <c r="BX68" t="str">
        <f t="shared" si="27"/>
        <v/>
      </c>
      <c r="BY68" t="str">
        <f t="shared" si="43"/>
        <v>{SILVER}BG for (Brake Gangway) is the BR designation for a brake coach. As well as a guard's compartment it had two large areas for storing luggage.</v>
      </c>
    </row>
    <row r="69" spans="1:77" x14ac:dyDescent="0.25">
      <c r="A69" t="s">
        <v>1235</v>
      </c>
      <c r="B69" t="s">
        <v>1236</v>
      </c>
      <c r="C69">
        <v>143</v>
      </c>
      <c r="D69" t="s">
        <v>321</v>
      </c>
      <c r="E69" t="s">
        <v>1173</v>
      </c>
      <c r="F69" t="s">
        <v>314</v>
      </c>
      <c r="G69">
        <v>1956</v>
      </c>
      <c r="I69">
        <v>2010</v>
      </c>
      <c r="T69">
        <v>33</v>
      </c>
      <c r="V69">
        <v>7</v>
      </c>
      <c r="X69" s="4" t="str">
        <f t="shared" si="29"/>
        <v/>
      </c>
      <c r="Y69">
        <v>110</v>
      </c>
      <c r="AA69">
        <v>19.66</v>
      </c>
      <c r="AB69">
        <v>19.66</v>
      </c>
      <c r="AC69">
        <v>2.83</v>
      </c>
      <c r="AD69">
        <v>3.79</v>
      </c>
      <c r="AE69" s="11">
        <v>69</v>
      </c>
      <c r="AF69" t="str">
        <f>CONCATENATE(VLOOKUP(AG69, 'Voxel Sizes'!$A$2:$B$18,2,FALSE),"x",INT(AC69*15), "x", INT(AD69*15))</f>
        <v>198x42x56</v>
      </c>
      <c r="AG69">
        <f t="shared" si="40"/>
        <v>12</v>
      </c>
      <c r="AI69" t="str">
        <f>CONCATENATE(VLOOKUP(AG69,Constants!$A$2:$C$16,IF(AH69&lt;&gt;"", 3, 2), FALSE),IF(AH69&lt;&gt;"",CONCATENATE(",",VLOOKUP(AH69,$B:$AI,34,FALSE)),""))</f>
        <v>4,4,4</v>
      </c>
      <c r="AQ69">
        <v>30</v>
      </c>
      <c r="AR69">
        <f t="shared" si="32"/>
        <v>50</v>
      </c>
      <c r="AS69">
        <v>58</v>
      </c>
      <c r="AT69">
        <v>27</v>
      </c>
      <c r="AU69">
        <f t="shared" si="33"/>
        <v>22</v>
      </c>
      <c r="AV69">
        <f t="shared" si="34"/>
        <v>0</v>
      </c>
      <c r="AW69">
        <f t="shared" si="35"/>
        <v>0</v>
      </c>
      <c r="AX69" s="4">
        <v>1</v>
      </c>
      <c r="AY69">
        <f t="shared" si="36"/>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44"/>
        <v>3375</v>
      </c>
      <c r="BE69" s="15">
        <f t="shared" si="45"/>
        <v>316.68</v>
      </c>
      <c r="BH69">
        <f t="shared" si="30"/>
        <v>110</v>
      </c>
      <c r="BN69">
        <v>1</v>
      </c>
      <c r="BO69">
        <v>185</v>
      </c>
      <c r="BP69" t="s">
        <v>1112</v>
      </c>
      <c r="BQ69" t="s">
        <v>708</v>
      </c>
      <c r="BR69" t="str">
        <f>VLOOKUP(G69,Eras!$A$2:$C$10, 2, TRUE)</f>
        <v>dsl</v>
      </c>
      <c r="BS69" t="s">
        <v>375</v>
      </c>
      <c r="BT69" t="str">
        <f t="shared" si="41"/>
        <v>dsl_Carriage</v>
      </c>
      <c r="BU69" t="str">
        <f t="shared" si="42"/>
        <v/>
      </c>
      <c r="BV69" t="str">
        <f t="shared" si="38"/>
        <v/>
      </c>
      <c r="BW69" t="s">
        <v>1237</v>
      </c>
      <c r="BX69" t="str">
        <f t="shared" si="27"/>
        <v/>
      </c>
      <c r="BY69" t="str">
        <f t="shared" si="43"/>
        <v>{SILVER}The Mk2 carriage also featured the BG Full Brake style, with luggage and parcel compartments.</v>
      </c>
    </row>
    <row r="70" spans="1:77" x14ac:dyDescent="0.25">
      <c r="A70" t="s">
        <v>857</v>
      </c>
      <c r="B70" t="s">
        <v>854</v>
      </c>
      <c r="C70">
        <v>144</v>
      </c>
      <c r="D70" t="s">
        <v>321</v>
      </c>
      <c r="E70" t="s">
        <v>321</v>
      </c>
      <c r="F70" t="s">
        <v>314</v>
      </c>
      <c r="G70">
        <v>1958</v>
      </c>
      <c r="T70">
        <v>30</v>
      </c>
      <c r="V70">
        <v>9</v>
      </c>
      <c r="X70" s="4" t="str">
        <f t="shared" si="29"/>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30</v>
      </c>
      <c r="AR70" t="str">
        <f t="shared" si="32"/>
        <v/>
      </c>
      <c r="AS70">
        <v>48</v>
      </c>
      <c r="AT70">
        <v>19</v>
      </c>
      <c r="AU70">
        <f t="shared" si="33"/>
        <v>20</v>
      </c>
      <c r="AV70">
        <f t="shared" si="34"/>
        <v>0</v>
      </c>
      <c r="AW70">
        <f t="shared" si="35"/>
        <v>0</v>
      </c>
      <c r="AX70" s="4">
        <v>1</v>
      </c>
      <c r="AY70">
        <f t="shared" si="36"/>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44"/>
        <v>2375</v>
      </c>
      <c r="BE70" s="15">
        <f t="shared" si="45"/>
        <v>262.08</v>
      </c>
      <c r="BH70">
        <f t="shared" si="30"/>
        <v>100</v>
      </c>
      <c r="BN70">
        <v>1</v>
      </c>
      <c r="BO70">
        <v>233</v>
      </c>
      <c r="BP70" t="s">
        <v>1112</v>
      </c>
      <c r="BQ70" t="s">
        <v>708</v>
      </c>
      <c r="BR70" t="str">
        <f>VLOOKUP(G70,Eras!$A$2:$C$10, 2, TRUE)</f>
        <v>dsl</v>
      </c>
      <c r="BS70" t="s">
        <v>376</v>
      </c>
      <c r="BT70" t="str">
        <f t="shared" si="9"/>
        <v>dsl_Mail Carriage</v>
      </c>
      <c r="BU70" t="str">
        <f t="shared" si="42"/>
        <v/>
      </c>
      <c r="BV70" t="str">
        <f t="shared" si="38"/>
        <v/>
      </c>
      <c r="BW70" t="s">
        <v>856</v>
      </c>
      <c r="BX70" t="str">
        <f t="shared" si="27"/>
        <v>{YELLOW}25% Bonus for long distance travel{}</v>
      </c>
      <c r="BY70" t="str">
        <f t="shared" si="13"/>
        <v>{YELLOW}25% Bonus for long distance travel{}{SILVER}Based on the Mark 1 carriage, the TPO (Travelling Post Office) allowed mail to be sorted as it was transported.</v>
      </c>
    </row>
    <row r="71" spans="1:77" x14ac:dyDescent="0.25">
      <c r="A71" t="s">
        <v>151</v>
      </c>
      <c r="B71" t="s">
        <v>246</v>
      </c>
      <c r="C71">
        <v>151</v>
      </c>
      <c r="D71" t="s">
        <v>168</v>
      </c>
      <c r="E71" t="s">
        <v>311</v>
      </c>
      <c r="F71" t="s">
        <v>315</v>
      </c>
      <c r="G71">
        <v>1802</v>
      </c>
      <c r="T71">
        <v>5</v>
      </c>
      <c r="X71" s="4" t="str">
        <f t="shared" si="29"/>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30</v>
      </c>
      <c r="AR71" t="str">
        <f t="shared" si="32"/>
        <v/>
      </c>
      <c r="AU71">
        <f t="shared" si="33"/>
        <v>1</v>
      </c>
      <c r="AV71">
        <f t="shared" si="34"/>
        <v>0</v>
      </c>
      <c r="AW71">
        <f t="shared" si="35"/>
        <v>0</v>
      </c>
      <c r="AX71" s="4">
        <v>1</v>
      </c>
      <c r="AY71">
        <f t="shared" si="36"/>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N71">
        <v>1</v>
      </c>
      <c r="BO71">
        <v>185</v>
      </c>
      <c r="BR71" t="str">
        <f>VLOOKUP(G71,Eras!$A$2:$C$10, 2, TRUE)</f>
        <v>early</v>
      </c>
      <c r="BS71" t="s">
        <v>367</v>
      </c>
      <c r="BT71" t="str">
        <f t="shared" si="9"/>
        <v>early_Mixed Traffic</v>
      </c>
      <c r="BU71" t="str">
        <f t="shared" si="42"/>
        <v/>
      </c>
      <c r="BV71" t="str">
        <f t="shared" si="38"/>
        <v/>
      </c>
      <c r="BX71" t="str">
        <f t="shared" si="27"/>
        <v/>
      </c>
      <c r="BY71" t="str">
        <f t="shared" si="13"/>
        <v>{SILVER}</v>
      </c>
    </row>
    <row r="72" spans="1:77" x14ac:dyDescent="0.25">
      <c r="A72" t="s">
        <v>0</v>
      </c>
      <c r="B72" t="s">
        <v>169</v>
      </c>
      <c r="C72">
        <v>152</v>
      </c>
      <c r="D72" t="s">
        <v>168</v>
      </c>
      <c r="E72" t="s">
        <v>311</v>
      </c>
      <c r="F72" t="s">
        <v>314</v>
      </c>
      <c r="G72">
        <v>1812</v>
      </c>
      <c r="T72">
        <v>5</v>
      </c>
      <c r="X72" s="4" t="str">
        <f t="shared" si="29"/>
        <v/>
      </c>
      <c r="AE72" s="11">
        <v>0</v>
      </c>
      <c r="AF72" t="str">
        <f>CONCATENATE(VLOOKUP(AG72, 'Voxel Sizes'!$A$2:$B$18,2,FALSE),"x",INT(AC72*15), "x", INT(AD72*15))</f>
        <v>0x0x0</v>
      </c>
      <c r="AG72">
        <f t="shared" ref="AG72:AG140" si="46">ROUND(15*((AB72*10)/256),0)</f>
        <v>0</v>
      </c>
      <c r="AI72" t="str">
        <f>CONCATENATE(VLOOKUP(AG72,Constants!$A$2:$C$16,IF(AH72&lt;&gt;"", 3, 2), FALSE),IF(AH72&lt;&gt;"",CONCATENATE(",",VLOOKUP(AH72,$B:$AI,34,FALSE)),""))</f>
        <v>na</v>
      </c>
      <c r="AQ72">
        <v>30</v>
      </c>
      <c r="AR72" t="str">
        <f t="shared" si="32"/>
        <v/>
      </c>
      <c r="AU72">
        <f t="shared" si="33"/>
        <v>0</v>
      </c>
      <c r="AV72">
        <f t="shared" si="34"/>
        <v>0</v>
      </c>
      <c r="AW72">
        <f t="shared" si="35"/>
        <v>0</v>
      </c>
      <c r="AX72" s="4">
        <v>1</v>
      </c>
      <c r="AY72">
        <f t="shared" si="36"/>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0" si="47">BB72*IF($D72="wagon",62.5,781.25)</f>
        <v>7031.25</v>
      </c>
      <c r="BE72" s="15">
        <f t="shared" ref="BE72:BE140" si="48">BC72*IF($D72="wagon",2.73,81.25)</f>
        <v>2437.5</v>
      </c>
      <c r="BN72">
        <v>2</v>
      </c>
      <c r="BR72" t="str">
        <f>VLOOKUP(G72,Eras!$A$2:$C$10, 2, TRUE)</f>
        <v>early</v>
      </c>
      <c r="BT72" t="str">
        <f t="shared" ref="BT72:BT140" si="49">CONCATENATE(BR72,"_",BS72)</f>
        <v>early_</v>
      </c>
      <c r="BU72" t="str">
        <f t="shared" si="42"/>
        <v/>
      </c>
      <c r="BV72" t="str">
        <f t="shared" si="38"/>
        <v/>
      </c>
      <c r="BX72" t="str">
        <f t="shared" si="27"/>
        <v/>
      </c>
      <c r="BY72" t="str">
        <f t="shared" si="13"/>
        <v>{SILVER}</v>
      </c>
    </row>
    <row r="73" spans="1:77" x14ac:dyDescent="0.25">
      <c r="A73" t="s">
        <v>1</v>
      </c>
      <c r="B73" t="s">
        <v>170</v>
      </c>
      <c r="C73">
        <v>153</v>
      </c>
      <c r="D73" t="s">
        <v>168</v>
      </c>
      <c r="E73" t="s">
        <v>311</v>
      </c>
      <c r="F73" t="s">
        <v>314</v>
      </c>
      <c r="G73">
        <v>1825</v>
      </c>
      <c r="T73">
        <v>7</v>
      </c>
      <c r="W73">
        <v>8.5</v>
      </c>
      <c r="X73" s="4">
        <f t="shared" si="29"/>
        <v>0.12142857142857143</v>
      </c>
      <c r="Y73">
        <v>15</v>
      </c>
      <c r="AE73" s="11">
        <v>0</v>
      </c>
      <c r="AF73" t="str">
        <f>CONCATENATE(VLOOKUP(AG73, 'Voxel Sizes'!$A$2:$B$18,2,FALSE),"x",INT(AC73*15), "x", INT(AD73*15))</f>
        <v>0x0x0</v>
      </c>
      <c r="AG73">
        <f t="shared" si="46"/>
        <v>0</v>
      </c>
      <c r="AI73" t="str">
        <f>CONCATENATE(VLOOKUP(AG73,Constants!$A$2:$C$16,IF(AH73&lt;&gt;"", 3, 2), FALSE),IF(AH73&lt;&gt;"",CONCATENATE(",",VLOOKUP(AH73,$B:$AI,34,FALSE)),""))</f>
        <v>na</v>
      </c>
      <c r="AQ73">
        <v>30</v>
      </c>
      <c r="AR73" t="str">
        <f t="shared" si="32"/>
        <v/>
      </c>
      <c r="AU73">
        <f t="shared" si="33"/>
        <v>3</v>
      </c>
      <c r="AV73">
        <f t="shared" si="34"/>
        <v>0</v>
      </c>
      <c r="AW73">
        <f t="shared" si="35"/>
        <v>0.42500000000000004</v>
      </c>
      <c r="AX73" s="4">
        <v>1</v>
      </c>
      <c r="AY73">
        <f t="shared" si="36"/>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47"/>
        <v>12500</v>
      </c>
      <c r="BE73" s="15">
        <f t="shared" si="48"/>
        <v>3168.75</v>
      </c>
      <c r="BN73">
        <v>3</v>
      </c>
      <c r="BR73" t="str">
        <f>VLOOKUP(G73,Eras!$A$2:$C$10, 2, TRUE)</f>
        <v>early</v>
      </c>
      <c r="BS73" t="s">
        <v>367</v>
      </c>
      <c r="BT73" t="str">
        <f t="shared" si="49"/>
        <v>early_Mixed Traffic</v>
      </c>
      <c r="BU73" t="str">
        <f t="shared" si="42"/>
        <v/>
      </c>
      <c r="BV73" t="str">
        <f t="shared" si="38"/>
        <v/>
      </c>
      <c r="BX73" t="str">
        <f t="shared" si="27"/>
        <v/>
      </c>
      <c r="BY73" t="str">
        <f t="shared" ref="BY73:BY141" si="50">_xlfn.CONCAT(BU73,BV73,BX73,"{SILVER}", BW73)</f>
        <v>{SILVER}</v>
      </c>
    </row>
    <row r="74" spans="1:77" x14ac:dyDescent="0.25">
      <c r="A74" t="s">
        <v>2</v>
      </c>
      <c r="B74" t="s">
        <v>171</v>
      </c>
      <c r="C74">
        <v>154</v>
      </c>
      <c r="D74" t="s">
        <v>168</v>
      </c>
      <c r="E74" t="s">
        <v>311</v>
      </c>
      <c r="F74" t="s">
        <v>314</v>
      </c>
      <c r="G74">
        <v>1830</v>
      </c>
      <c r="T74">
        <v>4.3</v>
      </c>
      <c r="X74" s="4" t="str">
        <f t="shared" si="29"/>
        <v/>
      </c>
      <c r="AE74" s="11">
        <v>0</v>
      </c>
      <c r="AF74" t="str">
        <f>CONCATENATE(VLOOKUP(AG74, 'Voxel Sizes'!$A$2:$B$18,2,FALSE),"x",INT(AC74*15), "x", INT(AD74*15))</f>
        <v>0x0x0</v>
      </c>
      <c r="AG74">
        <f t="shared" si="46"/>
        <v>0</v>
      </c>
      <c r="AI74" t="str">
        <f>CONCATENATE(VLOOKUP(AG74,Constants!$A$2:$C$16,IF(AH74&lt;&gt;"", 3, 2), FALSE),IF(AH74&lt;&gt;"",CONCATENATE(",",VLOOKUP(AH74,$B:$AI,34,FALSE)),""))</f>
        <v>na</v>
      </c>
      <c r="AQ74">
        <v>30</v>
      </c>
      <c r="AR74" t="str">
        <f t="shared" si="32"/>
        <v/>
      </c>
      <c r="AU74">
        <f t="shared" si="33"/>
        <v>0</v>
      </c>
      <c r="AV74">
        <f t="shared" si="34"/>
        <v>0</v>
      </c>
      <c r="AW74">
        <f t="shared" si="35"/>
        <v>0</v>
      </c>
      <c r="AX74" s="4">
        <v>1</v>
      </c>
      <c r="AY74">
        <f t="shared" si="36"/>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47"/>
        <v>7031.25</v>
      </c>
      <c r="BE74" s="15">
        <f t="shared" si="48"/>
        <v>2437.5</v>
      </c>
      <c r="BN74">
        <v>4</v>
      </c>
      <c r="BR74" t="str">
        <f>VLOOKUP(G74,Eras!$A$2:$C$10, 2, TRUE)</f>
        <v>early</v>
      </c>
      <c r="BS74" t="s">
        <v>367</v>
      </c>
      <c r="BT74" t="str">
        <f t="shared" si="49"/>
        <v>early_Mixed Traffic</v>
      </c>
      <c r="BU74" t="str">
        <f t="shared" si="42"/>
        <v/>
      </c>
      <c r="BV74" t="str">
        <f t="shared" si="38"/>
        <v/>
      </c>
      <c r="BX74" t="str">
        <f t="shared" si="27"/>
        <v/>
      </c>
      <c r="BY74" t="str">
        <f t="shared" si="50"/>
        <v>{SILVER}</v>
      </c>
    </row>
    <row r="75" spans="1:77" x14ac:dyDescent="0.25">
      <c r="A75" t="s">
        <v>143</v>
      </c>
      <c r="B75" t="s">
        <v>247</v>
      </c>
      <c r="C75">
        <v>155</v>
      </c>
      <c r="D75" t="s">
        <v>168</v>
      </c>
      <c r="E75" t="s">
        <v>311</v>
      </c>
      <c r="F75" t="s">
        <v>314</v>
      </c>
      <c r="G75">
        <v>1838</v>
      </c>
      <c r="W75">
        <v>9.6</v>
      </c>
      <c r="X75" s="4" t="str">
        <f t="shared" si="29"/>
        <v/>
      </c>
      <c r="Y75">
        <v>45</v>
      </c>
      <c r="AE75" s="11">
        <v>0</v>
      </c>
      <c r="AF75" t="str">
        <f>CONCATENATE(VLOOKUP(AG75, 'Voxel Sizes'!$A$2:$B$18,2,FALSE),"x",INT(AC75*15), "x", INT(AD75*15))</f>
        <v>0x0x0</v>
      </c>
      <c r="AG75">
        <f t="shared" si="46"/>
        <v>0</v>
      </c>
      <c r="AI75" t="str">
        <f>CONCATENATE(VLOOKUP(AG75,Constants!$A$2:$C$16,IF(AH75&lt;&gt;"", 3, 2), FALSE),IF(AH75&lt;&gt;"",CONCATENATE(",",VLOOKUP(AH75,$B:$AI,34,FALSE)),""))</f>
        <v>na</v>
      </c>
      <c r="AQ75">
        <v>30</v>
      </c>
      <c r="AR75" t="str">
        <f t="shared" si="32"/>
        <v/>
      </c>
      <c r="AU75">
        <f t="shared" si="33"/>
        <v>9</v>
      </c>
      <c r="AV75">
        <f t="shared" si="34"/>
        <v>0</v>
      </c>
      <c r="AW75">
        <f t="shared" si="35"/>
        <v>0.48</v>
      </c>
      <c r="AX75" s="4">
        <v>1</v>
      </c>
      <c r="AY75">
        <f t="shared" si="36"/>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47"/>
        <v>21875</v>
      </c>
      <c r="BE75" s="15">
        <f t="shared" si="48"/>
        <v>4387.5</v>
      </c>
      <c r="BN75">
        <v>5</v>
      </c>
      <c r="BR75" t="str">
        <f>VLOOKUP(G75,Eras!$A$2:$C$10, 2, TRUE)</f>
        <v>early</v>
      </c>
      <c r="BS75" t="s">
        <v>367</v>
      </c>
      <c r="BT75" t="str">
        <f t="shared" si="49"/>
        <v>early_Mixed Traffic</v>
      </c>
      <c r="BU75" t="str">
        <f t="shared" si="42"/>
        <v/>
      </c>
      <c r="BV75" t="str">
        <f t="shared" si="38"/>
        <v/>
      </c>
      <c r="BX75" t="str">
        <f t="shared" si="27"/>
        <v/>
      </c>
      <c r="BY75" t="str">
        <f t="shared" si="50"/>
        <v>{SILVER}</v>
      </c>
    </row>
    <row r="76" spans="1:77" x14ac:dyDescent="0.25">
      <c r="A76" t="s">
        <v>144</v>
      </c>
      <c r="B76" t="s">
        <v>248</v>
      </c>
      <c r="C76">
        <v>158</v>
      </c>
      <c r="D76" t="s">
        <v>168</v>
      </c>
      <c r="E76" t="s">
        <v>311</v>
      </c>
      <c r="F76" t="s">
        <v>314</v>
      </c>
      <c r="G76">
        <v>1838</v>
      </c>
      <c r="X76" s="4" t="str">
        <f t="shared" si="29"/>
        <v/>
      </c>
      <c r="AE76" s="11">
        <v>0</v>
      </c>
      <c r="AF76" t="str">
        <f>CONCATENATE(VLOOKUP(AG76, 'Voxel Sizes'!$A$2:$B$18,2,FALSE),"x",INT(AC76*15), "x", INT(AD76*15))</f>
        <v>0x0x0</v>
      </c>
      <c r="AG76">
        <f t="shared" si="46"/>
        <v>0</v>
      </c>
      <c r="AI76" t="str">
        <f>CONCATENATE(VLOOKUP(AG76,Constants!$A$2:$C$16,IF(AH76&lt;&gt;"", 3, 2), FALSE),IF(AH76&lt;&gt;"",CONCATENATE(",",VLOOKUP(AH76,$B:$AI,34,FALSE)),""))</f>
        <v>na</v>
      </c>
      <c r="AQ76">
        <v>30</v>
      </c>
      <c r="AR76" t="str">
        <f t="shared" si="32"/>
        <v/>
      </c>
      <c r="AU76">
        <f t="shared" si="33"/>
        <v>0</v>
      </c>
      <c r="AV76">
        <f t="shared" si="34"/>
        <v>0</v>
      </c>
      <c r="AW76">
        <f t="shared" si="35"/>
        <v>0</v>
      </c>
      <c r="AX76" s="4">
        <v>1</v>
      </c>
      <c r="AY76">
        <f t="shared" si="36"/>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47"/>
        <v>7031.25</v>
      </c>
      <c r="BE76" s="15">
        <f t="shared" si="48"/>
        <v>2437.5</v>
      </c>
      <c r="BN76">
        <v>6</v>
      </c>
      <c r="BR76" t="str">
        <f>VLOOKUP(G76,Eras!$A$2:$C$10, 2, TRUE)</f>
        <v>early</v>
      </c>
      <c r="BS76" t="s">
        <v>368</v>
      </c>
      <c r="BT76" t="str">
        <f t="shared" si="49"/>
        <v>early_Express</v>
      </c>
      <c r="BU76" t="str">
        <f t="shared" si="42"/>
        <v/>
      </c>
      <c r="BV76" t="str">
        <f t="shared" si="38"/>
        <v/>
      </c>
      <c r="BX76" t="str">
        <f t="shared" si="27"/>
        <v/>
      </c>
      <c r="BY76" t="str">
        <f t="shared" si="50"/>
        <v>{SILVER}</v>
      </c>
    </row>
    <row r="77" spans="1:77" x14ac:dyDescent="0.25">
      <c r="A77" t="s">
        <v>3</v>
      </c>
      <c r="B77" t="s">
        <v>172</v>
      </c>
      <c r="C77">
        <v>160</v>
      </c>
      <c r="D77" t="s">
        <v>168</v>
      </c>
      <c r="E77" t="s">
        <v>311</v>
      </c>
      <c r="F77" t="s">
        <v>314</v>
      </c>
      <c r="G77">
        <v>1846</v>
      </c>
      <c r="T77">
        <v>19</v>
      </c>
      <c r="W77">
        <v>34</v>
      </c>
      <c r="X77" s="4">
        <f t="shared" si="29"/>
        <v>0.17894736842105263</v>
      </c>
      <c r="AE77" s="11">
        <v>0</v>
      </c>
      <c r="AF77" t="str">
        <f>CONCATENATE(VLOOKUP(AG77, 'Voxel Sizes'!$A$2:$B$18,2,FALSE),"x",INT(AC77*15), "x", INT(AD77*15))</f>
        <v>0x0x0</v>
      </c>
      <c r="AG77">
        <f t="shared" si="46"/>
        <v>0</v>
      </c>
      <c r="AI77" t="str">
        <f>CONCATENATE(VLOOKUP(AG77,Constants!$A$2:$C$16,IF(AH77&lt;&gt;"", 3, 2), FALSE),IF(AH77&lt;&gt;"",CONCATENATE(",",VLOOKUP(AH77,$B:$AI,34,FALSE)),""))</f>
        <v>na</v>
      </c>
      <c r="AQ77">
        <v>30</v>
      </c>
      <c r="AR77" t="str">
        <f t="shared" si="32"/>
        <v/>
      </c>
      <c r="AU77">
        <f t="shared" si="33"/>
        <v>0</v>
      </c>
      <c r="AV77">
        <f t="shared" si="34"/>
        <v>0</v>
      </c>
      <c r="AW77">
        <f t="shared" si="35"/>
        <v>1.7000000000000002</v>
      </c>
      <c r="AX77" s="4">
        <v>1</v>
      </c>
      <c r="AY77">
        <f t="shared" si="36"/>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47"/>
        <v>9375</v>
      </c>
      <c r="BE77" s="15">
        <f t="shared" si="48"/>
        <v>2762.5</v>
      </c>
      <c r="BN77">
        <v>7</v>
      </c>
      <c r="BR77" t="str">
        <f>VLOOKUP(G77,Eras!$A$2:$C$10, 2, TRUE)</f>
        <v>early</v>
      </c>
      <c r="BT77" t="str">
        <f t="shared" si="49"/>
        <v>early_</v>
      </c>
      <c r="BU77" t="str">
        <f t="shared" si="42"/>
        <v/>
      </c>
      <c r="BV77" t="str">
        <f t="shared" si="38"/>
        <v/>
      </c>
      <c r="BX77" t="str">
        <f t="shared" si="27"/>
        <v/>
      </c>
      <c r="BY77" t="str">
        <f t="shared" si="50"/>
        <v>{SILVER}</v>
      </c>
    </row>
    <row r="78" spans="1:77" x14ac:dyDescent="0.25">
      <c r="A78" t="s">
        <v>6</v>
      </c>
      <c r="B78" t="s">
        <v>249</v>
      </c>
      <c r="C78">
        <v>162</v>
      </c>
      <c r="D78" t="s">
        <v>168</v>
      </c>
      <c r="E78" t="s">
        <v>311</v>
      </c>
      <c r="F78" t="s">
        <v>314</v>
      </c>
      <c r="G78">
        <v>1846</v>
      </c>
      <c r="T78">
        <v>42</v>
      </c>
      <c r="X78" s="4" t="str">
        <f t="shared" si="29"/>
        <v/>
      </c>
      <c r="AA78">
        <v>6</v>
      </c>
      <c r="AB78">
        <v>6</v>
      </c>
      <c r="AE78" s="11">
        <v>0</v>
      </c>
      <c r="AF78" t="str">
        <f>CONCATENATE(VLOOKUP(AG78, 'Voxel Sizes'!$A$2:$B$18,2,FALSE),"x",INT(AC78*15), "x", INT(AD78*15))</f>
        <v>60x0x0</v>
      </c>
      <c r="AG78">
        <f t="shared" si="46"/>
        <v>4</v>
      </c>
      <c r="AI78" t="str">
        <f>CONCATENATE(VLOOKUP(AG78,Constants!$A$2:$C$16,IF(AH78&lt;&gt;"", 3, 2), FALSE),IF(AH78&lt;&gt;"",CONCATENATE(",",VLOOKUP(AH78,$B:$AI,34,FALSE)),""))</f>
        <v>1,2,1</v>
      </c>
      <c r="AQ78">
        <v>30</v>
      </c>
      <c r="AR78" t="str">
        <f t="shared" si="32"/>
        <v/>
      </c>
      <c r="AU78">
        <f t="shared" si="33"/>
        <v>0</v>
      </c>
      <c r="AV78">
        <f t="shared" si="34"/>
        <v>0</v>
      </c>
      <c r="AW78">
        <f t="shared" si="35"/>
        <v>0</v>
      </c>
      <c r="AX78" s="4">
        <v>1</v>
      </c>
      <c r="AY78">
        <f t="shared" si="36"/>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47"/>
        <v>7031.25</v>
      </c>
      <c r="BE78" s="15">
        <f t="shared" si="48"/>
        <v>2437.5</v>
      </c>
      <c r="BN78">
        <v>8</v>
      </c>
      <c r="BR78" t="str">
        <f>VLOOKUP(G78,Eras!$A$2:$C$10, 2, TRUE)</f>
        <v>early</v>
      </c>
      <c r="BT78" t="str">
        <f t="shared" si="49"/>
        <v>early_</v>
      </c>
      <c r="BU78" t="str">
        <f t="shared" si="42"/>
        <v/>
      </c>
      <c r="BV78" t="str">
        <f t="shared" si="38"/>
        <v/>
      </c>
      <c r="BX78" t="str">
        <f t="shared" si="27"/>
        <v/>
      </c>
      <c r="BY78" t="str">
        <f t="shared" si="50"/>
        <v>{SILVER}</v>
      </c>
    </row>
    <row r="79" spans="1:77" x14ac:dyDescent="0.25">
      <c r="A79" t="s">
        <v>4</v>
      </c>
      <c r="B79" t="s">
        <v>173</v>
      </c>
      <c r="C79">
        <v>164</v>
      </c>
      <c r="D79" t="s">
        <v>168</v>
      </c>
      <c r="E79" t="s">
        <v>311</v>
      </c>
      <c r="F79" t="s">
        <v>314</v>
      </c>
      <c r="G79">
        <v>1847</v>
      </c>
      <c r="X79" s="4" t="str">
        <f t="shared" si="29"/>
        <v/>
      </c>
      <c r="Y79">
        <v>60</v>
      </c>
      <c r="AE79" s="11">
        <v>0</v>
      </c>
      <c r="AF79" t="str">
        <f>CONCATENATE(VLOOKUP(AG79, 'Voxel Sizes'!$A$2:$B$18,2,FALSE),"x",INT(AC79*15), "x", INT(AD79*15))</f>
        <v>0x0x0</v>
      </c>
      <c r="AG79">
        <f t="shared" si="46"/>
        <v>0</v>
      </c>
      <c r="AI79" t="str">
        <f>CONCATENATE(VLOOKUP(AG79,Constants!$A$2:$C$16,IF(AH79&lt;&gt;"", 3, 2), FALSE),IF(AH79&lt;&gt;"",CONCATENATE(",",VLOOKUP(AH79,$B:$AI,34,FALSE)),""))</f>
        <v>na</v>
      </c>
      <c r="AQ79">
        <v>30</v>
      </c>
      <c r="AR79" t="str">
        <f t="shared" si="32"/>
        <v/>
      </c>
      <c r="AU79">
        <f t="shared" si="33"/>
        <v>12</v>
      </c>
      <c r="AV79">
        <f t="shared" si="34"/>
        <v>0</v>
      </c>
      <c r="AW79">
        <f t="shared" si="35"/>
        <v>0</v>
      </c>
      <c r="AX79" s="4">
        <v>1</v>
      </c>
      <c r="AY79">
        <f t="shared" si="36"/>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47"/>
        <v>26562.5</v>
      </c>
      <c r="BE79" s="15">
        <f t="shared" si="48"/>
        <v>4956.25</v>
      </c>
      <c r="BN79">
        <v>9</v>
      </c>
      <c r="BR79" t="str">
        <f>VLOOKUP(G79,Eras!$A$2:$C$10, 2, TRUE)</f>
        <v>early</v>
      </c>
      <c r="BT79" t="str">
        <f t="shared" si="49"/>
        <v>early_</v>
      </c>
      <c r="BU79" t="str">
        <f t="shared" si="42"/>
        <v/>
      </c>
      <c r="BV79" t="str">
        <f t="shared" si="38"/>
        <v/>
      </c>
      <c r="BX79" t="str">
        <f t="shared" si="27"/>
        <v/>
      </c>
      <c r="BY79" t="str">
        <f t="shared" si="50"/>
        <v>{SILVER}</v>
      </c>
    </row>
    <row r="80" spans="1:77" x14ac:dyDescent="0.25">
      <c r="A80" t="s">
        <v>5</v>
      </c>
      <c r="B80" t="s">
        <v>174</v>
      </c>
      <c r="C80">
        <v>166</v>
      </c>
      <c r="D80" t="s">
        <v>168</v>
      </c>
      <c r="E80" t="s">
        <v>311</v>
      </c>
      <c r="F80" t="s">
        <v>314</v>
      </c>
      <c r="G80">
        <v>1852</v>
      </c>
      <c r="T80">
        <v>64</v>
      </c>
      <c r="W80">
        <v>65</v>
      </c>
      <c r="X80" s="4">
        <f t="shared" si="29"/>
        <v>0.1015625</v>
      </c>
      <c r="AE80" s="11">
        <v>0</v>
      </c>
      <c r="AF80" t="str">
        <f>CONCATENATE(VLOOKUP(AG80, 'Voxel Sizes'!$A$2:$B$18,2,FALSE),"x",INT(AC80*15), "x", INT(AD80*15))</f>
        <v>0x0x0</v>
      </c>
      <c r="AG80">
        <f t="shared" si="46"/>
        <v>0</v>
      </c>
      <c r="AI80" t="str">
        <f>CONCATENATE(VLOOKUP(AG80,Constants!$A$2:$C$16,IF(AH80&lt;&gt;"", 3, 2), FALSE),IF(AH80&lt;&gt;"",CONCATENATE(",",VLOOKUP(AH80,$B:$AI,34,FALSE)),""))</f>
        <v>na</v>
      </c>
      <c r="AQ80">
        <v>30</v>
      </c>
      <c r="AR80" t="str">
        <f t="shared" si="32"/>
        <v/>
      </c>
      <c r="AU80">
        <f t="shared" si="33"/>
        <v>0</v>
      </c>
      <c r="AV80">
        <f t="shared" si="34"/>
        <v>0</v>
      </c>
      <c r="AW80">
        <f t="shared" si="35"/>
        <v>3.25</v>
      </c>
      <c r="AX80" s="4">
        <v>1</v>
      </c>
      <c r="AY80">
        <f t="shared" si="36"/>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47"/>
        <v>12500</v>
      </c>
      <c r="BE80" s="15">
        <f t="shared" si="48"/>
        <v>3087.5</v>
      </c>
      <c r="BN80">
        <v>10</v>
      </c>
      <c r="BR80" t="str">
        <f>VLOOKUP(G80,Eras!$A$2:$C$10, 2, TRUE)</f>
        <v>vct</v>
      </c>
      <c r="BT80" t="str">
        <f t="shared" si="49"/>
        <v>vct_</v>
      </c>
      <c r="BU80" t="str">
        <f t="shared" si="42"/>
        <v/>
      </c>
      <c r="BV80" t="str">
        <f t="shared" si="38"/>
        <v/>
      </c>
      <c r="BX80" t="str">
        <f t="shared" si="27"/>
        <v/>
      </c>
      <c r="BY80" t="str">
        <f t="shared" si="50"/>
        <v>{SILVER}</v>
      </c>
    </row>
    <row r="81" spans="1:77" x14ac:dyDescent="0.25">
      <c r="A81" t="s">
        <v>7</v>
      </c>
      <c r="B81" t="s">
        <v>250</v>
      </c>
      <c r="C81">
        <v>168</v>
      </c>
      <c r="D81" t="s">
        <v>168</v>
      </c>
      <c r="E81" t="s">
        <v>311</v>
      </c>
      <c r="F81" t="s">
        <v>314</v>
      </c>
      <c r="G81">
        <v>1859</v>
      </c>
      <c r="T81">
        <v>27.4</v>
      </c>
      <c r="X81" s="4" t="str">
        <f t="shared" si="29"/>
        <v/>
      </c>
      <c r="Y81">
        <v>70</v>
      </c>
      <c r="AE81" s="11">
        <v>0</v>
      </c>
      <c r="AF81" t="str">
        <f>CONCATENATE(VLOOKUP(AG81, 'Voxel Sizes'!$A$2:$B$18,2,FALSE),"x",INT(AC81*15), "x", INT(AD81*15))</f>
        <v>0x0x0</v>
      </c>
      <c r="AG81">
        <f t="shared" si="46"/>
        <v>0</v>
      </c>
      <c r="AI81" t="str">
        <f>CONCATENATE(VLOOKUP(AG81,Constants!$A$2:$C$16,IF(AH81&lt;&gt;"", 3, 2), FALSE),IF(AH81&lt;&gt;"",CONCATENATE(",",VLOOKUP(AH81,$B:$AI,34,FALSE)),""))</f>
        <v>na</v>
      </c>
      <c r="AQ81">
        <v>30</v>
      </c>
      <c r="AR81" t="str">
        <f t="shared" si="32"/>
        <v/>
      </c>
      <c r="AU81">
        <f t="shared" si="33"/>
        <v>14</v>
      </c>
      <c r="AV81">
        <f t="shared" si="34"/>
        <v>0</v>
      </c>
      <c r="AW81">
        <f t="shared" si="35"/>
        <v>0</v>
      </c>
      <c r="AX81" s="4">
        <v>1</v>
      </c>
      <c r="AY81">
        <f t="shared" si="36"/>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47"/>
        <v>29687.5</v>
      </c>
      <c r="BE81" s="15">
        <f t="shared" si="48"/>
        <v>5443.75</v>
      </c>
      <c r="BN81">
        <v>11</v>
      </c>
      <c r="BR81" t="str">
        <f>VLOOKUP(G81,Eras!$A$2:$C$10, 2, TRUE)</f>
        <v>vct</v>
      </c>
      <c r="BT81" t="str">
        <f t="shared" si="49"/>
        <v>vct_</v>
      </c>
      <c r="BU81" t="str">
        <f t="shared" si="42"/>
        <v/>
      </c>
      <c r="BV81" t="str">
        <f t="shared" si="38"/>
        <v/>
      </c>
      <c r="BX81" t="str">
        <f t="shared" si="27"/>
        <v/>
      </c>
      <c r="BY81" t="str">
        <f t="shared" si="50"/>
        <v>{SILVER}</v>
      </c>
    </row>
    <row r="82" spans="1:77" x14ac:dyDescent="0.25">
      <c r="A82" t="s">
        <v>19</v>
      </c>
      <c r="B82" t="s">
        <v>175</v>
      </c>
      <c r="C82">
        <v>170</v>
      </c>
      <c r="D82" t="s">
        <v>168</v>
      </c>
      <c r="E82" t="s">
        <v>311</v>
      </c>
      <c r="F82" t="s">
        <v>314</v>
      </c>
      <c r="G82">
        <v>1868</v>
      </c>
      <c r="T82">
        <v>35.799999999999997</v>
      </c>
      <c r="W82">
        <v>65</v>
      </c>
      <c r="X82" s="4">
        <f t="shared" si="29"/>
        <v>0.18156424581005587</v>
      </c>
      <c r="AA82">
        <v>8.65</v>
      </c>
      <c r="AB82">
        <v>8.65</v>
      </c>
      <c r="AD82">
        <v>3.7</v>
      </c>
      <c r="AE82" s="11">
        <v>0</v>
      </c>
      <c r="AF82" t="str">
        <f>CONCATENATE(VLOOKUP(AG82, 'Voxel Sizes'!$A$2:$B$18,2,FALSE),"x",INT(AC82*15), "x", INT(AD82*15))</f>
        <v>82x0x55</v>
      </c>
      <c r="AG82">
        <f t="shared" si="46"/>
        <v>5</v>
      </c>
      <c r="AI82" t="str">
        <f>CONCATENATE(VLOOKUP(AG82,Constants!$A$2:$C$16,IF(AH82&lt;&gt;"", 3, 2), FALSE),IF(AH82&lt;&gt;"",CONCATENATE(",",VLOOKUP(AH82,$B:$AI,34,FALSE)),""))</f>
        <v>2,1,2</v>
      </c>
      <c r="AQ82">
        <v>30</v>
      </c>
      <c r="AR82" t="str">
        <f t="shared" si="32"/>
        <v/>
      </c>
      <c r="AU82">
        <f t="shared" si="33"/>
        <v>0</v>
      </c>
      <c r="AV82">
        <f t="shared" si="34"/>
        <v>0</v>
      </c>
      <c r="AW82">
        <f t="shared" si="35"/>
        <v>3.25</v>
      </c>
      <c r="AX82" s="4">
        <v>1</v>
      </c>
      <c r="AY82">
        <f t="shared" si="36"/>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47"/>
        <v>12500</v>
      </c>
      <c r="BE82" s="15">
        <f t="shared" si="48"/>
        <v>3087.5</v>
      </c>
      <c r="BN82">
        <v>12</v>
      </c>
      <c r="BR82" t="str">
        <f>VLOOKUP(G82,Eras!$A$2:$C$10, 2, TRUE)</f>
        <v>vct</v>
      </c>
      <c r="BT82" t="str">
        <f t="shared" si="49"/>
        <v>vct_</v>
      </c>
      <c r="BU82" t="str">
        <f t="shared" si="42"/>
        <v/>
      </c>
      <c r="BV82" t="str">
        <f t="shared" si="38"/>
        <v/>
      </c>
      <c r="BX82" t="str">
        <f t="shared" si="27"/>
        <v/>
      </c>
      <c r="BY82" t="str">
        <f t="shared" si="50"/>
        <v>{SILVER}</v>
      </c>
    </row>
    <row r="83" spans="1:77" x14ac:dyDescent="0.25">
      <c r="A83" t="s">
        <v>41</v>
      </c>
      <c r="B83" t="s">
        <v>251</v>
      </c>
      <c r="C83">
        <v>172</v>
      </c>
      <c r="D83" t="s">
        <v>168</v>
      </c>
      <c r="E83" t="s">
        <v>311</v>
      </c>
      <c r="F83" t="s">
        <v>314</v>
      </c>
      <c r="G83">
        <v>1872</v>
      </c>
      <c r="H83">
        <v>1880</v>
      </c>
      <c r="T83">
        <v>28</v>
      </c>
      <c r="W83">
        <v>34</v>
      </c>
      <c r="X83" s="4">
        <f t="shared" si="29"/>
        <v>0.12142857142857143</v>
      </c>
      <c r="Y83">
        <v>45</v>
      </c>
      <c r="AA83">
        <v>7.94</v>
      </c>
      <c r="AB83">
        <v>7.94</v>
      </c>
      <c r="AE83" s="11">
        <v>0</v>
      </c>
      <c r="AF83" t="str">
        <f>CONCATENATE(VLOOKUP(AG83, 'Voxel Sizes'!$A$2:$B$18,2,FALSE),"x",INT(AC83*15), "x", INT(AD83*15))</f>
        <v>82x0x0</v>
      </c>
      <c r="AG83">
        <f t="shared" si="46"/>
        <v>5</v>
      </c>
      <c r="AI83" t="str">
        <f>CONCATENATE(VLOOKUP(AG83,Constants!$A$2:$C$16,IF(AH83&lt;&gt;"", 3, 2), FALSE),IF(AH83&lt;&gt;"",CONCATENATE(",",VLOOKUP(AH83,$B:$AI,34,FALSE)),""))</f>
        <v>2,1,2</v>
      </c>
      <c r="AQ83">
        <v>30</v>
      </c>
      <c r="AR83" t="str">
        <f t="shared" si="32"/>
        <v/>
      </c>
      <c r="AU83">
        <f t="shared" si="33"/>
        <v>9</v>
      </c>
      <c r="AV83">
        <f t="shared" si="34"/>
        <v>0</v>
      </c>
      <c r="AW83">
        <f t="shared" si="35"/>
        <v>1.7000000000000002</v>
      </c>
      <c r="AX83" s="4">
        <v>1</v>
      </c>
      <c r="AY83">
        <f t="shared" si="36"/>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47"/>
        <v>24218.75</v>
      </c>
      <c r="BE83" s="15">
        <f t="shared" si="48"/>
        <v>4712.5</v>
      </c>
      <c r="BN83">
        <v>1</v>
      </c>
      <c r="BR83" t="str">
        <f>VLOOKUP(G83,Eras!$A$2:$C$10, 2, TRUE)</f>
        <v>vct</v>
      </c>
      <c r="BT83" t="str">
        <f t="shared" si="49"/>
        <v>vct_</v>
      </c>
      <c r="BU83" t="str">
        <f t="shared" si="42"/>
        <v/>
      </c>
      <c r="BV83" t="str">
        <f t="shared" si="38"/>
        <v/>
      </c>
      <c r="BX83" t="str">
        <f t="shared" si="27"/>
        <v/>
      </c>
      <c r="BY83" t="str">
        <f t="shared" si="50"/>
        <v>{SILVER}</v>
      </c>
    </row>
    <row r="84" spans="1:77" x14ac:dyDescent="0.25">
      <c r="A84" t="s">
        <v>9</v>
      </c>
      <c r="B84" t="s">
        <v>176</v>
      </c>
      <c r="C84">
        <v>174</v>
      </c>
      <c r="D84" t="s">
        <v>168</v>
      </c>
      <c r="E84" t="s">
        <v>311</v>
      </c>
      <c r="F84" t="s">
        <v>314</v>
      </c>
      <c r="G84">
        <v>1883</v>
      </c>
      <c r="T84">
        <f>41.6+34.3</f>
        <v>75.900000000000006</v>
      </c>
      <c r="W84">
        <v>75.400000000000006</v>
      </c>
      <c r="X84" s="4">
        <f t="shared" si="29"/>
        <v>9.9341238471673268E-2</v>
      </c>
      <c r="AE84" s="11">
        <v>0</v>
      </c>
      <c r="AF84" t="str">
        <f>CONCATENATE(VLOOKUP(AG84, 'Voxel Sizes'!$A$2:$B$18,2,FALSE),"x",INT(AC84*15), "x", INT(AD84*15))</f>
        <v>0x0x0</v>
      </c>
      <c r="AG84">
        <f t="shared" si="46"/>
        <v>0</v>
      </c>
      <c r="AI84" t="str">
        <f>CONCATENATE(VLOOKUP(AG84,Constants!$A$2:$C$16,IF(AH84&lt;&gt;"", 3, 2), FALSE),IF(AH84&lt;&gt;"",CONCATENATE(",",VLOOKUP(AH84,$B:$AI,34,FALSE)),""))</f>
        <v>na</v>
      </c>
      <c r="AQ84">
        <v>30</v>
      </c>
      <c r="AR84" t="str">
        <f t="shared" si="32"/>
        <v/>
      </c>
      <c r="AU84">
        <f t="shared" si="33"/>
        <v>0</v>
      </c>
      <c r="AV84">
        <f t="shared" si="34"/>
        <v>0</v>
      </c>
      <c r="AW84">
        <f t="shared" si="35"/>
        <v>3.77</v>
      </c>
      <c r="AX84" s="4">
        <v>1</v>
      </c>
      <c r="AY84">
        <f t="shared" si="36"/>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47"/>
        <v>13281.25</v>
      </c>
      <c r="BE84" s="15">
        <f t="shared" si="48"/>
        <v>3168.75</v>
      </c>
      <c r="BN84">
        <v>2</v>
      </c>
      <c r="BR84" t="str">
        <f>VLOOKUP(G84,Eras!$A$2:$C$10, 2, TRUE)</f>
        <v>vct</v>
      </c>
      <c r="BT84" t="str">
        <f t="shared" si="49"/>
        <v>vct_</v>
      </c>
      <c r="BU84" t="str">
        <f t="shared" si="42"/>
        <v/>
      </c>
      <c r="BV84" t="str">
        <f t="shared" si="38"/>
        <v/>
      </c>
      <c r="BX84" t="str">
        <f t="shared" ref="BX84:BX147" si="51">IF(BQ84="BRAKE","{YELLOW}Speed bonus for slow wagons{}",IF(BO84&gt;190,CONCATENATE("{YELLOW}",INT((BO84-185)/1.85),"% Bonus for long distance travel{}"),IF(AND(BO84&lt;180,BO84&lt;&gt;0),CONCATENATE("{YELLOW}",INT((185-BO84)/1.85),"% Penalty for long distance travel{}"),"")))</f>
        <v/>
      </c>
      <c r="BY84" t="str">
        <f t="shared" si="50"/>
        <v>{SILVER}</v>
      </c>
    </row>
    <row r="85" spans="1:77" x14ac:dyDescent="0.25">
      <c r="A85" t="s">
        <v>145</v>
      </c>
      <c r="B85" t="s">
        <v>177</v>
      </c>
      <c r="C85">
        <v>176</v>
      </c>
      <c r="D85" t="s">
        <v>168</v>
      </c>
      <c r="E85" t="s">
        <v>311</v>
      </c>
      <c r="F85" t="s">
        <v>314</v>
      </c>
      <c r="G85">
        <v>1883</v>
      </c>
      <c r="T85">
        <v>41.2</v>
      </c>
      <c r="W85">
        <v>76</v>
      </c>
      <c r="X85" s="4">
        <f t="shared" si="29"/>
        <v>0.18446601941747573</v>
      </c>
      <c r="AA85">
        <v>14.4</v>
      </c>
      <c r="AB85">
        <v>14.4</v>
      </c>
      <c r="AE85" s="11">
        <v>0</v>
      </c>
      <c r="AF85" t="str">
        <f>CONCATENATE(VLOOKUP(AG85, 'Voxel Sizes'!$A$2:$B$18,2,FALSE),"x",INT(AC85*15), "x", INT(AD85*15))</f>
        <v>136x0x0</v>
      </c>
      <c r="AG85">
        <f t="shared" si="46"/>
        <v>8</v>
      </c>
      <c r="AI85" t="str">
        <f>CONCATENATE(VLOOKUP(AG85,Constants!$A$2:$C$16,IF(AH85&lt;&gt;"", 3, 2), FALSE),IF(AH85&lt;&gt;"",CONCATENATE(",",VLOOKUP(AH85,$B:$AI,34,FALSE)),""))</f>
        <v>2,4,2</v>
      </c>
      <c r="AQ85">
        <v>30</v>
      </c>
      <c r="AR85" t="str">
        <f t="shared" si="32"/>
        <v/>
      </c>
      <c r="AU85">
        <f t="shared" si="33"/>
        <v>0</v>
      </c>
      <c r="AV85">
        <f t="shared" si="34"/>
        <v>0</v>
      </c>
      <c r="AW85">
        <f t="shared" si="35"/>
        <v>3.8</v>
      </c>
      <c r="AX85" s="4">
        <v>1</v>
      </c>
      <c r="AY85">
        <f t="shared" si="36"/>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47"/>
        <v>13281.25</v>
      </c>
      <c r="BE85" s="15">
        <f t="shared" si="48"/>
        <v>3168.75</v>
      </c>
      <c r="BN85">
        <v>3</v>
      </c>
      <c r="BR85" t="str">
        <f>VLOOKUP(G85,Eras!$A$2:$C$10, 2, TRUE)</f>
        <v>vct</v>
      </c>
      <c r="BT85" t="str">
        <f t="shared" si="49"/>
        <v>vct_</v>
      </c>
      <c r="BU85" t="str">
        <f t="shared" si="42"/>
        <v/>
      </c>
      <c r="BV85" t="str">
        <f t="shared" si="38"/>
        <v/>
      </c>
      <c r="BX85" t="str">
        <f t="shared" si="51"/>
        <v/>
      </c>
      <c r="BY85" t="str">
        <f t="shared" si="50"/>
        <v>{SILVER}</v>
      </c>
    </row>
    <row r="86" spans="1:77" x14ac:dyDescent="0.25">
      <c r="A86" t="s">
        <v>15</v>
      </c>
      <c r="B86" t="s">
        <v>178</v>
      </c>
      <c r="C86">
        <v>178</v>
      </c>
      <c r="D86" t="s">
        <v>168</v>
      </c>
      <c r="E86" t="s">
        <v>311</v>
      </c>
      <c r="F86" t="s">
        <v>314</v>
      </c>
      <c r="G86">
        <v>1888</v>
      </c>
      <c r="T86">
        <v>42.6</v>
      </c>
      <c r="W86">
        <v>88</v>
      </c>
      <c r="X86" s="4">
        <f t="shared" ref="X86:X122" si="52">IF(AND(T86&gt;0,W86&gt;0),(W86/((T86+U86)*10)),"")</f>
        <v>0.20657276995305165</v>
      </c>
      <c r="AA86">
        <v>14.99</v>
      </c>
      <c r="AB86">
        <v>14.99</v>
      </c>
      <c r="AE86" s="11">
        <v>0</v>
      </c>
      <c r="AF86" t="str">
        <f>CONCATENATE(VLOOKUP(AG86, 'Voxel Sizes'!$A$2:$B$18,2,FALSE),"x",INT(AC86*15), "x", INT(AD86*15))</f>
        <v>152x0x0</v>
      </c>
      <c r="AG86">
        <f t="shared" si="46"/>
        <v>9</v>
      </c>
      <c r="AI86" t="str">
        <f>CONCATENATE(VLOOKUP(AG86,Constants!$A$2:$C$16,IF(AH86&lt;&gt;"", 3, 2), FALSE),IF(AH86&lt;&gt;"",CONCATENATE(",",VLOOKUP(AH86,$B:$AI,34,FALSE)),""))</f>
        <v>2,5,2</v>
      </c>
      <c r="AQ86">
        <v>30</v>
      </c>
      <c r="AR86" t="str">
        <f t="shared" si="32"/>
        <v/>
      </c>
      <c r="AU86">
        <f t="shared" si="33"/>
        <v>0</v>
      </c>
      <c r="AV86">
        <f t="shared" si="34"/>
        <v>0</v>
      </c>
      <c r="AW86">
        <f t="shared" si="35"/>
        <v>4.4000000000000004</v>
      </c>
      <c r="AX86" s="4">
        <v>1</v>
      </c>
      <c r="AY86">
        <f t="shared" si="36"/>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47"/>
        <v>14062.5</v>
      </c>
      <c r="BE86" s="15">
        <f t="shared" si="48"/>
        <v>3331.25</v>
      </c>
      <c r="BN86">
        <v>4</v>
      </c>
      <c r="BR86" t="str">
        <f>VLOOKUP(G86,Eras!$A$2:$C$10, 2, TRUE)</f>
        <v>vct</v>
      </c>
      <c r="BT86" t="str">
        <f t="shared" si="49"/>
        <v>vct_</v>
      </c>
      <c r="BU86" t="str">
        <f t="shared" si="42"/>
        <v/>
      </c>
      <c r="BV86" t="str">
        <f t="shared" si="38"/>
        <v/>
      </c>
      <c r="BX86" t="str">
        <f t="shared" si="51"/>
        <v/>
      </c>
      <c r="BY86" t="str">
        <f t="shared" si="50"/>
        <v>{SILVER}</v>
      </c>
    </row>
    <row r="87" spans="1:77" x14ac:dyDescent="0.25">
      <c r="A87" t="s">
        <v>8</v>
      </c>
      <c r="B87" t="s">
        <v>179</v>
      </c>
      <c r="C87">
        <v>180</v>
      </c>
      <c r="D87" t="s">
        <v>168</v>
      </c>
      <c r="E87" t="s">
        <v>311</v>
      </c>
      <c r="F87" t="s">
        <v>314</v>
      </c>
      <c r="G87">
        <v>1891</v>
      </c>
      <c r="X87" s="4" t="str">
        <f t="shared" si="52"/>
        <v/>
      </c>
      <c r="AE87" s="11">
        <v>0</v>
      </c>
      <c r="AF87" t="str">
        <f>CONCATENATE(VLOOKUP(AG87, 'Voxel Sizes'!$A$2:$B$18,2,FALSE),"x",INT(AC87*15), "x", INT(AD87*15))</f>
        <v>0x0x0</v>
      </c>
      <c r="AG87">
        <f t="shared" si="46"/>
        <v>0</v>
      </c>
      <c r="AI87" t="str">
        <f>CONCATENATE(VLOOKUP(AG87,Constants!$A$2:$C$16,IF(AH87&lt;&gt;"", 3, 2), FALSE),IF(AH87&lt;&gt;"",CONCATENATE(",",VLOOKUP(AH87,$B:$AI,34,FALSE)),""))</f>
        <v>na</v>
      </c>
      <c r="AQ87">
        <v>30</v>
      </c>
      <c r="AR87" t="str">
        <f t="shared" si="32"/>
        <v/>
      </c>
      <c r="AU87">
        <f t="shared" si="33"/>
        <v>0</v>
      </c>
      <c r="AV87">
        <f t="shared" si="34"/>
        <v>0</v>
      </c>
      <c r="AW87">
        <f t="shared" si="35"/>
        <v>0</v>
      </c>
      <c r="AX87" s="4">
        <v>1</v>
      </c>
      <c r="AY87">
        <f t="shared" si="36"/>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47"/>
        <v>7031.25</v>
      </c>
      <c r="BE87" s="15">
        <f t="shared" si="48"/>
        <v>2437.5</v>
      </c>
      <c r="BN87">
        <v>5</v>
      </c>
      <c r="BR87" t="str">
        <f>VLOOKUP(G87,Eras!$A$2:$C$10, 2, TRUE)</f>
        <v>vct</v>
      </c>
      <c r="BS87" t="s">
        <v>368</v>
      </c>
      <c r="BT87" t="str">
        <f t="shared" si="49"/>
        <v>vct_Express</v>
      </c>
      <c r="BU87" t="str">
        <f t="shared" si="42"/>
        <v/>
      </c>
      <c r="BV87" t="str">
        <f t="shared" si="38"/>
        <v/>
      </c>
      <c r="BX87" t="str">
        <f t="shared" si="51"/>
        <v/>
      </c>
      <c r="BY87" t="str">
        <f t="shared" si="50"/>
        <v>{SILVER}</v>
      </c>
    </row>
    <row r="88" spans="1:77" x14ac:dyDescent="0.25">
      <c r="A88" t="s">
        <v>17</v>
      </c>
      <c r="B88" t="s">
        <v>280</v>
      </c>
      <c r="C88">
        <v>182</v>
      </c>
      <c r="D88" t="s">
        <v>168</v>
      </c>
      <c r="E88" t="s">
        <v>311</v>
      </c>
      <c r="F88" t="s">
        <v>314</v>
      </c>
      <c r="G88">
        <v>1896</v>
      </c>
      <c r="T88">
        <v>48</v>
      </c>
      <c r="W88">
        <v>68</v>
      </c>
      <c r="X88" s="4">
        <f t="shared" si="52"/>
        <v>0.14166666666666666</v>
      </c>
      <c r="Y88">
        <v>90</v>
      </c>
      <c r="AE88" s="11">
        <v>0</v>
      </c>
      <c r="AF88" t="str">
        <f>CONCATENATE(VLOOKUP(AG88, 'Voxel Sizes'!$A$2:$B$18,2,FALSE),"x",INT(AC88*15), "x", INT(AD88*15))</f>
        <v>0x0x0</v>
      </c>
      <c r="AG88">
        <f t="shared" si="46"/>
        <v>0</v>
      </c>
      <c r="AI88" t="str">
        <f>CONCATENATE(VLOOKUP(AG88,Constants!$A$2:$C$16,IF(AH88&lt;&gt;"", 3, 2), FALSE),IF(AH88&lt;&gt;"",CONCATENATE(",",VLOOKUP(AH88,$B:$AI,34,FALSE)),""))</f>
        <v>na</v>
      </c>
      <c r="AQ88">
        <v>30</v>
      </c>
      <c r="AR88" t="str">
        <f t="shared" si="32"/>
        <v/>
      </c>
      <c r="AU88">
        <f t="shared" si="33"/>
        <v>18</v>
      </c>
      <c r="AV88">
        <f t="shared" si="34"/>
        <v>0</v>
      </c>
      <c r="AW88">
        <f t="shared" si="35"/>
        <v>3.4000000000000004</v>
      </c>
      <c r="AX88" s="4">
        <v>1</v>
      </c>
      <c r="AY88">
        <f t="shared" si="36"/>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47"/>
        <v>42187.5</v>
      </c>
      <c r="BE88" s="15">
        <f t="shared" si="48"/>
        <v>7150</v>
      </c>
      <c r="BN88">
        <v>6</v>
      </c>
      <c r="BR88" t="str">
        <f>VLOOKUP(G88,Eras!$A$2:$C$10, 2, TRUE)</f>
        <v>vct</v>
      </c>
      <c r="BT88" t="str">
        <f t="shared" si="49"/>
        <v>vct_</v>
      </c>
      <c r="BU88" t="str">
        <f t="shared" si="42"/>
        <v/>
      </c>
      <c r="BV88" t="str">
        <f t="shared" si="38"/>
        <v/>
      </c>
      <c r="BX88" t="str">
        <f t="shared" si="51"/>
        <v/>
      </c>
      <c r="BY88" t="str">
        <f t="shared" si="50"/>
        <v>{SILVER}</v>
      </c>
    </row>
    <row r="89" spans="1:77" x14ac:dyDescent="0.25">
      <c r="A89" t="s">
        <v>152</v>
      </c>
      <c r="B89" t="s">
        <v>180</v>
      </c>
      <c r="C89">
        <v>184</v>
      </c>
      <c r="D89" t="s">
        <v>168</v>
      </c>
      <c r="E89" t="s">
        <v>311</v>
      </c>
      <c r="F89" t="s">
        <v>314</v>
      </c>
      <c r="G89">
        <v>1897</v>
      </c>
      <c r="H89">
        <v>1911</v>
      </c>
      <c r="W89">
        <v>87</v>
      </c>
      <c r="X89" s="4" t="str">
        <f t="shared" si="52"/>
        <v/>
      </c>
      <c r="AA89">
        <v>10.5</v>
      </c>
      <c r="AB89">
        <v>10.5</v>
      </c>
      <c r="AE89" s="11">
        <v>0</v>
      </c>
      <c r="AF89" t="str">
        <f>CONCATENATE(VLOOKUP(AG89, 'Voxel Sizes'!$A$2:$B$18,2,FALSE),"x",INT(AC89*15), "x", INT(AD89*15))</f>
        <v>102x0x0</v>
      </c>
      <c r="AG89">
        <f t="shared" si="46"/>
        <v>6</v>
      </c>
      <c r="AI89" t="str">
        <f>CONCATENATE(VLOOKUP(AG89,Constants!$A$2:$C$16,IF(AH89&lt;&gt;"", 3, 2), FALSE),IF(AH89&lt;&gt;"",CONCATENATE(",",VLOOKUP(AH89,$B:$AI,34,FALSE)),""))</f>
        <v>2,2,2</v>
      </c>
      <c r="AQ89">
        <v>30</v>
      </c>
      <c r="AR89" t="str">
        <f t="shared" si="32"/>
        <v/>
      </c>
      <c r="AU89">
        <f t="shared" si="33"/>
        <v>0</v>
      </c>
      <c r="AV89">
        <f t="shared" si="34"/>
        <v>0</v>
      </c>
      <c r="AW89">
        <f t="shared" si="35"/>
        <v>4.3499999999999996</v>
      </c>
      <c r="AX89" s="4">
        <v>1</v>
      </c>
      <c r="AY89">
        <f t="shared" si="36"/>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47"/>
        <v>14062.5</v>
      </c>
      <c r="BE89" s="15">
        <f t="shared" si="48"/>
        <v>3331.25</v>
      </c>
      <c r="BN89">
        <v>7</v>
      </c>
      <c r="BR89" t="str">
        <f>VLOOKUP(G89,Eras!$A$2:$C$10, 2, TRUE)</f>
        <v>vct</v>
      </c>
      <c r="BT89" t="str">
        <f t="shared" si="49"/>
        <v>vct_</v>
      </c>
      <c r="BU89" t="str">
        <f t="shared" si="42"/>
        <v/>
      </c>
      <c r="BV89" t="str">
        <f t="shared" si="38"/>
        <v/>
      </c>
      <c r="BX89" t="str">
        <f t="shared" si="51"/>
        <v/>
      </c>
      <c r="BY89" t="str">
        <f t="shared" si="50"/>
        <v>{SILVER}</v>
      </c>
    </row>
    <row r="90" spans="1:77" x14ac:dyDescent="0.25">
      <c r="A90" t="s">
        <v>12</v>
      </c>
      <c r="B90" t="s">
        <v>279</v>
      </c>
      <c r="C90">
        <v>186</v>
      </c>
      <c r="D90" t="s">
        <v>168</v>
      </c>
      <c r="E90" t="s">
        <v>311</v>
      </c>
      <c r="F90" t="s">
        <v>314</v>
      </c>
      <c r="G90">
        <v>1899</v>
      </c>
      <c r="X90" s="4" t="str">
        <f t="shared" si="52"/>
        <v/>
      </c>
      <c r="AE90" s="11">
        <v>0</v>
      </c>
      <c r="AF90" t="str">
        <f>CONCATENATE(VLOOKUP(AG90, 'Voxel Sizes'!$A$2:$B$18,2,FALSE),"x",INT(AC90*15), "x", INT(AD90*15))</f>
        <v>0x0x0</v>
      </c>
      <c r="AG90">
        <f t="shared" si="46"/>
        <v>0</v>
      </c>
      <c r="AI90" t="str">
        <f>CONCATENATE(VLOOKUP(AG90,Constants!$A$2:$C$16,IF(AH90&lt;&gt;"", 3, 2), FALSE),IF(AH90&lt;&gt;"",CONCATENATE(",",VLOOKUP(AH90,$B:$AI,34,FALSE)),""))</f>
        <v>na</v>
      </c>
      <c r="AQ90">
        <v>30</v>
      </c>
      <c r="AR90" t="str">
        <f t="shared" si="32"/>
        <v/>
      </c>
      <c r="AU90">
        <f t="shared" si="33"/>
        <v>0</v>
      </c>
      <c r="AV90">
        <f t="shared" si="34"/>
        <v>0</v>
      </c>
      <c r="AW90">
        <f t="shared" si="35"/>
        <v>0</v>
      </c>
      <c r="AX90" s="4">
        <v>1</v>
      </c>
      <c r="AY90">
        <f t="shared" si="36"/>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47"/>
        <v>7031.25</v>
      </c>
      <c r="BE90" s="15">
        <f t="shared" si="48"/>
        <v>2437.5</v>
      </c>
      <c r="BN90">
        <v>8</v>
      </c>
      <c r="BR90" t="str">
        <f>VLOOKUP(G90,Eras!$A$2:$C$10, 2, TRUE)</f>
        <v>vct</v>
      </c>
      <c r="BT90" t="str">
        <f t="shared" si="49"/>
        <v>vct_</v>
      </c>
      <c r="BU90" t="str">
        <f t="shared" si="42"/>
        <v/>
      </c>
      <c r="BV90" t="str">
        <f t="shared" si="38"/>
        <v/>
      </c>
      <c r="BX90" t="str">
        <f t="shared" si="51"/>
        <v/>
      </c>
      <c r="BY90" t="str">
        <f t="shared" si="50"/>
        <v>{SILVER}</v>
      </c>
    </row>
    <row r="91" spans="1:77"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52"/>
        <v>0.18585858585858586</v>
      </c>
      <c r="Y91">
        <v>40</v>
      </c>
      <c r="AA91">
        <v>9.57</v>
      </c>
      <c r="AB91">
        <v>9.57</v>
      </c>
      <c r="AE91" s="11">
        <v>0</v>
      </c>
      <c r="AF91" t="str">
        <f>CONCATENATE(VLOOKUP(AG91, 'Voxel Sizes'!$A$2:$B$18,2,FALSE),"x",INT(AC91*15), "x", INT(AD91*15))</f>
        <v>102x0x0</v>
      </c>
      <c r="AG91">
        <f t="shared" si="46"/>
        <v>6</v>
      </c>
      <c r="AI91" t="str">
        <f>CONCATENATE(VLOOKUP(AG91,Constants!$A$2:$C$16,IF(AH91&lt;&gt;"", 3, 2), FALSE),IF(AH91&lt;&gt;"",CONCATENATE(",",VLOOKUP(AH91,$B:$AI,34,FALSE)),""))</f>
        <v>2,2,2</v>
      </c>
      <c r="AO91">
        <v>1</v>
      </c>
      <c r="AQ91">
        <v>30</v>
      </c>
      <c r="AR91">
        <f t="shared" si="32"/>
        <v>51</v>
      </c>
      <c r="AU91">
        <f t="shared" si="33"/>
        <v>8</v>
      </c>
      <c r="AV91">
        <f t="shared" si="34"/>
        <v>3</v>
      </c>
      <c r="AW91">
        <f t="shared" si="35"/>
        <v>4.6000000000000005</v>
      </c>
      <c r="AX91" s="4">
        <v>1</v>
      </c>
      <c r="AY91">
        <f t="shared" si="36"/>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47"/>
        <v>32031.25</v>
      </c>
      <c r="BE91" s="15">
        <f t="shared" si="48"/>
        <v>5768.75</v>
      </c>
      <c r="BN91">
        <v>9</v>
      </c>
      <c r="BR91" t="str">
        <f>VLOOKUP(G91,Eras!$A$2:$C$10, 2, TRUE)</f>
        <v>vct</v>
      </c>
      <c r="BS91" t="s">
        <v>366</v>
      </c>
      <c r="BT91" t="str">
        <f t="shared" si="49"/>
        <v>vct_Cheap</v>
      </c>
      <c r="BU91" t="str">
        <f t="shared" si="42"/>
        <v/>
      </c>
      <c r="BV91" t="str">
        <f t="shared" si="38"/>
        <v/>
      </c>
      <c r="BW91" t="s">
        <v>1221</v>
      </c>
      <c r="BX91" t="str">
        <f t="shared" si="51"/>
        <v/>
      </c>
      <c r="BY91" t="str">
        <f t="shared" si="50"/>
        <v>{SILVER}Samuel Johnson's tank engine design were rebuilt later in life by Henry Fowler, providing the inspiration for Fowler's own 3F "Jinty" design.</v>
      </c>
    </row>
    <row r="92" spans="1:77" x14ac:dyDescent="0.25">
      <c r="A92" t="s">
        <v>447</v>
      </c>
      <c r="B92" t="s">
        <v>448</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52"/>
        <v>0.21304347826086956</v>
      </c>
      <c r="Y92">
        <v>30</v>
      </c>
      <c r="AA92">
        <v>6.12</v>
      </c>
      <c r="AB92">
        <v>6.12</v>
      </c>
      <c r="AE92" s="11">
        <v>0</v>
      </c>
      <c r="AF92" t="str">
        <f>CONCATENATE(VLOOKUP(AG92, 'Voxel Sizes'!$A$2:$B$18,2,FALSE),"x",INT(AC92*15), "x", INT(AD92*15))</f>
        <v>60x0x0</v>
      </c>
      <c r="AG92">
        <f t="shared" si="46"/>
        <v>4</v>
      </c>
      <c r="AI92" t="str">
        <f>CONCATENATE(VLOOKUP(AG92,Constants!$A$2:$C$16,IF(AH92&lt;&gt;"", 3, 2), FALSE),IF(AH92&lt;&gt;"",CONCATENATE(",",VLOOKUP(AH92,$B:$AI,34,FALSE)),""))</f>
        <v>1,2,1</v>
      </c>
      <c r="AO92">
        <v>1</v>
      </c>
      <c r="AQ92">
        <v>30</v>
      </c>
      <c r="AR92">
        <f t="shared" si="32"/>
        <v>50</v>
      </c>
      <c r="AU92">
        <f t="shared" si="33"/>
        <v>6</v>
      </c>
      <c r="AV92">
        <f t="shared" si="34"/>
        <v>1.75</v>
      </c>
      <c r="AW92">
        <f t="shared" si="35"/>
        <v>2.4500000000000002</v>
      </c>
      <c r="AX92" s="4">
        <v>1</v>
      </c>
      <c r="AY92">
        <f t="shared" si="36"/>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47"/>
        <v>23437.5</v>
      </c>
      <c r="BE92" s="15">
        <f t="shared" si="48"/>
        <v>4550</v>
      </c>
      <c r="BN92">
        <v>10</v>
      </c>
      <c r="BR92" t="str">
        <f>VLOOKUP(G92,Eras!$A$2:$C$10, 2, TRUE)</f>
        <v>edw</v>
      </c>
      <c r="BS92" t="s">
        <v>366</v>
      </c>
      <c r="BT92" t="str">
        <f t="shared" si="49"/>
        <v>edw_Cheap</v>
      </c>
      <c r="BU92" t="str">
        <f t="shared" si="42"/>
        <v/>
      </c>
      <c r="BV92" t="str">
        <f t="shared" si="38"/>
        <v/>
      </c>
      <c r="BW92" t="s">
        <v>449</v>
      </c>
      <c r="BX92" t="str">
        <f t="shared" si="51"/>
        <v/>
      </c>
      <c r="BY92" t="str">
        <f t="shared" si="50"/>
        <v>{SILVER}This 0-4-0 saddle tank engine is typical of the many acquired by the GWR from smaller railways during the 1923 grouping of railway companies into the Big Four.</v>
      </c>
    </row>
    <row r="93" spans="1:77"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52"/>
        <v>9.3269230769230771E-2</v>
      </c>
      <c r="Y93">
        <v>80</v>
      </c>
      <c r="AA93">
        <v>17.268999999999998</v>
      </c>
      <c r="AB93">
        <f>AA93-7.5</f>
        <v>9.7689999999999984</v>
      </c>
      <c r="AE93" s="11">
        <v>0</v>
      </c>
      <c r="AF93" t="str">
        <f>CONCATENATE(VLOOKUP(AG93, 'Voxel Sizes'!$A$2:$B$18,2,FALSE),"x",INT(AC93*15), "x", INT(AD93*15))</f>
        <v>102x0x0</v>
      </c>
      <c r="AG93">
        <f t="shared" si="46"/>
        <v>6</v>
      </c>
      <c r="AH93" t="s">
        <v>349</v>
      </c>
      <c r="AI93" t="str">
        <f>CONCATENATE(VLOOKUP(AG93,Constants!$A$2:$C$16,IF(AH93&lt;&gt;"", 3, 2), FALSE),IF(AH93&lt;&gt;"",CONCATENATE(",",VLOOKUP(AH93,$B:$AI,34,FALSE)),""))</f>
        <v>2,2,2,2,1,2</v>
      </c>
      <c r="AO93">
        <v>1</v>
      </c>
      <c r="AQ93">
        <v>30</v>
      </c>
      <c r="AR93">
        <f t="shared" si="32"/>
        <v>29</v>
      </c>
      <c r="AU93">
        <f t="shared" si="33"/>
        <v>16</v>
      </c>
      <c r="AV93">
        <f t="shared" si="34"/>
        <v>4.75</v>
      </c>
      <c r="AW93">
        <f t="shared" si="35"/>
        <v>4.8499999999999996</v>
      </c>
      <c r="AX93" s="4">
        <v>1</v>
      </c>
      <c r="AY93">
        <f t="shared" si="36"/>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47"/>
        <v>49218.75</v>
      </c>
      <c r="BE93" s="15">
        <f t="shared" si="48"/>
        <v>8125</v>
      </c>
      <c r="BN93">
        <v>11</v>
      </c>
      <c r="BR93" t="str">
        <f>VLOOKUP(G93,Eras!$A$2:$C$10, 2, TRUE)</f>
        <v>edw</v>
      </c>
      <c r="BS93" t="s">
        <v>368</v>
      </c>
      <c r="BT93" t="str">
        <f t="shared" si="49"/>
        <v>edw_Express</v>
      </c>
      <c r="BU93" t="str">
        <f t="shared" si="42"/>
        <v/>
      </c>
      <c r="BV93" t="str">
        <f t="shared" si="38"/>
        <v/>
      </c>
      <c r="BW93" t="s">
        <v>388</v>
      </c>
      <c r="BX93" t="str">
        <f t="shared" si="51"/>
        <v/>
      </c>
      <c r="BY93" t="str">
        <f t="shared" si="50"/>
        <v>{SILVER}The 1000 class is an express locomotive with a three-cylinder arrangement, using a high pressure cylinder inside the frame and two low pressure cylinders on the outside.</v>
      </c>
    </row>
    <row r="94" spans="1:77" x14ac:dyDescent="0.25">
      <c r="A94" t="s">
        <v>65</v>
      </c>
      <c r="B94" t="s">
        <v>181</v>
      </c>
      <c r="C94">
        <v>198</v>
      </c>
      <c r="D94" t="s">
        <v>302</v>
      </c>
      <c r="E94" t="s">
        <v>336</v>
      </c>
      <c r="F94" t="s">
        <v>337</v>
      </c>
      <c r="G94">
        <v>1903</v>
      </c>
      <c r="H94">
        <v>1904</v>
      </c>
      <c r="I94">
        <v>1927</v>
      </c>
      <c r="K94">
        <v>640</v>
      </c>
      <c r="T94">
        <v>57</v>
      </c>
      <c r="W94">
        <v>111</v>
      </c>
      <c r="X94" s="4">
        <f t="shared" si="52"/>
        <v>0.19473684210526315</v>
      </c>
      <c r="Y94">
        <v>27</v>
      </c>
      <c r="AA94">
        <v>11.56</v>
      </c>
      <c r="AB94">
        <v>11.56</v>
      </c>
      <c r="AD94">
        <v>3.93</v>
      </c>
      <c r="AE94" s="11">
        <v>0</v>
      </c>
      <c r="AF94" t="str">
        <f>CONCATENATE(VLOOKUP(AG94, 'Voxel Sizes'!$A$2:$B$18,2,FALSE),"x",INT(AC94*15), "x", INT(AD94*15))</f>
        <v>120x0x58</v>
      </c>
      <c r="AG94">
        <f t="shared" si="46"/>
        <v>7</v>
      </c>
      <c r="AI94" t="str">
        <f>CONCATENATE(VLOOKUP(AG94,Constants!$A$2:$C$16,IF(AH94&lt;&gt;"", 3, 2), FALSE),IF(AH94&lt;&gt;"",CONCATENATE(",",VLOOKUP(AH94,$B:$AI,34,FALSE)),""))</f>
        <v>2,3,2</v>
      </c>
      <c r="AQ94">
        <v>30</v>
      </c>
      <c r="AR94">
        <f t="shared" si="32"/>
        <v>20</v>
      </c>
      <c r="AU94">
        <f t="shared" si="33"/>
        <v>5.3999999999999995</v>
      </c>
      <c r="AV94">
        <f t="shared" si="34"/>
        <v>3.2</v>
      </c>
      <c r="AW94">
        <f t="shared" si="35"/>
        <v>5.5500000000000007</v>
      </c>
      <c r="AX94" s="4">
        <v>1</v>
      </c>
      <c r="AY94">
        <f t="shared" si="36"/>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47"/>
        <v>41406.25</v>
      </c>
      <c r="BE94" s="15">
        <f t="shared" si="48"/>
        <v>3818.75</v>
      </c>
      <c r="BN94">
        <v>12</v>
      </c>
      <c r="BR94" t="str">
        <f>VLOOKUP(G94,Eras!$A$2:$C$10, 2, TRUE)</f>
        <v>edw</v>
      </c>
      <c r="BS94" t="s">
        <v>379</v>
      </c>
      <c r="BT94" t="str">
        <f t="shared" si="49"/>
        <v>edw_Freight (Electric)</v>
      </c>
      <c r="BU94" t="str">
        <f t="shared" si="42"/>
        <v/>
      </c>
      <c r="BV94" t="str">
        <f t="shared" si="38"/>
        <v/>
      </c>
      <c r="BW94" t="s">
        <v>390</v>
      </c>
      <c r="BX94" t="str">
        <f t="shared" si="51"/>
        <v/>
      </c>
      <c r="BY94" t="str">
        <f t="shared" si="50"/>
        <v>{SILVER}The LNER ES1 (ES for Electric Shunter) is designed for hauling heavy freight trains on steep inclines.</v>
      </c>
    </row>
    <row r="95" spans="1:77"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52"/>
        <v>0.14000000000000001</v>
      </c>
      <c r="Y95">
        <v>55</v>
      </c>
      <c r="AA95">
        <v>10.02</v>
      </c>
      <c r="AB95">
        <v>10.02</v>
      </c>
      <c r="AE95" s="11">
        <v>0</v>
      </c>
      <c r="AF95" t="str">
        <f>CONCATENATE(VLOOKUP(AG95, 'Voxel Sizes'!$A$2:$B$18,2,FALSE),"x",INT(AC95*15), "x", INT(AD95*15))</f>
        <v>102x0x0</v>
      </c>
      <c r="AG95">
        <f t="shared" si="46"/>
        <v>6</v>
      </c>
      <c r="AI95" t="str">
        <f>CONCATENATE(VLOOKUP(AG95,Constants!$A$2:$C$16,IF(AH95&lt;&gt;"", 3, 2), FALSE),IF(AH95&lt;&gt;"",CONCATENATE(",",VLOOKUP(AH95,$B:$AI,34,FALSE)),""))</f>
        <v>2,2,2</v>
      </c>
      <c r="AO95">
        <v>1</v>
      </c>
      <c r="AQ95">
        <v>30</v>
      </c>
      <c r="AR95">
        <f t="shared" si="32"/>
        <v>54</v>
      </c>
      <c r="AU95">
        <f t="shared" si="33"/>
        <v>11</v>
      </c>
      <c r="AV95">
        <f t="shared" si="34"/>
        <v>3.65</v>
      </c>
      <c r="AW95">
        <f t="shared" si="35"/>
        <v>3.85</v>
      </c>
      <c r="AX95" s="4">
        <v>1</v>
      </c>
      <c r="AY95">
        <f t="shared" si="36"/>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47"/>
        <v>37500</v>
      </c>
      <c r="BE95" s="15">
        <f t="shared" si="48"/>
        <v>6418.75</v>
      </c>
      <c r="BN95">
        <v>1</v>
      </c>
      <c r="BR95" t="str">
        <f>VLOOKUP(G95,Eras!$A$2:$C$10, 2, TRUE)</f>
        <v>edw</v>
      </c>
      <c r="BS95" t="s">
        <v>417</v>
      </c>
      <c r="BT95" t="str">
        <f t="shared" si="49"/>
        <v>edw_Passenger</v>
      </c>
      <c r="BU95" t="str">
        <f t="shared" si="42"/>
        <v/>
      </c>
      <c r="BV95" t="str">
        <f t="shared" si="38"/>
        <v/>
      </c>
      <c r="BW95" t="s">
        <v>409</v>
      </c>
      <c r="BX95" t="str">
        <f t="shared" si="51"/>
        <v/>
      </c>
      <c r="BY95" t="str">
        <f t="shared" si="50"/>
        <v>{SILVER}The South Eastern and Chatham Railway H Class is an 0-4-4T tank engine designed for suburban passenger routes. It was in use until the 1960s.</v>
      </c>
    </row>
    <row r="96" spans="1:77"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52"/>
        <v>0.14984227129337541</v>
      </c>
      <c r="Y96">
        <v>55</v>
      </c>
      <c r="AA96">
        <v>11.5</v>
      </c>
      <c r="AB96">
        <v>11.5</v>
      </c>
      <c r="AE96" s="11">
        <v>0</v>
      </c>
      <c r="AF96" t="str">
        <f>CONCATENATE(VLOOKUP(AG96, 'Voxel Sizes'!$A$2:$B$18,2,FALSE),"x",INT(AC96*15), "x", INT(AD96*15))</f>
        <v>120x0x0</v>
      </c>
      <c r="AG96">
        <f t="shared" si="46"/>
        <v>7</v>
      </c>
      <c r="AI96" t="str">
        <f>CONCATENATE(VLOOKUP(AG96,Constants!$A$2:$C$16,IF(AH96&lt;&gt;"", 3, 2), FALSE),IF(AH96&lt;&gt;"",CONCATENATE(",",VLOOKUP(AH96,$B:$AI,34,FALSE)),""))</f>
        <v>2,3,2</v>
      </c>
      <c r="AO96">
        <v>1</v>
      </c>
      <c r="AQ96">
        <v>38</v>
      </c>
      <c r="AR96">
        <f t="shared" si="32"/>
        <v>47</v>
      </c>
      <c r="AU96">
        <f t="shared" si="33"/>
        <v>11</v>
      </c>
      <c r="AV96">
        <f t="shared" si="34"/>
        <v>4.25</v>
      </c>
      <c r="AW96">
        <f t="shared" si="35"/>
        <v>4.75</v>
      </c>
      <c r="AX96" s="4">
        <v>1</v>
      </c>
      <c r="AY96">
        <f t="shared" si="36"/>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47"/>
        <v>39843.75</v>
      </c>
      <c r="BE96" s="15">
        <f t="shared" si="48"/>
        <v>6825</v>
      </c>
      <c r="BN96">
        <v>2</v>
      </c>
      <c r="BR96" t="str">
        <f>VLOOKUP(G96,Eras!$A$2:$C$10, 2, TRUE)</f>
        <v>edw</v>
      </c>
      <c r="BS96" t="s">
        <v>367</v>
      </c>
      <c r="BT96" t="str">
        <f t="shared" si="49"/>
        <v>edw_Mixed Traffic</v>
      </c>
      <c r="BU96" t="str">
        <f t="shared" si="42"/>
        <v/>
      </c>
      <c r="BV96" t="str">
        <f t="shared" si="38"/>
        <v/>
      </c>
      <c r="BW96" t="s">
        <v>418</v>
      </c>
      <c r="BX96" t="str">
        <f t="shared" si="51"/>
        <v/>
      </c>
      <c r="BY96" t="str">
        <f t="shared" si="50"/>
        <v>{SILVER}The GWR "Small Prairie" tank engines were designed for operating branch lines.</v>
      </c>
    </row>
    <row r="97" spans="1:77" x14ac:dyDescent="0.25">
      <c r="A97" t="s">
        <v>28</v>
      </c>
      <c r="B97" t="s">
        <v>184</v>
      </c>
      <c r="C97">
        <v>206</v>
      </c>
      <c r="D97" t="s">
        <v>302</v>
      </c>
      <c r="E97" t="s">
        <v>311</v>
      </c>
      <c r="F97" t="s">
        <v>314</v>
      </c>
      <c r="G97">
        <v>1911</v>
      </c>
      <c r="H97">
        <v>1926</v>
      </c>
      <c r="I97">
        <v>1960</v>
      </c>
      <c r="K97">
        <v>850</v>
      </c>
      <c r="M97" s="6">
        <v>20</v>
      </c>
      <c r="N97" s="6">
        <v>26</v>
      </c>
      <c r="O97" s="6">
        <v>2</v>
      </c>
      <c r="P97" s="6">
        <v>180</v>
      </c>
      <c r="Q97" s="7">
        <f>((($Y97/2)/60)*5280)/($R97*3.2*PI())</f>
        <v>128.72826279491534</v>
      </c>
      <c r="R97" s="6">
        <v>1.7</v>
      </c>
      <c r="S97" s="6">
        <f>((($M97*$M97/4)*PI())*($N97/12)*$O97*$P97*$Q97)/(33000*1.1)</f>
        <v>868.98395721925135</v>
      </c>
      <c r="T97">
        <v>87</v>
      </c>
      <c r="W97">
        <v>106</v>
      </c>
      <c r="X97" s="4">
        <f t="shared" si="52"/>
        <v>0.12183908045977011</v>
      </c>
      <c r="Y97">
        <v>50</v>
      </c>
      <c r="AA97">
        <v>13.1</v>
      </c>
      <c r="AB97">
        <v>13.1</v>
      </c>
      <c r="AE97" s="11">
        <v>0</v>
      </c>
      <c r="AF97" t="str">
        <f>CONCATENATE(VLOOKUP(AG97, 'Voxel Sizes'!$A$2:$B$18,2,FALSE),"x",INT(AC97*15), "x", INT(AD97*15))</f>
        <v>136x0x0</v>
      </c>
      <c r="AG97">
        <f t="shared" si="46"/>
        <v>8</v>
      </c>
      <c r="AI97" t="str">
        <f>CONCATENATE(VLOOKUP(AG97,Constants!$A$2:$C$16,IF(AH97&lt;&gt;"", 3, 2), FALSE),IF(AH97&lt;&gt;"",CONCATENATE(",",VLOOKUP(AH97,$B:$AI,34,FALSE)),""))</f>
        <v>2,4,2</v>
      </c>
      <c r="AO97">
        <v>1</v>
      </c>
      <c r="AQ97">
        <v>32</v>
      </c>
      <c r="AR97">
        <f t="shared" si="32"/>
        <v>45</v>
      </c>
      <c r="AU97">
        <f t="shared" si="33"/>
        <v>10</v>
      </c>
      <c r="AV97">
        <f t="shared" si="34"/>
        <v>4.25</v>
      </c>
      <c r="AW97">
        <f t="shared" si="35"/>
        <v>5.3000000000000007</v>
      </c>
      <c r="AX97" s="4">
        <v>1</v>
      </c>
      <c r="AY97">
        <f t="shared" si="36"/>
        <v>0</v>
      </c>
      <c r="AZ97">
        <f>VLOOKUP($E97,Constants!$I:$K, 2, FALSE)</f>
        <v>1.1499999999999999</v>
      </c>
      <c r="BA97">
        <f>VLOOKUP($E97,Constants!$I:$K, 3, FALSE)*IF(AND(D97="multiple_unit",Y97&lt;110),0.75,1)</f>
        <v>1.7</v>
      </c>
      <c r="BB97">
        <f>INT(POWER(((Constants!$G$2+$AU97+$AV97+$AW97+$AY97)*$AX97)*$BA97, 1.05))+$AT97</f>
        <v>50</v>
      </c>
      <c r="BC97">
        <f>INT(POWER((((Constants!$G$1+$AU97+$AV97+$AW97+$AY97)*(1/$AX97))*$AZ97),IF($D97="wagon",1,1.2)))+$AS97</f>
        <v>82</v>
      </c>
      <c r="BD97" s="15">
        <f t="shared" si="47"/>
        <v>39062.5</v>
      </c>
      <c r="BE97" s="15">
        <f t="shared" si="48"/>
        <v>6662.5</v>
      </c>
      <c r="BN97">
        <v>3</v>
      </c>
      <c r="BR97" t="str">
        <f>VLOOKUP(G97,Eras!$A$2:$C$10, 2, TRUE)</f>
        <v>edw</v>
      </c>
      <c r="BS97" t="s">
        <v>417</v>
      </c>
      <c r="BT97" t="str">
        <f t="shared" si="49"/>
        <v>edw_Passenger</v>
      </c>
      <c r="BU97" t="str">
        <f t="shared" si="42"/>
        <v/>
      </c>
      <c r="BV97" t="str">
        <f t="shared" si="38"/>
        <v/>
      </c>
      <c r="BW97" t="s">
        <v>421</v>
      </c>
      <c r="BX97" t="str">
        <f t="shared" si="51"/>
        <v/>
      </c>
      <c r="BY97" t="str">
        <f t="shared" si="50"/>
        <v>{SILVER}The GCR 9N (later LNER A5) is a 4-6-2 tank locomotive designed for suburban passenger services.</v>
      </c>
    </row>
    <row r="98" spans="1:77" x14ac:dyDescent="0.25">
      <c r="A98" t="s">
        <v>29</v>
      </c>
      <c r="B98" t="s">
        <v>425</v>
      </c>
      <c r="C98">
        <v>208</v>
      </c>
      <c r="D98" t="s">
        <v>302</v>
      </c>
      <c r="E98" t="s">
        <v>311</v>
      </c>
      <c r="F98" t="s">
        <v>314</v>
      </c>
      <c r="G98">
        <v>1911</v>
      </c>
      <c r="H98">
        <v>1914</v>
      </c>
      <c r="I98">
        <v>1966</v>
      </c>
      <c r="K98">
        <v>1250</v>
      </c>
      <c r="M98" s="6">
        <v>21</v>
      </c>
      <c r="N98" s="6">
        <v>26</v>
      </c>
      <c r="O98" s="6">
        <v>2</v>
      </c>
      <c r="P98" s="6">
        <v>180</v>
      </c>
      <c r="Q98" s="7">
        <f>((($Y98/2)/60)*5280)/($R98*3.2*PI())</f>
        <v>123.28904042329923</v>
      </c>
      <c r="R98" s="6">
        <v>1.42</v>
      </c>
      <c r="S98" s="6">
        <f>((($M98*$M98/4)*PI())*($N98/12)*$O98*$P98*$Q98)/(33000*1.1)</f>
        <v>917.57362355953899</v>
      </c>
      <c r="T98">
        <v>75</v>
      </c>
      <c r="U98" s="9">
        <v>42</v>
      </c>
      <c r="W98">
        <v>139</v>
      </c>
      <c r="X98" s="4">
        <f t="shared" si="52"/>
        <v>0.1188034188034188</v>
      </c>
      <c r="Y98">
        <v>40</v>
      </c>
      <c r="AA98">
        <v>18.809999999999999</v>
      </c>
      <c r="AB98">
        <v>11.31</v>
      </c>
      <c r="AE98" s="11">
        <v>0</v>
      </c>
      <c r="AF98" t="str">
        <f>CONCATENATE(VLOOKUP(AG98, 'Voxel Sizes'!$A$2:$B$18,2,FALSE),"x",INT(AC98*15), "x", INT(AD98*15))</f>
        <v>120x0x0</v>
      </c>
      <c r="AG98">
        <f t="shared" si="46"/>
        <v>7</v>
      </c>
      <c r="AH98" t="s">
        <v>349</v>
      </c>
      <c r="AI98" t="str">
        <f>CONCATENATE(VLOOKUP(AG98,Constants!$A$2:$C$16,IF(AH98&lt;&gt;"", 3, 2), FALSE),IF(AH98&lt;&gt;"",CONCATENATE(",",VLOOKUP(AH98,$B:$AI,34,FALSE)),""))</f>
        <v>2,3,2,2,1,2</v>
      </c>
      <c r="AO98">
        <v>1</v>
      </c>
      <c r="AQ98">
        <v>34</v>
      </c>
      <c r="AR98">
        <f t="shared" si="32"/>
        <v>51</v>
      </c>
      <c r="AU98">
        <f t="shared" si="33"/>
        <v>8</v>
      </c>
      <c r="AV98">
        <f t="shared" si="34"/>
        <v>6.25</v>
      </c>
      <c r="AW98">
        <f t="shared" si="35"/>
        <v>6.9499999999999993</v>
      </c>
      <c r="AX98" s="4">
        <v>1</v>
      </c>
      <c r="AY98">
        <f t="shared" si="36"/>
        <v>0</v>
      </c>
      <c r="AZ98">
        <f>VLOOKUP($E98,Constants!$I:$K, 2, FALSE)</f>
        <v>1.1499999999999999</v>
      </c>
      <c r="BA98">
        <f>VLOOKUP($E98,Constants!$I:$K, 3, FALSE)*IF(AND(D98="multiple_unit",Y98&lt;110),0.75,1)</f>
        <v>1.7</v>
      </c>
      <c r="BB98">
        <f>INT(POWER(((Constants!$G$2+$AU98+$AV98+$AW98+$AY98)*$AX98)*$BA98, 1.05))+$AT98</f>
        <v>53</v>
      </c>
      <c r="BC98">
        <f>INT(POWER((((Constants!$G$1+$AU98+$AV98+$AW98+$AY98)*(1/$AX98))*$AZ98),IF($D98="wagon",1,1.2)))+$AS98</f>
        <v>87</v>
      </c>
      <c r="BD98" s="15">
        <f t="shared" si="47"/>
        <v>41406.25</v>
      </c>
      <c r="BE98" s="15">
        <f t="shared" si="48"/>
        <v>7068.75</v>
      </c>
      <c r="BN98">
        <v>4</v>
      </c>
      <c r="BR98" t="str">
        <f>VLOOKUP(G98,Eras!$A$2:$C$10, 2, TRUE)</f>
        <v>edw</v>
      </c>
      <c r="BS98" t="s">
        <v>369</v>
      </c>
      <c r="BT98" t="str">
        <f t="shared" si="49"/>
        <v>edw_Freight</v>
      </c>
      <c r="BU98" t="str">
        <f t="shared" si="42"/>
        <v/>
      </c>
      <c r="BV98" t="str">
        <f t="shared" si="38"/>
        <v/>
      </c>
      <c r="BW98" t="s">
        <v>426</v>
      </c>
      <c r="BX98" t="str">
        <f t="shared" si="51"/>
        <v/>
      </c>
      <c r="BY98" t="str">
        <f t="shared" si="50"/>
        <v>{SILVER}The Robinson 8K is a heavy freight engine that was used as a standard locomotive by the Royal Engineers Railway Operating Division.</v>
      </c>
    </row>
    <row r="99" spans="1:77" x14ac:dyDescent="0.25">
      <c r="A99" t="s">
        <v>432</v>
      </c>
      <c r="B99" t="s">
        <v>437</v>
      </c>
      <c r="C99">
        <v>210</v>
      </c>
      <c r="D99" t="s">
        <v>302</v>
      </c>
      <c r="E99" t="s">
        <v>311</v>
      </c>
      <c r="F99" t="s">
        <v>314</v>
      </c>
      <c r="G99">
        <v>1912</v>
      </c>
      <c r="I99">
        <v>1962</v>
      </c>
      <c r="K99">
        <v>1050</v>
      </c>
      <c r="M99" s="6">
        <v>20</v>
      </c>
      <c r="N99" s="6">
        <v>26</v>
      </c>
      <c r="O99" s="6">
        <v>2</v>
      </c>
      <c r="P99" s="6">
        <v>180</v>
      </c>
      <c r="Q99" s="7">
        <f>((($Y99/2)/60)*5280)/($R99*3.2*PI())</f>
        <v>141.60108907440687</v>
      </c>
      <c r="R99" s="6">
        <v>1.7</v>
      </c>
      <c r="S99" s="6">
        <f>((($M99*$M99/4)*PI())*($N99/12)*$O99*$P99*$Q99)/(33000*1.1)</f>
        <v>955.88235294117646</v>
      </c>
      <c r="T99">
        <v>61</v>
      </c>
      <c r="W99">
        <v>104</v>
      </c>
      <c r="X99" s="4">
        <f t="shared" si="52"/>
        <v>0.17049180327868851</v>
      </c>
      <c r="Y99">
        <v>55</v>
      </c>
      <c r="AA99">
        <v>14.4</v>
      </c>
      <c r="AB99">
        <v>10</v>
      </c>
      <c r="AE99" s="11">
        <v>0</v>
      </c>
      <c r="AF99" t="str">
        <f>CONCATENATE(VLOOKUP(AG99, 'Voxel Sizes'!$A$2:$B$18,2,FALSE),"x",INT(AC99*15), "x", INT(AD99*15))</f>
        <v>102x0x0</v>
      </c>
      <c r="AG99">
        <f t="shared" si="46"/>
        <v>6</v>
      </c>
      <c r="AH99" t="s">
        <v>439</v>
      </c>
      <c r="AI99" t="str">
        <f>CONCATENATE(VLOOKUP(AG99,Constants!$A$2:$C$16,IF(AH99&lt;&gt;"", 3, 2), FALSE),IF(AH99&lt;&gt;"",CONCATENATE(",",VLOOKUP(AH99,$B:$AI,34,FALSE)),""))</f>
        <v>2,2,2,2,1,2</v>
      </c>
      <c r="AO99">
        <v>1</v>
      </c>
      <c r="AQ99">
        <v>30</v>
      </c>
      <c r="AR99">
        <f t="shared" si="32"/>
        <v>46</v>
      </c>
      <c r="AS99">
        <v>5</v>
      </c>
      <c r="AU99">
        <f t="shared" si="33"/>
        <v>11</v>
      </c>
      <c r="AV99">
        <f t="shared" si="34"/>
        <v>5.25</v>
      </c>
      <c r="AW99">
        <f t="shared" si="35"/>
        <v>5.2</v>
      </c>
      <c r="AX99" s="4">
        <v>1</v>
      </c>
      <c r="AY99">
        <f t="shared" si="36"/>
        <v>0</v>
      </c>
      <c r="AZ99">
        <f>VLOOKUP($E99,Constants!$I:$K, 2, FALSE)</f>
        <v>1.1499999999999999</v>
      </c>
      <c r="BA99">
        <f>VLOOKUP($E99,Constants!$I:$K, 3, FALSE)*IF(AND(D99="multiple_unit",Y99&lt;110),0.75,1)</f>
        <v>1.7</v>
      </c>
      <c r="BB99">
        <f>INT(POWER(((Constants!$G$2+$AU99+$AV99+$AW99+$AY99)*$AX99)*$BA99, 1.05))+$AT99</f>
        <v>54</v>
      </c>
      <c r="BC99">
        <f>INT(POWER((((Constants!$G$1+$AU99+$AV99+$AW99+$AY99)*(1/$AX99))*$AZ99),IF($D99="wagon",1,1.2)))+$AS99</f>
        <v>93</v>
      </c>
      <c r="BD99" s="15">
        <f t="shared" si="47"/>
        <v>42187.5</v>
      </c>
      <c r="BE99" s="15">
        <f t="shared" si="48"/>
        <v>7556.25</v>
      </c>
      <c r="BN99">
        <v>5</v>
      </c>
      <c r="BR99" t="str">
        <f>VLOOKUP(G99,Eras!$A$2:$C$10, 2, TRUE)</f>
        <v>edw</v>
      </c>
      <c r="BS99" t="s">
        <v>369</v>
      </c>
      <c r="BT99" t="str">
        <f t="shared" si="49"/>
        <v>edw_Freight</v>
      </c>
      <c r="BU99" t="str">
        <f t="shared" si="42"/>
        <v/>
      </c>
      <c r="BV99" t="str">
        <f t="shared" si="38"/>
        <v/>
      </c>
      <c r="BW99" t="s">
        <v>431</v>
      </c>
      <c r="BX99" t="str">
        <f t="shared" si="51"/>
        <v/>
      </c>
      <c r="BY99" t="str">
        <f t="shared" si="50"/>
        <v>{SILVER}The Gresley K2 is a freight engine, designed for the GNR which had been using passenger engines to haul goods trains.</v>
      </c>
    </row>
    <row r="100" spans="1:77" x14ac:dyDescent="0.25">
      <c r="A100" t="s">
        <v>66</v>
      </c>
      <c r="B100" t="s">
        <v>185</v>
      </c>
      <c r="C100">
        <v>212</v>
      </c>
      <c r="D100" t="s">
        <v>302</v>
      </c>
      <c r="E100" t="s">
        <v>336</v>
      </c>
      <c r="F100" t="s">
        <v>314</v>
      </c>
      <c r="G100">
        <v>1914</v>
      </c>
      <c r="H100">
        <v>1919</v>
      </c>
      <c r="I100">
        <v>1950</v>
      </c>
      <c r="K100">
        <v>1100</v>
      </c>
      <c r="T100">
        <v>76</v>
      </c>
      <c r="W100">
        <v>140</v>
      </c>
      <c r="X100" s="4">
        <f t="shared" si="52"/>
        <v>0.18421052631578946</v>
      </c>
      <c r="Y100">
        <v>35</v>
      </c>
      <c r="AA100">
        <v>12</v>
      </c>
      <c r="AB100">
        <v>12</v>
      </c>
      <c r="AE100" s="11">
        <v>0</v>
      </c>
      <c r="AF100" t="str">
        <f>CONCATENATE(VLOOKUP(AG100, 'Voxel Sizes'!$A$2:$B$18,2,FALSE),"x",INT(AC100*15), "x", INT(AD100*15))</f>
        <v>120x0x0</v>
      </c>
      <c r="AG100">
        <f t="shared" si="46"/>
        <v>7</v>
      </c>
      <c r="AI100" t="str">
        <f>CONCATENATE(VLOOKUP(AG100,Constants!$A$2:$C$16,IF(AH100&lt;&gt;"", 3, 2), FALSE),IF(AH100&lt;&gt;"",CONCATENATE(",",VLOOKUP(AH100,$B:$AI,34,FALSE)),""))</f>
        <v>2,3,2</v>
      </c>
      <c r="AQ100">
        <v>16</v>
      </c>
      <c r="AR100">
        <f t="shared" si="32"/>
        <v>32</v>
      </c>
      <c r="AT100">
        <v>8</v>
      </c>
      <c r="AU100">
        <f t="shared" si="33"/>
        <v>7</v>
      </c>
      <c r="AV100">
        <f t="shared" si="34"/>
        <v>5.5</v>
      </c>
      <c r="AW100">
        <f t="shared" si="35"/>
        <v>7</v>
      </c>
      <c r="AX100" s="4">
        <v>1</v>
      </c>
      <c r="AY100">
        <f t="shared" si="36"/>
        <v>0</v>
      </c>
      <c r="AZ100">
        <f>VLOOKUP($E100,Constants!$I:$K, 2, FALSE)</f>
        <v>0.85</v>
      </c>
      <c r="BA100">
        <f>VLOOKUP($E100,Constants!$I:$K, 3, FALSE)*IF(AND(D100="multiple_unit",Y100&lt;110),0.75,1)</f>
        <v>2.2999999999999998</v>
      </c>
      <c r="BB100">
        <f>INT(POWER(((Constants!$G$2+$AU100+$AV100+$AW100+$AY100)*$AX100)*$BA100, 1.05))+$AT100</f>
        <v>76</v>
      </c>
      <c r="BC100">
        <f>INT(POWER((((Constants!$G$1+$AU100+$AV100+$AW100+$AY100)*(1/$AX100))*$AZ100),IF($D100="wagon",1,1.2)))+$AS100</f>
        <v>57</v>
      </c>
      <c r="BD100" s="15">
        <f t="shared" si="47"/>
        <v>59375</v>
      </c>
      <c r="BE100" s="15">
        <f t="shared" si="48"/>
        <v>4631.25</v>
      </c>
      <c r="BN100">
        <v>6</v>
      </c>
      <c r="BR100" t="str">
        <f>VLOOKUP(G100,Eras!$A$2:$C$10, 2, TRUE)</f>
        <v>edw</v>
      </c>
      <c r="BS100" t="s">
        <v>379</v>
      </c>
      <c r="BT100" t="str">
        <f t="shared" si="49"/>
        <v>edw_Freight (Electric)</v>
      </c>
      <c r="BU100" t="str">
        <f t="shared" si="42"/>
        <v/>
      </c>
      <c r="BV100" t="str">
        <f t="shared" si="38"/>
        <v/>
      </c>
      <c r="BW100" t="s">
        <v>440</v>
      </c>
      <c r="BX100" t="str">
        <f t="shared" si="51"/>
        <v/>
      </c>
      <c r="BY100" t="str">
        <f t="shared" si="50"/>
        <v>{SILVER}The LNER EF1 is an early electric freight engine designed for hauling heavy coal trains.</v>
      </c>
    </row>
    <row r="101" spans="1:77" x14ac:dyDescent="0.25">
      <c r="A101" t="s">
        <v>1243</v>
      </c>
      <c r="B101" t="s">
        <v>1242</v>
      </c>
      <c r="C101">
        <v>209</v>
      </c>
      <c r="D101" t="s">
        <v>302</v>
      </c>
      <c r="E101" t="s">
        <v>311</v>
      </c>
      <c r="F101" t="s">
        <v>314</v>
      </c>
      <c r="G101">
        <v>1919</v>
      </c>
      <c r="I101">
        <v>1956</v>
      </c>
      <c r="K101">
        <v>1400</v>
      </c>
      <c r="M101" s="6">
        <v>16.75</v>
      </c>
      <c r="N101" s="6">
        <v>28</v>
      </c>
      <c r="O101" s="6">
        <v>4</v>
      </c>
      <c r="P101" s="6">
        <v>180</v>
      </c>
      <c r="Q101" s="7">
        <f t="shared" ref="Q101:Q106" si="53">((($Y101/2)/60)*5280)/($R101*3.2*PI())</f>
        <v>125.05031242934635</v>
      </c>
      <c r="R101" s="6">
        <v>1.4</v>
      </c>
      <c r="S101" s="6">
        <f t="shared" ref="S101:S106" si="54">((($M101*$M101/4)*PI())*($N101/12)*$O101*$P101*$Q101)/(33000*1.1)</f>
        <v>1275.2840909090912</v>
      </c>
      <c r="T101">
        <v>74.8</v>
      </c>
      <c r="U101" s="9">
        <f>106.7-74.8</f>
        <v>31.900000000000006</v>
      </c>
      <c r="W101">
        <v>193</v>
      </c>
      <c r="X101" s="4">
        <f t="shared" ref="X101" si="55">IF(AND(T101&gt;0,W101&gt;0),(W101/((T101+U101)*10)),"")</f>
        <v>0.18088097469540768</v>
      </c>
      <c r="Y101">
        <v>40</v>
      </c>
      <c r="AB101">
        <v>13</v>
      </c>
      <c r="AE101" s="11">
        <v>0</v>
      </c>
      <c r="AF101" t="str">
        <f>CONCATENATE(VLOOKUP(AG101, 'Voxel Sizes'!$A$2:$B$18,2,FALSE),"x",INT(AC101*15), "x", INT(AD101*15))</f>
        <v>136x0x0</v>
      </c>
      <c r="AG101">
        <f t="shared" ref="AG101" si="56">ROUND(15*((AB101*10)/256),0)</f>
        <v>8</v>
      </c>
      <c r="AH101" t="s">
        <v>1261</v>
      </c>
      <c r="AI101" t="str">
        <f>CONCATENATE(VLOOKUP(AG101,Constants!$A$2:$C$16,IF(AH101&lt;&gt;"", 3, 2), FALSE),IF(AH101&lt;&gt;"",CONCATENATE(",",VLOOKUP(AH101,$B:$AI,34,FALSE)),""))</f>
        <v>2,4,2,2,1,2</v>
      </c>
      <c r="AO101">
        <v>1</v>
      </c>
      <c r="AQ101">
        <v>31</v>
      </c>
      <c r="AR101">
        <f t="shared" si="32"/>
        <v>33</v>
      </c>
      <c r="AT101">
        <v>4</v>
      </c>
      <c r="AU101">
        <f t="shared" si="33"/>
        <v>8</v>
      </c>
      <c r="AV101">
        <f t="shared" si="34"/>
        <v>7</v>
      </c>
      <c r="AW101">
        <f t="shared" si="35"/>
        <v>9.65</v>
      </c>
      <c r="AX101" s="4">
        <v>1</v>
      </c>
      <c r="AY101">
        <f t="shared" si="36"/>
        <v>0</v>
      </c>
      <c r="AZ101">
        <f>VLOOKUP($E101,Constants!$I:$K, 2, FALSE)</f>
        <v>1.1499999999999999</v>
      </c>
      <c r="BA101">
        <f>VLOOKUP($E101,Constants!$I:$K, 3, FALSE)*IF(AND(D101="multiple_unit",Y101&lt;110),0.75,1)</f>
        <v>1.7</v>
      </c>
      <c r="BB101">
        <f>INT(POWER(((Constants!$G$2+$AU101+$AV101+$AW101+$AY101)*$AX101)*$BA101, 1.05))+$AT101</f>
        <v>65</v>
      </c>
      <c r="BC101">
        <f>INT(POWER((((Constants!$G$1+$AU101+$AV101+$AW101+$AY101)*(1/$AX101))*$AZ101),IF($D101="wagon",1,1.2)))+$AS101</f>
        <v>97</v>
      </c>
      <c r="BD101" s="15">
        <f t="shared" ref="BD101" si="57">BB101*IF($D101="wagon",62.5,781.25)</f>
        <v>50781.25</v>
      </c>
      <c r="BE101" s="15">
        <f t="shared" ref="BE101" si="58">BC101*IF($D101="wagon",2.73,81.25)</f>
        <v>7881.25</v>
      </c>
      <c r="BN101">
        <v>3</v>
      </c>
      <c r="BR101" t="str">
        <f>VLOOKUP(G101,Eras!$A$2:$C$10, 2, TRUE)</f>
        <v>edw</v>
      </c>
      <c r="BS101" t="s">
        <v>369</v>
      </c>
      <c r="BT101" t="str">
        <f t="shared" ref="BT101" si="59">CONCATENATE(BR101,"_",BS101)</f>
        <v>edw_Freight</v>
      </c>
      <c r="BU101" t="str">
        <f t="shared" si="42"/>
        <v/>
      </c>
      <c r="BV101" t="str">
        <f t="shared" si="38"/>
        <v/>
      </c>
      <c r="BW101" t="s">
        <v>1254</v>
      </c>
      <c r="BX101" t="str">
        <f t="shared" si="51"/>
        <v/>
      </c>
      <c r="BY101" t="str">
        <f t="shared" ref="BY101" si="60">_xlfn.CONCAT(BU101,BV101,BX101,"{SILVER}", BW101)</f>
        <v>{SILVER}The "Lickey Banker" was a single 0-10-0 engine built to help add power and tractive effort to trains climbing the 1 in 37 Lickey Incline.</v>
      </c>
    </row>
    <row r="102" spans="1:77" x14ac:dyDescent="0.25">
      <c r="A102" t="s">
        <v>1250</v>
      </c>
      <c r="B102" t="s">
        <v>1251</v>
      </c>
      <c r="C102">
        <v>211</v>
      </c>
      <c r="D102" t="s">
        <v>302</v>
      </c>
      <c r="E102" t="s">
        <v>311</v>
      </c>
      <c r="F102" t="s">
        <v>314</v>
      </c>
      <c r="G102">
        <v>1920</v>
      </c>
      <c r="I102">
        <v>1960</v>
      </c>
      <c r="K102">
        <v>1250</v>
      </c>
      <c r="M102" s="6">
        <v>20</v>
      </c>
      <c r="N102" s="6">
        <v>28</v>
      </c>
      <c r="O102" s="6">
        <v>2</v>
      </c>
      <c r="P102" s="6">
        <v>180</v>
      </c>
      <c r="Q102" s="7">
        <f t="shared" si="53"/>
        <v>175.07043740108486</v>
      </c>
      <c r="R102" s="6">
        <v>1.5</v>
      </c>
      <c r="S102" s="6">
        <f t="shared" si="54"/>
        <v>1272.727272727273</v>
      </c>
      <c r="T102">
        <v>55.6</v>
      </c>
      <c r="U102" s="9">
        <v>32</v>
      </c>
      <c r="W102">
        <v>129</v>
      </c>
      <c r="X102" s="4">
        <f t="shared" ref="X102" si="61">IF(AND(T102&gt;0,W102&gt;0),(W102/((T102+U102)*10)),"")</f>
        <v>0.14726027397260275</v>
      </c>
      <c r="Y102">
        <v>60</v>
      </c>
      <c r="AA102">
        <v>16.61</v>
      </c>
      <c r="AB102">
        <v>10</v>
      </c>
      <c r="AE102" s="11">
        <v>0</v>
      </c>
      <c r="AF102" t="str">
        <f>CONCATENATE(VLOOKUP(AG102, 'Voxel Sizes'!$A$2:$B$18,2,FALSE),"x",INT(AC102*15), "x", INT(AD102*15))</f>
        <v>102x0x0</v>
      </c>
      <c r="AG102">
        <f t="shared" ref="AG102" si="62">ROUND(15*((AB102*10)/256),0)</f>
        <v>6</v>
      </c>
      <c r="AH102" t="s">
        <v>439</v>
      </c>
      <c r="AI102" t="str">
        <f>CONCATENATE(VLOOKUP(AG102,Constants!$A$2:$C$16,IF(AH102&lt;&gt;"", 3, 2), FALSE),IF(AH102&lt;&gt;"",CONCATENATE(",",VLOOKUP(AH102,$B:$AI,34,FALSE)),""))</f>
        <v>2,2,2,2,1,2</v>
      </c>
      <c r="AO102">
        <v>1</v>
      </c>
      <c r="AQ102">
        <v>30</v>
      </c>
      <c r="AR102">
        <f t="shared" si="32"/>
        <v>36</v>
      </c>
      <c r="AU102">
        <f t="shared" si="33"/>
        <v>12</v>
      </c>
      <c r="AV102">
        <f t="shared" si="34"/>
        <v>6.25</v>
      </c>
      <c r="AW102">
        <f t="shared" si="35"/>
        <v>6.45</v>
      </c>
      <c r="AX102" s="4">
        <v>1</v>
      </c>
      <c r="AY102">
        <f t="shared" si="36"/>
        <v>0</v>
      </c>
      <c r="AZ102">
        <f>VLOOKUP($E102,Constants!$I:$K, 2, FALSE)</f>
        <v>1.1499999999999999</v>
      </c>
      <c r="BA102">
        <f>VLOOKUP($E102,Constants!$I:$K, 3, FALSE)*IF(AND(D102="multiple_unit",Y102&lt;110),0.75,1)</f>
        <v>1.7</v>
      </c>
      <c r="BB102">
        <f>INT(POWER(((Constants!$G$2+$AU102+$AV102+$AW102+$AY102)*$AX102)*$BA102, 1.05))+$AT102</f>
        <v>61</v>
      </c>
      <c r="BC102">
        <f>INT(POWER((((Constants!$G$1+$AU102+$AV102+$AW102+$AY102)*(1/$AX102))*$AZ102),IF($D102="wagon",1,1.2)))+$AS102</f>
        <v>98</v>
      </c>
      <c r="BD102" s="15">
        <f t="shared" ref="BD102" si="63">BB102*IF($D102="wagon",62.5,781.25)</f>
        <v>47656.25</v>
      </c>
      <c r="BE102" s="15">
        <f t="shared" ref="BE102" si="64">BC102*IF($D102="wagon",2.73,81.25)</f>
        <v>7962.5</v>
      </c>
      <c r="BN102">
        <v>4</v>
      </c>
      <c r="BR102" t="str">
        <f>VLOOKUP(G102,Eras!$A$2:$C$10, 2, TRUE)</f>
        <v>edw</v>
      </c>
      <c r="BS102" t="s">
        <v>369</v>
      </c>
      <c r="BT102" t="str">
        <f t="shared" ref="BT102" si="65">CONCATENATE(BR102,"_",BS102)</f>
        <v>edw_Freight</v>
      </c>
      <c r="BU102" t="str">
        <f t="shared" si="42"/>
        <v/>
      </c>
      <c r="BV102" t="str">
        <f t="shared" si="38"/>
        <v/>
      </c>
      <c r="BW102" t="s">
        <v>1255</v>
      </c>
      <c r="BX102" t="str">
        <f t="shared" si="51"/>
        <v/>
      </c>
      <c r="BY102" t="str">
        <f t="shared" ref="BY102" si="66">_xlfn.CONCAT(BU102,BV102,BX102,"{SILVER}", BW102)</f>
        <v>{SILVER}The D81 (later LNER J20 Class) was the most powerful British 0-6-0 tender locomotive for over twenty years.</v>
      </c>
    </row>
    <row r="103" spans="1:77" x14ac:dyDescent="0.25">
      <c r="A103" t="s">
        <v>1244</v>
      </c>
      <c r="B103" t="s">
        <v>1246</v>
      </c>
      <c r="C103">
        <v>215</v>
      </c>
      <c r="D103" t="s">
        <v>302</v>
      </c>
      <c r="E103" t="s">
        <v>311</v>
      </c>
      <c r="F103" t="s">
        <v>314</v>
      </c>
      <c r="G103">
        <v>1921</v>
      </c>
      <c r="I103">
        <v>1962</v>
      </c>
      <c r="K103">
        <v>450</v>
      </c>
      <c r="M103" s="6">
        <v>15</v>
      </c>
      <c r="N103" s="6">
        <v>22</v>
      </c>
      <c r="O103" s="6">
        <v>2</v>
      </c>
      <c r="P103" s="6">
        <v>160</v>
      </c>
      <c r="Q103" s="7">
        <f t="shared" si="53"/>
        <v>159.15494309189532</v>
      </c>
      <c r="R103" s="6">
        <v>1.1000000000000001</v>
      </c>
      <c r="S103" s="6">
        <f t="shared" si="54"/>
        <v>454.54545454545445</v>
      </c>
      <c r="T103">
        <v>33.299999999999997</v>
      </c>
      <c r="W103">
        <v>65</v>
      </c>
      <c r="X103" s="4">
        <f t="shared" ref="X103:X104" si="67">IF(AND(T103&gt;0,W103&gt;0),(W103/((T103+U103)*10)),"")</f>
        <v>0.19519519519519518</v>
      </c>
      <c r="Y103">
        <v>40</v>
      </c>
      <c r="AB103">
        <v>8</v>
      </c>
      <c r="AE103" s="11">
        <v>0</v>
      </c>
      <c r="AF103" t="str">
        <f>CONCATENATE(VLOOKUP(AG103, 'Voxel Sizes'!$A$2:$B$18,2,FALSE),"x",INT(AC103*15), "x", INT(AD103*15))</f>
        <v>82x0x0</v>
      </c>
      <c r="AG103">
        <f t="shared" ref="AG103:AG104" si="68">ROUND(15*((AB103*10)/256),0)</f>
        <v>5</v>
      </c>
      <c r="AI103" t="str">
        <f>CONCATENATE(VLOOKUP(AG103,Constants!$A$2:$C$16,IF(AH103&lt;&gt;"", 3, 2), FALSE),IF(AH103&lt;&gt;"",CONCATENATE(",",VLOOKUP(AH103,$B:$AI,34,FALSE)),""))</f>
        <v>2,1,2</v>
      </c>
      <c r="AO103">
        <v>1</v>
      </c>
      <c r="AQ103">
        <v>33</v>
      </c>
      <c r="AR103">
        <f t="shared" si="32"/>
        <v>37</v>
      </c>
      <c r="AS103">
        <v>-15</v>
      </c>
      <c r="AT103">
        <v>-9</v>
      </c>
      <c r="AU103">
        <f t="shared" si="33"/>
        <v>8</v>
      </c>
      <c r="AV103">
        <f t="shared" si="34"/>
        <v>2.25</v>
      </c>
      <c r="AW103">
        <f t="shared" si="35"/>
        <v>3.25</v>
      </c>
      <c r="AX103" s="4">
        <v>1</v>
      </c>
      <c r="AY103">
        <f t="shared" si="36"/>
        <v>0</v>
      </c>
      <c r="AZ103">
        <f>VLOOKUP($E103,Constants!$I:$K, 2, FALSE)</f>
        <v>1.1499999999999999</v>
      </c>
      <c r="BA103">
        <f>VLOOKUP($E103,Constants!$I:$K, 3, FALSE)*IF(AND(D103="multiple_unit",Y103&lt;110),0.75,1)</f>
        <v>1.7</v>
      </c>
      <c r="BB103">
        <f>INT(POWER(((Constants!$G$2+$AU103+$AV103+$AW103+$AY103)*$AX103)*$BA103, 1.05))+$AT103</f>
        <v>28</v>
      </c>
      <c r="BC103">
        <f>INT(POWER((((Constants!$G$1+$AU103+$AV103+$AW103+$AY103)*(1/$AX103))*$AZ103),IF($D103="wagon",1,1.2)))+$AS103</f>
        <v>50</v>
      </c>
      <c r="BD103" s="15">
        <f t="shared" ref="BD103:BD104" si="69">BB103*IF($D103="wagon",62.5,781.25)</f>
        <v>21875</v>
      </c>
      <c r="BE103" s="15">
        <f t="shared" ref="BE103:BE104" si="70">BC103*IF($D103="wagon",2.73,81.25)</f>
        <v>4062.5</v>
      </c>
      <c r="BN103">
        <v>6</v>
      </c>
      <c r="BR103" t="str">
        <f>VLOOKUP(G103,Eras!$A$2:$C$10, 2, TRUE)</f>
        <v>edw</v>
      </c>
      <c r="BS103" t="s">
        <v>366</v>
      </c>
      <c r="BT103" t="str">
        <f t="shared" ref="BT103:BT104" si="71">CONCATENATE(BR103,"_",BS103)</f>
        <v>edw_Cheap</v>
      </c>
      <c r="BU103" t="str">
        <f t="shared" si="42"/>
        <v/>
      </c>
      <c r="BV103" t="str">
        <f t="shared" si="38"/>
        <v/>
      </c>
      <c r="BW103" t="s">
        <v>1263</v>
      </c>
      <c r="BX103" t="str">
        <f t="shared" si="51"/>
        <v/>
      </c>
      <c r="BY103" t="str">
        <f t="shared" ref="BY103:BY104" si="72">_xlfn.CONCAT(BU103,BV103,BX103,"{SILVER}", BW103)</f>
        <v>{SILVER}The 1528 class is a small 0-4-0 tank engine. Designed for shunting, it was built in two batches, the first in 1907 and the second (as here) with minor detail changes in 1921</v>
      </c>
    </row>
    <row r="104" spans="1:77" x14ac:dyDescent="0.25">
      <c r="A104" t="s">
        <v>1245</v>
      </c>
      <c r="B104" t="s">
        <v>1249</v>
      </c>
      <c r="C104">
        <v>217</v>
      </c>
      <c r="D104" t="s">
        <v>302</v>
      </c>
      <c r="E104" t="s">
        <v>311</v>
      </c>
      <c r="F104" t="s">
        <v>314</v>
      </c>
      <c r="G104">
        <v>1921</v>
      </c>
      <c r="H104">
        <v>1922</v>
      </c>
      <c r="I104">
        <v>1964</v>
      </c>
      <c r="K104">
        <v>1000</v>
      </c>
      <c r="M104" s="6">
        <v>20.5</v>
      </c>
      <c r="N104" s="6">
        <v>24</v>
      </c>
      <c r="O104" s="6">
        <v>2</v>
      </c>
      <c r="P104" s="6">
        <v>175</v>
      </c>
      <c r="Q104" s="7">
        <f t="shared" si="53"/>
        <v>157.43744370601161</v>
      </c>
      <c r="R104" s="6">
        <v>1.39</v>
      </c>
      <c r="S104" s="6">
        <f t="shared" si="54"/>
        <v>1002.0676640505778</v>
      </c>
      <c r="T104">
        <v>63</v>
      </c>
      <c r="U104" s="9">
        <f>104.4-63</f>
        <v>41.400000000000006</v>
      </c>
      <c r="W104">
        <v>125</v>
      </c>
      <c r="X104" s="4">
        <f t="shared" si="67"/>
        <v>0.11973180076628352</v>
      </c>
      <c r="Y104">
        <v>50</v>
      </c>
      <c r="AB104">
        <v>10</v>
      </c>
      <c r="AE104" s="11">
        <v>0</v>
      </c>
      <c r="AF104" t="str">
        <f>CONCATENATE(VLOOKUP(AG104, 'Voxel Sizes'!$A$2:$B$18,2,FALSE),"x",INT(AC104*15), "x", INT(AD104*15))</f>
        <v>102x0x0</v>
      </c>
      <c r="AG104">
        <f t="shared" si="68"/>
        <v>6</v>
      </c>
      <c r="AH104" t="s">
        <v>1256</v>
      </c>
      <c r="AI104" t="str">
        <f>CONCATENATE(VLOOKUP(AG104,Constants!$A$2:$C$16,IF(AH104&lt;&gt;"", 3, 2), FALSE),IF(AH104&lt;&gt;"",CONCATENATE(",",VLOOKUP(AH104,$B:$AI,34,FALSE)),""))</f>
        <v>2,2,2,2,1,2</v>
      </c>
      <c r="AO104">
        <v>1</v>
      </c>
      <c r="AQ104">
        <v>30</v>
      </c>
      <c r="AR104">
        <f t="shared" si="32"/>
        <v>39</v>
      </c>
      <c r="AU104">
        <f t="shared" si="33"/>
        <v>10</v>
      </c>
      <c r="AV104">
        <f t="shared" si="34"/>
        <v>5</v>
      </c>
      <c r="AW104">
        <f t="shared" si="35"/>
        <v>6.25</v>
      </c>
      <c r="AX104" s="4">
        <v>1</v>
      </c>
      <c r="AY104">
        <f t="shared" si="36"/>
        <v>0</v>
      </c>
      <c r="AZ104">
        <f>VLOOKUP($E104,Constants!$I:$K, 2, FALSE)</f>
        <v>1.1499999999999999</v>
      </c>
      <c r="BA104">
        <f>VLOOKUP($E104,Constants!$I:$K, 3, FALSE)*IF(AND(D104="multiple_unit",Y104&lt;110),0.75,1)</f>
        <v>1.7</v>
      </c>
      <c r="BB104">
        <f>INT(POWER(((Constants!$G$2+$AU104+$AV104+$AW104+$AY104)*$AX104)*$BA104, 1.05))+$AT104</f>
        <v>53</v>
      </c>
      <c r="BC104">
        <f>INT(POWER((((Constants!$G$1+$AU104+$AV104+$AW104+$AY104)*(1/$AX104))*$AZ104),IF($D104="wagon",1,1.2)))+$AS104</f>
        <v>87</v>
      </c>
      <c r="BD104" s="15">
        <f t="shared" si="69"/>
        <v>41406.25</v>
      </c>
      <c r="BE104" s="15">
        <f t="shared" si="70"/>
        <v>7068.75</v>
      </c>
      <c r="BN104">
        <v>7</v>
      </c>
      <c r="BR104" t="str">
        <f>VLOOKUP(G104,Eras!$A$2:$C$10, 2, TRUE)</f>
        <v>edw</v>
      </c>
      <c r="BS104" t="s">
        <v>369</v>
      </c>
      <c r="BT104" t="str">
        <f t="shared" si="71"/>
        <v>edw_Freight</v>
      </c>
      <c r="BU104" t="str">
        <f t="shared" si="42"/>
        <v/>
      </c>
      <c r="BV104" t="str">
        <f t="shared" si="38"/>
        <v/>
      </c>
      <c r="BW104" t="s">
        <v>1258</v>
      </c>
      <c r="BX104" t="str">
        <f t="shared" si="51"/>
        <v/>
      </c>
      <c r="BY104" t="str">
        <f t="shared" si="72"/>
        <v>{SILVER}The LNWR G2 is an 0-8-0 freight locomotive, built from scratch as a new class and never rebuilt instead of the usual LNWR practice of rebuilding existing 8-coupled locomotives.</v>
      </c>
    </row>
    <row r="105" spans="1:77" x14ac:dyDescent="0.25">
      <c r="A105" t="s">
        <v>1252</v>
      </c>
      <c r="B105" t="s">
        <v>1253</v>
      </c>
      <c r="C105">
        <v>219</v>
      </c>
      <c r="D105" t="s">
        <v>302</v>
      </c>
      <c r="E105" t="s">
        <v>311</v>
      </c>
      <c r="F105" t="s">
        <v>314</v>
      </c>
      <c r="G105">
        <v>1921</v>
      </c>
      <c r="H105">
        <v>1922</v>
      </c>
      <c r="I105">
        <v>1959</v>
      </c>
      <c r="K105">
        <v>1350</v>
      </c>
      <c r="M105" s="6">
        <v>20.5</v>
      </c>
      <c r="N105" s="6">
        <v>26</v>
      </c>
      <c r="O105" s="6">
        <v>2</v>
      </c>
      <c r="P105" s="6">
        <v>180</v>
      </c>
      <c r="Q105" s="7">
        <f t="shared" si="53"/>
        <v>195.8024628827923</v>
      </c>
      <c r="R105" s="6">
        <v>1.9</v>
      </c>
      <c r="S105" s="6">
        <f t="shared" si="54"/>
        <v>1388.6849581339709</v>
      </c>
      <c r="T105">
        <v>62.2</v>
      </c>
      <c r="U105" s="9">
        <v>40</v>
      </c>
      <c r="W105">
        <v>95</v>
      </c>
      <c r="X105" s="4">
        <f t="shared" si="52"/>
        <v>9.2954990215264183E-2</v>
      </c>
      <c r="Y105">
        <v>85</v>
      </c>
      <c r="AB105">
        <v>10</v>
      </c>
      <c r="AE105" s="11">
        <v>0</v>
      </c>
      <c r="AF105" t="str">
        <f>CONCATENATE(VLOOKUP(AG105, 'Voxel Sizes'!$A$2:$B$18,2,FALSE),"x",INT(AC105*15), "x", INT(AD105*15))</f>
        <v>102x0x0</v>
      </c>
      <c r="AG105">
        <f t="shared" si="46"/>
        <v>6</v>
      </c>
      <c r="AH105" t="s">
        <v>1256</v>
      </c>
      <c r="AI105" t="str">
        <f>CONCATENATE(VLOOKUP(AG105,Constants!$A$2:$C$16,IF(AH105&lt;&gt;"", 3, 2), FALSE),IF(AH105&lt;&gt;"",CONCATENATE(",",VLOOKUP(AH105,$B:$AI,34,FALSE)),""))</f>
        <v>2,2,2,2,1,2</v>
      </c>
      <c r="AQ105">
        <v>31</v>
      </c>
      <c r="AR105">
        <f t="shared" si="32"/>
        <v>34</v>
      </c>
      <c r="AU105">
        <f t="shared" si="33"/>
        <v>17</v>
      </c>
      <c r="AV105">
        <f t="shared" si="34"/>
        <v>6.75</v>
      </c>
      <c r="AW105">
        <f t="shared" si="35"/>
        <v>4.75</v>
      </c>
      <c r="AX105" s="4">
        <v>1</v>
      </c>
      <c r="AY105">
        <f t="shared" si="36"/>
        <v>0</v>
      </c>
      <c r="AZ105">
        <f>VLOOKUP($E105,Constants!$I:$K, 2, FALSE)</f>
        <v>1.1499999999999999</v>
      </c>
      <c r="BA105">
        <f>VLOOKUP($E105,Constants!$I:$K, 3, FALSE)*IF(AND(D105="multiple_unit",Y105&lt;110),0.75,1)</f>
        <v>1.7</v>
      </c>
      <c r="BB105">
        <f>INT(POWER(((Constants!$G$2+$AU105+$AV105+$AW105+$AY105)*$AX105)*$BA105, 1.05))+$AT105</f>
        <v>69</v>
      </c>
      <c r="BC105">
        <f>INT(POWER((((Constants!$G$1+$AU105+$AV105+$AW105+$AY105)*(1/$AX105))*$AZ105),IF($D105="wagon",1,1.2)))+$AS105</f>
        <v>109</v>
      </c>
      <c r="BD105" s="15">
        <f t="shared" si="47"/>
        <v>53906.25</v>
      </c>
      <c r="BE105" s="15">
        <f t="shared" si="48"/>
        <v>8856.25</v>
      </c>
      <c r="BN105">
        <v>8</v>
      </c>
      <c r="BR105" t="str">
        <f>VLOOKUP(G105,Eras!$A$2:$C$10, 2, TRUE)</f>
        <v>edw</v>
      </c>
      <c r="BS105" t="s">
        <v>368</v>
      </c>
      <c r="BT105" t="str">
        <f t="shared" si="49"/>
        <v>edw_Express</v>
      </c>
      <c r="BU105" t="str">
        <f t="shared" si="42"/>
        <v/>
      </c>
      <c r="BV105" t="str">
        <f t="shared" si="38"/>
        <v/>
      </c>
      <c r="BW105" t="s">
        <v>1259</v>
      </c>
      <c r="BX105" t="str">
        <f t="shared" si="51"/>
        <v/>
      </c>
      <c r="BY105" t="str">
        <f t="shared" si="50"/>
        <v>{SILVER}The Caledonian 72 class was a 4-4-0 express locomotive, later inherited by the LMS after grouping.</v>
      </c>
    </row>
    <row r="106" spans="1:77" x14ac:dyDescent="0.25">
      <c r="A106" t="s">
        <v>1247</v>
      </c>
      <c r="B106" t="s">
        <v>1248</v>
      </c>
      <c r="C106">
        <v>221</v>
      </c>
      <c r="D106" t="s">
        <v>302</v>
      </c>
      <c r="E106" t="s">
        <v>311</v>
      </c>
      <c r="F106" t="s">
        <v>314</v>
      </c>
      <c r="G106">
        <v>1923</v>
      </c>
      <c r="I106">
        <v>1951</v>
      </c>
      <c r="K106">
        <v>1000</v>
      </c>
      <c r="M106" s="6">
        <v>20</v>
      </c>
      <c r="N106" s="6">
        <v>26</v>
      </c>
      <c r="O106" s="6">
        <v>2</v>
      </c>
      <c r="P106" s="6">
        <v>185</v>
      </c>
      <c r="Q106" s="7">
        <f t="shared" si="53"/>
        <v>144.81929564427978</v>
      </c>
      <c r="R106" s="6">
        <v>1.36</v>
      </c>
      <c r="S106" s="6">
        <f t="shared" si="54"/>
        <v>1004.7627005347595</v>
      </c>
      <c r="T106">
        <v>61</v>
      </c>
      <c r="W106">
        <v>133</v>
      </c>
      <c r="X106" s="4">
        <f t="shared" si="52"/>
        <v>0.21803278688524591</v>
      </c>
      <c r="Y106">
        <v>45</v>
      </c>
      <c r="AB106">
        <v>14</v>
      </c>
      <c r="AE106" s="11">
        <v>0</v>
      </c>
      <c r="AF106" t="str">
        <f>CONCATENATE(VLOOKUP(AG106, 'Voxel Sizes'!$A$2:$B$18,2,FALSE),"x",INT(AC106*15), "x", INT(AD106*15))</f>
        <v>136x0x0</v>
      </c>
      <c r="AG106">
        <f t="shared" si="46"/>
        <v>8</v>
      </c>
      <c r="AI106" t="str">
        <f>CONCATENATE(VLOOKUP(AG106,Constants!$A$2:$C$16,IF(AH106&lt;&gt;"", 3, 2), FALSE),IF(AH106&lt;&gt;"",CONCATENATE(",",VLOOKUP(AH106,$B:$AI,34,FALSE)),""))</f>
        <v>2,4,2</v>
      </c>
      <c r="AO106">
        <v>1</v>
      </c>
      <c r="AQ106">
        <v>30</v>
      </c>
      <c r="AR106">
        <f t="shared" si="32"/>
        <v>24</v>
      </c>
      <c r="AU106">
        <f t="shared" si="33"/>
        <v>9</v>
      </c>
      <c r="AV106">
        <f t="shared" si="34"/>
        <v>5</v>
      </c>
      <c r="AW106">
        <f t="shared" si="35"/>
        <v>6.65</v>
      </c>
      <c r="AX106" s="4">
        <v>1</v>
      </c>
      <c r="AY106">
        <f t="shared" si="36"/>
        <v>0</v>
      </c>
      <c r="AZ106">
        <f>VLOOKUP($E106,Constants!$I:$K, 2, FALSE)</f>
        <v>1.1499999999999999</v>
      </c>
      <c r="BA106">
        <f>VLOOKUP($E106,Constants!$I:$K, 3, FALSE)*IF(AND(D106="multiple_unit",Y106&lt;110),0.75,1)</f>
        <v>1.7</v>
      </c>
      <c r="BB106">
        <f>INT(POWER(((Constants!$G$2+$AU106+$AV106+$AW106+$AY106)*$AX106)*$BA106, 1.05))+$AT106</f>
        <v>52</v>
      </c>
      <c r="BC106">
        <f>INT(POWER((((Constants!$G$1+$AU106+$AV106+$AW106+$AY106)*(1/$AX106))*$AZ106),IF($D106="wagon",1,1.2)))+$AS106</f>
        <v>86</v>
      </c>
      <c r="BD106" s="15">
        <f t="shared" si="47"/>
        <v>40625</v>
      </c>
      <c r="BE106" s="15">
        <f t="shared" si="48"/>
        <v>6987.5</v>
      </c>
      <c r="BN106">
        <v>5</v>
      </c>
      <c r="BR106" t="str">
        <f>VLOOKUP(G106,Eras!$A$2:$C$10, 2, TRUE)</f>
        <v>big4</v>
      </c>
      <c r="BS106" t="s">
        <v>369</v>
      </c>
      <c r="BT106" t="str">
        <f t="shared" si="49"/>
        <v>big4_Freight</v>
      </c>
      <c r="BU106" t="str">
        <f t="shared" si="42"/>
        <v/>
      </c>
      <c r="BV106" t="str">
        <f t="shared" si="38"/>
        <v/>
      </c>
      <c r="BW106" t="s">
        <v>1260</v>
      </c>
      <c r="BX106" t="str">
        <f t="shared" si="51"/>
        <v/>
      </c>
      <c r="BY106" t="str">
        <f t="shared" si="50"/>
        <v>{SILVER}The LNWR 380 class is a large tank locomotive with an 0-8-4T chassis. It was derived from the LNWR's 0-8-0 tender engines and similar 0-8-2T tanks.</v>
      </c>
    </row>
    <row r="107" spans="1:77" x14ac:dyDescent="0.25">
      <c r="A107" t="s">
        <v>24</v>
      </c>
      <c r="B107" t="s">
        <v>186</v>
      </c>
      <c r="C107">
        <v>223</v>
      </c>
      <c r="D107" t="s">
        <v>168</v>
      </c>
      <c r="E107" t="s">
        <v>311</v>
      </c>
      <c r="F107" t="s">
        <v>314</v>
      </c>
      <c r="G107">
        <v>1922</v>
      </c>
      <c r="H107">
        <v>1924</v>
      </c>
      <c r="W107">
        <v>119</v>
      </c>
      <c r="X107" s="4" t="str">
        <f t="shared" si="52"/>
        <v/>
      </c>
      <c r="AE107" s="11">
        <v>0</v>
      </c>
      <c r="AF107" t="str">
        <f>CONCATENATE(VLOOKUP(AG107, 'Voxel Sizes'!$A$2:$B$18,2,FALSE),"x",INT(AC107*15), "x", INT(AD107*15))</f>
        <v>0x0x0</v>
      </c>
      <c r="AG107">
        <f t="shared" si="46"/>
        <v>0</v>
      </c>
      <c r="AI107" t="str">
        <f>CONCATENATE(VLOOKUP(AG107,Constants!$A$2:$C$16,IF(AH107&lt;&gt;"", 3, 2), FALSE),IF(AH107&lt;&gt;"",CONCATENATE(",",VLOOKUP(AH107,$B:$AI,34,FALSE)),""))</f>
        <v>na</v>
      </c>
      <c r="AO107">
        <v>1</v>
      </c>
      <c r="AQ107">
        <v>30</v>
      </c>
      <c r="AR107" t="str">
        <f t="shared" si="32"/>
        <v/>
      </c>
      <c r="AU107">
        <f t="shared" si="33"/>
        <v>0</v>
      </c>
      <c r="AV107">
        <f t="shared" si="34"/>
        <v>0</v>
      </c>
      <c r="AW107">
        <f t="shared" si="35"/>
        <v>5.9499999999999993</v>
      </c>
      <c r="AX107" s="4">
        <v>1</v>
      </c>
      <c r="AY107">
        <f t="shared" si="36"/>
        <v>0</v>
      </c>
      <c r="AZ107">
        <f>VLOOKUP($E107,Constants!$I:$K, 2, FALSE)</f>
        <v>1.1499999999999999</v>
      </c>
      <c r="BA107">
        <f>VLOOKUP($E107,Constants!$I:$K, 3, FALSE)*IF(AND(D107="multiple_unit",Y107&lt;110),0.75,1)</f>
        <v>1.7</v>
      </c>
      <c r="BB107">
        <f>INT(POWER(((Constants!$G$2+$AU107+$AV107+$AW107+$AY107)*$AX107)*$BA107, 1.05))+$AT107</f>
        <v>21</v>
      </c>
      <c r="BC107">
        <f>INT(POWER((((Constants!$G$1+$AU107+$AV107+$AW107+$AY107)*(1/$AX107))*$AZ107),IF($D107="wagon",1,1.2)))+$AS107</f>
        <v>45</v>
      </c>
      <c r="BD107" s="15">
        <f t="shared" si="47"/>
        <v>16406.25</v>
      </c>
      <c r="BE107" s="15">
        <f t="shared" si="48"/>
        <v>3656.25</v>
      </c>
      <c r="BN107">
        <v>8</v>
      </c>
      <c r="BR107" t="str">
        <f>VLOOKUP(G107,Eras!$A$2:$C$10, 2, TRUE)</f>
        <v>edw</v>
      </c>
      <c r="BT107" t="str">
        <f t="shared" si="49"/>
        <v>edw_</v>
      </c>
      <c r="BU107" t="str">
        <f t="shared" si="42"/>
        <v/>
      </c>
      <c r="BV107" t="str">
        <f t="shared" si="38"/>
        <v/>
      </c>
      <c r="BX107" t="str">
        <f t="shared" si="51"/>
        <v/>
      </c>
      <c r="BY107" t="str">
        <f t="shared" si="50"/>
        <v>{SILVER}</v>
      </c>
    </row>
    <row r="108" spans="1:77" x14ac:dyDescent="0.25">
      <c r="A108" t="s">
        <v>11</v>
      </c>
      <c r="B108" t="s">
        <v>187</v>
      </c>
      <c r="C108">
        <v>214</v>
      </c>
      <c r="D108" t="s">
        <v>302</v>
      </c>
      <c r="E108" t="s">
        <v>311</v>
      </c>
      <c r="F108" t="s">
        <v>314</v>
      </c>
      <c r="G108">
        <v>1923</v>
      </c>
      <c r="I108">
        <v>1966</v>
      </c>
      <c r="K108">
        <v>950</v>
      </c>
      <c r="M108" s="6">
        <v>20</v>
      </c>
      <c r="N108" s="6">
        <v>26</v>
      </c>
      <c r="O108" s="6">
        <v>2</v>
      </c>
      <c r="P108" s="6">
        <v>175</v>
      </c>
      <c r="Q108" s="7">
        <f>((($Y108/2)/60)*5280)/($R108*3.2*PI())</f>
        <v>150.4511571415573</v>
      </c>
      <c r="R108" s="6">
        <v>1.6</v>
      </c>
      <c r="S108" s="6">
        <f>((($M108*$M108/4)*PI())*($N108/12)*$O108*$P108*$Q108)/(33000*1.1)</f>
        <v>987.41319444444446</v>
      </c>
      <c r="T108">
        <f>49.5+41.8</f>
        <v>91.3</v>
      </c>
      <c r="W108">
        <v>109</v>
      </c>
      <c r="X108" s="4">
        <f t="shared" si="52"/>
        <v>0.11938663745892661</v>
      </c>
      <c r="Y108">
        <v>55</v>
      </c>
      <c r="AA108">
        <v>15.8</v>
      </c>
      <c r="AB108">
        <v>10</v>
      </c>
      <c r="AE108" s="11">
        <v>0</v>
      </c>
      <c r="AF108" t="str">
        <f>CONCATENATE(VLOOKUP(AG108, 'Voxel Sizes'!$A$2:$B$18,2,FALSE),"x",INT(AC108*15), "x", INT(AD108*15))</f>
        <v>102x0x0</v>
      </c>
      <c r="AG108">
        <f t="shared" si="46"/>
        <v>6</v>
      </c>
      <c r="AH108" t="s">
        <v>349</v>
      </c>
      <c r="AI108" t="str">
        <f>CONCATENATE(VLOOKUP(AG108,Constants!$A$2:$C$16,IF(AH108&lt;&gt;"", 3, 2), FALSE),IF(AH108&lt;&gt;"",CONCATENATE(",",VLOOKUP(AH108,$B:$AI,34,FALSE)),""))</f>
        <v>2,2,2,2,1,2</v>
      </c>
      <c r="AO108">
        <v>1</v>
      </c>
      <c r="AQ108">
        <v>36</v>
      </c>
      <c r="AR108">
        <f t="shared" si="32"/>
        <v>39</v>
      </c>
      <c r="AU108">
        <f t="shared" si="33"/>
        <v>11</v>
      </c>
      <c r="AV108">
        <f t="shared" si="34"/>
        <v>4.75</v>
      </c>
      <c r="AW108">
        <f t="shared" si="35"/>
        <v>5.45</v>
      </c>
      <c r="AX108" s="4">
        <v>1</v>
      </c>
      <c r="AY108">
        <f t="shared" si="36"/>
        <v>0</v>
      </c>
      <c r="AZ108">
        <f>VLOOKUP($E108,Constants!$I:$K, 2, FALSE)</f>
        <v>1.1499999999999999</v>
      </c>
      <c r="BA108">
        <f>VLOOKUP($E108,Constants!$I:$K, 3, FALSE)*IF(AND(D108="multiple_unit",Y108&lt;110),0.75,1)</f>
        <v>1.7</v>
      </c>
      <c r="BB108">
        <f>INT(POWER(((Constants!$G$2+$AU108+$AV108+$AW108+$AY108)*$AX108)*$BA108, 1.05))+$AT108</f>
        <v>53</v>
      </c>
      <c r="BC108">
        <f>INT(POWER((((Constants!$G$1+$AU108+$AV108+$AW108+$AY108)*(1/$AX108))*$AZ108),IF($D108="wagon",1,1.2)))+$AS108</f>
        <v>87</v>
      </c>
      <c r="BD108" s="15">
        <f t="shared" si="47"/>
        <v>41406.25</v>
      </c>
      <c r="BE108" s="15">
        <f t="shared" si="48"/>
        <v>7068.75</v>
      </c>
      <c r="BN108">
        <v>9</v>
      </c>
      <c r="BR108" t="str">
        <f>VLOOKUP(G108,Eras!$A$2:$C$10, 2, TRUE)</f>
        <v>big4</v>
      </c>
      <c r="BS108" t="s">
        <v>367</v>
      </c>
      <c r="BT108" t="str">
        <f t="shared" si="49"/>
        <v>big4_Mixed Traffic</v>
      </c>
      <c r="BU108" t="str">
        <f t="shared" si="42"/>
        <v/>
      </c>
      <c r="BV108" t="str">
        <f t="shared" si="38"/>
        <v/>
      </c>
      <c r="BW108" t="s">
        <v>466</v>
      </c>
      <c r="BX108" t="str">
        <f t="shared" si="51"/>
        <v/>
      </c>
      <c r="BY108" t="str">
        <f t="shared" si="50"/>
        <v>{SILVER}The Fowler 4F is a development of the earlier Midland 3835 class.</v>
      </c>
    </row>
    <row r="109" spans="1:77" x14ac:dyDescent="0.25">
      <c r="A109" t="s">
        <v>467</v>
      </c>
      <c r="B109" t="s">
        <v>468</v>
      </c>
      <c r="C109">
        <v>216</v>
      </c>
      <c r="D109" t="s">
        <v>302</v>
      </c>
      <c r="E109" t="s">
        <v>311</v>
      </c>
      <c r="F109" t="s">
        <v>314</v>
      </c>
      <c r="G109">
        <v>1923</v>
      </c>
      <c r="H109">
        <v>1950</v>
      </c>
      <c r="I109">
        <v>1950</v>
      </c>
      <c r="K109">
        <v>1900</v>
      </c>
      <c r="M109" s="6">
        <v>16</v>
      </c>
      <c r="N109" s="6">
        <v>26</v>
      </c>
      <c r="O109" s="6">
        <v>4</v>
      </c>
      <c r="P109" s="6">
        <v>225</v>
      </c>
      <c r="Q109" s="7">
        <f>((($Y109/2)/60)*5280)/($R109*3.2*PI())</f>
        <v>223.21480768638321</v>
      </c>
      <c r="R109" s="6">
        <v>2</v>
      </c>
      <c r="S109" s="6">
        <f>((($M109*$M109/4)*PI())*($N109/12)*$O109*$P109*$Q109)/(33000*1.1)</f>
        <v>2410.9090909090905</v>
      </c>
      <c r="T109">
        <v>81.099999999999994</v>
      </c>
      <c r="U109" s="9">
        <v>48</v>
      </c>
      <c r="W109">
        <v>141</v>
      </c>
      <c r="X109" s="4">
        <f t="shared" si="52"/>
        <v>0.10921766072811774</v>
      </c>
      <c r="Y109">
        <v>102</v>
      </c>
      <c r="Z109">
        <v>1</v>
      </c>
      <c r="AA109">
        <v>19.86</v>
      </c>
      <c r="AB109">
        <f>AA109-7.64</f>
        <v>12.219999999999999</v>
      </c>
      <c r="AD109">
        <v>4.07</v>
      </c>
      <c r="AE109" s="11">
        <v>0</v>
      </c>
      <c r="AF109" t="str">
        <f>CONCATENATE(VLOOKUP(AG109, 'Voxel Sizes'!$A$2:$B$18,2,FALSE),"x",INT(AC109*15), "x", INT(AD109*15))</f>
        <v>120x0x61</v>
      </c>
      <c r="AG109">
        <f t="shared" si="46"/>
        <v>7</v>
      </c>
      <c r="AH109" t="s">
        <v>470</v>
      </c>
      <c r="AI109" t="str">
        <f>CONCATENATE(VLOOKUP(AG109,Constants!$A$2:$C$16,IF(AH109&lt;&gt;"", 3, 2), FALSE),IF(AH109&lt;&gt;"",CONCATENATE(",",VLOOKUP(AH109,$B:$AI,34,FALSE)),""))</f>
        <v>2,3,2,2,1,2</v>
      </c>
      <c r="AO109">
        <v>1</v>
      </c>
      <c r="AQ109">
        <v>30</v>
      </c>
      <c r="AR109">
        <f t="shared" si="32"/>
        <v>23</v>
      </c>
      <c r="AU109">
        <f t="shared" si="33"/>
        <v>20.400000000000002</v>
      </c>
      <c r="AV109">
        <f t="shared" si="34"/>
        <v>9.5</v>
      </c>
      <c r="AW109">
        <f t="shared" si="35"/>
        <v>7.05</v>
      </c>
      <c r="AX109" s="4">
        <v>1</v>
      </c>
      <c r="AY109">
        <f t="shared" si="36"/>
        <v>0</v>
      </c>
      <c r="AZ109">
        <f>VLOOKUP($E109,Constants!$I:$K, 2, FALSE)</f>
        <v>1.1499999999999999</v>
      </c>
      <c r="BA109">
        <f>VLOOKUP($E109,Constants!$I:$K, 3, FALSE)*IF(AND(D109="multiple_unit",Y109&lt;110),0.75,1)</f>
        <v>1.7</v>
      </c>
      <c r="BB109">
        <f>INT(POWER(((Constants!$G$2+$AU109+$AV109+$AW109+$AY109)*$AX109)*$BA109, 1.05))+$AT109</f>
        <v>88</v>
      </c>
      <c r="BC109">
        <f>INT(POWER((((Constants!$G$1+$AU109+$AV109+$AW109+$AY109)*(1/$AX109))*$AZ109),IF($D109="wagon",1,1.2)))+$AS109</f>
        <v>135</v>
      </c>
      <c r="BD109" s="15">
        <f t="shared" si="47"/>
        <v>68750</v>
      </c>
      <c r="BE109" s="15">
        <f t="shared" si="48"/>
        <v>10968.75</v>
      </c>
      <c r="BN109">
        <v>10</v>
      </c>
      <c r="BR109" t="str">
        <f>VLOOKUP(G109,Eras!$A$2:$C$10, 2, TRUE)</f>
        <v>big4</v>
      </c>
      <c r="BS109" t="s">
        <v>368</v>
      </c>
      <c r="BT109" t="str">
        <f t="shared" si="49"/>
        <v>big4_Express</v>
      </c>
      <c r="BU109" t="str">
        <f t="shared" si="42"/>
        <v/>
      </c>
      <c r="BV109" t="str">
        <f t="shared" si="38"/>
        <v/>
      </c>
      <c r="BW109" t="s">
        <v>471</v>
      </c>
      <c r="BX109" t="str">
        <f t="shared" si="51"/>
        <v/>
      </c>
      <c r="BY109" t="str">
        <f t="shared" si="50"/>
        <v>{SILVER}The Castle Class is a large, powerful express locomotive designed by GWR Chief Mechanical Engineer Charles Collett</v>
      </c>
    </row>
    <row r="110" spans="1:77" x14ac:dyDescent="0.25">
      <c r="A110" t="s">
        <v>10</v>
      </c>
      <c r="B110" t="s">
        <v>188</v>
      </c>
      <c r="C110">
        <v>218</v>
      </c>
      <c r="D110" t="s">
        <v>302</v>
      </c>
      <c r="E110" t="s">
        <v>311</v>
      </c>
      <c r="F110" t="s">
        <v>314</v>
      </c>
      <c r="G110">
        <v>1924</v>
      </c>
      <c r="I110">
        <v>1967</v>
      </c>
      <c r="K110">
        <v>650</v>
      </c>
      <c r="M110" s="6">
        <v>18</v>
      </c>
      <c r="N110" s="6">
        <v>26</v>
      </c>
      <c r="O110" s="6">
        <v>2</v>
      </c>
      <c r="P110" s="6">
        <v>160</v>
      </c>
      <c r="Q110" s="7">
        <f>((($Y110/2)/60)*5280)/($R110*3.2*PI())</f>
        <v>140.68160148301465</v>
      </c>
      <c r="R110" s="6">
        <v>1.4</v>
      </c>
      <c r="S110" s="6">
        <f>((($M110*$M110/4)*PI())*($N110/12)*$O110*$P110*$Q110)/(33000*1.1)</f>
        <v>683.76623376623365</v>
      </c>
      <c r="T110">
        <v>50.2</v>
      </c>
      <c r="W110">
        <v>93</v>
      </c>
      <c r="X110" s="4">
        <f t="shared" si="52"/>
        <v>0.1852589641434263</v>
      </c>
      <c r="Y110">
        <v>45</v>
      </c>
      <c r="AA110">
        <v>9.57</v>
      </c>
      <c r="AB110">
        <v>9.57</v>
      </c>
      <c r="AE110" s="11">
        <v>0</v>
      </c>
      <c r="AF110" t="str">
        <f>CONCATENATE(VLOOKUP(AG110, 'Voxel Sizes'!$A$2:$B$18,2,FALSE),"x",INT(AC110*15), "x", INT(AD110*15))</f>
        <v>102x0x0</v>
      </c>
      <c r="AG110">
        <f t="shared" si="46"/>
        <v>6</v>
      </c>
      <c r="AI110" t="str">
        <f>CONCATENATE(VLOOKUP(AG110,Constants!$A$2:$C$16,IF(AH110&lt;&gt;"", 3, 2), FALSE),IF(AH110&lt;&gt;"",CONCATENATE(",",VLOOKUP(AH110,$B:$AI,34,FALSE)),""))</f>
        <v>2,2,2</v>
      </c>
      <c r="AO110">
        <v>1</v>
      </c>
      <c r="AQ110">
        <v>48</v>
      </c>
      <c r="AR110">
        <f t="shared" si="32"/>
        <v>39</v>
      </c>
      <c r="AU110">
        <f t="shared" si="33"/>
        <v>9</v>
      </c>
      <c r="AV110">
        <f t="shared" si="34"/>
        <v>3.25</v>
      </c>
      <c r="AW110">
        <f t="shared" si="35"/>
        <v>4.6500000000000004</v>
      </c>
      <c r="AX110" s="4">
        <v>1</v>
      </c>
      <c r="AY110">
        <f t="shared" si="36"/>
        <v>0</v>
      </c>
      <c r="AZ110">
        <f>VLOOKUP($E110,Constants!$I:$K, 2, FALSE)</f>
        <v>1.1499999999999999</v>
      </c>
      <c r="BA110">
        <f>VLOOKUP($E110,Constants!$I:$K, 3, FALSE)*IF(AND(D110="multiple_unit",Y110&lt;110),0.75,1)</f>
        <v>1.7</v>
      </c>
      <c r="BB110">
        <f>INT(POWER(((Constants!$G$2+$AU110+$AV110+$AW110+$AY110)*$AX110)*$BA110, 1.05))+$AT110</f>
        <v>44</v>
      </c>
      <c r="BC110">
        <f>INT(POWER((((Constants!$G$1+$AU110+$AV110+$AW110+$AY110)*(1/$AX110))*$AZ110),IF($D110="wagon",1,1.2)))+$AS110</f>
        <v>75</v>
      </c>
      <c r="BD110" s="15">
        <f t="shared" si="47"/>
        <v>34375</v>
      </c>
      <c r="BE110" s="15">
        <f t="shared" si="48"/>
        <v>6093.75</v>
      </c>
      <c r="BN110">
        <v>11</v>
      </c>
      <c r="BR110" t="str">
        <f>VLOOKUP(G110,Eras!$A$2:$C$10, 2, TRUE)</f>
        <v>big4</v>
      </c>
      <c r="BS110" t="s">
        <v>366</v>
      </c>
      <c r="BT110" t="str">
        <f t="shared" si="49"/>
        <v>big4_Cheap</v>
      </c>
      <c r="BU110" t="str">
        <f t="shared" si="42"/>
        <v/>
      </c>
      <c r="BV110" t="str">
        <f t="shared" si="38"/>
        <v/>
      </c>
      <c r="BW110" t="s">
        <v>391</v>
      </c>
      <c r="BX110" t="str">
        <f t="shared" si="51"/>
        <v/>
      </c>
      <c r="BY110" t="str">
        <f t="shared" si="50"/>
        <v>{SILVER}The Jinty is a popular tank engine that was built in large quantities. Although small and low powered it is reliable and cheap to run. Jinties were sometimes run in pairs (or more) for working on steep inclines.</v>
      </c>
    </row>
    <row r="111" spans="1:77" x14ac:dyDescent="0.25">
      <c r="A111" t="s">
        <v>21</v>
      </c>
      <c r="B111" t="s">
        <v>189</v>
      </c>
      <c r="C111">
        <v>220</v>
      </c>
      <c r="D111" t="s">
        <v>302</v>
      </c>
      <c r="E111" t="s">
        <v>311</v>
      </c>
      <c r="F111" t="s">
        <v>314</v>
      </c>
      <c r="G111">
        <v>1924</v>
      </c>
      <c r="H111">
        <v>1928</v>
      </c>
      <c r="I111">
        <v>1965</v>
      </c>
      <c r="K111">
        <v>900</v>
      </c>
      <c r="T111">
        <v>62</v>
      </c>
      <c r="W111">
        <v>115</v>
      </c>
      <c r="X111" s="4">
        <f t="shared" si="52"/>
        <v>0.18548387096774194</v>
      </c>
      <c r="Y111">
        <v>50</v>
      </c>
      <c r="AA111">
        <v>11.43</v>
      </c>
      <c r="AB111">
        <v>11.43</v>
      </c>
      <c r="AE111" s="11">
        <v>0</v>
      </c>
      <c r="AF111" t="str">
        <f>CONCATENATE(VLOOKUP(AG111, 'Voxel Sizes'!$A$2:$B$18,2,FALSE),"x",INT(AC111*15), "x", INT(AD111*15))</f>
        <v>120x0x0</v>
      </c>
      <c r="AG111">
        <f t="shared" si="46"/>
        <v>7</v>
      </c>
      <c r="AI111" t="str">
        <f>CONCATENATE(VLOOKUP(AG111,Constants!$A$2:$C$16,IF(AH111&lt;&gt;"", 3, 2), FALSE),IF(AH111&lt;&gt;"",CONCATENATE(",",VLOOKUP(AH111,$B:$AI,34,FALSE)),""))</f>
        <v>2,3,2</v>
      </c>
      <c r="AO111">
        <v>1</v>
      </c>
      <c r="AQ111">
        <v>33</v>
      </c>
      <c r="AR111">
        <f t="shared" si="32"/>
        <v>37</v>
      </c>
      <c r="AU111">
        <f t="shared" si="33"/>
        <v>10</v>
      </c>
      <c r="AV111">
        <f t="shared" si="34"/>
        <v>4.5</v>
      </c>
      <c r="AW111">
        <f t="shared" si="35"/>
        <v>5.75</v>
      </c>
      <c r="AX111" s="4">
        <v>1</v>
      </c>
      <c r="AY111">
        <f t="shared" si="36"/>
        <v>0</v>
      </c>
      <c r="AZ111">
        <f>VLOOKUP($E111,Constants!$I:$K, 2, FALSE)</f>
        <v>1.1499999999999999</v>
      </c>
      <c r="BA111">
        <f>VLOOKUP($E111,Constants!$I:$K, 3, FALSE)*IF(AND(D111="multiple_unit",Y111&lt;110),0.75,1)</f>
        <v>1.7</v>
      </c>
      <c r="BB111">
        <f>INT(POWER(((Constants!$G$2+$AU111+$AV111+$AW111+$AY111)*$AX111)*$BA111, 1.05))+$AT111</f>
        <v>51</v>
      </c>
      <c r="BC111">
        <f>INT(POWER((((Constants!$G$1+$AU111+$AV111+$AW111+$AY111)*(1/$AX111))*$AZ111),IF($D111="wagon",1,1.2)))+$AS111</f>
        <v>85</v>
      </c>
      <c r="BD111" s="15">
        <f t="shared" si="47"/>
        <v>39843.75</v>
      </c>
      <c r="BE111" s="15">
        <f t="shared" si="48"/>
        <v>6906.25</v>
      </c>
      <c r="BN111">
        <v>12</v>
      </c>
      <c r="BR111" t="str">
        <f>VLOOKUP(G111,Eras!$A$2:$C$10, 2, TRUE)</f>
        <v>big4</v>
      </c>
      <c r="BS111" t="s">
        <v>367</v>
      </c>
      <c r="BT111" t="str">
        <f t="shared" si="49"/>
        <v>big4_Mixed Traffic</v>
      </c>
      <c r="BU111" t="str">
        <f t="shared" si="42"/>
        <v/>
      </c>
      <c r="BV111" t="str">
        <f t="shared" si="38"/>
        <v/>
      </c>
      <c r="BW111" t="s">
        <v>392</v>
      </c>
      <c r="BX111" t="str">
        <f t="shared" si="51"/>
        <v/>
      </c>
      <c r="BY111" t="str">
        <f t="shared" si="50"/>
        <v>{SILVER}The 5600 Class is a large tank engine that offers more power and tractive effort than smaller 0-6-0 tank engines, at the expense of greater weight and higher running costs.</v>
      </c>
    </row>
    <row r="112" spans="1:77" x14ac:dyDescent="0.25">
      <c r="A112" t="s">
        <v>31</v>
      </c>
      <c r="B112" t="s">
        <v>335</v>
      </c>
      <c r="C112">
        <v>222</v>
      </c>
      <c r="D112" t="s">
        <v>302</v>
      </c>
      <c r="E112" t="s">
        <v>311</v>
      </c>
      <c r="F112" t="s">
        <v>314</v>
      </c>
      <c r="G112">
        <v>1926</v>
      </c>
      <c r="H112">
        <v>1932</v>
      </c>
      <c r="I112">
        <v>1967</v>
      </c>
      <c r="K112">
        <v>1400</v>
      </c>
      <c r="M112" s="6">
        <v>21</v>
      </c>
      <c r="N112" s="6">
        <v>26</v>
      </c>
      <c r="O112" s="6">
        <v>2</v>
      </c>
      <c r="P112" s="6">
        <v>180</v>
      </c>
      <c r="Q112" s="7">
        <f t="shared" ref="Q112:Q119" si="73">((($Y112/2)/60)*5280)/($R112*3.2*PI())</f>
        <v>191.48329090743655</v>
      </c>
      <c r="R112" s="6">
        <v>1.6</v>
      </c>
      <c r="S112" s="6">
        <f t="shared" ref="S112:S119" si="74">((($M112*$M112/4)*PI())*($N112/12)*$O112*$P112*$Q112)/(33000*1.1)</f>
        <v>1425.1065340909088</v>
      </c>
      <c r="T112">
        <v>67</v>
      </c>
      <c r="U112" s="9">
        <v>46</v>
      </c>
      <c r="W112">
        <v>118</v>
      </c>
      <c r="X112" s="4">
        <f t="shared" si="52"/>
        <v>0.10442477876106195</v>
      </c>
      <c r="Y112">
        <v>70</v>
      </c>
      <c r="AA112">
        <v>10.44</v>
      </c>
      <c r="AB112">
        <v>10.44</v>
      </c>
      <c r="AE112" s="11">
        <v>0</v>
      </c>
      <c r="AF112" t="str">
        <f>CONCATENATE(VLOOKUP(AG112, 'Voxel Sizes'!$A$2:$B$18,2,FALSE),"x",INT(AC112*15), "x", INT(AD112*15))</f>
        <v>102x0x0</v>
      </c>
      <c r="AG112">
        <f t="shared" si="46"/>
        <v>6</v>
      </c>
      <c r="AH112" t="s">
        <v>329</v>
      </c>
      <c r="AI112" t="str">
        <f>CONCATENATE(VLOOKUP(AG112,Constants!$A$2:$C$16,IF(AH112&lt;&gt;"", 3, 2), FALSE),IF(AH112&lt;&gt;"",CONCATENATE(",",VLOOKUP(AH112,$B:$AI,34,FALSE)),""))</f>
        <v>2,2,2,2,1,2</v>
      </c>
      <c r="AO112">
        <v>1</v>
      </c>
      <c r="AQ112">
        <v>28</v>
      </c>
      <c r="AR112">
        <f t="shared" si="32"/>
        <v>37</v>
      </c>
      <c r="AU112">
        <f t="shared" si="33"/>
        <v>14</v>
      </c>
      <c r="AV112">
        <f t="shared" si="34"/>
        <v>7</v>
      </c>
      <c r="AW112">
        <f t="shared" si="35"/>
        <v>5.8999999999999995</v>
      </c>
      <c r="AX112" s="4">
        <v>1</v>
      </c>
      <c r="AY112">
        <f t="shared" si="36"/>
        <v>0</v>
      </c>
      <c r="AZ112">
        <f>VLOOKUP($E112,Constants!$I:$K, 2, FALSE)</f>
        <v>1.1499999999999999</v>
      </c>
      <c r="BA112">
        <f>VLOOKUP($E112,Constants!$I:$K, 3, FALSE)*IF(AND(D112="multiple_unit",Y112&lt;110),0.75,1)</f>
        <v>1.7</v>
      </c>
      <c r="BB112">
        <f>INT(POWER(((Constants!$G$2+$AU112+$AV112+$AW112+$AY112)*$AX112)*$BA112, 1.05))+$AT112</f>
        <v>66</v>
      </c>
      <c r="BC112">
        <f>INT(POWER((((Constants!$G$1+$AU112+$AV112+$AW112+$AY112)*(1/$AX112))*$AZ112),IF($D112="wagon",1,1.2)))+$AS112</f>
        <v>104</v>
      </c>
      <c r="BD112" s="15">
        <f t="shared" si="47"/>
        <v>51562.5</v>
      </c>
      <c r="BE112" s="15">
        <f t="shared" si="48"/>
        <v>8450</v>
      </c>
      <c r="BN112">
        <v>1</v>
      </c>
      <c r="BR112" t="str">
        <f>VLOOKUP(G112,Eras!$A$2:$C$10, 2, TRUE)</f>
        <v>big4</v>
      </c>
      <c r="BS112" t="s">
        <v>368</v>
      </c>
      <c r="BT112" t="str">
        <f t="shared" si="49"/>
        <v>big4_Express</v>
      </c>
      <c r="BU112" t="str">
        <f t="shared" si="42"/>
        <v/>
      </c>
      <c r="BV112" t="str">
        <f t="shared" si="38"/>
        <v/>
      </c>
      <c r="BW112" t="s">
        <v>393</v>
      </c>
      <c r="BX112" t="str">
        <f t="shared" si="51"/>
        <v/>
      </c>
      <c r="BY112" t="str">
        <f t="shared" si="50"/>
        <v>{SILVER}The Hughes Crab was named for its distinctive "scuttling" motion, caused by the inclined cylinders.</v>
      </c>
    </row>
    <row r="113" spans="1:77" x14ac:dyDescent="0.25">
      <c r="A113" t="s">
        <v>147</v>
      </c>
      <c r="B113" t="s">
        <v>473</v>
      </c>
      <c r="C113">
        <v>224</v>
      </c>
      <c r="D113" t="s">
        <v>302</v>
      </c>
      <c r="E113" t="s">
        <v>311</v>
      </c>
      <c r="F113" t="s">
        <v>314</v>
      </c>
      <c r="G113">
        <v>1927</v>
      </c>
      <c r="I113">
        <v>1961</v>
      </c>
      <c r="K113">
        <v>1200</v>
      </c>
      <c r="M113" s="6">
        <v>17</v>
      </c>
      <c r="N113" s="6">
        <v>26</v>
      </c>
      <c r="O113" s="6">
        <v>3</v>
      </c>
      <c r="P113" s="6">
        <v>180</v>
      </c>
      <c r="Q113" s="7">
        <f t="shared" si="73"/>
        <v>164.12853506351706</v>
      </c>
      <c r="R113" s="6">
        <v>2</v>
      </c>
      <c r="S113" s="6">
        <f t="shared" si="74"/>
        <v>1200.7457386363637</v>
      </c>
      <c r="T113">
        <v>66</v>
      </c>
      <c r="U113" s="9">
        <v>53</v>
      </c>
      <c r="W113">
        <v>96</v>
      </c>
      <c r="X113" s="4">
        <f t="shared" si="52"/>
        <v>8.067226890756303E-2</v>
      </c>
      <c r="Y113">
        <v>75</v>
      </c>
      <c r="AA113">
        <v>17.899999999999999</v>
      </c>
      <c r="AB113">
        <f>AA113-7.5</f>
        <v>10.399999999999999</v>
      </c>
      <c r="AE113" s="11">
        <v>0</v>
      </c>
      <c r="AF113" t="str">
        <f>CONCATENATE(VLOOKUP(AG113, 'Voxel Sizes'!$A$2:$B$18,2,FALSE),"x",INT(AC113*15), "x", INT(AD113*15))</f>
        <v>102x0x0</v>
      </c>
      <c r="AG113">
        <f t="shared" si="46"/>
        <v>6</v>
      </c>
      <c r="AH113" t="s">
        <v>439</v>
      </c>
      <c r="AI113" t="str">
        <f>CONCATENATE(VLOOKUP(AG113,Constants!$A$2:$C$16,IF(AH113&lt;&gt;"", 3, 2), FALSE),IF(AH113&lt;&gt;"",CONCATENATE(",",VLOOKUP(AH113,$B:$AI,34,FALSE)),""))</f>
        <v>2,2,2,2,1,2</v>
      </c>
      <c r="AO113">
        <v>1</v>
      </c>
      <c r="AQ113">
        <v>30</v>
      </c>
      <c r="AR113">
        <f t="shared" si="32"/>
        <v>30</v>
      </c>
      <c r="AU113">
        <f t="shared" si="33"/>
        <v>15</v>
      </c>
      <c r="AV113">
        <f t="shared" si="34"/>
        <v>6</v>
      </c>
      <c r="AW113">
        <f t="shared" si="35"/>
        <v>4.8</v>
      </c>
      <c r="AX113" s="4">
        <v>1</v>
      </c>
      <c r="AY113">
        <f t="shared" si="36"/>
        <v>0</v>
      </c>
      <c r="AZ113">
        <f>VLOOKUP($E113,Constants!$I:$K, 2, FALSE)</f>
        <v>1.1499999999999999</v>
      </c>
      <c r="BA113">
        <f>VLOOKUP($E113,Constants!$I:$K, 3, FALSE)*IF(AND(D113="multiple_unit",Y113&lt;110),0.75,1)</f>
        <v>1.7</v>
      </c>
      <c r="BB113">
        <f>INT(POWER(((Constants!$G$2+$AU113+$AV113+$AW113+$AY113)*$AX113)*$BA113, 1.05))+$AT113</f>
        <v>63</v>
      </c>
      <c r="BC113">
        <f>INT(POWER((((Constants!$G$1+$AU113+$AV113+$AW113+$AY113)*(1/$AX113))*$AZ113),IF($D113="wagon",1,1.2)))+$AS113</f>
        <v>101</v>
      </c>
      <c r="BD113" s="15">
        <f t="shared" si="47"/>
        <v>49218.75</v>
      </c>
      <c r="BE113" s="15">
        <f t="shared" si="48"/>
        <v>8206.25</v>
      </c>
      <c r="BN113">
        <v>2</v>
      </c>
      <c r="BR113" t="str">
        <f>VLOOKUP(G113,Eras!$A$2:$C$10, 2, TRUE)</f>
        <v>big4</v>
      </c>
      <c r="BS113" t="s">
        <v>417</v>
      </c>
      <c r="BT113" t="str">
        <f t="shared" si="49"/>
        <v>big4_Passenger</v>
      </c>
      <c r="BU113" t="str">
        <f t="shared" si="42"/>
        <v/>
      </c>
      <c r="BV113" t="str">
        <f t="shared" si="38"/>
        <v/>
      </c>
      <c r="BW113" t="s">
        <v>472</v>
      </c>
      <c r="BX113" t="str">
        <f t="shared" si="51"/>
        <v/>
      </c>
      <c r="BY113" t="str">
        <f t="shared" si="50"/>
        <v>{SILVER}The D49 is a Nigel Gresley designed 4-4-0 locomotive for passenger traffic.</v>
      </c>
    </row>
    <row r="114" spans="1:77" x14ac:dyDescent="0.25">
      <c r="A114" t="s">
        <v>475</v>
      </c>
      <c r="B114" t="s">
        <v>474</v>
      </c>
      <c r="C114">
        <v>226</v>
      </c>
      <c r="D114" t="s">
        <v>302</v>
      </c>
      <c r="E114" t="s">
        <v>311</v>
      </c>
      <c r="F114" t="s">
        <v>314</v>
      </c>
      <c r="G114">
        <v>1927</v>
      </c>
      <c r="H114">
        <v>1936</v>
      </c>
      <c r="I114">
        <v>1962</v>
      </c>
      <c r="K114">
        <v>2300</v>
      </c>
      <c r="M114" s="6">
        <v>16.25</v>
      </c>
      <c r="N114" s="6">
        <v>28</v>
      </c>
      <c r="O114" s="6">
        <v>4</v>
      </c>
      <c r="P114" s="6">
        <v>250</v>
      </c>
      <c r="Q114" s="7">
        <f t="shared" si="73"/>
        <v>232.10095867568069</v>
      </c>
      <c r="R114" s="6">
        <v>1.98</v>
      </c>
      <c r="S114" s="6">
        <f t="shared" si="74"/>
        <v>3094.166690580043</v>
      </c>
      <c r="T114">
        <v>90.4</v>
      </c>
      <c r="W114">
        <v>179</v>
      </c>
      <c r="X114" s="4">
        <f t="shared" si="52"/>
        <v>0.19800884955752213</v>
      </c>
      <c r="Y114">
        <v>105</v>
      </c>
      <c r="AA114">
        <v>20.78</v>
      </c>
      <c r="AB114">
        <f>AA114-7.5</f>
        <v>13.280000000000001</v>
      </c>
      <c r="AD114">
        <v>4.08</v>
      </c>
      <c r="AE114" s="11">
        <v>0</v>
      </c>
      <c r="AF114" t="str">
        <f>CONCATENATE(VLOOKUP(AG114, 'Voxel Sizes'!$A$2:$B$18,2,FALSE),"x",INT(AC114*15), "x", INT(AD114*15))</f>
        <v>136x0x61</v>
      </c>
      <c r="AG114">
        <f t="shared" si="46"/>
        <v>8</v>
      </c>
      <c r="AH114" t="s">
        <v>470</v>
      </c>
      <c r="AI114" t="str">
        <f>CONCATENATE(VLOOKUP(AG114,Constants!$A$2:$C$16,IF(AH114&lt;&gt;"", 3, 2), FALSE),IF(AH114&lt;&gt;"",CONCATENATE(",",VLOOKUP(AH114,$B:$AI,34,FALSE)),""))</f>
        <v>2,4,2,2,1,2</v>
      </c>
      <c r="AO114">
        <v>1</v>
      </c>
      <c r="AQ114">
        <v>30</v>
      </c>
      <c r="AR114">
        <f t="shared" si="32"/>
        <v>31</v>
      </c>
      <c r="AU114">
        <f t="shared" si="33"/>
        <v>21</v>
      </c>
      <c r="AV114">
        <f t="shared" si="34"/>
        <v>11.5</v>
      </c>
      <c r="AW114">
        <f t="shared" si="35"/>
        <v>8.9499999999999993</v>
      </c>
      <c r="AX114" s="4">
        <v>1</v>
      </c>
      <c r="AY114">
        <f t="shared" si="36"/>
        <v>0</v>
      </c>
      <c r="AZ114">
        <f>VLOOKUP($E114,Constants!$I:$K, 2, FALSE)</f>
        <v>1.1499999999999999</v>
      </c>
      <c r="BA114">
        <f>VLOOKUP($E114,Constants!$I:$K, 3, FALSE)*IF(AND(D114="multiple_unit",Y114&lt;110),0.75,1)</f>
        <v>1.7</v>
      </c>
      <c r="BB114">
        <f>INT(POWER(((Constants!$G$2+$AU114+$AV114+$AW114+$AY114)*$AX114)*$BA114, 1.05))+$AT114</f>
        <v>98</v>
      </c>
      <c r="BC114">
        <f>INT(POWER((((Constants!$G$1+$AU114+$AV114+$AW114+$AY114)*(1/$AX114))*$AZ114),IF($D114="wagon",1,1.2)))+$AS114</f>
        <v>149</v>
      </c>
      <c r="BD114" s="15">
        <f t="shared" si="47"/>
        <v>76562.5</v>
      </c>
      <c r="BE114" s="15">
        <f t="shared" si="48"/>
        <v>12106.25</v>
      </c>
      <c r="BN114">
        <v>3</v>
      </c>
      <c r="BR114" t="str">
        <f>VLOOKUP(G114,Eras!$A$2:$C$10, 2, TRUE)</f>
        <v>big4</v>
      </c>
      <c r="BS114" t="s">
        <v>368</v>
      </c>
      <c r="BT114" t="str">
        <f t="shared" si="49"/>
        <v>big4_Express</v>
      </c>
      <c r="BU114" t="str">
        <f t="shared" si="42"/>
        <v/>
      </c>
      <c r="BV114" t="str">
        <f t="shared" si="38"/>
        <v/>
      </c>
      <c r="BW114" t="s">
        <v>476</v>
      </c>
      <c r="BX114" t="str">
        <f t="shared" si="51"/>
        <v/>
      </c>
      <c r="BY114" t="str">
        <f t="shared" si="50"/>
        <v>{SILVER}The King Class is a larger and more powerful development of the Castle Class, designed for even higher sustained speeds.</v>
      </c>
    </row>
    <row r="115" spans="1:77" x14ac:dyDescent="0.25">
      <c r="A115" t="s">
        <v>34</v>
      </c>
      <c r="B115" t="s">
        <v>478</v>
      </c>
      <c r="C115">
        <v>228</v>
      </c>
      <c r="D115" t="s">
        <v>302</v>
      </c>
      <c r="E115" t="s">
        <v>311</v>
      </c>
      <c r="F115" t="s">
        <v>314</v>
      </c>
      <c r="G115">
        <v>1927</v>
      </c>
      <c r="H115">
        <v>1934</v>
      </c>
      <c r="I115">
        <v>1966</v>
      </c>
      <c r="K115">
        <v>950</v>
      </c>
      <c r="M115" s="6">
        <v>19</v>
      </c>
      <c r="N115" s="6">
        <v>26</v>
      </c>
      <c r="O115" s="6">
        <v>2</v>
      </c>
      <c r="P115" s="6">
        <v>200</v>
      </c>
      <c r="Q115" s="7">
        <f t="shared" si="73"/>
        <v>205.96522047186451</v>
      </c>
      <c r="R115" s="6">
        <v>1.7</v>
      </c>
      <c r="S115" s="6">
        <f t="shared" si="74"/>
        <v>1394.2364824717758</v>
      </c>
      <c r="T115">
        <v>87.6</v>
      </c>
      <c r="W115">
        <v>102</v>
      </c>
      <c r="X115" s="4">
        <f t="shared" si="52"/>
        <v>0.11643835616438356</v>
      </c>
      <c r="Y115">
        <v>80</v>
      </c>
      <c r="AA115">
        <v>14.4</v>
      </c>
      <c r="AB115">
        <v>14.4</v>
      </c>
      <c r="AE115" s="11">
        <v>0</v>
      </c>
      <c r="AF115" t="str">
        <f>CONCATENATE(VLOOKUP(AG115, 'Voxel Sizes'!$A$2:$B$18,2,FALSE),"x",INT(AC115*15), "x", INT(AD115*15))</f>
        <v>136x0x0</v>
      </c>
      <c r="AG115">
        <f t="shared" si="46"/>
        <v>8</v>
      </c>
      <c r="AI115" t="str">
        <f>CONCATENATE(VLOOKUP(AG115,Constants!$A$2:$C$16,IF(AH115&lt;&gt;"", 3, 2), FALSE),IF(AH115&lt;&gt;"",CONCATENATE(",",VLOOKUP(AH115,$B:$AI,34,FALSE)),""))</f>
        <v>2,4,2</v>
      </c>
      <c r="AO115">
        <v>1</v>
      </c>
      <c r="AQ115">
        <v>30</v>
      </c>
      <c r="AR115">
        <f t="shared" si="32"/>
        <v>35</v>
      </c>
      <c r="AU115">
        <f t="shared" si="33"/>
        <v>16</v>
      </c>
      <c r="AV115">
        <f t="shared" si="34"/>
        <v>4.75</v>
      </c>
      <c r="AW115">
        <f t="shared" si="35"/>
        <v>5.0999999999999996</v>
      </c>
      <c r="AX115" s="4">
        <v>1</v>
      </c>
      <c r="AY115">
        <f t="shared" si="36"/>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47"/>
        <v>49218.75</v>
      </c>
      <c r="BE115" s="15">
        <f t="shared" si="48"/>
        <v>8206.25</v>
      </c>
      <c r="BN115">
        <v>4</v>
      </c>
      <c r="BR115" t="str">
        <f>VLOOKUP(G115,Eras!$A$2:$C$10, 2, TRUE)</f>
        <v>big4</v>
      </c>
      <c r="BS115" t="s">
        <v>367</v>
      </c>
      <c r="BT115" t="str">
        <f t="shared" si="49"/>
        <v>big4_Mixed Traffic</v>
      </c>
      <c r="BU115" t="str">
        <f t="shared" si="42"/>
        <v/>
      </c>
      <c r="BV115" t="str">
        <f t="shared" si="38"/>
        <v/>
      </c>
      <c r="BW115" t="s">
        <v>477</v>
      </c>
      <c r="BX115" t="str">
        <f t="shared" si="51"/>
        <v/>
      </c>
      <c r="BY115" t="str">
        <f t="shared" si="50"/>
        <v>{SILVER}Fowler's 2-6-4T achieved high speeds for a tank engine, and was typically used on longer distance services.</v>
      </c>
    </row>
    <row r="116" spans="1:77" x14ac:dyDescent="0.25">
      <c r="A116" t="s">
        <v>479</v>
      </c>
      <c r="B116" t="s">
        <v>481</v>
      </c>
      <c r="C116">
        <v>230</v>
      </c>
      <c r="D116" t="s">
        <v>302</v>
      </c>
      <c r="E116" t="s">
        <v>311</v>
      </c>
      <c r="F116" t="s">
        <v>314</v>
      </c>
      <c r="G116">
        <v>1928</v>
      </c>
      <c r="H116">
        <v>1943</v>
      </c>
      <c r="I116">
        <v>1965</v>
      </c>
      <c r="K116">
        <v>1600</v>
      </c>
      <c r="M116" s="6">
        <v>18.5</v>
      </c>
      <c r="N116" s="6">
        <v>30</v>
      </c>
      <c r="O116" s="6">
        <v>2</v>
      </c>
      <c r="P116" s="6">
        <v>225</v>
      </c>
      <c r="Q116" s="7">
        <f t="shared" si="73"/>
        <v>194.52270822342763</v>
      </c>
      <c r="R116" s="6">
        <v>1.8</v>
      </c>
      <c r="S116" s="6">
        <f t="shared" si="74"/>
        <v>1620.501893939394</v>
      </c>
      <c r="T116">
        <v>76.2</v>
      </c>
      <c r="U116" s="9">
        <v>47</v>
      </c>
      <c r="W116">
        <v>121</v>
      </c>
      <c r="X116" s="4">
        <f t="shared" si="52"/>
        <v>9.8214285714285712E-2</v>
      </c>
      <c r="Y116">
        <v>80</v>
      </c>
      <c r="AA116">
        <v>19.2</v>
      </c>
      <c r="AB116">
        <f>AA116-7.5</f>
        <v>11.7</v>
      </c>
      <c r="AD116">
        <v>4.04</v>
      </c>
      <c r="AE116" s="11">
        <v>0</v>
      </c>
      <c r="AF116" t="str">
        <f>CONCATENATE(VLOOKUP(AG116, 'Voxel Sizes'!$A$2:$B$18,2,FALSE),"x",INT(AC116*15), "x", INT(AD116*15))</f>
        <v>120x0x60</v>
      </c>
      <c r="AG116">
        <f t="shared" si="46"/>
        <v>7</v>
      </c>
      <c r="AH116" t="s">
        <v>470</v>
      </c>
      <c r="AI116" t="str">
        <f>CONCATENATE(VLOOKUP(AG116,Constants!$A$2:$C$16,IF(AH116&lt;&gt;"", 3, 2), FALSE),IF(AH116&lt;&gt;"",CONCATENATE(",",VLOOKUP(AH116,$B:$AI,34,FALSE)),""))</f>
        <v>2,3,2,2,1,2</v>
      </c>
      <c r="AO116">
        <v>1</v>
      </c>
      <c r="AQ116">
        <v>30</v>
      </c>
      <c r="AR116">
        <f t="shared" si="32"/>
        <v>33</v>
      </c>
      <c r="AU116">
        <f t="shared" si="33"/>
        <v>16</v>
      </c>
      <c r="AV116">
        <f t="shared" si="34"/>
        <v>8</v>
      </c>
      <c r="AW116">
        <f t="shared" si="35"/>
        <v>6.05</v>
      </c>
      <c r="AX116" s="4">
        <v>1</v>
      </c>
      <c r="AY116">
        <f t="shared" si="36"/>
        <v>0</v>
      </c>
      <c r="AZ116">
        <f>VLOOKUP($E116,Constants!$I:$K, 2, FALSE)</f>
        <v>1.1499999999999999</v>
      </c>
      <c r="BA116">
        <f>VLOOKUP($E116,Constants!$I:$K, 3, FALSE)*IF(AND(D116="multiple_unit",Y116&lt;110),0.75,1)</f>
        <v>1.7</v>
      </c>
      <c r="BB116">
        <f>INT(POWER(((Constants!$G$2+$AU116+$AV116+$AW116+$AY116)*$AX116)*$BA116, 1.05))+$AT116</f>
        <v>73</v>
      </c>
      <c r="BC116">
        <f>INT(POWER((((Constants!$G$1+$AU116+$AV116+$AW116+$AY116)*(1/$AX116))*$AZ116),IF($D116="wagon",1,1.2)))+$AS116</f>
        <v>114</v>
      </c>
      <c r="BD116" s="15">
        <f t="shared" si="47"/>
        <v>57031.25</v>
      </c>
      <c r="BE116" s="15">
        <f t="shared" si="48"/>
        <v>9262.5</v>
      </c>
      <c r="BN116">
        <v>5</v>
      </c>
      <c r="BR116" t="str">
        <f>VLOOKUP(G116,Eras!$A$2:$C$10, 2, TRUE)</f>
        <v>big4</v>
      </c>
      <c r="BS116" t="s">
        <v>367</v>
      </c>
      <c r="BT116" t="str">
        <f t="shared" si="49"/>
        <v>big4_Mixed Traffic</v>
      </c>
      <c r="BU116" t="str">
        <f t="shared" si="42"/>
        <v/>
      </c>
      <c r="BV116" t="str">
        <f t="shared" si="38"/>
        <v/>
      </c>
      <c r="BW116" t="s">
        <v>480</v>
      </c>
      <c r="BX116" t="str">
        <f t="shared" si="51"/>
        <v/>
      </c>
      <c r="BY116" t="str">
        <f t="shared" si="50"/>
        <v>{SILVER}The GWR 4900 Hall Class set the template for the 4-6-0 mixed traffic locomotive, fast enough for express passenger services with enough tractive effort for freight.</v>
      </c>
    </row>
    <row r="117" spans="1:77" x14ac:dyDescent="0.25">
      <c r="A117" t="s">
        <v>26</v>
      </c>
      <c r="B117" t="s">
        <v>483</v>
      </c>
      <c r="C117">
        <v>232</v>
      </c>
      <c r="D117" t="s">
        <v>302</v>
      </c>
      <c r="E117" t="s">
        <v>311</v>
      </c>
      <c r="F117" t="s">
        <v>314</v>
      </c>
      <c r="G117">
        <v>1928</v>
      </c>
      <c r="H117">
        <v>1935</v>
      </c>
      <c r="I117">
        <v>1966</v>
      </c>
      <c r="K117">
        <v>2100</v>
      </c>
      <c r="M117" s="6">
        <v>19</v>
      </c>
      <c r="N117" s="6">
        <v>26</v>
      </c>
      <c r="O117" s="6">
        <v>3</v>
      </c>
      <c r="P117" s="6">
        <v>220</v>
      </c>
      <c r="Q117" s="7">
        <f t="shared" si="73"/>
        <v>236.34509049146459</v>
      </c>
      <c r="R117" s="6">
        <v>2</v>
      </c>
      <c r="S117" s="6">
        <f t="shared" si="74"/>
        <v>2639.8124999999995</v>
      </c>
      <c r="T117">
        <v>92.8</v>
      </c>
      <c r="U117" s="9">
        <v>54</v>
      </c>
      <c r="W117">
        <v>146</v>
      </c>
      <c r="X117" s="4">
        <f t="shared" si="52"/>
        <v>9.9455040871934602E-2</v>
      </c>
      <c r="Y117">
        <v>108</v>
      </c>
      <c r="Z117">
        <v>1</v>
      </c>
      <c r="AA117">
        <v>21.46</v>
      </c>
      <c r="AB117">
        <f>AA117-7.5</f>
        <v>13.96</v>
      </c>
      <c r="AE117" s="11">
        <v>0</v>
      </c>
      <c r="AF117" t="str">
        <f>CONCATENATE(VLOOKUP(AG117, 'Voxel Sizes'!$A$2:$B$18,2,FALSE),"x",INT(AC117*15), "x", INT(AD117*15))</f>
        <v>136x0x0</v>
      </c>
      <c r="AG117">
        <f t="shared" si="46"/>
        <v>8</v>
      </c>
      <c r="AH117" t="s">
        <v>485</v>
      </c>
      <c r="AI117" t="str">
        <f>CONCATENATE(VLOOKUP(AG117,Constants!$A$2:$C$16,IF(AH117&lt;&gt;"", 3, 2), FALSE),IF(AH117&lt;&gt;"",CONCATENATE(",",VLOOKUP(AH117,$B:$AI,34,FALSE)),""))</f>
        <v>2,4,2,2,1,2</v>
      </c>
      <c r="AO117">
        <v>1</v>
      </c>
      <c r="AQ117">
        <v>32</v>
      </c>
      <c r="AR117">
        <f t="shared" si="32"/>
        <v>34</v>
      </c>
      <c r="AU117">
        <f t="shared" si="33"/>
        <v>21.599999999999998</v>
      </c>
      <c r="AV117">
        <f t="shared" si="34"/>
        <v>10.5</v>
      </c>
      <c r="AW117">
        <f t="shared" si="35"/>
        <v>7.3</v>
      </c>
      <c r="AX117" s="4">
        <v>1</v>
      </c>
      <c r="AY117">
        <f t="shared" si="36"/>
        <v>0</v>
      </c>
      <c r="AZ117">
        <f>VLOOKUP($E117,Constants!$I:$K, 2, FALSE)</f>
        <v>1.1499999999999999</v>
      </c>
      <c r="BA117">
        <f>VLOOKUP($E117,Constants!$I:$K, 3, FALSE)*IF(AND(D117="multiple_unit",Y117&lt;110),0.75,1)</f>
        <v>1.7</v>
      </c>
      <c r="BB117">
        <f>INT(POWER(((Constants!$G$2+$AU117+$AV117+$AW117+$AY117)*$AX117)*$BA117, 1.05))+$AT117</f>
        <v>93</v>
      </c>
      <c r="BC117">
        <f>INT(POWER((((Constants!$G$1+$AU117+$AV117+$AW117+$AY117)*(1/$AX117))*$AZ117),IF($D117="wagon",1,1.2)))+$AS117</f>
        <v>143</v>
      </c>
      <c r="BD117" s="15">
        <f t="shared" si="47"/>
        <v>72656.25</v>
      </c>
      <c r="BE117" s="15">
        <f t="shared" si="48"/>
        <v>11618.75</v>
      </c>
      <c r="BN117">
        <v>6</v>
      </c>
      <c r="BR117" t="str">
        <f>VLOOKUP(G117,Eras!$A$2:$C$10, 2, TRUE)</f>
        <v>big4</v>
      </c>
      <c r="BS117" t="s">
        <v>368</v>
      </c>
      <c r="BT117" t="str">
        <f t="shared" si="49"/>
        <v>big4_Express</v>
      </c>
      <c r="BU117" t="str">
        <f t="shared" si="42"/>
        <v/>
      </c>
      <c r="BV117" t="str">
        <f t="shared" si="38"/>
        <v/>
      </c>
      <c r="BW117" t="s">
        <v>482</v>
      </c>
      <c r="BX117" t="str">
        <f t="shared" si="51"/>
        <v/>
      </c>
      <c r="BY117" t="str">
        <f t="shared" si="50"/>
        <v>{SILVER}The Gresley A3 is a Pacific (4-6-2) locomotive famed for its 100mph+ performance hauling LNER's Flying Scotsman service.</v>
      </c>
    </row>
    <row r="118" spans="1:77" x14ac:dyDescent="0.25">
      <c r="A118" t="s">
        <v>22</v>
      </c>
      <c r="B118" t="s">
        <v>487</v>
      </c>
      <c r="C118">
        <v>234</v>
      </c>
      <c r="D118" t="s">
        <v>302</v>
      </c>
      <c r="E118" t="s">
        <v>311</v>
      </c>
      <c r="F118" t="s">
        <v>314</v>
      </c>
      <c r="G118">
        <v>1929</v>
      </c>
      <c r="H118">
        <v>1950</v>
      </c>
      <c r="I118">
        <v>1971</v>
      </c>
      <c r="K118">
        <v>750</v>
      </c>
      <c r="M118" s="6">
        <v>17.5</v>
      </c>
      <c r="N118" s="6">
        <v>24</v>
      </c>
      <c r="O118" s="6">
        <v>2</v>
      </c>
      <c r="P118" s="6">
        <v>200</v>
      </c>
      <c r="Q118" s="7">
        <f t="shared" si="73"/>
        <v>187.57546864401954</v>
      </c>
      <c r="R118" s="6">
        <v>1.4</v>
      </c>
      <c r="S118" s="6">
        <f t="shared" si="74"/>
        <v>994.31818181818198</v>
      </c>
      <c r="T118">
        <v>48.3</v>
      </c>
      <c r="W118">
        <v>100</v>
      </c>
      <c r="X118" s="4">
        <f t="shared" si="52"/>
        <v>0.20703933747412009</v>
      </c>
      <c r="Y118">
        <v>60</v>
      </c>
      <c r="Z118">
        <v>1</v>
      </c>
      <c r="AA118">
        <v>9.5</v>
      </c>
      <c r="AB118">
        <v>9.5</v>
      </c>
      <c r="AD118">
        <v>3.7349999999999999</v>
      </c>
      <c r="AE118" s="11">
        <v>0</v>
      </c>
      <c r="AF118" t="str">
        <f>CONCATENATE(VLOOKUP(AG118, 'Voxel Sizes'!$A$2:$B$18,2,FALSE),"x",INT(AC118*15), "x", INT(AD118*15))</f>
        <v>102x0x56</v>
      </c>
      <c r="AG118">
        <f t="shared" si="46"/>
        <v>6</v>
      </c>
      <c r="AI118" t="str">
        <f>CONCATENATE(VLOOKUP(AG118,Constants!$A$2:$C$16,IF(AH118&lt;&gt;"", 3, 2), FALSE),IF(AH118&lt;&gt;"",CONCATENATE(",",VLOOKUP(AH118,$B:$AI,34,FALSE)),""))</f>
        <v>2,2,2</v>
      </c>
      <c r="AO118">
        <v>1</v>
      </c>
      <c r="AQ118">
        <v>37</v>
      </c>
      <c r="AR118">
        <f t="shared" si="32"/>
        <v>38</v>
      </c>
      <c r="AU118">
        <f t="shared" si="33"/>
        <v>12</v>
      </c>
      <c r="AV118">
        <f t="shared" si="34"/>
        <v>3.75</v>
      </c>
      <c r="AW118">
        <f t="shared" si="35"/>
        <v>5</v>
      </c>
      <c r="AX118" s="4">
        <v>1</v>
      </c>
      <c r="AY118">
        <f t="shared" si="36"/>
        <v>0</v>
      </c>
      <c r="AZ118">
        <f>VLOOKUP($E118,Constants!$I:$K, 2, FALSE)</f>
        <v>1.1499999999999999</v>
      </c>
      <c r="BA118">
        <f>VLOOKUP($E118,Constants!$I:$K, 3, FALSE)*IF(AND(D118="multiple_unit",Y118&lt;110),0.75,1)</f>
        <v>1.7</v>
      </c>
      <c r="BB118">
        <f>INT(POWER(((Constants!$G$2+$AU118+$AV118+$AW118+$AY118)*$AX118)*$BA118, 1.05))+$AT118</f>
        <v>52</v>
      </c>
      <c r="BC118">
        <f>INT(POWER((((Constants!$G$1+$AU118+$AV118+$AW118+$AY118)*(1/$AX118))*$AZ118),IF($D118="wagon",1,1.2)))+$AS118</f>
        <v>86</v>
      </c>
      <c r="BD118" s="15">
        <f t="shared" si="47"/>
        <v>40625</v>
      </c>
      <c r="BE118" s="15">
        <f t="shared" si="48"/>
        <v>6987.5</v>
      </c>
      <c r="BN118">
        <v>7</v>
      </c>
      <c r="BR118" t="str">
        <f>VLOOKUP(G118,Eras!$A$2:$C$10, 2, TRUE)</f>
        <v>big4</v>
      </c>
      <c r="BS118" t="s">
        <v>366</v>
      </c>
      <c r="BT118" t="str">
        <f t="shared" si="49"/>
        <v>big4_Cheap</v>
      </c>
      <c r="BU118" t="str">
        <f t="shared" si="42"/>
        <v/>
      </c>
      <c r="BV118" t="str">
        <f t="shared" si="38"/>
        <v/>
      </c>
      <c r="BW118" t="s">
        <v>486</v>
      </c>
      <c r="BX118" t="str">
        <f t="shared" si="51"/>
        <v/>
      </c>
      <c r="BY118" t="str">
        <f t="shared" si="50"/>
        <v>{SILVER}The 5700 class numbered 863 locomotives, and was ubiquitous across the GWR network.</v>
      </c>
    </row>
    <row r="119" spans="1:77" x14ac:dyDescent="0.25">
      <c r="A119" t="s">
        <v>35</v>
      </c>
      <c r="B119" t="s">
        <v>190</v>
      </c>
      <c r="C119">
        <v>236</v>
      </c>
      <c r="D119" t="s">
        <v>302</v>
      </c>
      <c r="E119" t="s">
        <v>311</v>
      </c>
      <c r="F119" t="s">
        <v>314</v>
      </c>
      <c r="G119">
        <v>1930</v>
      </c>
      <c r="H119">
        <v>1935</v>
      </c>
      <c r="I119">
        <v>1961</v>
      </c>
      <c r="K119">
        <v>1750</v>
      </c>
      <c r="M119" s="6">
        <v>16.5</v>
      </c>
      <c r="N119" s="6">
        <v>26</v>
      </c>
      <c r="O119" s="6">
        <v>3</v>
      </c>
      <c r="P119" s="6">
        <v>220</v>
      </c>
      <c r="Q119" s="7">
        <f t="shared" si="73"/>
        <v>207.89614441378828</v>
      </c>
      <c r="R119" s="6">
        <v>2</v>
      </c>
      <c r="S119" s="6">
        <f t="shared" si="74"/>
        <v>1751.19140625</v>
      </c>
      <c r="T119">
        <v>68.2</v>
      </c>
      <c r="U119" s="9">
        <v>43.1</v>
      </c>
      <c r="W119">
        <v>111</v>
      </c>
      <c r="X119" s="4">
        <f t="shared" si="52"/>
        <v>9.9730458221024262E-2</v>
      </c>
      <c r="Y119">
        <v>95</v>
      </c>
      <c r="AA119">
        <v>17.93</v>
      </c>
      <c r="AB119">
        <f>AA119-7.5</f>
        <v>10.43</v>
      </c>
      <c r="AD119">
        <v>3.96</v>
      </c>
      <c r="AE119" s="11">
        <v>0</v>
      </c>
      <c r="AF119" t="str">
        <f>CONCATENATE(VLOOKUP(AG119, 'Voxel Sizes'!$A$2:$B$18,2,FALSE),"x",INT(AC119*15), "x", INT(AD119*15))</f>
        <v>102x0x59</v>
      </c>
      <c r="AG119">
        <f t="shared" si="46"/>
        <v>6</v>
      </c>
      <c r="AH119" t="s">
        <v>490</v>
      </c>
      <c r="AI119" t="str">
        <f>CONCATENATE(VLOOKUP(AG119,Constants!$A$2:$C$16,IF(AH119&lt;&gt;"", 3, 2), FALSE),IF(AH119&lt;&gt;"",CONCATENATE(",",VLOOKUP(AH119,$B:$AI,34,FALSE)),""))</f>
        <v>2,2,2,2,1,2</v>
      </c>
      <c r="AO119">
        <v>1</v>
      </c>
      <c r="AQ119">
        <v>29</v>
      </c>
      <c r="AR119">
        <f t="shared" si="32"/>
        <v>27</v>
      </c>
      <c r="AU119">
        <f t="shared" si="33"/>
        <v>19</v>
      </c>
      <c r="AV119">
        <f t="shared" si="34"/>
        <v>8.75</v>
      </c>
      <c r="AW119">
        <f t="shared" si="35"/>
        <v>5.5500000000000007</v>
      </c>
      <c r="AX119" s="4">
        <v>1</v>
      </c>
      <c r="AY119">
        <f t="shared" si="36"/>
        <v>0</v>
      </c>
      <c r="AZ119">
        <f>VLOOKUP($E119,Constants!$I:$K, 2, FALSE)</f>
        <v>1.1499999999999999</v>
      </c>
      <c r="BA119">
        <f>VLOOKUP($E119,Constants!$I:$K, 3, FALSE)*IF(AND(D119="multiple_unit",Y119&lt;110),0.75,1)</f>
        <v>1.7</v>
      </c>
      <c r="BB119">
        <f>INT(POWER(((Constants!$G$2+$AU119+$AV119+$AW119+$AY119)*$AX119)*$BA119, 1.05))+$AT119</f>
        <v>80</v>
      </c>
      <c r="BC119">
        <f>INT(POWER((((Constants!$G$1+$AU119+$AV119+$AW119+$AY119)*(1/$AX119))*$AZ119),IF($D119="wagon",1,1.2)))+$AS119</f>
        <v>124</v>
      </c>
      <c r="BD119" s="15">
        <f t="shared" si="47"/>
        <v>62500</v>
      </c>
      <c r="BE119" s="15">
        <f t="shared" si="48"/>
        <v>10075</v>
      </c>
      <c r="BN119">
        <v>8</v>
      </c>
      <c r="BR119" t="str">
        <f>VLOOKUP(G119,Eras!$A$2:$C$10, 2, TRUE)</f>
        <v>big4</v>
      </c>
      <c r="BS119" t="s">
        <v>368</v>
      </c>
      <c r="BT119" t="str">
        <f t="shared" si="49"/>
        <v>big4_Express</v>
      </c>
      <c r="BU119" t="str">
        <f t="shared" si="42"/>
        <v/>
      </c>
      <c r="BV119" t="str">
        <f t="shared" si="38"/>
        <v/>
      </c>
      <c r="BW119" t="s">
        <v>488</v>
      </c>
      <c r="BX119" t="str">
        <f t="shared" si="51"/>
        <v/>
      </c>
      <c r="BY119" t="str">
        <f t="shared" si="50"/>
        <v>{SILVER}The Schools class was the most powerful 4-4-0 locomotive produced in  Europe, and the last British locomotive with such a wheel layout.</v>
      </c>
    </row>
    <row r="120" spans="1:77" x14ac:dyDescent="0.25">
      <c r="A120" t="s">
        <v>77</v>
      </c>
      <c r="B120" t="s">
        <v>211</v>
      </c>
      <c r="C120">
        <v>236</v>
      </c>
      <c r="D120" t="s">
        <v>302</v>
      </c>
      <c r="E120" t="s">
        <v>312</v>
      </c>
      <c r="F120" t="s">
        <v>314</v>
      </c>
      <c r="G120">
        <v>1933</v>
      </c>
      <c r="H120">
        <v>1942</v>
      </c>
      <c r="I120">
        <v>1962</v>
      </c>
      <c r="K120">
        <v>260</v>
      </c>
      <c r="T120">
        <v>35</v>
      </c>
      <c r="W120">
        <v>55</v>
      </c>
      <c r="X120" s="4">
        <f t="shared" si="52"/>
        <v>0.15714285714285714</v>
      </c>
      <c r="Y120">
        <v>63</v>
      </c>
      <c r="AA120">
        <v>18.399999999999999</v>
      </c>
      <c r="AB120">
        <v>17</v>
      </c>
      <c r="AE120" s="11">
        <v>69</v>
      </c>
      <c r="AF120" t="str">
        <f>CONCATENATE(VLOOKUP(AG120, 'Voxel Sizes'!$A$2:$B$18,2,FALSE),"x",INT(AC120*15), "x", INT(AD120*15))</f>
        <v>164x0x0</v>
      </c>
      <c r="AG120">
        <f t="shared" si="46"/>
        <v>10</v>
      </c>
      <c r="AI120" t="str">
        <f>CONCATENATE(VLOOKUP(AG120,Constants!$A$2:$C$16,IF(AH120&lt;&gt;"", 3, 2), FALSE),IF(AH120&lt;&gt;"",CONCATENATE(",",VLOOKUP(AH120,$B:$AI,34,FALSE)),""))</f>
        <v>4,2,4</v>
      </c>
      <c r="AQ120">
        <v>16</v>
      </c>
      <c r="AR120">
        <f t="shared" si="32"/>
        <v>25</v>
      </c>
      <c r="AU120">
        <f t="shared" si="33"/>
        <v>12.6</v>
      </c>
      <c r="AV120">
        <f t="shared" si="34"/>
        <v>1.3</v>
      </c>
      <c r="AW120">
        <f t="shared" si="35"/>
        <v>2.75</v>
      </c>
      <c r="AX120" s="4">
        <v>1</v>
      </c>
      <c r="AY120">
        <f t="shared" si="36"/>
        <v>2.3000000000000003</v>
      </c>
      <c r="AZ120">
        <f>VLOOKUP($E120,Constants!$I:$K, 2, FALSE)</f>
        <v>1</v>
      </c>
      <c r="BA120">
        <f>VLOOKUP($E120,Constants!$I:$K, 3, FALSE)*IF(AND(D120="multiple_unit",Y120&lt;110),0.75,1)</f>
        <v>2</v>
      </c>
      <c r="BB120">
        <f>INT(POWER(((Constants!$G$2+$AU120+$AV120+$AW120+$AY120)*$AX120)*$BA120, 1.05))+$AT120</f>
        <v>58</v>
      </c>
      <c r="BC120">
        <f>INT(POWER((((Constants!$G$1+$AU120+$AV120+$AW120+$AY120)*(1/$AX120))*$AZ120),IF($D120="wagon",1,1.2)))+$AS120</f>
        <v>68</v>
      </c>
      <c r="BD120" s="15">
        <f t="shared" si="47"/>
        <v>45312.5</v>
      </c>
      <c r="BE120" s="15">
        <f t="shared" si="48"/>
        <v>5525</v>
      </c>
      <c r="BN120">
        <v>9</v>
      </c>
      <c r="BQ120" t="s">
        <v>323</v>
      </c>
      <c r="BR120" t="str">
        <f>VLOOKUP(G120,Eras!$A$2:$C$10, 2, TRUE)</f>
        <v>big4</v>
      </c>
      <c r="BS120" t="s">
        <v>370</v>
      </c>
      <c r="BT120" t="str">
        <f t="shared" si="49"/>
        <v>big4_DMU (Cheap)</v>
      </c>
      <c r="BU120" t="str">
        <f t="shared" si="42"/>
        <v/>
      </c>
      <c r="BV120" t="str">
        <f t="shared" si="38"/>
        <v/>
      </c>
      <c r="BW120" t="s">
        <v>499</v>
      </c>
      <c r="BX120" t="str">
        <f t="shared" si="51"/>
        <v/>
      </c>
      <c r="BY120" t="str">
        <f t="shared" si="50"/>
        <v>{SILVER}The GWR Railcars used AEC bus hardware in a lightweight streamlined body.</v>
      </c>
    </row>
    <row r="121" spans="1:77" x14ac:dyDescent="0.25">
      <c r="A121" t="s">
        <v>491</v>
      </c>
      <c r="B121" t="s">
        <v>493</v>
      </c>
      <c r="C121">
        <v>238</v>
      </c>
      <c r="D121" t="s">
        <v>302</v>
      </c>
      <c r="E121" t="s">
        <v>311</v>
      </c>
      <c r="F121" t="s">
        <v>314</v>
      </c>
      <c r="G121">
        <v>1932</v>
      </c>
      <c r="H121">
        <v>1936</v>
      </c>
      <c r="I121">
        <v>1965</v>
      </c>
      <c r="K121">
        <v>600</v>
      </c>
      <c r="M121" s="6">
        <v>16</v>
      </c>
      <c r="N121" s="6">
        <v>24</v>
      </c>
      <c r="O121" s="6">
        <v>2</v>
      </c>
      <c r="P121" s="6">
        <v>165</v>
      </c>
      <c r="Q121" s="7">
        <f>((($Y121/2)/60)*5280)/($R121*3.2*PI())</f>
        <v>218.83804675135607</v>
      </c>
      <c r="R121" s="6">
        <v>1.6</v>
      </c>
      <c r="S121" s="6">
        <f>((($M121*$M121/4)*PI())*($N121/12)*$O121*$P121*$Q121)/(33000*1.1)</f>
        <v>799.99999999999977</v>
      </c>
      <c r="T121">
        <v>43</v>
      </c>
      <c r="W121">
        <v>62</v>
      </c>
      <c r="X121" s="4">
        <f t="shared" si="52"/>
        <v>0.14418604651162792</v>
      </c>
      <c r="Y121">
        <v>80</v>
      </c>
      <c r="AA121">
        <v>9.1199999999999992</v>
      </c>
      <c r="AB121">
        <v>9.1199999999999992</v>
      </c>
      <c r="AD121">
        <v>3.82</v>
      </c>
      <c r="AE121" s="11">
        <v>0</v>
      </c>
      <c r="AF121" t="str">
        <f>CONCATENATE(VLOOKUP(AG121, 'Voxel Sizes'!$A$2:$B$18,2,FALSE),"x",INT(AC121*15), "x", INT(AD121*15))</f>
        <v>82x0x57</v>
      </c>
      <c r="AG121">
        <f t="shared" si="46"/>
        <v>5</v>
      </c>
      <c r="AI121" t="str">
        <f>CONCATENATE(VLOOKUP(AG121,Constants!$A$2:$C$16,IF(AH121&lt;&gt;"", 3, 2), FALSE),IF(AH121&lt;&gt;"",CONCATENATE(",",VLOOKUP(AH121,$B:$AI,34,FALSE)),""))</f>
        <v>2,1,2</v>
      </c>
      <c r="AO121">
        <v>1</v>
      </c>
      <c r="AQ121">
        <v>36</v>
      </c>
      <c r="AR121">
        <f t="shared" si="32"/>
        <v>29</v>
      </c>
      <c r="AU121">
        <f t="shared" si="33"/>
        <v>16</v>
      </c>
      <c r="AV121">
        <f t="shared" si="34"/>
        <v>3</v>
      </c>
      <c r="AW121">
        <f t="shared" si="35"/>
        <v>3.1</v>
      </c>
      <c r="AX121" s="4">
        <v>1</v>
      </c>
      <c r="AY121">
        <f t="shared" si="36"/>
        <v>0</v>
      </c>
      <c r="AZ121">
        <f>VLOOKUP($E121,Constants!$I:$K, 2, FALSE)</f>
        <v>1.1499999999999999</v>
      </c>
      <c r="BA121">
        <f>VLOOKUP($E121,Constants!$I:$K, 3, FALSE)*IF(AND(D121="multiple_unit",Y121&lt;110),0.75,1)</f>
        <v>1.7</v>
      </c>
      <c r="BB121">
        <f>INT(POWER(((Constants!$G$2+$AU121+$AV121+$AW121+$AY121)*$AX121)*$BA121, 1.05))+$AT121</f>
        <v>55</v>
      </c>
      <c r="BC121">
        <f>INT(POWER((((Constants!$G$1+$AU121+$AV121+$AW121+$AY121)*(1/$AX121))*$AZ121),IF($D121="wagon",1,1.2)))+$AS121</f>
        <v>90</v>
      </c>
      <c r="BD121" s="15">
        <f t="shared" si="47"/>
        <v>42968.75</v>
      </c>
      <c r="BE121" s="15">
        <f t="shared" si="48"/>
        <v>7312.5</v>
      </c>
      <c r="BN121">
        <v>10</v>
      </c>
      <c r="BR121" t="str">
        <f>VLOOKUP(G121,Eras!$A$2:$C$10, 2, TRUE)</f>
        <v>big4</v>
      </c>
      <c r="BS121" t="s">
        <v>366</v>
      </c>
      <c r="BT121" t="str">
        <f t="shared" si="49"/>
        <v>big4_Cheap</v>
      </c>
      <c r="BU121" t="str">
        <f t="shared" si="42"/>
        <v/>
      </c>
      <c r="BV121" t="str">
        <f t="shared" si="38"/>
        <v/>
      </c>
      <c r="BW121" t="s">
        <v>492</v>
      </c>
      <c r="BX121" t="str">
        <f t="shared" si="51"/>
        <v/>
      </c>
      <c r="BY121" t="str">
        <f t="shared" si="50"/>
        <v>{SILVER}The 1400 class (originally the 4800 class) is an update of an 1868 design with more modern features. Although small, it is capable of high speed.</v>
      </c>
    </row>
    <row r="122" spans="1:77" x14ac:dyDescent="0.25">
      <c r="A122" t="s">
        <v>30</v>
      </c>
      <c r="B122" t="s">
        <v>328</v>
      </c>
      <c r="C122">
        <v>238</v>
      </c>
      <c r="D122" t="s">
        <v>302</v>
      </c>
      <c r="E122" t="s">
        <v>311</v>
      </c>
      <c r="F122" t="s">
        <v>314</v>
      </c>
      <c r="G122">
        <v>1934</v>
      </c>
      <c r="H122">
        <v>1951</v>
      </c>
      <c r="I122">
        <v>1967</v>
      </c>
      <c r="K122">
        <v>1250</v>
      </c>
      <c r="T122">
        <v>73.400000000000006</v>
      </c>
      <c r="U122" s="9">
        <v>46</v>
      </c>
      <c r="W122">
        <v>113</v>
      </c>
      <c r="X122" s="4">
        <f t="shared" si="52"/>
        <v>9.4639865996649919E-2</v>
      </c>
      <c r="Y122">
        <v>92</v>
      </c>
      <c r="Z122">
        <v>1</v>
      </c>
      <c r="AA122">
        <v>11.76</v>
      </c>
      <c r="AB122">
        <v>11.76</v>
      </c>
      <c r="AE122" s="11">
        <v>0</v>
      </c>
      <c r="AF122" t="str">
        <f>CONCATENATE(VLOOKUP(AG122, 'Voxel Sizes'!$A$2:$B$18,2,FALSE),"x",INT(AC122*15), "x", INT(AD122*15))</f>
        <v>120x0x0</v>
      </c>
      <c r="AG122">
        <f t="shared" si="46"/>
        <v>7</v>
      </c>
      <c r="AH122" t="s">
        <v>334</v>
      </c>
      <c r="AI122" t="str">
        <f>CONCATENATE(VLOOKUP(AG122,Constants!$A$2:$C$16,IF(AH122&lt;&gt;"", 3, 2), FALSE),IF(AH122&lt;&gt;"",CONCATENATE(",",VLOOKUP(AH122,$B:$AI,34,FALSE)),""))</f>
        <v>2,3,2,2,1,2</v>
      </c>
      <c r="AO122">
        <v>1</v>
      </c>
      <c r="AQ122">
        <v>34</v>
      </c>
      <c r="AR122">
        <f t="shared" si="32"/>
        <v>29</v>
      </c>
      <c r="AU122">
        <f t="shared" si="33"/>
        <v>18.399999999999999</v>
      </c>
      <c r="AV122">
        <f t="shared" si="34"/>
        <v>6.25</v>
      </c>
      <c r="AW122">
        <f t="shared" si="35"/>
        <v>5.6499999999999995</v>
      </c>
      <c r="AX122" s="4">
        <v>1</v>
      </c>
      <c r="AY122">
        <f t="shared" si="36"/>
        <v>0</v>
      </c>
      <c r="AZ122">
        <f>VLOOKUP($E122,Constants!$I:$K, 2, FALSE)</f>
        <v>1.1499999999999999</v>
      </c>
      <c r="BA122">
        <f>VLOOKUP($E122,Constants!$I:$K, 3, FALSE)*IF(AND(D122="multiple_unit",Y122&lt;110),0.75,1)</f>
        <v>1.7</v>
      </c>
      <c r="BB122">
        <f>INT(POWER(((Constants!$G$2+$AU122+$AV122+$AW122+$AY122)*$AX122)*$BA122, 1.05))+$AT122</f>
        <v>73</v>
      </c>
      <c r="BC122">
        <f>INT(POWER((((Constants!$G$1+$AU122+$AV122+$AW122+$AY122)*(1/$AX122))*$AZ122),IF($D122="wagon",1,1.2)))+$AS122</f>
        <v>114</v>
      </c>
      <c r="BD122" s="15">
        <f t="shared" si="47"/>
        <v>57031.25</v>
      </c>
      <c r="BE122" s="15">
        <f t="shared" si="48"/>
        <v>9262.5</v>
      </c>
      <c r="BN122">
        <v>11</v>
      </c>
      <c r="BR122" t="str">
        <f>VLOOKUP(G122,Eras!$A$2:$C$10, 2, TRUE)</f>
        <v>big4</v>
      </c>
      <c r="BS122" t="s">
        <v>367</v>
      </c>
      <c r="BT122" t="str">
        <f t="shared" si="49"/>
        <v>big4_Mixed Traffic</v>
      </c>
      <c r="BU122" t="str">
        <f t="shared" si="42"/>
        <v/>
      </c>
      <c r="BV122" t="str">
        <f t="shared" si="38"/>
        <v/>
      </c>
      <c r="BW122" t="s">
        <v>408</v>
      </c>
      <c r="BX122" t="str">
        <f t="shared" si="51"/>
        <v/>
      </c>
      <c r="BY122" t="str">
        <f t="shared" si="50"/>
        <v>{SILVER}The Stanier Class 5, commonly known as the "Black 5", was a workhorse for the LMS and into the British Rail era. Although intended as a mixed traffic locomotive it was capable of high top speeds.</v>
      </c>
    </row>
    <row r="123" spans="1:77" x14ac:dyDescent="0.25">
      <c r="A123" t="s">
        <v>32</v>
      </c>
      <c r="B123" t="s">
        <v>327</v>
      </c>
      <c r="C123">
        <v>240</v>
      </c>
      <c r="D123" t="s">
        <v>302</v>
      </c>
      <c r="E123" t="s">
        <v>311</v>
      </c>
      <c r="F123" t="s">
        <v>314</v>
      </c>
      <c r="G123">
        <v>1934</v>
      </c>
      <c r="H123">
        <v>1936</v>
      </c>
      <c r="I123">
        <v>1967</v>
      </c>
      <c r="K123">
        <v>1375</v>
      </c>
      <c r="T123">
        <v>80.8</v>
      </c>
      <c r="U123" s="9">
        <v>52</v>
      </c>
      <c r="W123">
        <v>118</v>
      </c>
      <c r="X123" s="4">
        <f t="shared" ref="X123:X154" si="75">IF(AND(T123&gt;0,W123&gt;0),(W123/((T123+U123)*10)),"")</f>
        <v>8.8855421686746983E-2</v>
      </c>
      <c r="Y123">
        <v>95</v>
      </c>
      <c r="Z123">
        <v>1</v>
      </c>
      <c r="AA123">
        <v>12.09</v>
      </c>
      <c r="AB123">
        <v>12.09</v>
      </c>
      <c r="AE123" s="11">
        <v>0</v>
      </c>
      <c r="AF123" t="str">
        <f>CONCATENATE(VLOOKUP(AG123, 'Voxel Sizes'!$A$2:$B$18,2,FALSE),"x",INT(AC123*15), "x", INT(AD123*15))</f>
        <v>120x0x0</v>
      </c>
      <c r="AG123">
        <f t="shared" si="46"/>
        <v>7</v>
      </c>
      <c r="AH123" t="s">
        <v>329</v>
      </c>
      <c r="AI123" t="str">
        <f>CONCATENATE(VLOOKUP(AG123,Constants!$A$2:$C$16,IF(AH123&lt;&gt;"", 3, 2), FALSE),IF(AH123&lt;&gt;"",CONCATENATE(",",VLOOKUP(AH123,$B:$AI,34,FALSE)),""))</f>
        <v>2,3,2,2,1,2</v>
      </c>
      <c r="AO123">
        <v>1</v>
      </c>
      <c r="AQ123">
        <v>34</v>
      </c>
      <c r="AR123">
        <f t="shared" si="32"/>
        <v>29</v>
      </c>
      <c r="AU123">
        <f t="shared" si="33"/>
        <v>19</v>
      </c>
      <c r="AV123">
        <f t="shared" si="34"/>
        <v>6.875</v>
      </c>
      <c r="AW123">
        <f t="shared" si="35"/>
        <v>5.8999999999999995</v>
      </c>
      <c r="AX123" s="4">
        <v>1</v>
      </c>
      <c r="AY123">
        <f t="shared" si="36"/>
        <v>0</v>
      </c>
      <c r="AZ123">
        <f>VLOOKUP($E123,Constants!$I:$K, 2, FALSE)</f>
        <v>1.1499999999999999</v>
      </c>
      <c r="BA123">
        <f>VLOOKUP($E123,Constants!$I:$K, 3, FALSE)*IF(AND(D123="multiple_unit",Y123&lt;110),0.75,1)</f>
        <v>1.7</v>
      </c>
      <c r="BB123">
        <f>INT(POWER(((Constants!$G$2+$AU123+$AV123+$AW123+$AY123)*$AX123)*$BA123, 1.05))+$AT123</f>
        <v>76</v>
      </c>
      <c r="BC123">
        <f>INT(POWER((((Constants!$G$1+$AU123+$AV123+$AW123+$AY123)*(1/$AX123))*$AZ123),IF($D123="wagon",1,1.2)))+$AS123</f>
        <v>119</v>
      </c>
      <c r="BD123" s="15">
        <f t="shared" si="47"/>
        <v>59375</v>
      </c>
      <c r="BE123" s="15">
        <f t="shared" si="48"/>
        <v>9668.75</v>
      </c>
      <c r="BN123">
        <v>12</v>
      </c>
      <c r="BR123" t="str">
        <f>VLOOKUP(G123,Eras!$A$2:$C$10, 2, TRUE)</f>
        <v>big4</v>
      </c>
      <c r="BS123" t="s">
        <v>368</v>
      </c>
      <c r="BT123" t="str">
        <f t="shared" si="49"/>
        <v>big4_Express</v>
      </c>
      <c r="BU123" t="str">
        <f t="shared" si="42"/>
        <v/>
      </c>
      <c r="BV123" t="str">
        <f t="shared" si="38"/>
        <v/>
      </c>
      <c r="BW123" t="s">
        <v>394</v>
      </c>
      <c r="BX123" t="str">
        <f t="shared" si="51"/>
        <v/>
      </c>
      <c r="BY123" t="str">
        <f t="shared" si="50"/>
        <v>{SILVER}The Jubilee is the counterpart to the Class 5, often called the "Red Stanier" due to its red LMS livery. It was intended for passenger work, with slightly larger diameter driving wheels giving a higher top speed.</v>
      </c>
    </row>
    <row r="124" spans="1:77" x14ac:dyDescent="0.25">
      <c r="A124" t="s">
        <v>500</v>
      </c>
      <c r="B124" t="s">
        <v>191</v>
      </c>
      <c r="C124">
        <v>242</v>
      </c>
      <c r="D124" t="s">
        <v>302</v>
      </c>
      <c r="E124" t="s">
        <v>311</v>
      </c>
      <c r="F124" t="s">
        <v>314</v>
      </c>
      <c r="G124">
        <v>1935</v>
      </c>
      <c r="I124">
        <v>1968</v>
      </c>
      <c r="K124">
        <v>1300</v>
      </c>
      <c r="T124">
        <v>73</v>
      </c>
      <c r="U124" s="9">
        <v>46</v>
      </c>
      <c r="W124">
        <v>144</v>
      </c>
      <c r="X124" s="4">
        <f t="shared" si="75"/>
        <v>0.12100840336134454</v>
      </c>
      <c r="Y124">
        <v>70</v>
      </c>
      <c r="AA124">
        <v>19.22</v>
      </c>
      <c r="AB124">
        <f>19.22-7.46</f>
        <v>11.759999999999998</v>
      </c>
      <c r="AE124" s="11">
        <v>0</v>
      </c>
      <c r="AF124" t="str">
        <f>CONCATENATE(VLOOKUP(AG124, 'Voxel Sizes'!$A$2:$B$18,2,FALSE),"x",INT(AC124*15), "x", INT(AD124*15))</f>
        <v>120x0x0</v>
      </c>
      <c r="AG124">
        <f t="shared" si="46"/>
        <v>7</v>
      </c>
      <c r="AH124" t="s">
        <v>334</v>
      </c>
      <c r="AI124" t="str">
        <f>CONCATENATE(VLOOKUP(AG124,Constants!$A$2:$C$16,IF(AH124&lt;&gt;"", 3, 2), FALSE),IF(AH124&lt;&gt;"",CONCATENATE(",",VLOOKUP(AH124,$B:$AI,34,FALSE)),""))</f>
        <v>2,3,2,2,1,2</v>
      </c>
      <c r="AO124">
        <v>1</v>
      </c>
      <c r="AQ124">
        <v>34</v>
      </c>
      <c r="AR124">
        <f t="shared" si="32"/>
        <v>29</v>
      </c>
      <c r="AU124">
        <f t="shared" si="33"/>
        <v>14</v>
      </c>
      <c r="AV124">
        <f t="shared" si="34"/>
        <v>6.5</v>
      </c>
      <c r="AW124">
        <f t="shared" si="35"/>
        <v>7.1999999999999993</v>
      </c>
      <c r="AX124" s="4">
        <v>1</v>
      </c>
      <c r="AY124">
        <f t="shared" si="36"/>
        <v>0</v>
      </c>
      <c r="AZ124">
        <f>VLOOKUP($E124,Constants!$I:$K, 2, FALSE)</f>
        <v>1.1499999999999999</v>
      </c>
      <c r="BA124">
        <f>VLOOKUP($E124,Constants!$I:$K, 3, FALSE)*IF(AND(D124="multiple_unit",Y124&lt;110),0.75,1)</f>
        <v>1.7</v>
      </c>
      <c r="BB124">
        <f>INT(POWER(((Constants!$G$2+$AU124+$AV124+$AW124+$AY124)*$AX124)*$BA124, 1.05))+$AT124</f>
        <v>67</v>
      </c>
      <c r="BC124">
        <f>INT(POWER((((Constants!$G$1+$AU124+$AV124+$AW124+$AY124)*(1/$AX124))*$AZ124),IF($D124="wagon",1,1.2)))+$AS124</f>
        <v>106</v>
      </c>
      <c r="BD124" s="15">
        <f t="shared" si="47"/>
        <v>52343.75</v>
      </c>
      <c r="BE124" s="15">
        <f t="shared" si="48"/>
        <v>8612.5</v>
      </c>
      <c r="BN124">
        <v>1</v>
      </c>
      <c r="BR124" t="str">
        <f>VLOOKUP(G124,Eras!$A$2:$C$10, 2, TRUE)</f>
        <v>big4</v>
      </c>
      <c r="BS124" t="s">
        <v>369</v>
      </c>
      <c r="BT124" t="str">
        <f t="shared" si="49"/>
        <v>big4_Freight</v>
      </c>
      <c r="BU124" t="str">
        <f t="shared" si="42"/>
        <v/>
      </c>
      <c r="BV124" t="str">
        <f t="shared" si="38"/>
        <v/>
      </c>
      <c r="BW124" t="s">
        <v>501</v>
      </c>
      <c r="BX124" t="str">
        <f t="shared" si="51"/>
        <v/>
      </c>
      <c r="BY124" t="str">
        <f t="shared" si="50"/>
        <v>{SILVER}The Stanier 8F is a further development of the Class 5, specialised for freight traffic with a 2-8-0 layout.</v>
      </c>
    </row>
    <row r="125" spans="1:77" x14ac:dyDescent="0.25">
      <c r="A125" t="s">
        <v>27</v>
      </c>
      <c r="B125" t="s">
        <v>503</v>
      </c>
      <c r="C125">
        <v>244</v>
      </c>
      <c r="D125" t="s">
        <v>302</v>
      </c>
      <c r="E125" t="s">
        <v>311</v>
      </c>
      <c r="F125" t="s">
        <v>314</v>
      </c>
      <c r="G125">
        <v>1935</v>
      </c>
      <c r="H125">
        <v>1938</v>
      </c>
      <c r="I125">
        <v>1966</v>
      </c>
      <c r="K125">
        <v>2450</v>
      </c>
      <c r="T125">
        <v>104.6</v>
      </c>
      <c r="U125" s="9">
        <v>64</v>
      </c>
      <c r="W125">
        <v>157</v>
      </c>
      <c r="X125" s="4">
        <f t="shared" si="75"/>
        <v>9.3119810201660741E-2</v>
      </c>
      <c r="Y125">
        <v>126</v>
      </c>
      <c r="Z125">
        <v>1</v>
      </c>
      <c r="AA125">
        <v>21.65</v>
      </c>
      <c r="AB125">
        <f>AA125-7.5</f>
        <v>14.149999999999999</v>
      </c>
      <c r="AD125">
        <v>3.99</v>
      </c>
      <c r="AE125" s="11">
        <v>0</v>
      </c>
      <c r="AF125" t="str">
        <f>CONCATENATE(VLOOKUP(AG125, 'Voxel Sizes'!$A$2:$B$18,2,FALSE),"x",INT(AC125*15), "x", INT(AD125*15))</f>
        <v>136x0x59</v>
      </c>
      <c r="AG125">
        <f t="shared" si="46"/>
        <v>8</v>
      </c>
      <c r="AH125" t="s">
        <v>485</v>
      </c>
      <c r="AI125" t="str">
        <f>CONCATENATE(VLOOKUP(AG125,Constants!$A$2:$C$16,IF(AH125&lt;&gt;"", 3, 2), FALSE),IF(AH125&lt;&gt;"",CONCATENATE(",",VLOOKUP(AH125,$B:$AI,34,FALSE)),""))</f>
        <v>2,4,2,2,1,2</v>
      </c>
      <c r="AO125">
        <v>1</v>
      </c>
      <c r="AQ125">
        <v>28</v>
      </c>
      <c r="AR125">
        <f t="shared" si="32"/>
        <v>27</v>
      </c>
      <c r="AU125">
        <f t="shared" si="33"/>
        <v>25.2</v>
      </c>
      <c r="AV125">
        <f t="shared" si="34"/>
        <v>12.25</v>
      </c>
      <c r="AW125">
        <f t="shared" si="35"/>
        <v>7.8500000000000005</v>
      </c>
      <c r="AX125" s="4">
        <v>1</v>
      </c>
      <c r="AY125">
        <f t="shared" si="36"/>
        <v>0</v>
      </c>
      <c r="AZ125">
        <f>VLOOKUP($E125,Constants!$I:$K, 2, FALSE)</f>
        <v>1.1499999999999999</v>
      </c>
      <c r="BA125">
        <f>VLOOKUP($E125,Constants!$I:$K, 3, FALSE)*IF(AND(D125="multiple_unit",Y125&lt;110),0.75,1)</f>
        <v>1.7</v>
      </c>
      <c r="BB125">
        <f>INT(POWER(((Constants!$G$2+$AU125+$AV125+$AW125+$AY125)*$AX125)*$BA125, 1.05))+$AT125</f>
        <v>106</v>
      </c>
      <c r="BC125">
        <f>INT(POWER((((Constants!$G$1+$AU125+$AV125+$AW125+$AY125)*(1/$AX125))*$AZ125),IF($D125="wagon",1,1.2)))+$AS125</f>
        <v>161</v>
      </c>
      <c r="BD125" s="15">
        <f t="shared" si="47"/>
        <v>82812.5</v>
      </c>
      <c r="BE125" s="15">
        <f t="shared" si="48"/>
        <v>13081.25</v>
      </c>
      <c r="BN125">
        <v>2</v>
      </c>
      <c r="BR125" t="str">
        <f>VLOOKUP(G125,Eras!$A$2:$C$10, 2, TRUE)</f>
        <v>big4</v>
      </c>
      <c r="BS125" t="s">
        <v>368</v>
      </c>
      <c r="BT125" t="str">
        <f t="shared" si="49"/>
        <v>big4_Express</v>
      </c>
      <c r="BU125" t="str">
        <f t="shared" si="42"/>
        <v/>
      </c>
      <c r="BV125" t="str">
        <f t="shared" si="38"/>
        <v/>
      </c>
      <c r="BW125" t="s">
        <v>502</v>
      </c>
      <c r="BX125" t="str">
        <f t="shared" si="51"/>
        <v/>
      </c>
      <c r="BY125" t="str">
        <f t="shared" si="50"/>
        <v>{SILVER}The Gresley A4 is the iconic pinnacle of high-speed British steam, holding numerous speed and power records.</v>
      </c>
    </row>
    <row r="126" spans="1:77" x14ac:dyDescent="0.25">
      <c r="A126" t="s">
        <v>14</v>
      </c>
      <c r="B126" t="s">
        <v>504</v>
      </c>
      <c r="C126">
        <v>246</v>
      </c>
      <c r="D126" t="s">
        <v>302</v>
      </c>
      <c r="E126" t="s">
        <v>311</v>
      </c>
      <c r="F126" t="s">
        <v>314</v>
      </c>
      <c r="G126">
        <v>1936</v>
      </c>
      <c r="H126">
        <v>1944</v>
      </c>
      <c r="I126">
        <v>1966</v>
      </c>
      <c r="K126">
        <v>1900</v>
      </c>
      <c r="M126" s="6">
        <v>18.5</v>
      </c>
      <c r="N126" s="6">
        <v>26</v>
      </c>
      <c r="O126" s="6">
        <v>3</v>
      </c>
      <c r="P126" s="6">
        <v>220</v>
      </c>
      <c r="Q126" s="7">
        <f>((($Y126/2)/60)*5280)/($R126*3.2*PI())</f>
        <v>216.509982424214</v>
      </c>
      <c r="R126" s="6">
        <v>1.88</v>
      </c>
      <c r="S126" s="6">
        <f>((($M126*$M126/4)*PI())*($N126/12)*$O126*$P126*$Q126)/(33000*1.1)</f>
        <v>2292.6653922872338</v>
      </c>
      <c r="T126">
        <v>91</v>
      </c>
      <c r="U126" s="9">
        <v>54</v>
      </c>
      <c r="W126">
        <v>150</v>
      </c>
      <c r="X126" s="4">
        <f t="shared" si="75"/>
        <v>0.10344827586206896</v>
      </c>
      <c r="Y126">
        <v>93</v>
      </c>
      <c r="Z126">
        <v>1</v>
      </c>
      <c r="AA126">
        <v>20.239999999999998</v>
      </c>
      <c r="AB126">
        <f>AA126-7.5</f>
        <v>12.739999999999998</v>
      </c>
      <c r="AE126" s="11">
        <v>0</v>
      </c>
      <c r="AF126" t="str">
        <f>CONCATENATE(VLOOKUP(AG126, 'Voxel Sizes'!$A$2:$B$18,2,FALSE),"x",INT(AC126*15), "x", INT(AD126*15))</f>
        <v>120x0x0</v>
      </c>
      <c r="AG126">
        <f t="shared" si="46"/>
        <v>7</v>
      </c>
      <c r="AH126" t="s">
        <v>485</v>
      </c>
      <c r="AI126" t="str">
        <f>CONCATENATE(VLOOKUP(AG126,Constants!$A$2:$C$16,IF(AH126&lt;&gt;"", 3, 2), FALSE),IF(AH126&lt;&gt;"",CONCATENATE(",",VLOOKUP(AH126,$B:$AI,34,FALSE)),""))</f>
        <v>2,3,2,2,1,2</v>
      </c>
      <c r="AO126">
        <v>1</v>
      </c>
      <c r="AQ126">
        <v>32</v>
      </c>
      <c r="AR126">
        <f t="shared" si="32"/>
        <v>26</v>
      </c>
      <c r="AU126">
        <f t="shared" si="33"/>
        <v>18.600000000000001</v>
      </c>
      <c r="AV126">
        <f t="shared" si="34"/>
        <v>9.5</v>
      </c>
      <c r="AW126">
        <f t="shared" si="35"/>
        <v>7.5</v>
      </c>
      <c r="AX126" s="4">
        <v>1</v>
      </c>
      <c r="AY126">
        <f t="shared" si="36"/>
        <v>0</v>
      </c>
      <c r="AZ126">
        <f>VLOOKUP($E126,Constants!$I:$K, 2, FALSE)</f>
        <v>1.1499999999999999</v>
      </c>
      <c r="BA126">
        <f>VLOOKUP($E126,Constants!$I:$K, 3, FALSE)*IF(AND(D126="multiple_unit",Y126&lt;110),0.75,1)</f>
        <v>1.7</v>
      </c>
      <c r="BB126">
        <f>INT(POWER(((Constants!$G$2+$AU126+$AV126+$AW126+$AY126)*$AX126)*$BA126, 1.05))+$AT126</f>
        <v>85</v>
      </c>
      <c r="BC126">
        <f>INT(POWER((((Constants!$G$1+$AU126+$AV126+$AW126+$AY126)*(1/$AX126))*$AZ126),IF($D126="wagon",1,1.2)))+$AS126</f>
        <v>131</v>
      </c>
      <c r="BD126" s="15">
        <f t="shared" si="47"/>
        <v>66406.25</v>
      </c>
      <c r="BE126" s="15">
        <f t="shared" si="48"/>
        <v>10643.75</v>
      </c>
      <c r="BN126">
        <v>3</v>
      </c>
      <c r="BR126" t="str">
        <f>VLOOKUP(G126,Eras!$A$2:$C$10, 2, TRUE)</f>
        <v>big4</v>
      </c>
      <c r="BS126" t="s">
        <v>367</v>
      </c>
      <c r="BT126" t="str">
        <f t="shared" si="49"/>
        <v>big4_Mixed Traffic</v>
      </c>
      <c r="BU126" t="str">
        <f t="shared" si="42"/>
        <v/>
      </c>
      <c r="BV126" t="str">
        <f t="shared" si="38"/>
        <v/>
      </c>
      <c r="BW126" t="s">
        <v>505</v>
      </c>
      <c r="BX126" t="str">
        <f t="shared" si="51"/>
        <v/>
      </c>
      <c r="BY126" t="str">
        <f t="shared" si="50"/>
        <v>{SILVER}The Gresley V2 is derived from the A3 type, adapted to mixed traffic with a shorter boiler, smaller driving wheels and a 2-6-2 layout.</v>
      </c>
    </row>
    <row r="127" spans="1:77" x14ac:dyDescent="0.25">
      <c r="A127" t="s">
        <v>23</v>
      </c>
      <c r="B127" t="s">
        <v>506</v>
      </c>
      <c r="C127">
        <v>248</v>
      </c>
      <c r="D127" t="s">
        <v>302</v>
      </c>
      <c r="E127" t="s">
        <v>311</v>
      </c>
      <c r="F127" t="s">
        <v>314</v>
      </c>
      <c r="G127">
        <v>1936</v>
      </c>
      <c r="H127">
        <v>1939</v>
      </c>
      <c r="I127">
        <v>1965</v>
      </c>
      <c r="K127">
        <v>1600</v>
      </c>
      <c r="M127" s="6">
        <v>18.5</v>
      </c>
      <c r="N127" s="6">
        <v>30</v>
      </c>
      <c r="O127" s="6">
        <v>2</v>
      </c>
      <c r="P127" s="6">
        <v>225</v>
      </c>
      <c r="Q127" s="7">
        <f>((($Y127/2)/60)*5280)/($R127*3.2*PI())</f>
        <v>193.09239419237301</v>
      </c>
      <c r="R127" s="6">
        <v>1.7</v>
      </c>
      <c r="S127" s="6">
        <f>((($M127*$M127/4)*PI())*($N127/12)*$O127*$P127*$Q127)/(33000*1.1)</f>
        <v>1608.5864388368984</v>
      </c>
      <c r="T127">
        <v>75.2</v>
      </c>
      <c r="U127" s="9">
        <v>48</v>
      </c>
      <c r="W127">
        <v>128</v>
      </c>
      <c r="X127" s="4">
        <f t="shared" si="75"/>
        <v>0.1038961038961039</v>
      </c>
      <c r="Y127">
        <v>75</v>
      </c>
      <c r="AA127">
        <v>19.21</v>
      </c>
      <c r="AB127">
        <f>AA127-7.5</f>
        <v>11.71</v>
      </c>
      <c r="AD127">
        <v>3.96</v>
      </c>
      <c r="AE127" s="11">
        <v>0</v>
      </c>
      <c r="AF127" t="str">
        <f>CONCATENATE(VLOOKUP(AG127, 'Voxel Sizes'!$A$2:$B$18,2,FALSE),"x",INT(AC127*15), "x", INT(AD127*15))</f>
        <v>120x0x59</v>
      </c>
      <c r="AG127">
        <f t="shared" si="46"/>
        <v>7</v>
      </c>
      <c r="AH127" t="s">
        <v>470</v>
      </c>
      <c r="AI127" t="str">
        <f>CONCATENATE(VLOOKUP(AG127,Constants!$A$2:$C$16,IF(AH127&lt;&gt;"", 3, 2), FALSE),IF(AH127&lt;&gt;"",CONCATENATE(",",VLOOKUP(AH127,$B:$AI,34,FALSE)),""))</f>
        <v>2,3,2,2,1,2</v>
      </c>
      <c r="AO127">
        <v>1</v>
      </c>
      <c r="AQ127">
        <v>30</v>
      </c>
      <c r="AR127">
        <f t="shared" si="32"/>
        <v>25</v>
      </c>
      <c r="AU127">
        <f t="shared" si="33"/>
        <v>15</v>
      </c>
      <c r="AV127">
        <f t="shared" si="34"/>
        <v>8</v>
      </c>
      <c r="AW127">
        <f t="shared" si="35"/>
        <v>6.4</v>
      </c>
      <c r="AX127" s="4">
        <v>1</v>
      </c>
      <c r="AY127">
        <f t="shared" si="36"/>
        <v>0</v>
      </c>
      <c r="AZ127">
        <f>VLOOKUP($E127,Constants!$I:$K, 2, FALSE)</f>
        <v>1.1499999999999999</v>
      </c>
      <c r="BA127">
        <f>VLOOKUP($E127,Constants!$I:$K, 3, FALSE)*IF(AND(D127="multiple_unit",Y127&lt;110),0.75,1)</f>
        <v>1.7</v>
      </c>
      <c r="BB127">
        <f>INT(POWER(((Constants!$G$2+$AU127+$AV127+$AW127+$AY127)*$AX127)*$BA127, 1.05))+$AT127</f>
        <v>71</v>
      </c>
      <c r="BC127">
        <f>INT(POWER((((Constants!$G$1+$AU127+$AV127+$AW127+$AY127)*(1/$AX127))*$AZ127),IF($D127="wagon",1,1.2)))+$AS127</f>
        <v>112</v>
      </c>
      <c r="BD127" s="15">
        <f t="shared" si="47"/>
        <v>55468.75</v>
      </c>
      <c r="BE127" s="15">
        <f t="shared" si="48"/>
        <v>9100</v>
      </c>
      <c r="BN127">
        <v>4</v>
      </c>
      <c r="BR127" t="str">
        <f>VLOOKUP(G127,Eras!$A$2:$C$10, 2, TRUE)</f>
        <v>big4</v>
      </c>
      <c r="BS127" t="s">
        <v>367</v>
      </c>
      <c r="BT127" t="str">
        <f t="shared" si="49"/>
        <v>big4_Mixed Traffic</v>
      </c>
      <c r="BU127" t="str">
        <f t="shared" si="42"/>
        <v/>
      </c>
      <c r="BV127" t="str">
        <f t="shared" si="38"/>
        <v/>
      </c>
      <c r="BW127" t="s">
        <v>508</v>
      </c>
      <c r="BX127" t="str">
        <f t="shared" si="51"/>
        <v/>
      </c>
      <c r="BY127" t="str">
        <f t="shared" si="50"/>
        <v>{SILVER}The Grange class is a conservative design similar to the Hall class with smaller driving wheels, but proved to be reliable in service.</v>
      </c>
    </row>
    <row r="128" spans="1:77" x14ac:dyDescent="0.25">
      <c r="A128" t="s">
        <v>33</v>
      </c>
      <c r="B128" t="s">
        <v>507</v>
      </c>
      <c r="C128">
        <v>250</v>
      </c>
      <c r="D128" t="s">
        <v>302</v>
      </c>
      <c r="E128" t="s">
        <v>311</v>
      </c>
      <c r="F128" t="s">
        <v>314</v>
      </c>
      <c r="G128">
        <v>1937</v>
      </c>
      <c r="H128">
        <v>1948</v>
      </c>
      <c r="I128">
        <v>1964</v>
      </c>
      <c r="K128">
        <v>2500</v>
      </c>
      <c r="T128">
        <v>110</v>
      </c>
      <c r="U128" s="9">
        <v>57</v>
      </c>
      <c r="W128">
        <v>180</v>
      </c>
      <c r="X128" s="4">
        <f t="shared" si="75"/>
        <v>0.10778443113772455</v>
      </c>
      <c r="Y128">
        <v>115</v>
      </c>
      <c r="Z128">
        <v>1</v>
      </c>
      <c r="AA128">
        <v>22.49</v>
      </c>
      <c r="AB128">
        <f>AA128-7.5</f>
        <v>14.989999999999998</v>
      </c>
      <c r="AD128">
        <v>4.0389999999999997</v>
      </c>
      <c r="AE128" s="11">
        <v>0</v>
      </c>
      <c r="AF128" t="str">
        <f>CONCATENATE(VLOOKUP(AG128, 'Voxel Sizes'!$A$2:$B$18,2,FALSE),"x",INT(AC128*15), "x", INT(AD128*15))</f>
        <v>152x0x60</v>
      </c>
      <c r="AG128">
        <f t="shared" si="46"/>
        <v>9</v>
      </c>
      <c r="AH128" t="s">
        <v>510</v>
      </c>
      <c r="AI128" t="str">
        <f>CONCATENATE(VLOOKUP(AG128,Constants!$A$2:$C$16,IF(AH128&lt;&gt;"", 3, 2), FALSE),IF(AH128&lt;&gt;"",CONCATENATE(",",VLOOKUP(AH128,$B:$AI,34,FALSE)),""))</f>
        <v>2,5,2,2,1,2</v>
      </c>
      <c r="AO128">
        <v>1</v>
      </c>
      <c r="AQ128">
        <v>35</v>
      </c>
      <c r="AR128">
        <f t="shared" si="32"/>
        <v>23</v>
      </c>
      <c r="AU128">
        <f t="shared" si="33"/>
        <v>23</v>
      </c>
      <c r="AV128">
        <f t="shared" si="34"/>
        <v>12.5</v>
      </c>
      <c r="AW128">
        <f t="shared" si="35"/>
        <v>9</v>
      </c>
      <c r="AX128" s="4">
        <v>1</v>
      </c>
      <c r="AY128">
        <f t="shared" si="36"/>
        <v>0</v>
      </c>
      <c r="AZ128">
        <f>VLOOKUP($E128,Constants!$I:$K, 2, FALSE)</f>
        <v>1.1499999999999999</v>
      </c>
      <c r="BA128">
        <f>VLOOKUP($E128,Constants!$I:$K, 3, FALSE)*IF(AND(D128="multiple_unit",Y128&lt;110),0.75,1)</f>
        <v>1.7</v>
      </c>
      <c r="BB128">
        <f>INT(POWER(((Constants!$G$2+$AU128+$AV128+$AW128+$AY128)*$AX128)*$BA128, 1.05))+$AT128</f>
        <v>105</v>
      </c>
      <c r="BC128">
        <f>INT(POWER((((Constants!$G$1+$AU128+$AV128+$AW128+$AY128)*(1/$AX128))*$AZ128),IF($D128="wagon",1,1.2)))+$AS128</f>
        <v>159</v>
      </c>
      <c r="BD128" s="15">
        <f t="shared" si="47"/>
        <v>82031.25</v>
      </c>
      <c r="BE128" s="15">
        <f t="shared" si="48"/>
        <v>12918.75</v>
      </c>
      <c r="BN128">
        <v>5</v>
      </c>
      <c r="BR128" t="str">
        <f>VLOOKUP(G128,Eras!$A$2:$C$10, 2, TRUE)</f>
        <v>big4</v>
      </c>
      <c r="BS128" t="s">
        <v>368</v>
      </c>
      <c r="BT128" t="str">
        <f t="shared" si="49"/>
        <v>big4_Express</v>
      </c>
      <c r="BU128" t="str">
        <f t="shared" si="42"/>
        <v/>
      </c>
      <c r="BV128" t="str">
        <f t="shared" si="38"/>
        <v/>
      </c>
      <c r="BW128" t="s">
        <v>509</v>
      </c>
      <c r="BX128" t="str">
        <f t="shared" si="51"/>
        <v/>
      </c>
      <c r="BY128" t="str">
        <f t="shared" si="50"/>
        <v>{SILVER}The Stanier Coronation briefly held the British speed record for a steam locomotive. In real life, the streamlined casing was only fitted to early examples.</v>
      </c>
    </row>
    <row r="129" spans="1:77" x14ac:dyDescent="0.25">
      <c r="A129" t="s">
        <v>36</v>
      </c>
      <c r="B129" t="s">
        <v>520</v>
      </c>
      <c r="C129">
        <v>252</v>
      </c>
      <c r="D129" t="s">
        <v>302</v>
      </c>
      <c r="E129" t="s">
        <v>311</v>
      </c>
      <c r="F129" t="s">
        <v>314</v>
      </c>
      <c r="G129">
        <v>1941</v>
      </c>
      <c r="H129">
        <v>1949</v>
      </c>
      <c r="I129">
        <v>1967</v>
      </c>
      <c r="K129">
        <v>2100</v>
      </c>
      <c r="M129" s="6">
        <v>18</v>
      </c>
      <c r="N129" s="6">
        <v>24</v>
      </c>
      <c r="O129" s="6">
        <v>3</v>
      </c>
      <c r="P129" s="6">
        <v>250</v>
      </c>
      <c r="Q129" s="7">
        <f>((($Y129/2)/60)*5280)/($R129*3.2*PI())</f>
        <v>241.87363061991991</v>
      </c>
      <c r="R129" s="6">
        <v>1.9</v>
      </c>
      <c r="S129" s="6">
        <f>((($M129*$M129/4)*PI())*($N129/12)*$O129*$P129*$Q129)/(33000*1.1)</f>
        <v>2543.3612440191391</v>
      </c>
      <c r="T129">
        <v>96.3</v>
      </c>
      <c r="U129" s="9">
        <v>52</v>
      </c>
      <c r="W129">
        <v>167</v>
      </c>
      <c r="X129" s="4">
        <f t="shared" si="75"/>
        <v>0.11260957518543493</v>
      </c>
      <c r="Y129">
        <v>105</v>
      </c>
      <c r="Z129">
        <v>1</v>
      </c>
      <c r="AA129">
        <v>21.23</v>
      </c>
      <c r="AB129">
        <f>AA129-7.5</f>
        <v>13.73</v>
      </c>
      <c r="AE129" s="11">
        <v>0</v>
      </c>
      <c r="AF129" t="str">
        <f>CONCATENATE(VLOOKUP(AG129, 'Voxel Sizes'!$A$2:$B$18,2,FALSE),"x",INT(AC129*15), "x", INT(AD129*15))</f>
        <v>136x0x0</v>
      </c>
      <c r="AG129">
        <f t="shared" si="46"/>
        <v>8</v>
      </c>
      <c r="AH129" t="s">
        <v>519</v>
      </c>
      <c r="AI129" t="str">
        <f>CONCATENATE(VLOOKUP(AG129,Constants!$A$2:$C$16,IF(AH129&lt;&gt;"", 3, 2), FALSE),IF(AH129&lt;&gt;"",CONCATENATE(",",VLOOKUP(AH129,$B:$AI,34,FALSE)),""))</f>
        <v>2,4,2,2,1,2</v>
      </c>
      <c r="AO129">
        <v>1</v>
      </c>
      <c r="AQ129">
        <v>32</v>
      </c>
      <c r="AR129">
        <f t="shared" si="32"/>
        <v>22</v>
      </c>
      <c r="AU129">
        <f t="shared" si="33"/>
        <v>21</v>
      </c>
      <c r="AV129">
        <f t="shared" si="34"/>
        <v>10.5</v>
      </c>
      <c r="AW129">
        <f t="shared" si="35"/>
        <v>8.35</v>
      </c>
      <c r="AX129" s="4">
        <v>1</v>
      </c>
      <c r="AY129">
        <f t="shared" si="36"/>
        <v>0</v>
      </c>
      <c r="AZ129">
        <f>VLOOKUP($E129,Constants!$I:$K, 2, FALSE)</f>
        <v>1.1499999999999999</v>
      </c>
      <c r="BA129">
        <f>VLOOKUP($E129,Constants!$I:$K, 3, FALSE)*IF(AND(D129="multiple_unit",Y129&lt;110),0.75,1)</f>
        <v>1.7</v>
      </c>
      <c r="BB129">
        <f>INT(POWER(((Constants!$G$2+$AU129+$AV129+$AW129+$AY129)*$AX129)*$BA129, 1.05))+$AT129</f>
        <v>94</v>
      </c>
      <c r="BC129">
        <f>INT(POWER((((Constants!$G$1+$AU129+$AV129+$AW129+$AY129)*(1/$AX129))*$AZ129),IF($D129="wagon",1,1.2)))+$AS129</f>
        <v>144</v>
      </c>
      <c r="BD129" s="15">
        <f t="shared" si="47"/>
        <v>73437.5</v>
      </c>
      <c r="BE129" s="15">
        <f t="shared" si="48"/>
        <v>11700</v>
      </c>
      <c r="BN129">
        <v>6</v>
      </c>
      <c r="BR129" t="str">
        <f>VLOOKUP(G129,Eras!$A$2:$C$10, 2, TRUE)</f>
        <v>big4</v>
      </c>
      <c r="BS129" t="s">
        <v>368</v>
      </c>
      <c r="BT129" t="str">
        <f t="shared" si="49"/>
        <v>big4_Express</v>
      </c>
      <c r="BU129" t="str">
        <f t="shared" si="42"/>
        <v/>
      </c>
      <c r="BV129" t="str">
        <f t="shared" si="38"/>
        <v/>
      </c>
      <c r="BW129" t="s">
        <v>521</v>
      </c>
      <c r="BX129" t="str">
        <f t="shared" si="51"/>
        <v/>
      </c>
      <c r="BY129" t="str">
        <f t="shared" si="50"/>
        <v>{SILVER}The SR Merchant Navy is a large, powerful locomotive with an air-smoothed casing. Bulleid's novel design features proved to be troublesome, and the class was later rebuilt.</v>
      </c>
    </row>
    <row r="130" spans="1:77" x14ac:dyDescent="0.25">
      <c r="A130" t="s">
        <v>13</v>
      </c>
      <c r="B130" t="s">
        <v>193</v>
      </c>
      <c r="C130">
        <v>254</v>
      </c>
      <c r="D130" t="s">
        <v>168</v>
      </c>
      <c r="E130" t="s">
        <v>311</v>
      </c>
      <c r="F130" t="s">
        <v>314</v>
      </c>
      <c r="G130">
        <v>1942</v>
      </c>
      <c r="T130">
        <v>72</v>
      </c>
      <c r="W130">
        <v>119</v>
      </c>
      <c r="X130" s="4">
        <f t="shared" si="75"/>
        <v>0.16527777777777777</v>
      </c>
      <c r="AE130" s="11">
        <v>0</v>
      </c>
      <c r="AF130" t="str">
        <f>CONCATENATE(VLOOKUP(AG130, 'Voxel Sizes'!$A$2:$B$18,2,FALSE),"x",INT(AC130*15), "x", INT(AD130*15))</f>
        <v>0x0x0</v>
      </c>
      <c r="AG130">
        <f t="shared" si="46"/>
        <v>0</v>
      </c>
      <c r="AI130" t="str">
        <f>CONCATENATE(VLOOKUP(AG130,Constants!$A$2:$C$16,IF(AH130&lt;&gt;"", 3, 2), FALSE),IF(AH130&lt;&gt;"",CONCATENATE(",",VLOOKUP(AH130,$B:$AI,34,FALSE)),""))</f>
        <v>na</v>
      </c>
      <c r="AQ130">
        <v>30</v>
      </c>
      <c r="AR130" t="str">
        <f t="shared" ref="AR130:AR193" si="76">IF(I130&lt;&gt;"",MAX(8,(I130-G130)-4),"")</f>
        <v/>
      </c>
      <c r="AU130">
        <f t="shared" ref="AU130:AU193" si="77">MIN(Y130/150, 1)*30</f>
        <v>0</v>
      </c>
      <c r="AV130">
        <f t="shared" ref="AV130:AV193" si="78">MIN(K130/4000, 1)*20</f>
        <v>0</v>
      </c>
      <c r="AW130">
        <f t="shared" ref="AW130:AW193" si="79">MIN(W130/400,1)*20</f>
        <v>5.9499999999999993</v>
      </c>
      <c r="AX130" s="4">
        <v>1</v>
      </c>
      <c r="AY130">
        <f t="shared" ref="AY130:AY193" si="80">((MAX($J130,1)*MIN($AE130/300,1)))*IF(D130="Wagon",50,10)</f>
        <v>0</v>
      </c>
      <c r="AZ130">
        <f>VLOOKUP($E130,Constants!$I:$K, 2, FALSE)</f>
        <v>1.1499999999999999</v>
      </c>
      <c r="BA130">
        <f>VLOOKUP($E130,Constants!$I:$K, 3, FALSE)*IF(AND(D130="multiple_unit",Y130&lt;110),0.75,1)</f>
        <v>1.7</v>
      </c>
      <c r="BB130">
        <f>INT(POWER(((Constants!$G$2+$AU130+$AV130+$AW130+$AY130)*$AX130)*$BA130, 1.05))+$AT130</f>
        <v>21</v>
      </c>
      <c r="BC130">
        <f>INT(POWER((((Constants!$G$1+$AU130+$AV130+$AW130+$AY130)*(1/$AX130))*$AZ130),IF($D130="wagon",1,1.2)))+$AS130</f>
        <v>45</v>
      </c>
      <c r="BD130" s="15">
        <f t="shared" si="47"/>
        <v>16406.25</v>
      </c>
      <c r="BE130" s="15">
        <f t="shared" si="48"/>
        <v>3656.25</v>
      </c>
      <c r="BN130">
        <v>7</v>
      </c>
      <c r="BR130" t="str">
        <f>VLOOKUP(G130,Eras!$A$2:$C$10, 2, TRUE)</f>
        <v>big4</v>
      </c>
      <c r="BT130" t="str">
        <f t="shared" si="49"/>
        <v>big4_</v>
      </c>
      <c r="BU130" t="str">
        <f t="shared" si="42"/>
        <v/>
      </c>
      <c r="BV130" t="str">
        <f t="shared" ref="BV130:BV193" si="81">IF(J130&gt;1,_xlfn.CONCAT("{BLACK}Cars: {GOLD}", J130, "{}"),"")</f>
        <v/>
      </c>
      <c r="BX130" t="str">
        <f t="shared" si="51"/>
        <v/>
      </c>
      <c r="BY130" t="str">
        <f t="shared" si="50"/>
        <v>{SILVER}</v>
      </c>
    </row>
    <row r="131" spans="1:77" x14ac:dyDescent="0.25">
      <c r="A131" t="s">
        <v>67</v>
      </c>
      <c r="B131" t="s">
        <v>192</v>
      </c>
      <c r="C131">
        <v>256</v>
      </c>
      <c r="D131" t="s">
        <v>302</v>
      </c>
      <c r="E131" t="s">
        <v>336</v>
      </c>
      <c r="F131" t="s">
        <v>343</v>
      </c>
      <c r="G131">
        <v>1941</v>
      </c>
      <c r="H131">
        <v>1948</v>
      </c>
      <c r="I131">
        <v>1968</v>
      </c>
      <c r="K131">
        <v>1470</v>
      </c>
      <c r="T131">
        <v>101</v>
      </c>
      <c r="W131">
        <v>178</v>
      </c>
      <c r="X131" s="4">
        <f t="shared" si="75"/>
        <v>0.17623762376237623</v>
      </c>
      <c r="Y131">
        <v>75</v>
      </c>
      <c r="Z131">
        <v>1</v>
      </c>
      <c r="AA131">
        <v>17</v>
      </c>
      <c r="AB131">
        <v>17</v>
      </c>
      <c r="AE131" s="11">
        <v>0</v>
      </c>
      <c r="AF131" t="str">
        <f>CONCATENATE(VLOOKUP(AG131, 'Voxel Sizes'!$A$2:$B$18,2,FALSE),"x",INT(AC131*15), "x", INT(AD131*15))</f>
        <v>164x0x0</v>
      </c>
      <c r="AG131">
        <f t="shared" si="46"/>
        <v>10</v>
      </c>
      <c r="AI131" t="str">
        <f>CONCATENATE(VLOOKUP(AG131,Constants!$A$2:$C$16,IF(AH131&lt;&gt;"", 3, 2), FALSE),IF(AH131&lt;&gt;"",CONCATENATE(",",VLOOKUP(AH131,$B:$AI,34,FALSE)),""))</f>
        <v>4,2,4</v>
      </c>
      <c r="AQ131">
        <v>31</v>
      </c>
      <c r="AR131">
        <f t="shared" si="76"/>
        <v>23</v>
      </c>
      <c r="AU131">
        <f t="shared" si="77"/>
        <v>15</v>
      </c>
      <c r="AV131">
        <f t="shared" si="78"/>
        <v>7.35</v>
      </c>
      <c r="AW131">
        <f t="shared" si="79"/>
        <v>8.9</v>
      </c>
      <c r="AX131" s="4">
        <v>1</v>
      </c>
      <c r="AY131">
        <f t="shared" si="80"/>
        <v>0</v>
      </c>
      <c r="AZ131">
        <f>VLOOKUP($E131,Constants!$I:$K, 2, FALSE)</f>
        <v>0.85</v>
      </c>
      <c r="BA131">
        <f>VLOOKUP($E131,Constants!$I:$K, 3, FALSE)*IF(AND(D131="multiple_unit",Y131&lt;110),0.75,1)</f>
        <v>2.2999999999999998</v>
      </c>
      <c r="BB131">
        <f>INT(POWER(((Constants!$G$2+$AU131+$AV131+$AW131+$AY131)*$AX131)*$BA131, 1.05))+$AT131</f>
        <v>104</v>
      </c>
      <c r="BC131">
        <f>INT(POWER((((Constants!$G$1+$AU131+$AV131+$AW131+$AY131)*(1/$AX131))*$AZ131),IF($D131="wagon",1,1.2)))+$AS131</f>
        <v>81</v>
      </c>
      <c r="BD131" s="15">
        <f t="shared" si="47"/>
        <v>81250</v>
      </c>
      <c r="BE131" s="15">
        <f t="shared" si="48"/>
        <v>6581.25</v>
      </c>
      <c r="BN131">
        <v>8</v>
      </c>
      <c r="BR131" t="str">
        <f>VLOOKUP(G131,Eras!$A$2:$C$10, 2, TRUE)</f>
        <v>big4</v>
      </c>
      <c r="BS131" t="s">
        <v>377</v>
      </c>
      <c r="BT131" t="str">
        <f t="shared" si="49"/>
        <v>big4_MT (Electric)</v>
      </c>
      <c r="BU131" t="str">
        <f t="shared" ref="BU131:BU194" si="82">IF(AND(BG131&lt;&gt;Y131,BG131&lt;&gt;""),_xlfn.CONCAT("{BLACK}","Tare speed: ","{GOLD}{VELOCITY}{}"), "")</f>
        <v/>
      </c>
      <c r="BV131" t="str">
        <f t="shared" si="81"/>
        <v/>
      </c>
      <c r="BW131" t="s">
        <v>522</v>
      </c>
      <c r="BX131" t="str">
        <f t="shared" si="51"/>
        <v/>
      </c>
      <c r="BY131" t="str">
        <f t="shared" si="50"/>
        <v>{SILVER}With six traction motors, the CC is adept at handling both heavy freight and long passenger trains.</v>
      </c>
    </row>
    <row r="132" spans="1:77" x14ac:dyDescent="0.25">
      <c r="A132" t="s">
        <v>39</v>
      </c>
      <c r="B132" t="s">
        <v>523</v>
      </c>
      <c r="C132">
        <v>258</v>
      </c>
      <c r="D132" t="s">
        <v>302</v>
      </c>
      <c r="E132" t="s">
        <v>311</v>
      </c>
      <c r="F132" t="s">
        <v>314</v>
      </c>
      <c r="G132">
        <v>1942</v>
      </c>
      <c r="H132">
        <v>1942</v>
      </c>
      <c r="I132">
        <v>1966</v>
      </c>
      <c r="K132">
        <v>1600</v>
      </c>
      <c r="M132" s="6">
        <v>19</v>
      </c>
      <c r="N132" s="6">
        <v>26</v>
      </c>
      <c r="O132" s="6">
        <v>2</v>
      </c>
      <c r="P132" s="6">
        <v>230</v>
      </c>
      <c r="Q132" s="7">
        <f t="shared" ref="Q132:Q139" si="83">((($Y132/2)/60)*5280)/($R132*3.2*PI())</f>
        <v>218.83804675135607</v>
      </c>
      <c r="R132" s="6">
        <v>1.5</v>
      </c>
      <c r="S132" s="6">
        <f t="shared" ref="S132:S139" si="84">((($M132*$M132/4)*PI())*($N132/12)*$O132*$P132*$Q132)/(33000*1.1)</f>
        <v>1703.5827020202014</v>
      </c>
      <c r="T132">
        <v>50.3</v>
      </c>
      <c r="U132" s="9">
        <f>90.7-T132</f>
        <v>40.400000000000006</v>
      </c>
      <c r="W132">
        <v>134</v>
      </c>
      <c r="X132" s="4">
        <f t="shared" si="75"/>
        <v>0.14773980154355015</v>
      </c>
      <c r="Y132">
        <v>75</v>
      </c>
      <c r="Z132">
        <v>1</v>
      </c>
      <c r="AA132">
        <v>16.73</v>
      </c>
      <c r="AB132">
        <v>10</v>
      </c>
      <c r="AE132" s="11">
        <v>0</v>
      </c>
      <c r="AF132" t="str">
        <f>CONCATENATE(VLOOKUP(AG132, 'Voxel Sizes'!$A$2:$B$18,2,FALSE),"x",INT(AC132*15), "x", INT(AD132*15))</f>
        <v>102x0x0</v>
      </c>
      <c r="AG132">
        <f t="shared" si="46"/>
        <v>6</v>
      </c>
      <c r="AH132" t="s">
        <v>525</v>
      </c>
      <c r="AI132" t="str">
        <f>CONCATENATE(VLOOKUP(AG132,Constants!$A$2:$C$16,IF(AH132&lt;&gt;"", 3, 2), FALSE),IF(AH132&lt;&gt;"",CONCATENATE(",",VLOOKUP(AH132,$B:$AI,34,FALSE)),""))</f>
        <v>2,2,2,1,2,1</v>
      </c>
      <c r="AO132">
        <v>1</v>
      </c>
      <c r="AQ132">
        <v>25</v>
      </c>
      <c r="AR132">
        <f t="shared" si="76"/>
        <v>20</v>
      </c>
      <c r="AU132">
        <f t="shared" si="77"/>
        <v>15</v>
      </c>
      <c r="AV132">
        <f t="shared" si="78"/>
        <v>8</v>
      </c>
      <c r="AW132">
        <f t="shared" si="79"/>
        <v>6.7</v>
      </c>
      <c r="AX132" s="4">
        <v>1</v>
      </c>
      <c r="AY132">
        <f t="shared" si="80"/>
        <v>0</v>
      </c>
      <c r="AZ132">
        <f>VLOOKUP($E132,Constants!$I:$K, 2, FALSE)</f>
        <v>1.1499999999999999</v>
      </c>
      <c r="BA132">
        <f>VLOOKUP($E132,Constants!$I:$K, 3, FALSE)*IF(AND(D132="multiple_unit",Y132&lt;110),0.75,1)</f>
        <v>1.7</v>
      </c>
      <c r="BB132">
        <f>INT(POWER(((Constants!$G$2+$AU132+$AV132+$AW132+$AY132)*$AX132)*$BA132, 1.05))+$AT132</f>
        <v>72</v>
      </c>
      <c r="BC132">
        <f>INT(POWER((((Constants!$G$1+$AU132+$AV132+$AW132+$AY132)*(1/$AX132))*$AZ132),IF($D132="wagon",1,1.2)))+$AS132</f>
        <v>113</v>
      </c>
      <c r="BD132" s="15">
        <f t="shared" si="47"/>
        <v>56250</v>
      </c>
      <c r="BE132" s="15">
        <f t="shared" si="48"/>
        <v>9181.25</v>
      </c>
      <c r="BN132">
        <v>9</v>
      </c>
      <c r="BR132" t="str">
        <f>VLOOKUP(G132,Eras!$A$2:$C$10, 2, TRUE)</f>
        <v>big4</v>
      </c>
      <c r="BS132" t="s">
        <v>366</v>
      </c>
      <c r="BT132" t="str">
        <f t="shared" si="49"/>
        <v>big4_Cheap</v>
      </c>
      <c r="BU132" t="str">
        <f t="shared" si="82"/>
        <v/>
      </c>
      <c r="BV132" t="str">
        <f t="shared" si="81"/>
        <v/>
      </c>
      <c r="BW132" t="s">
        <v>524</v>
      </c>
      <c r="BX132" t="str">
        <f t="shared" si="51"/>
        <v/>
      </c>
      <c r="BY132" t="str">
        <f t="shared" si="50"/>
        <v>{SILVER}The Q1 was designed for function over form and the most efficient possible use of materials.</v>
      </c>
    </row>
    <row r="133" spans="1:77" x14ac:dyDescent="0.25">
      <c r="A133" t="s">
        <v>527</v>
      </c>
      <c r="B133" t="s">
        <v>252</v>
      </c>
      <c r="C133">
        <v>260</v>
      </c>
      <c r="D133" t="s">
        <v>302</v>
      </c>
      <c r="E133" t="s">
        <v>311</v>
      </c>
      <c r="F133" t="s">
        <v>314</v>
      </c>
      <c r="G133">
        <v>1943</v>
      </c>
      <c r="H133">
        <v>1964</v>
      </c>
      <c r="I133">
        <v>1967</v>
      </c>
      <c r="K133">
        <v>500</v>
      </c>
      <c r="M133" s="6">
        <v>18</v>
      </c>
      <c r="N133" s="6">
        <v>26</v>
      </c>
      <c r="O133" s="6">
        <v>2</v>
      </c>
      <c r="P133" s="6">
        <v>170</v>
      </c>
      <c r="Q133" s="7">
        <f t="shared" si="83"/>
        <v>94.268697062122627</v>
      </c>
      <c r="R133" s="6">
        <v>1.3</v>
      </c>
      <c r="S133" s="6">
        <f t="shared" si="84"/>
        <v>486.8181818181817</v>
      </c>
      <c r="T133">
        <v>49</v>
      </c>
      <c r="W133">
        <v>106</v>
      </c>
      <c r="X133" s="4">
        <f t="shared" si="75"/>
        <v>0.21632653061224491</v>
      </c>
      <c r="Y133">
        <v>28</v>
      </c>
      <c r="Z133">
        <v>1</v>
      </c>
      <c r="AA133">
        <v>9.25</v>
      </c>
      <c r="AB133">
        <v>9.25</v>
      </c>
      <c r="AE133" s="11">
        <v>0</v>
      </c>
      <c r="AF133" t="str">
        <f>CONCATENATE(VLOOKUP(AG133, 'Voxel Sizes'!$A$2:$B$18,2,FALSE),"x",INT(AC133*15), "x", INT(AD133*15))</f>
        <v>82x0x0</v>
      </c>
      <c r="AG133">
        <f t="shared" si="46"/>
        <v>5</v>
      </c>
      <c r="AI133" t="str">
        <f>CONCATENATE(VLOOKUP(AG133,Constants!$A$2:$C$16,IF(AH133&lt;&gt;"", 3, 2), FALSE),IF(AH133&lt;&gt;"",CONCATENATE(",",VLOOKUP(AH133,$B:$AI,34,FALSE)),""))</f>
        <v>2,1,2</v>
      </c>
      <c r="AO133">
        <v>1</v>
      </c>
      <c r="AQ133">
        <v>23</v>
      </c>
      <c r="AR133">
        <f t="shared" si="76"/>
        <v>20</v>
      </c>
      <c r="AU133">
        <f t="shared" si="77"/>
        <v>5.6000000000000005</v>
      </c>
      <c r="AV133">
        <f t="shared" si="78"/>
        <v>2.5</v>
      </c>
      <c r="AW133">
        <f t="shared" si="79"/>
        <v>5.3000000000000007</v>
      </c>
      <c r="AX133" s="4">
        <v>1</v>
      </c>
      <c r="AY133">
        <f t="shared" si="80"/>
        <v>0</v>
      </c>
      <c r="AZ133">
        <f>VLOOKUP($E133,Constants!$I:$K, 2, FALSE)</f>
        <v>1.1499999999999999</v>
      </c>
      <c r="BA133">
        <f>VLOOKUP($E133,Constants!$I:$K, 3, FALSE)*IF(AND(D133="multiple_unit",Y133&lt;110),0.75,1)</f>
        <v>1.7</v>
      </c>
      <c r="BB133">
        <f>INT(POWER(((Constants!$G$2+$AU133+$AV133+$AW133+$AY133)*$AX133)*$BA133, 1.05))+$AT133</f>
        <v>37</v>
      </c>
      <c r="BC133">
        <f>INT(POWER((((Constants!$G$1+$AU133+$AV133+$AW133+$AY133)*(1/$AX133))*$AZ133),IF($D133="wagon",1,1.2)))+$AS133</f>
        <v>65</v>
      </c>
      <c r="BD133" s="15">
        <f t="shared" si="47"/>
        <v>28906.25</v>
      </c>
      <c r="BE133" s="15">
        <f t="shared" si="48"/>
        <v>5281.25</v>
      </c>
      <c r="BN133">
        <v>10</v>
      </c>
      <c r="BR133" t="str">
        <f>VLOOKUP(G133,Eras!$A$2:$C$10, 2, TRUE)</f>
        <v>big4</v>
      </c>
      <c r="BS133" t="s">
        <v>366</v>
      </c>
      <c r="BT133" t="str">
        <f t="shared" si="49"/>
        <v>big4_Cheap</v>
      </c>
      <c r="BU133" t="str">
        <f t="shared" si="82"/>
        <v/>
      </c>
      <c r="BV133" t="str">
        <f t="shared" si="81"/>
        <v/>
      </c>
      <c r="BW133" t="s">
        <v>528</v>
      </c>
      <c r="BX133" t="str">
        <f t="shared" si="51"/>
        <v/>
      </c>
      <c r="BY133" t="str">
        <f t="shared" si="50"/>
        <v>{SILVER}Hunslet's Austerity was designed for shunting duties. It's powerful for its size with good adhesion, but does not run well at higher speeds.</v>
      </c>
    </row>
    <row r="134" spans="1:77" x14ac:dyDescent="0.25">
      <c r="A134" t="s">
        <v>38</v>
      </c>
      <c r="B134" t="s">
        <v>530</v>
      </c>
      <c r="C134">
        <v>262</v>
      </c>
      <c r="D134" t="s">
        <v>302</v>
      </c>
      <c r="E134" t="s">
        <v>311</v>
      </c>
      <c r="F134" t="s">
        <v>314</v>
      </c>
      <c r="G134">
        <v>1943</v>
      </c>
      <c r="H134">
        <v>1945</v>
      </c>
      <c r="I134">
        <v>1962</v>
      </c>
      <c r="K134">
        <v>1200</v>
      </c>
      <c r="M134" s="6">
        <v>19</v>
      </c>
      <c r="N134" s="6">
        <v>28</v>
      </c>
      <c r="O134" s="6">
        <v>2</v>
      </c>
      <c r="P134" s="6">
        <v>225</v>
      </c>
      <c r="Q134" s="7">
        <f t="shared" si="83"/>
        <v>212.58553112988881</v>
      </c>
      <c r="R134" s="6">
        <v>1.4</v>
      </c>
      <c r="S134" s="6">
        <f t="shared" si="84"/>
        <v>1743.4659090909092</v>
      </c>
      <c r="T134">
        <v>71.400000000000006</v>
      </c>
      <c r="U134" s="9">
        <v>56.4</v>
      </c>
      <c r="W134">
        <v>152</v>
      </c>
      <c r="X134" s="4">
        <f t="shared" si="75"/>
        <v>0.1189358372456964</v>
      </c>
      <c r="Y134">
        <v>68</v>
      </c>
      <c r="AA134">
        <v>19.350000000000001</v>
      </c>
      <c r="AB134">
        <v>11.7</v>
      </c>
      <c r="AE134" s="11">
        <v>0</v>
      </c>
      <c r="AF134" t="str">
        <f>CONCATENATE(VLOOKUP(AG134, 'Voxel Sizes'!$A$2:$B$18,2,FALSE),"x",INT(AC134*15), "x", INT(AD134*15))</f>
        <v>120x0x0</v>
      </c>
      <c r="AG134">
        <f t="shared" si="46"/>
        <v>7</v>
      </c>
      <c r="AH134" t="s">
        <v>532</v>
      </c>
      <c r="AI134" t="str">
        <f>CONCATENATE(VLOOKUP(AG134,Constants!$A$2:$C$16,IF(AH134&lt;&gt;"", 3, 2), FALSE),IF(AH134&lt;&gt;"",CONCATENATE(",",VLOOKUP(AH134,$B:$AI,34,FALSE)),""))</f>
        <v>2,3,2,1,2,1</v>
      </c>
      <c r="AO134">
        <v>1</v>
      </c>
      <c r="AQ134">
        <v>26</v>
      </c>
      <c r="AR134">
        <f t="shared" si="76"/>
        <v>15</v>
      </c>
      <c r="AU134">
        <f t="shared" si="77"/>
        <v>13.6</v>
      </c>
      <c r="AV134">
        <f t="shared" si="78"/>
        <v>6</v>
      </c>
      <c r="AW134">
        <f t="shared" si="79"/>
        <v>7.6</v>
      </c>
      <c r="AX134" s="4">
        <v>1</v>
      </c>
      <c r="AY134">
        <f t="shared" si="80"/>
        <v>0</v>
      </c>
      <c r="AZ134">
        <f>VLOOKUP($E134,Constants!$I:$K, 2, FALSE)</f>
        <v>1.1499999999999999</v>
      </c>
      <c r="BA134">
        <f>VLOOKUP($E134,Constants!$I:$K, 3, FALSE)*IF(AND(D134="multiple_unit",Y134&lt;110),0.75,1)</f>
        <v>1.7</v>
      </c>
      <c r="BB134">
        <f>INT(POWER(((Constants!$G$2+$AU134+$AV134+$AW134+$AY134)*$AX134)*$BA134, 1.05))+$AT134</f>
        <v>66</v>
      </c>
      <c r="BC134">
        <f>INT(POWER((((Constants!$G$1+$AU134+$AV134+$AW134+$AY134)*(1/$AX134))*$AZ134),IF($D134="wagon",1,1.2)))+$AS134</f>
        <v>105</v>
      </c>
      <c r="BD134" s="15">
        <f t="shared" si="47"/>
        <v>51562.5</v>
      </c>
      <c r="BE134" s="15">
        <f t="shared" si="48"/>
        <v>8531.25</v>
      </c>
      <c r="BN134">
        <v>11</v>
      </c>
      <c r="BR134" t="str">
        <f>VLOOKUP(G134,Eras!$A$2:$C$10, 2, TRUE)</f>
        <v>big4</v>
      </c>
      <c r="BS134" t="s">
        <v>369</v>
      </c>
      <c r="BT134" t="str">
        <f t="shared" si="49"/>
        <v>big4_Freight</v>
      </c>
      <c r="BU134" t="str">
        <f t="shared" si="82"/>
        <v/>
      </c>
      <c r="BV134" t="str">
        <f t="shared" si="81"/>
        <v/>
      </c>
      <c r="BW134" t="s">
        <v>529</v>
      </c>
      <c r="BX134" t="str">
        <f t="shared" si="51"/>
        <v/>
      </c>
      <c r="BY134" t="str">
        <f t="shared" si="50"/>
        <v>{SILVER}Robert Riddles adapted the LMS 8F for low cost and simple construction, resulting in this "austerity" freight locomotive.</v>
      </c>
    </row>
    <row r="135" spans="1:77" x14ac:dyDescent="0.25">
      <c r="A135" t="s">
        <v>535</v>
      </c>
      <c r="B135" t="s">
        <v>276</v>
      </c>
      <c r="C135">
        <v>264</v>
      </c>
      <c r="D135" t="s">
        <v>302</v>
      </c>
      <c r="E135" t="s">
        <v>311</v>
      </c>
      <c r="F135" t="s">
        <v>314</v>
      </c>
      <c r="G135">
        <v>1944</v>
      </c>
      <c r="H135">
        <v>1950</v>
      </c>
      <c r="I135">
        <v>1965</v>
      </c>
      <c r="K135">
        <v>1700</v>
      </c>
      <c r="M135" s="6">
        <v>18.5</v>
      </c>
      <c r="N135" s="6">
        <v>30</v>
      </c>
      <c r="O135" s="6">
        <v>2</v>
      </c>
      <c r="P135" s="6">
        <v>225</v>
      </c>
      <c r="Q135" s="7">
        <f t="shared" si="83"/>
        <v>206.68037748739187</v>
      </c>
      <c r="R135" s="6">
        <v>1.8</v>
      </c>
      <c r="S135" s="6">
        <f t="shared" si="84"/>
        <v>1721.7832623106062</v>
      </c>
      <c r="T135">
        <v>77</v>
      </c>
      <c r="U135" s="9">
        <v>48</v>
      </c>
      <c r="W135">
        <v>121</v>
      </c>
      <c r="X135" s="4">
        <f t="shared" si="75"/>
        <v>9.6799999999999997E-2</v>
      </c>
      <c r="Y135">
        <v>85</v>
      </c>
      <c r="AA135">
        <v>19.2</v>
      </c>
      <c r="AB135">
        <v>11.7</v>
      </c>
      <c r="AD135">
        <v>4.01</v>
      </c>
      <c r="AE135" s="11">
        <v>0</v>
      </c>
      <c r="AF135" t="str">
        <f>CONCATENATE(VLOOKUP(AG135, 'Voxel Sizes'!$A$2:$B$18,2,FALSE),"x",INT(AC135*15), "x", INT(AD135*15))</f>
        <v>120x0x60</v>
      </c>
      <c r="AG135">
        <f t="shared" si="46"/>
        <v>7</v>
      </c>
      <c r="AH135" t="s">
        <v>470</v>
      </c>
      <c r="AI135" t="str">
        <f>CONCATENATE(VLOOKUP(AG135,Constants!$A$2:$C$16,IF(AH135&lt;&gt;"", 3, 2), FALSE),IF(AH135&lt;&gt;"",CONCATENATE(",",VLOOKUP(AH135,$B:$AI,34,FALSE)),""))</f>
        <v>2,3,2,2,1,2</v>
      </c>
      <c r="AN135" t="s">
        <v>481</v>
      </c>
      <c r="AO135">
        <v>1</v>
      </c>
      <c r="AQ135">
        <v>31</v>
      </c>
      <c r="AR135">
        <f t="shared" si="76"/>
        <v>17</v>
      </c>
      <c r="AU135">
        <f t="shared" si="77"/>
        <v>17</v>
      </c>
      <c r="AV135">
        <f t="shared" si="78"/>
        <v>8.5</v>
      </c>
      <c r="AW135">
        <f t="shared" si="79"/>
        <v>6.05</v>
      </c>
      <c r="AX135" s="4">
        <v>1</v>
      </c>
      <c r="AY135">
        <f t="shared" si="80"/>
        <v>0</v>
      </c>
      <c r="AZ135">
        <f>VLOOKUP($E135,Constants!$I:$K, 2, FALSE)</f>
        <v>1.1499999999999999</v>
      </c>
      <c r="BA135">
        <f>VLOOKUP($E135,Constants!$I:$K, 3, FALSE)*IF(AND(D135="multiple_unit",Y135&lt;110),0.75,1)</f>
        <v>1.7</v>
      </c>
      <c r="BB135">
        <f>INT(POWER(((Constants!$G$2+$AU135+$AV135+$AW135+$AY135)*$AX135)*$BA135, 1.05))+$AT135</f>
        <v>76</v>
      </c>
      <c r="BC135">
        <f>INT(POWER((((Constants!$G$1+$AU135+$AV135+$AW135+$AY135)*(1/$AX135))*$AZ135),IF($D135="wagon",1,1.2)))+$AS135</f>
        <v>118</v>
      </c>
      <c r="BD135" s="15">
        <f t="shared" si="47"/>
        <v>59375</v>
      </c>
      <c r="BE135" s="15">
        <f t="shared" si="48"/>
        <v>9587.5</v>
      </c>
      <c r="BN135">
        <v>12</v>
      </c>
      <c r="BR135" t="str">
        <f>VLOOKUP(G135,Eras!$A$2:$C$10, 2, TRUE)</f>
        <v>big4</v>
      </c>
      <c r="BS135" t="s">
        <v>367</v>
      </c>
      <c r="BT135" t="str">
        <f t="shared" si="49"/>
        <v>big4_Mixed Traffic</v>
      </c>
      <c r="BU135" t="str">
        <f t="shared" si="82"/>
        <v/>
      </c>
      <c r="BV135" t="str">
        <f t="shared" si="81"/>
        <v/>
      </c>
      <c r="BW135" t="s">
        <v>534</v>
      </c>
      <c r="BX135" t="str">
        <f t="shared" si="51"/>
        <v/>
      </c>
      <c r="BY135" t="str">
        <f t="shared" si="50"/>
        <v>{SILVER}While externally identical to the original Hall class, the Modified Hall was completely new on the inside with many design innovations.</v>
      </c>
    </row>
    <row r="136" spans="1:77" x14ac:dyDescent="0.25">
      <c r="A136" t="s">
        <v>536</v>
      </c>
      <c r="B136" t="s">
        <v>537</v>
      </c>
      <c r="C136">
        <v>266</v>
      </c>
      <c r="D136" t="s">
        <v>302</v>
      </c>
      <c r="E136" t="s">
        <v>311</v>
      </c>
      <c r="F136" t="s">
        <v>314</v>
      </c>
      <c r="G136">
        <v>1945</v>
      </c>
      <c r="H136">
        <v>1947</v>
      </c>
      <c r="I136">
        <v>1964</v>
      </c>
      <c r="K136">
        <v>2200</v>
      </c>
      <c r="M136" s="6">
        <v>18.5</v>
      </c>
      <c r="N136" s="6">
        <v>30</v>
      </c>
      <c r="O136" s="6">
        <v>2</v>
      </c>
      <c r="P136" s="6">
        <v>280</v>
      </c>
      <c r="Q136" s="7">
        <f t="shared" si="83"/>
        <v>230.35583868563802</v>
      </c>
      <c r="R136" s="6">
        <v>1.9</v>
      </c>
      <c r="S136" s="6">
        <f t="shared" si="84"/>
        <v>2388.1080542264754</v>
      </c>
      <c r="T136">
        <v>78.099999999999994</v>
      </c>
      <c r="U136" s="9">
        <v>49.8</v>
      </c>
      <c r="W136">
        <v>145</v>
      </c>
      <c r="X136" s="4">
        <f t="shared" si="75"/>
        <v>0.11336982017200939</v>
      </c>
      <c r="Y136">
        <v>100</v>
      </c>
      <c r="AA136">
        <v>19.21</v>
      </c>
      <c r="AB136">
        <v>11.7</v>
      </c>
      <c r="AD136">
        <v>4.08</v>
      </c>
      <c r="AE136" s="11">
        <v>0</v>
      </c>
      <c r="AF136" t="str">
        <f>CONCATENATE(VLOOKUP(AG136, 'Voxel Sizes'!$A$2:$B$18,2,FALSE),"x",INT(AC136*15), "x", INT(AD136*15))</f>
        <v>120x0x61</v>
      </c>
      <c r="AG136">
        <f t="shared" si="46"/>
        <v>7</v>
      </c>
      <c r="AH136" t="s">
        <v>470</v>
      </c>
      <c r="AI136" t="str">
        <f>CONCATENATE(VLOOKUP(AG136,Constants!$A$2:$C$16,IF(AH136&lt;&gt;"", 3, 2), FALSE),IF(AH136&lt;&gt;"",CONCATENATE(",",VLOOKUP(AH136,$B:$AI,34,FALSE)),""))</f>
        <v>2,3,2,2,1,2</v>
      </c>
      <c r="AO136">
        <v>1</v>
      </c>
      <c r="AQ136">
        <v>30</v>
      </c>
      <c r="AR136">
        <f t="shared" si="76"/>
        <v>15</v>
      </c>
      <c r="AU136">
        <f t="shared" si="77"/>
        <v>20</v>
      </c>
      <c r="AV136">
        <f t="shared" si="78"/>
        <v>11</v>
      </c>
      <c r="AW136">
        <f t="shared" si="79"/>
        <v>7.25</v>
      </c>
      <c r="AX136" s="4">
        <v>1</v>
      </c>
      <c r="AY136">
        <f t="shared" si="80"/>
        <v>0</v>
      </c>
      <c r="AZ136">
        <f>VLOOKUP($E136,Constants!$I:$K, 2, FALSE)</f>
        <v>1.1499999999999999</v>
      </c>
      <c r="BA136">
        <f>VLOOKUP($E136,Constants!$I:$K, 3, FALSE)*IF(AND(D136="multiple_unit",Y136&lt;110),0.75,1)</f>
        <v>1.7</v>
      </c>
      <c r="BB136">
        <f>INT(POWER(((Constants!$G$2+$AU136+$AV136+$AW136+$AY136)*$AX136)*$BA136, 1.05))+$AT136</f>
        <v>91</v>
      </c>
      <c r="BC136">
        <f>INT(POWER((((Constants!$G$1+$AU136+$AV136+$AW136+$AY136)*(1/$AX136))*$AZ136),IF($D136="wagon",1,1.2)))+$AS136</f>
        <v>139</v>
      </c>
      <c r="BD136" s="15">
        <f t="shared" si="47"/>
        <v>71093.75</v>
      </c>
      <c r="BE136" s="15">
        <f t="shared" si="48"/>
        <v>11293.75</v>
      </c>
      <c r="BN136">
        <v>1</v>
      </c>
      <c r="BR136" t="str">
        <f>VLOOKUP(G136,Eras!$A$2:$C$10, 2, TRUE)</f>
        <v>big4</v>
      </c>
      <c r="BS136" t="s">
        <v>368</v>
      </c>
      <c r="BT136" t="str">
        <f t="shared" si="49"/>
        <v>big4_Express</v>
      </c>
      <c r="BU136" t="str">
        <f t="shared" si="82"/>
        <v/>
      </c>
      <c r="BV136" t="str">
        <f t="shared" si="81"/>
        <v/>
      </c>
      <c r="BW136" t="s">
        <v>538</v>
      </c>
      <c r="BX136" t="str">
        <f t="shared" si="51"/>
        <v/>
      </c>
      <c r="BY136" t="str">
        <f t="shared" si="50"/>
        <v>{SILVER}The County Class was  Frederick Hawksworth's test of design ideas for a new Pacific. Sadly there was not enough demand for express steam locomotives in the late 1940s.</v>
      </c>
    </row>
    <row r="137" spans="1:77" x14ac:dyDescent="0.25">
      <c r="A137" t="s">
        <v>37</v>
      </c>
      <c r="B137" t="s">
        <v>540</v>
      </c>
      <c r="C137">
        <v>268</v>
      </c>
      <c r="D137" t="s">
        <v>302</v>
      </c>
      <c r="E137" t="s">
        <v>311</v>
      </c>
      <c r="F137" t="s">
        <v>314</v>
      </c>
      <c r="G137">
        <v>1945</v>
      </c>
      <c r="H137">
        <v>1951</v>
      </c>
      <c r="I137">
        <v>1967</v>
      </c>
      <c r="K137">
        <v>1800</v>
      </c>
      <c r="M137" s="6">
        <v>16.375</v>
      </c>
      <c r="N137" s="6">
        <v>24</v>
      </c>
      <c r="O137" s="6">
        <v>3</v>
      </c>
      <c r="P137" s="6">
        <v>280</v>
      </c>
      <c r="Q137" s="7">
        <f t="shared" si="83"/>
        <v>234.96295545935078</v>
      </c>
      <c r="R137" s="6">
        <v>1.9</v>
      </c>
      <c r="S137" s="6">
        <f t="shared" si="84"/>
        <v>2290.1005532296649</v>
      </c>
      <c r="T137">
        <v>87.4</v>
      </c>
      <c r="U137" s="9">
        <v>48</v>
      </c>
      <c r="W137">
        <v>138</v>
      </c>
      <c r="X137" s="4">
        <f t="shared" si="75"/>
        <v>0.10192023633677991</v>
      </c>
      <c r="Y137">
        <v>102</v>
      </c>
      <c r="AA137">
        <v>20.54</v>
      </c>
      <c r="AB137">
        <v>13</v>
      </c>
      <c r="AE137" s="11">
        <v>0</v>
      </c>
      <c r="AF137" t="str">
        <f>CONCATENATE(VLOOKUP(AG137, 'Voxel Sizes'!$A$2:$B$18,2,FALSE),"x",INT(AC137*15), "x", INT(AD137*15))</f>
        <v>136x0x0</v>
      </c>
      <c r="AG137">
        <f t="shared" si="46"/>
        <v>8</v>
      </c>
      <c r="AH137" t="s">
        <v>519</v>
      </c>
      <c r="AI137" t="str">
        <f>CONCATENATE(VLOOKUP(AG137,Constants!$A$2:$C$16,IF(AH137&lt;&gt;"", 3, 2), FALSE),IF(AH137&lt;&gt;"",CONCATENATE(",",VLOOKUP(AH137,$B:$AI,34,FALSE)),""))</f>
        <v>2,4,2,2,1,2</v>
      </c>
      <c r="AO137">
        <v>1</v>
      </c>
      <c r="AQ137">
        <v>30</v>
      </c>
      <c r="AR137">
        <f t="shared" si="76"/>
        <v>18</v>
      </c>
      <c r="AU137">
        <f t="shared" si="77"/>
        <v>20.400000000000002</v>
      </c>
      <c r="AV137">
        <f t="shared" si="78"/>
        <v>9</v>
      </c>
      <c r="AW137">
        <f t="shared" si="79"/>
        <v>6.8999999999999995</v>
      </c>
      <c r="AX137" s="4">
        <v>1</v>
      </c>
      <c r="AY137">
        <f t="shared" si="80"/>
        <v>0</v>
      </c>
      <c r="AZ137">
        <f>VLOOKUP($E137,Constants!$I:$K, 2, FALSE)</f>
        <v>1.1499999999999999</v>
      </c>
      <c r="BA137">
        <f>VLOOKUP($E137,Constants!$I:$K, 3, FALSE)*IF(AND(D137="multiple_unit",Y137&lt;110),0.75,1)</f>
        <v>1.7</v>
      </c>
      <c r="BB137">
        <f>INT(POWER(((Constants!$G$2+$AU137+$AV137+$AW137+$AY137)*$AX137)*$BA137, 1.05))+$AT137</f>
        <v>86</v>
      </c>
      <c r="BC137">
        <f>INT(POWER((((Constants!$G$1+$AU137+$AV137+$AW137+$AY137)*(1/$AX137))*$AZ137),IF($D137="wagon",1,1.2)))+$AS137</f>
        <v>133</v>
      </c>
      <c r="BD137" s="15">
        <f t="shared" si="47"/>
        <v>67187.5</v>
      </c>
      <c r="BE137" s="15">
        <f t="shared" si="48"/>
        <v>10806.25</v>
      </c>
      <c r="BN137">
        <v>2</v>
      </c>
      <c r="BR137" t="str">
        <f>VLOOKUP(G137,Eras!$A$2:$C$10, 2, TRUE)</f>
        <v>big4</v>
      </c>
      <c r="BS137" t="s">
        <v>367</v>
      </c>
      <c r="BT137" t="str">
        <f t="shared" si="49"/>
        <v>big4_Mixed Traffic</v>
      </c>
      <c r="BU137" t="str">
        <f t="shared" si="82"/>
        <v/>
      </c>
      <c r="BV137" t="str">
        <f t="shared" si="81"/>
        <v/>
      </c>
      <c r="BW137" t="s">
        <v>539</v>
      </c>
      <c r="BX137" t="str">
        <f t="shared" si="51"/>
        <v/>
      </c>
      <c r="BY137" t="str">
        <f t="shared" si="50"/>
        <v>{SILVER}Bulleid's "Light Pacific" is a smaller and lighter version of the Merchant Navy, capable of operating on more routes.</v>
      </c>
    </row>
    <row r="138" spans="1:77" x14ac:dyDescent="0.25">
      <c r="A138" t="s">
        <v>40</v>
      </c>
      <c r="B138" t="s">
        <v>542</v>
      </c>
      <c r="C138">
        <v>270</v>
      </c>
      <c r="D138" t="s">
        <v>302</v>
      </c>
      <c r="E138" t="s">
        <v>311</v>
      </c>
      <c r="F138" t="s">
        <v>314</v>
      </c>
      <c r="G138">
        <v>1946</v>
      </c>
      <c r="H138">
        <v>1949</v>
      </c>
      <c r="I138">
        <v>1951</v>
      </c>
      <c r="K138">
        <v>1800</v>
      </c>
      <c r="M138" s="6">
        <v>12.25</v>
      </c>
      <c r="N138" s="6">
        <v>15</v>
      </c>
      <c r="O138" s="6">
        <v>6</v>
      </c>
      <c r="P138" s="6">
        <v>280</v>
      </c>
      <c r="Q138" s="7">
        <f t="shared" si="83"/>
        <v>262.60565610162729</v>
      </c>
      <c r="R138" s="6">
        <v>1.5</v>
      </c>
      <c r="S138" s="6">
        <f t="shared" si="84"/>
        <v>1790.518465909091</v>
      </c>
      <c r="T138">
        <v>152</v>
      </c>
      <c r="W138">
        <v>117</v>
      </c>
      <c r="X138" s="4">
        <f t="shared" si="75"/>
        <v>7.6973684210526319E-2</v>
      </c>
      <c r="Y138">
        <v>90</v>
      </c>
      <c r="Z138">
        <v>1</v>
      </c>
      <c r="AA138">
        <v>20.420000000000002</v>
      </c>
      <c r="AB138">
        <v>20.420000000000002</v>
      </c>
      <c r="AE138" s="11">
        <v>0</v>
      </c>
      <c r="AF138" t="str">
        <f>CONCATENATE(VLOOKUP(AG138, 'Voxel Sizes'!$A$2:$B$18,2,FALSE),"x",INT(AC138*15), "x", INT(AD138*15))</f>
        <v>198x0x0</v>
      </c>
      <c r="AG138">
        <f t="shared" si="46"/>
        <v>12</v>
      </c>
      <c r="AI138" t="str">
        <f>CONCATENATE(VLOOKUP(AG138,Constants!$A$2:$C$16,IF(AH138&lt;&gt;"", 3, 2), FALSE),IF(AH138&lt;&gt;"",CONCATENATE(",",VLOOKUP(AH138,$B:$AI,34,FALSE)),""))</f>
        <v>4,4,4</v>
      </c>
      <c r="AQ138">
        <v>19</v>
      </c>
      <c r="AR138">
        <f t="shared" si="76"/>
        <v>8</v>
      </c>
      <c r="AU138">
        <f t="shared" si="77"/>
        <v>18</v>
      </c>
      <c r="AV138">
        <f t="shared" si="78"/>
        <v>9</v>
      </c>
      <c r="AW138">
        <f t="shared" si="79"/>
        <v>5.85</v>
      </c>
      <c r="AX138" s="4">
        <v>1</v>
      </c>
      <c r="AY138">
        <f t="shared" si="80"/>
        <v>0</v>
      </c>
      <c r="AZ138">
        <f>VLOOKUP($E138,Constants!$I:$K, 2, FALSE)</f>
        <v>1.1499999999999999</v>
      </c>
      <c r="BA138">
        <f>VLOOKUP($E138,Constants!$I:$K, 3, FALSE)*IF(AND(D138="multiple_unit",Y138&lt;110),0.75,1)</f>
        <v>1.7</v>
      </c>
      <c r="BB138">
        <f>INT(POWER(((Constants!$G$2+$AU138+$AV138+$AW138+$AY138)*$AX138)*$BA138, 1.05))+$AT138</f>
        <v>79</v>
      </c>
      <c r="BC138">
        <f>INT(POWER((((Constants!$G$1+$AU138+$AV138+$AW138+$AY138)*(1/$AX138))*$AZ138),IF($D138="wagon",1,1.2)))+$AS138</f>
        <v>122</v>
      </c>
      <c r="BD138" s="15">
        <f t="shared" si="47"/>
        <v>61718.75</v>
      </c>
      <c r="BE138" s="15">
        <f t="shared" si="48"/>
        <v>9912.5</v>
      </c>
      <c r="BN138">
        <v>3</v>
      </c>
      <c r="BR138" t="str">
        <f>VLOOKUP(G138,Eras!$A$2:$C$10, 2, TRUE)</f>
        <v>big4</v>
      </c>
      <c r="BS138" t="s">
        <v>367</v>
      </c>
      <c r="BT138" t="str">
        <f t="shared" si="49"/>
        <v>big4_Mixed Traffic</v>
      </c>
      <c r="BU138" t="str">
        <f t="shared" si="82"/>
        <v/>
      </c>
      <c r="BV138" t="str">
        <f t="shared" si="81"/>
        <v/>
      </c>
      <c r="BW138" t="s">
        <v>541</v>
      </c>
      <c r="BX138" t="str">
        <f t="shared" si="51"/>
        <v/>
      </c>
      <c r="BY138" t="str">
        <f t="shared" si="50"/>
        <v>{SILVER}The Leader was an attempt to make a steam locomotive as easy to operate as a diesel or electric. Complexity, poor reliability and uncomfortably hot cabs caused the project to be scrapped by 1951.</v>
      </c>
    </row>
    <row r="139" spans="1:77" x14ac:dyDescent="0.25">
      <c r="A139" t="s">
        <v>543</v>
      </c>
      <c r="B139" t="s">
        <v>544</v>
      </c>
      <c r="C139">
        <v>272</v>
      </c>
      <c r="D139" t="s">
        <v>302</v>
      </c>
      <c r="E139" t="s">
        <v>311</v>
      </c>
      <c r="F139" t="s">
        <v>314</v>
      </c>
      <c r="G139">
        <v>1946</v>
      </c>
      <c r="H139">
        <v>1953</v>
      </c>
      <c r="I139">
        <v>1967</v>
      </c>
      <c r="K139">
        <v>1000</v>
      </c>
      <c r="M139" s="6">
        <v>16</v>
      </c>
      <c r="N139" s="6">
        <v>24</v>
      </c>
      <c r="O139" s="6">
        <v>2</v>
      </c>
      <c r="P139" s="6">
        <v>200</v>
      </c>
      <c r="Q139" s="7">
        <f t="shared" si="83"/>
        <v>233.42724986811314</v>
      </c>
      <c r="R139" s="6">
        <v>1.5</v>
      </c>
      <c r="S139" s="6">
        <f t="shared" si="84"/>
        <v>1034.3434343434342</v>
      </c>
      <c r="T139">
        <v>47.9</v>
      </c>
      <c r="U139" s="9">
        <v>37.700000000000003</v>
      </c>
      <c r="W139">
        <v>77</v>
      </c>
      <c r="X139" s="4">
        <f t="shared" si="75"/>
        <v>8.9953271028037379E-2</v>
      </c>
      <c r="Y139">
        <v>80</v>
      </c>
      <c r="AA139">
        <v>16.2</v>
      </c>
      <c r="AB139">
        <f>AA139-6</f>
        <v>10.199999999999999</v>
      </c>
      <c r="AE139" s="11">
        <v>0</v>
      </c>
      <c r="AF139" t="str">
        <f>CONCATENATE(VLOOKUP(AG139, 'Voxel Sizes'!$A$2:$B$18,2,FALSE),"x",INT(AC139*15), "x", INT(AD139*15))</f>
        <v>102x0x0</v>
      </c>
      <c r="AG139">
        <f t="shared" si="46"/>
        <v>6</v>
      </c>
      <c r="AH139" t="s">
        <v>545</v>
      </c>
      <c r="AI139" t="str">
        <f>CONCATENATE(VLOOKUP(AG139,Constants!$A$2:$C$16,IF(AH139&lt;&gt;"", 3, 2), FALSE),IF(AH139&lt;&gt;"",CONCATENATE(",",VLOOKUP(AH139,$B:$AI,34,FALSE)),""))</f>
        <v>2,2,2,1,2,1</v>
      </c>
      <c r="AO139">
        <v>1</v>
      </c>
      <c r="AQ139">
        <v>30</v>
      </c>
      <c r="AR139">
        <f t="shared" si="76"/>
        <v>17</v>
      </c>
      <c r="AU139">
        <f t="shared" si="77"/>
        <v>16</v>
      </c>
      <c r="AV139">
        <f t="shared" si="78"/>
        <v>5</v>
      </c>
      <c r="AW139">
        <f t="shared" si="79"/>
        <v>3.85</v>
      </c>
      <c r="AX139" s="4">
        <v>1</v>
      </c>
      <c r="AY139">
        <f t="shared" si="80"/>
        <v>0</v>
      </c>
      <c r="AZ139">
        <f>VLOOKUP($E139,Constants!$I:$K, 2, FALSE)</f>
        <v>1.1499999999999999</v>
      </c>
      <c r="BA139">
        <f>VLOOKUP($E139,Constants!$I:$K, 3, FALSE)*IF(AND(D139="multiple_unit",Y139&lt;110),0.75,1)</f>
        <v>1.7</v>
      </c>
      <c r="BB139">
        <f>INT(POWER(((Constants!$G$2+$AU139+$AV139+$AW139+$AY139)*$AX139)*$BA139, 1.05))+$AT139</f>
        <v>61</v>
      </c>
      <c r="BC139">
        <f>INT(POWER((((Constants!$G$1+$AU139+$AV139+$AW139+$AY139)*(1/$AX139))*$AZ139),IF($D139="wagon",1,1.2)))+$AS139</f>
        <v>98</v>
      </c>
      <c r="BD139" s="15">
        <f t="shared" si="47"/>
        <v>47656.25</v>
      </c>
      <c r="BE139" s="15">
        <f t="shared" si="48"/>
        <v>7962.5</v>
      </c>
      <c r="BN139">
        <v>4</v>
      </c>
      <c r="BR139" t="str">
        <f>VLOOKUP(G139,Eras!$A$2:$C$10, 2, TRUE)</f>
        <v>big4</v>
      </c>
      <c r="BS139" t="s">
        <v>366</v>
      </c>
      <c r="BT139" t="str">
        <f t="shared" si="49"/>
        <v>big4_Cheap</v>
      </c>
      <c r="BU139" t="str">
        <f t="shared" si="82"/>
        <v/>
      </c>
      <c r="BV139" t="str">
        <f t="shared" si="81"/>
        <v/>
      </c>
      <c r="BW139" t="s">
        <v>547</v>
      </c>
      <c r="BX139" t="str">
        <f t="shared" si="51"/>
        <v/>
      </c>
      <c r="BY139" t="str">
        <f t="shared" si="50"/>
        <v>{SILVER}The Ivatt Class 2 is a light, low-powered Mogul designed to replace the LMS fleet of 0-6-0 engines.</v>
      </c>
    </row>
    <row r="140" spans="1:77" x14ac:dyDescent="0.25">
      <c r="A140" t="s">
        <v>68</v>
      </c>
      <c r="B140" t="s">
        <v>194</v>
      </c>
      <c r="C140">
        <v>274</v>
      </c>
      <c r="D140" t="s">
        <v>302</v>
      </c>
      <c r="E140" t="s">
        <v>312</v>
      </c>
      <c r="F140" t="s">
        <v>314</v>
      </c>
      <c r="G140">
        <v>1947</v>
      </c>
      <c r="H140">
        <v>1948</v>
      </c>
      <c r="I140">
        <v>1966</v>
      </c>
      <c r="K140">
        <v>1600</v>
      </c>
      <c r="T140">
        <v>129.69999999999999</v>
      </c>
      <c r="W140">
        <v>184</v>
      </c>
      <c r="X140" s="4">
        <f t="shared" si="75"/>
        <v>0.14186584425597532</v>
      </c>
      <c r="Y140">
        <v>93</v>
      </c>
      <c r="AA140">
        <v>18.64</v>
      </c>
      <c r="AB140">
        <v>18.64</v>
      </c>
      <c r="AD140">
        <v>3.95</v>
      </c>
      <c r="AE140" s="11">
        <v>0</v>
      </c>
      <c r="AF140" t="str">
        <f>CONCATENATE(VLOOKUP(AG140, 'Voxel Sizes'!$A$2:$B$18,2,FALSE),"x",INT(AC140*15), "x", INT(AD140*15))</f>
        <v>186x0x59</v>
      </c>
      <c r="AG140">
        <f t="shared" si="46"/>
        <v>11</v>
      </c>
      <c r="AI140" t="str">
        <f>CONCATENATE(VLOOKUP(AG140,Constants!$A$2:$C$16,IF(AH140&lt;&gt;"", 3, 2), FALSE),IF(AH140&lt;&gt;"",CONCATENATE(",",VLOOKUP(AH140,$B:$AI,34,FALSE)),""))</f>
        <v>4,3,4</v>
      </c>
      <c r="AQ140">
        <v>26</v>
      </c>
      <c r="AR140">
        <f t="shared" si="76"/>
        <v>15</v>
      </c>
      <c r="AU140">
        <f t="shared" si="77"/>
        <v>18.600000000000001</v>
      </c>
      <c r="AV140">
        <f t="shared" si="78"/>
        <v>8</v>
      </c>
      <c r="AW140">
        <f t="shared" si="79"/>
        <v>9.2000000000000011</v>
      </c>
      <c r="AX140" s="4">
        <v>1</v>
      </c>
      <c r="AY140">
        <f t="shared" si="80"/>
        <v>0</v>
      </c>
      <c r="AZ140">
        <f>VLOOKUP($E140,Constants!$I:$K, 2, FALSE)</f>
        <v>1</v>
      </c>
      <c r="BA140">
        <f>VLOOKUP($E140,Constants!$I:$K, 3, FALSE)*IF(AND(D140="multiple_unit",Y140&lt;110),0.75,1)</f>
        <v>2</v>
      </c>
      <c r="BB140">
        <f>INT(POWER(((Constants!$G$2+$AU140+$AV140+$AW140+$AY140)*$AX140)*$BA140, 1.05))+$AT140</f>
        <v>101</v>
      </c>
      <c r="BC140">
        <f>INT(POWER((((Constants!$G$1+$AU140+$AV140+$AW140+$AY140)*(1/$AX140))*$AZ140),IF($D140="wagon",1,1.2)))+$AS140</f>
        <v>111</v>
      </c>
      <c r="BD140" s="15">
        <f t="shared" si="47"/>
        <v>78906.25</v>
      </c>
      <c r="BE140" s="15">
        <f t="shared" si="48"/>
        <v>9018.75</v>
      </c>
      <c r="BN140">
        <v>5</v>
      </c>
      <c r="BR140" t="str">
        <f>VLOOKUP(G140,Eras!$A$2:$C$10, 2, TRUE)</f>
        <v>big4</v>
      </c>
      <c r="BS140" t="s">
        <v>367</v>
      </c>
      <c r="BT140" t="str">
        <f t="shared" si="49"/>
        <v>big4_Mixed Traffic</v>
      </c>
      <c r="BU140" t="str">
        <f t="shared" si="82"/>
        <v/>
      </c>
      <c r="BV140" t="str">
        <f t="shared" si="81"/>
        <v/>
      </c>
      <c r="BW140" t="s">
        <v>548</v>
      </c>
      <c r="BX140" t="str">
        <f t="shared" si="51"/>
        <v/>
      </c>
      <c r="BY140" t="str">
        <f t="shared" si="50"/>
        <v>{SILVER}The EE 10000 is the first mainline diesel locomotive built in the UK. Two were built for the LMS.</v>
      </c>
    </row>
    <row r="141" spans="1:77" x14ac:dyDescent="0.25">
      <c r="A141" t="s">
        <v>25</v>
      </c>
      <c r="B141" t="s">
        <v>550</v>
      </c>
      <c r="C141">
        <v>276</v>
      </c>
      <c r="D141" t="s">
        <v>302</v>
      </c>
      <c r="E141" t="s">
        <v>311</v>
      </c>
      <c r="F141" t="s">
        <v>314</v>
      </c>
      <c r="G141">
        <v>1948</v>
      </c>
      <c r="H141">
        <v>1949</v>
      </c>
      <c r="I141">
        <v>1966</v>
      </c>
      <c r="K141">
        <v>2700</v>
      </c>
      <c r="M141" s="6">
        <v>19</v>
      </c>
      <c r="N141" s="6">
        <v>26</v>
      </c>
      <c r="O141" s="6">
        <v>3</v>
      </c>
      <c r="P141" s="6">
        <v>250</v>
      </c>
      <c r="Q141" s="7">
        <f>((($Y141/2)/60)*5280)/($R141*3.2*PI())</f>
        <v>215.60398694714888</v>
      </c>
      <c r="R141" s="6">
        <v>2.0299999999999998</v>
      </c>
      <c r="S141" s="6">
        <f>((($M141*$M141/4)*PI())*($N141/12)*$O141*$P141*$Q141)/(33000*1.1)</f>
        <v>2736.5325048514705</v>
      </c>
      <c r="T141">
        <v>106.9</v>
      </c>
      <c r="U141" s="9">
        <v>61.9</v>
      </c>
      <c r="W141">
        <v>166</v>
      </c>
      <c r="X141" s="4">
        <f t="shared" si="75"/>
        <v>9.8341232227488154E-2</v>
      </c>
      <c r="Y141">
        <v>100</v>
      </c>
      <c r="AA141">
        <v>22.24</v>
      </c>
      <c r="AB141">
        <f>AA141-7.5</f>
        <v>14.739999999999998</v>
      </c>
      <c r="AD141">
        <v>3.99</v>
      </c>
      <c r="AE141" s="11">
        <v>0</v>
      </c>
      <c r="AF141" t="str">
        <f>CONCATENATE(VLOOKUP(AG141, 'Voxel Sizes'!$A$2:$B$18,2,FALSE),"x",INT(AC141*15), "x", INT(AD141*15))</f>
        <v>152x0x59</v>
      </c>
      <c r="AG141">
        <f t="shared" ref="AG141:AG204" si="85">ROUND(15*((AB141*10)/256),0)</f>
        <v>9</v>
      </c>
      <c r="AH141" t="s">
        <v>485</v>
      </c>
      <c r="AI141" t="str">
        <f>CONCATENATE(VLOOKUP(AG141,Constants!$A$2:$C$16,IF(AH141&lt;&gt;"", 3, 2), FALSE),IF(AH141&lt;&gt;"",CONCATENATE(",",VLOOKUP(AH141,$B:$AI,34,FALSE)),""))</f>
        <v>2,5,2,2,1,2</v>
      </c>
      <c r="AO141">
        <v>1</v>
      </c>
      <c r="AQ141">
        <v>32</v>
      </c>
      <c r="AR141">
        <f t="shared" si="76"/>
        <v>14</v>
      </c>
      <c r="AU141">
        <f t="shared" si="77"/>
        <v>20</v>
      </c>
      <c r="AV141">
        <f t="shared" si="78"/>
        <v>13.5</v>
      </c>
      <c r="AW141">
        <f t="shared" si="79"/>
        <v>8.2999999999999989</v>
      </c>
      <c r="AX141" s="4">
        <v>1</v>
      </c>
      <c r="AY141">
        <f t="shared" si="80"/>
        <v>0</v>
      </c>
      <c r="AZ141">
        <f>VLOOKUP($E141,Constants!$I:$K, 2, FALSE)</f>
        <v>1.1499999999999999</v>
      </c>
      <c r="BA141">
        <f>VLOOKUP($E141,Constants!$I:$K, 3, FALSE)*IF(AND(D141="multiple_unit",Y141&lt;110),0.75,1)</f>
        <v>1.7</v>
      </c>
      <c r="BB141">
        <f>INT(POWER(((Constants!$G$2+$AU141+$AV141+$AW141+$AY141)*$AX141)*$BA141, 1.05))+$AT141</f>
        <v>99</v>
      </c>
      <c r="BC141">
        <f>INT(POWER((((Constants!$G$1+$AU141+$AV141+$AW141+$AY141)*(1/$AX141))*$AZ141),IF($D141="wagon",1,1.2)))+$AS141</f>
        <v>150</v>
      </c>
      <c r="BD141" s="15">
        <f t="shared" ref="BD141:BD204" si="86">BB141*IF($D141="wagon",62.5,781.25)</f>
        <v>77343.75</v>
      </c>
      <c r="BE141" s="15">
        <f t="shared" ref="BE141:BE204" si="87">BC141*IF($D141="wagon",2.73,81.25)</f>
        <v>12187.5</v>
      </c>
      <c r="BN141">
        <v>6</v>
      </c>
      <c r="BR141" t="str">
        <f>VLOOKUP(G141,Eras!$A$2:$C$10, 2, TRUE)</f>
        <v>ebr</v>
      </c>
      <c r="BS141" t="s">
        <v>368</v>
      </c>
      <c r="BT141" t="str">
        <f t="shared" ref="BT141:BT204" si="88">CONCATENATE(BR141,"_",BS141)</f>
        <v>ebr_Express</v>
      </c>
      <c r="BU141" t="str">
        <f t="shared" si="82"/>
        <v/>
      </c>
      <c r="BV141" t="str">
        <f t="shared" si="81"/>
        <v/>
      </c>
      <c r="BW141" t="s">
        <v>549</v>
      </c>
      <c r="BX141" t="str">
        <f t="shared" si="51"/>
        <v/>
      </c>
      <c r="BY141" t="str">
        <f t="shared" si="50"/>
        <v>{SILVER}The Peppercorn A1 is designed for hauling heavy passenger trains of 12 or more carriages. A continuation of the series, 'Tornado', was built in 2008.</v>
      </c>
    </row>
    <row r="142" spans="1:77" x14ac:dyDescent="0.25">
      <c r="A142" t="s">
        <v>72</v>
      </c>
      <c r="B142" t="s">
        <v>287</v>
      </c>
      <c r="C142">
        <v>278</v>
      </c>
      <c r="D142" t="s">
        <v>302</v>
      </c>
      <c r="E142" t="s">
        <v>336</v>
      </c>
      <c r="F142" t="s">
        <v>337</v>
      </c>
      <c r="G142">
        <v>1950</v>
      </c>
      <c r="H142">
        <v>1953</v>
      </c>
      <c r="I142">
        <v>1981</v>
      </c>
      <c r="K142">
        <v>1300</v>
      </c>
      <c r="T142">
        <v>89.3</v>
      </c>
      <c r="W142">
        <v>200</v>
      </c>
      <c r="X142" s="4">
        <f t="shared" si="75"/>
        <v>0.22396416573348266</v>
      </c>
      <c r="Y142">
        <v>65</v>
      </c>
      <c r="AA142">
        <v>15.34</v>
      </c>
      <c r="AB142">
        <v>15.34</v>
      </c>
      <c r="AE142" s="11">
        <v>0</v>
      </c>
      <c r="AF142" t="str">
        <f>CONCATENATE(VLOOKUP(AG142, 'Voxel Sizes'!$A$2:$B$18,2,FALSE),"x",INT(AC142*15), "x", INT(AD142*15))</f>
        <v>152x0x0</v>
      </c>
      <c r="AG142">
        <f t="shared" si="85"/>
        <v>9</v>
      </c>
      <c r="AI142" t="str">
        <f>CONCATENATE(VLOOKUP(AG142,Constants!$A$2:$C$16,IF(AH142&lt;&gt;"", 3, 2), FALSE),IF(AH142&lt;&gt;"",CONCATENATE(",",VLOOKUP(AH142,$B:$AI,34,FALSE)),""))</f>
        <v>2,5,2</v>
      </c>
      <c r="AQ142">
        <v>30</v>
      </c>
      <c r="AR142">
        <f t="shared" si="76"/>
        <v>27</v>
      </c>
      <c r="AU142">
        <f t="shared" si="77"/>
        <v>13</v>
      </c>
      <c r="AV142">
        <f t="shared" si="78"/>
        <v>6.5</v>
      </c>
      <c r="AW142">
        <f t="shared" si="79"/>
        <v>10</v>
      </c>
      <c r="AX142" s="4">
        <v>1</v>
      </c>
      <c r="AY142">
        <f t="shared" si="80"/>
        <v>0</v>
      </c>
      <c r="AZ142">
        <f>VLOOKUP($E142,Constants!$I:$K, 2, FALSE)</f>
        <v>0.85</v>
      </c>
      <c r="BA142">
        <f>VLOOKUP($E142,Constants!$I:$K, 3, FALSE)*IF(AND(D142="multiple_unit",Y142&lt;110),0.75,1)</f>
        <v>2.2999999999999998</v>
      </c>
      <c r="BB142">
        <f>INT(POWER(((Constants!$G$2+$AU142+$AV142+$AW142+$AY142)*$AX142)*$BA142, 1.05))+$AT142</f>
        <v>98</v>
      </c>
      <c r="BC142">
        <f>INT(POWER((((Constants!$G$1+$AU142+$AV142+$AW142+$AY142)*(1/$AX142))*$AZ142),IF($D142="wagon",1,1.2)))+$AS142</f>
        <v>78</v>
      </c>
      <c r="BD142" s="15">
        <f t="shared" si="86"/>
        <v>76562.5</v>
      </c>
      <c r="BE142" s="15">
        <f t="shared" si="87"/>
        <v>6337.5</v>
      </c>
      <c r="BN142">
        <v>7</v>
      </c>
      <c r="BR142" t="str">
        <f>VLOOKUP(G142,Eras!$A$2:$C$10, 2, TRUE)</f>
        <v>ebr</v>
      </c>
      <c r="BS142" t="s">
        <v>379</v>
      </c>
      <c r="BT142" t="str">
        <f t="shared" si="88"/>
        <v>ebr_Freight (Electric)</v>
      </c>
      <c r="BU142" t="str">
        <f t="shared" si="82"/>
        <v/>
      </c>
      <c r="BV142" t="str">
        <f t="shared" si="81"/>
        <v/>
      </c>
      <c r="BW142" t="s">
        <v>395</v>
      </c>
      <c r="BX142" t="str">
        <f t="shared" si="51"/>
        <v/>
      </c>
      <c r="BY142" t="str">
        <f t="shared" ref="BY142:BY205" si="89">_xlfn.CONCAT(BU142,BV142,BX142,"{SILVER}", BW142)</f>
        <v>{SILVER}The Class 76 is an electric freight locomotive designed for the Woodhead Line in the northern Peak District. With high tractive effort, electric traction lent itself to the steep gradients and many tunnels of the line.</v>
      </c>
    </row>
    <row r="143" spans="1:77" x14ac:dyDescent="0.25">
      <c r="A143" t="s">
        <v>559</v>
      </c>
      <c r="B143" t="s">
        <v>553</v>
      </c>
      <c r="C143">
        <v>280</v>
      </c>
      <c r="D143" t="s">
        <v>302</v>
      </c>
      <c r="E143" t="s">
        <v>311</v>
      </c>
      <c r="F143" t="s">
        <v>314</v>
      </c>
      <c r="G143">
        <v>1951</v>
      </c>
      <c r="H143">
        <v>1952</v>
      </c>
      <c r="I143">
        <v>1966</v>
      </c>
      <c r="K143">
        <v>1500</v>
      </c>
      <c r="M143" s="6">
        <v>19.5</v>
      </c>
      <c r="N143" s="6">
        <v>28</v>
      </c>
      <c r="O143" s="6">
        <v>2</v>
      </c>
      <c r="P143" s="6">
        <v>225</v>
      </c>
      <c r="Q143" s="7">
        <f>((($Y143/2)/60)*5280)/($R143*3.2*PI())</f>
        <v>184.28467094851041</v>
      </c>
      <c r="R143" s="6">
        <v>1.9</v>
      </c>
      <c r="S143" s="6">
        <f>((($M143*$M143/4)*PI())*($N143/12)*$O143*$P143*$Q143)/(33000*1.1)</f>
        <v>1591.9557416267944</v>
      </c>
      <c r="T143">
        <v>89.92</v>
      </c>
      <c r="U143" s="9">
        <v>14.38</v>
      </c>
      <c r="W143">
        <v>122</v>
      </c>
      <c r="X143" s="4">
        <f t="shared" si="75"/>
        <v>0.11697027804410355</v>
      </c>
      <c r="Y143">
        <v>80</v>
      </c>
      <c r="AA143">
        <v>20.96</v>
      </c>
      <c r="AB143">
        <f>AA143-7.5</f>
        <v>13.46</v>
      </c>
      <c r="AD143">
        <v>3.98</v>
      </c>
      <c r="AE143" s="11">
        <v>0</v>
      </c>
      <c r="AF143" t="str">
        <f>CONCATENATE(VLOOKUP(AG143, 'Voxel Sizes'!$A$2:$B$18,2,FALSE),"x",INT(AC143*15), "x", INT(AD143*15))</f>
        <v>136x0x59</v>
      </c>
      <c r="AG143">
        <f t="shared" si="85"/>
        <v>8</v>
      </c>
      <c r="AH143" t="s">
        <v>490</v>
      </c>
      <c r="AI143" t="str">
        <f>CONCATENATE(VLOOKUP(AG143,Constants!$A$2:$C$16,IF(AH143&lt;&gt;"", 3, 2), FALSE),IF(AH143&lt;&gt;"",CONCATENATE(",",VLOOKUP(AH143,$B:$AI,34,FALSE)),""))</f>
        <v>2,4,2,2,1,2</v>
      </c>
      <c r="AO143">
        <v>1</v>
      </c>
      <c r="AQ143">
        <v>30</v>
      </c>
      <c r="AR143">
        <f t="shared" si="76"/>
        <v>11</v>
      </c>
      <c r="AU143">
        <f t="shared" si="77"/>
        <v>16</v>
      </c>
      <c r="AV143">
        <f t="shared" si="78"/>
        <v>7.5</v>
      </c>
      <c r="AW143">
        <f t="shared" si="79"/>
        <v>6.1</v>
      </c>
      <c r="AX143" s="4">
        <v>1</v>
      </c>
      <c r="AY143">
        <f t="shared" si="80"/>
        <v>0</v>
      </c>
      <c r="AZ143">
        <f>VLOOKUP($E143,Constants!$I:$K, 2, FALSE)</f>
        <v>1.1499999999999999</v>
      </c>
      <c r="BA143">
        <f>VLOOKUP($E143,Constants!$I:$K, 3, FALSE)*IF(AND(D143="multiple_unit",Y143&lt;110),0.75,1)</f>
        <v>1.7</v>
      </c>
      <c r="BB143">
        <f>INT(POWER(((Constants!$G$2+$AU143+$AV143+$AW143+$AY143)*$AX143)*$BA143, 1.05))+$AT143</f>
        <v>72</v>
      </c>
      <c r="BC143">
        <f>INT(POWER((((Constants!$G$1+$AU143+$AV143+$AW143+$AY143)*(1/$AX143))*$AZ143),IF($D143="wagon",1,1.2)))+$AS143</f>
        <v>112</v>
      </c>
      <c r="BD143" s="15">
        <f t="shared" si="86"/>
        <v>56250</v>
      </c>
      <c r="BE143" s="15">
        <f t="shared" si="87"/>
        <v>9100</v>
      </c>
      <c r="BN143">
        <v>8</v>
      </c>
      <c r="BR143" t="str">
        <f>VLOOKUP(G143,Eras!$A$2:$C$10, 2, TRUE)</f>
        <v>ebr</v>
      </c>
      <c r="BS143" t="s">
        <v>367</v>
      </c>
      <c r="BT143" t="str">
        <f t="shared" si="88"/>
        <v>ebr_Mixed Traffic</v>
      </c>
      <c r="BU143" t="str">
        <f t="shared" si="82"/>
        <v/>
      </c>
      <c r="BV143" t="str">
        <f t="shared" si="81"/>
        <v/>
      </c>
      <c r="BW143" t="s">
        <v>557</v>
      </c>
      <c r="BX143" t="str">
        <f t="shared" si="51"/>
        <v/>
      </c>
      <c r="BY143" t="str">
        <f t="shared" si="89"/>
        <v>{SILVER}The Class 6 is a lighter version of the Class 7 "Britannia", with a smaller boiler. Only 10 were produced due to steel shortages.</v>
      </c>
    </row>
    <row r="144" spans="1:77" x14ac:dyDescent="0.25">
      <c r="A144" t="s">
        <v>560</v>
      </c>
      <c r="B144" t="s">
        <v>554</v>
      </c>
      <c r="C144">
        <v>282</v>
      </c>
      <c r="D144" t="s">
        <v>302</v>
      </c>
      <c r="E144" t="s">
        <v>311</v>
      </c>
      <c r="F144" t="s">
        <v>314</v>
      </c>
      <c r="G144">
        <v>1951</v>
      </c>
      <c r="H144">
        <v>1954</v>
      </c>
      <c r="I144">
        <v>1968</v>
      </c>
      <c r="K144">
        <v>2000</v>
      </c>
      <c r="M144" s="6">
        <v>20</v>
      </c>
      <c r="N144" s="6">
        <v>28</v>
      </c>
      <c r="O144" s="6">
        <v>2</v>
      </c>
      <c r="P144" s="6">
        <v>250</v>
      </c>
      <c r="Q144" s="7">
        <f>((($Y144/2)/60)*5280)/($R144*3.2*PI())</f>
        <v>207.32025481707421</v>
      </c>
      <c r="R144" s="6">
        <v>1.9</v>
      </c>
      <c r="S144" s="6">
        <f>((($M144*$M144/4)*PI())*($N144/12)*$O144*$P144*$Q144)/(33000*1.1)</f>
        <v>2093.3014354066986</v>
      </c>
      <c r="T144">
        <v>95.5</v>
      </c>
      <c r="U144" s="9">
        <v>50</v>
      </c>
      <c r="W144">
        <v>143</v>
      </c>
      <c r="X144" s="4">
        <f t="shared" si="75"/>
        <v>9.8281786941580754E-2</v>
      </c>
      <c r="Y144">
        <v>90</v>
      </c>
      <c r="AA144">
        <v>20.96</v>
      </c>
      <c r="AB144">
        <f>AA144-7.5</f>
        <v>13.46</v>
      </c>
      <c r="AD144">
        <v>3.98</v>
      </c>
      <c r="AE144" s="11">
        <v>0</v>
      </c>
      <c r="AF144" t="str">
        <f>CONCATENATE(VLOOKUP(AG144, 'Voxel Sizes'!$A$2:$B$18,2,FALSE),"x",INT(AC144*15), "x", INT(AD144*15))</f>
        <v>136x0x59</v>
      </c>
      <c r="AG144">
        <f t="shared" si="85"/>
        <v>8</v>
      </c>
      <c r="AH144" t="s">
        <v>490</v>
      </c>
      <c r="AI144" t="str">
        <f>CONCATENATE(VLOOKUP(AG144,Constants!$A$2:$C$16,IF(AH144&lt;&gt;"", 3, 2), FALSE),IF(AH144&lt;&gt;"",CONCATENATE(",",VLOOKUP(AH144,$B:$AI,34,FALSE)),""))</f>
        <v>2,4,2,2,1,2</v>
      </c>
      <c r="AO144">
        <v>1</v>
      </c>
      <c r="AQ144">
        <v>30</v>
      </c>
      <c r="AR144">
        <f t="shared" si="76"/>
        <v>13</v>
      </c>
      <c r="AU144">
        <f t="shared" si="77"/>
        <v>18</v>
      </c>
      <c r="AV144">
        <f t="shared" si="78"/>
        <v>10</v>
      </c>
      <c r="AW144">
        <f t="shared" si="79"/>
        <v>7.1499999999999995</v>
      </c>
      <c r="AX144" s="4">
        <v>1</v>
      </c>
      <c r="AY144">
        <f t="shared" si="80"/>
        <v>0</v>
      </c>
      <c r="AZ144">
        <f>VLOOKUP($E144,Constants!$I:$K, 2, FALSE)</f>
        <v>1.1499999999999999</v>
      </c>
      <c r="BA144">
        <f>VLOOKUP($E144,Constants!$I:$K, 3, FALSE)*IF(AND(D144="multiple_unit",Y144&lt;110),0.75,1)</f>
        <v>1.7</v>
      </c>
      <c r="BB144">
        <f>INT(POWER(((Constants!$G$2+$AU144+$AV144+$AW144+$AY144)*$AX144)*$BA144, 1.05))+$AT144</f>
        <v>84</v>
      </c>
      <c r="BC144">
        <f>INT(POWER((((Constants!$G$1+$AU144+$AV144+$AW144+$AY144)*(1/$AX144))*$AZ144),IF($D144="wagon",1,1.2)))+$AS144</f>
        <v>129</v>
      </c>
      <c r="BD144" s="15">
        <f t="shared" si="86"/>
        <v>65625</v>
      </c>
      <c r="BE144" s="15">
        <f t="shared" si="87"/>
        <v>10481.25</v>
      </c>
      <c r="BN144">
        <v>9</v>
      </c>
      <c r="BR144" t="str">
        <f>VLOOKUP(G144,Eras!$A$2:$C$10, 2, TRUE)</f>
        <v>ebr</v>
      </c>
      <c r="BS144" t="s">
        <v>367</v>
      </c>
      <c r="BT144" t="str">
        <f t="shared" si="88"/>
        <v>ebr_Mixed Traffic</v>
      </c>
      <c r="BU144" t="str">
        <f t="shared" si="82"/>
        <v/>
      </c>
      <c r="BV144" t="str">
        <f t="shared" si="81"/>
        <v/>
      </c>
      <c r="BW144" t="s">
        <v>556</v>
      </c>
      <c r="BX144" t="str">
        <f t="shared" si="51"/>
        <v/>
      </c>
      <c r="BY144" t="str">
        <f t="shared" si="89"/>
        <v>{SILVER}The Class 7 combines the best features of pre-BR designs from the Big Four, with the aim of reducing maintenance costs.</v>
      </c>
    </row>
    <row r="145" spans="1:77" x14ac:dyDescent="0.25">
      <c r="A145" t="s">
        <v>76</v>
      </c>
      <c r="B145" t="s">
        <v>195</v>
      </c>
      <c r="C145">
        <v>284</v>
      </c>
      <c r="D145" t="s">
        <v>302</v>
      </c>
      <c r="E145" t="s">
        <v>312</v>
      </c>
      <c r="F145" t="s">
        <v>314</v>
      </c>
      <c r="G145">
        <v>1952</v>
      </c>
      <c r="H145">
        <v>1962</v>
      </c>
      <c r="K145">
        <v>350</v>
      </c>
      <c r="T145">
        <v>49.8</v>
      </c>
      <c r="W145">
        <v>160</v>
      </c>
      <c r="X145" s="4">
        <f t="shared" si="75"/>
        <v>0.32128514056224899</v>
      </c>
      <c r="Y145">
        <v>20</v>
      </c>
      <c r="AA145">
        <v>8.92</v>
      </c>
      <c r="AB145">
        <v>9.5</v>
      </c>
      <c r="AC145">
        <v>2.59</v>
      </c>
      <c r="AD145">
        <v>3.87</v>
      </c>
      <c r="AE145" s="11">
        <v>0</v>
      </c>
      <c r="AF145" t="str">
        <f>CONCATENATE(VLOOKUP(AG145, 'Voxel Sizes'!$A$2:$B$18,2,FALSE),"x",INT(AC145*15), "x", INT(AD145*15))</f>
        <v>102x38x58</v>
      </c>
      <c r="AG145">
        <f t="shared" si="85"/>
        <v>6</v>
      </c>
      <c r="AI145" t="str">
        <f>CONCATENATE(VLOOKUP(AG145,Constants!$A$2:$C$16,IF(AH145&lt;&gt;"", 3, 2), FALSE),IF(AH145&lt;&gt;"",CONCATENATE(",",VLOOKUP(AH145,$B:$AI,34,FALSE)),""))</f>
        <v>2,2,2</v>
      </c>
      <c r="AO145">
        <v>1</v>
      </c>
      <c r="AQ145">
        <v>42</v>
      </c>
      <c r="AR145" t="str">
        <f t="shared" si="76"/>
        <v/>
      </c>
      <c r="AU145">
        <f t="shared" si="77"/>
        <v>4</v>
      </c>
      <c r="AV145">
        <f t="shared" si="78"/>
        <v>1.75</v>
      </c>
      <c r="AW145">
        <f t="shared" si="79"/>
        <v>8</v>
      </c>
      <c r="AX145" s="4">
        <v>1</v>
      </c>
      <c r="AY145">
        <f t="shared" si="80"/>
        <v>0</v>
      </c>
      <c r="AZ145">
        <f>VLOOKUP($E145,Constants!$I:$K, 2, FALSE)</f>
        <v>1</v>
      </c>
      <c r="BA145">
        <f>VLOOKUP($E145,Constants!$I:$K, 3, FALSE)*IF(AND(D145="multiple_unit",Y145&lt;110),0.75,1)</f>
        <v>2</v>
      </c>
      <c r="BB145">
        <f>INT(POWER(((Constants!$G$2+$AU145+$AV145+$AW145+$AY145)*$AX145)*$BA145, 1.05))+$AT145</f>
        <v>44</v>
      </c>
      <c r="BC145">
        <f>INT(POWER((((Constants!$G$1+$AU145+$AV145+$AW145+$AY145)*(1/$AX145))*$AZ145),IF($D145="wagon",1,1.2)))+$AS145</f>
        <v>56</v>
      </c>
      <c r="BD145" s="15">
        <f t="shared" si="86"/>
        <v>34375</v>
      </c>
      <c r="BE145" s="15">
        <f t="shared" si="87"/>
        <v>4550</v>
      </c>
      <c r="BN145">
        <v>10</v>
      </c>
      <c r="BR145" t="str">
        <f>VLOOKUP(G145,Eras!$A$2:$C$10, 2, TRUE)</f>
        <v>ebr</v>
      </c>
      <c r="BS145" t="s">
        <v>366</v>
      </c>
      <c r="BT145" t="str">
        <f t="shared" si="88"/>
        <v>ebr_Cheap</v>
      </c>
      <c r="BU145" t="str">
        <f t="shared" si="82"/>
        <v/>
      </c>
      <c r="BV145" t="str">
        <f t="shared" si="81"/>
        <v/>
      </c>
      <c r="BW145" t="s">
        <v>396</v>
      </c>
      <c r="BX145" t="str">
        <f t="shared" si="51"/>
        <v/>
      </c>
      <c r="BY145" t="str">
        <f t="shared" si="89"/>
        <v>{SILVER}The Class 08 is a diesel-electric shunter that was common across the UK when freight trains were assembled by shunting different consists of wagons. Although slow its low cost and high tractive effort make it a good option for short industrial lines.</v>
      </c>
    </row>
    <row r="146" spans="1:77" x14ac:dyDescent="0.25">
      <c r="A146" t="s">
        <v>73</v>
      </c>
      <c r="B146" t="s">
        <v>288</v>
      </c>
      <c r="C146">
        <v>286</v>
      </c>
      <c r="D146" t="s">
        <v>302</v>
      </c>
      <c r="E146" t="s">
        <v>336</v>
      </c>
      <c r="F146" t="s">
        <v>337</v>
      </c>
      <c r="G146">
        <v>1953</v>
      </c>
      <c r="H146">
        <v>1954</v>
      </c>
      <c r="I146">
        <v>1968</v>
      </c>
      <c r="K146">
        <v>2490</v>
      </c>
      <c r="T146">
        <v>104.1</v>
      </c>
      <c r="W146">
        <v>200</v>
      </c>
      <c r="X146" s="4">
        <f t="shared" si="75"/>
        <v>0.19212295869356388</v>
      </c>
      <c r="Y146">
        <v>90</v>
      </c>
      <c r="AA146">
        <v>17.98</v>
      </c>
      <c r="AB146">
        <v>17.98</v>
      </c>
      <c r="AE146" s="11">
        <v>0</v>
      </c>
      <c r="AF146" t="str">
        <f>CONCATENATE(VLOOKUP(AG146, 'Voxel Sizes'!$A$2:$B$18,2,FALSE),"x",INT(AC146*15), "x", INT(AD146*15))</f>
        <v>186x0x0</v>
      </c>
      <c r="AG146">
        <f t="shared" si="85"/>
        <v>11</v>
      </c>
      <c r="AI146" t="str">
        <f>CONCATENATE(VLOOKUP(AG146,Constants!$A$2:$C$16,IF(AH146&lt;&gt;"", 3, 2), FALSE),IF(AH146&lt;&gt;"",CONCATENATE(",",VLOOKUP(AH146,$B:$AI,34,FALSE)),""))</f>
        <v>4,3,4</v>
      </c>
      <c r="AQ146">
        <v>25</v>
      </c>
      <c r="AR146">
        <f t="shared" si="76"/>
        <v>11</v>
      </c>
      <c r="AU146">
        <f t="shared" si="77"/>
        <v>18</v>
      </c>
      <c r="AV146">
        <f t="shared" si="78"/>
        <v>12.450000000000001</v>
      </c>
      <c r="AW146">
        <f t="shared" si="79"/>
        <v>10</v>
      </c>
      <c r="AX146" s="4">
        <v>1</v>
      </c>
      <c r="AY146">
        <f t="shared" si="80"/>
        <v>0</v>
      </c>
      <c r="AZ146">
        <f>VLOOKUP($E146,Constants!$I:$K, 2, FALSE)</f>
        <v>0.85</v>
      </c>
      <c r="BA146">
        <f>VLOOKUP($E146,Constants!$I:$K, 3, FALSE)*IF(AND(D146="multiple_unit",Y146&lt;110),0.75,1)</f>
        <v>2.2999999999999998</v>
      </c>
      <c r="BB146">
        <f>INT(POWER(((Constants!$G$2+$AU146+$AV146+$AW146+$AY146)*$AX146)*$BA146, 1.05))+$AT146</f>
        <v>131</v>
      </c>
      <c r="BC146">
        <f>INT(POWER((((Constants!$G$1+$AU146+$AV146+$AW146+$AY146)*(1/$AX146))*$AZ146),IF($D146="wagon",1,1.2)))+$AS146</f>
        <v>101</v>
      </c>
      <c r="BD146" s="15">
        <f t="shared" si="86"/>
        <v>102343.75</v>
      </c>
      <c r="BE146" s="15">
        <f t="shared" si="87"/>
        <v>8206.25</v>
      </c>
      <c r="BN146">
        <v>11</v>
      </c>
      <c r="BR146" t="str">
        <f>VLOOKUP(G146,Eras!$A$2:$C$10, 2, TRUE)</f>
        <v>ebr</v>
      </c>
      <c r="BS146" t="s">
        <v>378</v>
      </c>
      <c r="BT146" t="str">
        <f t="shared" si="88"/>
        <v>ebr_Express (Electric)</v>
      </c>
      <c r="BU146" t="str">
        <f t="shared" si="82"/>
        <v/>
      </c>
      <c r="BV146" t="str">
        <f t="shared" si="81"/>
        <v/>
      </c>
      <c r="BW146" t="s">
        <v>558</v>
      </c>
      <c r="BX146" t="str">
        <f t="shared" si="51"/>
        <v/>
      </c>
      <c r="BY146" t="str">
        <f t="shared" si="89"/>
        <v>{SILVER}The Class 77  is a larger version of the earlier Class 76, designed to haul passenger services on the Woodhead Line.</v>
      </c>
    </row>
    <row r="147" spans="1:77" x14ac:dyDescent="0.25">
      <c r="A147" t="s">
        <v>552</v>
      </c>
      <c r="B147" t="s">
        <v>555</v>
      </c>
      <c r="C147">
        <v>288</v>
      </c>
      <c r="D147" t="s">
        <v>302</v>
      </c>
      <c r="E147" t="s">
        <v>311</v>
      </c>
      <c r="F147" t="s">
        <v>314</v>
      </c>
      <c r="G147">
        <v>1954</v>
      </c>
      <c r="H147">
        <v>1960</v>
      </c>
      <c r="I147">
        <v>1968</v>
      </c>
      <c r="K147">
        <v>2500</v>
      </c>
      <c r="M147" s="6">
        <v>20</v>
      </c>
      <c r="N147" s="6">
        <v>28</v>
      </c>
      <c r="O147" s="6">
        <v>2</v>
      </c>
      <c r="P147" s="6">
        <v>250</v>
      </c>
      <c r="Q147" s="7">
        <f>((($Y147/2)/60)*5280)/($R147*3.2*PI())</f>
        <v>262.60565610162729</v>
      </c>
      <c r="R147" s="6">
        <v>1.5</v>
      </c>
      <c r="S147" s="6">
        <f>((($M147*$M147/4)*PI())*($N147/12)*$O147*$P147*$Q147)/(33000*1.1)</f>
        <v>2651.515151515151</v>
      </c>
      <c r="T147">
        <v>90</v>
      </c>
      <c r="U147" s="9">
        <v>51</v>
      </c>
      <c r="W147">
        <v>176</v>
      </c>
      <c r="X147" s="4">
        <f t="shared" si="75"/>
        <v>0.12482269503546099</v>
      </c>
      <c r="Y147">
        <v>90</v>
      </c>
      <c r="AA147">
        <v>20.170000000000002</v>
      </c>
      <c r="AB147">
        <v>15</v>
      </c>
      <c r="AE147" s="11">
        <v>0</v>
      </c>
      <c r="AF147" t="str">
        <f>CONCATENATE(VLOOKUP(AG147, 'Voxel Sizes'!$A$2:$B$18,2,FALSE),"x",INT(AC147*15), "x", INT(AD147*15))</f>
        <v>152x0x0</v>
      </c>
      <c r="AG147">
        <f t="shared" si="85"/>
        <v>9</v>
      </c>
      <c r="AH147" t="s">
        <v>490</v>
      </c>
      <c r="AI147" t="str">
        <f>CONCATENATE(VLOOKUP(AG147,Constants!$A$2:$C$16,IF(AH147&lt;&gt;"", 3, 2), FALSE),IF(AH147&lt;&gt;"",CONCATENATE(",",VLOOKUP(AH147,$B:$AI,34,FALSE)),""))</f>
        <v>2,5,2,2,1,2</v>
      </c>
      <c r="AO147">
        <v>1</v>
      </c>
      <c r="AQ147">
        <v>33</v>
      </c>
      <c r="AR147">
        <f t="shared" si="76"/>
        <v>10</v>
      </c>
      <c r="AU147">
        <f t="shared" si="77"/>
        <v>18</v>
      </c>
      <c r="AV147">
        <f t="shared" si="78"/>
        <v>12.5</v>
      </c>
      <c r="AW147">
        <f t="shared" si="79"/>
        <v>8.8000000000000007</v>
      </c>
      <c r="AX147" s="4">
        <v>1</v>
      </c>
      <c r="AY147">
        <f t="shared" si="80"/>
        <v>0</v>
      </c>
      <c r="AZ147">
        <f>VLOOKUP($E147,Constants!$I:$K, 2, FALSE)</f>
        <v>1.1499999999999999</v>
      </c>
      <c r="BA147">
        <f>VLOOKUP($E147,Constants!$I:$K, 3, FALSE)*IF(AND(D147="multiple_unit",Y147&lt;110),0.75,1)</f>
        <v>1.7</v>
      </c>
      <c r="BB147">
        <f>INT(POWER(((Constants!$G$2+$AU147+$AV147+$AW147+$AY147)*$AX147)*$BA147, 1.05))+$AT147</f>
        <v>93</v>
      </c>
      <c r="BC147">
        <f>INT(POWER((((Constants!$G$1+$AU147+$AV147+$AW147+$AY147)*(1/$AX147))*$AZ147),IF($D147="wagon",1,1.2)))+$AS147</f>
        <v>142</v>
      </c>
      <c r="BD147" s="15">
        <f t="shared" si="86"/>
        <v>72656.25</v>
      </c>
      <c r="BE147" s="15">
        <f t="shared" si="87"/>
        <v>11537.5</v>
      </c>
      <c r="BN147">
        <v>12</v>
      </c>
      <c r="BR147" t="str">
        <f>VLOOKUP(G147,Eras!$A$2:$C$10, 2, TRUE)</f>
        <v>ebr</v>
      </c>
      <c r="BS147" t="s">
        <v>369</v>
      </c>
      <c r="BT147" t="str">
        <f t="shared" si="88"/>
        <v>ebr_Freight</v>
      </c>
      <c r="BU147" t="str">
        <f t="shared" si="82"/>
        <v/>
      </c>
      <c r="BV147" t="str">
        <f t="shared" si="81"/>
        <v/>
      </c>
      <c r="BW147" t="s">
        <v>561</v>
      </c>
      <c r="BX147" t="str">
        <f t="shared" si="51"/>
        <v/>
      </c>
      <c r="BY147" t="str">
        <f t="shared" si="89"/>
        <v>{SILVER}The 9F class included the last steam locomotive ever to be built by British Railways, "Evening Star"</v>
      </c>
    </row>
    <row r="148" spans="1:77" x14ac:dyDescent="0.25">
      <c r="A148" t="s">
        <v>48</v>
      </c>
      <c r="B148" t="s">
        <v>307</v>
      </c>
      <c r="C148">
        <v>290</v>
      </c>
      <c r="D148" t="s">
        <v>302</v>
      </c>
      <c r="E148" t="s">
        <v>312</v>
      </c>
      <c r="F148" t="s">
        <v>314</v>
      </c>
      <c r="G148">
        <v>1955</v>
      </c>
      <c r="H148">
        <v>1962</v>
      </c>
      <c r="I148">
        <v>1982</v>
      </c>
      <c r="K148">
        <v>3300</v>
      </c>
      <c r="T148">
        <v>108</v>
      </c>
      <c r="W148">
        <v>233</v>
      </c>
      <c r="X148" s="4">
        <f t="shared" si="75"/>
        <v>0.21574074074074073</v>
      </c>
      <c r="Y148">
        <v>106</v>
      </c>
      <c r="AA148">
        <v>21.18</v>
      </c>
      <c r="AB148">
        <v>21.18</v>
      </c>
      <c r="AD148">
        <v>3.91</v>
      </c>
      <c r="AE148" s="11">
        <v>0</v>
      </c>
      <c r="AF148" t="str">
        <f>CONCATENATE(VLOOKUP(AG148, 'Voxel Sizes'!$A$2:$B$18,2,FALSE),"x",INT(AC148*15), "x", INT(AD148*15))</f>
        <v>198x0x58</v>
      </c>
      <c r="AG148">
        <f t="shared" si="85"/>
        <v>12</v>
      </c>
      <c r="AI148" t="str">
        <f>CONCATENATE(VLOOKUP(AG148,Constants!$A$2:$C$16,IF(AH148&lt;&gt;"", 3, 2), FALSE),IF(AH148&lt;&gt;"",CONCATENATE(",",VLOOKUP(AH148,$B:$AI,34,FALSE)),""))</f>
        <v>4,4,4</v>
      </c>
      <c r="AQ148">
        <v>26</v>
      </c>
      <c r="AR148">
        <f t="shared" si="76"/>
        <v>23</v>
      </c>
      <c r="AU148">
        <f t="shared" si="77"/>
        <v>21.2</v>
      </c>
      <c r="AV148">
        <f t="shared" si="78"/>
        <v>16.5</v>
      </c>
      <c r="AW148">
        <f t="shared" si="79"/>
        <v>11.65</v>
      </c>
      <c r="AX148" s="4">
        <v>1</v>
      </c>
      <c r="AY148">
        <f t="shared" si="80"/>
        <v>0</v>
      </c>
      <c r="AZ148">
        <f>VLOOKUP($E148,Constants!$I:$K, 2, FALSE)</f>
        <v>1</v>
      </c>
      <c r="BA148">
        <f>VLOOKUP($E148,Constants!$I:$K, 3, FALSE)*IF(AND(D148="multiple_unit",Y148&lt;110),0.75,1)</f>
        <v>2</v>
      </c>
      <c r="BB148">
        <f>INT(POWER(((Constants!$G$2+$AU148+$AV148+$AW148+$AY148)*$AX148)*$BA148, 1.05))+$AT148</f>
        <v>137</v>
      </c>
      <c r="BC148">
        <f>INT(POWER((((Constants!$G$1+$AU148+$AV148+$AW148+$AY148)*(1/$AX148))*$AZ148),IF($D148="wagon",1,1.2)))+$AS148</f>
        <v>147</v>
      </c>
      <c r="BD148" s="15">
        <f t="shared" si="86"/>
        <v>107031.25</v>
      </c>
      <c r="BE148" s="15">
        <f t="shared" si="87"/>
        <v>11943.75</v>
      </c>
      <c r="BN148">
        <v>1</v>
      </c>
      <c r="BR148" t="str">
        <f>VLOOKUP(G148,Eras!$A$2:$C$10, 2, TRUE)</f>
        <v>dsl</v>
      </c>
      <c r="BS148" t="s">
        <v>368</v>
      </c>
      <c r="BT148" t="str">
        <f t="shared" si="88"/>
        <v>dsl_Express</v>
      </c>
      <c r="BU148" t="str">
        <f t="shared" si="82"/>
        <v/>
      </c>
      <c r="BV148" t="str">
        <f t="shared" si="81"/>
        <v/>
      </c>
      <c r="BW148" t="s">
        <v>562</v>
      </c>
      <c r="BX148" t="str">
        <f t="shared" ref="BX148:BX211" si="90">IF(BQ148="BRAKE","{YELLOW}Speed bonus for slow wagons{}",IF(BO148&gt;190,CONCATENATE("{YELLOW}",INT((BO148-185)/1.85),"% Bonus for long distance travel{}"),IF(AND(BO148&lt;180,BO148&lt;&gt;0),CONCATENATE("{YELLOW}",INT((185-BO148)/1.85),"% Penalty for long distance travel{}"),"")))</f>
        <v/>
      </c>
      <c r="BY148" t="str">
        <f t="shared" si="89"/>
        <v>{SILVER}The Class 55 uses two Napier Deltic marine engines to create a high speed express diesel locomotive.</v>
      </c>
    </row>
    <row r="149" spans="1:77" x14ac:dyDescent="0.25">
      <c r="A149" t="s">
        <v>81</v>
      </c>
      <c r="B149" t="s">
        <v>272</v>
      </c>
      <c r="C149">
        <v>292</v>
      </c>
      <c r="D149" t="s">
        <v>453</v>
      </c>
      <c r="E149" t="s">
        <v>312</v>
      </c>
      <c r="F149" t="s">
        <v>314</v>
      </c>
      <c r="G149">
        <v>1956</v>
      </c>
      <c r="H149">
        <v>1960</v>
      </c>
      <c r="I149">
        <v>2003</v>
      </c>
      <c r="J149">
        <v>2</v>
      </c>
      <c r="K149">
        <v>600</v>
      </c>
      <c r="T149">
        <f>32.5+25</f>
        <v>57.5</v>
      </c>
      <c r="W149">
        <v>85</v>
      </c>
      <c r="X149" s="4">
        <f t="shared" si="75"/>
        <v>0.14782608695652175</v>
      </c>
      <c r="Y149">
        <v>70</v>
      </c>
      <c r="AA149">
        <v>17.37</v>
      </c>
      <c r="AB149">
        <v>17.37</v>
      </c>
      <c r="AD149">
        <v>3.77</v>
      </c>
      <c r="AE149" s="11">
        <v>51</v>
      </c>
      <c r="AF149" t="str">
        <f>CONCATENATE(VLOOKUP(AG149, 'Voxel Sizes'!$A$2:$B$18,2,FALSE),"x",INT(AC149*15), "x", INT(AD149*15))</f>
        <v>164x0x56</v>
      </c>
      <c r="AG149">
        <f t="shared" si="85"/>
        <v>10</v>
      </c>
      <c r="AI149" t="str">
        <f>CONCATENATE(VLOOKUP(AG149,Constants!$A$2:$C$16,IF(AH149&lt;&gt;"", 3, 2), FALSE),IF(AH149&lt;&gt;"",CONCATENATE(",",VLOOKUP(AH149,$B:$AI,34,FALSE)),""))</f>
        <v>4,2,4</v>
      </c>
      <c r="AK149" t="s">
        <v>564</v>
      </c>
      <c r="AM149" t="s">
        <v>517</v>
      </c>
      <c r="AQ149">
        <v>45</v>
      </c>
      <c r="AR149">
        <f t="shared" si="76"/>
        <v>43</v>
      </c>
      <c r="AU149">
        <f t="shared" si="77"/>
        <v>14</v>
      </c>
      <c r="AV149">
        <f t="shared" si="78"/>
        <v>3</v>
      </c>
      <c r="AW149">
        <f t="shared" si="79"/>
        <v>4.25</v>
      </c>
      <c r="AX149" s="4">
        <v>1</v>
      </c>
      <c r="AY149">
        <f t="shared" si="80"/>
        <v>3.4000000000000004</v>
      </c>
      <c r="AZ149">
        <f>VLOOKUP($E149,Constants!$I:$K, 2, FALSE)</f>
        <v>1</v>
      </c>
      <c r="BA149">
        <f>VLOOKUP($E149,Constants!$I:$K, 3, FALSE)*IF(AND(D149="multiple_unit",Y149&lt;110),0.75,1)</f>
        <v>1.5</v>
      </c>
      <c r="BB149">
        <f>INT(POWER(((Constants!$G$2+$AU149+$AV149+$AW149+$AY149)*$AX149)*$BA149, 1.05))+$AT149</f>
        <v>53</v>
      </c>
      <c r="BC149">
        <f>INT(POWER((((Constants!$G$1+$AU149+$AV149+$AW149+$AY149)*(1/$AX149))*$AZ149),IF($D149="wagon",1,1.2)))+$AS149</f>
        <v>82</v>
      </c>
      <c r="BD149" s="15">
        <f t="shared" si="86"/>
        <v>41406.25</v>
      </c>
      <c r="BE149" s="15">
        <f t="shared" si="87"/>
        <v>6662.5</v>
      </c>
      <c r="BN149">
        <v>2</v>
      </c>
      <c r="BQ149" t="s">
        <v>323</v>
      </c>
      <c r="BR149" t="str">
        <f>VLOOKUP(G149,Eras!$A$2:$C$10, 2, TRUE)</f>
        <v>dsl</v>
      </c>
      <c r="BS149" t="s">
        <v>371</v>
      </c>
      <c r="BT149" t="str">
        <f t="shared" si="88"/>
        <v>dsl_DMU</v>
      </c>
      <c r="BU149" t="str">
        <f t="shared" si="82"/>
        <v/>
      </c>
      <c r="BV149" t="str">
        <f t="shared" si="81"/>
        <v>{BLACK}Cars: {GOLD}2{}</v>
      </c>
      <c r="BW149" t="s">
        <v>563</v>
      </c>
      <c r="BX149" t="str">
        <f t="shared" si="90"/>
        <v/>
      </c>
      <c r="BY149" t="str">
        <f t="shared" si="89"/>
        <v>{BLACK}Cars: {GOLD}2{}{SILVER}The Class 101 has a four speed gearbox with a manual shift. It was exceptionally long-lived, the final examples being retired in December 2003.</v>
      </c>
    </row>
    <row r="150" spans="1:77" x14ac:dyDescent="0.25">
      <c r="A150" t="s">
        <v>566</v>
      </c>
      <c r="B150" t="s">
        <v>196</v>
      </c>
      <c r="C150">
        <v>294</v>
      </c>
      <c r="D150" t="s">
        <v>302</v>
      </c>
      <c r="E150" t="s">
        <v>312</v>
      </c>
      <c r="F150" t="s">
        <v>314</v>
      </c>
      <c r="G150">
        <v>1957</v>
      </c>
      <c r="H150">
        <v>1962</v>
      </c>
      <c r="I150">
        <v>2017</v>
      </c>
      <c r="K150">
        <v>1250</v>
      </c>
      <c r="T150">
        <v>108.4</v>
      </c>
      <c r="W150">
        <v>160</v>
      </c>
      <c r="X150" s="4">
        <f t="shared" si="75"/>
        <v>0.14760147601476015</v>
      </c>
      <c r="Y150">
        <v>80</v>
      </c>
      <c r="AA150">
        <v>17.3</v>
      </c>
      <c r="AB150">
        <v>17.3</v>
      </c>
      <c r="AD150">
        <v>3.84</v>
      </c>
      <c r="AE150" s="11">
        <v>0</v>
      </c>
      <c r="AF150" t="str">
        <f>CONCATENATE(VLOOKUP(AG150, 'Voxel Sizes'!$A$2:$B$18,2,FALSE),"x",INT(AC150*15), "x", INT(AD150*15))</f>
        <v>164x0x57</v>
      </c>
      <c r="AG150">
        <f t="shared" si="85"/>
        <v>10</v>
      </c>
      <c r="AI150" t="str">
        <f>CONCATENATE(VLOOKUP(AG150,Constants!$A$2:$C$16,IF(AH150&lt;&gt;"", 3, 2), FALSE),IF(AH150&lt;&gt;"",CONCATENATE(",",VLOOKUP(AH150,$B:$AI,34,FALSE)),""))</f>
        <v>4,2,4</v>
      </c>
      <c r="AQ150">
        <v>30</v>
      </c>
      <c r="AR150">
        <f t="shared" si="76"/>
        <v>56</v>
      </c>
      <c r="AU150">
        <f t="shared" si="77"/>
        <v>16</v>
      </c>
      <c r="AV150">
        <f t="shared" si="78"/>
        <v>6.25</v>
      </c>
      <c r="AW150">
        <f t="shared" si="79"/>
        <v>8</v>
      </c>
      <c r="AX150" s="4">
        <v>1</v>
      </c>
      <c r="AY150">
        <f t="shared" si="80"/>
        <v>0</v>
      </c>
      <c r="AZ150">
        <f>VLOOKUP($E150,Constants!$I:$K, 2, FALSE)</f>
        <v>1</v>
      </c>
      <c r="BA150">
        <f>VLOOKUP($E150,Constants!$I:$K, 3, FALSE)*IF(AND(D150="multiple_unit",Y150&lt;110),0.75,1)</f>
        <v>2</v>
      </c>
      <c r="BB150">
        <f>INT(POWER(((Constants!$G$2+$AU150+$AV150+$AW150+$AY150)*$AX150)*$BA150, 1.05))+$AT150</f>
        <v>87</v>
      </c>
      <c r="BC150">
        <f>INT(POWER((((Constants!$G$1+$AU150+$AV150+$AW150+$AY150)*(1/$AX150))*$AZ150),IF($D150="wagon",1,1.2)))+$AS150</f>
        <v>96</v>
      </c>
      <c r="BD150" s="15">
        <f t="shared" si="86"/>
        <v>67968.75</v>
      </c>
      <c r="BE150" s="15">
        <f t="shared" si="87"/>
        <v>7800</v>
      </c>
      <c r="BN150">
        <v>3</v>
      </c>
      <c r="BR150" t="str">
        <f>VLOOKUP(G150,Eras!$A$2:$C$10, 2, TRUE)</f>
        <v>dsl</v>
      </c>
      <c r="BS150" t="s">
        <v>369</v>
      </c>
      <c r="BT150" t="str">
        <f t="shared" si="88"/>
        <v>dsl_Freight</v>
      </c>
      <c r="BU150" t="str">
        <f t="shared" si="82"/>
        <v/>
      </c>
      <c r="BV150" t="str">
        <f t="shared" si="81"/>
        <v/>
      </c>
      <c r="BW150" t="s">
        <v>567</v>
      </c>
      <c r="BX150" t="str">
        <f t="shared" si="90"/>
        <v/>
      </c>
      <c r="BY150" t="str">
        <f t="shared" si="89"/>
        <v>{SILVER}The Class 31 (Brush Type 2) was part of BR's pilot scheme to test replacing steam locmotives with diesel traction. It had many nicknames including "Ped", "Gargoyle" and "Gurgler"</v>
      </c>
    </row>
    <row r="151" spans="1:77" x14ac:dyDescent="0.25">
      <c r="A151" t="s">
        <v>56</v>
      </c>
      <c r="B151" t="s">
        <v>305</v>
      </c>
      <c r="C151">
        <v>296</v>
      </c>
      <c r="D151" t="s">
        <v>302</v>
      </c>
      <c r="E151" t="s">
        <v>312</v>
      </c>
      <c r="F151" t="s">
        <v>314</v>
      </c>
      <c r="G151">
        <v>1957</v>
      </c>
      <c r="H151">
        <v>1968</v>
      </c>
      <c r="K151">
        <v>1000</v>
      </c>
      <c r="T151">
        <v>73</v>
      </c>
      <c r="W151">
        <v>186</v>
      </c>
      <c r="X151" s="4">
        <f t="shared" si="75"/>
        <v>0.25479452054794521</v>
      </c>
      <c r="Y151">
        <v>75</v>
      </c>
      <c r="AA151">
        <v>14.25</v>
      </c>
      <c r="AB151">
        <v>14.25</v>
      </c>
      <c r="AC151">
        <v>2.67</v>
      </c>
      <c r="AD151">
        <v>3.85</v>
      </c>
      <c r="AE151" s="11">
        <v>0</v>
      </c>
      <c r="AF151" t="str">
        <f>CONCATENATE(VLOOKUP(AG151, 'Voxel Sizes'!$A$2:$B$18,2,FALSE),"x",INT(AC151*15), "x", INT(AD151*15))</f>
        <v>136x40x57</v>
      </c>
      <c r="AG151">
        <f t="shared" si="85"/>
        <v>8</v>
      </c>
      <c r="AI151" t="str">
        <f>CONCATENATE(VLOOKUP(AG151,Constants!$A$2:$C$16,IF(AH151&lt;&gt;"", 3, 2), FALSE),IF(AH151&lt;&gt;"",CONCATENATE(",",VLOOKUP(AH151,$B:$AI,34,FALSE)),""))</f>
        <v>2,4,2</v>
      </c>
      <c r="AQ151">
        <v>33</v>
      </c>
      <c r="AR151" t="str">
        <f t="shared" si="76"/>
        <v/>
      </c>
      <c r="AU151">
        <f t="shared" si="77"/>
        <v>15</v>
      </c>
      <c r="AV151">
        <f t="shared" si="78"/>
        <v>5</v>
      </c>
      <c r="AW151">
        <f t="shared" si="79"/>
        <v>9.3000000000000007</v>
      </c>
      <c r="AX151" s="4">
        <v>1</v>
      </c>
      <c r="AY151">
        <f t="shared" si="80"/>
        <v>0</v>
      </c>
      <c r="AZ151">
        <f>VLOOKUP($E151,Constants!$I:$K, 2, FALSE)</f>
        <v>1</v>
      </c>
      <c r="BA151">
        <f>VLOOKUP($E151,Constants!$I:$K, 3, FALSE)*IF(AND(D151="multiple_unit",Y151&lt;110),0.75,1)</f>
        <v>2</v>
      </c>
      <c r="BB151">
        <f>INT(POWER(((Constants!$G$2+$AU151+$AV151+$AW151+$AY151)*$AX151)*$BA151, 1.05))+$AT151</f>
        <v>84</v>
      </c>
      <c r="BC151">
        <f>INT(POWER((((Constants!$G$1+$AU151+$AV151+$AW151+$AY151)*(1/$AX151))*$AZ151),IF($D151="wagon",1,1.2)))+$AS151</f>
        <v>94</v>
      </c>
      <c r="BD151" s="15">
        <f t="shared" si="86"/>
        <v>65625</v>
      </c>
      <c r="BE151" s="15">
        <f t="shared" si="87"/>
        <v>7637.5</v>
      </c>
      <c r="BN151">
        <v>4</v>
      </c>
      <c r="BR151" t="str">
        <f>VLOOKUP(G151,Eras!$A$2:$C$10, 2, TRUE)</f>
        <v>dsl</v>
      </c>
      <c r="BS151" t="s">
        <v>367</v>
      </c>
      <c r="BT151" t="str">
        <f t="shared" si="88"/>
        <v>dsl_Mixed Traffic</v>
      </c>
      <c r="BU151" t="str">
        <f t="shared" si="82"/>
        <v/>
      </c>
      <c r="BV151" t="str">
        <f t="shared" si="81"/>
        <v/>
      </c>
      <c r="BW151" t="s">
        <v>397</v>
      </c>
      <c r="BX151" t="str">
        <f t="shared" si="90"/>
        <v/>
      </c>
      <c r="BY151" t="str">
        <f t="shared" si="89"/>
        <v>{SILVER}The Class 20 (English Electric Type 1) is a diesel-electric locomotive designed for light freight duties. Due to its simple design it was more reliable than many contemporary locomotives, leading to a large number being built.</v>
      </c>
    </row>
    <row r="152" spans="1:77" x14ac:dyDescent="0.25">
      <c r="A152" t="s">
        <v>42</v>
      </c>
      <c r="B152" t="s">
        <v>197</v>
      </c>
      <c r="C152">
        <v>298</v>
      </c>
      <c r="D152" t="s">
        <v>302</v>
      </c>
      <c r="E152" t="s">
        <v>312</v>
      </c>
      <c r="F152" t="s">
        <v>314</v>
      </c>
      <c r="G152">
        <v>1958</v>
      </c>
      <c r="H152">
        <v>1961</v>
      </c>
      <c r="I152">
        <v>1966</v>
      </c>
      <c r="K152">
        <v>2750</v>
      </c>
      <c r="T152">
        <v>81</v>
      </c>
      <c r="U152" s="9">
        <v>45</v>
      </c>
      <c r="W152">
        <v>169</v>
      </c>
      <c r="X152" s="4">
        <f t="shared" si="75"/>
        <v>0.13412698412698412</v>
      </c>
      <c r="Y152">
        <v>90</v>
      </c>
      <c r="AA152">
        <v>20.74</v>
      </c>
      <c r="AB152">
        <v>14</v>
      </c>
      <c r="AE152" s="11">
        <v>0</v>
      </c>
      <c r="AF152" t="str">
        <f>CONCATENATE(VLOOKUP(AG152, 'Voxel Sizes'!$A$2:$B$18,2,FALSE),"x",INT(AC152*15), "x", INT(AD152*15))</f>
        <v>136x0x0</v>
      </c>
      <c r="AG152">
        <f t="shared" si="85"/>
        <v>8</v>
      </c>
      <c r="AH152" t="s">
        <v>690</v>
      </c>
      <c r="AI152" t="str">
        <f>CONCATENATE(VLOOKUP(AG152,Constants!$A$2:$C$16,IF(AH152&lt;&gt;"", 3, 2), FALSE),IF(AH152&lt;&gt;"",CONCATENATE(",",VLOOKUP(AH152,$B:$AI,34,FALSE)),""))</f>
        <v>2,4,2,2,1,2</v>
      </c>
      <c r="AO152">
        <v>1</v>
      </c>
      <c r="AQ152">
        <v>9</v>
      </c>
      <c r="AR152">
        <f t="shared" si="76"/>
        <v>8</v>
      </c>
      <c r="AU152">
        <f t="shared" si="77"/>
        <v>18</v>
      </c>
      <c r="AV152">
        <f t="shared" si="78"/>
        <v>13.75</v>
      </c>
      <c r="AW152">
        <f t="shared" si="79"/>
        <v>8.4499999999999993</v>
      </c>
      <c r="AX152" s="4">
        <v>1</v>
      </c>
      <c r="AY152">
        <f t="shared" si="80"/>
        <v>0</v>
      </c>
      <c r="AZ152">
        <f>VLOOKUP($E152,Constants!$I:$K, 2, FALSE)</f>
        <v>1</v>
      </c>
      <c r="BA152">
        <f>VLOOKUP($E152,Constants!$I:$K, 3, FALSE)*IF(AND(D152="multiple_unit",Y152&lt;110),0.75,1)</f>
        <v>2</v>
      </c>
      <c r="BB152">
        <f>INT(POWER(((Constants!$G$2+$AU152+$AV152+$AW152+$AY152)*$AX152)*$BA152, 1.05))+$AT152</f>
        <v>113</v>
      </c>
      <c r="BC152">
        <f>INT(POWER((((Constants!$G$1+$AU152+$AV152+$AW152+$AY152)*(1/$AX152))*$AZ152),IF($D152="wagon",1,1.2)))+$AS152</f>
        <v>123</v>
      </c>
      <c r="BD152" s="15">
        <f t="shared" si="86"/>
        <v>88281.25</v>
      </c>
      <c r="BE152" s="15">
        <f t="shared" si="87"/>
        <v>9993.75</v>
      </c>
      <c r="BN152">
        <v>5</v>
      </c>
      <c r="BR152" t="str">
        <f>VLOOKUP(G152,Eras!$A$2:$C$10, 2, TRUE)</f>
        <v>dsl</v>
      </c>
      <c r="BS152" t="s">
        <v>368</v>
      </c>
      <c r="BT152" t="str">
        <f t="shared" si="88"/>
        <v>dsl_Express</v>
      </c>
      <c r="BU152" t="str">
        <f t="shared" si="82"/>
        <v/>
      </c>
      <c r="BV152" t="str">
        <f t="shared" si="81"/>
        <v/>
      </c>
      <c r="BW152" t="s">
        <v>565</v>
      </c>
      <c r="BX152" t="str">
        <f t="shared" si="90"/>
        <v/>
      </c>
      <c r="BY152" t="str">
        <f t="shared" si="89"/>
        <v>{SILVER}The GT3 was part of a programme to test gas turbine locomotives. It used a conventional steam driving wheel arrangement to keep the design simple.</v>
      </c>
    </row>
    <row r="153" spans="1:77" x14ac:dyDescent="0.25">
      <c r="A153" t="s">
        <v>46</v>
      </c>
      <c r="B153" t="s">
        <v>198</v>
      </c>
      <c r="C153">
        <v>300</v>
      </c>
      <c r="D153" t="s">
        <v>302</v>
      </c>
      <c r="E153" t="s">
        <v>312</v>
      </c>
      <c r="F153" t="s">
        <v>314</v>
      </c>
      <c r="G153">
        <v>1958</v>
      </c>
      <c r="H153">
        <v>1961</v>
      </c>
      <c r="I153">
        <v>1972</v>
      </c>
      <c r="K153">
        <f>1035*2</f>
        <v>2070</v>
      </c>
      <c r="T153">
        <v>79.3</v>
      </c>
      <c r="W153">
        <v>214</v>
      </c>
      <c r="X153" s="4">
        <f t="shared" si="75"/>
        <v>0.26986128625472888</v>
      </c>
      <c r="Y153">
        <v>90</v>
      </c>
      <c r="AA153">
        <v>18.29</v>
      </c>
      <c r="AB153">
        <v>18.29</v>
      </c>
      <c r="AD153">
        <v>3.67</v>
      </c>
      <c r="AE153" s="11">
        <v>0</v>
      </c>
      <c r="AF153" t="str">
        <f>CONCATENATE(VLOOKUP(AG153, 'Voxel Sizes'!$A$2:$B$18,2,FALSE),"x",INT(AC153*15), "x", INT(AD153*15))</f>
        <v>186x0x55</v>
      </c>
      <c r="AG153">
        <f t="shared" si="85"/>
        <v>11</v>
      </c>
      <c r="AI153" t="str">
        <f>CONCATENATE(VLOOKUP(AG153,Constants!$A$2:$C$16,IF(AH153&lt;&gt;"", 3, 2), FALSE),IF(AH153&lt;&gt;"",CONCATENATE(",",VLOOKUP(AH153,$B:$AI,34,FALSE)),""))</f>
        <v>4,3,4</v>
      </c>
      <c r="AQ153">
        <v>32</v>
      </c>
      <c r="AR153">
        <f t="shared" si="76"/>
        <v>10</v>
      </c>
      <c r="AU153">
        <f t="shared" si="77"/>
        <v>18</v>
      </c>
      <c r="AV153">
        <f t="shared" si="78"/>
        <v>10.35</v>
      </c>
      <c r="AW153">
        <f t="shared" si="79"/>
        <v>10.700000000000001</v>
      </c>
      <c r="AX153" s="4">
        <v>1</v>
      </c>
      <c r="AY153">
        <f t="shared" si="80"/>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86"/>
        <v>85937.5</v>
      </c>
      <c r="BE153" s="15">
        <f t="shared" si="87"/>
        <v>9750</v>
      </c>
      <c r="BN153">
        <v>6</v>
      </c>
      <c r="BR153" t="str">
        <f>VLOOKUP(G153,Eras!$A$2:$C$10, 2, TRUE)</f>
        <v>dsl</v>
      </c>
      <c r="BS153" t="s">
        <v>417</v>
      </c>
      <c r="BT153" t="str">
        <f t="shared" si="88"/>
        <v>dsl_Passenger</v>
      </c>
      <c r="BU153" t="str">
        <f t="shared" si="82"/>
        <v/>
      </c>
      <c r="BV153" t="str">
        <f t="shared" si="81"/>
        <v/>
      </c>
      <c r="BW153" t="s">
        <v>568</v>
      </c>
      <c r="BX153" t="str">
        <f t="shared" si="90"/>
        <v/>
      </c>
      <c r="BY153" t="str">
        <f t="shared" si="89"/>
        <v>{SILVER}The Class 42 is based on the German V200 design, scaled down to fit the smaller British loading gauge and built under licence by British manufacturers.</v>
      </c>
    </row>
    <row r="154" spans="1:77" x14ac:dyDescent="0.25">
      <c r="A154" t="s">
        <v>51</v>
      </c>
      <c r="B154" t="s">
        <v>570</v>
      </c>
      <c r="C154">
        <v>302</v>
      </c>
      <c r="D154" t="s">
        <v>302</v>
      </c>
      <c r="E154" t="s">
        <v>312</v>
      </c>
      <c r="F154" t="s">
        <v>314</v>
      </c>
      <c r="G154">
        <v>1958</v>
      </c>
      <c r="H154">
        <v>1962</v>
      </c>
      <c r="I154">
        <v>1985</v>
      </c>
      <c r="K154">
        <v>2000</v>
      </c>
      <c r="T154">
        <v>135</v>
      </c>
      <c r="W154">
        <v>231</v>
      </c>
      <c r="X154" s="4">
        <f t="shared" si="75"/>
        <v>0.1711111111111111</v>
      </c>
      <c r="Y154">
        <v>90</v>
      </c>
      <c r="AA154">
        <v>21.18</v>
      </c>
      <c r="AB154">
        <v>21.18</v>
      </c>
      <c r="AD154">
        <v>3.91</v>
      </c>
      <c r="AE154" s="11">
        <v>0</v>
      </c>
      <c r="AF154" t="str">
        <f>CONCATENATE(VLOOKUP(AG154, 'Voxel Sizes'!$A$2:$B$18,2,FALSE),"x",INT(AC154*15), "x", INT(AD154*15))</f>
        <v>198x0x58</v>
      </c>
      <c r="AG154">
        <f t="shared" si="85"/>
        <v>12</v>
      </c>
      <c r="AI154" t="str">
        <f>CONCATENATE(VLOOKUP(AG154,Constants!$A$2:$C$16,IF(AH154&lt;&gt;"", 3, 2), FALSE),IF(AH154&lt;&gt;"",CONCATENATE(",",VLOOKUP(AH154,$B:$AI,34,FALSE)),""))</f>
        <v>4,4,4</v>
      </c>
      <c r="AQ154">
        <v>29</v>
      </c>
      <c r="AR154">
        <f t="shared" si="76"/>
        <v>23</v>
      </c>
      <c r="AU154">
        <f t="shared" si="77"/>
        <v>18</v>
      </c>
      <c r="AV154">
        <f t="shared" si="78"/>
        <v>10</v>
      </c>
      <c r="AW154">
        <f t="shared" si="79"/>
        <v>11.55</v>
      </c>
      <c r="AX154" s="4">
        <v>1</v>
      </c>
      <c r="AY154">
        <f t="shared" si="80"/>
        <v>0</v>
      </c>
      <c r="AZ154">
        <f>VLOOKUP($E154,Constants!$I:$K, 2, FALSE)</f>
        <v>1</v>
      </c>
      <c r="BA154">
        <f>VLOOKUP($E154,Constants!$I:$K, 3, FALSE)*IF(AND(D154="multiple_unit",Y154&lt;110),0.75,1)</f>
        <v>2</v>
      </c>
      <c r="BB154">
        <f>INT(POWER(((Constants!$G$2+$AU154+$AV154+$AW154+$AY154)*$AX154)*$BA154, 1.05))+$AT154</f>
        <v>111</v>
      </c>
      <c r="BC154">
        <f>INT(POWER((((Constants!$G$1+$AU154+$AV154+$AW154+$AY154)*(1/$AX154))*$AZ154),IF($D154="wagon",1,1.2)))+$AS154</f>
        <v>121</v>
      </c>
      <c r="BD154" s="15">
        <f t="shared" si="86"/>
        <v>86718.75</v>
      </c>
      <c r="BE154" s="15">
        <f t="shared" si="87"/>
        <v>9831.25</v>
      </c>
      <c r="BN154">
        <v>7</v>
      </c>
      <c r="BR154" t="str">
        <f>VLOOKUP(G154,Eras!$A$2:$C$10, 2, TRUE)</f>
        <v>dsl</v>
      </c>
      <c r="BS154" t="s">
        <v>368</v>
      </c>
      <c r="BT154" t="str">
        <f t="shared" si="88"/>
        <v>dsl_Express</v>
      </c>
      <c r="BU154" t="str">
        <f t="shared" si="82"/>
        <v/>
      </c>
      <c r="BV154" t="str">
        <f t="shared" si="81"/>
        <v/>
      </c>
      <c r="BW154" t="s">
        <v>569</v>
      </c>
      <c r="BX154" t="str">
        <f t="shared" si="90"/>
        <v/>
      </c>
      <c r="BY154" t="str">
        <f t="shared" si="89"/>
        <v>{SILVER}Initially unwanted due to the small improvement in performance over the Class 7 Britannia, the Class 40 (English Electric Type 4) found its home on the West Coast Main Line.</v>
      </c>
    </row>
    <row r="155" spans="1:77" x14ac:dyDescent="0.25">
      <c r="A155" t="s">
        <v>52</v>
      </c>
      <c r="B155" t="s">
        <v>338</v>
      </c>
      <c r="C155">
        <v>304</v>
      </c>
      <c r="D155" t="s">
        <v>302</v>
      </c>
      <c r="E155" t="s">
        <v>312</v>
      </c>
      <c r="F155" t="s">
        <v>314</v>
      </c>
      <c r="G155">
        <v>1958</v>
      </c>
      <c r="H155">
        <v>1959</v>
      </c>
      <c r="I155">
        <v>1968</v>
      </c>
      <c r="K155">
        <v>1200</v>
      </c>
      <c r="T155">
        <v>98.6</v>
      </c>
      <c r="W155">
        <v>222</v>
      </c>
      <c r="X155" s="4">
        <f t="shared" ref="X155:X186" si="91">IF(AND(T155&gt;0,W155&gt;0),(W155/((T155+U155)*10)),"")</f>
        <v>0.22515212981744423</v>
      </c>
      <c r="Y155">
        <v>75</v>
      </c>
      <c r="AA155">
        <v>17.260000000000002</v>
      </c>
      <c r="AB155">
        <v>17.260000000000002</v>
      </c>
      <c r="AD155">
        <v>3.7</v>
      </c>
      <c r="AE155" s="11">
        <v>0</v>
      </c>
      <c r="AF155" t="str">
        <f>CONCATENATE(VLOOKUP(AG155, 'Voxel Sizes'!$A$2:$B$18,2,FALSE),"x",INT(AC155*15), "x", INT(AD155*15))</f>
        <v>164x0x55</v>
      </c>
      <c r="AG155">
        <f t="shared" si="85"/>
        <v>10</v>
      </c>
      <c r="AI155" t="str">
        <f>CONCATENATE(VLOOKUP(AG155,Constants!$A$2:$C$16,IF(AH155&lt;&gt;"", 3, 2), FALSE),IF(AH155&lt;&gt;"",CONCATENATE(",",VLOOKUP(AH155,$B:$AI,34,FALSE)),""))</f>
        <v>4,2,4</v>
      </c>
      <c r="AQ155">
        <v>21</v>
      </c>
      <c r="AR155">
        <f t="shared" si="76"/>
        <v>8</v>
      </c>
      <c r="AU155">
        <f t="shared" si="77"/>
        <v>15</v>
      </c>
      <c r="AV155">
        <f t="shared" si="78"/>
        <v>6</v>
      </c>
      <c r="AW155">
        <f t="shared" si="79"/>
        <v>11.100000000000001</v>
      </c>
      <c r="AX155" s="4">
        <v>1</v>
      </c>
      <c r="AY155">
        <f t="shared" si="80"/>
        <v>0</v>
      </c>
      <c r="AZ155">
        <f>VLOOKUP($E155,Constants!$I:$K, 2, FALSE)</f>
        <v>1</v>
      </c>
      <c r="BA155">
        <f>VLOOKUP($E155,Constants!$I:$K, 3, FALSE)*IF(AND(D155="multiple_unit",Y155&lt;110),0.75,1)</f>
        <v>2</v>
      </c>
      <c r="BB155">
        <f>INT(POWER(((Constants!$G$2+$AU155+$AV155+$AW155+$AY155)*$AX155)*$BA155, 1.05))+$AT155</f>
        <v>92</v>
      </c>
      <c r="BC155">
        <f>INT(POWER((((Constants!$G$1+$AU155+$AV155+$AW155+$AY155)*(1/$AX155))*$AZ155),IF($D155="wagon",1,1.2)))+$AS155</f>
        <v>101</v>
      </c>
      <c r="BD155" s="15">
        <f t="shared" si="86"/>
        <v>71875</v>
      </c>
      <c r="BE155" s="15">
        <f t="shared" si="87"/>
        <v>8206.25</v>
      </c>
      <c r="BN155">
        <v>8</v>
      </c>
      <c r="BR155" t="str">
        <f>VLOOKUP(G155,Eras!$A$2:$C$10, 2, TRUE)</f>
        <v>dsl</v>
      </c>
      <c r="BS155" t="s">
        <v>367</v>
      </c>
      <c r="BT155" t="str">
        <f t="shared" si="88"/>
        <v>dsl_Mixed Traffic</v>
      </c>
      <c r="BU155" t="str">
        <f t="shared" si="82"/>
        <v/>
      </c>
      <c r="BV155" t="str">
        <f t="shared" si="81"/>
        <v/>
      </c>
      <c r="BW155" t="s">
        <v>398</v>
      </c>
      <c r="BX155" t="str">
        <f t="shared" si="90"/>
        <v/>
      </c>
      <c r="BY155" t="str">
        <f t="shared" si="89"/>
        <v>{SILVER}The Class 28 features some unusual design elements, with a two-stroke diesel engine and a "Co-Bo" layout with five axles: three at the front and two at the rear. It was sadly unreliable in use, with engine problems and a tendency for the cab windows to fall out.</v>
      </c>
    </row>
    <row r="156" spans="1:77" x14ac:dyDescent="0.25">
      <c r="A156" t="s">
        <v>74</v>
      </c>
      <c r="B156" t="s">
        <v>253</v>
      </c>
      <c r="C156">
        <v>306</v>
      </c>
      <c r="D156" t="s">
        <v>302</v>
      </c>
      <c r="E156" t="s">
        <v>336</v>
      </c>
      <c r="F156" t="s">
        <v>343</v>
      </c>
      <c r="G156">
        <v>1958</v>
      </c>
      <c r="H156">
        <v>1960</v>
      </c>
      <c r="I156">
        <v>1977</v>
      </c>
      <c r="K156">
        <v>2300</v>
      </c>
      <c r="T156">
        <v>78.239999999999995</v>
      </c>
      <c r="W156">
        <v>195</v>
      </c>
      <c r="X156" s="4">
        <f t="shared" si="91"/>
        <v>0.24923312883435583</v>
      </c>
      <c r="Y156">
        <v>90</v>
      </c>
      <c r="AA156">
        <v>16.36</v>
      </c>
      <c r="AB156">
        <v>16.36</v>
      </c>
      <c r="AE156" s="11">
        <v>0</v>
      </c>
      <c r="AF156" t="str">
        <f>CONCATENATE(VLOOKUP(AG156, 'Voxel Sizes'!$A$2:$B$18,2,FALSE),"x",INT(AC156*15), "x", INT(AD156*15))</f>
        <v>164x0x0</v>
      </c>
      <c r="AG156">
        <f t="shared" si="85"/>
        <v>10</v>
      </c>
      <c r="AI156" t="str">
        <f>CONCATENATE(VLOOKUP(AG156,Constants!$A$2:$C$16,IF(AH156&lt;&gt;"", 3, 2), FALSE),IF(AH156&lt;&gt;"",CONCATENATE(",",VLOOKUP(AH156,$B:$AI,34,FALSE)),""))</f>
        <v>4,2,4</v>
      </c>
      <c r="AQ156">
        <v>32</v>
      </c>
      <c r="AR156">
        <f t="shared" si="76"/>
        <v>15</v>
      </c>
      <c r="AU156">
        <f t="shared" si="77"/>
        <v>18</v>
      </c>
      <c r="AV156">
        <f t="shared" si="78"/>
        <v>11.5</v>
      </c>
      <c r="AW156">
        <f t="shared" si="79"/>
        <v>9.75</v>
      </c>
      <c r="AX156" s="4">
        <v>1</v>
      </c>
      <c r="AY156">
        <f t="shared" si="80"/>
        <v>0</v>
      </c>
      <c r="AZ156">
        <f>VLOOKUP($E156,Constants!$I:$K, 2, FALSE)</f>
        <v>0.85</v>
      </c>
      <c r="BA156">
        <f>VLOOKUP($E156,Constants!$I:$K, 3, FALSE)*IF(AND(D156="multiple_unit",Y156&lt;110),0.75,1)</f>
        <v>2.2999999999999998</v>
      </c>
      <c r="BB156">
        <f>INT(POWER(((Constants!$G$2+$AU156+$AV156+$AW156+$AY156)*$AX156)*$BA156, 1.05))+$AT156</f>
        <v>128</v>
      </c>
      <c r="BC156">
        <f>INT(POWER((((Constants!$G$1+$AU156+$AV156+$AW156+$AY156)*(1/$AX156))*$AZ156),IF($D156="wagon",1,1.2)))+$AS156</f>
        <v>99</v>
      </c>
      <c r="BD156" s="15">
        <f t="shared" si="86"/>
        <v>100000</v>
      </c>
      <c r="BE156" s="15">
        <f t="shared" si="87"/>
        <v>8043.75</v>
      </c>
      <c r="BN156">
        <v>9</v>
      </c>
      <c r="BR156" t="str">
        <f>VLOOKUP(G156,Eras!$A$2:$C$10, 2, TRUE)</f>
        <v>dsl</v>
      </c>
      <c r="BS156" t="s">
        <v>377</v>
      </c>
      <c r="BT156" t="str">
        <f t="shared" si="88"/>
        <v>dsl_MT (Electric)</v>
      </c>
      <c r="BU156" t="str">
        <f t="shared" si="82"/>
        <v/>
      </c>
      <c r="BV156" t="str">
        <f t="shared" si="81"/>
        <v/>
      </c>
      <c r="BW156" t="s">
        <v>399</v>
      </c>
      <c r="BX156" t="str">
        <f t="shared" si="90"/>
        <v/>
      </c>
      <c r="BY156" t="str">
        <f t="shared" si="89"/>
        <v>{SILVER}The Class 71 is a mixed-traffic electric locomotive designed to work on the third rail system. It offered a lot of power for a small locomotive, but being confined to third rail power with no auxiliary option limited its usefulness.</v>
      </c>
    </row>
    <row r="157" spans="1:77" x14ac:dyDescent="0.25">
      <c r="A157" t="s">
        <v>586</v>
      </c>
      <c r="B157" t="s">
        <v>588</v>
      </c>
      <c r="C157">
        <v>308</v>
      </c>
      <c r="D157" t="s">
        <v>302</v>
      </c>
      <c r="E157" t="s">
        <v>312</v>
      </c>
      <c r="F157" t="s">
        <v>314</v>
      </c>
      <c r="G157">
        <v>1958</v>
      </c>
      <c r="H157">
        <v>1959</v>
      </c>
      <c r="I157">
        <v>1994</v>
      </c>
      <c r="K157">
        <v>1160</v>
      </c>
      <c r="T157">
        <v>78.7</v>
      </c>
      <c r="W157">
        <v>187</v>
      </c>
      <c r="X157" s="4">
        <f t="shared" si="91"/>
        <v>0.23761118170266837</v>
      </c>
      <c r="Y157">
        <v>80</v>
      </c>
      <c r="AA157">
        <v>15.47</v>
      </c>
      <c r="AB157">
        <v>15.47</v>
      </c>
      <c r="AD157">
        <v>3.86</v>
      </c>
      <c r="AE157" s="11">
        <v>0</v>
      </c>
      <c r="AF157" t="str">
        <f>CONCATENATE(VLOOKUP(AG157, 'Voxel Sizes'!$A$2:$B$18,2,FALSE),"x",INT(AC157*15), "x", INT(AD157*15))</f>
        <v>152x0x57</v>
      </c>
      <c r="AG157">
        <f t="shared" si="85"/>
        <v>9</v>
      </c>
      <c r="AI157" t="str">
        <f>CONCATENATE(VLOOKUP(AG157,Constants!$A$2:$C$16,IF(AH157&lt;&gt;"", 3, 2), FALSE),IF(AH157&lt;&gt;"",CONCATENATE(",",VLOOKUP(AH157,$B:$AI,34,FALSE)),""))</f>
        <v>2,5,2</v>
      </c>
      <c r="AQ157">
        <v>30</v>
      </c>
      <c r="AR157">
        <f t="shared" si="76"/>
        <v>32</v>
      </c>
      <c r="AU157">
        <f t="shared" si="77"/>
        <v>16</v>
      </c>
      <c r="AV157">
        <f t="shared" si="78"/>
        <v>5.8</v>
      </c>
      <c r="AW157">
        <f t="shared" si="79"/>
        <v>9.3500000000000014</v>
      </c>
      <c r="AX157" s="4">
        <v>1</v>
      </c>
      <c r="AY157">
        <f t="shared" si="80"/>
        <v>0</v>
      </c>
      <c r="AZ157">
        <f>VLOOKUP($E157,Constants!$I:$K, 2, FALSE)</f>
        <v>1</v>
      </c>
      <c r="BA157">
        <f>VLOOKUP($E157,Constants!$I:$K, 3, FALSE)*IF(AND(D157="multiple_unit",Y157&lt;110),0.75,1)</f>
        <v>2</v>
      </c>
      <c r="BB157">
        <f>INT(POWER(((Constants!$G$2+$AU157+$AV157+$AW157+$AY157)*$AX157)*$BA157, 1.05))+$AT157</f>
        <v>89</v>
      </c>
      <c r="BC157">
        <f>INT(POWER((((Constants!$G$1+$AU157+$AV157+$AW157+$AY157)*(1/$AX157))*$AZ157),IF($D157="wagon",1,1.2)))+$AS157</f>
        <v>99</v>
      </c>
      <c r="BD157" s="15">
        <f t="shared" si="86"/>
        <v>69531.25</v>
      </c>
      <c r="BE157" s="15">
        <f t="shared" si="87"/>
        <v>8043.75</v>
      </c>
      <c r="BN157">
        <v>10</v>
      </c>
      <c r="BR157" t="str">
        <f>VLOOKUP(G157,Eras!$A$2:$C$10, 2, TRUE)</f>
        <v>dsl</v>
      </c>
      <c r="BS157" t="s">
        <v>367</v>
      </c>
      <c r="BT157" t="str">
        <f t="shared" si="88"/>
        <v>dsl_Mixed Traffic</v>
      </c>
      <c r="BU157" t="str">
        <f t="shared" si="82"/>
        <v/>
      </c>
      <c r="BV157" t="str">
        <f t="shared" si="81"/>
        <v/>
      </c>
      <c r="BW157" t="s">
        <v>587</v>
      </c>
      <c r="BX157" t="str">
        <f t="shared" si="90"/>
        <v/>
      </c>
      <c r="BY157" t="str">
        <f t="shared" si="89"/>
        <v>{SILVER}The Class 26 "Teacup" (so named for its idling sound) was an early Type 2 locomotive, small diesels with engine output between 800 and 1,250 hp.</v>
      </c>
    </row>
    <row r="158" spans="1:77" x14ac:dyDescent="0.25">
      <c r="A158" t="s">
        <v>49</v>
      </c>
      <c r="B158" t="s">
        <v>306</v>
      </c>
      <c r="C158">
        <v>310</v>
      </c>
      <c r="D158" t="s">
        <v>302</v>
      </c>
      <c r="E158" t="s">
        <v>312</v>
      </c>
      <c r="F158" t="s">
        <v>314</v>
      </c>
      <c r="G158">
        <v>1959</v>
      </c>
      <c r="H158">
        <v>1959</v>
      </c>
      <c r="I158">
        <v>1971</v>
      </c>
      <c r="K158">
        <v>1100</v>
      </c>
      <c r="T158">
        <v>75.2</v>
      </c>
      <c r="W158">
        <v>209</v>
      </c>
      <c r="X158" s="4">
        <f t="shared" si="91"/>
        <v>0.27792553191489361</v>
      </c>
      <c r="Y158">
        <v>75</v>
      </c>
      <c r="AA158">
        <v>16</v>
      </c>
      <c r="AB158">
        <v>16</v>
      </c>
      <c r="AD158">
        <v>3.86</v>
      </c>
      <c r="AE158" s="11">
        <v>0</v>
      </c>
      <c r="AF158" t="str">
        <f>CONCATENATE(VLOOKUP(AG158, 'Voxel Sizes'!$A$2:$B$18,2,FALSE),"x",INT(AC158*15), "x", INT(AD158*15))</f>
        <v>152x0x57</v>
      </c>
      <c r="AG158">
        <f t="shared" si="85"/>
        <v>9</v>
      </c>
      <c r="AI158" t="str">
        <f>CONCATENATE(VLOOKUP(AG158,Constants!$A$2:$C$16,IF(AH158&lt;&gt;"", 3, 2), FALSE),IF(AH158&lt;&gt;"",CONCATENATE(",",VLOOKUP(AH158,$B:$AI,34,FALSE)),""))</f>
        <v>2,5,2</v>
      </c>
      <c r="AQ158">
        <v>26</v>
      </c>
      <c r="AR158">
        <f t="shared" si="76"/>
        <v>8</v>
      </c>
      <c r="AU158">
        <f t="shared" si="77"/>
        <v>15</v>
      </c>
      <c r="AV158">
        <f t="shared" si="78"/>
        <v>5.5</v>
      </c>
      <c r="AW158">
        <f t="shared" si="79"/>
        <v>10.45</v>
      </c>
      <c r="AX158" s="4">
        <v>1</v>
      </c>
      <c r="AY158">
        <f t="shared" si="80"/>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98</v>
      </c>
      <c r="BD158" s="15">
        <f t="shared" si="86"/>
        <v>69531.25</v>
      </c>
      <c r="BE158" s="15">
        <f t="shared" si="87"/>
        <v>7962.5</v>
      </c>
      <c r="BN158">
        <v>11</v>
      </c>
      <c r="BR158" t="str">
        <f>VLOOKUP(G158,Eras!$A$2:$C$10, 2, TRUE)</f>
        <v>dsl</v>
      </c>
      <c r="BS158" t="s">
        <v>367</v>
      </c>
      <c r="BT158" t="str">
        <f t="shared" si="88"/>
        <v>dsl_Mixed Traffic</v>
      </c>
      <c r="BU158" t="str">
        <f t="shared" si="82"/>
        <v/>
      </c>
      <c r="BV158" t="str">
        <f t="shared" si="81"/>
        <v/>
      </c>
      <c r="BW158" t="s">
        <v>407</v>
      </c>
      <c r="BX158" t="str">
        <f t="shared" si="90"/>
        <v/>
      </c>
      <c r="BY158" t="str">
        <f t="shared" si="89"/>
        <v>{SILVER}The Class 23 uses a smaller version of the Napier Deltic engine fitted to the Class 55, leading to its nickname of "Baby Deltic".</v>
      </c>
    </row>
    <row r="159" spans="1:77" x14ac:dyDescent="0.25">
      <c r="A159" t="s">
        <v>69</v>
      </c>
      <c r="B159" t="s">
        <v>254</v>
      </c>
      <c r="C159">
        <v>312</v>
      </c>
      <c r="D159" t="s">
        <v>302</v>
      </c>
      <c r="E159" t="s">
        <v>336</v>
      </c>
      <c r="F159" t="s">
        <v>337</v>
      </c>
      <c r="G159">
        <v>1959</v>
      </c>
      <c r="H159">
        <v>1964</v>
      </c>
      <c r="I159">
        <v>1991</v>
      </c>
      <c r="K159">
        <f>4*847</f>
        <v>3388</v>
      </c>
      <c r="T159">
        <v>80.900000000000006</v>
      </c>
      <c r="W159">
        <v>222</v>
      </c>
      <c r="X159" s="4">
        <f t="shared" si="91"/>
        <v>0.27441285537700866</v>
      </c>
      <c r="Y159">
        <v>100</v>
      </c>
      <c r="AA159">
        <v>17.22</v>
      </c>
      <c r="AB159">
        <v>17.22</v>
      </c>
      <c r="AD159">
        <v>3.77</v>
      </c>
      <c r="AE159" s="11">
        <v>0</v>
      </c>
      <c r="AF159" t="str">
        <f>CONCATENATE(VLOOKUP(AG159, 'Voxel Sizes'!$A$2:$B$18,2,FALSE),"x",INT(AC159*15), "x", INT(AD159*15))</f>
        <v>164x0x56</v>
      </c>
      <c r="AG159">
        <f t="shared" si="85"/>
        <v>10</v>
      </c>
      <c r="AI159" t="str">
        <f>CONCATENATE(VLOOKUP(AG159,Constants!$A$2:$C$16,IF(AH159&lt;&gt;"", 3, 2), FALSE),IF(AH159&lt;&gt;"",CONCATENATE(",",VLOOKUP(AH159,$B:$AI,34,FALSE)),""))</f>
        <v>4,2,4</v>
      </c>
      <c r="AQ159">
        <v>27</v>
      </c>
      <c r="AR159">
        <f t="shared" si="76"/>
        <v>28</v>
      </c>
      <c r="AU159">
        <f t="shared" si="77"/>
        <v>20</v>
      </c>
      <c r="AV159">
        <f t="shared" si="78"/>
        <v>16.939999999999998</v>
      </c>
      <c r="AW159">
        <f t="shared" si="79"/>
        <v>11.100000000000001</v>
      </c>
      <c r="AX159" s="4">
        <v>1</v>
      </c>
      <c r="AY159">
        <f t="shared" si="80"/>
        <v>0</v>
      </c>
      <c r="AZ159">
        <f>VLOOKUP($E159,Constants!$I:$K, 2, FALSE)</f>
        <v>0.85</v>
      </c>
      <c r="BA159">
        <f>VLOOKUP($E159,Constants!$I:$K, 3, FALSE)*IF(AND(D159="multiple_unit",Y159&lt;110),0.75,1)</f>
        <v>2.2999999999999998</v>
      </c>
      <c r="BB159">
        <f>INT(POWER(((Constants!$G$2+$AU159+$AV159+$AW159+$AY159)*$AX159)*$BA159, 1.05))+$AT159</f>
        <v>155</v>
      </c>
      <c r="BC159">
        <f>INT(POWER((((Constants!$G$1+$AU159+$AV159+$AW159+$AY159)*(1/$AX159))*$AZ159),IF($D159="wagon",1,1.2)))+$AS159</f>
        <v>118</v>
      </c>
      <c r="BD159" s="15">
        <f t="shared" si="86"/>
        <v>121093.75</v>
      </c>
      <c r="BE159" s="15">
        <f t="shared" si="87"/>
        <v>9587.5</v>
      </c>
      <c r="BN159">
        <v>12</v>
      </c>
      <c r="BR159" t="str">
        <f>VLOOKUP(G159,Eras!$A$2:$C$10, 2, TRUE)</f>
        <v>dsl</v>
      </c>
      <c r="BS159" t="s">
        <v>378</v>
      </c>
      <c r="BT159" t="str">
        <f t="shared" si="88"/>
        <v>dsl_Express (Electric)</v>
      </c>
      <c r="BU159" t="str">
        <f t="shared" si="82"/>
        <v/>
      </c>
      <c r="BV159" t="str">
        <f t="shared" si="81"/>
        <v/>
      </c>
      <c r="BW159" t="s">
        <v>571</v>
      </c>
      <c r="BX159" t="str">
        <f t="shared" si="90"/>
        <v/>
      </c>
      <c r="BY159" t="str">
        <f t="shared" si="89"/>
        <v>{SILVER}Built by Associated Electrical Industries, the Class 81 was British Railways' first AC electric locomotive. Two types were envisioned, but all delivered were geared for 100mph passenger and express freight usage.</v>
      </c>
    </row>
    <row r="160" spans="1:77" x14ac:dyDescent="0.25">
      <c r="A160" t="s">
        <v>50</v>
      </c>
      <c r="B160" t="s">
        <v>301</v>
      </c>
      <c r="C160">
        <v>314</v>
      </c>
      <c r="D160" t="s">
        <v>302</v>
      </c>
      <c r="E160" t="s">
        <v>312</v>
      </c>
      <c r="F160" t="s">
        <v>314</v>
      </c>
      <c r="G160">
        <v>1960</v>
      </c>
      <c r="H160">
        <v>1965</v>
      </c>
      <c r="K160">
        <v>1750</v>
      </c>
      <c r="T160">
        <v>102</v>
      </c>
      <c r="W160">
        <v>247</v>
      </c>
      <c r="X160" s="4">
        <f t="shared" si="91"/>
        <v>0.24215686274509804</v>
      </c>
      <c r="Y160">
        <v>90</v>
      </c>
      <c r="AA160">
        <v>18.75</v>
      </c>
      <c r="AB160">
        <v>18.75</v>
      </c>
      <c r="AC160">
        <v>2.71</v>
      </c>
      <c r="AD160">
        <v>3.89</v>
      </c>
      <c r="AE160" s="11">
        <v>0</v>
      </c>
      <c r="AF160" t="str">
        <f>CONCATENATE(VLOOKUP(AG160, 'Voxel Sizes'!$A$2:$B$18,2,FALSE),"x",INT(AC160*15), "x", INT(AD160*15))</f>
        <v>186x40x58</v>
      </c>
      <c r="AG160">
        <f t="shared" si="85"/>
        <v>11</v>
      </c>
      <c r="AI160" t="str">
        <f>CONCATENATE(VLOOKUP(AG160,Constants!$A$2:$C$16,IF(AH160&lt;&gt;"", 3, 2), FALSE),IF(AH160&lt;&gt;"",CONCATENATE(",",VLOOKUP(AH160,$B:$AI,34,FALSE)),""))</f>
        <v>4,3,4</v>
      </c>
      <c r="AQ160">
        <v>42</v>
      </c>
      <c r="AR160" t="str">
        <f t="shared" si="76"/>
        <v/>
      </c>
      <c r="AU160">
        <f t="shared" si="77"/>
        <v>18</v>
      </c>
      <c r="AV160">
        <f t="shared" si="78"/>
        <v>8.75</v>
      </c>
      <c r="AW160">
        <f t="shared" si="79"/>
        <v>12.350000000000001</v>
      </c>
      <c r="AX160" s="4">
        <v>1</v>
      </c>
      <c r="AY160">
        <f t="shared" si="80"/>
        <v>0</v>
      </c>
      <c r="AZ160">
        <f>VLOOKUP($E160,Constants!$I:$K, 2, FALSE)</f>
        <v>1</v>
      </c>
      <c r="BA160">
        <f>VLOOKUP($E160,Constants!$I:$K, 3, FALSE)*IF(AND(D160="multiple_unit",Y160&lt;110),0.75,1)</f>
        <v>2</v>
      </c>
      <c r="BB160">
        <f>INT(POWER(((Constants!$G$2+$AU160+$AV160+$AW160+$AY160)*$AX160)*$BA160, 1.05))+$AT160</f>
        <v>110</v>
      </c>
      <c r="BC160">
        <f>INT(POWER((((Constants!$G$1+$AU160+$AV160+$AW160+$AY160)*(1/$AX160))*$AZ160),IF($D160="wagon",1,1.2)))+$AS160</f>
        <v>120</v>
      </c>
      <c r="BD160" s="15">
        <f t="shared" si="86"/>
        <v>85937.5</v>
      </c>
      <c r="BE160" s="15">
        <f t="shared" si="87"/>
        <v>9750</v>
      </c>
      <c r="BN160">
        <v>1</v>
      </c>
      <c r="BR160" t="str">
        <f>VLOOKUP(G160,Eras!$A$2:$C$10, 2, TRUE)</f>
        <v>dsl</v>
      </c>
      <c r="BS160" t="s">
        <v>369</v>
      </c>
      <c r="BT160" t="str">
        <f t="shared" si="88"/>
        <v>dsl_Freight</v>
      </c>
      <c r="BU160" t="str">
        <f t="shared" si="82"/>
        <v/>
      </c>
      <c r="BV160" t="str">
        <f t="shared" si="81"/>
        <v/>
      </c>
      <c r="BW160" t="s">
        <v>400</v>
      </c>
      <c r="BX160" t="str">
        <f t="shared" si="90"/>
        <v/>
      </c>
      <c r="BY160" t="str">
        <f t="shared" si="89"/>
        <v>{SILVER}The Class 37 (English Electric Type 3) is widely used, especially in Scotland where the high power, low axle load and lack of need for electrification make it ideal for hauling long trains in the Highlands.</v>
      </c>
    </row>
    <row r="161" spans="1:77" x14ac:dyDescent="0.25">
      <c r="A161" t="s">
        <v>58</v>
      </c>
      <c r="B161" t="s">
        <v>576</v>
      </c>
      <c r="C161">
        <v>316</v>
      </c>
      <c r="D161" t="s">
        <v>302</v>
      </c>
      <c r="E161" t="s">
        <v>312</v>
      </c>
      <c r="F161" t="s">
        <v>314</v>
      </c>
      <c r="G161">
        <v>1960</v>
      </c>
      <c r="H161">
        <v>1962</v>
      </c>
      <c r="I161">
        <v>1989</v>
      </c>
      <c r="K161">
        <v>2500</v>
      </c>
      <c r="T161">
        <v>135</v>
      </c>
      <c r="W161">
        <v>245</v>
      </c>
      <c r="X161" s="4">
        <f t="shared" si="91"/>
        <v>0.18148148148148149</v>
      </c>
      <c r="Y161">
        <v>90</v>
      </c>
      <c r="AA161">
        <v>20.7</v>
      </c>
      <c r="AB161">
        <v>20.7</v>
      </c>
      <c r="AD161">
        <v>3.91</v>
      </c>
      <c r="AE161" s="11">
        <v>0</v>
      </c>
      <c r="AF161" t="str">
        <f>CONCATENATE(VLOOKUP(AG161, 'Voxel Sizes'!$A$2:$B$18,2,FALSE),"x",INT(AC161*15), "x", INT(AD161*15))</f>
        <v>198x0x58</v>
      </c>
      <c r="AG161">
        <f t="shared" si="85"/>
        <v>12</v>
      </c>
      <c r="AI161" t="str">
        <f>CONCATENATE(VLOOKUP(AG161,Constants!$A$2:$C$16,IF(AH161&lt;&gt;"", 3, 2), FALSE),IF(AH161&lt;&gt;"",CONCATENATE(",",VLOOKUP(AH161,$B:$AI,34,FALSE)),""))</f>
        <v>4,4,4</v>
      </c>
      <c r="AQ161">
        <v>30</v>
      </c>
      <c r="AR161">
        <f t="shared" si="76"/>
        <v>25</v>
      </c>
      <c r="AU161">
        <f t="shared" si="77"/>
        <v>18</v>
      </c>
      <c r="AV161">
        <f t="shared" si="78"/>
        <v>12.5</v>
      </c>
      <c r="AW161">
        <f t="shared" si="79"/>
        <v>12.25</v>
      </c>
      <c r="AX161" s="4">
        <v>1</v>
      </c>
      <c r="AY161">
        <f t="shared" si="80"/>
        <v>0</v>
      </c>
      <c r="AZ161">
        <f>VLOOKUP($E161,Constants!$I:$K, 2, FALSE)</f>
        <v>1</v>
      </c>
      <c r="BA161">
        <f>VLOOKUP($E161,Constants!$I:$K, 3, FALSE)*IF(AND(D161="multiple_unit",Y161&lt;110),0.75,1)</f>
        <v>2</v>
      </c>
      <c r="BB161">
        <f>INT(POWER(((Constants!$G$2+$AU161+$AV161+$AW161+$AY161)*$AX161)*$BA161, 1.05))+$AT161</f>
        <v>119</v>
      </c>
      <c r="BC161">
        <f>INT(POWER((((Constants!$G$1+$AU161+$AV161+$AW161+$AY161)*(1/$AX161))*$AZ161),IF($D161="wagon",1,1.2)))+$AS161</f>
        <v>129</v>
      </c>
      <c r="BD161" s="15">
        <f t="shared" si="86"/>
        <v>92968.75</v>
      </c>
      <c r="BE161" s="15">
        <f t="shared" si="87"/>
        <v>10481.25</v>
      </c>
      <c r="BN161">
        <v>2</v>
      </c>
      <c r="BR161" t="str">
        <f>VLOOKUP(G161,Eras!$A$2:$C$10, 2, TRUE)</f>
        <v>dsl</v>
      </c>
      <c r="BS161" t="s">
        <v>368</v>
      </c>
      <c r="BT161" t="str">
        <f t="shared" si="88"/>
        <v>dsl_Express</v>
      </c>
      <c r="BU161" t="str">
        <f t="shared" si="82"/>
        <v/>
      </c>
      <c r="BV161" t="str">
        <f t="shared" si="81"/>
        <v/>
      </c>
      <c r="BW161" t="s">
        <v>575</v>
      </c>
      <c r="BX161" t="str">
        <f t="shared" si="90"/>
        <v/>
      </c>
      <c r="BY161" t="str">
        <f t="shared" si="89"/>
        <v>{SILVER}The Sulzer Peaks served express passenger trains on the Midland Main Line until the introduction of the HST.</v>
      </c>
    </row>
    <row r="162" spans="1:77" x14ac:dyDescent="0.25">
      <c r="A162" t="s">
        <v>59</v>
      </c>
      <c r="B162" t="s">
        <v>578</v>
      </c>
      <c r="C162">
        <v>318</v>
      </c>
      <c r="D162" t="s">
        <v>302</v>
      </c>
      <c r="E162" t="s">
        <v>312</v>
      </c>
      <c r="F162" t="s">
        <v>314</v>
      </c>
      <c r="G162">
        <v>1960</v>
      </c>
      <c r="H162">
        <v>1962</v>
      </c>
      <c r="K162">
        <v>1550</v>
      </c>
      <c r="T162">
        <v>74.2</v>
      </c>
      <c r="W162">
        <v>200</v>
      </c>
      <c r="X162" s="4">
        <f t="shared" si="91"/>
        <v>0.26954177897574122</v>
      </c>
      <c r="Y162">
        <v>85</v>
      </c>
      <c r="AA162">
        <v>15.47</v>
      </c>
      <c r="AB162">
        <v>15.47</v>
      </c>
      <c r="AD162">
        <v>3.86</v>
      </c>
      <c r="AE162" s="11">
        <v>0</v>
      </c>
      <c r="AF162" t="str">
        <f>CONCATENATE(VLOOKUP(AG162, 'Voxel Sizes'!$A$2:$B$18,2,FALSE),"x",INT(AC162*15), "x", INT(AD162*15))</f>
        <v>152x0x57</v>
      </c>
      <c r="AG162">
        <f t="shared" si="85"/>
        <v>9</v>
      </c>
      <c r="AI162" t="str">
        <f>CONCATENATE(VLOOKUP(AG162,Constants!$A$2:$C$16,IF(AH162&lt;&gt;"", 3, 2), FALSE),IF(AH162&lt;&gt;"",CONCATENATE(",",VLOOKUP(AH162,$B:$AI,34,FALSE)),""))</f>
        <v>2,5,2</v>
      </c>
      <c r="AQ162">
        <v>30</v>
      </c>
      <c r="AR162" t="str">
        <f t="shared" si="76"/>
        <v/>
      </c>
      <c r="AU162">
        <f t="shared" si="77"/>
        <v>17</v>
      </c>
      <c r="AV162">
        <f t="shared" si="78"/>
        <v>7.75</v>
      </c>
      <c r="AW162">
        <f t="shared" si="79"/>
        <v>10</v>
      </c>
      <c r="AX162" s="4">
        <v>1</v>
      </c>
      <c r="AY162">
        <f t="shared" si="80"/>
        <v>0</v>
      </c>
      <c r="AZ162">
        <f>VLOOKUP($E162,Constants!$I:$K, 2, FALSE)</f>
        <v>1</v>
      </c>
      <c r="BA162">
        <f>VLOOKUP($E162,Constants!$I:$K, 3, FALSE)*IF(AND(D162="multiple_unit",Y162&lt;110),0.75,1)</f>
        <v>2</v>
      </c>
      <c r="BB162">
        <f>INT(POWER(((Constants!$G$2+$AU162+$AV162+$AW162+$AY162)*$AX162)*$BA162, 1.05))+$AT162</f>
        <v>98</v>
      </c>
      <c r="BC162">
        <f>INT(POWER((((Constants!$G$1+$AU162+$AV162+$AW162+$AY162)*(1/$AX162))*$AZ162),IF($D162="wagon",1,1.2)))+$AS162</f>
        <v>108</v>
      </c>
      <c r="BD162" s="15">
        <f t="shared" si="86"/>
        <v>76562.5</v>
      </c>
      <c r="BE162" s="15">
        <f t="shared" si="87"/>
        <v>8775</v>
      </c>
      <c r="BN162">
        <v>3</v>
      </c>
      <c r="BR162" t="str">
        <f>VLOOKUP(G162,Eras!$A$2:$C$10, 2, TRUE)</f>
        <v>dsl</v>
      </c>
      <c r="BS162" t="s">
        <v>367</v>
      </c>
      <c r="BT162" t="str">
        <f t="shared" si="88"/>
        <v>dsl_Mixed Traffic</v>
      </c>
      <c r="BU162" t="str">
        <f t="shared" si="82"/>
        <v/>
      </c>
      <c r="BV162" t="str">
        <f t="shared" si="81"/>
        <v/>
      </c>
      <c r="BW162" t="s">
        <v>577</v>
      </c>
      <c r="BX162" t="str">
        <f t="shared" si="90"/>
        <v/>
      </c>
      <c r="BY162" t="str">
        <f t="shared" si="89"/>
        <v>{SILVER}The Class 33 was built without carriage heating, using the space for an 8 cylinder engine. This meant it was used for tourist-loaded passenger trains in summer, and freight in winter.</v>
      </c>
    </row>
    <row r="163" spans="1:77" x14ac:dyDescent="0.25">
      <c r="A163" t="s">
        <v>45</v>
      </c>
      <c r="B163" t="s">
        <v>199</v>
      </c>
      <c r="C163">
        <v>320</v>
      </c>
      <c r="D163" t="s">
        <v>302</v>
      </c>
      <c r="E163" t="s">
        <v>312</v>
      </c>
      <c r="F163" t="s">
        <v>314</v>
      </c>
      <c r="G163">
        <v>1961</v>
      </c>
      <c r="H163">
        <v>1964</v>
      </c>
      <c r="I163">
        <v>1975</v>
      </c>
      <c r="K163">
        <v>1700</v>
      </c>
      <c r="T163">
        <v>76.2</v>
      </c>
      <c r="W163">
        <v>207</v>
      </c>
      <c r="X163" s="4">
        <f t="shared" si="91"/>
        <v>0.27165354330708663</v>
      </c>
      <c r="Y163">
        <v>90</v>
      </c>
      <c r="AA163">
        <v>15.76</v>
      </c>
      <c r="AB163">
        <v>15.76</v>
      </c>
      <c r="AD163">
        <v>3.91</v>
      </c>
      <c r="AE163" s="11">
        <v>0</v>
      </c>
      <c r="AF163" t="str">
        <f>CONCATENATE(VLOOKUP(AG163, 'Voxel Sizes'!$A$2:$B$18,2,FALSE),"x",INT(AC163*15), "x", INT(AD163*15))</f>
        <v>152x0x58</v>
      </c>
      <c r="AG163">
        <f t="shared" si="85"/>
        <v>9</v>
      </c>
      <c r="AI163" t="str">
        <f>CONCATENATE(VLOOKUP(AG163,Constants!$A$2:$C$16,IF(AH163&lt;&gt;"", 3, 2), FALSE),IF(AH163&lt;&gt;"",CONCATENATE(",",VLOOKUP(AH163,$B:$AI,34,FALSE)),""))</f>
        <v>2,5,2</v>
      </c>
      <c r="AQ163">
        <v>30</v>
      </c>
      <c r="AR163">
        <f t="shared" si="76"/>
        <v>10</v>
      </c>
      <c r="AU163">
        <f t="shared" si="77"/>
        <v>18</v>
      </c>
      <c r="AV163">
        <f t="shared" si="78"/>
        <v>8.5</v>
      </c>
      <c r="AW163">
        <f t="shared" si="79"/>
        <v>10.35</v>
      </c>
      <c r="AX163" s="4">
        <v>1</v>
      </c>
      <c r="AY163">
        <f t="shared" si="80"/>
        <v>0</v>
      </c>
      <c r="AZ163">
        <f>VLOOKUP($E163,Constants!$I:$K, 2, FALSE)</f>
        <v>1</v>
      </c>
      <c r="BA163">
        <f>VLOOKUP($E163,Constants!$I:$K, 3, FALSE)*IF(AND(D163="multiple_unit",Y163&lt;110),0.75,1)</f>
        <v>2</v>
      </c>
      <c r="BB163">
        <f>INT(POWER(((Constants!$G$2+$AU163+$AV163+$AW163+$AY163)*$AX163)*$BA163, 1.05))+$AT163</f>
        <v>104</v>
      </c>
      <c r="BC163">
        <f>INT(POWER((((Constants!$G$1+$AU163+$AV163+$AW163+$AY163)*(1/$AX163))*$AZ163),IF($D163="wagon",1,1.2)))+$AS163</f>
        <v>114</v>
      </c>
      <c r="BD163" s="15">
        <f t="shared" si="86"/>
        <v>81250</v>
      </c>
      <c r="BE163" s="15">
        <f t="shared" si="87"/>
        <v>9262.5</v>
      </c>
      <c r="BN163">
        <v>4</v>
      </c>
      <c r="BR163" t="str">
        <f>VLOOKUP(G163,Eras!$A$2:$C$10, 2, TRUE)</f>
        <v>dsl</v>
      </c>
      <c r="BS163" t="s">
        <v>367</v>
      </c>
      <c r="BT163" t="str">
        <f t="shared" si="88"/>
        <v>dsl_Mixed Traffic</v>
      </c>
      <c r="BU163" t="str">
        <f t="shared" si="82"/>
        <v/>
      </c>
      <c r="BV163" t="str">
        <f t="shared" si="81"/>
        <v/>
      </c>
      <c r="BW163" t="s">
        <v>583</v>
      </c>
      <c r="BX163" t="str">
        <f t="shared" si="90"/>
        <v/>
      </c>
      <c r="BY163" t="str">
        <f t="shared" si="89"/>
        <v>{SILVER}The Hymeks were named for their hydraulic transmission. Sadly this also caused their early withdrawal, with BR viewing diesel-hydraulics as non-standard.</v>
      </c>
    </row>
    <row r="164" spans="1:77" x14ac:dyDescent="0.25">
      <c r="A164" t="s">
        <v>47</v>
      </c>
      <c r="B164" t="s">
        <v>200</v>
      </c>
      <c r="C164">
        <v>322</v>
      </c>
      <c r="D164" t="s">
        <v>302</v>
      </c>
      <c r="E164" t="s">
        <v>312</v>
      </c>
      <c r="F164" t="s">
        <v>314</v>
      </c>
      <c r="G164">
        <v>1961</v>
      </c>
      <c r="H164">
        <v>1964</v>
      </c>
      <c r="I164">
        <v>1977</v>
      </c>
      <c r="K164">
        <v>2000</v>
      </c>
      <c r="T164">
        <v>110</v>
      </c>
      <c r="W164">
        <v>297</v>
      </c>
      <c r="X164" s="4">
        <f t="shared" si="91"/>
        <v>0.27</v>
      </c>
      <c r="Y164">
        <v>90</v>
      </c>
      <c r="AA164">
        <v>20.73</v>
      </c>
      <c r="AB164">
        <v>20.73</v>
      </c>
      <c r="AD164">
        <v>3.96</v>
      </c>
      <c r="AE164" s="11">
        <v>0</v>
      </c>
      <c r="AF164" t="str">
        <f>CONCATENATE(VLOOKUP(AG164, 'Voxel Sizes'!$A$2:$B$18,2,FALSE),"x",INT(AC164*15), "x", INT(AD164*15))</f>
        <v>198x0x59</v>
      </c>
      <c r="AG164">
        <f t="shared" si="85"/>
        <v>12</v>
      </c>
      <c r="AI164" t="str">
        <f>CONCATENATE(VLOOKUP(AG164,Constants!$A$2:$C$16,IF(AH164&lt;&gt;"", 3, 2), FALSE),IF(AH164&lt;&gt;"",CONCATENATE(",",VLOOKUP(AH164,$B:$AI,34,FALSE)),""))</f>
        <v>4,4,4</v>
      </c>
      <c r="AQ164">
        <v>30</v>
      </c>
      <c r="AR164">
        <f t="shared" si="76"/>
        <v>12</v>
      </c>
      <c r="AU164">
        <f t="shared" si="77"/>
        <v>18</v>
      </c>
      <c r="AV164">
        <f t="shared" si="78"/>
        <v>10</v>
      </c>
      <c r="AW164">
        <f t="shared" si="79"/>
        <v>14.850000000000001</v>
      </c>
      <c r="AX164" s="4">
        <v>1</v>
      </c>
      <c r="AY164">
        <f t="shared" si="80"/>
        <v>0</v>
      </c>
      <c r="AZ164">
        <f>VLOOKUP($E164,Constants!$I:$K, 2, FALSE)</f>
        <v>1</v>
      </c>
      <c r="BA164">
        <f>VLOOKUP($E164,Constants!$I:$K, 3, FALSE)*IF(AND(D164="multiple_unit",Y164&lt;110),0.75,1)</f>
        <v>2</v>
      </c>
      <c r="BB164">
        <f>INT(POWER(((Constants!$G$2+$AU164+$AV164+$AW164+$AY164)*$AX164)*$BA164, 1.05))+$AT164</f>
        <v>120</v>
      </c>
      <c r="BC164">
        <f>INT(POWER((((Constants!$G$1+$AU164+$AV164+$AW164+$AY164)*(1/$AX164))*$AZ164),IF($D164="wagon",1,1.2)))+$AS164</f>
        <v>130</v>
      </c>
      <c r="BD164" s="15">
        <f t="shared" si="86"/>
        <v>93750</v>
      </c>
      <c r="BE164" s="15">
        <f t="shared" si="87"/>
        <v>10562.5</v>
      </c>
      <c r="BN164">
        <v>5</v>
      </c>
      <c r="BR164" t="str">
        <f>VLOOKUP(G164,Eras!$A$2:$C$10, 2, TRUE)</f>
        <v>dsl</v>
      </c>
      <c r="BS164" t="s">
        <v>367</v>
      </c>
      <c r="BT164" t="str">
        <f t="shared" si="88"/>
        <v>dsl_Mixed Traffic</v>
      </c>
      <c r="BU164" t="str">
        <f t="shared" si="82"/>
        <v/>
      </c>
      <c r="BV164" t="str">
        <f t="shared" si="81"/>
        <v/>
      </c>
      <c r="BW164" t="s">
        <v>584</v>
      </c>
      <c r="BX164" t="str">
        <f t="shared" si="90"/>
        <v/>
      </c>
      <c r="BY164" t="str">
        <f t="shared" si="89"/>
        <v>{SILVER}The Class 52 was the most powerful of the Western Region's diesel-hydraulic locomotives, pushing the limits of what 1960s transmission technology could achieve.</v>
      </c>
    </row>
    <row r="165" spans="1:77" x14ac:dyDescent="0.25">
      <c r="A165" t="s">
        <v>57</v>
      </c>
      <c r="B165" t="s">
        <v>345</v>
      </c>
      <c r="C165">
        <v>324</v>
      </c>
      <c r="D165" t="s">
        <v>302</v>
      </c>
      <c r="E165" t="s">
        <v>312</v>
      </c>
      <c r="F165" t="s">
        <v>314</v>
      </c>
      <c r="G165">
        <v>1961</v>
      </c>
      <c r="H165">
        <v>1967</v>
      </c>
      <c r="I165">
        <v>1987</v>
      </c>
      <c r="K165">
        <v>1250</v>
      </c>
      <c r="T165">
        <v>74.2</v>
      </c>
      <c r="W165">
        <v>170</v>
      </c>
      <c r="X165" s="4">
        <f t="shared" si="91"/>
        <v>0.22911051212938005</v>
      </c>
      <c r="Y165">
        <v>90</v>
      </c>
      <c r="AA165">
        <v>15.39</v>
      </c>
      <c r="AB165">
        <v>15.39</v>
      </c>
      <c r="AD165">
        <v>3.86</v>
      </c>
      <c r="AE165" s="11">
        <v>0</v>
      </c>
      <c r="AF165" t="str">
        <f>CONCATENATE(VLOOKUP(AG165, 'Voxel Sizes'!$A$2:$B$18,2,FALSE),"x",INT(AC165*15), "x", INT(AD165*15))</f>
        <v>152x0x57</v>
      </c>
      <c r="AG165">
        <f t="shared" si="85"/>
        <v>9</v>
      </c>
      <c r="AI165" t="str">
        <f>CONCATENATE(VLOOKUP(AG165,Constants!$A$2:$C$16,IF(AH165&lt;&gt;"", 3, 2), FALSE),IF(AH165&lt;&gt;"",CONCATENATE(",",VLOOKUP(AH165,$B:$AI,34,FALSE)),""))</f>
        <v>2,5,2</v>
      </c>
      <c r="AQ165">
        <v>40</v>
      </c>
      <c r="AR165">
        <f t="shared" si="76"/>
        <v>22</v>
      </c>
      <c r="AU165">
        <f t="shared" si="77"/>
        <v>18</v>
      </c>
      <c r="AV165">
        <f t="shared" si="78"/>
        <v>6.25</v>
      </c>
      <c r="AW165">
        <f t="shared" si="79"/>
        <v>8.5</v>
      </c>
      <c r="AX165" s="4">
        <v>1</v>
      </c>
      <c r="AY165">
        <f t="shared" si="80"/>
        <v>0</v>
      </c>
      <c r="AZ165">
        <f>VLOOKUP($E165,Constants!$I:$K, 2, FALSE)</f>
        <v>1</v>
      </c>
      <c r="BA165">
        <f>VLOOKUP($E165,Constants!$I:$K, 3, FALSE)*IF(AND(D165="multiple_unit",Y165&lt;110),0.75,1)</f>
        <v>2</v>
      </c>
      <c r="BB165">
        <f>INT(POWER(((Constants!$G$2+$AU165+$AV165+$AW165+$AY165)*$AX165)*$BA165, 1.05))+$AT165</f>
        <v>93</v>
      </c>
      <c r="BC165">
        <f>INT(POWER((((Constants!$G$1+$AU165+$AV165+$AW165+$AY165)*(1/$AX165))*$AZ165),IF($D165="wagon",1,1.2)))+$AS165</f>
        <v>103</v>
      </c>
      <c r="BD165" s="15">
        <f t="shared" si="86"/>
        <v>72656.25</v>
      </c>
      <c r="BE165" s="15">
        <f t="shared" si="87"/>
        <v>8368.75</v>
      </c>
      <c r="BN165">
        <v>6</v>
      </c>
      <c r="BR165" t="str">
        <f>VLOOKUP(G165,Eras!$A$2:$C$10, 2, TRUE)</f>
        <v>dsl</v>
      </c>
      <c r="BS165" t="s">
        <v>369</v>
      </c>
      <c r="BT165" t="str">
        <f t="shared" si="88"/>
        <v>dsl_Freight</v>
      </c>
      <c r="BU165" t="str">
        <f t="shared" si="82"/>
        <v/>
      </c>
      <c r="BV165" t="str">
        <f t="shared" si="81"/>
        <v/>
      </c>
      <c r="BW165" t="s">
        <v>585</v>
      </c>
      <c r="BX165" t="str">
        <f t="shared" si="90"/>
        <v/>
      </c>
      <c r="BY165" t="str">
        <f t="shared" si="89"/>
        <v>{SILVER}The Class 25 locomotives became known as "Rats" because they were found all over the British Rail network.</v>
      </c>
    </row>
    <row r="166" spans="1:77" x14ac:dyDescent="0.25">
      <c r="A166" t="s">
        <v>590</v>
      </c>
      <c r="B166" t="s">
        <v>201</v>
      </c>
      <c r="C166">
        <v>326</v>
      </c>
      <c r="D166" t="s">
        <v>302</v>
      </c>
      <c r="E166" t="s">
        <v>312</v>
      </c>
      <c r="F166" t="s">
        <v>314</v>
      </c>
      <c r="G166">
        <v>1962</v>
      </c>
      <c r="H166">
        <v>1968</v>
      </c>
      <c r="K166">
        <v>2750</v>
      </c>
      <c r="T166">
        <v>114</v>
      </c>
      <c r="W166">
        <v>245</v>
      </c>
      <c r="X166" s="4">
        <f t="shared" si="91"/>
        <v>0.21491228070175439</v>
      </c>
      <c r="Y166">
        <v>95</v>
      </c>
      <c r="AA166">
        <v>19.38</v>
      </c>
      <c r="AB166">
        <v>19.38</v>
      </c>
      <c r="AD166">
        <v>3.9</v>
      </c>
      <c r="AE166" s="11">
        <v>0</v>
      </c>
      <c r="AF166" t="str">
        <f>CONCATENATE(VLOOKUP(AG166, 'Voxel Sizes'!$A$2:$B$18,2,FALSE),"x",INT(AC166*15), "x", INT(AD166*15))</f>
        <v>186x0x58</v>
      </c>
      <c r="AG166">
        <f t="shared" si="85"/>
        <v>11</v>
      </c>
      <c r="AI166" t="str">
        <f>CONCATENATE(VLOOKUP(AG166,Constants!$A$2:$C$16,IF(AH166&lt;&gt;"", 3, 2), FALSE),IF(AH166&lt;&gt;"",CONCATENATE(",",VLOOKUP(AH166,$B:$AI,34,FALSE)),""))</f>
        <v>4,3,4</v>
      </c>
      <c r="AQ166">
        <v>33</v>
      </c>
      <c r="AR166" t="str">
        <f t="shared" si="76"/>
        <v/>
      </c>
      <c r="AU166">
        <f t="shared" si="77"/>
        <v>19</v>
      </c>
      <c r="AV166">
        <f t="shared" si="78"/>
        <v>13.75</v>
      </c>
      <c r="AW166">
        <f t="shared" si="79"/>
        <v>12.25</v>
      </c>
      <c r="AX166" s="4">
        <v>1</v>
      </c>
      <c r="AY166">
        <f t="shared" si="80"/>
        <v>0</v>
      </c>
      <c r="AZ166">
        <f>VLOOKUP($E166,Constants!$I:$K, 2, FALSE)</f>
        <v>1</v>
      </c>
      <c r="BA166">
        <f>VLOOKUP($E166,Constants!$I:$K, 3, FALSE)*IF(AND(D166="multiple_unit",Y166&lt;110),0.75,1)</f>
        <v>2</v>
      </c>
      <c r="BB166">
        <f>INT(POWER(((Constants!$G$2+$AU166+$AV166+$AW166+$AY166)*$AX166)*$BA166, 1.05))+$AT166</f>
        <v>125</v>
      </c>
      <c r="BC166">
        <f>INT(POWER((((Constants!$G$1+$AU166+$AV166+$AW166+$AY166)*(1/$AX166))*$AZ166),IF($D166="wagon",1,1.2)))+$AS166</f>
        <v>136</v>
      </c>
      <c r="BD166" s="15">
        <f t="shared" si="86"/>
        <v>97656.25</v>
      </c>
      <c r="BE166" s="15">
        <f t="shared" si="87"/>
        <v>11050</v>
      </c>
      <c r="BN166">
        <v>7</v>
      </c>
      <c r="BR166" t="str">
        <f>VLOOKUP(G166,Eras!$A$2:$C$10, 2, TRUE)</f>
        <v>dsl</v>
      </c>
      <c r="BS166" t="s">
        <v>369</v>
      </c>
      <c r="BT166" t="str">
        <f t="shared" si="88"/>
        <v>dsl_Freight</v>
      </c>
      <c r="BU166" t="str">
        <f t="shared" si="82"/>
        <v/>
      </c>
      <c r="BV166" t="str">
        <f t="shared" si="81"/>
        <v/>
      </c>
      <c r="BW166" t="s">
        <v>589</v>
      </c>
      <c r="BX166" t="str">
        <f t="shared" si="90"/>
        <v/>
      </c>
      <c r="BY166" t="str">
        <f t="shared" si="89"/>
        <v>{SILVER}The Class 47 diesel-electric arose from BR's desire for a lighter Type 4 (over 2000hp) locomotive, without using the diesel-hydraulic technology favoured by the Western Region.</v>
      </c>
    </row>
    <row r="167" spans="1:77" x14ac:dyDescent="0.25">
      <c r="A167" t="s">
        <v>62</v>
      </c>
      <c r="B167" t="s">
        <v>202</v>
      </c>
      <c r="C167">
        <v>328</v>
      </c>
      <c r="D167" t="s">
        <v>302</v>
      </c>
      <c r="E167" t="s">
        <v>312</v>
      </c>
      <c r="F167" t="s">
        <v>314</v>
      </c>
      <c r="G167">
        <v>1962</v>
      </c>
      <c r="H167">
        <v>1965</v>
      </c>
      <c r="I167">
        <v>1971</v>
      </c>
      <c r="K167">
        <v>900</v>
      </c>
      <c r="T167">
        <v>69</v>
      </c>
      <c r="W167">
        <v>178</v>
      </c>
      <c r="X167" s="4">
        <f t="shared" si="91"/>
        <v>0.25797101449275361</v>
      </c>
      <c r="Y167">
        <v>60</v>
      </c>
      <c r="AA167">
        <v>15.4</v>
      </c>
      <c r="AB167">
        <v>15.4</v>
      </c>
      <c r="AD167">
        <v>3.86</v>
      </c>
      <c r="AE167" s="11">
        <v>0</v>
      </c>
      <c r="AF167" t="str">
        <f>CONCATENATE(VLOOKUP(AG167, 'Voxel Sizes'!$A$2:$B$18,2,FALSE),"x",INT(AC167*15), "x", INT(AD167*15))</f>
        <v>152x0x57</v>
      </c>
      <c r="AG167">
        <f t="shared" si="85"/>
        <v>9</v>
      </c>
      <c r="AI167" t="str">
        <f>CONCATENATE(VLOOKUP(AG167,Constants!$A$2:$C$16,IF(AH167&lt;&gt;"", 3, 2), FALSE),IF(AH167&lt;&gt;"",CONCATENATE(",",VLOOKUP(AH167,$B:$AI,34,FALSE)),""))</f>
        <v>2,5,2</v>
      </c>
      <c r="AQ167">
        <v>14</v>
      </c>
      <c r="AR167">
        <f t="shared" si="76"/>
        <v>8</v>
      </c>
      <c r="AU167">
        <f t="shared" si="77"/>
        <v>12</v>
      </c>
      <c r="AV167">
        <f t="shared" si="78"/>
        <v>4.5</v>
      </c>
      <c r="AW167">
        <f t="shared" si="79"/>
        <v>8.9</v>
      </c>
      <c r="AX167" s="4">
        <v>1</v>
      </c>
      <c r="AY167">
        <f t="shared" si="80"/>
        <v>0</v>
      </c>
      <c r="AZ167">
        <f>VLOOKUP($E167,Constants!$I:$K, 2, FALSE)</f>
        <v>1</v>
      </c>
      <c r="BA167">
        <f>VLOOKUP($E167,Constants!$I:$K, 3, FALSE)*IF(AND(D167="multiple_unit",Y167&lt;110),0.75,1)</f>
        <v>2</v>
      </c>
      <c r="BB167">
        <f>INT(POWER(((Constants!$G$2+$AU167+$AV167+$AW167+$AY167)*$AX167)*$BA167, 1.05))+$AT167</f>
        <v>74</v>
      </c>
      <c r="BC167">
        <f>INT(POWER((((Constants!$G$1+$AU167+$AV167+$AW167+$AY167)*(1/$AX167))*$AZ167),IF($D167="wagon",1,1.2)))+$AS167</f>
        <v>84</v>
      </c>
      <c r="BD167" s="15">
        <f t="shared" si="86"/>
        <v>57812.5</v>
      </c>
      <c r="BE167" s="15">
        <f t="shared" si="87"/>
        <v>6825</v>
      </c>
      <c r="BN167">
        <v>8</v>
      </c>
      <c r="BR167" t="str">
        <f>VLOOKUP(G167,Eras!$A$2:$C$10, 2, TRUE)</f>
        <v>dsl</v>
      </c>
      <c r="BS167" t="s">
        <v>366</v>
      </c>
      <c r="BT167" t="str">
        <f t="shared" si="88"/>
        <v>dsl_Cheap</v>
      </c>
      <c r="BU167" t="str">
        <f t="shared" si="82"/>
        <v/>
      </c>
      <c r="BV167" t="str">
        <f t="shared" si="81"/>
        <v/>
      </c>
      <c r="BW167" t="s">
        <v>591</v>
      </c>
      <c r="BX167" t="str">
        <f t="shared" si="90"/>
        <v/>
      </c>
      <c r="BY167" t="str">
        <f t="shared" si="89"/>
        <v>{SILVER}The Class 17 attempted to solve the problems of visibility from a single cab. It had an unsuccessful life beset by engine reliability problems, and all examples were withdrawn early.</v>
      </c>
    </row>
    <row r="168" spans="1:77" x14ac:dyDescent="0.25">
      <c r="A168" t="s">
        <v>61</v>
      </c>
      <c r="B168" t="s">
        <v>592</v>
      </c>
      <c r="C168">
        <v>330</v>
      </c>
      <c r="D168" t="s">
        <v>302</v>
      </c>
      <c r="E168" t="s">
        <v>312</v>
      </c>
      <c r="F168" t="s">
        <v>314</v>
      </c>
      <c r="G168">
        <v>1964</v>
      </c>
      <c r="H168">
        <v>1965</v>
      </c>
      <c r="I168">
        <v>1984</v>
      </c>
      <c r="K168">
        <v>650</v>
      </c>
      <c r="T168">
        <v>48.5</v>
      </c>
      <c r="W168">
        <v>137</v>
      </c>
      <c r="X168" s="4">
        <f t="shared" si="91"/>
        <v>0.28247422680412371</v>
      </c>
      <c r="Y168">
        <v>40</v>
      </c>
      <c r="AA168">
        <v>10.3</v>
      </c>
      <c r="AB168">
        <v>10.3</v>
      </c>
      <c r="AE168" s="11">
        <v>0</v>
      </c>
      <c r="AF168" t="str">
        <f>CONCATENATE(VLOOKUP(AG168, 'Voxel Sizes'!$A$2:$B$18,2,FALSE),"x",INT(AC168*15), "x", INT(AD168*15))</f>
        <v>102x0x0</v>
      </c>
      <c r="AG168">
        <f t="shared" si="85"/>
        <v>6</v>
      </c>
      <c r="AI168" t="str">
        <f>CONCATENATE(VLOOKUP(AG168,Constants!$A$2:$C$16,IF(AH168&lt;&gt;"", 3, 2), FALSE),IF(AH168&lt;&gt;"",CONCATENATE(",",VLOOKUP(AH168,$B:$AI,34,FALSE)),""))</f>
        <v>2,2,2</v>
      </c>
      <c r="AO168">
        <v>1</v>
      </c>
      <c r="AQ168">
        <v>18</v>
      </c>
      <c r="AR168">
        <f t="shared" si="76"/>
        <v>16</v>
      </c>
      <c r="AU168">
        <f t="shared" si="77"/>
        <v>8</v>
      </c>
      <c r="AV168">
        <f t="shared" si="78"/>
        <v>3.25</v>
      </c>
      <c r="AW168">
        <f t="shared" si="79"/>
        <v>6.8500000000000005</v>
      </c>
      <c r="AX168" s="4">
        <v>1</v>
      </c>
      <c r="AY168">
        <f t="shared" si="80"/>
        <v>0</v>
      </c>
      <c r="AZ168">
        <f>VLOOKUP($E168,Constants!$I:$K, 2, FALSE)</f>
        <v>1</v>
      </c>
      <c r="BA168">
        <f>VLOOKUP($E168,Constants!$I:$K, 3, FALSE)*IF(AND(D168="multiple_unit",Y168&lt;110),0.75,1)</f>
        <v>2</v>
      </c>
      <c r="BB168">
        <f>INT(POWER(((Constants!$G$2+$AU168+$AV168+$AW168+$AY168)*$AX168)*$BA168, 1.05))+$AT168</f>
        <v>55</v>
      </c>
      <c r="BC168">
        <f>INT(POWER((((Constants!$G$1+$AU168+$AV168+$AW168+$AY168)*(1/$AX168))*$AZ168),IF($D168="wagon",1,1.2)))+$AS168</f>
        <v>66</v>
      </c>
      <c r="BD168" s="15">
        <f t="shared" si="86"/>
        <v>42968.75</v>
      </c>
      <c r="BE168" s="15">
        <f t="shared" si="87"/>
        <v>5362.5</v>
      </c>
      <c r="BN168">
        <v>9</v>
      </c>
      <c r="BR168" t="str">
        <f>VLOOKUP(G168,Eras!$A$2:$C$10, 2, TRUE)</f>
        <v>dsl</v>
      </c>
      <c r="BS168" t="s">
        <v>366</v>
      </c>
      <c r="BT168" t="str">
        <f t="shared" si="88"/>
        <v>dsl_Cheap</v>
      </c>
      <c r="BU168" t="str">
        <f t="shared" si="82"/>
        <v/>
      </c>
      <c r="BV168" t="str">
        <f t="shared" si="81"/>
        <v/>
      </c>
      <c r="BW168" t="s">
        <v>593</v>
      </c>
      <c r="BX168" t="str">
        <f t="shared" si="90"/>
        <v/>
      </c>
      <c r="BY168" t="str">
        <f t="shared" si="89"/>
        <v>{SILVER}BR envisaged a need  for small diesel locomotives to run short-distance freight trains, but by the end of the 1960s this need had evaporated. The Class 14s were sold to industry, and saw continued use on private railways.</v>
      </c>
    </row>
    <row r="169" spans="1:77" x14ac:dyDescent="0.25">
      <c r="A169" t="s">
        <v>63</v>
      </c>
      <c r="B169" t="s">
        <v>289</v>
      </c>
      <c r="C169">
        <v>332</v>
      </c>
      <c r="D169" t="s">
        <v>302</v>
      </c>
      <c r="E169" t="s">
        <v>594</v>
      </c>
      <c r="F169" t="s">
        <v>314</v>
      </c>
      <c r="G169">
        <v>1965</v>
      </c>
      <c r="H169">
        <v>1967</v>
      </c>
      <c r="K169">
        <v>1420</v>
      </c>
      <c r="L169" s="9">
        <v>600</v>
      </c>
      <c r="T169">
        <v>76.3</v>
      </c>
      <c r="W169">
        <v>186</v>
      </c>
      <c r="X169" s="4">
        <f t="shared" si="91"/>
        <v>0.24377457404980341</v>
      </c>
      <c r="Y169">
        <v>80</v>
      </c>
      <c r="AA169">
        <v>16.36</v>
      </c>
      <c r="AB169">
        <v>16.36</v>
      </c>
      <c r="AE169" s="11">
        <v>0</v>
      </c>
      <c r="AF169" t="str">
        <f>CONCATENATE(VLOOKUP(AG169, 'Voxel Sizes'!$A$2:$B$18,2,FALSE),"x",INT(AC169*15), "x", INT(AD169*15))</f>
        <v>164x0x0</v>
      </c>
      <c r="AG169">
        <f t="shared" si="85"/>
        <v>10</v>
      </c>
      <c r="AI169" t="str">
        <f>CONCATENATE(VLOOKUP(AG169,Constants!$A$2:$C$16,IF(AH169&lt;&gt;"", 3, 2), FALSE),IF(AH169&lt;&gt;"",CONCATENATE(",",VLOOKUP(AH169,$B:$AI,34,FALSE)),""))</f>
        <v>4,2,4</v>
      </c>
      <c r="AQ169">
        <v>33</v>
      </c>
      <c r="AR169" t="str">
        <f t="shared" si="76"/>
        <v/>
      </c>
      <c r="AU169">
        <f t="shared" si="77"/>
        <v>16</v>
      </c>
      <c r="AV169">
        <f t="shared" si="78"/>
        <v>7.1</v>
      </c>
      <c r="AW169">
        <f t="shared" si="79"/>
        <v>9.3000000000000007</v>
      </c>
      <c r="AX169" s="4">
        <v>1</v>
      </c>
      <c r="AY169">
        <f t="shared" si="80"/>
        <v>0</v>
      </c>
      <c r="AZ169">
        <f>VLOOKUP($E169,Constants!$I:$K, 2, FALSE)</f>
        <v>0.9</v>
      </c>
      <c r="BA169">
        <f>VLOOKUP($E169,Constants!$I:$K, 3, FALSE)*IF(AND(D169="multiple_unit",Y169&lt;110),0.75,1)</f>
        <v>2.5</v>
      </c>
      <c r="BB169">
        <f>INT(POWER(((Constants!$G$2+$AU169+$AV169+$AW169+$AY169)*$AX169)*$BA169, 1.05))+$AT169</f>
        <v>117</v>
      </c>
      <c r="BC169">
        <f>INT(POWER((((Constants!$G$1+$AU169+$AV169+$AW169+$AY169)*(1/$AX169))*$AZ169),IF($D169="wagon",1,1.2)))+$AS169</f>
        <v>90</v>
      </c>
      <c r="BD169" s="15">
        <f t="shared" si="86"/>
        <v>91406.25</v>
      </c>
      <c r="BE169" s="15">
        <f t="shared" si="87"/>
        <v>7312.5</v>
      </c>
      <c r="BN169">
        <v>10</v>
      </c>
      <c r="BR169" t="str">
        <f>VLOOKUP(G169,Eras!$A$2:$C$10, 2, TRUE)</f>
        <v>dsl</v>
      </c>
      <c r="BT169" t="str">
        <f t="shared" si="88"/>
        <v>dsl_</v>
      </c>
      <c r="BU169" t="str">
        <f t="shared" si="82"/>
        <v/>
      </c>
      <c r="BV169" t="str">
        <f t="shared" si="81"/>
        <v/>
      </c>
      <c r="BW169" t="s">
        <v>596</v>
      </c>
      <c r="BX169" t="str">
        <f t="shared" si="90"/>
        <v/>
      </c>
      <c r="BY169" t="str">
        <f t="shared" si="89"/>
        <v>{SILVER}The Class 73 is a dual-power locomotive, running at full power when connected to a third rail supply but carrying a small diesel engine for running on non-electrified track.</v>
      </c>
    </row>
    <row r="170" spans="1:77" x14ac:dyDescent="0.25">
      <c r="A170" t="s">
        <v>70</v>
      </c>
      <c r="B170" t="s">
        <v>290</v>
      </c>
      <c r="C170">
        <v>334</v>
      </c>
      <c r="D170" t="s">
        <v>302</v>
      </c>
      <c r="E170" t="s">
        <v>336</v>
      </c>
      <c r="F170" t="s">
        <v>337</v>
      </c>
      <c r="G170">
        <v>1965</v>
      </c>
      <c r="H170">
        <v>1966</v>
      </c>
      <c r="K170">
        <v>3600</v>
      </c>
      <c r="T170">
        <v>82</v>
      </c>
      <c r="W170">
        <v>267</v>
      </c>
      <c r="X170" s="4">
        <f t="shared" si="91"/>
        <v>0.32560975609756099</v>
      </c>
      <c r="Y170">
        <v>100</v>
      </c>
      <c r="AA170">
        <v>17.829999999999998</v>
      </c>
      <c r="AB170">
        <v>17.829999999999998</v>
      </c>
      <c r="AD170">
        <v>3.77</v>
      </c>
      <c r="AE170" s="11">
        <v>0</v>
      </c>
      <c r="AF170" t="str">
        <f>CONCATENATE(VLOOKUP(AG170, 'Voxel Sizes'!$A$2:$B$18,2,FALSE),"x",INT(AC170*15), "x", INT(AD170*15))</f>
        <v>164x0x56</v>
      </c>
      <c r="AG170">
        <f t="shared" si="85"/>
        <v>10</v>
      </c>
      <c r="AI170" t="str">
        <f>CONCATENATE(VLOOKUP(AG170,Constants!$A$2:$C$16,IF(AH170&lt;&gt;"", 3, 2), FALSE),IF(AH170&lt;&gt;"",CONCATENATE(",",VLOOKUP(AH170,$B:$AI,34,FALSE)),""))</f>
        <v>4,2,4</v>
      </c>
      <c r="AQ170">
        <v>37</v>
      </c>
      <c r="AR170" t="str">
        <f t="shared" si="76"/>
        <v/>
      </c>
      <c r="AU170">
        <f t="shared" si="77"/>
        <v>20</v>
      </c>
      <c r="AV170">
        <f t="shared" si="78"/>
        <v>18</v>
      </c>
      <c r="AW170">
        <f t="shared" si="79"/>
        <v>13.35</v>
      </c>
      <c r="AX170" s="4">
        <v>1</v>
      </c>
      <c r="AY170">
        <f t="shared" si="80"/>
        <v>0</v>
      </c>
      <c r="AZ170">
        <f>VLOOKUP($E170,Constants!$I:$K, 2, FALSE)</f>
        <v>0.85</v>
      </c>
      <c r="BA170">
        <f>VLOOKUP($E170,Constants!$I:$K, 3, FALSE)*IF(AND(D170="multiple_unit",Y170&lt;110),0.75,1)</f>
        <v>2.2999999999999998</v>
      </c>
      <c r="BB170">
        <f>INT(POWER(((Constants!$G$2+$AU170+$AV170+$AW170+$AY170)*$AX170)*$BA170, 1.05))+$AT170</f>
        <v>165</v>
      </c>
      <c r="BC170">
        <f>INT(POWER((((Constants!$G$1+$AU170+$AV170+$AW170+$AY170)*(1/$AX170))*$AZ170),IF($D170="wagon",1,1.2)))+$AS170</f>
        <v>126</v>
      </c>
      <c r="BD170" s="15">
        <f t="shared" si="86"/>
        <v>128906.25</v>
      </c>
      <c r="BE170" s="15">
        <f t="shared" si="87"/>
        <v>10237.5</v>
      </c>
      <c r="BN170">
        <v>11</v>
      </c>
      <c r="BR170" t="str">
        <f>VLOOKUP(G170,Eras!$A$2:$C$10, 2, TRUE)</f>
        <v>dsl</v>
      </c>
      <c r="BS170" t="s">
        <v>378</v>
      </c>
      <c r="BT170" t="str">
        <f t="shared" si="88"/>
        <v>dsl_Express (Electric)</v>
      </c>
      <c r="BU170" t="str">
        <f t="shared" si="82"/>
        <v/>
      </c>
      <c r="BV170" t="str">
        <f t="shared" si="81"/>
        <v/>
      </c>
      <c r="BW170" t="s">
        <v>572</v>
      </c>
      <c r="BX170" t="str">
        <f t="shared" si="90"/>
        <v/>
      </c>
      <c r="BY170" t="str">
        <f t="shared" si="89"/>
        <v>{SILVER}The Class 86 (originally AL6) was BR's first standard electric locomotive, incorporating experience from prototypes such as the Class 81.</v>
      </c>
    </row>
    <row r="171" spans="1:77" x14ac:dyDescent="0.25">
      <c r="A171" t="s">
        <v>53</v>
      </c>
      <c r="B171" t="s">
        <v>203</v>
      </c>
      <c r="C171">
        <v>336</v>
      </c>
      <c r="D171" t="s">
        <v>302</v>
      </c>
      <c r="E171" t="s">
        <v>312</v>
      </c>
      <c r="F171" t="s">
        <v>314</v>
      </c>
      <c r="G171">
        <v>1967</v>
      </c>
      <c r="H171">
        <v>1968</v>
      </c>
      <c r="I171">
        <v>1994</v>
      </c>
      <c r="K171">
        <v>2700</v>
      </c>
      <c r="T171">
        <v>117</v>
      </c>
      <c r="W171">
        <v>216</v>
      </c>
      <c r="X171" s="4">
        <f t="shared" si="91"/>
        <v>0.18461538461538463</v>
      </c>
      <c r="Y171">
        <v>100</v>
      </c>
      <c r="AA171">
        <v>20.88</v>
      </c>
      <c r="AB171">
        <v>20.88</v>
      </c>
      <c r="AD171">
        <v>3.89</v>
      </c>
      <c r="AE171" s="11">
        <v>0</v>
      </c>
      <c r="AF171" t="str">
        <f>CONCATENATE(VLOOKUP(AG171, 'Voxel Sizes'!$A$2:$B$18,2,FALSE),"x",INT(AC171*15), "x", INT(AD171*15))</f>
        <v>198x0x58</v>
      </c>
      <c r="AG171">
        <f t="shared" si="85"/>
        <v>12</v>
      </c>
      <c r="AI171" t="str">
        <f>CONCATENATE(VLOOKUP(AG171,Constants!$A$2:$C$16,IF(AH171&lt;&gt;"", 3, 2), FALSE),IF(AH171&lt;&gt;"",CONCATENATE(",",VLOOKUP(AH171,$B:$AI,34,FALSE)),""))</f>
        <v>4,4,4</v>
      </c>
      <c r="AQ171">
        <v>30</v>
      </c>
      <c r="AR171">
        <f t="shared" si="76"/>
        <v>23</v>
      </c>
      <c r="AU171">
        <f t="shared" si="77"/>
        <v>20</v>
      </c>
      <c r="AV171">
        <f t="shared" si="78"/>
        <v>13.5</v>
      </c>
      <c r="AW171">
        <f t="shared" si="79"/>
        <v>10.8</v>
      </c>
      <c r="AX171" s="4">
        <v>1</v>
      </c>
      <c r="AY171">
        <f t="shared" si="80"/>
        <v>0</v>
      </c>
      <c r="AZ171">
        <f>VLOOKUP($E171,Constants!$I:$K, 2, FALSE)</f>
        <v>1</v>
      </c>
      <c r="BA171">
        <f>VLOOKUP($E171,Constants!$I:$K, 3, FALSE)*IF(AND(D171="multiple_unit",Y171&lt;110),0.75,1)</f>
        <v>2</v>
      </c>
      <c r="BB171">
        <f>INT(POWER(((Constants!$G$2+$AU171+$AV171+$AW171+$AY171)*$AX171)*$BA171, 1.05))+$AT171</f>
        <v>124</v>
      </c>
      <c r="BC171">
        <f>INT(POWER((((Constants!$G$1+$AU171+$AV171+$AW171+$AY171)*(1/$AX171))*$AZ171),IF($D171="wagon",1,1.2)))+$AS171</f>
        <v>134</v>
      </c>
      <c r="BD171" s="15">
        <f t="shared" si="86"/>
        <v>96875</v>
      </c>
      <c r="BE171" s="15">
        <f t="shared" si="87"/>
        <v>10887.5</v>
      </c>
      <c r="BN171">
        <v>12</v>
      </c>
      <c r="BR171" t="str">
        <f>VLOOKUP(G171,Eras!$A$2:$C$10, 2, TRUE)</f>
        <v>dsl</v>
      </c>
      <c r="BS171" t="s">
        <v>368</v>
      </c>
      <c r="BT171" t="str">
        <f t="shared" si="88"/>
        <v>dsl_Express</v>
      </c>
      <c r="BU171" t="str">
        <f t="shared" si="82"/>
        <v/>
      </c>
      <c r="BV171" t="str">
        <f t="shared" si="81"/>
        <v/>
      </c>
      <c r="BW171" t="s">
        <v>597</v>
      </c>
      <c r="BX171" t="str">
        <f t="shared" si="90"/>
        <v/>
      </c>
      <c r="BY171" t="str">
        <f t="shared" si="89"/>
        <v>{SILVER}The Class 50 hauled express services on the West Coast Main Line until electrification, at which point they were used to replace diesel-hydraulic engines in the Western Region.</v>
      </c>
    </row>
    <row r="172" spans="1:77" x14ac:dyDescent="0.25">
      <c r="A172" t="s">
        <v>71</v>
      </c>
      <c r="B172" t="s">
        <v>204</v>
      </c>
      <c r="C172">
        <v>338</v>
      </c>
      <c r="D172" t="s">
        <v>302</v>
      </c>
      <c r="E172" t="s">
        <v>336</v>
      </c>
      <c r="F172" t="s">
        <v>314</v>
      </c>
      <c r="G172">
        <v>1973</v>
      </c>
      <c r="H172">
        <v>1975</v>
      </c>
      <c r="I172">
        <v>2006</v>
      </c>
      <c r="K172">
        <v>5000</v>
      </c>
      <c r="T172">
        <v>81</v>
      </c>
      <c r="W172">
        <v>258</v>
      </c>
      <c r="X172" s="4">
        <f t="shared" si="91"/>
        <v>0.31851851851851853</v>
      </c>
      <c r="Y172">
        <v>110</v>
      </c>
      <c r="AA172">
        <v>17.829999999999998</v>
      </c>
      <c r="AB172">
        <v>17.829999999999998</v>
      </c>
      <c r="AD172">
        <v>3.77</v>
      </c>
      <c r="AE172" s="11">
        <v>0</v>
      </c>
      <c r="AF172" t="str">
        <f>CONCATENATE(VLOOKUP(AG172, 'Voxel Sizes'!$A$2:$B$18,2,FALSE),"x",INT(AC172*15), "x", INT(AD172*15))</f>
        <v>164x0x56</v>
      </c>
      <c r="AG172">
        <f t="shared" si="85"/>
        <v>10</v>
      </c>
      <c r="AI172" t="str">
        <f>CONCATENATE(VLOOKUP(AG172,Constants!$A$2:$C$16,IF(AH172&lt;&gt;"", 3, 2), FALSE),IF(AH172&lt;&gt;"",CONCATENATE(",",VLOOKUP(AH172,$B:$AI,34,FALSE)),""))</f>
        <v>4,2,4</v>
      </c>
      <c r="AQ172">
        <v>30</v>
      </c>
      <c r="AR172">
        <f t="shared" si="76"/>
        <v>29</v>
      </c>
      <c r="AU172">
        <f t="shared" si="77"/>
        <v>22</v>
      </c>
      <c r="AV172">
        <f t="shared" si="78"/>
        <v>20</v>
      </c>
      <c r="AW172">
        <f t="shared" si="79"/>
        <v>12.9</v>
      </c>
      <c r="AX172" s="4">
        <v>1</v>
      </c>
      <c r="AY172">
        <f t="shared" si="80"/>
        <v>0</v>
      </c>
      <c r="AZ172">
        <f>VLOOKUP($E172,Constants!$I:$K, 2, FALSE)</f>
        <v>0.85</v>
      </c>
      <c r="BA172">
        <f>VLOOKUP($E172,Constants!$I:$K, 3, FALSE)*IF(AND(D172="multiple_unit",Y172&lt;110),0.75,1)</f>
        <v>2.2999999999999998</v>
      </c>
      <c r="BB172">
        <f>INT(POWER(((Constants!$G$2+$AU172+$AV172+$AW172+$AY172)*$AX172)*$BA172, 1.05))+$AT172</f>
        <v>176</v>
      </c>
      <c r="BC172">
        <f>INT(POWER((((Constants!$G$1+$AU172+$AV172+$AW172+$AY172)*(1/$AX172))*$AZ172),IF($D172="wagon",1,1.2)))+$AS172</f>
        <v>134</v>
      </c>
      <c r="BD172" s="15">
        <f t="shared" si="86"/>
        <v>137500</v>
      </c>
      <c r="BE172" s="15">
        <f t="shared" si="87"/>
        <v>10887.5</v>
      </c>
      <c r="BN172">
        <v>1</v>
      </c>
      <c r="BR172" t="str">
        <f>VLOOKUP(G172,Eras!$A$2:$C$10, 2, TRUE)</f>
        <v>lbr</v>
      </c>
      <c r="BS172" t="s">
        <v>378</v>
      </c>
      <c r="BT172" t="str">
        <f t="shared" si="88"/>
        <v>lbr_Express (Electric)</v>
      </c>
      <c r="BU172" t="str">
        <f t="shared" si="82"/>
        <v/>
      </c>
      <c r="BV172" t="str">
        <f t="shared" si="81"/>
        <v/>
      </c>
      <c r="BW172" t="s">
        <v>598</v>
      </c>
      <c r="BX172" t="str">
        <f t="shared" si="90"/>
        <v/>
      </c>
      <c r="BY172" t="str">
        <f t="shared" si="89"/>
        <v>{SILVER}The Class 87 was a further development of the Class 86 with even more power and performance, serving as the flagship of the British Rail electric fleet.</v>
      </c>
    </row>
    <row r="173" spans="1:77" x14ac:dyDescent="0.25">
      <c r="A173" t="s">
        <v>44</v>
      </c>
      <c r="B173" t="s">
        <v>346</v>
      </c>
      <c r="C173">
        <v>340</v>
      </c>
      <c r="D173" t="s">
        <v>302</v>
      </c>
      <c r="E173" t="s">
        <v>312</v>
      </c>
      <c r="F173" t="s">
        <v>314</v>
      </c>
      <c r="G173">
        <v>1975</v>
      </c>
      <c r="H173">
        <v>1982</v>
      </c>
      <c r="I173">
        <v>2021</v>
      </c>
      <c r="K173">
        <v>1770</v>
      </c>
      <c r="T173">
        <v>70.25</v>
      </c>
      <c r="W173">
        <v>160</v>
      </c>
      <c r="X173" s="4">
        <f t="shared" si="91"/>
        <v>0.22775800711743771</v>
      </c>
      <c r="Y173">
        <v>125</v>
      </c>
      <c r="AA173">
        <v>17.79</v>
      </c>
      <c r="AB173">
        <v>17.79</v>
      </c>
      <c r="AE173" s="11">
        <v>0</v>
      </c>
      <c r="AF173" t="str">
        <f>CONCATENATE(VLOOKUP(AG173, 'Voxel Sizes'!$A$2:$B$18,2,FALSE),"x",INT(AC173*15), "x", INT(AD173*15))</f>
        <v>164x0x0</v>
      </c>
      <c r="AG173">
        <f t="shared" si="85"/>
        <v>10</v>
      </c>
      <c r="AI173" t="str">
        <f>CONCATENATE(VLOOKUP(AG173,Constants!$A$2:$C$16,IF(AH173&lt;&gt;"", 3, 2), FALSE),IF(AH173&lt;&gt;"",CONCATENATE(",",VLOOKUP(AH173,$B:$AI,34,FALSE)),""))</f>
        <v>4,2,4</v>
      </c>
      <c r="AQ173">
        <v>35</v>
      </c>
      <c r="AR173">
        <f t="shared" si="76"/>
        <v>42</v>
      </c>
      <c r="AU173">
        <f t="shared" si="77"/>
        <v>25</v>
      </c>
      <c r="AV173">
        <f t="shared" si="78"/>
        <v>8.85</v>
      </c>
      <c r="AW173">
        <f t="shared" si="79"/>
        <v>8</v>
      </c>
      <c r="AX173" s="4">
        <v>1</v>
      </c>
      <c r="AY173">
        <f t="shared" si="80"/>
        <v>0</v>
      </c>
      <c r="AZ173">
        <f>VLOOKUP($E173,Constants!$I:$K, 2, FALSE)</f>
        <v>1</v>
      </c>
      <c r="BA173">
        <f>VLOOKUP($E173,Constants!$I:$K, 3, FALSE)*IF(AND(D173="multiple_unit",Y173&lt;110),0.75,1)</f>
        <v>2</v>
      </c>
      <c r="BB173">
        <f>INT(POWER(((Constants!$G$2+$AU173+$AV173+$AW173+$AY173)*$AX173)*$BA173, 1.05))+$AT173</f>
        <v>117</v>
      </c>
      <c r="BC173">
        <f>INT(POWER((((Constants!$G$1+$AU173+$AV173+$AW173+$AY173)*(1/$AX173))*$AZ173),IF($D173="wagon",1,1.2)))+$AS173</f>
        <v>127</v>
      </c>
      <c r="BD173" s="15">
        <f t="shared" si="86"/>
        <v>91406.25</v>
      </c>
      <c r="BE173" s="15">
        <f t="shared" si="87"/>
        <v>10318.75</v>
      </c>
      <c r="BF173">
        <v>1</v>
      </c>
      <c r="BL173">
        <v>1</v>
      </c>
      <c r="BN173">
        <v>2</v>
      </c>
      <c r="BR173" t="str">
        <f>VLOOKUP(G173,Eras!$A$2:$C$10, 2, TRUE)</f>
        <v>lbr</v>
      </c>
      <c r="BS173" t="s">
        <v>368</v>
      </c>
      <c r="BT173" t="str">
        <f t="shared" si="88"/>
        <v>lbr_Express</v>
      </c>
      <c r="BU173" t="str">
        <f t="shared" si="82"/>
        <v/>
      </c>
      <c r="BV173" t="str">
        <f t="shared" si="81"/>
        <v/>
      </c>
      <c r="BW173" t="s">
        <v>406</v>
      </c>
      <c r="BX173" t="str">
        <f t="shared" si="90"/>
        <v/>
      </c>
      <c r="BY173" t="str">
        <f t="shared" si="89"/>
        <v>{SILVER}The Class 43 HST is a high-speed diesel-electric locomotive, also known as the Intercity 125 for its 125mph service speed and intended use on long routes between cities.</v>
      </c>
    </row>
    <row r="174" spans="1:77" x14ac:dyDescent="0.25">
      <c r="A174" t="s">
        <v>599</v>
      </c>
      <c r="B174" t="s">
        <v>601</v>
      </c>
      <c r="C174">
        <v>342</v>
      </c>
      <c r="D174" t="s">
        <v>302</v>
      </c>
      <c r="E174" t="s">
        <v>312</v>
      </c>
      <c r="F174" t="s">
        <v>314</v>
      </c>
      <c r="G174">
        <v>1976</v>
      </c>
      <c r="H174">
        <v>1984</v>
      </c>
      <c r="K174">
        <v>3250</v>
      </c>
      <c r="T174">
        <v>125</v>
      </c>
      <c r="W174">
        <v>275</v>
      </c>
      <c r="X174" s="4">
        <f t="shared" si="91"/>
        <v>0.22</v>
      </c>
      <c r="Y174">
        <v>80</v>
      </c>
      <c r="AA174">
        <v>19.350000000000001</v>
      </c>
      <c r="AB174">
        <v>19.350000000000001</v>
      </c>
      <c r="AD174">
        <v>3.89</v>
      </c>
      <c r="AE174" s="11">
        <v>0</v>
      </c>
      <c r="AF174" t="str">
        <f>CONCATENATE(VLOOKUP(AG174, 'Voxel Sizes'!$A$2:$B$18,2,FALSE),"x",INT(AC174*15), "x", INT(AD174*15))</f>
        <v>186x0x58</v>
      </c>
      <c r="AG174">
        <f t="shared" si="85"/>
        <v>11</v>
      </c>
      <c r="AI174" t="str">
        <f>CONCATENATE(VLOOKUP(AG174,Constants!$A$2:$C$16,IF(AH174&lt;&gt;"", 3, 2), FALSE),IF(AH174&lt;&gt;"",CONCATENATE(",",VLOOKUP(AH174,$B:$AI,34,FALSE)),""))</f>
        <v>4,3,4</v>
      </c>
      <c r="AQ174">
        <v>30</v>
      </c>
      <c r="AR174" t="str">
        <f t="shared" si="76"/>
        <v/>
      </c>
      <c r="AU174">
        <f t="shared" si="77"/>
        <v>16</v>
      </c>
      <c r="AV174">
        <f t="shared" si="78"/>
        <v>16.25</v>
      </c>
      <c r="AW174">
        <f t="shared" si="79"/>
        <v>13.75</v>
      </c>
      <c r="AX174" s="4">
        <v>1</v>
      </c>
      <c r="AY174">
        <f t="shared" si="80"/>
        <v>0</v>
      </c>
      <c r="AZ174">
        <f>VLOOKUP($E174,Constants!$I:$K, 2, FALSE)</f>
        <v>1</v>
      </c>
      <c r="BA174">
        <f>VLOOKUP($E174,Constants!$I:$K, 3, FALSE)*IF(AND(D174="multiple_unit",Y174&lt;110),0.75,1)</f>
        <v>2</v>
      </c>
      <c r="BB174">
        <f>INT(POWER(((Constants!$G$2+$AU174+$AV174+$AW174+$AY174)*$AX174)*$BA174, 1.05))+$AT174</f>
        <v>128</v>
      </c>
      <c r="BC174">
        <f>INT(POWER((((Constants!$G$1+$AU174+$AV174+$AW174+$AY174)*(1/$AX174))*$AZ174),IF($D174="wagon",1,1.2)))+$AS174</f>
        <v>138</v>
      </c>
      <c r="BD174" s="15">
        <f t="shared" si="86"/>
        <v>100000</v>
      </c>
      <c r="BE174" s="15">
        <f t="shared" si="87"/>
        <v>11212.5</v>
      </c>
      <c r="BN174">
        <v>3</v>
      </c>
      <c r="BR174" t="str">
        <f>VLOOKUP(G174,Eras!$A$2:$C$10, 2, TRUE)</f>
        <v>lbr</v>
      </c>
      <c r="BS174" t="s">
        <v>369</v>
      </c>
      <c r="BT174" t="str">
        <f t="shared" si="88"/>
        <v>lbr_Freight</v>
      </c>
      <c r="BU174" t="str">
        <f t="shared" si="82"/>
        <v/>
      </c>
      <c r="BV174" t="str">
        <f t="shared" si="81"/>
        <v/>
      </c>
      <c r="BW174" t="s">
        <v>600</v>
      </c>
      <c r="BX174" t="str">
        <f t="shared" si="90"/>
        <v/>
      </c>
      <c r="BY174" t="str">
        <f t="shared" si="89"/>
        <v>{SILVER}The Class 56 is designed for heavy freight work. It contains many improvements to the electric drivetrain compared to earlier diesel-electric locomotives, making it more reliable and easier to operate.</v>
      </c>
    </row>
    <row r="175" spans="1:77" x14ac:dyDescent="0.25">
      <c r="A175" t="s">
        <v>54</v>
      </c>
      <c r="B175" t="s">
        <v>612</v>
      </c>
      <c r="C175">
        <v>344</v>
      </c>
      <c r="D175" t="s">
        <v>302</v>
      </c>
      <c r="E175" t="s">
        <v>312</v>
      </c>
      <c r="F175" t="s">
        <v>314</v>
      </c>
      <c r="G175">
        <v>1983</v>
      </c>
      <c r="H175">
        <v>1987</v>
      </c>
      <c r="K175">
        <v>3300</v>
      </c>
      <c r="T175">
        <v>130</v>
      </c>
      <c r="W175">
        <v>267</v>
      </c>
      <c r="X175" s="4">
        <f t="shared" si="91"/>
        <v>0.20538461538461539</v>
      </c>
      <c r="Y175">
        <v>80</v>
      </c>
      <c r="AA175">
        <v>19.13</v>
      </c>
      <c r="AB175">
        <v>19.13</v>
      </c>
      <c r="AD175">
        <v>3.91</v>
      </c>
      <c r="AE175" s="11">
        <v>0</v>
      </c>
      <c r="AF175" t="str">
        <f>CONCATENATE(VLOOKUP(AG175, 'Voxel Sizes'!$A$2:$B$18,2,FALSE),"x",INT(AC175*15), "x", INT(AD175*15))</f>
        <v>186x0x58</v>
      </c>
      <c r="AG175">
        <f t="shared" si="85"/>
        <v>11</v>
      </c>
      <c r="AI175" t="str">
        <f>CONCATENATE(VLOOKUP(AG175,Constants!$A$2:$C$16,IF(AH175&lt;&gt;"", 3, 2), FALSE),IF(AH175&lt;&gt;"",CONCATENATE(",",VLOOKUP(AH175,$B:$AI,34,FALSE)),""))</f>
        <v>4,3,4</v>
      </c>
      <c r="AQ175">
        <v>30</v>
      </c>
      <c r="AR175" t="str">
        <f t="shared" si="76"/>
        <v/>
      </c>
      <c r="AU175">
        <f t="shared" si="77"/>
        <v>16</v>
      </c>
      <c r="AV175">
        <f t="shared" si="78"/>
        <v>16.5</v>
      </c>
      <c r="AW175">
        <f t="shared" si="79"/>
        <v>13.35</v>
      </c>
      <c r="AX175" s="4">
        <v>1</v>
      </c>
      <c r="AY175">
        <f t="shared" si="80"/>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86"/>
        <v>100000</v>
      </c>
      <c r="BE175" s="15">
        <f t="shared" si="87"/>
        <v>11212.5</v>
      </c>
      <c r="BN175">
        <v>4</v>
      </c>
      <c r="BR175" t="str">
        <f>VLOOKUP(G175,Eras!$A$2:$C$10, 2, TRUE)</f>
        <v>lbr</v>
      </c>
      <c r="BS175" t="s">
        <v>369</v>
      </c>
      <c r="BT175" t="str">
        <f t="shared" si="88"/>
        <v>lbr_Freight</v>
      </c>
      <c r="BU175" t="str">
        <f t="shared" si="82"/>
        <v/>
      </c>
      <c r="BV175" t="str">
        <f t="shared" si="81"/>
        <v/>
      </c>
      <c r="BW175" t="s">
        <v>611</v>
      </c>
      <c r="BX175" t="str">
        <f t="shared" si="90"/>
        <v/>
      </c>
      <c r="BY175" t="str">
        <f t="shared" si="89"/>
        <v>{SILVER}The Class 58 used a modular design with replaceable modules mounted to an underframe. It was nicknamed "Bone" after the narrow central section.</v>
      </c>
    </row>
    <row r="176" spans="1:77" x14ac:dyDescent="0.25">
      <c r="A176" t="s">
        <v>43</v>
      </c>
      <c r="B176" t="s">
        <v>205</v>
      </c>
      <c r="C176">
        <v>346</v>
      </c>
      <c r="D176" t="s">
        <v>302</v>
      </c>
      <c r="E176" t="s">
        <v>312</v>
      </c>
      <c r="F176" t="s">
        <v>314</v>
      </c>
      <c r="G176">
        <v>1985</v>
      </c>
      <c r="H176">
        <v>1995</v>
      </c>
      <c r="K176">
        <v>3300</v>
      </c>
      <c r="T176">
        <v>126</v>
      </c>
      <c r="W176">
        <v>290</v>
      </c>
      <c r="X176" s="4">
        <f t="shared" si="91"/>
        <v>0.23015873015873015</v>
      </c>
      <c r="Y176">
        <v>75</v>
      </c>
      <c r="AA176">
        <v>21.4</v>
      </c>
      <c r="AB176">
        <v>21.4</v>
      </c>
      <c r="AD176">
        <v>3.91</v>
      </c>
      <c r="AE176" s="11">
        <v>0</v>
      </c>
      <c r="AF176" t="str">
        <f>CONCATENATE(VLOOKUP(AG176, 'Voxel Sizes'!$A$2:$B$18,2,FALSE),"x",INT(AC176*15), "x", INT(AD176*15))</f>
        <v>214x0x58</v>
      </c>
      <c r="AG176">
        <f t="shared" si="85"/>
        <v>13</v>
      </c>
      <c r="AI176" t="str">
        <f>CONCATENATE(VLOOKUP(AG176,Constants!$A$2:$C$16,IF(AH176&lt;&gt;"", 3, 2), FALSE),IF(AH176&lt;&gt;"",CONCATENATE(",",VLOOKUP(AH176,$B:$AI,34,FALSE)),""))</f>
        <v>4,5,4</v>
      </c>
      <c r="AQ176">
        <v>30</v>
      </c>
      <c r="AR176" t="str">
        <f t="shared" si="76"/>
        <v/>
      </c>
      <c r="AU176">
        <f t="shared" si="77"/>
        <v>15</v>
      </c>
      <c r="AV176">
        <f t="shared" si="78"/>
        <v>16.5</v>
      </c>
      <c r="AW176">
        <f t="shared" si="79"/>
        <v>14.5</v>
      </c>
      <c r="AX176" s="4">
        <v>1</v>
      </c>
      <c r="AY176">
        <f t="shared" si="80"/>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86"/>
        <v>100000</v>
      </c>
      <c r="BE176" s="15">
        <f t="shared" si="87"/>
        <v>11212.5</v>
      </c>
      <c r="BN176">
        <v>5</v>
      </c>
      <c r="BR176" t="str">
        <f>VLOOKUP(G176,Eras!$A$2:$C$10, 2, TRUE)</f>
        <v>lbr</v>
      </c>
      <c r="BS176" t="s">
        <v>369</v>
      </c>
      <c r="BT176" t="str">
        <f t="shared" si="88"/>
        <v>lbr_Freight</v>
      </c>
      <c r="BU176" t="str">
        <f t="shared" si="82"/>
        <v/>
      </c>
      <c r="BV176" t="str">
        <f t="shared" si="81"/>
        <v/>
      </c>
      <c r="BW176" t="s">
        <v>613</v>
      </c>
      <c r="BX176" t="str">
        <f t="shared" si="90"/>
        <v/>
      </c>
      <c r="BY176" t="str">
        <f t="shared" si="89"/>
        <v>{SILVER}The Class 59 is the first US-built locomotive to operate in mainland Great Britain. It is derived from the SD40, with a British cab layout.</v>
      </c>
    </row>
    <row r="177" spans="1:77" x14ac:dyDescent="0.25">
      <c r="A177" t="s">
        <v>75</v>
      </c>
      <c r="B177" t="s">
        <v>206</v>
      </c>
      <c r="C177">
        <v>348</v>
      </c>
      <c r="D177" t="s">
        <v>302</v>
      </c>
      <c r="E177" t="s">
        <v>336</v>
      </c>
      <c r="F177" t="s">
        <v>314</v>
      </c>
      <c r="G177">
        <v>1987</v>
      </c>
      <c r="H177">
        <v>1990</v>
      </c>
      <c r="K177">
        <v>5000</v>
      </c>
      <c r="T177">
        <v>84.5</v>
      </c>
      <c r="W177">
        <v>258</v>
      </c>
      <c r="X177" s="4">
        <f t="shared" si="91"/>
        <v>0.30532544378698223</v>
      </c>
      <c r="Y177">
        <v>110</v>
      </c>
      <c r="AA177">
        <v>18.75</v>
      </c>
      <c r="AB177">
        <v>18.75</v>
      </c>
      <c r="AD177">
        <v>3.96</v>
      </c>
      <c r="AE177" s="11">
        <v>0</v>
      </c>
      <c r="AF177" t="str">
        <f>CONCATENATE(VLOOKUP(AG177, 'Voxel Sizes'!$A$2:$B$18,2,FALSE),"x",INT(AC177*15), "x", INT(AD177*15))</f>
        <v>186x0x59</v>
      </c>
      <c r="AG177">
        <f t="shared" si="85"/>
        <v>11</v>
      </c>
      <c r="AI177" t="str">
        <f>CONCATENATE(VLOOKUP(AG177,Constants!$A$2:$C$16,IF(AH177&lt;&gt;"", 3, 2), FALSE),IF(AH177&lt;&gt;"",CONCATENATE(",",VLOOKUP(AH177,$B:$AI,34,FALSE)),""))</f>
        <v>4,3,4</v>
      </c>
      <c r="AQ177">
        <v>30</v>
      </c>
      <c r="AR177" t="str">
        <f t="shared" si="76"/>
        <v/>
      </c>
      <c r="AU177">
        <f t="shared" si="77"/>
        <v>22</v>
      </c>
      <c r="AV177">
        <f t="shared" si="78"/>
        <v>20</v>
      </c>
      <c r="AW177">
        <f t="shared" si="79"/>
        <v>12.9</v>
      </c>
      <c r="AX177" s="4">
        <v>1</v>
      </c>
      <c r="AY177">
        <f t="shared" si="80"/>
        <v>0</v>
      </c>
      <c r="AZ177">
        <f>VLOOKUP($E177,Constants!$I:$K, 2, FALSE)</f>
        <v>0.85</v>
      </c>
      <c r="BA177">
        <f>VLOOKUP($E177,Constants!$I:$K, 3, FALSE)*IF(AND(D177="multiple_unit",Y177&lt;110),0.75,1)</f>
        <v>2.2999999999999998</v>
      </c>
      <c r="BB177">
        <f>INT(POWER(((Constants!$G$2+$AU177+$AV177+$AW177+$AY177)*$AX177)*$BA177, 1.05))+$AT177</f>
        <v>176</v>
      </c>
      <c r="BC177">
        <f>INT(POWER((((Constants!$G$1+$AU177+$AV177+$AW177+$AY177)*(1/$AX177))*$AZ177),IF($D177="wagon",1,1.2)))+$AS177</f>
        <v>134</v>
      </c>
      <c r="BD177" s="15">
        <f t="shared" si="86"/>
        <v>137500</v>
      </c>
      <c r="BE177" s="15">
        <f t="shared" si="87"/>
        <v>10887.5</v>
      </c>
      <c r="BN177">
        <v>6</v>
      </c>
      <c r="BR177" t="str">
        <f>VLOOKUP(G177,Eras!$A$2:$C$10, 2, TRUE)</f>
        <v>lbr</v>
      </c>
      <c r="BS177" t="s">
        <v>368</v>
      </c>
      <c r="BT177" t="str">
        <f t="shared" si="88"/>
        <v>lbr_Express</v>
      </c>
      <c r="BU177" t="str">
        <f t="shared" si="82"/>
        <v/>
      </c>
      <c r="BV177" t="str">
        <f t="shared" si="81"/>
        <v/>
      </c>
      <c r="BW177" t="s">
        <v>616</v>
      </c>
      <c r="BX177" t="str">
        <f t="shared" si="90"/>
        <v/>
      </c>
      <c r="BY177" t="str">
        <f t="shared" si="89"/>
        <v>{SILVER}The Class 90 is a powerful electric locomotive. Initially used for Intercity express services, several were also used for freight.</v>
      </c>
    </row>
    <row r="178" spans="1:77" x14ac:dyDescent="0.25">
      <c r="A178" t="s">
        <v>622</v>
      </c>
      <c r="B178" t="s">
        <v>274</v>
      </c>
      <c r="C178">
        <v>350</v>
      </c>
      <c r="D178" t="s">
        <v>302</v>
      </c>
      <c r="E178" t="s">
        <v>336</v>
      </c>
      <c r="F178" t="s">
        <v>337</v>
      </c>
      <c r="G178">
        <v>1988</v>
      </c>
      <c r="H178">
        <v>1991</v>
      </c>
      <c r="K178">
        <v>6480</v>
      </c>
      <c r="T178">
        <v>81.5</v>
      </c>
      <c r="W178">
        <v>190</v>
      </c>
      <c r="X178" s="4">
        <f t="shared" si="91"/>
        <v>0.23312883435582821</v>
      </c>
      <c r="Y178">
        <v>140</v>
      </c>
      <c r="AA178">
        <v>19.399999999999999</v>
      </c>
      <c r="AB178">
        <v>19.399999999999999</v>
      </c>
      <c r="AE178" s="11">
        <v>0</v>
      </c>
      <c r="AF178" t="str">
        <f>CONCATENATE(VLOOKUP(AG178, 'Voxel Sizes'!$A$2:$B$18,2,FALSE),"x",INT(AC178*15), "x", INT(AD178*15))</f>
        <v>186x0x0</v>
      </c>
      <c r="AG178">
        <f t="shared" si="85"/>
        <v>11</v>
      </c>
      <c r="AI178" t="str">
        <f>CONCATENATE(VLOOKUP(AG178,Constants!$A$2:$C$16,IF(AH178&lt;&gt;"", 3, 2), FALSE),IF(AH178&lt;&gt;"",CONCATENATE(",",VLOOKUP(AH178,$B:$AI,34,FALSE)),""))</f>
        <v>4,3,4</v>
      </c>
      <c r="AQ178">
        <v>27</v>
      </c>
      <c r="AR178" t="str">
        <f t="shared" si="76"/>
        <v/>
      </c>
      <c r="AU178">
        <f t="shared" si="77"/>
        <v>28</v>
      </c>
      <c r="AV178">
        <f t="shared" si="78"/>
        <v>20</v>
      </c>
      <c r="AW178">
        <f t="shared" si="79"/>
        <v>9.5</v>
      </c>
      <c r="AX178" s="4">
        <v>1</v>
      </c>
      <c r="AY178">
        <f t="shared" si="80"/>
        <v>0</v>
      </c>
      <c r="AZ178">
        <f>VLOOKUP($E178,Constants!$I:$K, 2, FALSE)</f>
        <v>0.85</v>
      </c>
      <c r="BA178">
        <f>VLOOKUP($E178,Constants!$I:$K, 3, FALSE)*IF(AND(D178="multiple_unit",Y178&lt;110),0.75,1)</f>
        <v>2.2999999999999998</v>
      </c>
      <c r="BB178">
        <f>INT(POWER(((Constants!$G$2+$AU178+$AV178+$AW178+$AY178)*$AX178)*$BA178, 1.05))+$AT178</f>
        <v>184</v>
      </c>
      <c r="BC178">
        <f>INT(POWER((((Constants!$G$1+$AU178+$AV178+$AW178+$AY178)*(1/$AX178))*$AZ178),IF($D178="wagon",1,1.2)))+$AS178</f>
        <v>140</v>
      </c>
      <c r="BD178" s="15">
        <f t="shared" si="86"/>
        <v>143750</v>
      </c>
      <c r="BE178" s="15">
        <f t="shared" si="87"/>
        <v>11375</v>
      </c>
      <c r="BN178">
        <v>7</v>
      </c>
      <c r="BR178" t="str">
        <f>VLOOKUP(G178,Eras!$A$2:$C$10, 2, TRUE)</f>
        <v>lbr</v>
      </c>
      <c r="BS178" t="s">
        <v>378</v>
      </c>
      <c r="BT178" t="str">
        <f t="shared" si="88"/>
        <v>lbr_Express (Electric)</v>
      </c>
      <c r="BU178" t="str">
        <f t="shared" si="82"/>
        <v/>
      </c>
      <c r="BV178" t="str">
        <f t="shared" si="81"/>
        <v/>
      </c>
      <c r="BW178" t="s">
        <v>621</v>
      </c>
      <c r="BX178" t="str">
        <f t="shared" si="90"/>
        <v/>
      </c>
      <c r="BY178" t="str">
        <f t="shared" si="89"/>
        <v>{SILVER}The Class 91 is a high speed electric locomotive, designed for Intercity 225 services.</v>
      </c>
    </row>
    <row r="179" spans="1:77" x14ac:dyDescent="0.25">
      <c r="A179" t="s">
        <v>623</v>
      </c>
      <c r="B179" t="s">
        <v>625</v>
      </c>
      <c r="C179">
        <v>352</v>
      </c>
      <c r="D179" t="s">
        <v>302</v>
      </c>
      <c r="E179" t="s">
        <v>336</v>
      </c>
      <c r="F179" t="s">
        <v>337</v>
      </c>
      <c r="G179">
        <v>1988</v>
      </c>
      <c r="H179">
        <v>1991</v>
      </c>
      <c r="K179">
        <v>100</v>
      </c>
      <c r="T179">
        <v>40</v>
      </c>
      <c r="W179">
        <v>5</v>
      </c>
      <c r="X179" s="4">
        <f t="shared" si="91"/>
        <v>1.2500000000000001E-2</v>
      </c>
      <c r="Y179">
        <v>140</v>
      </c>
      <c r="AA179">
        <v>19.399999999999999</v>
      </c>
      <c r="AB179">
        <v>19.399999999999999</v>
      </c>
      <c r="AE179" s="11">
        <v>0</v>
      </c>
      <c r="AF179" t="str">
        <f>CONCATENATE(VLOOKUP(AG179, 'Voxel Sizes'!$A$2:$B$18,2,FALSE),"x",INT(AC179*15), "x", INT(AD179*15))</f>
        <v>186x0x0</v>
      </c>
      <c r="AG179">
        <f t="shared" si="85"/>
        <v>11</v>
      </c>
      <c r="AI179" t="str">
        <f>CONCATENATE(VLOOKUP(AG179,Constants!$A$2:$C$16,IF(AH179&lt;&gt;"", 3, 2), FALSE),IF(AH179&lt;&gt;"",CONCATENATE(",",VLOOKUP(AH179,$B:$AI,34,FALSE)),""))</f>
        <v>4,3,4</v>
      </c>
      <c r="AQ179">
        <v>27</v>
      </c>
      <c r="AR179" t="str">
        <f t="shared" si="76"/>
        <v/>
      </c>
      <c r="AS179">
        <v>-35</v>
      </c>
      <c r="AT179">
        <v>-60</v>
      </c>
      <c r="AU179">
        <f t="shared" si="77"/>
        <v>28</v>
      </c>
      <c r="AV179">
        <f t="shared" si="78"/>
        <v>0.5</v>
      </c>
      <c r="AW179">
        <f t="shared" si="79"/>
        <v>0.25</v>
      </c>
      <c r="AX179" s="4">
        <v>1</v>
      </c>
      <c r="AY179">
        <f t="shared" si="80"/>
        <v>0</v>
      </c>
      <c r="AZ179">
        <f>VLOOKUP($E179,Constants!$I:$K, 2, FALSE)</f>
        <v>0.85</v>
      </c>
      <c r="BA179">
        <f>VLOOKUP($E179,Constants!$I:$K, 3, FALSE)*IF(AND(D179="multiple_unit",Y179&lt;110),0.75,1)</f>
        <v>2.2999999999999998</v>
      </c>
      <c r="BB179">
        <f>INT(POWER(((Constants!$G$2+$AU179+$AV179+$AW179+$AY179)*$AX179)*$BA179, 1.05))+$AT179</f>
        <v>36</v>
      </c>
      <c r="BC179">
        <f>INT(POWER((((Constants!$G$1+$AU179+$AV179+$AW179+$AY179)*(1/$AX179))*$AZ179),IF($D179="wagon",1,1.2)))+$AS179</f>
        <v>41</v>
      </c>
      <c r="BD179" s="15">
        <f t="shared" si="86"/>
        <v>28125</v>
      </c>
      <c r="BE179" s="15">
        <f t="shared" si="87"/>
        <v>3331.25</v>
      </c>
      <c r="BF179">
        <v>1</v>
      </c>
      <c r="BI179">
        <v>1</v>
      </c>
      <c r="BN179">
        <v>7</v>
      </c>
      <c r="BR179" t="str">
        <f>VLOOKUP(G179,Eras!$A$2:$C$10, 2, TRUE)</f>
        <v>lbr</v>
      </c>
      <c r="BS179" t="s">
        <v>378</v>
      </c>
      <c r="BT179" t="str">
        <f t="shared" si="88"/>
        <v>lbr_Express (Electric)</v>
      </c>
      <c r="BU179" t="str">
        <f t="shared" si="82"/>
        <v/>
      </c>
      <c r="BV179" t="str">
        <f t="shared" si="81"/>
        <v/>
      </c>
      <c r="BW179" t="s">
        <v>624</v>
      </c>
      <c r="BX179" t="str">
        <f t="shared" si="90"/>
        <v/>
      </c>
      <c r="BY179" t="str">
        <f t="shared" si="89"/>
        <v>{SILVER}This driving van trailer can be used with other electric locomotives, either as a leading or trailing vehicle. It is recommended for use with the Class 91.</v>
      </c>
    </row>
    <row r="180" spans="1:77" x14ac:dyDescent="0.25">
      <c r="A180" t="s">
        <v>665</v>
      </c>
      <c r="B180" t="s">
        <v>629</v>
      </c>
      <c r="C180">
        <v>354</v>
      </c>
      <c r="D180" t="s">
        <v>302</v>
      </c>
      <c r="E180" t="s">
        <v>312</v>
      </c>
      <c r="F180" t="s">
        <v>314</v>
      </c>
      <c r="G180">
        <v>1989</v>
      </c>
      <c r="K180">
        <v>3100</v>
      </c>
      <c r="T180">
        <v>129</v>
      </c>
      <c r="W180">
        <v>474</v>
      </c>
      <c r="X180" s="4">
        <f t="shared" si="91"/>
        <v>0.36744186046511629</v>
      </c>
      <c r="Y180">
        <v>60</v>
      </c>
      <c r="AA180">
        <v>21.34</v>
      </c>
      <c r="AB180">
        <v>21.34</v>
      </c>
      <c r="AC180">
        <v>2.64</v>
      </c>
      <c r="AD180">
        <v>3.95</v>
      </c>
      <c r="AE180" s="11">
        <v>0</v>
      </c>
      <c r="AF180" t="str">
        <f>CONCATENATE(VLOOKUP(AG180, 'Voxel Sizes'!$A$2:$B$18,2,FALSE),"x",INT(AC180*15), "x", INT(AD180*15))</f>
        <v>214x39x59</v>
      </c>
      <c r="AG180">
        <f t="shared" si="85"/>
        <v>13</v>
      </c>
      <c r="AI180" t="str">
        <f>CONCATENATE(VLOOKUP(AG180,Constants!$A$2:$C$16,IF(AH180&lt;&gt;"", 3, 2), FALSE),IF(AH180&lt;&gt;"",CONCATENATE(",",VLOOKUP(AH180,$B:$AI,34,FALSE)),""))</f>
        <v>4,5,4</v>
      </c>
      <c r="AQ180">
        <v>30</v>
      </c>
      <c r="AR180" t="str">
        <f t="shared" si="76"/>
        <v/>
      </c>
      <c r="AU180">
        <f t="shared" si="77"/>
        <v>12</v>
      </c>
      <c r="AV180">
        <f t="shared" si="78"/>
        <v>15.5</v>
      </c>
      <c r="AW180">
        <f t="shared" si="79"/>
        <v>20</v>
      </c>
      <c r="AX180" s="4">
        <v>1</v>
      </c>
      <c r="AY180">
        <f t="shared" si="80"/>
        <v>0</v>
      </c>
      <c r="AZ180">
        <f>VLOOKUP($E180,Constants!$I:$K, 2, FALSE)</f>
        <v>1</v>
      </c>
      <c r="BA180">
        <f>VLOOKUP($E180,Constants!$I:$K, 3, FALSE)*IF(AND(D180="multiple_unit",Y180&lt;110),0.75,1)</f>
        <v>2</v>
      </c>
      <c r="BB180">
        <f>INT(POWER(((Constants!$G$2+$AU180+$AV180+$AW180+$AY180)*$AX180)*$BA180, 1.05))+$AT180</f>
        <v>132</v>
      </c>
      <c r="BC180">
        <f>INT(POWER((((Constants!$G$1+$AU180+$AV180+$AW180+$AY180)*(1/$AX180))*$AZ180),IF($D180="wagon",1,1.2)))+$AS180</f>
        <v>142</v>
      </c>
      <c r="BD180" s="15">
        <f t="shared" si="86"/>
        <v>103125</v>
      </c>
      <c r="BE180" s="15">
        <f t="shared" si="87"/>
        <v>11537.5</v>
      </c>
      <c r="BN180">
        <v>9</v>
      </c>
      <c r="BR180" t="str">
        <f>VLOOKUP(G180,Eras!$A$2:$C$10, 2, TRUE)</f>
        <v>lbr</v>
      </c>
      <c r="BS180" t="s">
        <v>369</v>
      </c>
      <c r="BT180" t="str">
        <f t="shared" si="88"/>
        <v>lbr_Freight</v>
      </c>
      <c r="BU180" t="str">
        <f t="shared" si="82"/>
        <v/>
      </c>
      <c r="BV180" t="str">
        <f t="shared" si="81"/>
        <v/>
      </c>
      <c r="BW180" t="s">
        <v>666</v>
      </c>
      <c r="BX180" t="str">
        <f t="shared" si="90"/>
        <v/>
      </c>
      <c r="BY180" t="str">
        <f t="shared" si="89"/>
        <v>{SILVER}The Brush Class 60 is a Type 5 diesel, designed for high power and tractive effort to haul heavy freight trains.</v>
      </c>
    </row>
    <row r="181" spans="1:77" x14ac:dyDescent="0.25">
      <c r="A181" t="s">
        <v>650</v>
      </c>
      <c r="B181" t="s">
        <v>207</v>
      </c>
      <c r="C181">
        <v>356</v>
      </c>
      <c r="D181" t="s">
        <v>302</v>
      </c>
      <c r="E181" t="s">
        <v>605</v>
      </c>
      <c r="F181" t="s">
        <v>604</v>
      </c>
      <c r="G181">
        <v>1993</v>
      </c>
      <c r="H181">
        <v>1996</v>
      </c>
      <c r="K181">
        <v>6760</v>
      </c>
      <c r="L181" s="9">
        <v>5360</v>
      </c>
      <c r="T181">
        <v>126</v>
      </c>
      <c r="W181">
        <v>360</v>
      </c>
      <c r="X181" s="4">
        <f t="shared" si="91"/>
        <v>0.2857142857142857</v>
      </c>
      <c r="Y181">
        <v>87</v>
      </c>
      <c r="AA181">
        <v>21.36</v>
      </c>
      <c r="AB181">
        <v>21.36</v>
      </c>
      <c r="AE181" s="11">
        <v>0</v>
      </c>
      <c r="AF181" t="str">
        <f>CONCATENATE(VLOOKUP(AG181, 'Voxel Sizes'!$A$2:$B$18,2,FALSE),"x",INT(AC181*15), "x", INT(AD181*15))</f>
        <v>214x0x0</v>
      </c>
      <c r="AG181">
        <f t="shared" si="85"/>
        <v>13</v>
      </c>
      <c r="AI181" t="str">
        <f>CONCATENATE(VLOOKUP(AG181,Constants!$A$2:$C$16,IF(AH181&lt;&gt;"", 3, 2), FALSE),IF(AH181&lt;&gt;"",CONCATENATE(",",VLOOKUP(AH181,$B:$AI,34,FALSE)),""))</f>
        <v>4,5,4</v>
      </c>
      <c r="AL181" t="s">
        <v>207</v>
      </c>
      <c r="AQ181">
        <v>24</v>
      </c>
      <c r="AR181" t="str">
        <f t="shared" si="76"/>
        <v/>
      </c>
      <c r="AU181">
        <f t="shared" si="77"/>
        <v>17.399999999999999</v>
      </c>
      <c r="AV181">
        <f t="shared" si="78"/>
        <v>20</v>
      </c>
      <c r="AW181">
        <f t="shared" si="79"/>
        <v>18</v>
      </c>
      <c r="AX181" s="4">
        <v>1</v>
      </c>
      <c r="AY181">
        <f t="shared" si="80"/>
        <v>0</v>
      </c>
      <c r="AZ181">
        <f>VLOOKUP($E181,Constants!$I:$K, 2, FALSE)</f>
        <v>0.85</v>
      </c>
      <c r="BA181">
        <f>VLOOKUP($E181,Constants!$I:$K, 3, FALSE)*IF(AND(D181="multiple_unit",Y181&lt;110),0.75,1)</f>
        <v>2.4</v>
      </c>
      <c r="BB181">
        <f>INT(POWER(((Constants!$G$2+$AU181+$AV181+$AW181+$AY181)*$AX181)*$BA181, 1.05))+$AT181</f>
        <v>185</v>
      </c>
      <c r="BC181">
        <f>INT(POWER((((Constants!$G$1+$AU181+$AV181+$AW181+$AY181)*(1/$AX181))*$AZ181),IF($D181="wagon",1,1.2)))+$AS181</f>
        <v>135</v>
      </c>
      <c r="BD181" s="15">
        <f t="shared" si="86"/>
        <v>144531.25</v>
      </c>
      <c r="BE181" s="15">
        <f t="shared" si="87"/>
        <v>10968.75</v>
      </c>
      <c r="BN181">
        <v>10</v>
      </c>
      <c r="BR181" t="str">
        <f>VLOOKUP(G181,Eras!$A$2:$C$10, 2, TRUE)</f>
        <v>lbr</v>
      </c>
      <c r="BS181" t="s">
        <v>369</v>
      </c>
      <c r="BT181" t="str">
        <f t="shared" si="88"/>
        <v>lbr_Freight</v>
      </c>
      <c r="BU181" t="str">
        <f t="shared" si="82"/>
        <v/>
      </c>
      <c r="BV181" t="str">
        <f t="shared" si="81"/>
        <v/>
      </c>
      <c r="BW181" t="s">
        <v>634</v>
      </c>
      <c r="BX181" t="str">
        <f t="shared" si="90"/>
        <v/>
      </c>
      <c r="BY181" t="str">
        <f t="shared" si="89"/>
        <v>{SILVER}The Class 92 was designed to operate services through the Channel Tunnel. It can run on both the Southern Region third rail system and overhead wires.</v>
      </c>
    </row>
    <row r="182" spans="1:77" x14ac:dyDescent="0.25">
      <c r="A182" t="s">
        <v>55</v>
      </c>
      <c r="B182" t="s">
        <v>208</v>
      </c>
      <c r="C182">
        <v>358</v>
      </c>
      <c r="D182" t="s">
        <v>302</v>
      </c>
      <c r="E182" t="s">
        <v>312</v>
      </c>
      <c r="F182" t="s">
        <v>314</v>
      </c>
      <c r="G182">
        <v>1998</v>
      </c>
      <c r="H182">
        <v>2015</v>
      </c>
      <c r="K182">
        <v>3300</v>
      </c>
      <c r="T182">
        <v>129.6</v>
      </c>
      <c r="W182">
        <v>260</v>
      </c>
      <c r="X182" s="4">
        <f t="shared" si="91"/>
        <v>0.20061728395061729</v>
      </c>
      <c r="Y182">
        <v>75</v>
      </c>
      <c r="AA182">
        <v>21.4</v>
      </c>
      <c r="AB182">
        <v>21.4</v>
      </c>
      <c r="AD182">
        <v>3.9</v>
      </c>
      <c r="AE182" s="11">
        <v>0</v>
      </c>
      <c r="AF182" t="str">
        <f>CONCATENATE(VLOOKUP(AG182, 'Voxel Sizes'!$A$2:$B$18,2,FALSE),"x",INT(AC182*15), "x", INT(AD182*15))</f>
        <v>214x0x58</v>
      </c>
      <c r="AG182">
        <f t="shared" si="85"/>
        <v>13</v>
      </c>
      <c r="AI182" t="str">
        <f>CONCATENATE(VLOOKUP(AG182,Constants!$A$2:$C$16,IF(AH182&lt;&gt;"", 3, 2), FALSE),IF(AH182&lt;&gt;"",CONCATENATE(",",VLOOKUP(AH182,$B:$AI,34,FALSE)),""))</f>
        <v>4,5,4</v>
      </c>
      <c r="AQ182">
        <v>30</v>
      </c>
      <c r="AR182" t="str">
        <f t="shared" si="76"/>
        <v/>
      </c>
      <c r="AU182">
        <f t="shared" si="77"/>
        <v>15</v>
      </c>
      <c r="AV182">
        <f t="shared" si="78"/>
        <v>16.5</v>
      </c>
      <c r="AW182">
        <f t="shared" si="79"/>
        <v>13</v>
      </c>
      <c r="AX182" s="4">
        <v>1</v>
      </c>
      <c r="AY182">
        <f t="shared" si="80"/>
        <v>0</v>
      </c>
      <c r="AZ182">
        <f>VLOOKUP($E182,Constants!$I:$K, 2, FALSE)</f>
        <v>1</v>
      </c>
      <c r="BA182">
        <f>VLOOKUP($E182,Constants!$I:$K, 3, FALSE)*IF(AND(D182="multiple_unit",Y182&lt;110),0.75,1)</f>
        <v>2</v>
      </c>
      <c r="BB182">
        <f>INT(POWER(((Constants!$G$2+$AU182+$AV182+$AW182+$AY182)*$AX182)*$BA182, 1.05))+$AT182</f>
        <v>124</v>
      </c>
      <c r="BC182">
        <f>INT(POWER((((Constants!$G$1+$AU182+$AV182+$AW182+$AY182)*(1/$AX182))*$AZ182),IF($D182="wagon",1,1.2)))+$AS182</f>
        <v>134</v>
      </c>
      <c r="BD182" s="15">
        <f t="shared" si="86"/>
        <v>96875</v>
      </c>
      <c r="BE182" s="15">
        <f t="shared" si="87"/>
        <v>10887.5</v>
      </c>
      <c r="BN182">
        <v>11</v>
      </c>
      <c r="BR182" t="str">
        <f>VLOOKUP(G182,Eras!$A$2:$C$10, 2, TRUE)</f>
        <v>prv</v>
      </c>
      <c r="BS182" t="s">
        <v>369</v>
      </c>
      <c r="BT182" t="str">
        <f t="shared" si="88"/>
        <v>prv_Freight</v>
      </c>
      <c r="BU182" t="str">
        <f t="shared" si="82"/>
        <v/>
      </c>
      <c r="BV182" t="str">
        <f t="shared" si="81"/>
        <v/>
      </c>
      <c r="BW182" t="s">
        <v>614</v>
      </c>
      <c r="BX182" t="str">
        <f t="shared" si="90"/>
        <v/>
      </c>
      <c r="BY182" t="str">
        <f t="shared" si="89"/>
        <v>{SILVER}After the successful introduction of the Class 59, EWS approached GM's Electro-Motive diesel with a huge order of 250 locomotives which would become Class 66.</v>
      </c>
    </row>
    <row r="183" spans="1:77" x14ac:dyDescent="0.25">
      <c r="A183" t="s">
        <v>148</v>
      </c>
      <c r="B183" t="s">
        <v>273</v>
      </c>
      <c r="C183">
        <v>360</v>
      </c>
      <c r="D183" t="s">
        <v>302</v>
      </c>
      <c r="E183" t="s">
        <v>312</v>
      </c>
      <c r="F183" t="s">
        <v>314</v>
      </c>
      <c r="G183">
        <v>1998</v>
      </c>
      <c r="H183">
        <v>2004</v>
      </c>
      <c r="K183">
        <v>3000</v>
      </c>
      <c r="T183">
        <v>120.6</v>
      </c>
      <c r="W183">
        <v>250</v>
      </c>
      <c r="X183" s="4">
        <f t="shared" si="91"/>
        <v>0.20729684908789386</v>
      </c>
      <c r="Y183">
        <v>95</v>
      </c>
      <c r="AA183">
        <v>19.38</v>
      </c>
      <c r="AB183">
        <v>19.38</v>
      </c>
      <c r="AD183">
        <v>3.9</v>
      </c>
      <c r="AE183" s="11">
        <v>0</v>
      </c>
      <c r="AF183" t="str">
        <f>CONCATENATE(VLOOKUP(AG183, 'Voxel Sizes'!$A$2:$B$18,2,FALSE),"x",INT(AC183*15), "x", INT(AD183*15))</f>
        <v>186x0x58</v>
      </c>
      <c r="AG183">
        <f t="shared" si="85"/>
        <v>11</v>
      </c>
      <c r="AI183" t="str">
        <f>CONCATENATE(VLOOKUP(AG183,Constants!$A$2:$C$16,IF(AH183&lt;&gt;"", 3, 2), FALSE),IF(AH183&lt;&gt;"",CONCATENATE(",",VLOOKUP(AH183,$B:$AI,34,FALSE)),""))</f>
        <v>4,3,4</v>
      </c>
      <c r="AQ183">
        <v>30</v>
      </c>
      <c r="AR183" t="str">
        <f t="shared" si="76"/>
        <v/>
      </c>
      <c r="AU183">
        <f t="shared" si="77"/>
        <v>19</v>
      </c>
      <c r="AV183">
        <f t="shared" si="78"/>
        <v>15</v>
      </c>
      <c r="AW183">
        <f t="shared" si="79"/>
        <v>12.5</v>
      </c>
      <c r="AX183" s="4">
        <v>1</v>
      </c>
      <c r="AY183">
        <f t="shared" si="80"/>
        <v>0</v>
      </c>
      <c r="AZ183">
        <f>VLOOKUP($E183,Constants!$I:$K, 2, FALSE)</f>
        <v>1</v>
      </c>
      <c r="BA183">
        <f>VLOOKUP($E183,Constants!$I:$K, 3, FALSE)*IF(AND(D183="multiple_unit",Y183&lt;110),0.75,1)</f>
        <v>2</v>
      </c>
      <c r="BB183">
        <f>INT(POWER(((Constants!$G$2+$AU183+$AV183+$AW183+$AY183)*$AX183)*$BA183, 1.05))+$AT183</f>
        <v>129</v>
      </c>
      <c r="BC183">
        <f>INT(POWER((((Constants!$G$1+$AU183+$AV183+$AW183+$AY183)*(1/$AX183))*$AZ183),IF($D183="wagon",1,1.2)))+$AS183</f>
        <v>140</v>
      </c>
      <c r="BD183" s="15">
        <f t="shared" si="86"/>
        <v>100781.25</v>
      </c>
      <c r="BE183" s="15">
        <f t="shared" si="87"/>
        <v>11375</v>
      </c>
      <c r="BN183">
        <v>12</v>
      </c>
      <c r="BR183" t="str">
        <f>VLOOKUP(G183,Eras!$A$2:$C$10, 2, TRUE)</f>
        <v>prv</v>
      </c>
      <c r="BS183" t="s">
        <v>369</v>
      </c>
      <c r="BT183" t="str">
        <f t="shared" si="88"/>
        <v>prv_Freight</v>
      </c>
      <c r="BU183" t="str">
        <f t="shared" si="82"/>
        <v/>
      </c>
      <c r="BV183" t="str">
        <f t="shared" si="81"/>
        <v/>
      </c>
      <c r="BW183" t="s">
        <v>615</v>
      </c>
      <c r="BX183" t="str">
        <f t="shared" si="90"/>
        <v/>
      </c>
      <c r="BY183" t="str">
        <f t="shared" si="89"/>
        <v>{SILVER}The Class 57 is a re-engineered locomotive using Class 47 bodyshells and parts, giving rise to its "Bodysnatcher" nickname.</v>
      </c>
    </row>
    <row r="184" spans="1:77" x14ac:dyDescent="0.25">
      <c r="A184" t="s">
        <v>649</v>
      </c>
      <c r="B184" t="s">
        <v>633</v>
      </c>
      <c r="C184">
        <v>362</v>
      </c>
      <c r="D184" t="s">
        <v>302</v>
      </c>
      <c r="E184" t="s">
        <v>312</v>
      </c>
      <c r="F184" t="s">
        <v>314</v>
      </c>
      <c r="G184">
        <v>1999</v>
      </c>
      <c r="H184">
        <v>2000</v>
      </c>
      <c r="K184">
        <v>3200</v>
      </c>
      <c r="T184">
        <v>88</v>
      </c>
      <c r="W184">
        <v>144</v>
      </c>
      <c r="X184" s="4">
        <f t="shared" si="91"/>
        <v>0.16363636363636364</v>
      </c>
      <c r="Y184">
        <v>125</v>
      </c>
      <c r="AA184">
        <v>19.71</v>
      </c>
      <c r="AB184">
        <v>19.71</v>
      </c>
      <c r="AD184">
        <v>3.93</v>
      </c>
      <c r="AE184" s="11">
        <v>0</v>
      </c>
      <c r="AF184" t="str">
        <f>CONCATENATE(VLOOKUP(AG184, 'Voxel Sizes'!$A$2:$B$18,2,FALSE),"x",INT(AC184*15), "x", INT(AD184*15))</f>
        <v>198x0x58</v>
      </c>
      <c r="AG184">
        <f t="shared" si="85"/>
        <v>12</v>
      </c>
      <c r="AI184" t="str">
        <f>CONCATENATE(VLOOKUP(AG184,Constants!$A$2:$C$16,IF(AH184&lt;&gt;"", 3, 2), FALSE),IF(AH184&lt;&gt;"",CONCATENATE(",",VLOOKUP(AH184,$B:$AI,34,FALSE)),""))</f>
        <v>4,4,4</v>
      </c>
      <c r="AQ184">
        <v>30</v>
      </c>
      <c r="AR184" t="str">
        <f t="shared" si="76"/>
        <v/>
      </c>
      <c r="AU184">
        <f t="shared" si="77"/>
        <v>25</v>
      </c>
      <c r="AV184">
        <f t="shared" si="78"/>
        <v>16</v>
      </c>
      <c r="AW184">
        <f t="shared" si="79"/>
        <v>7.1999999999999993</v>
      </c>
      <c r="AX184" s="4">
        <v>1</v>
      </c>
      <c r="AY184">
        <f t="shared" si="80"/>
        <v>0</v>
      </c>
      <c r="AZ184">
        <f>VLOOKUP($E184,Constants!$I:$K, 2, FALSE)</f>
        <v>1</v>
      </c>
      <c r="BA184">
        <f>VLOOKUP($E184,Constants!$I:$K, 3, FALSE)*IF(AND(D184="multiple_unit",Y184&lt;110),0.75,1)</f>
        <v>2</v>
      </c>
      <c r="BB184">
        <f>INT(POWER(((Constants!$G$2+$AU184+$AV184+$AW184+$AY184)*$AX184)*$BA184, 1.05))+$AT184</f>
        <v>134</v>
      </c>
      <c r="BC184">
        <f>INT(POWER((((Constants!$G$1+$AU184+$AV184+$AW184+$AY184)*(1/$AX184))*$AZ184),IF($D184="wagon",1,1.2)))+$AS184</f>
        <v>144</v>
      </c>
      <c r="BD184" s="15">
        <f t="shared" si="86"/>
        <v>104687.5</v>
      </c>
      <c r="BE184" s="15">
        <f t="shared" si="87"/>
        <v>11700</v>
      </c>
      <c r="BN184">
        <v>1</v>
      </c>
      <c r="BR184" t="str">
        <f>VLOOKUP(G184,Eras!$A$2:$C$10, 2, TRUE)</f>
        <v>prv</v>
      </c>
      <c r="BS184" t="s">
        <v>369</v>
      </c>
      <c r="BT184" t="str">
        <f t="shared" si="88"/>
        <v>prv_Freight</v>
      </c>
      <c r="BU184" t="str">
        <f t="shared" si="82"/>
        <v/>
      </c>
      <c r="BV184" t="str">
        <f t="shared" si="81"/>
        <v/>
      </c>
      <c r="BW184" t="s">
        <v>632</v>
      </c>
      <c r="BX184" t="str">
        <f t="shared" si="90"/>
        <v/>
      </c>
      <c r="BY184" t="str">
        <f t="shared" si="89"/>
        <v>{SILVER}The Class 67 is a high speed freight locomotive designed for mail service. It uses EMD engines, generators and traction motors.</v>
      </c>
    </row>
    <row r="185" spans="1:77" x14ac:dyDescent="0.25">
      <c r="A185" t="s">
        <v>60</v>
      </c>
      <c r="B185" t="s">
        <v>209</v>
      </c>
      <c r="C185">
        <v>364</v>
      </c>
      <c r="D185" t="s">
        <v>302</v>
      </c>
      <c r="E185" t="s">
        <v>312</v>
      </c>
      <c r="F185" t="s">
        <v>314</v>
      </c>
      <c r="G185">
        <v>2008</v>
      </c>
      <c r="H185">
        <v>2017</v>
      </c>
      <c r="K185">
        <v>3690</v>
      </c>
      <c r="T185">
        <v>129</v>
      </c>
      <c r="W185">
        <v>330</v>
      </c>
      <c r="X185" s="4">
        <f t="shared" si="91"/>
        <v>0.2558139534883721</v>
      </c>
      <c r="Y185">
        <v>75</v>
      </c>
      <c r="AA185">
        <v>21.27</v>
      </c>
      <c r="AB185">
        <v>21.27</v>
      </c>
      <c r="AD185">
        <v>3.91</v>
      </c>
      <c r="AE185" s="11">
        <v>0</v>
      </c>
      <c r="AF185" t="str">
        <f>CONCATENATE(VLOOKUP(AG185, 'Voxel Sizes'!$A$2:$B$18,2,FALSE),"x",INT(AC185*15), "x", INT(AD185*15))</f>
        <v>198x0x58</v>
      </c>
      <c r="AG185">
        <f t="shared" si="85"/>
        <v>12</v>
      </c>
      <c r="AI185" t="str">
        <f>CONCATENATE(VLOOKUP(AG185,Constants!$A$2:$C$16,IF(AH185&lt;&gt;"", 3, 2), FALSE),IF(AH185&lt;&gt;"",CONCATENATE(",",VLOOKUP(AH185,$B:$AI,34,FALSE)),""))</f>
        <v>4,4,4</v>
      </c>
      <c r="AQ185">
        <v>30</v>
      </c>
      <c r="AR185" t="str">
        <f t="shared" si="76"/>
        <v/>
      </c>
      <c r="AU185">
        <f t="shared" si="77"/>
        <v>15</v>
      </c>
      <c r="AV185">
        <f t="shared" si="78"/>
        <v>18.45</v>
      </c>
      <c r="AW185">
        <f t="shared" si="79"/>
        <v>16.5</v>
      </c>
      <c r="AX185" s="4">
        <v>1</v>
      </c>
      <c r="AY185">
        <f t="shared" si="80"/>
        <v>0</v>
      </c>
      <c r="AZ185">
        <f>VLOOKUP($E185,Constants!$I:$K, 2, FALSE)</f>
        <v>1</v>
      </c>
      <c r="BA185">
        <f>VLOOKUP($E185,Constants!$I:$K, 3, FALSE)*IF(AND(D185="multiple_unit",Y185&lt;110),0.75,1)</f>
        <v>2</v>
      </c>
      <c r="BB185">
        <f>INT(POWER(((Constants!$G$2+$AU185+$AV185+$AW185+$AY185)*$AX185)*$BA185, 1.05))+$AT185</f>
        <v>139</v>
      </c>
      <c r="BC185">
        <f>INT(POWER((((Constants!$G$1+$AU185+$AV185+$AW185+$AY185)*(1/$AX185))*$AZ185),IF($D185="wagon",1,1.2)))+$AS185</f>
        <v>149</v>
      </c>
      <c r="BD185" s="15">
        <f t="shared" si="86"/>
        <v>108593.75</v>
      </c>
      <c r="BE185" s="15">
        <f t="shared" si="87"/>
        <v>12106.25</v>
      </c>
      <c r="BN185">
        <v>2</v>
      </c>
      <c r="BR185" t="str">
        <f>VLOOKUP(G185,Eras!$A$2:$C$10, 2, TRUE)</f>
        <v>mod</v>
      </c>
      <c r="BS185" t="s">
        <v>369</v>
      </c>
      <c r="BT185" t="str">
        <f t="shared" si="88"/>
        <v>mod_Freight</v>
      </c>
      <c r="BU185" t="str">
        <f t="shared" si="82"/>
        <v/>
      </c>
      <c r="BV185" t="str">
        <f t="shared" si="81"/>
        <v/>
      </c>
      <c r="BW185" t="s">
        <v>646</v>
      </c>
      <c r="BX185" t="str">
        <f t="shared" si="90"/>
        <v/>
      </c>
      <c r="BY185" t="str">
        <f t="shared" si="89"/>
        <v>{SILVER}The General Electric Class 70 is designed with crash safety in mind, hence the bonnet-like structure at each end.</v>
      </c>
    </row>
    <row r="186" spans="1:77" x14ac:dyDescent="0.25">
      <c r="A186" t="s">
        <v>648</v>
      </c>
      <c r="B186" t="s">
        <v>647</v>
      </c>
      <c r="C186">
        <v>366</v>
      </c>
      <c r="D186" t="s">
        <v>302</v>
      </c>
      <c r="E186" t="s">
        <v>312</v>
      </c>
      <c r="F186" t="s">
        <v>314</v>
      </c>
      <c r="G186">
        <v>2013</v>
      </c>
      <c r="H186">
        <v>2016</v>
      </c>
      <c r="K186">
        <v>3800</v>
      </c>
      <c r="T186">
        <v>85</v>
      </c>
      <c r="W186">
        <v>317</v>
      </c>
      <c r="X186" s="4">
        <f t="shared" si="91"/>
        <v>0.37294117647058822</v>
      </c>
      <c r="Y186">
        <v>100</v>
      </c>
      <c r="AA186">
        <v>20.5</v>
      </c>
      <c r="AB186">
        <v>20.5</v>
      </c>
      <c r="AE186" s="11">
        <v>0</v>
      </c>
      <c r="AF186" t="str">
        <f>CONCATENATE(VLOOKUP(AG186, 'Voxel Sizes'!$A$2:$B$18,2,FALSE),"x",INT(AC186*15), "x", INT(AD186*15))</f>
        <v>198x0x0</v>
      </c>
      <c r="AG186">
        <f t="shared" si="85"/>
        <v>12</v>
      </c>
      <c r="AI186" t="str">
        <f>CONCATENATE(VLOOKUP(AG186,Constants!$A$2:$C$16,IF(AH186&lt;&gt;"", 3, 2), FALSE),IF(AH186&lt;&gt;"",CONCATENATE(",",VLOOKUP(AH186,$B:$AI,34,FALSE)),""))</f>
        <v>4,4,4</v>
      </c>
      <c r="AQ186">
        <v>30</v>
      </c>
      <c r="AR186" t="str">
        <f t="shared" si="76"/>
        <v/>
      </c>
      <c r="AU186">
        <f t="shared" si="77"/>
        <v>20</v>
      </c>
      <c r="AV186">
        <f t="shared" si="78"/>
        <v>19</v>
      </c>
      <c r="AW186">
        <f t="shared" si="79"/>
        <v>15.85</v>
      </c>
      <c r="AX186" s="4">
        <v>1</v>
      </c>
      <c r="AY186">
        <f t="shared" si="80"/>
        <v>0</v>
      </c>
      <c r="AZ186">
        <f>VLOOKUP($E186,Constants!$I:$K, 2, FALSE)</f>
        <v>1</v>
      </c>
      <c r="BA186">
        <f>VLOOKUP($E186,Constants!$I:$K, 3, FALSE)*IF(AND(D186="multiple_unit",Y186&lt;110),0.75,1)</f>
        <v>2</v>
      </c>
      <c r="BB186">
        <f>INT(POWER(((Constants!$G$2+$AU186+$AV186+$AW186+$AY186)*$AX186)*$BA186, 1.05))+$AT186</f>
        <v>152</v>
      </c>
      <c r="BC186">
        <f>INT(POWER((((Constants!$G$1+$AU186+$AV186+$AW186+$AY186)*(1/$AX186))*$AZ186),IF($D186="wagon",1,1.2)))+$AS186</f>
        <v>163</v>
      </c>
      <c r="BD186" s="15">
        <f t="shared" si="86"/>
        <v>118750</v>
      </c>
      <c r="BE186" s="15">
        <f t="shared" si="87"/>
        <v>13243.75</v>
      </c>
      <c r="BN186">
        <v>3</v>
      </c>
      <c r="BR186" t="str">
        <f>VLOOKUP(G186,Eras!$A$2:$C$10, 2, TRUE)</f>
        <v>mod</v>
      </c>
      <c r="BS186" t="s">
        <v>367</v>
      </c>
      <c r="BT186" t="str">
        <f t="shared" si="88"/>
        <v>mod_Mixed Traffic</v>
      </c>
      <c r="BU186" t="str">
        <f t="shared" si="82"/>
        <v/>
      </c>
      <c r="BV186" t="str">
        <f t="shared" si="81"/>
        <v/>
      </c>
      <c r="BW186" t="s">
        <v>651</v>
      </c>
      <c r="BX186" t="str">
        <f t="shared" si="90"/>
        <v/>
      </c>
      <c r="BY186" t="str">
        <f t="shared" si="89"/>
        <v>{SILVER}The Class 68 is a modern mixed traffic disel locomotive with a powerful 16-cylinder Caterpillar engine.</v>
      </c>
    </row>
    <row r="187" spans="1:77" x14ac:dyDescent="0.25">
      <c r="A187" t="s">
        <v>64</v>
      </c>
      <c r="B187" t="s">
        <v>210</v>
      </c>
      <c r="C187">
        <v>368</v>
      </c>
      <c r="D187" t="s">
        <v>168</v>
      </c>
      <c r="E187" t="s">
        <v>594</v>
      </c>
      <c r="F187" t="s">
        <v>314</v>
      </c>
      <c r="G187">
        <v>2015</v>
      </c>
      <c r="H187">
        <v>2016</v>
      </c>
      <c r="K187">
        <v>5400</v>
      </c>
      <c r="L187" s="9">
        <v>940</v>
      </c>
      <c r="T187">
        <v>86</v>
      </c>
      <c r="W187">
        <v>317</v>
      </c>
      <c r="X187" s="4">
        <f t="shared" ref="X187:X218" si="92">IF(AND(T187&gt;0,W187&gt;0),(W187/((T187+U187)*10)),"")</f>
        <v>0.36860465116279068</v>
      </c>
      <c r="Y187">
        <v>100</v>
      </c>
      <c r="AA187">
        <v>20.5</v>
      </c>
      <c r="AB187">
        <v>20.5</v>
      </c>
      <c r="AE187" s="11">
        <v>0</v>
      </c>
      <c r="AF187" t="str">
        <f>CONCATENATE(VLOOKUP(AG187, 'Voxel Sizes'!$A$2:$B$18,2,FALSE),"x",INT(AC187*15), "x", INT(AD187*15))</f>
        <v>198x0x0</v>
      </c>
      <c r="AG187">
        <f t="shared" si="85"/>
        <v>12</v>
      </c>
      <c r="AI187" t="str">
        <f>CONCATENATE(VLOOKUP(AG187,Constants!$A$2:$C$16,IF(AH187&lt;&gt;"", 3, 2), FALSE),IF(AH187&lt;&gt;"",CONCATENATE(",",VLOOKUP(AH187,$B:$AI,34,FALSE)),""))</f>
        <v>4,4,4</v>
      </c>
      <c r="AQ187">
        <v>30</v>
      </c>
      <c r="AR187" t="str">
        <f t="shared" si="76"/>
        <v/>
      </c>
      <c r="AU187">
        <f t="shared" si="77"/>
        <v>20</v>
      </c>
      <c r="AV187">
        <f t="shared" si="78"/>
        <v>20</v>
      </c>
      <c r="AW187">
        <f t="shared" si="79"/>
        <v>15.85</v>
      </c>
      <c r="AX187" s="4">
        <v>1</v>
      </c>
      <c r="AY187">
        <f t="shared" si="80"/>
        <v>0</v>
      </c>
      <c r="AZ187">
        <f>VLOOKUP($E187,Constants!$I:$K, 2, FALSE)</f>
        <v>0.9</v>
      </c>
      <c r="BA187">
        <f>VLOOKUP($E187,Constants!$I:$K, 3, FALSE)*IF(AND(D187="multiple_unit",Y187&lt;110),0.75,1)</f>
        <v>2.5</v>
      </c>
      <c r="BB187">
        <f>INT(POWER(((Constants!$G$2+$AU187+$AV187+$AW187+$AY187)*$AX187)*$BA187, 1.05))+$AT187</f>
        <v>195</v>
      </c>
      <c r="BC187">
        <f>INT(POWER((((Constants!$G$1+$AU187+$AV187+$AW187+$AY187)*(1/$AX187))*$AZ187),IF($D187="wagon",1,1.2)))+$AS187</f>
        <v>146</v>
      </c>
      <c r="BD187" s="15">
        <f t="shared" si="86"/>
        <v>152343.75</v>
      </c>
      <c r="BE187" s="15">
        <f t="shared" si="87"/>
        <v>11862.5</v>
      </c>
      <c r="BN187">
        <v>4</v>
      </c>
      <c r="BR187" t="str">
        <f>VLOOKUP(G187,Eras!$A$2:$C$10, 2, TRUE)</f>
        <v>mod</v>
      </c>
      <c r="BS187" t="s">
        <v>379</v>
      </c>
      <c r="BT187" t="str">
        <f t="shared" si="88"/>
        <v>mod_Freight (Electric)</v>
      </c>
      <c r="BU187" t="str">
        <f t="shared" si="82"/>
        <v/>
      </c>
      <c r="BV187" t="str">
        <f t="shared" si="81"/>
        <v/>
      </c>
      <c r="BX187" t="str">
        <f t="shared" si="90"/>
        <v/>
      </c>
      <c r="BY187" t="str">
        <f t="shared" si="89"/>
        <v>{SILVER}</v>
      </c>
    </row>
    <row r="188" spans="1:77" x14ac:dyDescent="0.25">
      <c r="A188" t="s">
        <v>150</v>
      </c>
      <c r="B188" t="s">
        <v>182</v>
      </c>
      <c r="C188">
        <v>420</v>
      </c>
      <c r="D188" t="s">
        <v>453</v>
      </c>
      <c r="E188" t="s">
        <v>312</v>
      </c>
      <c r="F188" t="s">
        <v>314</v>
      </c>
      <c r="G188">
        <v>1903</v>
      </c>
      <c r="I188">
        <v>1940</v>
      </c>
      <c r="J188">
        <v>1</v>
      </c>
      <c r="K188">
        <v>85</v>
      </c>
      <c r="T188">
        <v>35</v>
      </c>
      <c r="V188">
        <v>8</v>
      </c>
      <c r="W188">
        <v>45</v>
      </c>
      <c r="X188" s="4">
        <f t="shared" si="92"/>
        <v>0.12857142857142856</v>
      </c>
      <c r="Y188">
        <v>40</v>
      </c>
      <c r="AA188">
        <v>16.7</v>
      </c>
      <c r="AB188">
        <v>16.7</v>
      </c>
      <c r="AC188">
        <v>2.59</v>
      </c>
      <c r="AD188">
        <v>3.98</v>
      </c>
      <c r="AE188" s="11">
        <v>48</v>
      </c>
      <c r="AF188" t="str">
        <f>CONCATENATE(VLOOKUP(AG188, 'Voxel Sizes'!$A$2:$B$18,2,FALSE),"x",INT(AC188*15), "x", INT(AD188*15))</f>
        <v>164x38x59</v>
      </c>
      <c r="AG188">
        <f t="shared" si="85"/>
        <v>10</v>
      </c>
      <c r="AI188" t="str">
        <f>CONCATENATE(VLOOKUP(AG188,Constants!$A$2:$C$16,IF(AH188&lt;&gt;"", 3, 2), FALSE),IF(AH188&lt;&gt;"",CONCATENATE(",",VLOOKUP(AH188,$B:$AI,34,FALSE)),""))</f>
        <v>4,2,4</v>
      </c>
      <c r="AK188" t="s">
        <v>182</v>
      </c>
      <c r="AM188">
        <v>1</v>
      </c>
      <c r="AQ188">
        <v>17</v>
      </c>
      <c r="AR188">
        <f t="shared" si="76"/>
        <v>33</v>
      </c>
      <c r="AS188">
        <v>-15</v>
      </c>
      <c r="AT188">
        <v>-10</v>
      </c>
      <c r="AU188">
        <f t="shared" si="77"/>
        <v>8</v>
      </c>
      <c r="AV188">
        <f t="shared" si="78"/>
        <v>0.42500000000000004</v>
      </c>
      <c r="AW188">
        <f t="shared" si="79"/>
        <v>2.25</v>
      </c>
      <c r="AX188" s="4">
        <v>1</v>
      </c>
      <c r="AY188">
        <f t="shared" si="80"/>
        <v>1.6</v>
      </c>
      <c r="AZ188">
        <f>VLOOKUP($E188,Constants!$I:$K, 2, FALSE)</f>
        <v>1</v>
      </c>
      <c r="BA188">
        <f>VLOOKUP($E188,Constants!$I:$K, 3, FALSE)*IF(AND(D188="multiple_unit",Y188&lt;110),0.75,1)</f>
        <v>1.5</v>
      </c>
      <c r="BB188">
        <f>INT(POWER(((Constants!$G$2+$AU188+$AV188+$AW188+$AY188)*$AX188)*$BA188, 1.05))+$AT188</f>
        <v>20</v>
      </c>
      <c r="BC188">
        <f>INT(POWER((((Constants!$G$1+$AU188+$AV188+$AW188+$AY188)*(1/$AX188))*$AZ188),IF($D188="wagon",1,1.2)))+$AS188</f>
        <v>37</v>
      </c>
      <c r="BD188" s="15">
        <f t="shared" si="86"/>
        <v>15625</v>
      </c>
      <c r="BE188" s="15">
        <f t="shared" si="87"/>
        <v>3006.25</v>
      </c>
      <c r="BK188" t="s">
        <v>235</v>
      </c>
      <c r="BN188">
        <v>5</v>
      </c>
      <c r="BO188">
        <v>185</v>
      </c>
      <c r="BQ188" t="s">
        <v>323</v>
      </c>
      <c r="BR188" t="str">
        <f>VLOOKUP(G188,Eras!$A$2:$C$10, 2, TRUE)</f>
        <v>edw</v>
      </c>
      <c r="BS188" t="s">
        <v>370</v>
      </c>
      <c r="BT188" t="str">
        <f t="shared" si="88"/>
        <v>edw_DMU (Cheap)</v>
      </c>
      <c r="BU188" t="str">
        <f t="shared" si="82"/>
        <v/>
      </c>
      <c r="BV188" t="str">
        <f t="shared" si="81"/>
        <v/>
      </c>
      <c r="BW188" t="s">
        <v>389</v>
      </c>
      <c r="BX188" t="str">
        <f t="shared" si="90"/>
        <v/>
      </c>
      <c r="BY188" t="str">
        <f t="shared" si="89"/>
        <v>{SILVER}The NER Autocar is a petrol-electric railcar with a petrol engine driving two electric motors. It was the first use of an internal combustion engine in a railway vehicle.</v>
      </c>
    </row>
    <row r="189" spans="1:77" x14ac:dyDescent="0.25">
      <c r="A189" t="s">
        <v>441</v>
      </c>
      <c r="B189" t="s">
        <v>443</v>
      </c>
      <c r="C189">
        <v>422</v>
      </c>
      <c r="D189" t="s">
        <v>453</v>
      </c>
      <c r="E189" t="s">
        <v>336</v>
      </c>
      <c r="F189" t="s">
        <v>343</v>
      </c>
      <c r="G189">
        <v>1914</v>
      </c>
      <c r="I189">
        <v>1960</v>
      </c>
      <c r="J189">
        <v>3</v>
      </c>
      <c r="K189">
        <v>1000</v>
      </c>
      <c r="T189">
        <v>117</v>
      </c>
      <c r="V189">
        <f>8*3</f>
        <v>24</v>
      </c>
      <c r="W189">
        <v>112</v>
      </c>
      <c r="X189" s="4">
        <f t="shared" si="92"/>
        <v>9.5726495726495733E-2</v>
      </c>
      <c r="Y189">
        <v>60</v>
      </c>
      <c r="AB189">
        <v>17.7</v>
      </c>
      <c r="AE189" s="11">
        <v>45</v>
      </c>
      <c r="AF189" t="str">
        <f>CONCATENATE(VLOOKUP(AG189, 'Voxel Sizes'!$A$2:$B$18,2,FALSE),"x",INT(AC189*15), "x", INT(AD189*15))</f>
        <v>164x0x0</v>
      </c>
      <c r="AG189">
        <f t="shared" si="85"/>
        <v>10</v>
      </c>
      <c r="AI189" t="str">
        <f>CONCATENATE(VLOOKUP(AG189,Constants!$A$2:$C$16,IF(AH189&lt;&gt;"", 3, 2), FALSE),IF(AH189&lt;&gt;"",CONCATENATE(",",VLOOKUP(AH189,$B:$AI,34,FALSE)),""))</f>
        <v>4,2,4</v>
      </c>
      <c r="AK189" t="s">
        <v>454</v>
      </c>
      <c r="AM189" t="s">
        <v>452</v>
      </c>
      <c r="AQ189">
        <v>25</v>
      </c>
      <c r="AR189">
        <f t="shared" si="76"/>
        <v>42</v>
      </c>
      <c r="AS189">
        <v>-10</v>
      </c>
      <c r="AT189">
        <v>-15</v>
      </c>
      <c r="AU189">
        <f t="shared" si="77"/>
        <v>12</v>
      </c>
      <c r="AV189">
        <f t="shared" si="78"/>
        <v>5</v>
      </c>
      <c r="AW189">
        <f t="shared" si="79"/>
        <v>5.6000000000000005</v>
      </c>
      <c r="AX189" s="4">
        <v>1</v>
      </c>
      <c r="AY189">
        <f t="shared" si="80"/>
        <v>4.5</v>
      </c>
      <c r="AZ189">
        <f>VLOOKUP($E189,Constants!$I:$K, 2, FALSE)</f>
        <v>0.85</v>
      </c>
      <c r="BA189">
        <f>VLOOKUP($E189,Constants!$I:$K, 3, FALSE)*IF(AND(D189="multiple_unit",Y189&lt;110),0.75,1)</f>
        <v>1.7249999999999999</v>
      </c>
      <c r="BB189">
        <f>INT(POWER(((Constants!$G$2+$AU189+$AV189+$AW189+$AY189)*$AX189)*$BA189, 1.05))+$AT189</f>
        <v>52</v>
      </c>
      <c r="BC189">
        <f>INT(POWER((((Constants!$G$1+$AU189+$AV189+$AW189+$AY189)*(1/$AX189))*$AZ189),IF($D189="wagon",1,1.2)))+$AS189</f>
        <v>63</v>
      </c>
      <c r="BD189" s="15">
        <f t="shared" si="86"/>
        <v>40625</v>
      </c>
      <c r="BE189" s="15">
        <f t="shared" si="87"/>
        <v>5118.75</v>
      </c>
      <c r="BN189">
        <v>6</v>
      </c>
      <c r="BO189">
        <v>185</v>
      </c>
      <c r="BQ189" t="s">
        <v>323</v>
      </c>
      <c r="BR189" t="str">
        <f>VLOOKUP(G189,Eras!$A$2:$C$10, 2, TRUE)</f>
        <v>edw</v>
      </c>
      <c r="BS189" t="s">
        <v>373</v>
      </c>
      <c r="BT189" t="str">
        <f t="shared" si="88"/>
        <v>edw_EMU</v>
      </c>
      <c r="BU189" t="str">
        <f t="shared" si="82"/>
        <v/>
      </c>
      <c r="BV189" t="str">
        <f t="shared" si="81"/>
        <v>{BLACK}Cars: {GOLD}3{}</v>
      </c>
      <c r="BW189" t="s">
        <v>442</v>
      </c>
      <c r="BX189" t="str">
        <f t="shared" si="90"/>
        <v/>
      </c>
      <c r="BY189" t="str">
        <f t="shared" si="89"/>
        <v>{BLACK}Cars: {GOLD}3{}{SILVER}The LNWR built electric multiple units for its inner suburban London routes, sharing track with the Bakerloo and District lines.</v>
      </c>
    </row>
    <row r="190" spans="1:77" x14ac:dyDescent="0.25">
      <c r="A190" t="s">
        <v>78</v>
      </c>
      <c r="B190" t="s">
        <v>269</v>
      </c>
      <c r="C190">
        <v>424</v>
      </c>
      <c r="D190" t="s">
        <v>453</v>
      </c>
      <c r="E190" t="s">
        <v>336</v>
      </c>
      <c r="F190" t="s">
        <v>343</v>
      </c>
      <c r="G190">
        <v>1932</v>
      </c>
      <c r="I190">
        <v>1972</v>
      </c>
      <c r="J190">
        <v>5</v>
      </c>
      <c r="K190">
        <v>1800</v>
      </c>
      <c r="T190">
        <v>253</v>
      </c>
      <c r="V190">
        <f>8*5</f>
        <v>40</v>
      </c>
      <c r="W190">
        <v>145</v>
      </c>
      <c r="X190" s="4">
        <f t="shared" si="92"/>
        <v>5.731225296442688E-2</v>
      </c>
      <c r="Y190">
        <v>75</v>
      </c>
      <c r="AA190">
        <v>20.11</v>
      </c>
      <c r="AB190">
        <v>20.11</v>
      </c>
      <c r="AE190" s="11">
        <v>33</v>
      </c>
      <c r="AF190" t="str">
        <f>CONCATENATE(VLOOKUP(AG190, 'Voxel Sizes'!$A$2:$B$18,2,FALSE),"x",INT(AC190*15), "x", INT(AD190*15))</f>
        <v>198x0x0</v>
      </c>
      <c r="AG190">
        <f t="shared" si="85"/>
        <v>12</v>
      </c>
      <c r="AI190" t="str">
        <f>CONCATENATE(VLOOKUP(AG190,Constants!$A$2:$C$16,IF(AH190&lt;&gt;"", 3, 2), FALSE),IF(AH190&lt;&gt;"",CONCATENATE(",",VLOOKUP(AH190,$B:$AI,34,FALSE)),""))</f>
        <v>4,4,4</v>
      </c>
      <c r="AK190" t="s">
        <v>495</v>
      </c>
      <c r="AM190" t="s">
        <v>498</v>
      </c>
      <c r="AQ190">
        <v>28</v>
      </c>
      <c r="AR190">
        <f t="shared" si="76"/>
        <v>36</v>
      </c>
      <c r="AS190">
        <v>-10</v>
      </c>
      <c r="AT190">
        <v>-10</v>
      </c>
      <c r="AU190">
        <f t="shared" si="77"/>
        <v>15</v>
      </c>
      <c r="AV190">
        <f t="shared" si="78"/>
        <v>9</v>
      </c>
      <c r="AW190">
        <f t="shared" si="79"/>
        <v>7.25</v>
      </c>
      <c r="AX190" s="4">
        <v>1</v>
      </c>
      <c r="AY190">
        <f t="shared" si="80"/>
        <v>5.5</v>
      </c>
      <c r="AZ190">
        <f>VLOOKUP($E190,Constants!$I:$K, 2, FALSE)</f>
        <v>0.85</v>
      </c>
      <c r="BA190">
        <f>VLOOKUP($E190,Constants!$I:$K, 3, FALSE)*IF(AND(D190="multiple_unit",Y190&lt;110),0.75,1)</f>
        <v>1.7249999999999999</v>
      </c>
      <c r="BB190">
        <f>INT(POWER(((Constants!$G$2+$AU190+$AV190+$AW190+$AY190)*$AX190)*$BA190, 1.05))+$AT190</f>
        <v>79</v>
      </c>
      <c r="BC190">
        <f>INT(POWER((((Constants!$G$1+$AU190+$AV190+$AW190+$AY190)*(1/$AX190))*$AZ190),IF($D190="wagon",1,1.2)))+$AS190</f>
        <v>83</v>
      </c>
      <c r="BD190" s="15">
        <f t="shared" si="86"/>
        <v>61718.75</v>
      </c>
      <c r="BE190" s="15">
        <f t="shared" si="87"/>
        <v>6743.75</v>
      </c>
      <c r="BN190">
        <v>7</v>
      </c>
      <c r="BO190">
        <v>260</v>
      </c>
      <c r="BQ190" t="s">
        <v>323</v>
      </c>
      <c r="BR190" t="str">
        <f>VLOOKUP(G190,Eras!$A$2:$C$10, 2, TRUE)</f>
        <v>big4</v>
      </c>
      <c r="BS190" t="s">
        <v>374</v>
      </c>
      <c r="BT190" t="str">
        <f t="shared" si="88"/>
        <v>big4_EMU (Express)</v>
      </c>
      <c r="BU190" t="str">
        <f t="shared" si="82"/>
        <v/>
      </c>
      <c r="BV190" t="str">
        <f t="shared" si="81"/>
        <v>{BLACK}Cars: {GOLD}5{}</v>
      </c>
      <c r="BW190" t="s">
        <v>494</v>
      </c>
      <c r="BX190" t="str">
        <f t="shared" si="90"/>
        <v>{YELLOW}40% Bonus for long distance travel{}</v>
      </c>
      <c r="BY190" t="str">
        <f t="shared" si="89"/>
        <v>{BLACK}Cars: {GOLD}5{}{YELLOW}40% Bonus for long distance travel{}{SILVER}The Southern Railway's "Brighton Belle" used Pullman coaches and remained in use well into the BR era.</v>
      </c>
    </row>
    <row r="191" spans="1:77" x14ac:dyDescent="0.25">
      <c r="A191" t="s">
        <v>79</v>
      </c>
      <c r="B191" t="s">
        <v>270</v>
      </c>
      <c r="C191">
        <v>426</v>
      </c>
      <c r="D191" t="s">
        <v>453</v>
      </c>
      <c r="E191" t="s">
        <v>336</v>
      </c>
      <c r="F191" t="s">
        <v>343</v>
      </c>
      <c r="G191">
        <v>1937</v>
      </c>
      <c r="H191">
        <v>1938</v>
      </c>
      <c r="I191">
        <v>1972</v>
      </c>
      <c r="J191">
        <v>4</v>
      </c>
      <c r="K191">
        <v>900</v>
      </c>
      <c r="T191">
        <v>160.80000000000001</v>
      </c>
      <c r="V191">
        <f>8*4</f>
        <v>32</v>
      </c>
      <c r="W191">
        <v>120</v>
      </c>
      <c r="X191" s="4">
        <f t="shared" si="92"/>
        <v>7.4626865671641784E-2</v>
      </c>
      <c r="Y191">
        <v>75</v>
      </c>
      <c r="AA191">
        <v>20</v>
      </c>
      <c r="AB191">
        <v>20</v>
      </c>
      <c r="AE191" s="11">
        <v>57</v>
      </c>
      <c r="AF191" t="str">
        <f>CONCATENATE(VLOOKUP(AG191, 'Voxel Sizes'!$A$2:$B$18,2,FALSE),"x",INT(AC191*15), "x", INT(AD191*15))</f>
        <v>198x0x0</v>
      </c>
      <c r="AG191">
        <f t="shared" si="85"/>
        <v>12</v>
      </c>
      <c r="AI191" t="str">
        <f>CONCATENATE(VLOOKUP(AG191,Constants!$A$2:$C$16,IF(AH191&lt;&gt;"", 3, 2), FALSE),IF(AH191&lt;&gt;"",CONCATENATE(",",VLOOKUP(AH191,$B:$AI,34,FALSE)),""))</f>
        <v>4,4,4</v>
      </c>
      <c r="AK191" t="s">
        <v>514</v>
      </c>
      <c r="AM191" t="s">
        <v>515</v>
      </c>
      <c r="AQ191">
        <v>36</v>
      </c>
      <c r="AR191">
        <f t="shared" si="76"/>
        <v>31</v>
      </c>
      <c r="AS191">
        <v>-10</v>
      </c>
      <c r="AT191">
        <v>-15</v>
      </c>
      <c r="AU191">
        <f t="shared" si="77"/>
        <v>15</v>
      </c>
      <c r="AV191">
        <f t="shared" si="78"/>
        <v>4.5</v>
      </c>
      <c r="AW191">
        <f t="shared" si="79"/>
        <v>6</v>
      </c>
      <c r="AX191" s="4">
        <v>1</v>
      </c>
      <c r="AY191">
        <f t="shared" si="80"/>
        <v>7.6</v>
      </c>
      <c r="AZ191">
        <f>VLOOKUP($E191,Constants!$I:$K, 2, FALSE)</f>
        <v>0.85</v>
      </c>
      <c r="BA191">
        <f>VLOOKUP($E191,Constants!$I:$K, 3, FALSE)*IF(AND(D191="multiple_unit",Y191&lt;110),0.75,1)</f>
        <v>1.7249999999999999</v>
      </c>
      <c r="BB191">
        <f>INT(POWER(((Constants!$G$2+$AU191+$AV191+$AW191+$AY191)*$AX191)*$BA191, 1.05))+$AT191</f>
        <v>66</v>
      </c>
      <c r="BC191">
        <f>INT(POWER((((Constants!$G$1+$AU191+$AV191+$AW191+$AY191)*(1/$AX191))*$AZ191),IF($D191="wagon",1,1.2)))+$AS191</f>
        <v>75</v>
      </c>
      <c r="BD191" s="15">
        <f t="shared" si="86"/>
        <v>51562.5</v>
      </c>
      <c r="BE191" s="15">
        <f t="shared" si="87"/>
        <v>6093.75</v>
      </c>
      <c r="BN191">
        <v>8</v>
      </c>
      <c r="BO191">
        <v>185</v>
      </c>
      <c r="BQ191" t="s">
        <v>323</v>
      </c>
      <c r="BR191" t="str">
        <f>VLOOKUP(G191,Eras!$A$2:$C$10, 2, TRUE)</f>
        <v>big4</v>
      </c>
      <c r="BS191" t="s">
        <v>373</v>
      </c>
      <c r="BT191" t="str">
        <f t="shared" si="88"/>
        <v>big4_EMU</v>
      </c>
      <c r="BU191" t="str">
        <f t="shared" si="82"/>
        <v/>
      </c>
      <c r="BV191" t="str">
        <f t="shared" si="81"/>
        <v>{BLACK}Cars: {GOLD}4{}</v>
      </c>
      <c r="BW191" t="s">
        <v>512</v>
      </c>
      <c r="BX191" t="str">
        <f t="shared" si="90"/>
        <v/>
      </c>
      <c r="BY191" t="str">
        <f t="shared" si="89"/>
        <v>{BLACK}Cars: {GOLD}4{}{SILVER}The Southern Railway was an early pioneer of electrification, with 4-COR units used between London Waterloo and Portsmouth.</v>
      </c>
    </row>
    <row r="192" spans="1:77" x14ac:dyDescent="0.25">
      <c r="A192" t="s">
        <v>80</v>
      </c>
      <c r="B192" t="s">
        <v>271</v>
      </c>
      <c r="C192">
        <v>428</v>
      </c>
      <c r="D192" t="s">
        <v>453</v>
      </c>
      <c r="E192" t="s">
        <v>336</v>
      </c>
      <c r="F192" t="s">
        <v>343</v>
      </c>
      <c r="G192">
        <v>1938</v>
      </c>
      <c r="H192">
        <v>1939</v>
      </c>
      <c r="I192">
        <v>1971</v>
      </c>
      <c r="J192">
        <v>2</v>
      </c>
      <c r="K192">
        <v>550</v>
      </c>
      <c r="T192">
        <v>77</v>
      </c>
      <c r="V192">
        <f>8*2</f>
        <v>16</v>
      </c>
      <c r="W192">
        <v>120</v>
      </c>
      <c r="X192" s="4">
        <f t="shared" si="92"/>
        <v>0.15584415584415584</v>
      </c>
      <c r="Y192">
        <v>75</v>
      </c>
      <c r="AA192">
        <v>20</v>
      </c>
      <c r="AB192">
        <v>20</v>
      </c>
      <c r="AE192" s="11">
        <f>(24+102)/2</f>
        <v>63</v>
      </c>
      <c r="AF192" t="str">
        <f>CONCATENATE(VLOOKUP(AG192, 'Voxel Sizes'!$A$2:$B$18,2,FALSE),"x",INT(AC192*15), "x", INT(AD192*15))</f>
        <v>198x0x0</v>
      </c>
      <c r="AG192">
        <f t="shared" si="85"/>
        <v>12</v>
      </c>
      <c r="AI192" t="str">
        <f>CONCATENATE(VLOOKUP(AG192,Constants!$A$2:$C$16,IF(AH192&lt;&gt;"", 3, 2), FALSE),IF(AH192&lt;&gt;"",CONCATENATE(",",VLOOKUP(AH192,$B:$AI,34,FALSE)),""))</f>
        <v>4,4,4</v>
      </c>
      <c r="AK192" t="s">
        <v>516</v>
      </c>
      <c r="AM192" t="s">
        <v>517</v>
      </c>
      <c r="AQ192">
        <v>36</v>
      </c>
      <c r="AR192">
        <f t="shared" si="76"/>
        <v>29</v>
      </c>
      <c r="AS192">
        <v>-10</v>
      </c>
      <c r="AT192">
        <v>-15</v>
      </c>
      <c r="AU192">
        <f t="shared" si="77"/>
        <v>15</v>
      </c>
      <c r="AV192">
        <f t="shared" si="78"/>
        <v>2.75</v>
      </c>
      <c r="AW192">
        <f t="shared" si="79"/>
        <v>6</v>
      </c>
      <c r="AX192" s="4">
        <v>1</v>
      </c>
      <c r="AY192">
        <f t="shared" si="80"/>
        <v>4.2</v>
      </c>
      <c r="AZ192">
        <f>VLOOKUP($E192,Constants!$I:$K, 2, FALSE)</f>
        <v>0.85</v>
      </c>
      <c r="BA192">
        <f>VLOOKUP($E192,Constants!$I:$K, 3, FALSE)*IF(AND(D192="multiple_unit",Y192&lt;110),0.75,1)</f>
        <v>1.7249999999999999</v>
      </c>
      <c r="BB192">
        <f>INT(POWER(((Constants!$G$2+$AU192+$AV192+$AW192+$AY192)*$AX192)*$BA192, 1.05))+$AT192</f>
        <v>54</v>
      </c>
      <c r="BC192">
        <f>INT(POWER((((Constants!$G$1+$AU192+$AV192+$AW192+$AY192)*(1/$AX192))*$AZ192),IF($D192="wagon",1,1.2)))+$AS192</f>
        <v>64</v>
      </c>
      <c r="BD192" s="15">
        <f t="shared" si="86"/>
        <v>42187.5</v>
      </c>
      <c r="BE192" s="15">
        <f t="shared" si="87"/>
        <v>5200</v>
      </c>
      <c r="BN192">
        <v>9</v>
      </c>
      <c r="BO192">
        <v>185</v>
      </c>
      <c r="BQ192" t="s">
        <v>323</v>
      </c>
      <c r="BR192" t="str">
        <f>VLOOKUP(G192,Eras!$A$2:$C$10, 2, TRUE)</f>
        <v>big4</v>
      </c>
      <c r="BS192" t="s">
        <v>373</v>
      </c>
      <c r="BT192" t="str">
        <f t="shared" si="88"/>
        <v>big4_EMU</v>
      </c>
      <c r="BU192" t="str">
        <f t="shared" si="82"/>
        <v/>
      </c>
      <c r="BV192" t="str">
        <f t="shared" si="81"/>
        <v>{BLACK}Cars: {GOLD}2{}</v>
      </c>
      <c r="BW192" t="s">
        <v>513</v>
      </c>
      <c r="BX192" t="str">
        <f t="shared" si="90"/>
        <v/>
      </c>
      <c r="BY192" t="str">
        <f t="shared" si="89"/>
        <v>{BLACK}Cars: {GOLD}2{}{SILVER}The 2-HAL (named for 2 units, Half Lavatory) is designed for suburban commuter services.</v>
      </c>
    </row>
    <row r="193" spans="1:77" x14ac:dyDescent="0.25">
      <c r="A193" t="s">
        <v>96</v>
      </c>
      <c r="B193" t="s">
        <v>218</v>
      </c>
      <c r="C193">
        <v>430</v>
      </c>
      <c r="D193" t="s">
        <v>453</v>
      </c>
      <c r="E193" t="s">
        <v>336</v>
      </c>
      <c r="F193" t="s">
        <v>337</v>
      </c>
      <c r="G193">
        <v>1954</v>
      </c>
      <c r="I193">
        <v>1984</v>
      </c>
      <c r="J193">
        <v>3</v>
      </c>
      <c r="K193">
        <v>740</v>
      </c>
      <c r="T193">
        <f>51.4+26.8+27.9</f>
        <v>106.1</v>
      </c>
      <c r="V193">
        <f>8*3</f>
        <v>24</v>
      </c>
      <c r="W193">
        <v>110</v>
      </c>
      <c r="X193" s="4">
        <f t="shared" si="92"/>
        <v>0.10367577756833177</v>
      </c>
      <c r="Y193">
        <v>75</v>
      </c>
      <c r="AA193">
        <v>18.100000000000001</v>
      </c>
      <c r="AB193">
        <v>18.100000000000001</v>
      </c>
      <c r="AC193">
        <v>2.82</v>
      </c>
      <c r="AD193">
        <v>3.87</v>
      </c>
      <c r="AE193" s="11">
        <v>57</v>
      </c>
      <c r="AF193" t="str">
        <f>CONCATENATE(VLOOKUP(AG193, 'Voxel Sizes'!$A$2:$B$18,2,FALSE),"x",INT(AC193*15), "x", INT(AD193*15))</f>
        <v>186x42x58</v>
      </c>
      <c r="AG193">
        <f t="shared" si="85"/>
        <v>11</v>
      </c>
      <c r="AI193" t="str">
        <f>CONCATENATE(VLOOKUP(AG193,Constants!$A$2:$C$16,IF(AH193&lt;&gt;"", 3, 2), FALSE),IF(AH193&lt;&gt;"",CONCATENATE(",",VLOOKUP(AH193,$B:$AI,34,FALSE)),""))</f>
        <v>4,3,4</v>
      </c>
      <c r="AK193" t="s">
        <v>667</v>
      </c>
      <c r="AM193" t="s">
        <v>332</v>
      </c>
      <c r="AQ193">
        <v>35</v>
      </c>
      <c r="AR193">
        <f t="shared" si="76"/>
        <v>26</v>
      </c>
      <c r="AS193">
        <v>-10</v>
      </c>
      <c r="AT193">
        <v>-15</v>
      </c>
      <c r="AU193">
        <f t="shared" si="77"/>
        <v>15</v>
      </c>
      <c r="AV193">
        <f t="shared" si="78"/>
        <v>3.7</v>
      </c>
      <c r="AW193">
        <f t="shared" si="79"/>
        <v>5.5</v>
      </c>
      <c r="AX193" s="4">
        <v>1</v>
      </c>
      <c r="AY193">
        <f t="shared" si="80"/>
        <v>5.7000000000000011</v>
      </c>
      <c r="AZ193">
        <f>VLOOKUP($E193,Constants!$I:$K, 2, FALSE)</f>
        <v>0.85</v>
      </c>
      <c r="BA193">
        <f>VLOOKUP($E193,Constants!$I:$K, 3, FALSE)*IF(AND(D193="multiple_unit",Y193&lt;110),0.75,1)</f>
        <v>1.7249999999999999</v>
      </c>
      <c r="BB193">
        <f>INT(POWER(((Constants!$G$2+$AU193+$AV193+$AW193+$AY193)*$AX193)*$BA193, 1.05))+$AT193</f>
        <v>58</v>
      </c>
      <c r="BC193">
        <f>INT(POWER((((Constants!$G$1+$AU193+$AV193+$AW193+$AY193)*(1/$AX193))*$AZ193),IF($D193="wagon",1,1.2)))+$AS193</f>
        <v>69</v>
      </c>
      <c r="BD193" s="15">
        <f t="shared" si="86"/>
        <v>45312.5</v>
      </c>
      <c r="BE193" s="15">
        <f t="shared" si="87"/>
        <v>5606.25</v>
      </c>
      <c r="BN193">
        <v>10</v>
      </c>
      <c r="BO193">
        <v>185</v>
      </c>
      <c r="BQ193" t="s">
        <v>323</v>
      </c>
      <c r="BR193" t="str">
        <f>VLOOKUP(G193,Eras!$A$2:$C$10, 2, TRUE)</f>
        <v>ebr</v>
      </c>
      <c r="BS193" t="s">
        <v>373</v>
      </c>
      <c r="BT193" t="str">
        <f t="shared" si="88"/>
        <v>ebr_EMU</v>
      </c>
      <c r="BU193" t="str">
        <f t="shared" si="82"/>
        <v/>
      </c>
      <c r="BV193" t="str">
        <f t="shared" si="81"/>
        <v>{BLACK}Cars: {GOLD}3{}</v>
      </c>
      <c r="BW193" t="s">
        <v>668</v>
      </c>
      <c r="BX193" t="str">
        <f t="shared" si="90"/>
        <v/>
      </c>
      <c r="BY193" t="str">
        <f t="shared" si="89"/>
        <v>{BLACK}Cars: {GOLD}3{}{SILVER}The Class 506 was built by Metro Cammell and BRCW for the Woodhead Line.</v>
      </c>
    </row>
    <row r="194" spans="1:77" x14ac:dyDescent="0.25">
      <c r="A194" t="s">
        <v>83</v>
      </c>
      <c r="B194" t="s">
        <v>212</v>
      </c>
      <c r="C194">
        <v>432</v>
      </c>
      <c r="D194" t="s">
        <v>168</v>
      </c>
      <c r="E194" t="s">
        <v>312</v>
      </c>
      <c r="F194" t="s">
        <v>314</v>
      </c>
      <c r="G194">
        <v>1956</v>
      </c>
      <c r="H194">
        <v>1959</v>
      </c>
      <c r="I194">
        <v>1988</v>
      </c>
      <c r="K194">
        <v>300</v>
      </c>
      <c r="T194">
        <f>30.5*2</f>
        <v>61</v>
      </c>
      <c r="X194" s="4" t="str">
        <f t="shared" si="92"/>
        <v/>
      </c>
      <c r="Y194">
        <v>70</v>
      </c>
      <c r="AA194">
        <v>17.53</v>
      </c>
      <c r="AB194">
        <v>17.53</v>
      </c>
      <c r="AD194">
        <v>3.84</v>
      </c>
      <c r="AE194" s="11">
        <v>0</v>
      </c>
      <c r="AF194" t="str">
        <f>CONCATENATE(VLOOKUP(AG194, 'Voxel Sizes'!$A$2:$B$18,2,FALSE),"x",INT(AC194*15), "x", INT(AD194*15))</f>
        <v>164x0x57</v>
      </c>
      <c r="AG194">
        <f t="shared" si="85"/>
        <v>10</v>
      </c>
      <c r="AI194" t="str">
        <f>CONCATENATE(VLOOKUP(AG194,Constants!$A$2:$C$16,IF(AH194&lt;&gt;"", 3, 2), FALSE),IF(AH194&lt;&gt;"",CONCATENATE(",",VLOOKUP(AH194,$B:$AI,34,FALSE)),""))</f>
        <v>4,2,4</v>
      </c>
      <c r="AQ194">
        <v>45</v>
      </c>
      <c r="AR194">
        <f t="shared" ref="AR194:AR257" si="93">IF(I194&lt;&gt;"",MAX(8,(I194-G194)-4),"")</f>
        <v>28</v>
      </c>
      <c r="AS194">
        <v>-10</v>
      </c>
      <c r="AT194">
        <v>-15</v>
      </c>
      <c r="AU194">
        <f t="shared" ref="AU194:AU257" si="94">MIN(Y194/150, 1)*30</f>
        <v>14</v>
      </c>
      <c r="AV194">
        <f t="shared" ref="AV194:AV257" si="95">MIN(K194/4000, 1)*20</f>
        <v>1.5</v>
      </c>
      <c r="AW194">
        <f t="shared" ref="AW194:AW257" si="96">MIN(W194/400,1)*20</f>
        <v>0</v>
      </c>
      <c r="AX194" s="4">
        <v>1</v>
      </c>
      <c r="AY194">
        <f t="shared" ref="AY194:AY257" si="97">((MAX($J194,1)*MIN($AE194/300,1)))*IF(D194="Wagon",50,10)</f>
        <v>0</v>
      </c>
      <c r="AZ194">
        <f>VLOOKUP($E194,Constants!$I:$K, 2, FALSE)</f>
        <v>1</v>
      </c>
      <c r="BA194">
        <f>VLOOKUP($E194,Constants!$I:$K, 3, FALSE)*IF(AND(D194="multiple_unit",Y194&lt;110),0.75,1)</f>
        <v>2</v>
      </c>
      <c r="BB194">
        <f>INT(POWER(((Constants!$G$2+$AU194+$AV194+$AW194+$AY194)*$AX194)*$BA194, 1.05))+$AT194</f>
        <v>34</v>
      </c>
      <c r="BC194">
        <f>INT(POWER((((Constants!$G$1+$AU194+$AV194+$AW194+$AY194)*(1/$AX194))*$AZ194),IF($D194="wagon",1,1.2)))+$AS194</f>
        <v>50</v>
      </c>
      <c r="BD194" s="15">
        <f t="shared" si="86"/>
        <v>26562.5</v>
      </c>
      <c r="BE194" s="15">
        <f t="shared" si="87"/>
        <v>4062.5</v>
      </c>
      <c r="BN194">
        <v>11</v>
      </c>
      <c r="BO194">
        <v>185</v>
      </c>
      <c r="BR194" t="str">
        <f>VLOOKUP(G194,Eras!$A$2:$C$10, 2, TRUE)</f>
        <v>dsl</v>
      </c>
      <c r="BT194" t="str">
        <f t="shared" si="88"/>
        <v>dsl_</v>
      </c>
      <c r="BU194" t="str">
        <f t="shared" si="82"/>
        <v/>
      </c>
      <c r="BV194" t="str">
        <f t="shared" ref="BV194:BV257" si="98">IF(J194&gt;1,_xlfn.CONCAT("{BLACK}Cars: {GOLD}", J194, "{}"),"")</f>
        <v/>
      </c>
      <c r="BX194" t="str">
        <f t="shared" si="90"/>
        <v/>
      </c>
      <c r="BY194" t="str">
        <f t="shared" si="89"/>
        <v>{SILVER}</v>
      </c>
    </row>
    <row r="195" spans="1:77" x14ac:dyDescent="0.25">
      <c r="A195" t="s">
        <v>669</v>
      </c>
      <c r="B195" t="s">
        <v>671</v>
      </c>
      <c r="C195">
        <v>434</v>
      </c>
      <c r="D195" t="s">
        <v>453</v>
      </c>
      <c r="E195" t="s">
        <v>336</v>
      </c>
      <c r="F195" t="s">
        <v>343</v>
      </c>
      <c r="G195">
        <v>1956</v>
      </c>
      <c r="I195">
        <v>1995</v>
      </c>
      <c r="J195">
        <v>2</v>
      </c>
      <c r="K195">
        <v>500</v>
      </c>
      <c r="T195">
        <f>40+32</f>
        <v>72</v>
      </c>
      <c r="V195">
        <f>8*2</f>
        <v>16</v>
      </c>
      <c r="W195">
        <v>95</v>
      </c>
      <c r="X195" s="4">
        <f t="shared" si="92"/>
        <v>0.13194444444444445</v>
      </c>
      <c r="Y195">
        <v>90</v>
      </c>
      <c r="AA195">
        <v>19.05</v>
      </c>
      <c r="AB195">
        <v>19.05</v>
      </c>
      <c r="AC195">
        <v>2.82</v>
      </c>
      <c r="AD195">
        <v>3.89</v>
      </c>
      <c r="AE195" s="11">
        <v>54</v>
      </c>
      <c r="AF195" t="str">
        <f>CONCATENATE(VLOOKUP(AG195, 'Voxel Sizes'!$A$2:$B$18,2,FALSE),"x",INT(AC195*15), "x", INT(AD195*15))</f>
        <v>186x42x58</v>
      </c>
      <c r="AG195">
        <f t="shared" si="85"/>
        <v>11</v>
      </c>
      <c r="AI195" t="str">
        <f>CONCATENATE(VLOOKUP(AG195,Constants!$A$2:$C$16,IF(AH195&lt;&gt;"", 3, 2), FALSE),IF(AH195&lt;&gt;"",CONCATENATE(",",VLOOKUP(AH195,$B:$AI,34,FALSE)),""))</f>
        <v>4,3,4</v>
      </c>
      <c r="AK195" t="s">
        <v>672</v>
      </c>
      <c r="AM195" t="s">
        <v>517</v>
      </c>
      <c r="AQ195">
        <v>33</v>
      </c>
      <c r="AR195">
        <f t="shared" si="93"/>
        <v>35</v>
      </c>
      <c r="AS195">
        <v>-10</v>
      </c>
      <c r="AT195">
        <v>-15</v>
      </c>
      <c r="AU195">
        <f t="shared" si="94"/>
        <v>18</v>
      </c>
      <c r="AV195">
        <f t="shared" si="95"/>
        <v>2.5</v>
      </c>
      <c r="AW195">
        <f t="shared" si="96"/>
        <v>4.75</v>
      </c>
      <c r="AX195" s="4">
        <v>1</v>
      </c>
      <c r="AY195">
        <f t="shared" si="97"/>
        <v>3.5999999999999996</v>
      </c>
      <c r="AZ195">
        <f>VLOOKUP($E195,Constants!$I:$K, 2, FALSE)</f>
        <v>0.85</v>
      </c>
      <c r="BA195">
        <f>VLOOKUP($E195,Constants!$I:$K, 3, FALSE)*IF(AND(D195="multiple_unit",Y195&lt;110),0.75,1)</f>
        <v>1.7249999999999999</v>
      </c>
      <c r="BB195">
        <f>INT(POWER(((Constants!$G$2+$AU195+$AV195+$AW195+$AY195)*$AX195)*$BA195, 1.05))+$AT195</f>
        <v>56</v>
      </c>
      <c r="BC195">
        <f>INT(POWER((((Constants!$G$1+$AU195+$AV195+$AW195+$AY195)*(1/$AX195))*$AZ195),IF($D195="wagon",1,1.2)))+$AS195</f>
        <v>66</v>
      </c>
      <c r="BD195" s="15">
        <f t="shared" si="86"/>
        <v>43750</v>
      </c>
      <c r="BE195" s="15">
        <f t="shared" si="87"/>
        <v>5362.5</v>
      </c>
      <c r="BK195" t="s">
        <v>292</v>
      </c>
      <c r="BN195">
        <v>12</v>
      </c>
      <c r="BO195">
        <v>185</v>
      </c>
      <c r="BQ195" t="s">
        <v>323</v>
      </c>
      <c r="BR195" t="str">
        <f>VLOOKUP(G195,Eras!$A$2:$C$10, 2, TRUE)</f>
        <v>dsl</v>
      </c>
      <c r="BS195" t="s">
        <v>374</v>
      </c>
      <c r="BT195" t="str">
        <f t="shared" si="88"/>
        <v>dsl_EMU (Express)</v>
      </c>
      <c r="BU195" t="str">
        <f t="shared" ref="BU195:BU258" si="99">IF(AND(BG195&lt;&gt;Y195,BG195&lt;&gt;""),_xlfn.CONCAT("{BLACK}","Tare speed: ","{GOLD}{VELOCITY}{}"), "")</f>
        <v/>
      </c>
      <c r="BV195" t="str">
        <f t="shared" si="98"/>
        <v>{BLACK}Cars: {GOLD}2{}</v>
      </c>
      <c r="BW195" t="s">
        <v>673</v>
      </c>
      <c r="BX195" t="str">
        <f t="shared" si="90"/>
        <v/>
      </c>
      <c r="BY195" t="str">
        <f t="shared" si="89"/>
        <v>{BLACK}Cars: {GOLD}2{}{SILVER}The Class 414 2 HAP (Half Lavatory, electro-Pneumatic brake) is a Southern Region electric multiple unit, geared for express duties.</v>
      </c>
    </row>
    <row r="196" spans="1:77" x14ac:dyDescent="0.25">
      <c r="A196" t="s">
        <v>573</v>
      </c>
      <c r="B196" t="s">
        <v>574</v>
      </c>
      <c r="C196">
        <v>436</v>
      </c>
      <c r="D196" t="s">
        <v>168</v>
      </c>
      <c r="E196" t="s">
        <v>312</v>
      </c>
      <c r="F196" t="s">
        <v>314</v>
      </c>
      <c r="G196">
        <v>1959</v>
      </c>
      <c r="H196">
        <v>1961</v>
      </c>
      <c r="I196">
        <v>1990</v>
      </c>
      <c r="K196">
        <v>600</v>
      </c>
      <c r="T196">
        <f>36.6+30.5+36.6</f>
        <v>103.69999999999999</v>
      </c>
      <c r="X196" s="4" t="str">
        <f t="shared" si="92"/>
        <v/>
      </c>
      <c r="Y196">
        <v>70</v>
      </c>
      <c r="AA196">
        <v>19.510000000000002</v>
      </c>
      <c r="AB196">
        <v>19.510000000000002</v>
      </c>
      <c r="AD196">
        <v>3.87</v>
      </c>
      <c r="AE196" s="11">
        <v>0</v>
      </c>
      <c r="AF196" t="str">
        <f>CONCATENATE(VLOOKUP(AG196, 'Voxel Sizes'!$A$2:$B$18,2,FALSE),"x",INT(AC196*15), "x", INT(AD196*15))</f>
        <v>186x0x58</v>
      </c>
      <c r="AG196">
        <f t="shared" si="85"/>
        <v>11</v>
      </c>
      <c r="AI196" t="str">
        <f>CONCATENATE(VLOOKUP(AG196,Constants!$A$2:$C$16,IF(AH196&lt;&gt;"", 3, 2), FALSE),IF(AH196&lt;&gt;"",CONCATENATE(",",VLOOKUP(AH196,$B:$AI,34,FALSE)),""))</f>
        <v>4,3,4</v>
      </c>
      <c r="AQ196">
        <v>39</v>
      </c>
      <c r="AR196">
        <f t="shared" si="93"/>
        <v>27</v>
      </c>
      <c r="AS196">
        <v>-10</v>
      </c>
      <c r="AT196">
        <v>-15</v>
      </c>
      <c r="AU196">
        <f t="shared" si="94"/>
        <v>14</v>
      </c>
      <c r="AV196">
        <f t="shared" si="95"/>
        <v>3</v>
      </c>
      <c r="AW196">
        <f t="shared" si="96"/>
        <v>0</v>
      </c>
      <c r="AX196" s="4">
        <v>1</v>
      </c>
      <c r="AY196">
        <f t="shared" si="97"/>
        <v>0</v>
      </c>
      <c r="AZ196">
        <f>VLOOKUP($E196,Constants!$I:$K, 2, FALSE)</f>
        <v>1</v>
      </c>
      <c r="BA196">
        <f>VLOOKUP($E196,Constants!$I:$K, 3, FALSE)*IF(AND(D196="multiple_unit",Y196&lt;110),0.75,1)</f>
        <v>2</v>
      </c>
      <c r="BB196">
        <f>INT(POWER(((Constants!$G$2+$AU196+$AV196+$AW196+$AY196)*$AX196)*$BA196, 1.05))+$AT196</f>
        <v>38</v>
      </c>
      <c r="BC196">
        <f>INT(POWER((((Constants!$G$1+$AU196+$AV196+$AW196+$AY196)*(1/$AX196))*$AZ196),IF($D196="wagon",1,1.2)))+$AS196</f>
        <v>54</v>
      </c>
      <c r="BD196" s="15">
        <f t="shared" si="86"/>
        <v>29687.5</v>
      </c>
      <c r="BE196" s="15">
        <f t="shared" si="87"/>
        <v>4387.5</v>
      </c>
      <c r="BN196">
        <v>1</v>
      </c>
      <c r="BO196">
        <v>185</v>
      </c>
      <c r="BR196" t="str">
        <f>VLOOKUP(G196,Eras!$A$2:$C$10, 2, TRUE)</f>
        <v>dsl</v>
      </c>
      <c r="BS196" t="s">
        <v>371</v>
      </c>
      <c r="BT196" t="str">
        <f t="shared" si="88"/>
        <v>dsl_DMU</v>
      </c>
      <c r="BU196" t="str">
        <f t="shared" si="99"/>
        <v/>
      </c>
      <c r="BV196" t="str">
        <f t="shared" si="98"/>
        <v/>
      </c>
      <c r="BX196" t="str">
        <f t="shared" si="90"/>
        <v/>
      </c>
      <c r="BY196" t="str">
        <f t="shared" si="89"/>
        <v>{SILVER}</v>
      </c>
    </row>
    <row r="197" spans="1:77" x14ac:dyDescent="0.25">
      <c r="A197" t="s">
        <v>146</v>
      </c>
      <c r="B197" t="s">
        <v>275</v>
      </c>
      <c r="C197">
        <v>438</v>
      </c>
      <c r="D197" t="s">
        <v>453</v>
      </c>
      <c r="E197" t="s">
        <v>312</v>
      </c>
      <c r="F197" t="s">
        <v>314</v>
      </c>
      <c r="G197">
        <v>1960</v>
      </c>
      <c r="I197">
        <v>1973</v>
      </c>
      <c r="J197">
        <v>6</v>
      </c>
      <c r="K197">
        <v>1000</v>
      </c>
      <c r="T197">
        <v>304</v>
      </c>
      <c r="V197">
        <f>7*6</f>
        <v>42</v>
      </c>
      <c r="W197">
        <v>155</v>
      </c>
      <c r="X197" s="4">
        <f t="shared" si="92"/>
        <v>5.0986842105263157E-2</v>
      </c>
      <c r="Y197">
        <v>90</v>
      </c>
      <c r="AA197">
        <v>20.260000000000002</v>
      </c>
      <c r="AB197">
        <v>20</v>
      </c>
      <c r="AC197">
        <v>2.9</v>
      </c>
      <c r="AD197">
        <v>3.77</v>
      </c>
      <c r="AE197" s="11">
        <v>0</v>
      </c>
      <c r="AF197" t="str">
        <f>CONCATENATE(VLOOKUP(AG197, 'Voxel Sizes'!$A$2:$B$18,2,FALSE),"x",INT(AC197*15), "x", INT(AD197*15))</f>
        <v>198x43x56</v>
      </c>
      <c r="AG197">
        <f t="shared" si="85"/>
        <v>12</v>
      </c>
      <c r="AI197" t="str">
        <f>CONCATENATE(VLOOKUP(AG197,Constants!$A$2:$C$16,IF(AH197&lt;&gt;"", 3, 2), FALSE),IF(AH197&lt;&gt;"",CONCATENATE(",",VLOOKUP(AH197,$B:$AI,34,FALSE)),""))</f>
        <v>4,4,4</v>
      </c>
      <c r="AK197" t="s">
        <v>579</v>
      </c>
      <c r="AM197" t="s">
        <v>580</v>
      </c>
      <c r="AQ197">
        <v>22</v>
      </c>
      <c r="AR197">
        <f t="shared" si="93"/>
        <v>9</v>
      </c>
      <c r="AS197">
        <v>-10</v>
      </c>
      <c r="AT197">
        <v>-15</v>
      </c>
      <c r="AU197">
        <f t="shared" si="94"/>
        <v>18</v>
      </c>
      <c r="AV197">
        <f t="shared" si="95"/>
        <v>5</v>
      </c>
      <c r="AW197">
        <f t="shared" si="96"/>
        <v>7.75</v>
      </c>
      <c r="AX197" s="4">
        <v>1</v>
      </c>
      <c r="AY197">
        <f t="shared" si="97"/>
        <v>0</v>
      </c>
      <c r="AZ197">
        <f>VLOOKUP($E197,Constants!$I:$K, 2, FALSE)</f>
        <v>1</v>
      </c>
      <c r="BA197">
        <f>VLOOKUP($E197,Constants!$I:$K, 3, FALSE)*IF(AND(D197="multiple_unit",Y197&lt;110),0.75,1)</f>
        <v>1.5</v>
      </c>
      <c r="BB197">
        <f>INT(POWER(((Constants!$G$2+$AU197+$AV197+$AW197+$AY197)*$AX197)*$BA197, 1.05))+$AT197</f>
        <v>50</v>
      </c>
      <c r="BC197">
        <f>INT(POWER((((Constants!$G$1+$AU197+$AV197+$AW197+$AY197)*(1/$AX197))*$AZ197),IF($D197="wagon",1,1.2)))+$AS197</f>
        <v>88</v>
      </c>
      <c r="BD197" s="15">
        <f t="shared" si="86"/>
        <v>39062.5</v>
      </c>
      <c r="BE197" s="15">
        <f t="shared" si="87"/>
        <v>7150</v>
      </c>
      <c r="BM197" t="s">
        <v>1216</v>
      </c>
      <c r="BN197">
        <v>2</v>
      </c>
      <c r="BO197">
        <v>222</v>
      </c>
      <c r="BR197" t="str">
        <f>VLOOKUP(G197,Eras!$A$2:$C$10, 2, TRUE)</f>
        <v>dsl</v>
      </c>
      <c r="BS197" t="s">
        <v>372</v>
      </c>
      <c r="BT197" t="str">
        <f t="shared" si="88"/>
        <v>dsl_DMU (Express)</v>
      </c>
      <c r="BU197" t="str">
        <f t="shared" si="99"/>
        <v/>
      </c>
      <c r="BV197" t="str">
        <f t="shared" si="98"/>
        <v>{BLACK}Cars: {GOLD}6{}</v>
      </c>
      <c r="BW197" t="s">
        <v>581</v>
      </c>
      <c r="BX197" t="str">
        <f t="shared" si="90"/>
        <v>{YELLOW}20% Bonus for long distance travel{}</v>
      </c>
      <c r="BY197" t="str">
        <f t="shared" si="89"/>
        <v>{BLACK}Cars: {GOLD}6{}{YELLOW}20% Bonus for long distance travel{}{SILVER}The Blue Pullman is an express diesel multiple unit, designed to tempt motorists from their cars with a luxurious inter-city service.</v>
      </c>
    </row>
    <row r="198" spans="1:77" x14ac:dyDescent="0.25">
      <c r="A198" t="s">
        <v>146</v>
      </c>
      <c r="B198" t="s">
        <v>1202</v>
      </c>
      <c r="C198">
        <v>439</v>
      </c>
      <c r="D198" t="s">
        <v>453</v>
      </c>
      <c r="E198" t="s">
        <v>312</v>
      </c>
      <c r="F198" t="s">
        <v>314</v>
      </c>
      <c r="G198">
        <v>1960</v>
      </c>
      <c r="I198">
        <v>1973</v>
      </c>
      <c r="J198">
        <v>5</v>
      </c>
      <c r="K198">
        <v>1000</v>
      </c>
      <c r="T198">
        <f>304/6*5</f>
        <v>253.33333333333331</v>
      </c>
      <c r="V198">
        <f>7*5</f>
        <v>35</v>
      </c>
      <c r="W198">
        <v>155</v>
      </c>
      <c r="X198" s="4">
        <f t="shared" si="92"/>
        <v>6.1184210526315799E-2</v>
      </c>
      <c r="Y198">
        <v>90</v>
      </c>
      <c r="AA198">
        <v>20.260000000000002</v>
      </c>
      <c r="AB198">
        <v>20</v>
      </c>
      <c r="AC198">
        <v>2.9</v>
      </c>
      <c r="AD198">
        <v>3.77</v>
      </c>
      <c r="AE198" s="11">
        <v>0</v>
      </c>
      <c r="AF198" t="str">
        <f>CONCATENATE(VLOOKUP(AG198, 'Voxel Sizes'!$A$2:$B$18,2,FALSE),"x",INT(AC198*15), "x", INT(AD198*15))</f>
        <v>198x43x56</v>
      </c>
      <c r="AG198">
        <f t="shared" si="85"/>
        <v>12</v>
      </c>
      <c r="AI198" t="str">
        <f>CONCATENATE(VLOOKUP(AG198,Constants!$A$2:$C$16,IF(AH198&lt;&gt;"", 3, 2), FALSE),IF(AH198&lt;&gt;"",CONCATENATE(",",VLOOKUP(AH198,$B:$AI,34,FALSE)),""))</f>
        <v>4,4,4</v>
      </c>
      <c r="AK198" t="s">
        <v>1203</v>
      </c>
      <c r="AM198" t="s">
        <v>720</v>
      </c>
      <c r="AN198" t="s">
        <v>275</v>
      </c>
      <c r="AQ198">
        <v>22</v>
      </c>
      <c r="AR198">
        <f t="shared" si="93"/>
        <v>9</v>
      </c>
      <c r="AS198">
        <v>-10</v>
      </c>
      <c r="AT198">
        <v>-15</v>
      </c>
      <c r="AU198">
        <f t="shared" si="94"/>
        <v>18</v>
      </c>
      <c r="AV198">
        <f t="shared" si="95"/>
        <v>5</v>
      </c>
      <c r="AW198">
        <f t="shared" si="96"/>
        <v>7.75</v>
      </c>
      <c r="AX198" s="4">
        <v>1</v>
      </c>
      <c r="AY198">
        <f t="shared" si="97"/>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86"/>
        <v>39062.5</v>
      </c>
      <c r="BE198" s="15">
        <f t="shared" si="87"/>
        <v>7150</v>
      </c>
      <c r="BM198" t="s">
        <v>1218</v>
      </c>
      <c r="BN198">
        <v>2</v>
      </c>
      <c r="BO198">
        <v>222</v>
      </c>
      <c r="BR198" t="str">
        <f>VLOOKUP(G198,Eras!$A$2:$C$10, 2, TRUE)</f>
        <v>dsl</v>
      </c>
      <c r="BS198" t="s">
        <v>372</v>
      </c>
      <c r="BT198" t="str">
        <f t="shared" si="88"/>
        <v>dsl_DMU (Express)</v>
      </c>
      <c r="BU198" t="str">
        <f t="shared" si="99"/>
        <v/>
      </c>
      <c r="BV198" t="str">
        <f t="shared" si="98"/>
        <v>{BLACK}Cars: {GOLD}5{}</v>
      </c>
      <c r="BW198" t="s">
        <v>581</v>
      </c>
      <c r="BX198" t="str">
        <f t="shared" si="90"/>
        <v>{YELLOW}20% Bonus for long distance travel{}</v>
      </c>
      <c r="BY198" t="str">
        <f t="shared" si="89"/>
        <v>{BLACK}Cars: {GOLD}5{}{YELLOW}20% Bonus for long distance travel{}{SILVER}The Blue Pullman is an express diesel multiple unit, designed to tempt motorists from their cars with a luxurious inter-city service.</v>
      </c>
    </row>
    <row r="199" spans="1:77" x14ac:dyDescent="0.25">
      <c r="A199" t="s">
        <v>82</v>
      </c>
      <c r="B199" t="s">
        <v>255</v>
      </c>
      <c r="C199">
        <v>440</v>
      </c>
      <c r="D199" t="s">
        <v>453</v>
      </c>
      <c r="E199" t="s">
        <v>312</v>
      </c>
      <c r="F199" t="s">
        <v>314</v>
      </c>
      <c r="G199">
        <v>1960</v>
      </c>
      <c r="I199">
        <v>2017</v>
      </c>
      <c r="J199">
        <v>1</v>
      </c>
      <c r="K199">
        <v>300</v>
      </c>
      <c r="T199">
        <v>38</v>
      </c>
      <c r="V199">
        <v>8</v>
      </c>
      <c r="W199">
        <v>65</v>
      </c>
      <c r="X199" s="4">
        <f t="shared" si="92"/>
        <v>0.17105263157894737</v>
      </c>
      <c r="Y199">
        <v>70</v>
      </c>
      <c r="Z199">
        <v>1</v>
      </c>
      <c r="AA199">
        <v>19.66</v>
      </c>
      <c r="AB199">
        <v>19.66</v>
      </c>
      <c r="AD199">
        <v>3.77</v>
      </c>
      <c r="AE199" s="11">
        <v>66</v>
      </c>
      <c r="AF199" t="str">
        <f>CONCATENATE(VLOOKUP(AG199, 'Voxel Sizes'!$A$2:$B$18,2,FALSE),"x",INT(AC199*15), "x", INT(AD199*15))</f>
        <v>198x0x56</v>
      </c>
      <c r="AG199">
        <f t="shared" si="85"/>
        <v>12</v>
      </c>
      <c r="AI199" t="str">
        <f>CONCATENATE(VLOOKUP(AG199,Constants!$A$2:$C$16,IF(AH199&lt;&gt;"", 3, 2), FALSE),IF(AH199&lt;&gt;"",CONCATENATE(",",VLOOKUP(AH199,$B:$AI,34,FALSE)),""))</f>
        <v>4,4,4</v>
      </c>
      <c r="AK199" t="s">
        <v>255</v>
      </c>
      <c r="AM199">
        <v>1</v>
      </c>
      <c r="AQ199">
        <v>50</v>
      </c>
      <c r="AR199">
        <f t="shared" si="93"/>
        <v>53</v>
      </c>
      <c r="AS199">
        <v>-10</v>
      </c>
      <c r="AT199">
        <v>-15</v>
      </c>
      <c r="AU199">
        <f t="shared" si="94"/>
        <v>14</v>
      </c>
      <c r="AV199">
        <f t="shared" si="95"/>
        <v>1.5</v>
      </c>
      <c r="AW199">
        <f t="shared" si="96"/>
        <v>3.25</v>
      </c>
      <c r="AX199" s="4">
        <v>1</v>
      </c>
      <c r="AY199">
        <f t="shared" si="97"/>
        <v>2.2000000000000002</v>
      </c>
      <c r="AZ199">
        <f>VLOOKUP($E199,Constants!$I:$K, 2, FALSE)</f>
        <v>1</v>
      </c>
      <c r="BA199">
        <f>VLOOKUP($E199,Constants!$I:$K, 3, FALSE)*IF(AND(D199="multiple_unit",Y199&lt;110),0.75,1)</f>
        <v>1.5</v>
      </c>
      <c r="BB199">
        <f>INT(POWER(((Constants!$G$2+$AU199+$AV199+$AW199+$AY199)*$AX199)*$BA199, 1.05))+$AT199</f>
        <v>31</v>
      </c>
      <c r="BC199">
        <f>INT(POWER((((Constants!$G$1+$AU199+$AV199+$AW199+$AY199)*(1/$AX199))*$AZ199),IF($D199="wagon",1,1.2)))+$AS199</f>
        <v>63</v>
      </c>
      <c r="BD199" s="15">
        <f t="shared" si="86"/>
        <v>24218.75</v>
      </c>
      <c r="BE199" s="15">
        <f t="shared" si="87"/>
        <v>5118.75</v>
      </c>
      <c r="BN199">
        <v>4</v>
      </c>
      <c r="BO199">
        <v>185</v>
      </c>
      <c r="BQ199" t="s">
        <v>323</v>
      </c>
      <c r="BR199" t="str">
        <f>VLOOKUP(G199,Eras!$A$2:$C$10, 2, TRUE)</f>
        <v>dsl</v>
      </c>
      <c r="BS199" t="s">
        <v>371</v>
      </c>
      <c r="BT199" t="str">
        <f t="shared" si="88"/>
        <v>dsl_DMU</v>
      </c>
      <c r="BU199" t="str">
        <f t="shared" si="99"/>
        <v/>
      </c>
      <c r="BV199" t="str">
        <f t="shared" si="98"/>
        <v/>
      </c>
      <c r="BW199" t="s">
        <v>582</v>
      </c>
      <c r="BX199" t="str">
        <f t="shared" si="90"/>
        <v/>
      </c>
      <c r="BY199" t="str">
        <f t="shared" si="89"/>
        <v>{SILVER}The "Bubble Car" units saw a long life on branch lines and rural railways. Two six-cylinder AEC or Leyland engines of 150hp each drive the wheels through a mechanical transmission.</v>
      </c>
    </row>
    <row r="200" spans="1:77" x14ac:dyDescent="0.25">
      <c r="A200" t="s">
        <v>670</v>
      </c>
      <c r="B200" t="s">
        <v>292</v>
      </c>
      <c r="C200">
        <v>442</v>
      </c>
      <c r="D200" t="s">
        <v>453</v>
      </c>
      <c r="E200" t="s">
        <v>336</v>
      </c>
      <c r="F200" t="s">
        <v>343</v>
      </c>
      <c r="G200">
        <v>1964</v>
      </c>
      <c r="H200">
        <v>1972</v>
      </c>
      <c r="I200">
        <v>2005</v>
      </c>
      <c r="J200">
        <v>4</v>
      </c>
      <c r="K200">
        <v>1000</v>
      </c>
      <c r="T200">
        <v>152</v>
      </c>
      <c r="V200">
        <f>8*4</f>
        <v>32</v>
      </c>
      <c r="W200">
        <v>125</v>
      </c>
      <c r="X200" s="4">
        <f t="shared" si="92"/>
        <v>8.2236842105263164E-2</v>
      </c>
      <c r="Y200">
        <v>90</v>
      </c>
      <c r="AA200">
        <f>80.98/4</f>
        <v>20.245000000000001</v>
      </c>
      <c r="AB200">
        <v>20.239999999999998</v>
      </c>
      <c r="AC200">
        <v>2.82</v>
      </c>
      <c r="AD200">
        <v>3.89</v>
      </c>
      <c r="AE200" s="11">
        <v>54</v>
      </c>
      <c r="AF200" t="str">
        <f>CONCATENATE(VLOOKUP(AG200, 'Voxel Sizes'!$A$2:$B$18,2,FALSE),"x",INT(AC200*15), "x", INT(AD200*15))</f>
        <v>198x42x58</v>
      </c>
      <c r="AG200">
        <f t="shared" si="85"/>
        <v>12</v>
      </c>
      <c r="AI200" t="str">
        <f>CONCATENATE(VLOOKUP(AG200,Constants!$A$2:$C$16,IF(AH200&lt;&gt;"", 3, 2), FALSE),IF(AH200&lt;&gt;"",CONCATENATE(",",VLOOKUP(AH200,$B:$AI,34,FALSE)),""))</f>
        <v>4,4,4</v>
      </c>
      <c r="AK200" t="s">
        <v>680</v>
      </c>
      <c r="AM200" t="s">
        <v>678</v>
      </c>
      <c r="AQ200">
        <v>40</v>
      </c>
      <c r="AR200">
        <f t="shared" si="93"/>
        <v>37</v>
      </c>
      <c r="AS200">
        <v>-10</v>
      </c>
      <c r="AT200">
        <v>-20</v>
      </c>
      <c r="AU200">
        <f t="shared" si="94"/>
        <v>18</v>
      </c>
      <c r="AV200">
        <f t="shared" si="95"/>
        <v>5</v>
      </c>
      <c r="AW200">
        <f t="shared" si="96"/>
        <v>6.25</v>
      </c>
      <c r="AX200" s="4">
        <v>1</v>
      </c>
      <c r="AY200">
        <f t="shared" si="97"/>
        <v>7.1999999999999993</v>
      </c>
      <c r="AZ200">
        <f>VLOOKUP($E200,Constants!$I:$K, 2, FALSE)</f>
        <v>0.85</v>
      </c>
      <c r="BA200">
        <f>VLOOKUP($E200,Constants!$I:$K, 3, FALSE)*IF(AND(D200="multiple_unit",Y200&lt;110),0.75,1)</f>
        <v>1.7249999999999999</v>
      </c>
      <c r="BB200">
        <f>INT(POWER(((Constants!$G$2+$AU200+$AV200+$AW200+$AY200)*$AX200)*$BA200, 1.05))+$AT200</f>
        <v>68</v>
      </c>
      <c r="BC200">
        <f>INT(POWER((((Constants!$G$1+$AU200+$AV200+$AW200+$AY200)*(1/$AX200))*$AZ200),IF($D200="wagon",1,1.2)))+$AS200</f>
        <v>83</v>
      </c>
      <c r="BD200" s="15">
        <f t="shared" si="86"/>
        <v>53125</v>
      </c>
      <c r="BE200" s="15">
        <f t="shared" si="87"/>
        <v>6743.75</v>
      </c>
      <c r="BK200" t="s">
        <v>671</v>
      </c>
      <c r="BN200">
        <v>5</v>
      </c>
      <c r="BO200">
        <v>185</v>
      </c>
      <c r="BQ200" t="s">
        <v>323</v>
      </c>
      <c r="BR200" t="str">
        <f>VLOOKUP(G200,Eras!$A$2:$C$10, 2, TRUE)</f>
        <v>dsl</v>
      </c>
      <c r="BS200" t="s">
        <v>374</v>
      </c>
      <c r="BT200" t="str">
        <f t="shared" si="88"/>
        <v>dsl_EMU (Express)</v>
      </c>
      <c r="BU200" t="str">
        <f t="shared" si="99"/>
        <v/>
      </c>
      <c r="BV200" t="str">
        <f t="shared" si="98"/>
        <v>{BLACK}Cars: {GOLD}4{}</v>
      </c>
      <c r="BW200" t="s">
        <v>677</v>
      </c>
      <c r="BX200" t="str">
        <f t="shared" si="90"/>
        <v/>
      </c>
      <c r="BY200" t="str">
        <f t="shared" si="89"/>
        <v>{BLACK}Cars: {GOLD}4{}{SILVER}The Class 421 4 CIG (Corridor, brIGhton) was a third rail EMU with express gearing, used in the Southern Region. It was based on the Mk1 carriage design.</v>
      </c>
    </row>
    <row r="201" spans="1:77" x14ac:dyDescent="0.25">
      <c r="A201" t="s">
        <v>97</v>
      </c>
      <c r="B201" t="s">
        <v>674</v>
      </c>
      <c r="C201">
        <v>444</v>
      </c>
      <c r="D201" t="s">
        <v>453</v>
      </c>
      <c r="E201" t="s">
        <v>336</v>
      </c>
      <c r="F201" t="s">
        <v>337</v>
      </c>
      <c r="G201">
        <v>1965</v>
      </c>
      <c r="I201">
        <v>2002</v>
      </c>
      <c r="J201">
        <v>4</v>
      </c>
      <c r="K201">
        <v>1080</v>
      </c>
      <c r="T201">
        <v>158</v>
      </c>
      <c r="V201">
        <f>8*4</f>
        <v>32</v>
      </c>
      <c r="W201">
        <v>130</v>
      </c>
      <c r="X201" s="4">
        <f t="shared" si="92"/>
        <v>8.2278481012658222E-2</v>
      </c>
      <c r="Y201">
        <v>75</v>
      </c>
      <c r="AA201">
        <v>19.850000000000001</v>
      </c>
      <c r="AB201">
        <v>19.850000000000001</v>
      </c>
      <c r="AC201">
        <v>2.82</v>
      </c>
      <c r="AD201">
        <v>3.97</v>
      </c>
      <c r="AE201" s="11">
        <v>57</v>
      </c>
      <c r="AF201" t="str">
        <f>CONCATENATE(VLOOKUP(AG201, 'Voxel Sizes'!$A$2:$B$18,2,FALSE),"x",INT(AC201*15), "x", INT(AD201*15))</f>
        <v>198x42x59</v>
      </c>
      <c r="AG201">
        <f t="shared" si="85"/>
        <v>12</v>
      </c>
      <c r="AI201" t="str">
        <f>CONCATENATE(VLOOKUP(AG201,Constants!$A$2:$C$16,IF(AH201&lt;&gt;"", 3, 2), FALSE),IF(AH201&lt;&gt;"",CONCATENATE(",",VLOOKUP(AH201,$B:$AI,34,FALSE)),""))</f>
        <v>4,4,4</v>
      </c>
      <c r="AK201" t="s">
        <v>675</v>
      </c>
      <c r="AM201" t="s">
        <v>608</v>
      </c>
      <c r="AQ201">
        <v>32</v>
      </c>
      <c r="AR201">
        <f t="shared" si="93"/>
        <v>33</v>
      </c>
      <c r="AS201">
        <v>-10</v>
      </c>
      <c r="AT201">
        <v>-20</v>
      </c>
      <c r="AU201">
        <f t="shared" si="94"/>
        <v>15</v>
      </c>
      <c r="AV201">
        <f t="shared" si="95"/>
        <v>5.4</v>
      </c>
      <c r="AW201">
        <f t="shared" si="96"/>
        <v>6.5</v>
      </c>
      <c r="AX201" s="4">
        <v>1</v>
      </c>
      <c r="AY201">
        <f t="shared" si="97"/>
        <v>7.6</v>
      </c>
      <c r="AZ201">
        <f>VLOOKUP($E201,Constants!$I:$K, 2, FALSE)</f>
        <v>0.85</v>
      </c>
      <c r="BA201">
        <f>VLOOKUP($E201,Constants!$I:$K, 3, FALSE)*IF(AND(D201="multiple_unit",Y201&lt;110),0.75,1)</f>
        <v>1.7249999999999999</v>
      </c>
      <c r="BB201">
        <f>INT(POWER(((Constants!$G$2+$AU201+$AV201+$AW201+$AY201)*$AX201)*$BA201, 1.05))+$AT201</f>
        <v>64</v>
      </c>
      <c r="BC201">
        <f>INT(POWER((((Constants!$G$1+$AU201+$AV201+$AW201+$AY201)*(1/$AX201))*$AZ201),IF($D201="wagon",1,1.2)))+$AS201</f>
        <v>78</v>
      </c>
      <c r="BD201" s="15">
        <f t="shared" si="86"/>
        <v>50000</v>
      </c>
      <c r="BE201" s="15">
        <f t="shared" si="87"/>
        <v>6337.5</v>
      </c>
      <c r="BN201">
        <v>6</v>
      </c>
      <c r="BO201">
        <v>185</v>
      </c>
      <c r="BQ201" t="s">
        <v>323</v>
      </c>
      <c r="BR201" t="str">
        <f>VLOOKUP(G201,Eras!$A$2:$C$10, 2, TRUE)</f>
        <v>dsl</v>
      </c>
      <c r="BS201" t="s">
        <v>372</v>
      </c>
      <c r="BT201" t="str">
        <f t="shared" si="88"/>
        <v>dsl_DMU (Express)</v>
      </c>
      <c r="BU201" t="str">
        <f t="shared" si="99"/>
        <v/>
      </c>
      <c r="BV201" t="str">
        <f t="shared" si="98"/>
        <v>{BLACK}Cars: {GOLD}4{}</v>
      </c>
      <c r="BW201" t="s">
        <v>676</v>
      </c>
      <c r="BX201" t="str">
        <f t="shared" si="90"/>
        <v/>
      </c>
      <c r="BY201" t="str">
        <f t="shared" si="89"/>
        <v>{BLACK}Cars: {GOLD}4{}{SILVER}The AM10 was the first EMU to be based on the Mk2 carriage bodyshell. They were introduced as part of the West Coast Main Line electrification.</v>
      </c>
    </row>
    <row r="202" spans="1:77" x14ac:dyDescent="0.25">
      <c r="A202" t="s">
        <v>89</v>
      </c>
      <c r="B202" t="s">
        <v>215</v>
      </c>
      <c r="C202">
        <v>446</v>
      </c>
      <c r="D202" t="s">
        <v>453</v>
      </c>
      <c r="E202" t="s">
        <v>605</v>
      </c>
      <c r="F202" t="s">
        <v>604</v>
      </c>
      <c r="G202">
        <v>1976</v>
      </c>
      <c r="H202">
        <v>1977</v>
      </c>
      <c r="J202">
        <v>3</v>
      </c>
      <c r="K202">
        <v>880</v>
      </c>
      <c r="T202">
        <v>104.5</v>
      </c>
      <c r="V202">
        <f>8*3</f>
        <v>24</v>
      </c>
      <c r="W202">
        <v>140</v>
      </c>
      <c r="X202" s="4">
        <f t="shared" si="92"/>
        <v>0.13397129186602871</v>
      </c>
      <c r="Y202">
        <v>75</v>
      </c>
      <c r="AA202">
        <v>20.329999999999998</v>
      </c>
      <c r="AB202">
        <v>20.329999999999998</v>
      </c>
      <c r="AD202">
        <v>3.58</v>
      </c>
      <c r="AE202" s="11">
        <v>75</v>
      </c>
      <c r="AF202" t="str">
        <f>CONCATENATE(VLOOKUP(AG202, 'Voxel Sizes'!$A$2:$B$18,2,FALSE),"x",INT(AC202*15), "x", INT(AD202*15))</f>
        <v>198x0x53</v>
      </c>
      <c r="AG202">
        <f t="shared" si="85"/>
        <v>12</v>
      </c>
      <c r="AI202" t="str">
        <f>CONCATENATE(VLOOKUP(AG202,Constants!$A$2:$C$16,IF(AH202&lt;&gt;"", 3, 2), FALSE),IF(AH202&lt;&gt;"",CONCATENATE(",",VLOOKUP(AH202,$B:$AI,34,FALSE)),""))</f>
        <v>4,4,4</v>
      </c>
      <c r="AK202" t="s">
        <v>602</v>
      </c>
      <c r="AL202" t="s">
        <v>607</v>
      </c>
      <c r="AM202" t="s">
        <v>332</v>
      </c>
      <c r="AQ202">
        <v>35</v>
      </c>
      <c r="AR202" t="str">
        <f t="shared" si="93"/>
        <v/>
      </c>
      <c r="AS202">
        <v>-10</v>
      </c>
      <c r="AT202">
        <v>-20</v>
      </c>
      <c r="AU202">
        <f t="shared" si="94"/>
        <v>15</v>
      </c>
      <c r="AV202">
        <f t="shared" si="95"/>
        <v>4.4000000000000004</v>
      </c>
      <c r="AW202">
        <f t="shared" si="96"/>
        <v>7</v>
      </c>
      <c r="AX202" s="4">
        <v>1</v>
      </c>
      <c r="AY202">
        <f t="shared" si="97"/>
        <v>7.5</v>
      </c>
      <c r="AZ202">
        <f>VLOOKUP($E202,Constants!$I:$K, 2, FALSE)</f>
        <v>0.85</v>
      </c>
      <c r="BA202">
        <f>VLOOKUP($E202,Constants!$I:$K, 3, FALSE)*IF(AND(D202="multiple_unit",Y202&lt;110),0.75,1)</f>
        <v>1.7999999999999998</v>
      </c>
      <c r="BB202">
        <f>INT(POWER(((Constants!$G$2+$AU202+$AV202+$AW202+$AY202)*$AX202)*$BA202, 1.05))+$AT202</f>
        <v>66</v>
      </c>
      <c r="BC202">
        <f>INT(POWER((((Constants!$G$1+$AU202+$AV202+$AW202+$AY202)*(1/$AX202))*$AZ202),IF($D202="wagon",1,1.2)))+$AS202</f>
        <v>77</v>
      </c>
      <c r="BD202" s="15">
        <f t="shared" si="86"/>
        <v>51562.5</v>
      </c>
      <c r="BE202" s="15">
        <f t="shared" si="87"/>
        <v>6256.25</v>
      </c>
      <c r="BN202">
        <v>7</v>
      </c>
      <c r="BO202">
        <v>185</v>
      </c>
      <c r="BQ202" t="s">
        <v>323</v>
      </c>
      <c r="BR202" t="str">
        <f>VLOOKUP(G202,Eras!$A$2:$C$10, 2, TRUE)</f>
        <v>lbr</v>
      </c>
      <c r="BS202" t="s">
        <v>373</v>
      </c>
      <c r="BT202" t="str">
        <f t="shared" si="88"/>
        <v>lbr_EMU</v>
      </c>
      <c r="BU202" t="str">
        <f t="shared" si="99"/>
        <v/>
      </c>
      <c r="BV202" t="str">
        <f t="shared" si="98"/>
        <v>{BLACK}Cars: {GOLD}3{}</v>
      </c>
      <c r="BW202" t="s">
        <v>603</v>
      </c>
      <c r="BX202" t="str">
        <f t="shared" si="90"/>
        <v/>
      </c>
      <c r="BY202" t="str">
        <f t="shared" si="89"/>
        <v>{BLACK}Cars: {GOLD}3{}{SILVER}The Class 313 is a dual voltage EMU capable of running both on overhead electrified lines and third rail systems.</v>
      </c>
    </row>
    <row r="203" spans="1:77" x14ac:dyDescent="0.25">
      <c r="A203" t="s">
        <v>725</v>
      </c>
      <c r="B203" t="s">
        <v>726</v>
      </c>
      <c r="C203">
        <v>448</v>
      </c>
      <c r="D203" t="s">
        <v>453</v>
      </c>
      <c r="E203" t="s">
        <v>336</v>
      </c>
      <c r="F203" t="s">
        <v>337</v>
      </c>
      <c r="G203">
        <v>1979</v>
      </c>
      <c r="H203">
        <v>1986</v>
      </c>
      <c r="I203">
        <v>1988</v>
      </c>
      <c r="J203">
        <v>14</v>
      </c>
      <c r="K203">
        <v>8000</v>
      </c>
      <c r="T203">
        <v>434</v>
      </c>
      <c r="V203">
        <v>35</v>
      </c>
      <c r="W203">
        <v>210</v>
      </c>
      <c r="X203" s="4">
        <f t="shared" si="92"/>
        <v>4.8387096774193547E-2</v>
      </c>
      <c r="Y203">
        <v>155</v>
      </c>
      <c r="AA203">
        <v>20.9</v>
      </c>
      <c r="AB203">
        <v>20.9</v>
      </c>
      <c r="AC203">
        <v>2.7</v>
      </c>
      <c r="AD203">
        <v>3.5</v>
      </c>
      <c r="AE203" s="11">
        <v>39</v>
      </c>
      <c r="AF203" t="str">
        <f>CONCATENATE(VLOOKUP(AG203, 'Voxel Sizes'!$A$2:$B$18,2,FALSE),"x",INT(AC203*15), "x", INT(AD203*15))</f>
        <v>198x40x52</v>
      </c>
      <c r="AG203">
        <f t="shared" si="85"/>
        <v>12</v>
      </c>
      <c r="AI203" t="str">
        <f>CONCATENATE(VLOOKUP(AG203,Constants!$A$2:$C$16,IF(AH203&lt;&gt;"", 3, 2), FALSE),IF(AH203&lt;&gt;"",CONCATENATE(",",VLOOKUP(AH203,$B:$AI,34,FALSE)),""))</f>
        <v>4,4,4</v>
      </c>
      <c r="AK203" t="s">
        <v>728</v>
      </c>
      <c r="AM203" t="s">
        <v>735</v>
      </c>
      <c r="AQ203">
        <v>12</v>
      </c>
      <c r="AR203">
        <f t="shared" si="93"/>
        <v>8</v>
      </c>
      <c r="AU203">
        <f t="shared" si="94"/>
        <v>30</v>
      </c>
      <c r="AV203">
        <f t="shared" si="95"/>
        <v>20</v>
      </c>
      <c r="AW203">
        <f t="shared" si="96"/>
        <v>10.5</v>
      </c>
      <c r="AX203" s="4">
        <v>1</v>
      </c>
      <c r="AY203">
        <f t="shared" si="97"/>
        <v>18.2</v>
      </c>
      <c r="AZ203">
        <f>VLOOKUP($E203,Constants!$I:$K, 2, FALSE)</f>
        <v>0.85</v>
      </c>
      <c r="BA203">
        <f>VLOOKUP($E203,Constants!$I:$K, 3, FALSE)*IF(AND(D203="multiple_unit",Y203&lt;110),0.75,1)</f>
        <v>2.2999999999999998</v>
      </c>
      <c r="BB203">
        <f>INT(POWER(((Constants!$G$2+$AU203+$AV203+$AW203+$AY203)*$AX203)*$BA203, 1.05))+$AT203</f>
        <v>250</v>
      </c>
      <c r="BC203">
        <f>INT(POWER((((Constants!$G$1+$AU203+$AV203+$AW203+$AY203)*(1/$AX203))*$AZ203),IF($D203="wagon",1,1.2)))+$AS203</f>
        <v>191</v>
      </c>
      <c r="BD203" s="15">
        <f t="shared" si="86"/>
        <v>195312.5</v>
      </c>
      <c r="BE203" s="15">
        <f t="shared" si="87"/>
        <v>15518.75</v>
      </c>
      <c r="BM203" t="s">
        <v>1220</v>
      </c>
      <c r="BN203">
        <v>8</v>
      </c>
      <c r="BO203">
        <v>222</v>
      </c>
      <c r="BQ203" t="s">
        <v>323</v>
      </c>
      <c r="BR203" t="str">
        <f>VLOOKUP(G203,Eras!$A$2:$C$10, 2, TRUE)</f>
        <v>lbr</v>
      </c>
      <c r="BS203" t="s">
        <v>374</v>
      </c>
      <c r="BT203" t="str">
        <f t="shared" si="88"/>
        <v>lbr_EMU (Express)</v>
      </c>
      <c r="BU203" t="str">
        <f t="shared" si="99"/>
        <v/>
      </c>
      <c r="BV203" t="str">
        <f t="shared" si="98"/>
        <v>{BLACK}Cars: {GOLD}14{}</v>
      </c>
      <c r="BW203" t="s">
        <v>727</v>
      </c>
      <c r="BX203" t="str">
        <f t="shared" si="90"/>
        <v>{YELLOW}20% Bonus for long distance travel{}</v>
      </c>
      <c r="BY203" t="str">
        <f t="shared" si="89"/>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4" spans="1:77" x14ac:dyDescent="0.25">
      <c r="A204" t="s">
        <v>725</v>
      </c>
      <c r="B204" t="s">
        <v>1196</v>
      </c>
      <c r="C204">
        <v>449</v>
      </c>
      <c r="D204" t="s">
        <v>453</v>
      </c>
      <c r="E204" t="s">
        <v>336</v>
      </c>
      <c r="F204" t="s">
        <v>337</v>
      </c>
      <c r="G204">
        <v>1979</v>
      </c>
      <c r="H204">
        <v>1986</v>
      </c>
      <c r="I204">
        <v>1988</v>
      </c>
      <c r="J204">
        <v>8</v>
      </c>
      <c r="K204">
        <v>8000</v>
      </c>
      <c r="T204">
        <f>(434/14)*8</f>
        <v>248</v>
      </c>
      <c r="V204">
        <v>30</v>
      </c>
      <c r="W204">
        <v>210</v>
      </c>
      <c r="X204" s="4">
        <f t="shared" si="92"/>
        <v>8.4677419354838704E-2</v>
      </c>
      <c r="Y204">
        <v>155</v>
      </c>
      <c r="AA204">
        <v>20.9</v>
      </c>
      <c r="AB204">
        <v>20.9</v>
      </c>
      <c r="AC204">
        <v>2.7</v>
      </c>
      <c r="AD204">
        <v>3.5</v>
      </c>
      <c r="AE204" s="11">
        <v>39</v>
      </c>
      <c r="AF204" t="str">
        <f>CONCATENATE(VLOOKUP(AG204, 'Voxel Sizes'!$A$2:$B$18,2,FALSE),"x",INT(AC204*15), "x", INT(AD204*15))</f>
        <v>198x40x52</v>
      </c>
      <c r="AG204">
        <f t="shared" si="85"/>
        <v>12</v>
      </c>
      <c r="AI204" t="str">
        <f>CONCATENATE(VLOOKUP(AG204,Constants!$A$2:$C$16,IF(AH204&lt;&gt;"", 3, 2), FALSE),IF(AH204&lt;&gt;"",CONCATENATE(",",VLOOKUP(AH204,$B:$AI,34,FALSE)),""))</f>
        <v>4,4,4</v>
      </c>
      <c r="AK204" t="s">
        <v>1211</v>
      </c>
      <c r="AM204" t="s">
        <v>757</v>
      </c>
      <c r="AN204" t="s">
        <v>726</v>
      </c>
      <c r="AQ204">
        <v>12</v>
      </c>
      <c r="AR204">
        <f t="shared" si="93"/>
        <v>8</v>
      </c>
      <c r="AU204">
        <f t="shared" si="94"/>
        <v>30</v>
      </c>
      <c r="AV204">
        <f t="shared" si="95"/>
        <v>20</v>
      </c>
      <c r="AW204">
        <f t="shared" si="96"/>
        <v>10.5</v>
      </c>
      <c r="AX204" s="4">
        <v>1</v>
      </c>
      <c r="AY204">
        <f t="shared" si="97"/>
        <v>10.4</v>
      </c>
      <c r="AZ204">
        <f>VLOOKUP($E204,Constants!$I:$K, 2, FALSE)</f>
        <v>0.85</v>
      </c>
      <c r="BA204">
        <f>VLOOKUP($E204,Constants!$I:$K, 3, FALSE)*IF(AND(D204="multiple_unit",Y204&lt;110),0.75,1)</f>
        <v>2.2999999999999998</v>
      </c>
      <c r="BB204">
        <f>INT(POWER(((Constants!$G$2+$AU204+$AV204+$AW204+$AY204)*$AX204)*$BA204, 1.05))+$AT204</f>
        <v>225</v>
      </c>
      <c r="BC204">
        <f>INT(POWER((((Constants!$G$1+$AU204+$AV204+$AW204+$AY204)*(1/$AX204))*$AZ204),IF($D204="wagon",1,1.2)))+$AS204</f>
        <v>172</v>
      </c>
      <c r="BD204" s="15">
        <f t="shared" si="86"/>
        <v>175781.25</v>
      </c>
      <c r="BE204" s="15">
        <f t="shared" si="87"/>
        <v>13975</v>
      </c>
      <c r="BM204" t="s">
        <v>1219</v>
      </c>
      <c r="BN204">
        <v>8</v>
      </c>
      <c r="BO204">
        <v>222</v>
      </c>
      <c r="BQ204" t="s">
        <v>323</v>
      </c>
      <c r="BR204" t="str">
        <f>VLOOKUP(G204,Eras!$A$2:$C$10, 2, TRUE)</f>
        <v>lbr</v>
      </c>
      <c r="BS204" t="s">
        <v>374</v>
      </c>
      <c r="BT204" t="str">
        <f t="shared" si="88"/>
        <v>lbr_EMU (Express)</v>
      </c>
      <c r="BU204" t="str">
        <f t="shared" si="99"/>
        <v/>
      </c>
      <c r="BV204" t="str">
        <f t="shared" si="98"/>
        <v>{BLACK}Cars: {GOLD}8{}</v>
      </c>
      <c r="BW204" t="s">
        <v>727</v>
      </c>
      <c r="BX204" t="str">
        <f t="shared" si="90"/>
        <v>{YELLOW}20% Bonus for long distance travel{}</v>
      </c>
      <c r="BY204" t="str">
        <f t="shared" si="89"/>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7" x14ac:dyDescent="0.25">
      <c r="A205" t="s">
        <v>725</v>
      </c>
      <c r="B205" t="s">
        <v>1212</v>
      </c>
      <c r="C205">
        <v>450</v>
      </c>
      <c r="D205" t="s">
        <v>453</v>
      </c>
      <c r="E205" t="s">
        <v>336</v>
      </c>
      <c r="F205" t="s">
        <v>337</v>
      </c>
      <c r="G205">
        <v>1979</v>
      </c>
      <c r="H205">
        <v>1986</v>
      </c>
      <c r="I205">
        <v>1988</v>
      </c>
      <c r="J205">
        <v>5</v>
      </c>
      <c r="K205">
        <v>8000</v>
      </c>
      <c r="T205">
        <f>(434/14)*5</f>
        <v>155</v>
      </c>
      <c r="V205">
        <v>18</v>
      </c>
      <c r="W205">
        <v>210</v>
      </c>
      <c r="X205" s="4">
        <f t="shared" si="92"/>
        <v>0.13548387096774195</v>
      </c>
      <c r="Y205">
        <v>155</v>
      </c>
      <c r="AA205">
        <v>20.9</v>
      </c>
      <c r="AB205">
        <v>20.9</v>
      </c>
      <c r="AC205">
        <v>2.7</v>
      </c>
      <c r="AD205">
        <v>3.5</v>
      </c>
      <c r="AE205" s="11">
        <v>39</v>
      </c>
      <c r="AF205" t="str">
        <f>CONCATENATE(VLOOKUP(AG205, 'Voxel Sizes'!$A$2:$B$18,2,FALSE),"x",INT(AC205*15), "x", INT(AD205*15))</f>
        <v>198x40x52</v>
      </c>
      <c r="AG205">
        <f t="shared" ref="AG205:AG270" si="100">ROUND(15*((AB205*10)/256),0)</f>
        <v>12</v>
      </c>
      <c r="AI205" t="str">
        <f>CONCATENATE(VLOOKUP(AG205,Constants!$A$2:$C$16,IF(AH205&lt;&gt;"", 3, 2), FALSE),IF(AH205&lt;&gt;"",CONCATENATE(",",VLOOKUP(AH205,$B:$AI,34,FALSE)),""))</f>
        <v>4,4,4</v>
      </c>
      <c r="AK205" t="s">
        <v>1217</v>
      </c>
      <c r="AM205" t="s">
        <v>720</v>
      </c>
      <c r="AN205" t="s">
        <v>726</v>
      </c>
      <c r="AQ205">
        <v>12</v>
      </c>
      <c r="AR205">
        <f t="shared" si="93"/>
        <v>8</v>
      </c>
      <c r="AU205">
        <f t="shared" si="94"/>
        <v>30</v>
      </c>
      <c r="AV205">
        <f t="shared" si="95"/>
        <v>20</v>
      </c>
      <c r="AW205">
        <f t="shared" si="96"/>
        <v>10.5</v>
      </c>
      <c r="AX205" s="4">
        <v>1</v>
      </c>
      <c r="AY205">
        <f t="shared" si="97"/>
        <v>6.5</v>
      </c>
      <c r="AZ205">
        <f>VLOOKUP($E205,Constants!$I:$K, 2, FALSE)</f>
        <v>0.85</v>
      </c>
      <c r="BA205">
        <f>VLOOKUP($E205,Constants!$I:$K, 3, FALSE)*IF(AND(D205="multiple_unit",Y205&lt;110),0.75,1)</f>
        <v>2.2999999999999998</v>
      </c>
      <c r="BB205">
        <f>INT(POWER(((Constants!$G$2+$AU205+$AV205+$AW205+$AY205)*$AX205)*$BA205, 1.05))+$AT205</f>
        <v>213</v>
      </c>
      <c r="BC205">
        <f>INT(POWER((((Constants!$G$1+$AU205+$AV205+$AW205+$AY205)*(1/$AX205))*$AZ205),IF($D205="wagon",1,1.2)))+$AS205</f>
        <v>162</v>
      </c>
      <c r="BD205" s="15">
        <f t="shared" ref="BD205:BD268" si="101">BB205*IF($D205="wagon",62.5,781.25)</f>
        <v>166406.25</v>
      </c>
      <c r="BE205" s="15">
        <f t="shared" ref="BE205:BE268" si="102">BC205*IF($D205="wagon",2.73,81.25)</f>
        <v>13162.5</v>
      </c>
      <c r="BM205" t="s">
        <v>1218</v>
      </c>
      <c r="BN205">
        <v>8</v>
      </c>
      <c r="BO205">
        <v>222</v>
      </c>
      <c r="BQ205" t="s">
        <v>323</v>
      </c>
      <c r="BR205" t="str">
        <f>VLOOKUP(G205,Eras!$A$2:$C$10, 2, TRUE)</f>
        <v>lbr</v>
      </c>
      <c r="BS205" t="s">
        <v>374</v>
      </c>
      <c r="BT205" t="str">
        <f t="shared" ref="BT205:BT268" si="103">CONCATENATE(BR205,"_",BS205)</f>
        <v>lbr_EMU (Express)</v>
      </c>
      <c r="BU205" t="str">
        <f t="shared" si="99"/>
        <v/>
      </c>
      <c r="BV205" t="str">
        <f t="shared" si="98"/>
        <v>{BLACK}Cars: {GOLD}5{}</v>
      </c>
      <c r="BW205" t="s">
        <v>727</v>
      </c>
      <c r="BX205" t="str">
        <f t="shared" si="90"/>
        <v>{YELLOW}20% Bonus for long distance travel{}</v>
      </c>
      <c r="BY205" t="str">
        <f t="shared" si="89"/>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88</v>
      </c>
      <c r="B206" t="s">
        <v>214</v>
      </c>
      <c r="C206">
        <v>452</v>
      </c>
      <c r="D206" t="s">
        <v>453</v>
      </c>
      <c r="E206" t="s">
        <v>336</v>
      </c>
      <c r="F206" t="s">
        <v>337</v>
      </c>
      <c r="G206">
        <v>1980</v>
      </c>
      <c r="H206">
        <v>1981</v>
      </c>
      <c r="J206">
        <v>4</v>
      </c>
      <c r="K206">
        <v>880</v>
      </c>
      <c r="T206">
        <v>127.5</v>
      </c>
      <c r="V206">
        <f>8*J206</f>
        <v>32</v>
      </c>
      <c r="W206">
        <v>140</v>
      </c>
      <c r="X206" s="4">
        <f t="shared" si="92"/>
        <v>0.10980392156862745</v>
      </c>
      <c r="Y206">
        <v>75</v>
      </c>
      <c r="AA206">
        <v>19.8</v>
      </c>
      <c r="AB206">
        <v>19.8</v>
      </c>
      <c r="AD206">
        <v>3.58</v>
      </c>
      <c r="AE206" s="11">
        <v>78</v>
      </c>
      <c r="AF206" t="str">
        <f>CONCATENATE(VLOOKUP(AG206, 'Voxel Sizes'!$A$2:$B$18,2,FALSE),"x",INT(AC206*15), "x", INT(AD206*15))</f>
        <v>198x0x53</v>
      </c>
      <c r="AG206">
        <f t="shared" si="100"/>
        <v>12</v>
      </c>
      <c r="AI206" t="str">
        <f>CONCATENATE(VLOOKUP(AG206,Constants!$A$2:$C$16,IF(AH206&lt;&gt;"", 3, 2), FALSE),IF(AH206&lt;&gt;"",CONCATENATE(",",VLOOKUP(AH206,$B:$AI,34,FALSE)),""))</f>
        <v>4,4,4</v>
      </c>
      <c r="AK206" t="s">
        <v>610</v>
      </c>
      <c r="AM206" t="s">
        <v>608</v>
      </c>
      <c r="AQ206">
        <v>35</v>
      </c>
      <c r="AR206" t="str">
        <f t="shared" si="93"/>
        <v/>
      </c>
      <c r="AS206">
        <v>-10</v>
      </c>
      <c r="AT206">
        <v>-20</v>
      </c>
      <c r="AU206">
        <f t="shared" si="94"/>
        <v>15</v>
      </c>
      <c r="AV206">
        <f t="shared" si="95"/>
        <v>4.4000000000000004</v>
      </c>
      <c r="AW206">
        <f t="shared" si="96"/>
        <v>7</v>
      </c>
      <c r="AX206" s="4">
        <v>1</v>
      </c>
      <c r="AY206">
        <f t="shared" si="97"/>
        <v>10.4</v>
      </c>
      <c r="AZ206">
        <f>VLOOKUP($E206,Constants!$I:$K, 2, FALSE)</f>
        <v>0.85</v>
      </c>
      <c r="BA206">
        <f>VLOOKUP($E206,Constants!$I:$K, 3, FALSE)*IF(AND(D206="multiple_unit",Y206&lt;110),0.75,1)</f>
        <v>1.7249999999999999</v>
      </c>
      <c r="BB206">
        <f>INT(POWER(((Constants!$G$2+$AU206+$AV206+$AW206+$AY206)*$AX206)*$BA206, 1.05))+$AT206</f>
        <v>69</v>
      </c>
      <c r="BC206">
        <f>INT(POWER((((Constants!$G$1+$AU206+$AV206+$AW206+$AY206)*(1/$AX206))*$AZ206),IF($D206="wagon",1,1.2)))+$AS206</f>
        <v>83</v>
      </c>
      <c r="BD206" s="15">
        <f t="shared" si="101"/>
        <v>53906.25</v>
      </c>
      <c r="BE206" s="15">
        <f t="shared" si="102"/>
        <v>6743.75</v>
      </c>
      <c r="BN206">
        <v>11</v>
      </c>
      <c r="BO206">
        <v>185</v>
      </c>
      <c r="BQ206" t="s">
        <v>323</v>
      </c>
      <c r="BR206" t="str">
        <f>VLOOKUP(G206,Eras!$A$2:$C$10, 2, TRUE)</f>
        <v>lbr</v>
      </c>
      <c r="BS206" t="s">
        <v>373</v>
      </c>
      <c r="BT206" t="str">
        <f t="shared" si="103"/>
        <v>lbr_EMU</v>
      </c>
      <c r="BU206" t="str">
        <f t="shared" si="99"/>
        <v/>
      </c>
      <c r="BV206" t="str">
        <f t="shared" si="98"/>
        <v>{BLACK}Cars: {GOLD}4{}</v>
      </c>
      <c r="BW206" t="s">
        <v>609</v>
      </c>
      <c r="BX206" t="str">
        <f t="shared" si="90"/>
        <v/>
      </c>
      <c r="BY206" t="str">
        <f t="shared" ref="BY206:BY269" si="104">_xlfn.CONCAT(BU206,BV206,BX206,"{SILVER}", BW206)</f>
        <v>{BLACK}Cars: {GOLD}4{}{SILVER}The Class 315 is the last class of the 1972 standard EMU design, running on 25kV overhead AC power and used for inner suburban services.</v>
      </c>
    </row>
    <row r="207" spans="1:77" x14ac:dyDescent="0.25">
      <c r="A207" t="s">
        <v>94</v>
      </c>
      <c r="B207" t="s">
        <v>216</v>
      </c>
      <c r="C207">
        <v>454</v>
      </c>
      <c r="D207" t="s">
        <v>453</v>
      </c>
      <c r="E207" t="s">
        <v>336</v>
      </c>
      <c r="F207" t="s">
        <v>343</v>
      </c>
      <c r="G207">
        <v>1982</v>
      </c>
      <c r="J207">
        <v>4</v>
      </c>
      <c r="K207">
        <v>992</v>
      </c>
      <c r="T207">
        <v>136</v>
      </c>
      <c r="V207">
        <f t="shared" ref="V207:V235" si="105">8*J207</f>
        <v>32</v>
      </c>
      <c r="W207">
        <v>150</v>
      </c>
      <c r="X207" s="4">
        <f t="shared" si="92"/>
        <v>0.11029411764705882</v>
      </c>
      <c r="Y207">
        <v>75</v>
      </c>
      <c r="AA207">
        <v>19.8</v>
      </c>
      <c r="AB207">
        <v>19.8</v>
      </c>
      <c r="AE207" s="11">
        <v>78</v>
      </c>
      <c r="AF207" t="str">
        <f>CONCATENATE(VLOOKUP(AG207, 'Voxel Sizes'!$A$2:$B$18,2,FALSE),"x",INT(AC207*15), "x", INT(AD207*15))</f>
        <v>198x0x0</v>
      </c>
      <c r="AG207">
        <f t="shared" si="100"/>
        <v>12</v>
      </c>
      <c r="AI207" t="str">
        <f>CONCATENATE(VLOOKUP(AG207,Constants!$A$2:$C$16,IF(AH207&lt;&gt;"", 3, 2), FALSE),IF(AH207&lt;&gt;"",CONCATENATE(",",VLOOKUP(AH207,$B:$AI,34,FALSE)),""))</f>
        <v>4,4,4</v>
      </c>
      <c r="AK207" t="s">
        <v>661</v>
      </c>
      <c r="AM207" t="s">
        <v>515</v>
      </c>
      <c r="AQ207">
        <v>35</v>
      </c>
      <c r="AR207" t="str">
        <f t="shared" si="93"/>
        <v/>
      </c>
      <c r="AS207">
        <v>-10</v>
      </c>
      <c r="AT207">
        <v>-20</v>
      </c>
      <c r="AU207">
        <f t="shared" si="94"/>
        <v>15</v>
      </c>
      <c r="AV207">
        <f t="shared" si="95"/>
        <v>4.96</v>
      </c>
      <c r="AW207">
        <f t="shared" si="96"/>
        <v>7.5</v>
      </c>
      <c r="AX207" s="4">
        <v>1</v>
      </c>
      <c r="AY207">
        <f t="shared" si="97"/>
        <v>10.4</v>
      </c>
      <c r="AZ207">
        <f>VLOOKUP($E207,Constants!$I:$K, 2, FALSE)</f>
        <v>0.85</v>
      </c>
      <c r="BA207">
        <f>VLOOKUP($E207,Constants!$I:$K, 3, FALSE)*IF(AND(D207="multiple_unit",Y207&lt;110),0.75,1)</f>
        <v>1.7249999999999999</v>
      </c>
      <c r="BB207">
        <f>INT(POWER(((Constants!$G$2+$AU207+$AV207+$AW207+$AY207)*$AX207)*$BA207, 1.05))+$AT207</f>
        <v>71</v>
      </c>
      <c r="BC207">
        <f>INT(POWER((((Constants!$G$1+$AU207+$AV207+$AW207+$AY207)*(1/$AX207))*$AZ207),IF($D207="wagon",1,1.2)))+$AS207</f>
        <v>86</v>
      </c>
      <c r="BD207" s="15">
        <f t="shared" si="101"/>
        <v>55468.75</v>
      </c>
      <c r="BE207" s="15">
        <f t="shared" si="102"/>
        <v>6987.5</v>
      </c>
      <c r="BK207" t="s">
        <v>217</v>
      </c>
      <c r="BN207">
        <v>12</v>
      </c>
      <c r="BO207">
        <v>185</v>
      </c>
      <c r="BQ207" t="s">
        <v>323</v>
      </c>
      <c r="BR207" t="str">
        <f>VLOOKUP(G207,Eras!$A$2:$C$10, 2, TRUE)</f>
        <v>lbr</v>
      </c>
      <c r="BS207" t="s">
        <v>373</v>
      </c>
      <c r="BT207" t="str">
        <f t="shared" si="103"/>
        <v>lbr_EMU</v>
      </c>
      <c r="BU207" t="str">
        <f t="shared" si="99"/>
        <v/>
      </c>
      <c r="BV207" t="str">
        <f t="shared" si="98"/>
        <v>{BLACK}Cars: {GOLD}4{}</v>
      </c>
      <c r="BW207" t="s">
        <v>662</v>
      </c>
      <c r="BX207" t="str">
        <f t="shared" si="90"/>
        <v/>
      </c>
      <c r="BY207" t="str">
        <f t="shared" si="104"/>
        <v>{BLACK}Cars: {GOLD}4{}{SILVER}The Class 455 is a DC third rail version of British Rail's second generation EMU design. Some units re-used existing carriages from the Class 508, recognisable by the different side profile.</v>
      </c>
    </row>
    <row r="208" spans="1:77" x14ac:dyDescent="0.25">
      <c r="A208" t="s">
        <v>98</v>
      </c>
      <c r="B208" t="s">
        <v>683</v>
      </c>
      <c r="C208">
        <v>456</v>
      </c>
      <c r="D208" t="s">
        <v>453</v>
      </c>
      <c r="E208" t="s">
        <v>312</v>
      </c>
      <c r="F208" t="s">
        <v>314</v>
      </c>
      <c r="G208">
        <v>1984</v>
      </c>
      <c r="H208">
        <v>1987</v>
      </c>
      <c r="J208">
        <v>2</v>
      </c>
      <c r="K208">
        <f>286*2</f>
        <v>572</v>
      </c>
      <c r="T208">
        <f>35.8*2</f>
        <v>71.599999999999994</v>
      </c>
      <c r="V208">
        <f t="shared" si="105"/>
        <v>16</v>
      </c>
      <c r="W208">
        <v>110</v>
      </c>
      <c r="X208" s="4">
        <f t="shared" si="92"/>
        <v>0.15363128491620112</v>
      </c>
      <c r="Y208">
        <v>75</v>
      </c>
      <c r="AA208">
        <v>20</v>
      </c>
      <c r="AB208">
        <v>20</v>
      </c>
      <c r="AC208">
        <v>2.81</v>
      </c>
      <c r="AD208">
        <v>3.7</v>
      </c>
      <c r="AE208" s="11">
        <v>63</v>
      </c>
      <c r="AF208" t="str">
        <f>CONCATENATE(VLOOKUP(AG208, 'Voxel Sizes'!$A$2:$B$18,2,FALSE),"x",INT(AC208*15), "x", INT(AD208*15))</f>
        <v>198x42x55</v>
      </c>
      <c r="AG208">
        <f t="shared" si="100"/>
        <v>12</v>
      </c>
      <c r="AI208" t="str">
        <f>CONCATENATE(VLOOKUP(AG208,Constants!$A$2:$C$16,IF(AH208&lt;&gt;"", 3, 2), FALSE),IF(AH208&lt;&gt;"",CONCATENATE(",",VLOOKUP(AH208,$B:$AI,34,FALSE)),""))</f>
        <v>4,4,4</v>
      </c>
      <c r="AK208" t="s">
        <v>682</v>
      </c>
      <c r="AM208" t="s">
        <v>517</v>
      </c>
      <c r="AQ208">
        <v>28</v>
      </c>
      <c r="AR208" t="str">
        <f t="shared" si="93"/>
        <v/>
      </c>
      <c r="AS208">
        <v>-10</v>
      </c>
      <c r="AT208">
        <v>-15</v>
      </c>
      <c r="AU208">
        <f t="shared" si="94"/>
        <v>15</v>
      </c>
      <c r="AV208">
        <f t="shared" si="95"/>
        <v>2.86</v>
      </c>
      <c r="AW208">
        <f t="shared" si="96"/>
        <v>5.5</v>
      </c>
      <c r="AX208" s="4">
        <v>1</v>
      </c>
      <c r="AY208">
        <f t="shared" si="97"/>
        <v>4.2</v>
      </c>
      <c r="AZ208">
        <f>VLOOKUP($E208,Constants!$I:$K, 2, FALSE)</f>
        <v>1</v>
      </c>
      <c r="BA208">
        <f>VLOOKUP($E208,Constants!$I:$K, 3, FALSE)*IF(AND(D208="multiple_unit",Y208&lt;110),0.75,1)</f>
        <v>1.5</v>
      </c>
      <c r="BB208">
        <f>INT(POWER(((Constants!$G$2+$AU208+$AV208+$AW208+$AY208)*$AX208)*$BA208, 1.05))+$AT208</f>
        <v>44</v>
      </c>
      <c r="BC208">
        <f>INT(POWER((((Constants!$G$1+$AU208+$AV208+$AW208+$AY208)*(1/$AX208))*$AZ208),IF($D208="wagon",1,1.2)))+$AS208</f>
        <v>80</v>
      </c>
      <c r="BD208" s="15">
        <f t="shared" si="101"/>
        <v>34375</v>
      </c>
      <c r="BE208" s="15">
        <f t="shared" si="102"/>
        <v>6500</v>
      </c>
      <c r="BK208" t="s">
        <v>1180</v>
      </c>
      <c r="BN208">
        <v>1</v>
      </c>
      <c r="BO208">
        <v>185</v>
      </c>
      <c r="BQ208" t="s">
        <v>323</v>
      </c>
      <c r="BR208" t="str">
        <f>VLOOKUP(G208,Eras!$A$2:$C$10, 2, TRUE)</f>
        <v>lbr</v>
      </c>
      <c r="BS208" t="s">
        <v>371</v>
      </c>
      <c r="BT208" t="str">
        <f t="shared" si="103"/>
        <v>lbr_DMU</v>
      </c>
      <c r="BU208" t="str">
        <f t="shared" si="99"/>
        <v/>
      </c>
      <c r="BV208" t="str">
        <f t="shared" si="98"/>
        <v>{BLACK}Cars: {GOLD}2{}</v>
      </c>
      <c r="BW208" t="s">
        <v>681</v>
      </c>
      <c r="BX208" t="str">
        <f t="shared" si="90"/>
        <v/>
      </c>
      <c r="BY208" t="str">
        <f t="shared" si="104"/>
        <v>{BLACK}Cars: {GOLD}2{}{SILVER}The Sprinter replaced first-generation DMUs. Like other second-generation units it was based on the Mark 3 bodyshell. The name refers to its faster acceleration compared to the units it replaced.</v>
      </c>
    </row>
    <row r="209" spans="1:77" x14ac:dyDescent="0.25">
      <c r="A209" t="s">
        <v>698</v>
      </c>
      <c r="B209" t="s">
        <v>264</v>
      </c>
      <c r="C209">
        <v>458</v>
      </c>
      <c r="D209" t="s">
        <v>453</v>
      </c>
      <c r="E209" t="s">
        <v>312</v>
      </c>
      <c r="F209" t="s">
        <v>314</v>
      </c>
      <c r="G209">
        <v>1984</v>
      </c>
      <c r="H209">
        <v>1988</v>
      </c>
      <c r="I209">
        <v>2005</v>
      </c>
      <c r="J209">
        <v>2</v>
      </c>
      <c r="K209">
        <v>205</v>
      </c>
      <c r="T209">
        <f>26+26.5</f>
        <v>52.5</v>
      </c>
      <c r="V209">
        <f t="shared" si="105"/>
        <v>16</v>
      </c>
      <c r="W209">
        <v>70</v>
      </c>
      <c r="X209" s="4">
        <f t="shared" si="92"/>
        <v>0.13333333333333333</v>
      </c>
      <c r="Y209">
        <v>75</v>
      </c>
      <c r="AA209">
        <v>15.45</v>
      </c>
      <c r="AB209">
        <v>15.45</v>
      </c>
      <c r="AC209">
        <v>2.5</v>
      </c>
      <c r="AD209">
        <v>3.9</v>
      </c>
      <c r="AE209" s="11">
        <v>46</v>
      </c>
      <c r="AF209" t="str">
        <f>CONCATENATE(VLOOKUP(AG209, 'Voxel Sizes'!$A$2:$B$18,2,FALSE),"x",INT(AC209*15), "x", INT(AD209*15))</f>
        <v>152x37x58</v>
      </c>
      <c r="AG209">
        <f t="shared" si="100"/>
        <v>9</v>
      </c>
      <c r="AI209" t="str">
        <f>CONCATENATE(VLOOKUP(AG209,Constants!$A$2:$C$16,IF(AH209&lt;&gt;"", 3, 2), FALSE),IF(AH209&lt;&gt;"",CONCATENATE(",",VLOOKUP(AH209,$B:$AI,34,FALSE)),""))</f>
        <v>2,5,2</v>
      </c>
      <c r="AK209" t="s">
        <v>693</v>
      </c>
      <c r="AM209" t="s">
        <v>517</v>
      </c>
      <c r="AQ209">
        <v>18</v>
      </c>
      <c r="AR209">
        <f t="shared" si="93"/>
        <v>17</v>
      </c>
      <c r="AS209">
        <v>-35</v>
      </c>
      <c r="AT209">
        <v>-20</v>
      </c>
      <c r="AU209">
        <f t="shared" si="94"/>
        <v>15</v>
      </c>
      <c r="AV209">
        <f t="shared" si="95"/>
        <v>1.0249999999999999</v>
      </c>
      <c r="AW209">
        <f t="shared" si="96"/>
        <v>3.5</v>
      </c>
      <c r="AX209" s="4">
        <v>1</v>
      </c>
      <c r="AY209">
        <f t="shared" si="97"/>
        <v>3.0666666666666664</v>
      </c>
      <c r="AZ209">
        <f>VLOOKUP($E209,Constants!$I:$K, 2, FALSE)</f>
        <v>1</v>
      </c>
      <c r="BA209">
        <f>VLOOKUP($E209,Constants!$I:$K, 3, FALSE)*IF(AND(D209="multiple_unit",Y209&lt;110),0.75,1)</f>
        <v>1.5</v>
      </c>
      <c r="BB209">
        <f>INT(POWER(((Constants!$G$2+$AU209+$AV209+$AW209+$AY209)*$AX209)*$BA209, 1.05))+$AT209</f>
        <v>29</v>
      </c>
      <c r="BC209">
        <f>INT(POWER((((Constants!$G$1+$AU209+$AV209+$AW209+$AY209)*(1/$AX209))*$AZ209),IF($D209="wagon",1,1.2)))+$AS209</f>
        <v>42</v>
      </c>
      <c r="BD209" s="15">
        <f t="shared" si="101"/>
        <v>22656.25</v>
      </c>
      <c r="BE209" s="15">
        <f t="shared" si="102"/>
        <v>3412.5</v>
      </c>
      <c r="BK209" t="s">
        <v>1181</v>
      </c>
      <c r="BN209">
        <v>2</v>
      </c>
      <c r="BO209">
        <v>148</v>
      </c>
      <c r="BQ209" t="s">
        <v>323</v>
      </c>
      <c r="BR209" t="str">
        <f>VLOOKUP(G209,Eras!$A$2:$C$10, 2, TRUE)</f>
        <v>lbr</v>
      </c>
      <c r="BS209" t="s">
        <v>370</v>
      </c>
      <c r="BT209" t="str">
        <f t="shared" si="103"/>
        <v>lbr_DMU (Cheap)</v>
      </c>
      <c r="BU209" t="str">
        <f t="shared" si="99"/>
        <v/>
      </c>
      <c r="BV209" t="str">
        <f t="shared" si="98"/>
        <v>{BLACK}Cars: {GOLD}2{}</v>
      </c>
      <c r="BW209" t="s">
        <v>699</v>
      </c>
      <c r="BX209" t="str">
        <f t="shared" si="90"/>
        <v>{YELLOW}20% Penalty for long distance travel{}</v>
      </c>
      <c r="BY209" t="str">
        <f t="shared" si="104"/>
        <v>{BLACK}Cars: {GOLD}2{}{YELLOW}20% Penalty for long distance travel{}{SILVER}The Class 141 is a multiple unit built from Leyland National bus parts. While cheap and light, it is criticised for its poor ride quality.</v>
      </c>
    </row>
    <row r="210" spans="1:77" x14ac:dyDescent="0.25">
      <c r="A210" t="s">
        <v>87</v>
      </c>
      <c r="B210" t="s">
        <v>213</v>
      </c>
      <c r="C210">
        <v>460</v>
      </c>
      <c r="D210" t="s">
        <v>453</v>
      </c>
      <c r="E210" t="s">
        <v>605</v>
      </c>
      <c r="F210" t="s">
        <v>604</v>
      </c>
      <c r="G210">
        <v>1987</v>
      </c>
      <c r="H210">
        <v>1990</v>
      </c>
      <c r="J210">
        <v>4</v>
      </c>
      <c r="K210">
        <f>4*332</f>
        <v>1328</v>
      </c>
      <c r="T210">
        <v>140.30000000000001</v>
      </c>
      <c r="V210">
        <f t="shared" si="105"/>
        <v>32</v>
      </c>
      <c r="W210">
        <v>160</v>
      </c>
      <c r="X210" s="4">
        <f t="shared" si="92"/>
        <v>0.11404133998574484</v>
      </c>
      <c r="Y210">
        <v>100</v>
      </c>
      <c r="AA210">
        <v>19.829999999999998</v>
      </c>
      <c r="AB210">
        <v>19.829999999999998</v>
      </c>
      <c r="AD210">
        <v>3.58</v>
      </c>
      <c r="AE210" s="11">
        <v>78</v>
      </c>
      <c r="AF210" t="str">
        <f>CONCATENATE(VLOOKUP(AG210, 'Voxel Sizes'!$A$2:$B$18,2,FALSE),"x",INT(AC210*15), "x", INT(AD210*15))</f>
        <v>198x0x53</v>
      </c>
      <c r="AG210">
        <f t="shared" si="100"/>
        <v>12</v>
      </c>
      <c r="AI210" t="str">
        <f>CONCATENATE(VLOOKUP(AG210,Constants!$A$2:$C$16,IF(AH210&lt;&gt;"", 3, 2), FALSE),IF(AH210&lt;&gt;"",CONCATENATE(",",VLOOKUP(AH210,$B:$AI,34,FALSE)),""))</f>
        <v>4,4,4</v>
      </c>
      <c r="AK210" t="s">
        <v>618</v>
      </c>
      <c r="AL210" t="s">
        <v>619</v>
      </c>
      <c r="AM210" t="s">
        <v>608</v>
      </c>
      <c r="AQ210">
        <v>32</v>
      </c>
      <c r="AR210" t="str">
        <f t="shared" si="93"/>
        <v/>
      </c>
      <c r="AS210">
        <v>-10</v>
      </c>
      <c r="AT210">
        <v>-20</v>
      </c>
      <c r="AU210">
        <f t="shared" si="94"/>
        <v>20</v>
      </c>
      <c r="AV210">
        <f t="shared" si="95"/>
        <v>6.6400000000000006</v>
      </c>
      <c r="AW210">
        <f t="shared" si="96"/>
        <v>8</v>
      </c>
      <c r="AX210" s="4">
        <v>1</v>
      </c>
      <c r="AY210">
        <f t="shared" si="97"/>
        <v>10.4</v>
      </c>
      <c r="AZ210">
        <f>VLOOKUP($E210,Constants!$I:$K, 2, FALSE)</f>
        <v>0.85</v>
      </c>
      <c r="BA210">
        <f>VLOOKUP($E210,Constants!$I:$K, 3, FALSE)*IF(AND(D210="multiple_unit",Y210&lt;110),0.75,1)</f>
        <v>1.7999999999999998</v>
      </c>
      <c r="BB210">
        <f>INT(POWER(((Constants!$G$2+$AU210+$AV210+$AW210+$AY210)*$AX210)*$BA210, 1.05))+$AT210</f>
        <v>92</v>
      </c>
      <c r="BC210">
        <f>INT(POWER((((Constants!$G$1+$AU210+$AV210+$AW210+$AY210)*(1/$AX210))*$AZ210),IF($D210="wagon",1,1.2)))+$AS210</f>
        <v>102</v>
      </c>
      <c r="BD210" s="15">
        <f t="shared" si="101"/>
        <v>71875</v>
      </c>
      <c r="BE210" s="15">
        <f t="shared" si="102"/>
        <v>8287.5</v>
      </c>
      <c r="BN210">
        <v>3</v>
      </c>
      <c r="BO210">
        <v>185</v>
      </c>
      <c r="BQ210" t="s">
        <v>323</v>
      </c>
      <c r="BR210" t="str">
        <f>VLOOKUP(G210,Eras!$A$2:$C$10, 2, TRUE)</f>
        <v>lbr</v>
      </c>
      <c r="BS210" t="s">
        <v>373</v>
      </c>
      <c r="BT210" t="str">
        <f t="shared" si="103"/>
        <v>lbr_EMU</v>
      </c>
      <c r="BU210" t="str">
        <f t="shared" si="99"/>
        <v/>
      </c>
      <c r="BV210" t="str">
        <f t="shared" si="98"/>
        <v>{BLACK}Cars: {GOLD}4{}</v>
      </c>
      <c r="BW210" t="s">
        <v>617</v>
      </c>
      <c r="BX210" t="str">
        <f t="shared" si="90"/>
        <v/>
      </c>
      <c r="BY210" t="str">
        <f t="shared" si="104"/>
        <v>{BLACK}Cars: {GOLD}4{}{SILVER}The Class 319 is a dual-voltage EMU built for the then-new Thameslink service between Brighton and Bedford.</v>
      </c>
    </row>
    <row r="211" spans="1:77" x14ac:dyDescent="0.25">
      <c r="A211" t="s">
        <v>684</v>
      </c>
      <c r="B211" t="s">
        <v>261</v>
      </c>
      <c r="C211">
        <v>462</v>
      </c>
      <c r="D211" t="s">
        <v>453</v>
      </c>
      <c r="E211" t="s">
        <v>312</v>
      </c>
      <c r="F211" t="s">
        <v>314</v>
      </c>
      <c r="G211">
        <v>1988</v>
      </c>
      <c r="J211">
        <v>2</v>
      </c>
      <c r="K211">
        <f>285*2</f>
        <v>570</v>
      </c>
      <c r="T211">
        <f>35.5+36.1</f>
        <v>71.599999999999994</v>
      </c>
      <c r="V211">
        <f t="shared" si="105"/>
        <v>16</v>
      </c>
      <c r="W211">
        <v>110</v>
      </c>
      <c r="X211" s="4">
        <f t="shared" si="92"/>
        <v>0.15363128491620112</v>
      </c>
      <c r="Y211">
        <v>75</v>
      </c>
      <c r="AA211">
        <v>23</v>
      </c>
      <c r="AB211">
        <v>23</v>
      </c>
      <c r="AC211">
        <v>2.8</v>
      </c>
      <c r="AD211">
        <v>3.7</v>
      </c>
      <c r="AE211" s="11">
        <v>69</v>
      </c>
      <c r="AF211" t="str">
        <f>CONCATENATE(VLOOKUP(AG211, 'Voxel Sizes'!$A$2:$B$18,2,FALSE),"x",INT(AC211*15), "x", INT(AD211*15))</f>
        <v>214x42x55</v>
      </c>
      <c r="AG211">
        <f t="shared" si="100"/>
        <v>13</v>
      </c>
      <c r="AI211" t="str">
        <f>CONCATENATE(VLOOKUP(AG211,Constants!$A$2:$C$16,IF(AH211&lt;&gt;"", 3, 2), FALSE),IF(AH211&lt;&gt;"",CONCATENATE(",",VLOOKUP(AH211,$B:$AI,34,FALSE)),""))</f>
        <v>4,5,4</v>
      </c>
      <c r="AK211" t="s">
        <v>686</v>
      </c>
      <c r="AM211" t="s">
        <v>517</v>
      </c>
      <c r="AQ211">
        <v>33</v>
      </c>
      <c r="AR211" t="str">
        <f t="shared" si="93"/>
        <v/>
      </c>
      <c r="AS211">
        <v>-10</v>
      </c>
      <c r="AT211">
        <v>-15</v>
      </c>
      <c r="AU211">
        <f t="shared" si="94"/>
        <v>15</v>
      </c>
      <c r="AV211">
        <f t="shared" si="95"/>
        <v>2.8499999999999996</v>
      </c>
      <c r="AW211">
        <f t="shared" si="96"/>
        <v>5.5</v>
      </c>
      <c r="AX211" s="4">
        <v>1</v>
      </c>
      <c r="AY211">
        <f t="shared" si="97"/>
        <v>4.6000000000000005</v>
      </c>
      <c r="AZ211">
        <f>VLOOKUP($E211,Constants!$I:$K, 2, FALSE)</f>
        <v>1</v>
      </c>
      <c r="BA211">
        <f>VLOOKUP($E211,Constants!$I:$K, 3, FALSE)*IF(AND(D211="multiple_unit",Y211&lt;110),0.75,1)</f>
        <v>1.5</v>
      </c>
      <c r="BB211">
        <f>INT(POWER(((Constants!$G$2+$AU211+$AV211+$AW211+$AY211)*$AX211)*$BA211, 1.05))+$AT211</f>
        <v>45</v>
      </c>
      <c r="BC211">
        <f>INT(POWER((((Constants!$G$1+$AU211+$AV211+$AW211+$AY211)*(1/$AX211))*$AZ211),IF($D211="wagon",1,1.2)))+$AS211</f>
        <v>81</v>
      </c>
      <c r="BD211" s="15">
        <f t="shared" si="101"/>
        <v>35156.25</v>
      </c>
      <c r="BE211" s="15">
        <f t="shared" si="102"/>
        <v>6581.25</v>
      </c>
      <c r="BK211" t="s">
        <v>1182</v>
      </c>
      <c r="BN211">
        <v>4</v>
      </c>
      <c r="BO211">
        <v>185</v>
      </c>
      <c r="BQ211" t="s">
        <v>323</v>
      </c>
      <c r="BR211" t="str">
        <f>VLOOKUP(G211,Eras!$A$2:$C$10, 2, TRUE)</f>
        <v>lbr</v>
      </c>
      <c r="BS211" t="s">
        <v>371</v>
      </c>
      <c r="BT211" t="str">
        <f t="shared" si="103"/>
        <v>lbr_DMU</v>
      </c>
      <c r="BU211" t="str">
        <f t="shared" si="99"/>
        <v/>
      </c>
      <c r="BV211" t="str">
        <f t="shared" si="98"/>
        <v>{BLACK}Cars: {GOLD}2{}</v>
      </c>
      <c r="BW211" t="s">
        <v>685</v>
      </c>
      <c r="BX211" t="str">
        <f t="shared" si="90"/>
        <v/>
      </c>
      <c r="BY211" t="str">
        <f t="shared" si="104"/>
        <v>{BLACK}Cars: {GOLD}2{}{SILVER}The Class 156 is a member of the Sprinter family designed for longer journeys, with single doors at each end rather than the metro-style doors of the Class 150s.</v>
      </c>
    </row>
    <row r="212" spans="1:77" x14ac:dyDescent="0.25">
      <c r="A212" t="s">
        <v>105</v>
      </c>
      <c r="B212" t="s">
        <v>268</v>
      </c>
      <c r="C212">
        <v>464</v>
      </c>
      <c r="D212" t="s">
        <v>453</v>
      </c>
      <c r="E212" t="s">
        <v>336</v>
      </c>
      <c r="F212" t="s">
        <v>343</v>
      </c>
      <c r="G212">
        <v>1988</v>
      </c>
      <c r="J212">
        <v>5</v>
      </c>
      <c r="K212">
        <v>1610</v>
      </c>
      <c r="T212">
        <v>202.8</v>
      </c>
      <c r="V212">
        <f t="shared" si="105"/>
        <v>40</v>
      </c>
      <c r="W212">
        <v>190</v>
      </c>
      <c r="X212" s="4">
        <f t="shared" si="92"/>
        <v>9.3688362919132157E-2</v>
      </c>
      <c r="Y212">
        <v>108</v>
      </c>
      <c r="AA212">
        <v>23</v>
      </c>
      <c r="AB212">
        <v>23</v>
      </c>
      <c r="AC212">
        <v>2.74</v>
      </c>
      <c r="AD212">
        <v>3.81</v>
      </c>
      <c r="AE212" s="11">
        <v>66</v>
      </c>
      <c r="AF212" t="str">
        <f>CONCATENATE(VLOOKUP(AG212, 'Voxel Sizes'!$A$2:$B$18,2,FALSE),"x",INT(AC212*15), "x", INT(AD212*15))</f>
        <v>214x41x57</v>
      </c>
      <c r="AG212">
        <f t="shared" si="100"/>
        <v>13</v>
      </c>
      <c r="AI212" t="str">
        <f>CONCATENATE(VLOOKUP(AG212,Constants!$A$2:$C$16,IF(AH212&lt;&gt;"", 3, 2), FALSE),IF(AH212&lt;&gt;"",CONCATENATE(",",VLOOKUP(AH212,$B:$AI,34,FALSE)),""))</f>
        <v>4,5,4</v>
      </c>
      <c r="AK212" t="s">
        <v>722</v>
      </c>
      <c r="AM212" t="s">
        <v>660</v>
      </c>
      <c r="AQ212">
        <v>35</v>
      </c>
      <c r="AR212" t="str">
        <f t="shared" si="93"/>
        <v/>
      </c>
      <c r="AS212">
        <v>-10</v>
      </c>
      <c r="AT212">
        <v>-25</v>
      </c>
      <c r="AU212">
        <f t="shared" si="94"/>
        <v>21.599999999999998</v>
      </c>
      <c r="AV212">
        <f t="shared" si="95"/>
        <v>8.0500000000000007</v>
      </c>
      <c r="AW212">
        <f t="shared" si="96"/>
        <v>9.5</v>
      </c>
      <c r="AX212" s="4">
        <v>1</v>
      </c>
      <c r="AY212">
        <f t="shared" si="97"/>
        <v>11</v>
      </c>
      <c r="AZ212">
        <f>VLOOKUP($E212,Constants!$I:$K, 2, FALSE)</f>
        <v>0.85</v>
      </c>
      <c r="BA212">
        <f>VLOOKUP($E212,Constants!$I:$K, 3, FALSE)*IF(AND(D212="multiple_unit",Y212&lt;110),0.75,1)</f>
        <v>1.7249999999999999</v>
      </c>
      <c r="BB212">
        <f>INT(POWER(((Constants!$G$2+$AU212+$AV212+$AW212+$AY212)*$AX212)*$BA212, 1.05))+$AT212</f>
        <v>94</v>
      </c>
      <c r="BC212">
        <f>INT(POWER((((Constants!$G$1+$AU212+$AV212+$AW212+$AY212)*(1/$AX212))*$AZ212),IF($D212="wagon",1,1.2)))+$AS212</f>
        <v>113</v>
      </c>
      <c r="BD212" s="15">
        <f t="shared" si="101"/>
        <v>73437.5</v>
      </c>
      <c r="BE212" s="15">
        <f t="shared" si="102"/>
        <v>9181.25</v>
      </c>
      <c r="BK212" t="s">
        <v>1184</v>
      </c>
      <c r="BM212" t="s">
        <v>1216</v>
      </c>
      <c r="BN212">
        <v>5</v>
      </c>
      <c r="BO212">
        <v>205</v>
      </c>
      <c r="BQ212" t="s">
        <v>323</v>
      </c>
      <c r="BR212" t="str">
        <f>VLOOKUP(G212,Eras!$A$2:$C$10, 2, TRUE)</f>
        <v>lbr</v>
      </c>
      <c r="BS212" t="s">
        <v>374</v>
      </c>
      <c r="BT212" t="str">
        <f t="shared" si="103"/>
        <v>lbr_EMU (Express)</v>
      </c>
      <c r="BU212" t="str">
        <f t="shared" si="99"/>
        <v/>
      </c>
      <c r="BV212" t="str">
        <f t="shared" si="98"/>
        <v>{BLACK}Cars: {GOLD}5{}</v>
      </c>
      <c r="BW212" t="s">
        <v>723</v>
      </c>
      <c r="BX212" t="str">
        <f t="shared" ref="BX212:BX270" si="106">IF(BQ212="BRAKE","{YELLOW}Speed bonus for slow wagons{}",IF(BO212&gt;190,CONCATENATE("{YELLOW}",INT((BO212-185)/1.85),"% Bonus for long distance travel{}"),IF(AND(BO212&lt;180,BO212&lt;&gt;0),CONCATENATE("{YELLOW}",INT((185-BO212)/1.85),"% Penalty for long distance travel{}"),"")))</f>
        <v>{YELLOW}10% Bonus for long distance travel{}</v>
      </c>
      <c r="BY212" t="str">
        <f t="shared" si="104"/>
        <v>{BLACK}Cars: {GOLD}5{}{YELLOW}10% Bonus for long distance travel{}{SILVER}The Class 442 holds the speed record for a third rail EMU at 108mph. Unlike most of its generation of Mk3-based multiple units, it uses the full-length carriage bodyshell.</v>
      </c>
    </row>
    <row r="213" spans="1:77" x14ac:dyDescent="0.25">
      <c r="A213" t="s">
        <v>105</v>
      </c>
      <c r="B213" t="s">
        <v>1204</v>
      </c>
      <c r="C213">
        <v>465</v>
      </c>
      <c r="D213" t="s">
        <v>453</v>
      </c>
      <c r="E213" t="s">
        <v>336</v>
      </c>
      <c r="F213" t="s">
        <v>343</v>
      </c>
      <c r="G213">
        <v>1988</v>
      </c>
      <c r="J213">
        <v>4</v>
      </c>
      <c r="K213">
        <v>1610</v>
      </c>
      <c r="T213">
        <f>202.8/5*4</f>
        <v>162.24</v>
      </c>
      <c r="V213">
        <f t="shared" si="105"/>
        <v>32</v>
      </c>
      <c r="W213">
        <v>190</v>
      </c>
      <c r="X213" s="4">
        <f t="shared" si="92"/>
        <v>0.11711045364891517</v>
      </c>
      <c r="Y213">
        <v>108</v>
      </c>
      <c r="AA213">
        <v>23</v>
      </c>
      <c r="AB213">
        <v>23</v>
      </c>
      <c r="AC213">
        <v>2.74</v>
      </c>
      <c r="AD213">
        <v>3.81</v>
      </c>
      <c r="AE213" s="11">
        <v>66</v>
      </c>
      <c r="AF213" t="str">
        <f>CONCATENATE(VLOOKUP(AG213, 'Voxel Sizes'!$A$2:$B$18,2,FALSE),"x",INT(AC213*15), "x", INT(AD213*15))</f>
        <v>214x41x57</v>
      </c>
      <c r="AG213">
        <f t="shared" si="100"/>
        <v>13</v>
      </c>
      <c r="AI213" t="str">
        <f>CONCATENATE(VLOOKUP(AG213,Constants!$A$2:$C$16,IF(AH213&lt;&gt;"", 3, 2), FALSE),IF(AH213&lt;&gt;"",CONCATENATE(",",VLOOKUP(AH213,$B:$AI,34,FALSE)),""))</f>
        <v>4,5,4</v>
      </c>
      <c r="AK213" t="s">
        <v>1205</v>
      </c>
      <c r="AM213" t="s">
        <v>1195</v>
      </c>
      <c r="AN213" t="s">
        <v>268</v>
      </c>
      <c r="AQ213">
        <v>35</v>
      </c>
      <c r="AR213" t="str">
        <f t="shared" si="93"/>
        <v/>
      </c>
      <c r="AS213">
        <v>-10</v>
      </c>
      <c r="AT213">
        <v>-25</v>
      </c>
      <c r="AU213">
        <f t="shared" si="94"/>
        <v>21.599999999999998</v>
      </c>
      <c r="AV213">
        <f t="shared" si="95"/>
        <v>8.0500000000000007</v>
      </c>
      <c r="AW213">
        <f t="shared" si="96"/>
        <v>9.5</v>
      </c>
      <c r="AX213" s="4">
        <v>1</v>
      </c>
      <c r="AY213">
        <f t="shared" si="97"/>
        <v>8.8000000000000007</v>
      </c>
      <c r="AZ213">
        <f>VLOOKUP($E213,Constants!$I:$K, 2, FALSE)</f>
        <v>0.85</v>
      </c>
      <c r="BA213">
        <f>VLOOKUP($E213,Constants!$I:$K, 3, FALSE)*IF(AND(D213="multiple_unit",Y213&lt;110),0.75,1)</f>
        <v>1.7249999999999999</v>
      </c>
      <c r="BB213">
        <f>INT(POWER(((Constants!$G$2+$AU213+$AV213+$AW213+$AY213)*$AX213)*$BA213, 1.05))+$AT213</f>
        <v>89</v>
      </c>
      <c r="BC213">
        <f>INT(POWER((((Constants!$G$1+$AU213+$AV213+$AW213+$AY213)*(1/$AX213))*$AZ213),IF($D213="wagon",1,1.2)))+$AS213</f>
        <v>108</v>
      </c>
      <c r="BD213" s="15">
        <f t="shared" si="101"/>
        <v>69531.25</v>
      </c>
      <c r="BE213" s="15">
        <f t="shared" si="102"/>
        <v>8775</v>
      </c>
      <c r="BK213" t="s">
        <v>1184</v>
      </c>
      <c r="BM213" t="s">
        <v>1218</v>
      </c>
      <c r="BN213">
        <v>5</v>
      </c>
      <c r="BO213">
        <v>205</v>
      </c>
      <c r="BQ213" t="s">
        <v>323</v>
      </c>
      <c r="BR213" t="str">
        <f>VLOOKUP(G213,Eras!$A$2:$C$10, 2, TRUE)</f>
        <v>lbr</v>
      </c>
      <c r="BS213" t="s">
        <v>374</v>
      </c>
      <c r="BT213" t="str">
        <f t="shared" si="103"/>
        <v>lbr_EMU (Express)</v>
      </c>
      <c r="BU213" t="str">
        <f t="shared" si="99"/>
        <v/>
      </c>
      <c r="BV213" t="str">
        <f t="shared" si="98"/>
        <v>{BLACK}Cars: {GOLD}4{}</v>
      </c>
      <c r="BW213" t="s">
        <v>723</v>
      </c>
      <c r="BX213" t="str">
        <f t="shared" si="106"/>
        <v>{YELLOW}10% Bonus for long distance travel{}</v>
      </c>
      <c r="BY213" t="str">
        <f t="shared" si="104"/>
        <v>{BLACK}Cars: {GOLD}4{}{YELLOW}10% Bonus for long distance travel{}{SILVER}The Class 442 holds the speed record for a third rail EMU at 108mph. Unlike most of its generation of Mk3-based multiple units, it uses the full-length carriage bodyshell.</v>
      </c>
    </row>
    <row r="214" spans="1:77" x14ac:dyDescent="0.25">
      <c r="A214" t="s">
        <v>99</v>
      </c>
      <c r="B214" t="s">
        <v>262</v>
      </c>
      <c r="C214">
        <v>466</v>
      </c>
      <c r="D214" t="s">
        <v>453</v>
      </c>
      <c r="E214" t="s">
        <v>312</v>
      </c>
      <c r="F214" t="s">
        <v>314</v>
      </c>
      <c r="G214">
        <v>1989</v>
      </c>
      <c r="H214">
        <v>1992</v>
      </c>
      <c r="J214">
        <v>3</v>
      </c>
      <c r="K214">
        <f>350*3</f>
        <v>1050</v>
      </c>
      <c r="T214">
        <f>37.8*3</f>
        <v>113.39999999999999</v>
      </c>
      <c r="V214">
        <f t="shared" si="105"/>
        <v>24</v>
      </c>
      <c r="W214">
        <v>120</v>
      </c>
      <c r="X214" s="4">
        <f t="shared" si="92"/>
        <v>0.10582010582010581</v>
      </c>
      <c r="Y214">
        <v>90</v>
      </c>
      <c r="AA214">
        <v>23.2</v>
      </c>
      <c r="AB214">
        <v>23</v>
      </c>
      <c r="AC214">
        <v>2.7</v>
      </c>
      <c r="AE214" s="11">
        <v>69</v>
      </c>
      <c r="AF214" t="str">
        <f>CONCATENATE(VLOOKUP(AG214, 'Voxel Sizes'!$A$2:$B$18,2,FALSE),"x",INT(AC214*15), "x", INT(AD214*15))</f>
        <v>214x40x0</v>
      </c>
      <c r="AG214">
        <f t="shared" si="100"/>
        <v>13</v>
      </c>
      <c r="AI214" t="str">
        <f>CONCATENATE(VLOOKUP(AG214,Constants!$A$2:$C$16,IF(AH214&lt;&gt;"", 3, 2), FALSE),IF(AH214&lt;&gt;"",CONCATENATE(",",VLOOKUP(AH214,$B:$AI,34,FALSE)),""))</f>
        <v>4,5,4</v>
      </c>
      <c r="AK214" t="s">
        <v>687</v>
      </c>
      <c r="AM214" t="s">
        <v>332</v>
      </c>
      <c r="AQ214">
        <v>33</v>
      </c>
      <c r="AR214" t="str">
        <f t="shared" si="93"/>
        <v/>
      </c>
      <c r="AS214">
        <v>-10</v>
      </c>
      <c r="AT214">
        <v>-15</v>
      </c>
      <c r="AU214">
        <f t="shared" si="94"/>
        <v>18</v>
      </c>
      <c r="AV214">
        <f t="shared" si="95"/>
        <v>5.25</v>
      </c>
      <c r="AW214">
        <f t="shared" si="96"/>
        <v>6</v>
      </c>
      <c r="AX214" s="4">
        <v>1</v>
      </c>
      <c r="AY214">
        <f t="shared" si="97"/>
        <v>6.9</v>
      </c>
      <c r="AZ214">
        <f>VLOOKUP($E214,Constants!$I:$K, 2, FALSE)</f>
        <v>1</v>
      </c>
      <c r="BA214">
        <f>VLOOKUP($E214,Constants!$I:$K, 3, FALSE)*IF(AND(D214="multiple_unit",Y214&lt;110),0.75,1)</f>
        <v>1.5</v>
      </c>
      <c r="BB214">
        <f>INT(POWER(((Constants!$G$2+$AU214+$AV214+$AW214+$AY214)*$AX214)*$BA214, 1.05))+$AT214</f>
        <v>60</v>
      </c>
      <c r="BC214">
        <f>INT(POWER((((Constants!$G$1+$AU214+$AV214+$AW214+$AY214)*(1/$AX214))*$AZ214),IF($D214="wagon",1,1.2)))+$AS214</f>
        <v>102</v>
      </c>
      <c r="BD214" s="15">
        <f t="shared" si="101"/>
        <v>46875</v>
      </c>
      <c r="BE214" s="15">
        <f t="shared" si="102"/>
        <v>8287.5</v>
      </c>
      <c r="BK214" t="s">
        <v>1183</v>
      </c>
      <c r="BN214">
        <v>7</v>
      </c>
      <c r="BO214">
        <v>205</v>
      </c>
      <c r="BQ214" t="s">
        <v>323</v>
      </c>
      <c r="BR214" t="str">
        <f>VLOOKUP(G214,Eras!$A$2:$C$10, 2, TRUE)</f>
        <v>lbr</v>
      </c>
      <c r="BS214" t="s">
        <v>372</v>
      </c>
      <c r="BT214" t="str">
        <f t="shared" si="103"/>
        <v>lbr_DMU (Express)</v>
      </c>
      <c r="BU214" t="str">
        <f t="shared" si="99"/>
        <v/>
      </c>
      <c r="BV214" t="str">
        <f t="shared" si="98"/>
        <v>{BLACK}Cars: {GOLD}3{}</v>
      </c>
      <c r="BW214" t="s">
        <v>688</v>
      </c>
      <c r="BX214" t="str">
        <f t="shared" si="106"/>
        <v>{YELLOW}10% Bonus for long distance travel{}</v>
      </c>
      <c r="BY214" t="str">
        <f t="shared" si="104"/>
        <v>{BLACK}Cars: {GOLD}3{}{YELLOW}10% Bonus for long distance travel{}{SILVER}The Class 158 has many improvements over earlier generation Sprinters, including air conditioning and a more comfortable ride.</v>
      </c>
    </row>
    <row r="215" spans="1:77" x14ac:dyDescent="0.25">
      <c r="A215" t="s">
        <v>95</v>
      </c>
      <c r="B215" t="s">
        <v>217</v>
      </c>
      <c r="C215">
        <v>468</v>
      </c>
      <c r="D215" t="s">
        <v>453</v>
      </c>
      <c r="E215" t="s">
        <v>336</v>
      </c>
      <c r="F215" t="s">
        <v>343</v>
      </c>
      <c r="G215">
        <v>1990</v>
      </c>
      <c r="J215">
        <v>2</v>
      </c>
      <c r="K215">
        <v>500</v>
      </c>
      <c r="T215">
        <v>72.5</v>
      </c>
      <c r="V215">
        <f>8*J215</f>
        <v>16</v>
      </c>
      <c r="W215">
        <v>120</v>
      </c>
      <c r="X215" s="4">
        <f t="shared" si="92"/>
        <v>0.16551724137931034</v>
      </c>
      <c r="Y215">
        <v>75</v>
      </c>
      <c r="AA215">
        <v>19.8</v>
      </c>
      <c r="AB215">
        <v>19.8</v>
      </c>
      <c r="AE215" s="11">
        <v>75</v>
      </c>
      <c r="AF215" t="str">
        <f>CONCATENATE(VLOOKUP(AG215, 'Voxel Sizes'!$A$2:$B$18,2,FALSE),"x",INT(AC215*15), "x", INT(AD215*15))</f>
        <v>198x0x0</v>
      </c>
      <c r="AG215">
        <f t="shared" si="100"/>
        <v>12</v>
      </c>
      <c r="AI215" t="str">
        <f>CONCATENATE(VLOOKUP(AG215,Constants!$A$2:$C$16,IF(AH215&lt;&gt;"", 3, 2), FALSE),IF(AH215&lt;&gt;"",CONCATENATE(",",VLOOKUP(AH215,$B:$AI,34,FALSE)),""))</f>
        <v>4,4,4</v>
      </c>
      <c r="AK215" t="s">
        <v>663</v>
      </c>
      <c r="AM215" t="s">
        <v>517</v>
      </c>
      <c r="AQ215">
        <v>31</v>
      </c>
      <c r="AR215" t="str">
        <f t="shared" si="93"/>
        <v/>
      </c>
      <c r="AS215">
        <v>-10</v>
      </c>
      <c r="AT215">
        <v>-20</v>
      </c>
      <c r="AU215">
        <f t="shared" si="94"/>
        <v>15</v>
      </c>
      <c r="AV215">
        <f t="shared" si="95"/>
        <v>2.5</v>
      </c>
      <c r="AW215">
        <f t="shared" si="96"/>
        <v>6</v>
      </c>
      <c r="AX215" s="4">
        <v>1</v>
      </c>
      <c r="AY215">
        <f t="shared" si="97"/>
        <v>5</v>
      </c>
      <c r="AZ215">
        <f>VLOOKUP($E215,Constants!$I:$K, 2, FALSE)</f>
        <v>0.85</v>
      </c>
      <c r="BA215">
        <f>VLOOKUP($E215,Constants!$I:$K, 3, FALSE)*IF(AND(D215="multiple_unit",Y215&lt;110),0.75,1)</f>
        <v>1.7249999999999999</v>
      </c>
      <c r="BB215">
        <f>INT(POWER(((Constants!$G$2+$AU215+$AV215+$AW215+$AY215)*$AX215)*$BA215, 1.05))+$AT215</f>
        <v>50</v>
      </c>
      <c r="BC215">
        <f>INT(POWER((((Constants!$G$1+$AU215+$AV215+$AW215+$AY215)*(1/$AX215))*$AZ215),IF($D215="wagon",1,1.2)))+$AS215</f>
        <v>66</v>
      </c>
      <c r="BD215" s="15">
        <f t="shared" si="101"/>
        <v>39062.5</v>
      </c>
      <c r="BE215" s="15">
        <f t="shared" si="102"/>
        <v>5362.5</v>
      </c>
      <c r="BK215" t="s">
        <v>216</v>
      </c>
      <c r="BN215">
        <v>8</v>
      </c>
      <c r="BO215">
        <v>185</v>
      </c>
      <c r="BQ215" t="s">
        <v>323</v>
      </c>
      <c r="BR215" t="str">
        <f>VLOOKUP(G215,Eras!$A$2:$C$10, 2, TRUE)</f>
        <v>lbr</v>
      </c>
      <c r="BS215" t="s">
        <v>373</v>
      </c>
      <c r="BT215" t="str">
        <f t="shared" si="103"/>
        <v>lbr_EMU</v>
      </c>
      <c r="BU215" t="str">
        <f t="shared" si="99"/>
        <v/>
      </c>
      <c r="BV215" t="str">
        <f t="shared" si="98"/>
        <v>{BLACK}Cars: {GOLD}2{}</v>
      </c>
      <c r="BW215" t="s">
        <v>664</v>
      </c>
      <c r="BX215" t="str">
        <f t="shared" si="106"/>
        <v/>
      </c>
      <c r="BY215" t="str">
        <f t="shared" si="104"/>
        <v>{BLACK}Cars: {GOLD}2{}{SILVER}The Class 456 is a two-car EMU used for inner suburban services - either as a single unit for services with low demand or coupled to other Class 456 or 455 units for higher capacity routes.</v>
      </c>
    </row>
    <row r="216" spans="1:77" x14ac:dyDescent="0.25">
      <c r="A216" t="s">
        <v>100</v>
      </c>
      <c r="B216" t="s">
        <v>263</v>
      </c>
      <c r="C216">
        <v>470</v>
      </c>
      <c r="D216" t="s">
        <v>453</v>
      </c>
      <c r="E216" t="s">
        <v>312</v>
      </c>
      <c r="F216" t="s">
        <v>314</v>
      </c>
      <c r="G216">
        <v>1991</v>
      </c>
      <c r="H216">
        <v>1992</v>
      </c>
      <c r="J216">
        <v>2</v>
      </c>
      <c r="K216">
        <f>350*2</f>
        <v>700</v>
      </c>
      <c r="T216">
        <v>74</v>
      </c>
      <c r="V216">
        <f t="shared" si="105"/>
        <v>16</v>
      </c>
      <c r="W216">
        <v>105</v>
      </c>
      <c r="X216" s="4">
        <f t="shared" si="92"/>
        <v>0.14189189189189189</v>
      </c>
      <c r="Y216">
        <v>75</v>
      </c>
      <c r="AA216">
        <v>22.91</v>
      </c>
      <c r="AB216">
        <v>22.9</v>
      </c>
      <c r="AC216">
        <v>2.8</v>
      </c>
      <c r="AD216">
        <v>3.8</v>
      </c>
      <c r="AE216" s="11">
        <v>93</v>
      </c>
      <c r="AF216" t="str">
        <f>CONCATENATE(VLOOKUP(AG216, 'Voxel Sizes'!$A$2:$B$18,2,FALSE),"x",INT(AC216*15), "x", INT(AD216*15))</f>
        <v>214x42x57</v>
      </c>
      <c r="AG216">
        <f t="shared" si="100"/>
        <v>13</v>
      </c>
      <c r="AI216" t="str">
        <f>CONCATENATE(VLOOKUP(AG216,Constants!$A$2:$C$16,IF(AH216&lt;&gt;"", 3, 2), FALSE),IF(AH216&lt;&gt;"",CONCATENATE(",",VLOOKUP(AH216,$B:$AI,34,FALSE)),""))</f>
        <v>4,5,4</v>
      </c>
      <c r="AK216" t="s">
        <v>691</v>
      </c>
      <c r="AM216" t="s">
        <v>517</v>
      </c>
      <c r="AQ216">
        <v>32</v>
      </c>
      <c r="AR216" t="str">
        <f t="shared" si="93"/>
        <v/>
      </c>
      <c r="AS216">
        <v>-10</v>
      </c>
      <c r="AT216">
        <v>-15</v>
      </c>
      <c r="AU216">
        <f t="shared" si="94"/>
        <v>15</v>
      </c>
      <c r="AV216">
        <f t="shared" si="95"/>
        <v>3.5</v>
      </c>
      <c r="AW216">
        <f t="shared" si="96"/>
        <v>5.25</v>
      </c>
      <c r="AX216" s="4">
        <v>1</v>
      </c>
      <c r="AY216">
        <f t="shared" si="97"/>
        <v>6.2</v>
      </c>
      <c r="AZ216">
        <f>VLOOKUP($E216,Constants!$I:$K, 2, FALSE)</f>
        <v>1</v>
      </c>
      <c r="BA216">
        <f>VLOOKUP($E216,Constants!$I:$K, 3, FALSE)*IF(AND(D216="multiple_unit",Y216&lt;110),0.75,1)</f>
        <v>1.5</v>
      </c>
      <c r="BB216">
        <f>INT(POWER(((Constants!$G$2+$AU216+$AV216+$AW216+$AY216)*$AX216)*$BA216, 1.05))+$AT216</f>
        <v>48</v>
      </c>
      <c r="BC216">
        <f>INT(POWER((((Constants!$G$1+$AU216+$AV216+$AW216+$AY216)*(1/$AX216))*$AZ216),IF($D216="wagon",1,1.2)))+$AS216</f>
        <v>86</v>
      </c>
      <c r="BD216" s="15">
        <f t="shared" si="101"/>
        <v>37500</v>
      </c>
      <c r="BE216" s="15">
        <f t="shared" si="102"/>
        <v>6987.5</v>
      </c>
      <c r="BN216">
        <v>9</v>
      </c>
      <c r="BO216">
        <v>185</v>
      </c>
      <c r="BQ216" t="s">
        <v>323</v>
      </c>
      <c r="BR216" t="str">
        <f>VLOOKUP(G216,Eras!$A$2:$C$10, 2, TRUE)</f>
        <v>lbr</v>
      </c>
      <c r="BS216" t="s">
        <v>371</v>
      </c>
      <c r="BT216" t="str">
        <f t="shared" si="103"/>
        <v>lbr_DMU</v>
      </c>
      <c r="BU216" t="str">
        <f t="shared" si="99"/>
        <v/>
      </c>
      <c r="BV216" t="str">
        <f t="shared" si="98"/>
        <v>{BLACK}Cars: {GOLD}2{}</v>
      </c>
      <c r="BW216" t="s">
        <v>692</v>
      </c>
      <c r="BX216" t="str">
        <f t="shared" si="106"/>
        <v/>
      </c>
      <c r="BY216" t="str">
        <f t="shared" si="104"/>
        <v>{BLACK}Cars: {GOLD}2{}{SILVER}The Class 165 is a high capacity DMU with 2+3 seating.</v>
      </c>
    </row>
    <row r="217" spans="1:77" x14ac:dyDescent="0.25">
      <c r="A217" t="s">
        <v>85</v>
      </c>
      <c r="B217" t="s">
        <v>281</v>
      </c>
      <c r="C217">
        <v>472</v>
      </c>
      <c r="D217" t="s">
        <v>453</v>
      </c>
      <c r="E217" t="s">
        <v>336</v>
      </c>
      <c r="F217" t="s">
        <v>343</v>
      </c>
      <c r="G217">
        <v>1992</v>
      </c>
      <c r="H217">
        <v>1994</v>
      </c>
      <c r="J217">
        <v>4</v>
      </c>
      <c r="K217">
        <v>1608</v>
      </c>
      <c r="T217">
        <v>136</v>
      </c>
      <c r="V217">
        <f t="shared" si="105"/>
        <v>32</v>
      </c>
      <c r="W217">
        <v>165</v>
      </c>
      <c r="X217" s="4">
        <f t="shared" si="92"/>
        <v>0.12132352941176471</v>
      </c>
      <c r="Y217">
        <v>75</v>
      </c>
      <c r="AA217">
        <v>20.89</v>
      </c>
      <c r="AB217">
        <v>20.89</v>
      </c>
      <c r="AD217">
        <v>3.77</v>
      </c>
      <c r="AE217" s="11">
        <v>81</v>
      </c>
      <c r="AF217" t="str">
        <f>CONCATENATE(VLOOKUP(AG217, 'Voxel Sizes'!$A$2:$B$18,2,FALSE),"x",INT(AC217*15), "x", INT(AD217*15))</f>
        <v>198x0x56</v>
      </c>
      <c r="AG217">
        <f t="shared" si="100"/>
        <v>12</v>
      </c>
      <c r="AI217" t="str">
        <f>CONCATENATE(VLOOKUP(AG217,Constants!$A$2:$C$16,IF(AH217&lt;&gt;"", 3, 2), FALSE),IF(AH217&lt;&gt;"",CONCATENATE(",",VLOOKUP(AH217,$B:$AI,34,FALSE)),""))</f>
        <v>4,4,4</v>
      </c>
      <c r="AK217" t="s">
        <v>627</v>
      </c>
      <c r="AM217" t="s">
        <v>515</v>
      </c>
      <c r="AQ217">
        <v>32</v>
      </c>
      <c r="AR217" t="str">
        <f t="shared" si="93"/>
        <v/>
      </c>
      <c r="AS217">
        <v>-10</v>
      </c>
      <c r="AT217">
        <v>-20</v>
      </c>
      <c r="AU217">
        <f t="shared" si="94"/>
        <v>15</v>
      </c>
      <c r="AV217">
        <f t="shared" si="95"/>
        <v>8.0400000000000009</v>
      </c>
      <c r="AW217">
        <f t="shared" si="96"/>
        <v>8.25</v>
      </c>
      <c r="AX217" s="4">
        <v>1</v>
      </c>
      <c r="AY217">
        <f t="shared" si="97"/>
        <v>10.8</v>
      </c>
      <c r="AZ217">
        <f>VLOOKUP($E217,Constants!$I:$K, 2, FALSE)</f>
        <v>0.85</v>
      </c>
      <c r="BA217">
        <f>VLOOKUP($E217,Constants!$I:$K, 3, FALSE)*IF(AND(D217="multiple_unit",Y217&lt;110),0.75,1)</f>
        <v>1.7249999999999999</v>
      </c>
      <c r="BB217">
        <f>INT(POWER(((Constants!$G$2+$AU217+$AV217+$AW217+$AY217)*$AX217)*$BA217, 1.05))+$AT217</f>
        <v>81</v>
      </c>
      <c r="BC217">
        <f>INT(POWER((((Constants!$G$1+$AU217+$AV217+$AW217+$AY217)*(1/$AX217))*$AZ217),IF($D217="wagon",1,1.2)))+$AS217</f>
        <v>95</v>
      </c>
      <c r="BD217" s="15">
        <f t="shared" si="101"/>
        <v>63281.25</v>
      </c>
      <c r="BE217" s="15">
        <f t="shared" si="102"/>
        <v>7718.75</v>
      </c>
      <c r="BN217">
        <v>10</v>
      </c>
      <c r="BO217">
        <v>185</v>
      </c>
      <c r="BQ217" t="s">
        <v>323</v>
      </c>
      <c r="BR217" t="str">
        <f>VLOOKUP(G217,Eras!$A$2:$C$10, 2, TRUE)</f>
        <v>lbr</v>
      </c>
      <c r="BS217" t="s">
        <v>373</v>
      </c>
      <c r="BT217" t="str">
        <f t="shared" si="103"/>
        <v>lbr_EMU</v>
      </c>
      <c r="BU217" t="str">
        <f t="shared" si="99"/>
        <v/>
      </c>
      <c r="BV217" t="str">
        <f t="shared" si="98"/>
        <v>{BLACK}Cars: {GOLD}4{}</v>
      </c>
      <c r="BW217" t="s">
        <v>628</v>
      </c>
      <c r="BX217" t="str">
        <f t="shared" si="106"/>
        <v/>
      </c>
      <c r="BY217" t="str">
        <f t="shared" si="104"/>
        <v>{BLACK}Cars: {GOLD}4{}{SILVER}The BREL Networker was built by three different companies (ABB, Metro-Cammell and BREL) with minor detail differences between each manufacturer's output.</v>
      </c>
    </row>
    <row r="218" spans="1:77" x14ac:dyDescent="0.25">
      <c r="A218" t="s">
        <v>700</v>
      </c>
      <c r="B218" t="s">
        <v>701</v>
      </c>
      <c r="C218">
        <v>474</v>
      </c>
      <c r="D218" t="s">
        <v>453</v>
      </c>
      <c r="E218" t="s">
        <v>605</v>
      </c>
      <c r="F218" t="s">
        <v>604</v>
      </c>
      <c r="G218">
        <v>1992</v>
      </c>
      <c r="H218">
        <v>1996</v>
      </c>
      <c r="J218">
        <v>20</v>
      </c>
      <c r="K218">
        <v>16400</v>
      </c>
      <c r="L218" s="9">
        <v>4600</v>
      </c>
      <c r="T218">
        <v>752</v>
      </c>
      <c r="V218">
        <v>60</v>
      </c>
      <c r="W218">
        <v>220</v>
      </c>
      <c r="X218" s="4">
        <f t="shared" si="92"/>
        <v>2.9255319148936171E-2</v>
      </c>
      <c r="Y218">
        <v>186</v>
      </c>
      <c r="AA218">
        <v>22.15</v>
      </c>
      <c r="AB218">
        <v>22.15</v>
      </c>
      <c r="AC218">
        <v>2.81</v>
      </c>
      <c r="AE218" s="11">
        <v>39</v>
      </c>
      <c r="AF218" t="str">
        <f>CONCATENATE(VLOOKUP(AG218, 'Voxel Sizes'!$A$2:$B$18,2,FALSE),"x",INT(AC218*15), "x", INT(AD218*15))</f>
        <v>214x42x0</v>
      </c>
      <c r="AG218">
        <f t="shared" si="100"/>
        <v>13</v>
      </c>
      <c r="AI218" t="str">
        <f>CONCATENATE(VLOOKUP(AG218,Constants!$A$2:$C$16,IF(AH218&lt;&gt;"", 3, 2), FALSE),IF(AH218&lt;&gt;"",CONCATENATE(",",VLOOKUP(AH218,$B:$AI,34,FALSE)),""))</f>
        <v>4,5,4</v>
      </c>
      <c r="AJ218" s="13" t="s">
        <v>753</v>
      </c>
      <c r="AK218" t="s">
        <v>751</v>
      </c>
      <c r="AL218" t="s">
        <v>701</v>
      </c>
      <c r="AM218" t="s">
        <v>752</v>
      </c>
      <c r="AQ218">
        <v>25</v>
      </c>
      <c r="AR218" t="str">
        <f t="shared" si="93"/>
        <v/>
      </c>
      <c r="AT218">
        <v>-35</v>
      </c>
      <c r="AU218">
        <f t="shared" si="94"/>
        <v>30</v>
      </c>
      <c r="AV218">
        <f t="shared" si="95"/>
        <v>20</v>
      </c>
      <c r="AW218">
        <f t="shared" si="96"/>
        <v>11</v>
      </c>
      <c r="AX218" s="4">
        <v>1</v>
      </c>
      <c r="AY218">
        <f t="shared" si="97"/>
        <v>26</v>
      </c>
      <c r="AZ218">
        <f>VLOOKUP($E218,Constants!$I:$K, 2, FALSE)</f>
        <v>0.85</v>
      </c>
      <c r="BA218">
        <f>VLOOKUP($E218,Constants!$I:$K, 3, FALSE)*IF(AND(D218="multiple_unit",Y218&lt;110),0.75,1)</f>
        <v>2.4</v>
      </c>
      <c r="BB218">
        <f>INT(POWER(((Constants!$G$2+$AU218+$AV218+$AW218+$AY218)*$AX218)*$BA218, 1.05))+$AT218</f>
        <v>254</v>
      </c>
      <c r="BC218">
        <f>INT(POWER((((Constants!$G$1+$AU218+$AV218+$AW218+$AY218)*(1/$AX218))*$AZ218),IF($D218="wagon",1,1.2)))+$AS218</f>
        <v>211</v>
      </c>
      <c r="BD218" s="15">
        <f t="shared" si="101"/>
        <v>198437.5</v>
      </c>
      <c r="BE218" s="15">
        <f t="shared" si="102"/>
        <v>17143.75</v>
      </c>
      <c r="BM218" t="s">
        <v>1220</v>
      </c>
      <c r="BN218">
        <v>11</v>
      </c>
      <c r="BO218">
        <v>232</v>
      </c>
      <c r="BQ218" t="s">
        <v>323</v>
      </c>
      <c r="BR218" t="str">
        <f>VLOOKUP(G218,Eras!$A$2:$C$10, 2, TRUE)</f>
        <v>lbr</v>
      </c>
      <c r="BS218" t="s">
        <v>374</v>
      </c>
      <c r="BT218" t="str">
        <f t="shared" si="103"/>
        <v>lbr_EMU (Express)</v>
      </c>
      <c r="BU218" t="str">
        <f t="shared" si="99"/>
        <v/>
      </c>
      <c r="BV218" t="str">
        <f t="shared" si="98"/>
        <v>{BLACK}Cars: {GOLD}20{}</v>
      </c>
      <c r="BW218" t="s">
        <v>754</v>
      </c>
      <c r="BX218" t="str">
        <f t="shared" si="106"/>
        <v>{YELLOW}25% Bonus for long distance travel{}</v>
      </c>
      <c r="BY218" t="str">
        <f t="shared" si="104"/>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9" spans="1:77" x14ac:dyDescent="0.25">
      <c r="A219" t="s">
        <v>700</v>
      </c>
      <c r="B219" t="s">
        <v>1193</v>
      </c>
      <c r="C219">
        <v>475</v>
      </c>
      <c r="D219" t="s">
        <v>453</v>
      </c>
      <c r="E219" t="s">
        <v>605</v>
      </c>
      <c r="F219" t="s">
        <v>604</v>
      </c>
      <c r="G219">
        <v>1992</v>
      </c>
      <c r="H219">
        <v>1996</v>
      </c>
      <c r="J219">
        <v>8</v>
      </c>
      <c r="K219">
        <v>16400</v>
      </c>
      <c r="L219" s="9">
        <v>4600</v>
      </c>
      <c r="T219">
        <f>(752/20)*8</f>
        <v>300.8</v>
      </c>
      <c r="V219">
        <v>40</v>
      </c>
      <c r="W219">
        <v>220</v>
      </c>
      <c r="X219" s="4">
        <f t="shared" ref="X219:X250" si="107">IF(AND(T219&gt;0,W219&gt;0),(W219/((T219+U219)*10)),"")</f>
        <v>7.3138297872340427E-2</v>
      </c>
      <c r="Y219">
        <v>186</v>
      </c>
      <c r="AA219">
        <v>22.15</v>
      </c>
      <c r="AB219">
        <v>22.15</v>
      </c>
      <c r="AC219">
        <v>2.81</v>
      </c>
      <c r="AE219" s="11">
        <v>39</v>
      </c>
      <c r="AF219" t="str">
        <f>CONCATENATE(VLOOKUP(AG219, 'Voxel Sizes'!$A$2:$B$18,2,FALSE),"x",INT(AC219*15), "x", INT(AD219*15))</f>
        <v>214x42x0</v>
      </c>
      <c r="AG219">
        <f t="shared" si="100"/>
        <v>13</v>
      </c>
      <c r="AI219" t="str">
        <f>CONCATENATE(VLOOKUP(AG219,Constants!$A$2:$C$16,IF(AH219&lt;&gt;"", 3, 2), FALSE),IF(AH219&lt;&gt;"",CONCATENATE(",",VLOOKUP(AH219,$B:$AI,34,FALSE)),""))</f>
        <v>4,5,4</v>
      </c>
      <c r="AJ219" s="13" t="s">
        <v>758</v>
      </c>
      <c r="AK219" t="s">
        <v>756</v>
      </c>
      <c r="AL219" t="s">
        <v>701</v>
      </c>
      <c r="AM219" t="s">
        <v>757</v>
      </c>
      <c r="AN219" t="s">
        <v>701</v>
      </c>
      <c r="AQ219">
        <v>25</v>
      </c>
      <c r="AR219" t="str">
        <f t="shared" si="93"/>
        <v/>
      </c>
      <c r="AU219">
        <f t="shared" si="94"/>
        <v>30</v>
      </c>
      <c r="AV219">
        <f t="shared" si="95"/>
        <v>20</v>
      </c>
      <c r="AW219">
        <f t="shared" si="96"/>
        <v>11</v>
      </c>
      <c r="AX219" s="4">
        <v>1</v>
      </c>
      <c r="AY219">
        <f t="shared" si="97"/>
        <v>10.4</v>
      </c>
      <c r="AZ219">
        <f>VLOOKUP($E219,Constants!$I:$K, 2, FALSE)</f>
        <v>0.85</v>
      </c>
      <c r="BA219">
        <f>VLOOKUP($E219,Constants!$I:$K, 3, FALSE)*IF(AND(D219="multiple_unit",Y219&lt;110),0.75,1)</f>
        <v>2.4</v>
      </c>
      <c r="BB219">
        <f>INT(POWER(((Constants!$G$2+$AU219+$AV219+$AW219+$AY219)*$AX219)*$BA219, 1.05))+$AT219</f>
        <v>237</v>
      </c>
      <c r="BC219">
        <f>INT(POWER((((Constants!$G$1+$AU219+$AV219+$AW219+$AY219)*(1/$AX219))*$AZ219),IF($D219="wagon",1,1.2)))+$AS219</f>
        <v>173</v>
      </c>
      <c r="BD219" s="15">
        <f t="shared" si="101"/>
        <v>185156.25</v>
      </c>
      <c r="BE219" s="15">
        <f t="shared" si="102"/>
        <v>14056.25</v>
      </c>
      <c r="BM219" t="s">
        <v>1219</v>
      </c>
      <c r="BN219">
        <v>11</v>
      </c>
      <c r="BO219">
        <v>232</v>
      </c>
      <c r="BQ219" t="s">
        <v>323</v>
      </c>
      <c r="BR219" t="str">
        <f>VLOOKUP(G219,Eras!$A$2:$C$10, 2, TRUE)</f>
        <v>lbr</v>
      </c>
      <c r="BS219" t="s">
        <v>374</v>
      </c>
      <c r="BT219" t="str">
        <f t="shared" si="103"/>
        <v>lbr_EMU (Express)</v>
      </c>
      <c r="BU219" t="str">
        <f t="shared" si="99"/>
        <v/>
      </c>
      <c r="BV219" t="str">
        <f t="shared" si="98"/>
        <v>{BLACK}Cars: {GOLD}8{}</v>
      </c>
      <c r="BW219" t="s">
        <v>754</v>
      </c>
      <c r="BX219" t="str">
        <f t="shared" si="106"/>
        <v>{YELLOW}25% Bonus for long distance travel{}</v>
      </c>
      <c r="BY219" t="str">
        <f t="shared" si="104"/>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7" x14ac:dyDescent="0.25">
      <c r="A220" t="s">
        <v>700</v>
      </c>
      <c r="B220" t="s">
        <v>1194</v>
      </c>
      <c r="C220">
        <v>476</v>
      </c>
      <c r="D220" t="s">
        <v>453</v>
      </c>
      <c r="E220" t="s">
        <v>605</v>
      </c>
      <c r="F220" t="s">
        <v>604</v>
      </c>
      <c r="G220">
        <v>1992</v>
      </c>
      <c r="H220">
        <v>1996</v>
      </c>
      <c r="J220">
        <v>5</v>
      </c>
      <c r="K220">
        <v>16400</v>
      </c>
      <c r="L220" s="9">
        <v>4600</v>
      </c>
      <c r="T220">
        <f>(752/20)*5</f>
        <v>188</v>
      </c>
      <c r="V220">
        <v>30</v>
      </c>
      <c r="W220">
        <v>220</v>
      </c>
      <c r="X220" s="4">
        <f t="shared" si="107"/>
        <v>0.11702127659574468</v>
      </c>
      <c r="Y220">
        <v>186</v>
      </c>
      <c r="AA220">
        <v>22.15</v>
      </c>
      <c r="AB220">
        <v>22.15</v>
      </c>
      <c r="AC220">
        <v>2.81</v>
      </c>
      <c r="AE220" s="11">
        <v>39</v>
      </c>
      <c r="AF220" t="str">
        <f>CONCATENATE(VLOOKUP(AG220, 'Voxel Sizes'!$A$2:$B$18,2,FALSE),"x",INT(AC220*15), "x", INT(AD220*15))</f>
        <v>214x42x0</v>
      </c>
      <c r="AG220">
        <f t="shared" si="100"/>
        <v>13</v>
      </c>
      <c r="AI220" t="str">
        <f>CONCATENATE(VLOOKUP(AG220,Constants!$A$2:$C$16,IF(AH220&lt;&gt;"", 3, 2), FALSE),IF(AH220&lt;&gt;"",CONCATENATE(",",VLOOKUP(AH220,$B:$AI,34,FALSE)),""))</f>
        <v>4,5,4</v>
      </c>
      <c r="AJ220" s="13" t="s">
        <v>1201</v>
      </c>
      <c r="AK220" t="s">
        <v>1200</v>
      </c>
      <c r="AL220" t="s">
        <v>701</v>
      </c>
      <c r="AM220" t="s">
        <v>720</v>
      </c>
      <c r="AN220" t="s">
        <v>701</v>
      </c>
      <c r="AQ220">
        <v>25</v>
      </c>
      <c r="AR220" t="str">
        <f t="shared" si="93"/>
        <v/>
      </c>
      <c r="AU220">
        <f t="shared" si="94"/>
        <v>30</v>
      </c>
      <c r="AV220">
        <f t="shared" si="95"/>
        <v>20</v>
      </c>
      <c r="AW220">
        <f t="shared" si="96"/>
        <v>11</v>
      </c>
      <c r="AX220" s="4">
        <v>1</v>
      </c>
      <c r="AY220">
        <f t="shared" si="97"/>
        <v>6.5</v>
      </c>
      <c r="AZ220">
        <f>VLOOKUP($E220,Constants!$I:$K, 2, FALSE)</f>
        <v>0.85</v>
      </c>
      <c r="BA220">
        <f>VLOOKUP($E220,Constants!$I:$K, 3, FALSE)*IF(AND(D220="multiple_unit",Y220&lt;110),0.75,1)</f>
        <v>2.4</v>
      </c>
      <c r="BB220">
        <f>INT(POWER(((Constants!$G$2+$AU220+$AV220+$AW220+$AY220)*$AX220)*$BA220, 1.05))+$AT220</f>
        <v>225</v>
      </c>
      <c r="BC220">
        <f>INT(POWER((((Constants!$G$1+$AU220+$AV220+$AW220+$AY220)*(1/$AX220))*$AZ220),IF($D220="wagon",1,1.2)))+$AS220</f>
        <v>164</v>
      </c>
      <c r="BD220" s="15">
        <f t="shared" si="101"/>
        <v>175781.25</v>
      </c>
      <c r="BE220" s="15">
        <f t="shared" si="102"/>
        <v>13325</v>
      </c>
      <c r="BM220" t="s">
        <v>1218</v>
      </c>
      <c r="BN220">
        <v>11</v>
      </c>
      <c r="BO220">
        <v>232</v>
      </c>
      <c r="BQ220" t="s">
        <v>323</v>
      </c>
      <c r="BR220" t="str">
        <f>VLOOKUP(G220,Eras!$A$2:$C$10, 2, TRUE)</f>
        <v>lbr</v>
      </c>
      <c r="BS220" t="s">
        <v>374</v>
      </c>
      <c r="BT220" t="str">
        <f t="shared" si="103"/>
        <v>lbr_EMU (Express)</v>
      </c>
      <c r="BU220" t="str">
        <f t="shared" si="99"/>
        <v/>
      </c>
      <c r="BV220" t="str">
        <f t="shared" si="98"/>
        <v>{BLACK}Cars: {GOLD}5{}</v>
      </c>
      <c r="BW220" t="s">
        <v>754</v>
      </c>
      <c r="BX220" t="str">
        <f t="shared" si="106"/>
        <v>{YELLOW}25% Bonus for long distance travel{}</v>
      </c>
      <c r="BY220" t="str">
        <f t="shared" si="104"/>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102</v>
      </c>
      <c r="B221" t="s">
        <v>219</v>
      </c>
      <c r="C221">
        <v>480</v>
      </c>
      <c r="D221" t="s">
        <v>453</v>
      </c>
      <c r="E221" t="s">
        <v>605</v>
      </c>
      <c r="F221" t="s">
        <v>604</v>
      </c>
      <c r="G221">
        <v>1995</v>
      </c>
      <c r="J221">
        <v>4</v>
      </c>
      <c r="K221">
        <v>1328</v>
      </c>
      <c r="T221">
        <v>138.5</v>
      </c>
      <c r="V221">
        <f t="shared" si="105"/>
        <v>32</v>
      </c>
      <c r="W221">
        <v>160</v>
      </c>
      <c r="X221" s="4">
        <f t="shared" si="107"/>
        <v>0.11552346570397112</v>
      </c>
      <c r="Y221">
        <v>100</v>
      </c>
      <c r="AA221">
        <v>19.829999999999998</v>
      </c>
      <c r="AB221">
        <v>19.8</v>
      </c>
      <c r="AC221">
        <v>2.8</v>
      </c>
      <c r="AD221">
        <v>3.8</v>
      </c>
      <c r="AE221" s="11">
        <v>78</v>
      </c>
      <c r="AF221" t="str">
        <f>CONCATENATE(VLOOKUP(AG221, 'Voxel Sizes'!$A$2:$B$18,2,FALSE),"x",INT(AC221*15), "x", INT(AD221*15))</f>
        <v>198x42x57</v>
      </c>
      <c r="AG221">
        <f t="shared" si="100"/>
        <v>12</v>
      </c>
      <c r="AI221" t="str">
        <f>CONCATENATE(VLOOKUP(AG221,Constants!$A$2:$C$16,IF(AH221&lt;&gt;"", 3, 2), FALSE),IF(AH221&lt;&gt;"",CONCATENATE(",",VLOOKUP(AH221,$B:$AI,34,FALSE)),""))</f>
        <v>4,4,4</v>
      </c>
      <c r="AK221" t="s">
        <v>707</v>
      </c>
      <c r="AL221" t="s">
        <v>710</v>
      </c>
      <c r="AM221" t="s">
        <v>608</v>
      </c>
      <c r="AQ221">
        <v>30</v>
      </c>
      <c r="AR221" t="str">
        <f t="shared" si="93"/>
        <v/>
      </c>
      <c r="AS221">
        <v>-15</v>
      </c>
      <c r="AT221">
        <v>-40</v>
      </c>
      <c r="AU221">
        <f t="shared" si="94"/>
        <v>20</v>
      </c>
      <c r="AV221">
        <f t="shared" si="95"/>
        <v>6.6400000000000006</v>
      </c>
      <c r="AW221">
        <f t="shared" si="96"/>
        <v>8</v>
      </c>
      <c r="AX221" s="4">
        <v>1</v>
      </c>
      <c r="AY221">
        <f t="shared" si="97"/>
        <v>10.4</v>
      </c>
      <c r="AZ221">
        <f>VLOOKUP($E221,Constants!$I:$K, 2, FALSE)</f>
        <v>0.85</v>
      </c>
      <c r="BA221">
        <f>VLOOKUP($E221,Constants!$I:$K, 3, FALSE)*IF(AND(D221="multiple_unit",Y221&lt;110),0.75,1)</f>
        <v>1.7999999999999998</v>
      </c>
      <c r="BB221">
        <f>INT(POWER(((Constants!$G$2+$AU221+$AV221+$AW221+$AY221)*$AX221)*$BA221, 1.05))+$AT221</f>
        <v>72</v>
      </c>
      <c r="BC221">
        <f>INT(POWER((((Constants!$G$1+$AU221+$AV221+$AW221+$AY221)*(1/$AX221))*$AZ221),IF($D221="wagon",1,1.2)))+$AS221</f>
        <v>97</v>
      </c>
      <c r="BD221" s="15">
        <f t="shared" si="101"/>
        <v>56250</v>
      </c>
      <c r="BE221" s="15">
        <f t="shared" si="102"/>
        <v>7881.25</v>
      </c>
      <c r="BN221">
        <v>2</v>
      </c>
      <c r="BO221">
        <v>185</v>
      </c>
      <c r="BQ221" t="s">
        <v>708</v>
      </c>
      <c r="BR221" t="str">
        <f>VLOOKUP(G221,Eras!$A$2:$C$10, 2, TRUE)</f>
        <v>prv</v>
      </c>
      <c r="BS221" t="s">
        <v>372</v>
      </c>
      <c r="BT221" t="str">
        <f t="shared" si="103"/>
        <v>prv_DMU (Express)</v>
      </c>
      <c r="BU221" t="str">
        <f t="shared" si="99"/>
        <v/>
      </c>
      <c r="BV221" t="str">
        <f t="shared" si="98"/>
        <v>{BLACK}Cars: {GOLD}4{}</v>
      </c>
      <c r="BW221" t="s">
        <v>709</v>
      </c>
      <c r="BX221" t="str">
        <f t="shared" si="106"/>
        <v/>
      </c>
      <c r="BY221" t="str">
        <f t="shared" si="104"/>
        <v>{BLACK}Cars: {GOLD}4{}{SILVER}The Class 325 is a multiple unit designed for carrying mail and parcels more economically than a locomotive-hauled train. It is based on Class 319 hardware.</v>
      </c>
    </row>
    <row r="222" spans="1:77" x14ac:dyDescent="0.25">
      <c r="A222" t="s">
        <v>90</v>
      </c>
      <c r="B222" t="s">
        <v>645</v>
      </c>
      <c r="C222">
        <v>482</v>
      </c>
      <c r="D222" t="s">
        <v>453</v>
      </c>
      <c r="E222" t="s">
        <v>312</v>
      </c>
      <c r="F222" t="s">
        <v>314</v>
      </c>
      <c r="G222">
        <v>1998</v>
      </c>
      <c r="H222">
        <v>2005</v>
      </c>
      <c r="J222">
        <v>3</v>
      </c>
      <c r="K222">
        <v>1266</v>
      </c>
      <c r="T222">
        <v>135</v>
      </c>
      <c r="V222">
        <f t="shared" si="105"/>
        <v>24</v>
      </c>
      <c r="W222">
        <v>180</v>
      </c>
      <c r="X222" s="4">
        <f t="shared" si="107"/>
        <v>0.13333333333333333</v>
      </c>
      <c r="Y222">
        <v>100</v>
      </c>
      <c r="AA222">
        <v>23.62</v>
      </c>
      <c r="AB222">
        <v>21</v>
      </c>
      <c r="AC222">
        <v>2.69</v>
      </c>
      <c r="AD222">
        <v>3.77</v>
      </c>
      <c r="AE222" s="11">
        <v>63</v>
      </c>
      <c r="AF222" t="str">
        <f>CONCATENATE(VLOOKUP(AG222, 'Voxel Sizes'!$A$2:$B$18,2,FALSE),"x",INT(AC222*15), "x", INT(AD222*15))</f>
        <v>198x40x56</v>
      </c>
      <c r="AG222">
        <f t="shared" si="100"/>
        <v>12</v>
      </c>
      <c r="AI222" t="str">
        <f>CONCATENATE(VLOOKUP(AG222,Constants!$A$2:$C$16,IF(AH222&lt;&gt;"", 3, 2), FALSE),IF(AH222&lt;&gt;"",CONCATENATE(",",VLOOKUP(AH222,$B:$AI,34,FALSE)),""))</f>
        <v>4,4,4</v>
      </c>
      <c r="AK222" t="s">
        <v>644</v>
      </c>
      <c r="AM222" t="s">
        <v>332</v>
      </c>
      <c r="AQ222">
        <v>29</v>
      </c>
      <c r="AR222" t="str">
        <f t="shared" si="93"/>
        <v/>
      </c>
      <c r="AS222">
        <v>-15</v>
      </c>
      <c r="AT222">
        <v>-25</v>
      </c>
      <c r="AU222">
        <f t="shared" si="94"/>
        <v>20</v>
      </c>
      <c r="AV222">
        <f t="shared" si="95"/>
        <v>6.33</v>
      </c>
      <c r="AW222">
        <f t="shared" si="96"/>
        <v>9</v>
      </c>
      <c r="AX222" s="4">
        <v>1</v>
      </c>
      <c r="AY222">
        <f t="shared" si="97"/>
        <v>6.3</v>
      </c>
      <c r="AZ222">
        <f>VLOOKUP($E222,Constants!$I:$K, 2, FALSE)</f>
        <v>1</v>
      </c>
      <c r="BA222">
        <f>VLOOKUP($E222,Constants!$I:$K, 3, FALSE)*IF(AND(D222="multiple_unit",Y222&lt;110),0.75,1)</f>
        <v>1.5</v>
      </c>
      <c r="BB222">
        <f>INT(POWER(((Constants!$G$2+$AU222+$AV222+$AW222+$AY222)*$AX222)*$BA222, 1.05))+$AT222</f>
        <v>61</v>
      </c>
      <c r="BC222">
        <f>INT(POWER((((Constants!$G$1+$AU222+$AV222+$AW222+$AY222)*(1/$AX222))*$AZ222),IF($D222="wagon",1,1.2)))+$AS222</f>
        <v>111</v>
      </c>
      <c r="BD222" s="15">
        <f t="shared" si="101"/>
        <v>47656.25</v>
      </c>
      <c r="BE222" s="15">
        <f t="shared" si="102"/>
        <v>9018.75</v>
      </c>
      <c r="BK222" t="s">
        <v>1185</v>
      </c>
      <c r="BN222">
        <v>3</v>
      </c>
      <c r="BO222">
        <v>185</v>
      </c>
      <c r="BQ222" t="s">
        <v>323</v>
      </c>
      <c r="BR222" t="str">
        <f>VLOOKUP(G222,Eras!$A$2:$C$10, 2, TRUE)</f>
        <v>prv</v>
      </c>
      <c r="BS222" t="s">
        <v>371</v>
      </c>
      <c r="BT222" t="str">
        <f t="shared" si="103"/>
        <v>prv_DMU</v>
      </c>
      <c r="BU222" t="str">
        <f t="shared" si="99"/>
        <v/>
      </c>
      <c r="BV222" t="str">
        <f t="shared" si="98"/>
        <v>{BLACK}Cars: {GOLD}3{}</v>
      </c>
      <c r="BW222" t="s">
        <v>643</v>
      </c>
      <c r="BX222" t="str">
        <f t="shared" si="106"/>
        <v/>
      </c>
      <c r="BY222" t="str">
        <f t="shared" si="104"/>
        <v>{BLACK}Cars: {GOLD}3{}{SILVER}The Turbostar is a further development of the BR "Networker" units. It is used for regional and long distance services.</v>
      </c>
    </row>
    <row r="223" spans="1:77" x14ac:dyDescent="0.25">
      <c r="A223" t="s">
        <v>630</v>
      </c>
      <c r="B223" t="s">
        <v>635</v>
      </c>
      <c r="C223">
        <v>484</v>
      </c>
      <c r="D223" t="s">
        <v>453</v>
      </c>
      <c r="E223" t="s">
        <v>336</v>
      </c>
      <c r="F223" t="s">
        <v>343</v>
      </c>
      <c r="G223">
        <v>2000</v>
      </c>
      <c r="H223">
        <v>2001</v>
      </c>
      <c r="I223">
        <v>2012</v>
      </c>
      <c r="J223">
        <v>8</v>
      </c>
      <c r="K223">
        <v>3620</v>
      </c>
      <c r="T223">
        <v>319</v>
      </c>
      <c r="V223">
        <v>48</v>
      </c>
      <c r="W223">
        <v>240</v>
      </c>
      <c r="X223" s="4">
        <f t="shared" si="107"/>
        <v>7.5235109717868343E-2</v>
      </c>
      <c r="Y223">
        <v>100</v>
      </c>
      <c r="AB223">
        <v>21</v>
      </c>
      <c r="AE223" s="11">
        <f>23*3</f>
        <v>69</v>
      </c>
      <c r="AF223" t="str">
        <f>CONCATENATE(VLOOKUP(AG223, 'Voxel Sizes'!$A$2:$B$18,2,FALSE),"x",INT(AC223*15), "x", INT(AD223*15))</f>
        <v>198x0x0</v>
      </c>
      <c r="AG223">
        <f t="shared" si="100"/>
        <v>12</v>
      </c>
      <c r="AI223" t="str">
        <f>CONCATENATE(VLOOKUP(AG223,Constants!$A$2:$C$16,IF(AH223&lt;&gt;"", 3, 2), FALSE),IF(AH223&lt;&gt;"",CONCATENATE(",",VLOOKUP(AH223,$B:$AI,34,FALSE)),""))</f>
        <v>4,4,4</v>
      </c>
      <c r="AK223" t="s">
        <v>638</v>
      </c>
      <c r="AM223" t="s">
        <v>637</v>
      </c>
      <c r="AQ223">
        <v>27</v>
      </c>
      <c r="AR223">
        <f t="shared" si="93"/>
        <v>8</v>
      </c>
      <c r="AS223">
        <v>-15</v>
      </c>
      <c r="AT223">
        <v>-30</v>
      </c>
      <c r="AU223">
        <f t="shared" si="94"/>
        <v>20</v>
      </c>
      <c r="AV223">
        <f t="shared" si="95"/>
        <v>18.100000000000001</v>
      </c>
      <c r="AW223">
        <f t="shared" si="96"/>
        <v>12</v>
      </c>
      <c r="AX223" s="4">
        <v>1</v>
      </c>
      <c r="AY223">
        <f t="shared" si="97"/>
        <v>18.400000000000002</v>
      </c>
      <c r="AZ223">
        <f>VLOOKUP($E223,Constants!$I:$K, 2, FALSE)</f>
        <v>0.85</v>
      </c>
      <c r="BA223">
        <f>VLOOKUP($E223,Constants!$I:$K, 3, FALSE)*IF(AND(D223="multiple_unit",Y223&lt;110),0.75,1)</f>
        <v>1.7249999999999999</v>
      </c>
      <c r="BB223">
        <f>INT(POWER(((Constants!$G$2+$AU223+$AV223+$AW223+$AY223)*$AX223)*$BA223, 1.05))+$AT223</f>
        <v>131</v>
      </c>
      <c r="BC223">
        <f>INT(POWER((((Constants!$G$1+$AU223+$AV223+$AW223+$AY223)*(1/$AX223))*$AZ223),IF($D223="wagon",1,1.2)))+$AS223</f>
        <v>151</v>
      </c>
      <c r="BD223" s="15">
        <f t="shared" si="101"/>
        <v>102343.75</v>
      </c>
      <c r="BE223" s="15">
        <f t="shared" si="102"/>
        <v>12268.75</v>
      </c>
      <c r="BM223" t="s">
        <v>1216</v>
      </c>
      <c r="BN223">
        <v>4</v>
      </c>
      <c r="BO223">
        <v>205</v>
      </c>
      <c r="BQ223" t="s">
        <v>323</v>
      </c>
      <c r="BR223" t="str">
        <f>VLOOKUP(G223,Eras!$A$2:$C$10, 2, TRUE)</f>
        <v>prv</v>
      </c>
      <c r="BS223" t="s">
        <v>374</v>
      </c>
      <c r="BT223" t="str">
        <f t="shared" si="103"/>
        <v>prv_EMU (Express)</v>
      </c>
      <c r="BU223" t="str">
        <f t="shared" si="99"/>
        <v/>
      </c>
      <c r="BV223" t="str">
        <f t="shared" si="98"/>
        <v>{BLACK}Cars: {GOLD}8{}</v>
      </c>
      <c r="BW223" t="s">
        <v>636</v>
      </c>
      <c r="BX223" t="str">
        <f t="shared" si="106"/>
        <v>{YELLOW}10% Bonus for long distance travel{}</v>
      </c>
      <c r="BY223" t="str">
        <f t="shared" si="104"/>
        <v>{BLACK}Cars: {GOLD}8{}{YELLOW}10% Bonus for long distance travel{}{SILVER}The Class 460 was built to replace locomotive-hauled services on the Gatwick Express. It had a short service life, with most units converted to Class 458/5 for suburban use.</v>
      </c>
    </row>
    <row r="224" spans="1:77" x14ac:dyDescent="0.25">
      <c r="A224" t="s">
        <v>630</v>
      </c>
      <c r="B224" t="s">
        <v>1209</v>
      </c>
      <c r="C224">
        <v>485</v>
      </c>
      <c r="D224" t="s">
        <v>453</v>
      </c>
      <c r="E224" t="s">
        <v>336</v>
      </c>
      <c r="F224" t="s">
        <v>343</v>
      </c>
      <c r="G224">
        <v>2000</v>
      </c>
      <c r="H224">
        <v>2001</v>
      </c>
      <c r="I224">
        <v>2012</v>
      </c>
      <c r="J224">
        <v>5</v>
      </c>
      <c r="K224">
        <v>3620</v>
      </c>
      <c r="T224">
        <f>319/8*5</f>
        <v>199.375</v>
      </c>
      <c r="V224">
        <f t="shared" si="105"/>
        <v>40</v>
      </c>
      <c r="W224">
        <v>240</v>
      </c>
      <c r="X224" s="4">
        <f t="shared" si="107"/>
        <v>0.12037617554858934</v>
      </c>
      <c r="Y224">
        <v>100</v>
      </c>
      <c r="AB224">
        <v>21</v>
      </c>
      <c r="AE224" s="11">
        <f>23*3</f>
        <v>69</v>
      </c>
      <c r="AF224" t="str">
        <f>CONCATENATE(VLOOKUP(AG224, 'Voxel Sizes'!$A$2:$B$18,2,FALSE),"x",INT(AC224*15), "x", INT(AD224*15))</f>
        <v>198x0x0</v>
      </c>
      <c r="AG224">
        <f t="shared" si="100"/>
        <v>12</v>
      </c>
      <c r="AI224" t="str">
        <f>CONCATENATE(VLOOKUP(AG224,Constants!$A$2:$C$16,IF(AH224&lt;&gt;"", 3, 2), FALSE),IF(AH224&lt;&gt;"",CONCATENATE(",",VLOOKUP(AH224,$B:$AI,34,FALSE)),""))</f>
        <v>4,4,4</v>
      </c>
      <c r="AK224" t="s">
        <v>1210</v>
      </c>
      <c r="AM224" t="s">
        <v>720</v>
      </c>
      <c r="AN224" t="s">
        <v>635</v>
      </c>
      <c r="AQ224">
        <v>27</v>
      </c>
      <c r="AR224">
        <f t="shared" si="93"/>
        <v>8</v>
      </c>
      <c r="AS224">
        <v>-15</v>
      </c>
      <c r="AT224">
        <v>-30</v>
      </c>
      <c r="AU224">
        <f t="shared" si="94"/>
        <v>20</v>
      </c>
      <c r="AV224">
        <f t="shared" si="95"/>
        <v>18.100000000000001</v>
      </c>
      <c r="AW224">
        <f t="shared" si="96"/>
        <v>12</v>
      </c>
      <c r="AX224" s="4">
        <v>1</v>
      </c>
      <c r="AY224">
        <f t="shared" si="97"/>
        <v>11.500000000000002</v>
      </c>
      <c r="AZ224">
        <f>VLOOKUP($E224,Constants!$I:$K, 2, FALSE)</f>
        <v>0.85</v>
      </c>
      <c r="BA224">
        <f>VLOOKUP($E224,Constants!$I:$K, 3, FALSE)*IF(AND(D224="multiple_unit",Y224&lt;110),0.75,1)</f>
        <v>1.7249999999999999</v>
      </c>
      <c r="BB224">
        <f>INT(POWER(((Constants!$G$2+$AU224+$AV224+$AW224+$AY224)*$AX224)*$BA224, 1.05))+$AT224</f>
        <v>115</v>
      </c>
      <c r="BC224">
        <f>INT(POWER((((Constants!$G$1+$AU224+$AV224+$AW224+$AY224)*(1/$AX224))*$AZ224),IF($D224="wagon",1,1.2)))+$AS224</f>
        <v>135</v>
      </c>
      <c r="BD224" s="15">
        <f t="shared" si="101"/>
        <v>89843.75</v>
      </c>
      <c r="BE224" s="15">
        <f t="shared" si="102"/>
        <v>10968.75</v>
      </c>
      <c r="BM224" t="s">
        <v>1218</v>
      </c>
      <c r="BN224">
        <v>4</v>
      </c>
      <c r="BO224">
        <v>205</v>
      </c>
      <c r="BQ224" t="s">
        <v>323</v>
      </c>
      <c r="BR224" t="str">
        <f>VLOOKUP(G224,Eras!$A$2:$C$10, 2, TRUE)</f>
        <v>prv</v>
      </c>
      <c r="BS224" t="s">
        <v>374</v>
      </c>
      <c r="BT224" t="str">
        <f t="shared" si="103"/>
        <v>prv_EMU (Express)</v>
      </c>
      <c r="BU224" t="str">
        <f t="shared" si="99"/>
        <v/>
      </c>
      <c r="BV224" t="str">
        <f t="shared" si="98"/>
        <v>{BLACK}Cars: {GOLD}5{}</v>
      </c>
      <c r="BW224" t="s">
        <v>636</v>
      </c>
      <c r="BX224" t="str">
        <f t="shared" si="106"/>
        <v>{YELLOW}10% Bonus for long distance travel{}</v>
      </c>
      <c r="BY224" t="str">
        <f t="shared" si="104"/>
        <v>{BLACK}Cars: {GOLD}5{}{YELLOW}10% Bonus for long distance travel{}{SILVER}The Class 460 was built to replace locomotive-hauled services on the Gatwick Express. It had a short service life, with most units converted to Class 458/5 for suburban use.</v>
      </c>
    </row>
    <row r="225" spans="1:77" x14ac:dyDescent="0.25">
      <c r="A225" t="s">
        <v>631</v>
      </c>
      <c r="B225" t="s">
        <v>712</v>
      </c>
      <c r="C225">
        <v>488</v>
      </c>
      <c r="D225" t="s">
        <v>453</v>
      </c>
      <c r="E225" t="s">
        <v>336</v>
      </c>
      <c r="F225" t="s">
        <v>337</v>
      </c>
      <c r="G225">
        <v>2002</v>
      </c>
      <c r="J225">
        <v>8</v>
      </c>
      <c r="K225">
        <v>6840</v>
      </c>
      <c r="T225">
        <v>466</v>
      </c>
      <c r="V225">
        <v>60</v>
      </c>
      <c r="W225">
        <v>325</v>
      </c>
      <c r="X225" s="4">
        <f t="shared" si="107"/>
        <v>6.974248927038626E-2</v>
      </c>
      <c r="Y225">
        <v>140</v>
      </c>
      <c r="AA225">
        <v>23.9</v>
      </c>
      <c r="AB225">
        <v>23.9</v>
      </c>
      <c r="AC225">
        <v>2.73</v>
      </c>
      <c r="AD225">
        <v>3.56</v>
      </c>
      <c r="AE225" s="11">
        <v>60</v>
      </c>
      <c r="AF225" t="str">
        <f>CONCATENATE(VLOOKUP(AG225, 'Voxel Sizes'!$A$2:$B$18,2,FALSE),"x",INT(AC225*15), "x", INT(AD225*15))</f>
        <v>238x40x53</v>
      </c>
      <c r="AG225">
        <f t="shared" si="100"/>
        <v>14</v>
      </c>
      <c r="AI225" t="str">
        <f>CONCATENATE(VLOOKUP(AG225,Constants!$A$2:$C$16,IF(AH225&lt;&gt;"", 3, 2), FALSE),IF(AH225&lt;&gt;"",CONCATENATE(",",VLOOKUP(AH225,$B:$AI,34,FALSE)),""))</f>
        <v>4,6,4</v>
      </c>
      <c r="AK225" t="s">
        <v>711</v>
      </c>
      <c r="AM225" t="s">
        <v>714</v>
      </c>
      <c r="AQ225">
        <v>29</v>
      </c>
      <c r="AR225" t="str">
        <f t="shared" si="93"/>
        <v/>
      </c>
      <c r="AS225">
        <v>-15</v>
      </c>
      <c r="AT225">
        <v>-35</v>
      </c>
      <c r="AU225">
        <f t="shared" si="94"/>
        <v>28</v>
      </c>
      <c r="AV225">
        <f t="shared" si="95"/>
        <v>20</v>
      </c>
      <c r="AW225">
        <f t="shared" si="96"/>
        <v>16.25</v>
      </c>
      <c r="AX225" s="4">
        <v>1</v>
      </c>
      <c r="AY225">
        <f t="shared" si="97"/>
        <v>16</v>
      </c>
      <c r="AZ225">
        <f>VLOOKUP($E225,Constants!$I:$K, 2, FALSE)</f>
        <v>0.85</v>
      </c>
      <c r="BA225">
        <f>VLOOKUP($E225,Constants!$I:$K, 3, FALSE)*IF(AND(D225="multiple_unit",Y225&lt;110),0.75,1)</f>
        <v>2.2999999999999998</v>
      </c>
      <c r="BB225">
        <f>INT(POWER(((Constants!$G$2+$AU225+$AV225+$AW225+$AY225)*$AX225)*$BA225, 1.05))+$AT225</f>
        <v>220</v>
      </c>
      <c r="BC225">
        <f>INT(POWER((((Constants!$G$1+$AU225+$AV225+$AW225+$AY225)*(1/$AX225))*$AZ225),IF($D225="wagon",1,1.2)))+$AS225</f>
        <v>179</v>
      </c>
      <c r="BD225" s="15">
        <f t="shared" si="101"/>
        <v>171875</v>
      </c>
      <c r="BE225" s="15">
        <f t="shared" si="102"/>
        <v>14543.75</v>
      </c>
      <c r="BJ225">
        <v>1</v>
      </c>
      <c r="BM225" t="s">
        <v>1220</v>
      </c>
      <c r="BN225">
        <v>6</v>
      </c>
      <c r="BO225">
        <v>205</v>
      </c>
      <c r="BQ225" t="s">
        <v>323</v>
      </c>
      <c r="BR225" t="str">
        <f>VLOOKUP(G225,Eras!$A$2:$C$10, 2, TRUE)</f>
        <v>prv</v>
      </c>
      <c r="BS225" t="s">
        <v>374</v>
      </c>
      <c r="BT225" t="str">
        <f t="shared" si="103"/>
        <v>prv_EMU (Express)</v>
      </c>
      <c r="BU225" t="str">
        <f t="shared" si="99"/>
        <v/>
      </c>
      <c r="BV225" t="str">
        <f t="shared" si="98"/>
        <v>{BLACK}Cars: {GOLD}8{}</v>
      </c>
      <c r="BW225" t="s">
        <v>713</v>
      </c>
      <c r="BX225" t="str">
        <f t="shared" si="106"/>
        <v>{YELLOW}10% Bonus for long distance travel{}</v>
      </c>
      <c r="BY225" t="str">
        <f t="shared" si="104"/>
        <v>{BLACK}Cars: {GOLD}8{}{YELLOW}10% Bonus for long distance travel{}{SILVER}The Pendolino is a tilting multiple unit with a design speed of 140mph.  The tilt system is supplied by Fiat Ferroviaria.</v>
      </c>
    </row>
    <row r="226" spans="1:77" x14ac:dyDescent="0.25">
      <c r="A226" t="s">
        <v>631</v>
      </c>
      <c r="B226" t="s">
        <v>1197</v>
      </c>
      <c r="C226">
        <v>489</v>
      </c>
      <c r="D226" t="s">
        <v>453</v>
      </c>
      <c r="E226" t="s">
        <v>336</v>
      </c>
      <c r="F226" t="s">
        <v>337</v>
      </c>
      <c r="G226">
        <v>2002</v>
      </c>
      <c r="J226">
        <v>6</v>
      </c>
      <c r="K226">
        <v>6840</v>
      </c>
      <c r="T226">
        <f>(466/8)*6</f>
        <v>349.5</v>
      </c>
      <c r="V226">
        <f t="shared" si="105"/>
        <v>48</v>
      </c>
      <c r="W226">
        <v>325</v>
      </c>
      <c r="X226" s="4">
        <f t="shared" si="107"/>
        <v>9.2989985693848351E-2</v>
      </c>
      <c r="Y226">
        <v>140</v>
      </c>
      <c r="AA226">
        <v>23.9</v>
      </c>
      <c r="AB226">
        <v>23.9</v>
      </c>
      <c r="AC226">
        <v>2.73</v>
      </c>
      <c r="AD226">
        <v>3.56</v>
      </c>
      <c r="AE226" s="11">
        <v>60</v>
      </c>
      <c r="AF226" t="str">
        <f>CONCATENATE(VLOOKUP(AG226, 'Voxel Sizes'!$A$2:$B$18,2,FALSE),"x",INT(AC226*15), "x", INT(AD226*15))</f>
        <v>238x40x53</v>
      </c>
      <c r="AG226">
        <f t="shared" si="100"/>
        <v>14</v>
      </c>
      <c r="AI226" t="str">
        <f>CONCATENATE(VLOOKUP(AG226,Constants!$A$2:$C$16,IF(AH226&lt;&gt;"", 3, 2), FALSE),IF(AH226&lt;&gt;"",CONCATENATE(",",VLOOKUP(AH226,$B:$AI,34,FALSE)),""))</f>
        <v>4,6,4</v>
      </c>
      <c r="AK226" t="s">
        <v>1198</v>
      </c>
      <c r="AM226" t="s">
        <v>1199</v>
      </c>
      <c r="AN226" t="s">
        <v>712</v>
      </c>
      <c r="AQ226">
        <v>29</v>
      </c>
      <c r="AR226" t="str">
        <f t="shared" si="93"/>
        <v/>
      </c>
      <c r="AS226">
        <v>-15</v>
      </c>
      <c r="AT226">
        <v>-35</v>
      </c>
      <c r="AU226">
        <f t="shared" si="94"/>
        <v>28</v>
      </c>
      <c r="AV226">
        <f t="shared" si="95"/>
        <v>20</v>
      </c>
      <c r="AW226">
        <f t="shared" si="96"/>
        <v>16.25</v>
      </c>
      <c r="AX226" s="4">
        <v>1</v>
      </c>
      <c r="AY226">
        <f t="shared" si="97"/>
        <v>12.000000000000002</v>
      </c>
      <c r="AZ226">
        <f>VLOOKUP($E226,Constants!$I:$K, 2, FALSE)</f>
        <v>0.85</v>
      </c>
      <c r="BA226">
        <f>VLOOKUP($E226,Constants!$I:$K, 3, FALSE)*IF(AND(D226="multiple_unit",Y226&lt;110),0.75,1)</f>
        <v>2.2999999999999998</v>
      </c>
      <c r="BB226">
        <f>INT(POWER(((Constants!$G$2+$AU226+$AV226+$AW226+$AY226)*$AX226)*$BA226, 1.05))+$AT226</f>
        <v>207</v>
      </c>
      <c r="BC226">
        <f>INT(POWER((((Constants!$G$1+$AU226+$AV226+$AW226+$AY226)*(1/$AX226))*$AZ226),IF($D226="wagon",1,1.2)))+$AS226</f>
        <v>170</v>
      </c>
      <c r="BD226" s="15">
        <f t="shared" si="101"/>
        <v>161718.75</v>
      </c>
      <c r="BE226" s="15">
        <f t="shared" si="102"/>
        <v>13812.5</v>
      </c>
      <c r="BJ226">
        <v>1</v>
      </c>
      <c r="BM226" t="s">
        <v>1219</v>
      </c>
      <c r="BN226">
        <v>6</v>
      </c>
      <c r="BO226">
        <v>205</v>
      </c>
      <c r="BQ226" t="s">
        <v>323</v>
      </c>
      <c r="BR226" t="str">
        <f>VLOOKUP(G226,Eras!$A$2:$C$10, 2, TRUE)</f>
        <v>prv</v>
      </c>
      <c r="BS226" t="s">
        <v>374</v>
      </c>
      <c r="BT226" t="str">
        <f t="shared" si="103"/>
        <v>prv_EMU (Express)</v>
      </c>
      <c r="BU226" t="str">
        <f t="shared" si="99"/>
        <v/>
      </c>
      <c r="BV226" t="str">
        <f t="shared" si="98"/>
        <v>{BLACK}Cars: {GOLD}6{}</v>
      </c>
      <c r="BW226" t="s">
        <v>713</v>
      </c>
      <c r="BX226" t="str">
        <f t="shared" si="106"/>
        <v>{YELLOW}10% Bonus for long distance travel{}</v>
      </c>
      <c r="BY226" t="str">
        <f t="shared" si="104"/>
        <v>{BLACK}Cars: {GOLD}6{}{YELLOW}10% Bonus for long distance travel{}{SILVER}The Pendolino is a tilting multiple unit with a design speed of 140mph.  The tilt system is supplied by Fiat Ferroviaria.</v>
      </c>
    </row>
    <row r="227" spans="1:77" x14ac:dyDescent="0.25">
      <c r="A227" t="s">
        <v>631</v>
      </c>
      <c r="B227" t="s">
        <v>1213</v>
      </c>
      <c r="C227">
        <v>490</v>
      </c>
      <c r="D227" t="s">
        <v>453</v>
      </c>
      <c r="E227" t="s">
        <v>336</v>
      </c>
      <c r="F227" t="s">
        <v>337</v>
      </c>
      <c r="G227">
        <v>2002</v>
      </c>
      <c r="J227">
        <v>4</v>
      </c>
      <c r="K227">
        <v>6840</v>
      </c>
      <c r="T227">
        <f>(466/8)*4</f>
        <v>233</v>
      </c>
      <c r="V227">
        <f t="shared" si="105"/>
        <v>32</v>
      </c>
      <c r="W227">
        <v>325</v>
      </c>
      <c r="X227" s="4">
        <f t="shared" si="107"/>
        <v>0.13948497854077252</v>
      </c>
      <c r="Y227">
        <v>140</v>
      </c>
      <c r="AA227">
        <v>23.9</v>
      </c>
      <c r="AB227">
        <v>23.9</v>
      </c>
      <c r="AC227">
        <v>2.73</v>
      </c>
      <c r="AD227">
        <v>3.56</v>
      </c>
      <c r="AE227" s="11">
        <v>60</v>
      </c>
      <c r="AF227" t="str">
        <f>CONCATENATE(VLOOKUP(AG227, 'Voxel Sizes'!$A$2:$B$18,2,FALSE),"x",INT(AC227*15), "x", INT(AD227*15))</f>
        <v>238x40x53</v>
      </c>
      <c r="AG227">
        <f t="shared" si="100"/>
        <v>14</v>
      </c>
      <c r="AI227" t="str">
        <f>CONCATENATE(VLOOKUP(AG227,Constants!$A$2:$C$16,IF(AH227&lt;&gt;"", 3, 2), FALSE),IF(AH227&lt;&gt;"",CONCATENATE(",",VLOOKUP(AH227,$B:$AI,34,FALSE)),""))</f>
        <v>4,6,4</v>
      </c>
      <c r="AK227" t="s">
        <v>1214</v>
      </c>
      <c r="AM227" t="s">
        <v>1195</v>
      </c>
      <c r="AN227" t="s">
        <v>712</v>
      </c>
      <c r="AQ227">
        <v>29</v>
      </c>
      <c r="AR227" t="str">
        <f t="shared" si="93"/>
        <v/>
      </c>
      <c r="AS227">
        <v>-15</v>
      </c>
      <c r="AT227">
        <v>-35</v>
      </c>
      <c r="AU227">
        <f t="shared" si="94"/>
        <v>28</v>
      </c>
      <c r="AV227">
        <f t="shared" si="95"/>
        <v>20</v>
      </c>
      <c r="AW227">
        <f t="shared" si="96"/>
        <v>16.25</v>
      </c>
      <c r="AX227" s="4">
        <v>1</v>
      </c>
      <c r="AY227">
        <f t="shared" si="97"/>
        <v>8</v>
      </c>
      <c r="AZ227">
        <f>VLOOKUP($E227,Constants!$I:$K, 2, FALSE)</f>
        <v>0.85</v>
      </c>
      <c r="BA227">
        <f>VLOOKUP($E227,Constants!$I:$K, 3, FALSE)*IF(AND(D227="multiple_unit",Y227&lt;110),0.75,1)</f>
        <v>2.2999999999999998</v>
      </c>
      <c r="BB227">
        <f>INT(POWER(((Constants!$G$2+$AU227+$AV227+$AW227+$AY227)*$AX227)*$BA227, 1.05))+$AT227</f>
        <v>195</v>
      </c>
      <c r="BC227">
        <f>INT(POWER((((Constants!$G$1+$AU227+$AV227+$AW227+$AY227)*(1/$AX227))*$AZ227),IF($D227="wagon",1,1.2)))+$AS227</f>
        <v>160</v>
      </c>
      <c r="BD227" s="15">
        <f t="shared" si="101"/>
        <v>152343.75</v>
      </c>
      <c r="BE227" s="15">
        <f t="shared" si="102"/>
        <v>13000</v>
      </c>
      <c r="BJ227">
        <v>1</v>
      </c>
      <c r="BM227" t="s">
        <v>1218</v>
      </c>
      <c r="BN227">
        <v>6</v>
      </c>
      <c r="BO227">
        <v>205</v>
      </c>
      <c r="BQ227" t="s">
        <v>323</v>
      </c>
      <c r="BR227" t="str">
        <f>VLOOKUP(G227,Eras!$A$2:$C$10, 2, TRUE)</f>
        <v>prv</v>
      </c>
      <c r="BS227" t="s">
        <v>374</v>
      </c>
      <c r="BT227" t="str">
        <f t="shared" si="103"/>
        <v>prv_EMU (Express)</v>
      </c>
      <c r="BU227" t="str">
        <f t="shared" si="99"/>
        <v/>
      </c>
      <c r="BV227" t="str">
        <f t="shared" si="98"/>
        <v>{BLACK}Cars: {GOLD}4{}</v>
      </c>
      <c r="BW227" t="s">
        <v>713</v>
      </c>
      <c r="BX227" t="str">
        <f t="shared" si="106"/>
        <v>{YELLOW}10% Bonus for long distance travel{}</v>
      </c>
      <c r="BY227" t="str">
        <f t="shared" si="104"/>
        <v>{BLACK}Cars: {GOLD}4{}{YELLOW}10% Bonus for long distance travel{}{SILVER}The Pendolino is a tilting multiple unit with a design speed of 140mph.  The tilt system is supplied by Fiat Ferroviaria.</v>
      </c>
    </row>
    <row r="228" spans="1:77" x14ac:dyDescent="0.25">
      <c r="A228" t="s">
        <v>103</v>
      </c>
      <c r="B228" t="s">
        <v>260</v>
      </c>
      <c r="C228">
        <v>492</v>
      </c>
      <c r="D228" t="s">
        <v>453</v>
      </c>
      <c r="E228" t="s">
        <v>312</v>
      </c>
      <c r="F228" t="s">
        <v>314</v>
      </c>
      <c r="G228">
        <v>2002</v>
      </c>
      <c r="J228">
        <v>4</v>
      </c>
      <c r="K228">
        <v>3000</v>
      </c>
      <c r="T228">
        <v>185.6</v>
      </c>
      <c r="V228">
        <f t="shared" si="105"/>
        <v>32</v>
      </c>
      <c r="W228">
        <v>185</v>
      </c>
      <c r="X228" s="4">
        <f t="shared" si="107"/>
        <v>9.9676724137931036E-2</v>
      </c>
      <c r="Y228">
        <v>125</v>
      </c>
      <c r="AA228">
        <v>23.8</v>
      </c>
      <c r="AB228">
        <v>23.8</v>
      </c>
      <c r="AC228">
        <v>2.73</v>
      </c>
      <c r="AE228" s="11">
        <v>51</v>
      </c>
      <c r="AF228" t="str">
        <f>CONCATENATE(VLOOKUP(AG228, 'Voxel Sizes'!$A$2:$B$18,2,FALSE),"x",INT(AC228*15), "x", INT(AD228*15))</f>
        <v>238x40x0</v>
      </c>
      <c r="AG228">
        <f t="shared" si="100"/>
        <v>14</v>
      </c>
      <c r="AI228" t="str">
        <f>CONCATENATE(VLOOKUP(AG228,Constants!$A$2:$C$16,IF(AH228&lt;&gt;"", 3, 2), FALSE),IF(AH228&lt;&gt;"",CONCATENATE(",",VLOOKUP(AH228,$B:$AI,34,FALSE)),""))</f>
        <v>4,6,4</v>
      </c>
      <c r="AK228" t="s">
        <v>718</v>
      </c>
      <c r="AM228" t="s">
        <v>515</v>
      </c>
      <c r="AQ228">
        <v>29</v>
      </c>
      <c r="AR228" t="str">
        <f t="shared" si="93"/>
        <v/>
      </c>
      <c r="AS228">
        <v>-15</v>
      </c>
      <c r="AT228">
        <v>-35</v>
      </c>
      <c r="AU228">
        <f t="shared" si="94"/>
        <v>25</v>
      </c>
      <c r="AV228">
        <f t="shared" si="95"/>
        <v>15</v>
      </c>
      <c r="AW228">
        <f t="shared" si="96"/>
        <v>9.25</v>
      </c>
      <c r="AX228" s="4">
        <v>1</v>
      </c>
      <c r="AY228">
        <f t="shared" si="97"/>
        <v>6.8000000000000007</v>
      </c>
      <c r="AZ228">
        <f>VLOOKUP($E228,Constants!$I:$K, 2, FALSE)</f>
        <v>1</v>
      </c>
      <c r="BA228">
        <f>VLOOKUP($E228,Constants!$I:$K, 3, FALSE)*IF(AND(D228="multiple_unit",Y228&lt;110),0.75,1)</f>
        <v>2</v>
      </c>
      <c r="BB228">
        <f>INT(POWER(((Constants!$G$2+$AU228+$AV228+$AW228+$AY228)*$AX228)*$BA228, 1.05))+$AT228</f>
        <v>120</v>
      </c>
      <c r="BC228">
        <f>INT(POWER((((Constants!$G$1+$AU228+$AV228+$AW228+$AY228)*(1/$AX228))*$AZ228),IF($D228="wagon",1,1.2)))+$AS228</f>
        <v>151</v>
      </c>
      <c r="BD228" s="15">
        <f t="shared" si="101"/>
        <v>93750</v>
      </c>
      <c r="BE228" s="15">
        <f t="shared" si="102"/>
        <v>12268.75</v>
      </c>
      <c r="BN228">
        <v>9</v>
      </c>
      <c r="BO228">
        <v>205</v>
      </c>
      <c r="BQ228" t="s">
        <v>323</v>
      </c>
      <c r="BR228" t="str">
        <f>VLOOKUP(G228,Eras!$A$2:$C$10, 2, TRUE)</f>
        <v>prv</v>
      </c>
      <c r="BS228" t="s">
        <v>372</v>
      </c>
      <c r="BT228" t="str">
        <f t="shared" si="103"/>
        <v>prv_DMU (Express)</v>
      </c>
      <c r="BU228" t="str">
        <f t="shared" si="99"/>
        <v/>
      </c>
      <c r="BV228" t="str">
        <f t="shared" si="98"/>
        <v>{BLACK}Cars: {GOLD}4{}</v>
      </c>
      <c r="BW228" t="s">
        <v>716</v>
      </c>
      <c r="BX228" t="str">
        <f t="shared" si="106"/>
        <v>{YELLOW}10% Bonus for long distance travel{}</v>
      </c>
      <c r="BY228" t="str">
        <f t="shared" si="104"/>
        <v>{BLACK}Cars: {GOLD}4{}{YELLOW}10% Bonus for long distance travel{}{SILVER}The Voyager is a high speed diesel multiple unit, built to replace both the HST and locomotive-hauled passenger services on the Cross Country route.</v>
      </c>
    </row>
    <row r="229" spans="1:77" x14ac:dyDescent="0.25">
      <c r="A229" t="s">
        <v>104</v>
      </c>
      <c r="B229" t="s">
        <v>259</v>
      </c>
      <c r="C229">
        <v>494</v>
      </c>
      <c r="D229" t="s">
        <v>453</v>
      </c>
      <c r="E229" t="s">
        <v>312</v>
      </c>
      <c r="F229" t="s">
        <v>314</v>
      </c>
      <c r="G229">
        <v>2002</v>
      </c>
      <c r="J229">
        <v>5</v>
      </c>
      <c r="K229">
        <f>750*5</f>
        <v>3750</v>
      </c>
      <c r="T229">
        <v>282</v>
      </c>
      <c r="V229">
        <f t="shared" si="105"/>
        <v>40</v>
      </c>
      <c r="W229">
        <v>270</v>
      </c>
      <c r="X229" s="4">
        <f t="shared" si="107"/>
        <v>9.5744680851063829E-2</v>
      </c>
      <c r="Y229">
        <v>125</v>
      </c>
      <c r="AA229">
        <v>23.8</v>
      </c>
      <c r="AB229">
        <v>23.8</v>
      </c>
      <c r="AC229">
        <v>2.73</v>
      </c>
      <c r="AE229" s="11">
        <v>51</v>
      </c>
      <c r="AF229" t="str">
        <f>CONCATENATE(VLOOKUP(AG229, 'Voxel Sizes'!$A$2:$B$18,2,FALSE),"x",INT(AC229*15), "x", INT(AD229*15))</f>
        <v>238x40x0</v>
      </c>
      <c r="AG229">
        <f t="shared" si="100"/>
        <v>14</v>
      </c>
      <c r="AI229" t="str">
        <f>CONCATENATE(VLOOKUP(AG229,Constants!$A$2:$C$16,IF(AH229&lt;&gt;"", 3, 2), FALSE),IF(AH229&lt;&gt;"",CONCATENATE(",",VLOOKUP(AH229,$B:$AI,34,FALSE)),""))</f>
        <v>4,6,4</v>
      </c>
      <c r="AK229" t="s">
        <v>719</v>
      </c>
      <c r="AM229" t="s">
        <v>720</v>
      </c>
      <c r="AN229" t="s">
        <v>260</v>
      </c>
      <c r="AQ229">
        <v>29</v>
      </c>
      <c r="AR229" t="str">
        <f t="shared" si="93"/>
        <v/>
      </c>
      <c r="AS229">
        <v>-15</v>
      </c>
      <c r="AT229">
        <v>-35</v>
      </c>
      <c r="AU229">
        <f t="shared" si="94"/>
        <v>25</v>
      </c>
      <c r="AV229">
        <f t="shared" si="95"/>
        <v>18.75</v>
      </c>
      <c r="AW229">
        <f t="shared" si="96"/>
        <v>13.5</v>
      </c>
      <c r="AX229" s="4">
        <v>1</v>
      </c>
      <c r="AY229">
        <f t="shared" si="97"/>
        <v>8.5</v>
      </c>
      <c r="AZ229">
        <f>VLOOKUP($E229,Constants!$I:$K, 2, FALSE)</f>
        <v>1</v>
      </c>
      <c r="BA229">
        <f>VLOOKUP($E229,Constants!$I:$K, 3, FALSE)*IF(AND(D229="multiple_unit",Y229&lt;110),0.75,1)</f>
        <v>2</v>
      </c>
      <c r="BB229">
        <f>INT(POWER(((Constants!$G$2+$AU229+$AV229+$AW229+$AY229)*$AX229)*$BA229, 1.05))+$AT229</f>
        <v>146</v>
      </c>
      <c r="BC229">
        <f>INT(POWER((((Constants!$G$1+$AU229+$AV229+$AW229+$AY229)*(1/$AX229))*$AZ229),IF($D229="wagon",1,1.2)))+$AS229</f>
        <v>179</v>
      </c>
      <c r="BD229" s="15">
        <f t="shared" si="101"/>
        <v>114062.5</v>
      </c>
      <c r="BE229" s="15">
        <f t="shared" si="102"/>
        <v>14543.75</v>
      </c>
      <c r="BJ229">
        <v>1</v>
      </c>
      <c r="BM229" t="s">
        <v>1216</v>
      </c>
      <c r="BN229">
        <v>10</v>
      </c>
      <c r="BO229">
        <v>205</v>
      </c>
      <c r="BQ229" t="s">
        <v>323</v>
      </c>
      <c r="BR229" t="str">
        <f>VLOOKUP(G229,Eras!$A$2:$C$10, 2, TRUE)</f>
        <v>prv</v>
      </c>
      <c r="BS229" t="s">
        <v>372</v>
      </c>
      <c r="BT229" t="str">
        <f t="shared" si="103"/>
        <v>prv_DMU (Express)</v>
      </c>
      <c r="BU229" t="str">
        <f t="shared" si="99"/>
        <v/>
      </c>
      <c r="BV229" t="str">
        <f t="shared" si="98"/>
        <v>{BLACK}Cars: {GOLD}5{}</v>
      </c>
      <c r="BW229" t="s">
        <v>717</v>
      </c>
      <c r="BX229" t="str">
        <f t="shared" si="106"/>
        <v>{YELLOW}10% Bonus for long distance travel{}</v>
      </c>
      <c r="BY229" t="str">
        <f t="shared" si="104"/>
        <v>{BLACK}Cars: {GOLD}5{}{YELLOW}10% Bonus for long distance travel{}{SILVER}The Class 221 is outwardly very similar to the Class 220, but internally it has different bogies and features a tilt mechanism for faster cornering.</v>
      </c>
    </row>
    <row r="230" spans="1:77" x14ac:dyDescent="0.25">
      <c r="A230" t="s">
        <v>104</v>
      </c>
      <c r="B230" t="s">
        <v>1206</v>
      </c>
      <c r="C230">
        <v>495</v>
      </c>
      <c r="D230" t="s">
        <v>453</v>
      </c>
      <c r="E230" t="s">
        <v>312</v>
      </c>
      <c r="F230" t="s">
        <v>314</v>
      </c>
      <c r="G230">
        <v>2002</v>
      </c>
      <c r="J230">
        <v>4</v>
      </c>
      <c r="K230">
        <f>750*5</f>
        <v>3750</v>
      </c>
      <c r="T230">
        <f>282/5*4</f>
        <v>225.6</v>
      </c>
      <c r="V230">
        <f t="shared" si="105"/>
        <v>32</v>
      </c>
      <c r="W230">
        <v>270</v>
      </c>
      <c r="X230" s="4">
        <f t="shared" si="107"/>
        <v>0.11968085106382979</v>
      </c>
      <c r="Y230">
        <v>125</v>
      </c>
      <c r="AA230">
        <v>23.8</v>
      </c>
      <c r="AB230">
        <v>23.8</v>
      </c>
      <c r="AC230">
        <v>2.73</v>
      </c>
      <c r="AE230" s="11">
        <v>51</v>
      </c>
      <c r="AF230" t="str">
        <f>CONCATENATE(VLOOKUP(AG230, 'Voxel Sizes'!$A$2:$B$18,2,FALSE),"x",INT(AC230*15), "x", INT(AD230*15))</f>
        <v>238x40x0</v>
      </c>
      <c r="AG230">
        <f t="shared" si="100"/>
        <v>14</v>
      </c>
      <c r="AI230" t="str">
        <f>CONCATENATE(VLOOKUP(AG230,Constants!$A$2:$C$16,IF(AH230&lt;&gt;"", 3, 2), FALSE),IF(AH230&lt;&gt;"",CONCATENATE(",",VLOOKUP(AH230,$B:$AI,34,FALSE)),""))</f>
        <v>4,6,4</v>
      </c>
      <c r="AK230" t="s">
        <v>718</v>
      </c>
      <c r="AM230" t="s">
        <v>1195</v>
      </c>
      <c r="AN230" t="s">
        <v>260</v>
      </c>
      <c r="AQ230">
        <v>29</v>
      </c>
      <c r="AR230" t="str">
        <f t="shared" si="93"/>
        <v/>
      </c>
      <c r="AS230">
        <v>-15</v>
      </c>
      <c r="AT230">
        <v>-35</v>
      </c>
      <c r="AU230">
        <f t="shared" si="94"/>
        <v>25</v>
      </c>
      <c r="AV230">
        <f t="shared" si="95"/>
        <v>18.75</v>
      </c>
      <c r="AW230">
        <f t="shared" si="96"/>
        <v>13.5</v>
      </c>
      <c r="AX230" s="4">
        <v>1</v>
      </c>
      <c r="AY230">
        <f t="shared" si="97"/>
        <v>6.8000000000000007</v>
      </c>
      <c r="AZ230">
        <f>VLOOKUP($E230,Constants!$I:$K, 2, FALSE)</f>
        <v>1</v>
      </c>
      <c r="BA230">
        <f>VLOOKUP($E230,Constants!$I:$K, 3, FALSE)*IF(AND(D230="multiple_unit",Y230&lt;110),0.75,1)</f>
        <v>2</v>
      </c>
      <c r="BB230">
        <f>INT(POWER(((Constants!$G$2+$AU230+$AV230+$AW230+$AY230)*$AX230)*$BA230, 1.05))+$AT230</f>
        <v>141</v>
      </c>
      <c r="BC230">
        <f>INT(POWER((((Constants!$G$1+$AU230+$AV230+$AW230+$AY230)*(1/$AX230))*$AZ230),IF($D230="wagon",1,1.2)))+$AS230</f>
        <v>174</v>
      </c>
      <c r="BD230" s="15">
        <f t="shared" si="101"/>
        <v>110156.25</v>
      </c>
      <c r="BE230" s="15">
        <f t="shared" si="102"/>
        <v>14137.5</v>
      </c>
      <c r="BJ230">
        <v>1</v>
      </c>
      <c r="BM230" t="s">
        <v>1218</v>
      </c>
      <c r="BN230">
        <v>10</v>
      </c>
      <c r="BO230">
        <v>205</v>
      </c>
      <c r="BQ230" t="s">
        <v>323</v>
      </c>
      <c r="BR230" t="str">
        <f>VLOOKUP(G230,Eras!$A$2:$C$10, 2, TRUE)</f>
        <v>prv</v>
      </c>
      <c r="BS230" t="s">
        <v>372</v>
      </c>
      <c r="BT230" t="str">
        <f t="shared" si="103"/>
        <v>prv_DMU (Express)</v>
      </c>
      <c r="BU230" t="str">
        <f t="shared" si="99"/>
        <v/>
      </c>
      <c r="BV230" t="str">
        <f t="shared" si="98"/>
        <v>{BLACK}Cars: {GOLD}4{}</v>
      </c>
      <c r="BW230" t="s">
        <v>717</v>
      </c>
      <c r="BX230" t="str">
        <f t="shared" si="106"/>
        <v>{YELLOW}10% Bonus for long distance travel{}</v>
      </c>
      <c r="BY230" t="str">
        <f t="shared" si="104"/>
        <v>{BLACK}Cars: {GOLD}4{}{YELLOW}10% Bonus for long distance travel{}{SILVER}The Class 221 is outwardly very similar to the Class 220, but internally it has different bogies and features a tilt mechanism for faster cornering.</v>
      </c>
    </row>
    <row r="231" spans="1:77" x14ac:dyDescent="0.25">
      <c r="A231" t="s">
        <v>84</v>
      </c>
      <c r="B231" t="s">
        <v>640</v>
      </c>
      <c r="C231">
        <v>498</v>
      </c>
      <c r="D231" t="s">
        <v>453</v>
      </c>
      <c r="E231" t="s">
        <v>605</v>
      </c>
      <c r="F231" t="s">
        <v>604</v>
      </c>
      <c r="G231">
        <v>2003</v>
      </c>
      <c r="J231">
        <v>4</v>
      </c>
      <c r="K231">
        <v>1600</v>
      </c>
      <c r="T231">
        <v>173.6</v>
      </c>
      <c r="V231">
        <f t="shared" si="105"/>
        <v>32</v>
      </c>
      <c r="W231">
        <v>175</v>
      </c>
      <c r="X231" s="4">
        <f t="shared" si="107"/>
        <v>0.10080645161290322</v>
      </c>
      <c r="Y231">
        <v>100</v>
      </c>
      <c r="AA231">
        <v>20.399999999999999</v>
      </c>
      <c r="AB231">
        <v>20.399999999999999</v>
      </c>
      <c r="AD231">
        <v>3.78</v>
      </c>
      <c r="AE231" s="11">
        <v>60</v>
      </c>
      <c r="AF231" t="str">
        <f>CONCATENATE(VLOOKUP(AG231, 'Voxel Sizes'!$A$2:$B$18,2,FALSE),"x",INT(AC231*15), "x", INT(AD231*15))</f>
        <v>198x0x56</v>
      </c>
      <c r="AG231">
        <f t="shared" si="100"/>
        <v>12</v>
      </c>
      <c r="AI231" t="str">
        <f>CONCATENATE(VLOOKUP(AG231,Constants!$A$2:$C$16,IF(AH231&lt;&gt;"", 3, 2), FALSE),IF(AH231&lt;&gt;"",CONCATENATE(",",VLOOKUP(AH231,$B:$AI,34,FALSE)),""))</f>
        <v>4,4,4</v>
      </c>
      <c r="AK231" t="s">
        <v>641</v>
      </c>
      <c r="AL231" t="s">
        <v>642</v>
      </c>
      <c r="AM231" t="s">
        <v>608</v>
      </c>
      <c r="AQ231">
        <v>29</v>
      </c>
      <c r="AR231" t="str">
        <f t="shared" si="93"/>
        <v/>
      </c>
      <c r="AS231">
        <v>-15</v>
      </c>
      <c r="AT231">
        <v>-30</v>
      </c>
      <c r="AU231">
        <f t="shared" si="94"/>
        <v>20</v>
      </c>
      <c r="AV231">
        <f t="shared" si="95"/>
        <v>8</v>
      </c>
      <c r="AW231">
        <f t="shared" si="96"/>
        <v>8.75</v>
      </c>
      <c r="AX231" s="4">
        <v>1</v>
      </c>
      <c r="AY231">
        <f t="shared" si="97"/>
        <v>8</v>
      </c>
      <c r="AZ231">
        <f>VLOOKUP($E231,Constants!$I:$K, 2, FALSE)</f>
        <v>0.85</v>
      </c>
      <c r="BA231">
        <f>VLOOKUP($E231,Constants!$I:$K, 3, FALSE)*IF(AND(D231="multiple_unit",Y231&lt;110),0.75,1)</f>
        <v>1.7999999999999998</v>
      </c>
      <c r="BB231">
        <f>INT(POWER(((Constants!$G$2+$AU231+$AV231+$AW231+$AY231)*$AX231)*$BA231, 1.05))+$AT231</f>
        <v>82</v>
      </c>
      <c r="BC231">
        <f>INT(POWER((((Constants!$G$1+$AU231+$AV231+$AW231+$AY231)*(1/$AX231))*$AZ231),IF($D231="wagon",1,1.2)))+$AS231</f>
        <v>96</v>
      </c>
      <c r="BD231" s="15">
        <f t="shared" si="101"/>
        <v>64062.5</v>
      </c>
      <c r="BE231" s="15">
        <f t="shared" si="102"/>
        <v>7800</v>
      </c>
      <c r="BN231">
        <v>12</v>
      </c>
      <c r="BO231">
        <v>185</v>
      </c>
      <c r="BQ231" t="s">
        <v>323</v>
      </c>
      <c r="BR231" t="str">
        <f>VLOOKUP(G231,Eras!$A$2:$C$10, 2, TRUE)</f>
        <v>prv</v>
      </c>
      <c r="BS231" t="s">
        <v>373</v>
      </c>
      <c r="BT231" t="str">
        <f t="shared" si="103"/>
        <v>prv_EMU</v>
      </c>
      <c r="BU231" t="str">
        <f t="shared" si="99"/>
        <v/>
      </c>
      <c r="BV231" t="str">
        <f t="shared" si="98"/>
        <v>{BLACK}Cars: {GOLD}4{}</v>
      </c>
      <c r="BW231" t="s">
        <v>639</v>
      </c>
      <c r="BX231" t="str">
        <f t="shared" si="106"/>
        <v/>
      </c>
      <c r="BY231" t="str">
        <f t="shared" si="104"/>
        <v>{BLACK}Cars: {GOLD}4{}{SILVER}The Class 377 is a dual-voltage EMU, and is a common sight around London and South East England.</v>
      </c>
    </row>
    <row r="232" spans="1:77" x14ac:dyDescent="0.25">
      <c r="A232" t="s">
        <v>92</v>
      </c>
      <c r="B232" t="s">
        <v>257</v>
      </c>
      <c r="C232">
        <v>500</v>
      </c>
      <c r="D232" t="s">
        <v>453</v>
      </c>
      <c r="E232" t="s">
        <v>336</v>
      </c>
      <c r="F232" t="s">
        <v>343</v>
      </c>
      <c r="G232">
        <v>2003</v>
      </c>
      <c r="H232">
        <v>2006</v>
      </c>
      <c r="J232">
        <v>4</v>
      </c>
      <c r="K232">
        <v>2010</v>
      </c>
      <c r="T232">
        <v>170</v>
      </c>
      <c r="V232">
        <f t="shared" si="105"/>
        <v>32</v>
      </c>
      <c r="W232">
        <v>180</v>
      </c>
      <c r="X232" s="4">
        <f t="shared" si="107"/>
        <v>0.10588235294117647</v>
      </c>
      <c r="Y232">
        <v>100</v>
      </c>
      <c r="AA232">
        <v>20.399999999999999</v>
      </c>
      <c r="AB232">
        <v>20.399999999999999</v>
      </c>
      <c r="AC232">
        <v>2.8</v>
      </c>
      <c r="AE232" s="11">
        <v>66</v>
      </c>
      <c r="AF232" t="str">
        <f>CONCATENATE(VLOOKUP(AG232, 'Voxel Sizes'!$A$2:$B$18,2,FALSE),"x",INT(AC232*15), "x", INT(AD232*15))</f>
        <v>198x42x0</v>
      </c>
      <c r="AG232">
        <f t="shared" si="100"/>
        <v>12</v>
      </c>
      <c r="AI232" t="str">
        <f>CONCATENATE(VLOOKUP(AG232,Constants!$A$2:$C$16,IF(AH232&lt;&gt;"", 3, 2), FALSE),IF(AH232&lt;&gt;"",CONCATENATE(",",VLOOKUP(AH232,$B:$AI,34,FALSE)),""))</f>
        <v>4,4,4</v>
      </c>
      <c r="AK232" t="s">
        <v>658</v>
      </c>
      <c r="AM232" t="s">
        <v>608</v>
      </c>
      <c r="AQ232">
        <v>28</v>
      </c>
      <c r="AR232" t="str">
        <f t="shared" si="93"/>
        <v/>
      </c>
      <c r="AS232">
        <v>-15</v>
      </c>
      <c r="AT232">
        <v>-30</v>
      </c>
      <c r="AU232">
        <f t="shared" si="94"/>
        <v>20</v>
      </c>
      <c r="AV232">
        <f t="shared" si="95"/>
        <v>10.049999999999999</v>
      </c>
      <c r="AW232">
        <f t="shared" si="96"/>
        <v>9</v>
      </c>
      <c r="AX232" s="4">
        <v>1</v>
      </c>
      <c r="AY232">
        <f t="shared" si="97"/>
        <v>8.8000000000000007</v>
      </c>
      <c r="AZ232">
        <f>VLOOKUP($E232,Constants!$I:$K, 2, FALSE)</f>
        <v>0.85</v>
      </c>
      <c r="BA232">
        <f>VLOOKUP($E232,Constants!$I:$K, 3, FALSE)*IF(AND(D232="multiple_unit",Y232&lt;110),0.75,1)</f>
        <v>1.7249999999999999</v>
      </c>
      <c r="BB232">
        <f>INT(POWER(((Constants!$G$2+$AU232+$AV232+$AW232+$AY232)*$AX232)*$BA232, 1.05))+$AT232</f>
        <v>84</v>
      </c>
      <c r="BC232">
        <f>INT(POWER((((Constants!$G$1+$AU232+$AV232+$AW232+$AY232)*(1/$AX232))*$AZ232),IF($D232="wagon",1,1.2)))+$AS232</f>
        <v>103</v>
      </c>
      <c r="BD232" s="15">
        <f t="shared" si="101"/>
        <v>65625</v>
      </c>
      <c r="BE232" s="15">
        <f t="shared" si="102"/>
        <v>8368.75</v>
      </c>
      <c r="BK232" t="s">
        <v>258</v>
      </c>
      <c r="BN232">
        <v>1</v>
      </c>
      <c r="BO232">
        <v>185</v>
      </c>
      <c r="BQ232" t="s">
        <v>323</v>
      </c>
      <c r="BR232" t="str">
        <f>VLOOKUP(G232,Eras!$A$2:$C$10, 2, TRUE)</f>
        <v>prv</v>
      </c>
      <c r="BS232" t="s">
        <v>373</v>
      </c>
      <c r="BT232" t="str">
        <f t="shared" si="103"/>
        <v>prv_EMU</v>
      </c>
      <c r="BU232" t="str">
        <f t="shared" si="99"/>
        <v/>
      </c>
      <c r="BV232" t="str">
        <f t="shared" si="98"/>
        <v>{BLACK}Cars: {GOLD}4{}</v>
      </c>
      <c r="BW232" t="s">
        <v>656</v>
      </c>
      <c r="BX232" t="str">
        <f t="shared" si="106"/>
        <v/>
      </c>
      <c r="BY232" t="str">
        <f t="shared" si="104"/>
        <v>{BLACK}Cars: {GOLD}4{}{SILVER}The Class 450 was designed for South West Trains to replace all slam-door stock. The large order meant the Class 450 became the most numerous type of Desiro unit in the UK.</v>
      </c>
    </row>
    <row r="233" spans="1:77" x14ac:dyDescent="0.25">
      <c r="A233" t="s">
        <v>101</v>
      </c>
      <c r="B233" t="s">
        <v>704</v>
      </c>
      <c r="C233">
        <v>500</v>
      </c>
      <c r="D233" t="s">
        <v>453</v>
      </c>
      <c r="E233" t="s">
        <v>312</v>
      </c>
      <c r="F233" t="s">
        <v>314</v>
      </c>
      <c r="G233">
        <v>2019</v>
      </c>
      <c r="J233">
        <v>2</v>
      </c>
      <c r="K233">
        <f>523*2</f>
        <v>1046</v>
      </c>
      <c r="T233">
        <v>80</v>
      </c>
      <c r="V233">
        <f t="shared" si="105"/>
        <v>16</v>
      </c>
      <c r="W233">
        <v>145</v>
      </c>
      <c r="X233" s="4">
        <f t="shared" si="107"/>
        <v>0.18124999999999999</v>
      </c>
      <c r="Y233">
        <v>100</v>
      </c>
      <c r="AA233">
        <v>24</v>
      </c>
      <c r="AB233">
        <v>24</v>
      </c>
      <c r="AC233">
        <v>2.7</v>
      </c>
      <c r="AD233">
        <v>3.85</v>
      </c>
      <c r="AE233" s="11">
        <v>63</v>
      </c>
      <c r="AF233" t="str">
        <f>CONCATENATE(VLOOKUP(AG233, 'Voxel Sizes'!$A$2:$B$18,2,FALSE),"x",INT(AC233*15), "x", INT(AD233*15))</f>
        <v>238x40x57</v>
      </c>
      <c r="AG233">
        <f t="shared" si="100"/>
        <v>14</v>
      </c>
      <c r="AI233" t="str">
        <f>CONCATENATE(VLOOKUP(AG233,Constants!$A$2:$C$16,IF(AH233&lt;&gt;"", 3, 2), FALSE),IF(AH233&lt;&gt;"",CONCATENATE(",",VLOOKUP(AH233,$B:$AI,34,FALSE)),""))</f>
        <v>4,6,4</v>
      </c>
      <c r="AK233" t="s">
        <v>705</v>
      </c>
      <c r="AM233" t="s">
        <v>517</v>
      </c>
      <c r="AQ233">
        <v>30</v>
      </c>
      <c r="AR233" t="str">
        <f t="shared" si="93"/>
        <v/>
      </c>
      <c r="AS233">
        <v>-15</v>
      </c>
      <c r="AT233">
        <v>-25</v>
      </c>
      <c r="AU233">
        <f t="shared" si="94"/>
        <v>20</v>
      </c>
      <c r="AV233">
        <f t="shared" si="95"/>
        <v>5.23</v>
      </c>
      <c r="AW233">
        <f t="shared" si="96"/>
        <v>7.25</v>
      </c>
      <c r="AX233" s="4">
        <v>1</v>
      </c>
      <c r="AY233">
        <f t="shared" si="97"/>
        <v>4.2</v>
      </c>
      <c r="AZ233">
        <f>VLOOKUP($E233,Constants!$I:$K, 2, FALSE)</f>
        <v>1</v>
      </c>
      <c r="BA233">
        <f>VLOOKUP($E233,Constants!$I:$K, 3, FALSE)*IF(AND(D233="multiple_unit",Y233&lt;110),0.75,1)</f>
        <v>1.5</v>
      </c>
      <c r="BB233">
        <f>INT(POWER(((Constants!$G$2+$AU233+$AV233+$AW233+$AY233)*$AX233)*$BA233, 1.05))+$AT233</f>
        <v>51</v>
      </c>
      <c r="BC233">
        <f>INT(POWER((((Constants!$G$1+$AU233+$AV233+$AW233+$AY233)*(1/$AX233))*$AZ233),IF($D233="wagon",1,1.2)))+$AS233</f>
        <v>98</v>
      </c>
      <c r="BD233" s="15">
        <f t="shared" si="101"/>
        <v>39843.75</v>
      </c>
      <c r="BE233" s="15">
        <f t="shared" si="102"/>
        <v>7962.5</v>
      </c>
      <c r="BN233">
        <v>2</v>
      </c>
      <c r="BO233">
        <v>185</v>
      </c>
      <c r="BQ233" t="s">
        <v>323</v>
      </c>
      <c r="BR233" t="str">
        <f>VLOOKUP(G233,Eras!$A$2:$C$10, 2, TRUE)</f>
        <v>mod</v>
      </c>
      <c r="BS233" t="s">
        <v>371</v>
      </c>
      <c r="BT233" t="str">
        <f t="shared" si="103"/>
        <v>mod_DMU</v>
      </c>
      <c r="BU233" t="str">
        <f t="shared" si="99"/>
        <v/>
      </c>
      <c r="BV233" t="str">
        <f t="shared" si="98"/>
        <v>{BLACK}Cars: {GOLD}2{}</v>
      </c>
      <c r="BW233" t="s">
        <v>706</v>
      </c>
      <c r="BX233" t="str">
        <f t="shared" si="106"/>
        <v/>
      </c>
      <c r="BY233" t="str">
        <f t="shared" si="104"/>
        <v>{BLACK}Cars: {GOLD}2{}{SILVER}The Class 195 is designed to replace Sprinter and Pacer units with a multiple unit of far higher quality and passenger comfort.</v>
      </c>
    </row>
    <row r="234" spans="1:77" x14ac:dyDescent="0.25">
      <c r="A234" t="s">
        <v>93</v>
      </c>
      <c r="B234" t="s">
        <v>258</v>
      </c>
      <c r="C234">
        <v>502</v>
      </c>
      <c r="D234" t="s">
        <v>453</v>
      </c>
      <c r="E234" t="s">
        <v>336</v>
      </c>
      <c r="F234" t="s">
        <v>343</v>
      </c>
      <c r="G234">
        <v>2004</v>
      </c>
      <c r="J234">
        <v>5</v>
      </c>
      <c r="K234">
        <v>2680</v>
      </c>
      <c r="T234">
        <v>227</v>
      </c>
      <c r="V234">
        <f t="shared" si="105"/>
        <v>40</v>
      </c>
      <c r="W234">
        <v>210</v>
      </c>
      <c r="X234" s="4">
        <f t="shared" si="107"/>
        <v>9.2511013215859028E-2</v>
      </c>
      <c r="Y234">
        <v>100</v>
      </c>
      <c r="AA234">
        <v>23</v>
      </c>
      <c r="AB234">
        <v>23</v>
      </c>
      <c r="AC234">
        <v>2.8</v>
      </c>
      <c r="AE234" s="11">
        <v>66</v>
      </c>
      <c r="AF234" t="str">
        <f>CONCATENATE(VLOOKUP(AG234, 'Voxel Sizes'!$A$2:$B$18,2,FALSE),"x",INT(AC234*15), "x", INT(AD234*15))</f>
        <v>214x42x0</v>
      </c>
      <c r="AG234">
        <f t="shared" si="100"/>
        <v>13</v>
      </c>
      <c r="AI234" t="str">
        <f>CONCATENATE(VLOOKUP(AG234,Constants!$A$2:$C$16,IF(AH234&lt;&gt;"", 3, 2), FALSE),IF(AH234&lt;&gt;"",CONCATENATE(",",VLOOKUP(AH234,$B:$AI,34,FALSE)),""))</f>
        <v>4,5,4</v>
      </c>
      <c r="AK234" t="s">
        <v>659</v>
      </c>
      <c r="AM234" t="s">
        <v>660</v>
      </c>
      <c r="AQ234">
        <v>28</v>
      </c>
      <c r="AR234" t="str">
        <f t="shared" si="93"/>
        <v/>
      </c>
      <c r="AS234">
        <v>-15</v>
      </c>
      <c r="AT234">
        <v>-35</v>
      </c>
      <c r="AU234">
        <f t="shared" si="94"/>
        <v>20</v>
      </c>
      <c r="AV234">
        <f t="shared" si="95"/>
        <v>13.4</v>
      </c>
      <c r="AW234">
        <f t="shared" si="96"/>
        <v>10.5</v>
      </c>
      <c r="AX234" s="4">
        <v>1</v>
      </c>
      <c r="AY234">
        <f t="shared" si="97"/>
        <v>11</v>
      </c>
      <c r="AZ234">
        <f>VLOOKUP($E234,Constants!$I:$K, 2, FALSE)</f>
        <v>0.85</v>
      </c>
      <c r="BA234">
        <f>VLOOKUP($E234,Constants!$I:$K, 3, FALSE)*IF(AND(D234="multiple_unit",Y234&lt;110),0.75,1)</f>
        <v>1.7249999999999999</v>
      </c>
      <c r="BB234">
        <f>INT(POWER(((Constants!$G$2+$AU234+$AV234+$AW234+$AY234)*$AX234)*$BA234, 1.05))+$AT234</f>
        <v>95</v>
      </c>
      <c r="BC234">
        <f>INT(POWER((((Constants!$G$1+$AU234+$AV234+$AW234+$AY234)*(1/$AX234))*$AZ234),IF($D234="wagon",1,1.2)))+$AS234</f>
        <v>119</v>
      </c>
      <c r="BD234" s="15">
        <f t="shared" si="101"/>
        <v>74218.75</v>
      </c>
      <c r="BE234" s="15">
        <f t="shared" si="102"/>
        <v>9668.75</v>
      </c>
      <c r="BK234" t="s">
        <v>257</v>
      </c>
      <c r="BM234" t="s">
        <v>1216</v>
      </c>
      <c r="BN234">
        <v>3</v>
      </c>
      <c r="BO234">
        <v>205</v>
      </c>
      <c r="BQ234" t="s">
        <v>323</v>
      </c>
      <c r="BR234" t="str">
        <f>VLOOKUP(G234,Eras!$A$2:$C$10, 2, TRUE)</f>
        <v>prv</v>
      </c>
      <c r="BS234" t="s">
        <v>374</v>
      </c>
      <c r="BT234" t="str">
        <f t="shared" si="103"/>
        <v>prv_EMU (Express)</v>
      </c>
      <c r="BU234" t="str">
        <f t="shared" si="99"/>
        <v/>
      </c>
      <c r="BV234" t="str">
        <f t="shared" si="98"/>
        <v>{BLACK}Cars: {GOLD}5{}</v>
      </c>
      <c r="BW234" t="s">
        <v>657</v>
      </c>
      <c r="BX234" t="str">
        <f t="shared" si="106"/>
        <v>{YELLOW}10% Bonus for long distance travel{}</v>
      </c>
      <c r="BY234" t="str">
        <f t="shared" si="104"/>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5" spans="1:77" x14ac:dyDescent="0.25">
      <c r="A235" t="s">
        <v>93</v>
      </c>
      <c r="B235" t="s">
        <v>1207</v>
      </c>
      <c r="C235">
        <v>503</v>
      </c>
      <c r="D235" t="s">
        <v>453</v>
      </c>
      <c r="E235" t="s">
        <v>336</v>
      </c>
      <c r="F235" t="s">
        <v>343</v>
      </c>
      <c r="G235">
        <v>2004</v>
      </c>
      <c r="J235">
        <v>4</v>
      </c>
      <c r="K235">
        <v>2680</v>
      </c>
      <c r="T235">
        <f>227/5*4</f>
        <v>181.6</v>
      </c>
      <c r="V235">
        <f t="shared" si="105"/>
        <v>32</v>
      </c>
      <c r="W235">
        <v>210</v>
      </c>
      <c r="X235" s="4">
        <f t="shared" si="107"/>
        <v>0.11563876651982379</v>
      </c>
      <c r="Y235">
        <v>100</v>
      </c>
      <c r="AA235">
        <v>23</v>
      </c>
      <c r="AB235">
        <v>23</v>
      </c>
      <c r="AC235">
        <v>2.8</v>
      </c>
      <c r="AE235" s="11">
        <v>66</v>
      </c>
      <c r="AF235" t="str">
        <f>CONCATENATE(VLOOKUP(AG235, 'Voxel Sizes'!$A$2:$B$18,2,FALSE),"x",INT(AC235*15), "x", INT(AD235*15))</f>
        <v>214x42x0</v>
      </c>
      <c r="AG235">
        <f t="shared" si="100"/>
        <v>13</v>
      </c>
      <c r="AI235" t="str">
        <f>CONCATENATE(VLOOKUP(AG235,Constants!$A$2:$C$16,IF(AH235&lt;&gt;"", 3, 2), FALSE),IF(AH235&lt;&gt;"",CONCATENATE(",",VLOOKUP(AH235,$B:$AI,34,FALSE)),""))</f>
        <v>4,5,4</v>
      </c>
      <c r="AK235" t="s">
        <v>1208</v>
      </c>
      <c r="AM235" t="s">
        <v>1195</v>
      </c>
      <c r="AN235" t="s">
        <v>258</v>
      </c>
      <c r="AQ235">
        <v>28</v>
      </c>
      <c r="AR235" t="str">
        <f t="shared" si="93"/>
        <v/>
      </c>
      <c r="AS235">
        <v>-15</v>
      </c>
      <c r="AT235">
        <v>-35</v>
      </c>
      <c r="AU235">
        <f t="shared" si="94"/>
        <v>20</v>
      </c>
      <c r="AV235">
        <f t="shared" si="95"/>
        <v>13.4</v>
      </c>
      <c r="AW235">
        <f t="shared" si="96"/>
        <v>10.5</v>
      </c>
      <c r="AX235" s="4">
        <v>1</v>
      </c>
      <c r="AY235">
        <f t="shared" si="97"/>
        <v>8.8000000000000007</v>
      </c>
      <c r="AZ235">
        <f>VLOOKUP($E235,Constants!$I:$K, 2, FALSE)</f>
        <v>0.85</v>
      </c>
      <c r="BA235">
        <f>VLOOKUP($E235,Constants!$I:$K, 3, FALSE)*IF(AND(D235="multiple_unit",Y235&lt;110),0.75,1)</f>
        <v>1.7249999999999999</v>
      </c>
      <c r="BB235">
        <f>INT(POWER(((Constants!$G$2+$AU235+$AV235+$AW235+$AY235)*$AX235)*$BA235, 1.05))+$AT235</f>
        <v>90</v>
      </c>
      <c r="BC235">
        <f>INT(POWER((((Constants!$G$1+$AU235+$AV235+$AW235+$AY235)*(1/$AX235))*$AZ235),IF($D235="wagon",1,1.2)))+$AS235</f>
        <v>114</v>
      </c>
      <c r="BD235" s="15">
        <f t="shared" si="101"/>
        <v>70312.5</v>
      </c>
      <c r="BE235" s="15">
        <f t="shared" si="102"/>
        <v>9262.5</v>
      </c>
      <c r="BK235" t="s">
        <v>257</v>
      </c>
      <c r="BM235" t="s">
        <v>1218</v>
      </c>
      <c r="BN235">
        <v>4</v>
      </c>
      <c r="BO235">
        <v>205</v>
      </c>
      <c r="BQ235" t="s">
        <v>323</v>
      </c>
      <c r="BR235" t="str">
        <f>VLOOKUP(G235,Eras!$A$2:$C$10, 2, TRUE)</f>
        <v>prv</v>
      </c>
      <c r="BS235" t="s">
        <v>374</v>
      </c>
      <c r="BT235" t="str">
        <f t="shared" si="103"/>
        <v>prv_EMU (Express)</v>
      </c>
      <c r="BU235" t="str">
        <f t="shared" si="99"/>
        <v/>
      </c>
      <c r="BV235" t="str">
        <f t="shared" si="98"/>
        <v>{BLACK}Cars: {GOLD}4{}</v>
      </c>
      <c r="BW235" t="s">
        <v>657</v>
      </c>
      <c r="BX235" t="str">
        <f t="shared" si="106"/>
        <v>{YELLOW}10% Bonus for long distance travel{}</v>
      </c>
      <c r="BY235" t="str">
        <f t="shared" si="104"/>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6" spans="1:77" x14ac:dyDescent="0.25">
      <c r="A236" t="s">
        <v>86</v>
      </c>
      <c r="B236" t="s">
        <v>282</v>
      </c>
      <c r="C236">
        <v>506</v>
      </c>
      <c r="D236" t="s">
        <v>168</v>
      </c>
      <c r="E236" t="s">
        <v>336</v>
      </c>
      <c r="F236" t="s">
        <v>314</v>
      </c>
      <c r="G236">
        <v>2007</v>
      </c>
      <c r="H236">
        <v>2009</v>
      </c>
      <c r="K236">
        <f>16*280</f>
        <v>4480</v>
      </c>
      <c r="T236">
        <v>265</v>
      </c>
      <c r="X236" s="4" t="str">
        <f t="shared" si="107"/>
        <v/>
      </c>
      <c r="Y236">
        <v>157</v>
      </c>
      <c r="AA236">
        <v>20.88</v>
      </c>
      <c r="AB236">
        <v>20.88</v>
      </c>
      <c r="AD236">
        <v>3.82</v>
      </c>
      <c r="AE236" s="11">
        <v>352</v>
      </c>
      <c r="AF236" t="str">
        <f>CONCATENATE(VLOOKUP(AG236, 'Voxel Sizes'!$A$2:$B$18,2,FALSE),"x",INT(AC236*15), "x", INT(AD236*15))</f>
        <v>198x0x57</v>
      </c>
      <c r="AG236">
        <f t="shared" si="100"/>
        <v>12</v>
      </c>
      <c r="AI236" t="str">
        <f>CONCATENATE(VLOOKUP(AG236,Constants!$A$2:$C$16,IF(AH236&lt;&gt;"", 3, 2), FALSE),IF(AH236&lt;&gt;"",CONCATENATE(",",VLOOKUP(AH236,$B:$AI,34,FALSE)),""))</f>
        <v>4,4,4</v>
      </c>
      <c r="AQ236">
        <v>30</v>
      </c>
      <c r="AR236" t="str">
        <f t="shared" si="93"/>
        <v/>
      </c>
      <c r="AS236">
        <v>-15</v>
      </c>
      <c r="AU236">
        <f t="shared" si="94"/>
        <v>30</v>
      </c>
      <c r="AV236">
        <f t="shared" si="95"/>
        <v>20</v>
      </c>
      <c r="AW236">
        <f t="shared" si="96"/>
        <v>0</v>
      </c>
      <c r="AX236" s="4">
        <v>1</v>
      </c>
      <c r="AY236">
        <f t="shared" si="97"/>
        <v>10</v>
      </c>
      <c r="AZ236">
        <f>VLOOKUP($E236,Constants!$I:$K, 2, FALSE)</f>
        <v>0.85</v>
      </c>
      <c r="BA236">
        <f>VLOOKUP($E236,Constants!$I:$K, 3, FALSE)*IF(AND(D236="multiple_unit",Y236&lt;110),0.75,1)</f>
        <v>2.2999999999999998</v>
      </c>
      <c r="BB236">
        <f>INT(POWER(((Constants!$G$2+$AU236+$AV236+$AW236+$AY236)*$AX236)*$BA236, 1.05))+$AT236</f>
        <v>192</v>
      </c>
      <c r="BC236">
        <f>INT(POWER((((Constants!$G$1+$AU236+$AV236+$AW236+$AY236)*(1/$AX236))*$AZ236),IF($D236="wagon",1,1.2)))+$AS236</f>
        <v>131</v>
      </c>
      <c r="BD236" s="15">
        <f t="shared" si="101"/>
        <v>150000</v>
      </c>
      <c r="BE236" s="15">
        <f t="shared" si="102"/>
        <v>10643.75</v>
      </c>
      <c r="BN236">
        <v>5</v>
      </c>
      <c r="BO236">
        <v>185</v>
      </c>
      <c r="BR236" t="str">
        <f>VLOOKUP(G236,Eras!$A$2:$C$10, 2, TRUE)</f>
        <v>mod</v>
      </c>
      <c r="BS236" t="s">
        <v>374</v>
      </c>
      <c r="BT236" t="str">
        <f t="shared" si="103"/>
        <v>mod_EMU (Express)</v>
      </c>
      <c r="BU236" t="str">
        <f t="shared" si="99"/>
        <v/>
      </c>
      <c r="BV236" t="str">
        <f t="shared" si="98"/>
        <v/>
      </c>
      <c r="BX236" t="str">
        <f t="shared" si="106"/>
        <v/>
      </c>
      <c r="BY236" t="str">
        <f t="shared" si="104"/>
        <v>{SILVER}</v>
      </c>
    </row>
    <row r="237" spans="1:77" x14ac:dyDescent="0.25">
      <c r="A237" t="s">
        <v>91</v>
      </c>
      <c r="B237" t="s">
        <v>256</v>
      </c>
      <c r="C237">
        <v>508</v>
      </c>
      <c r="D237" t="s">
        <v>453</v>
      </c>
      <c r="E237" t="s">
        <v>605</v>
      </c>
      <c r="F237" t="s">
        <v>604</v>
      </c>
      <c r="G237">
        <v>2009</v>
      </c>
      <c r="J237">
        <v>5</v>
      </c>
      <c r="K237">
        <f>800*2</f>
        <v>1600</v>
      </c>
      <c r="T237">
        <v>212.8</v>
      </c>
      <c r="V237">
        <f>10*J237</f>
        <v>50</v>
      </c>
      <c r="W237">
        <v>180</v>
      </c>
      <c r="X237" s="4">
        <f t="shared" si="107"/>
        <v>8.4586466165413529E-2</v>
      </c>
      <c r="Y237">
        <v>75</v>
      </c>
      <c r="AA237">
        <v>20.399999999999999</v>
      </c>
      <c r="AB237">
        <v>20.399999999999999</v>
      </c>
      <c r="AC237">
        <v>2.8</v>
      </c>
      <c r="AD237">
        <v>3.78</v>
      </c>
      <c r="AE237" s="11">
        <v>90</v>
      </c>
      <c r="AF237" t="str">
        <f>CONCATENATE(VLOOKUP(AG237, 'Voxel Sizes'!$A$2:$B$18,2,FALSE),"x",INT(AC237*15), "x", INT(AD237*15))</f>
        <v>198x42x56</v>
      </c>
      <c r="AG237">
        <f t="shared" si="100"/>
        <v>12</v>
      </c>
      <c r="AI237" t="str">
        <f>CONCATENATE(VLOOKUP(AG237,Constants!$A$2:$C$16,IF(AH237&lt;&gt;"", 3, 2), FALSE),IF(AH237&lt;&gt;"",CONCATENATE(",",VLOOKUP(AH237,$B:$AI,34,FALSE)),""))</f>
        <v>4,4,4</v>
      </c>
      <c r="AK237" t="s">
        <v>653</v>
      </c>
      <c r="AL237" t="s">
        <v>654</v>
      </c>
      <c r="AM237" t="s">
        <v>655</v>
      </c>
      <c r="AQ237">
        <v>30</v>
      </c>
      <c r="AR237" t="str">
        <f t="shared" si="93"/>
        <v/>
      </c>
      <c r="AS237">
        <v>-15</v>
      </c>
      <c r="AT237">
        <v>-35</v>
      </c>
      <c r="AU237">
        <f t="shared" si="94"/>
        <v>15</v>
      </c>
      <c r="AV237">
        <f t="shared" si="95"/>
        <v>8</v>
      </c>
      <c r="AW237">
        <f t="shared" si="96"/>
        <v>9</v>
      </c>
      <c r="AX237" s="4">
        <v>1</v>
      </c>
      <c r="AY237">
        <f t="shared" si="97"/>
        <v>15</v>
      </c>
      <c r="AZ237">
        <f>VLOOKUP($E237,Constants!$I:$K, 2, FALSE)</f>
        <v>0.85</v>
      </c>
      <c r="BA237">
        <f>VLOOKUP($E237,Constants!$I:$K, 3, FALSE)*IF(AND(D237="multiple_unit",Y237&lt;110),0.75,1)</f>
        <v>1.7999999999999998</v>
      </c>
      <c r="BB237">
        <f>INT(POWER(((Constants!$G$2+$AU237+$AV237+$AW237+$AY237)*$AX237)*$BA237, 1.05))+$AT237</f>
        <v>82</v>
      </c>
      <c r="BC237">
        <f>INT(POWER((((Constants!$G$1+$AU237+$AV237+$AW237+$AY237)*(1/$AX237))*$AZ237),IF($D237="wagon",1,1.2)))+$AS237</f>
        <v>101</v>
      </c>
      <c r="BD237" s="15">
        <f t="shared" si="101"/>
        <v>64062.5</v>
      </c>
      <c r="BE237" s="15">
        <f t="shared" si="102"/>
        <v>8206.25</v>
      </c>
      <c r="BN237">
        <v>6</v>
      </c>
      <c r="BO237">
        <v>165</v>
      </c>
      <c r="BQ237" t="s">
        <v>323</v>
      </c>
      <c r="BR237" t="str">
        <f>VLOOKUP(G237,Eras!$A$2:$C$10, 2, TRUE)</f>
        <v>mod</v>
      </c>
      <c r="BS237" t="s">
        <v>373</v>
      </c>
      <c r="BT237" t="str">
        <f t="shared" si="103"/>
        <v>mod_EMU</v>
      </c>
      <c r="BU237" t="str">
        <f t="shared" si="99"/>
        <v/>
      </c>
      <c r="BV237" t="str">
        <f t="shared" si="98"/>
        <v>{BLACK}Cars: {GOLD}5{}</v>
      </c>
      <c r="BW237" t="s">
        <v>652</v>
      </c>
      <c r="BX237" t="str">
        <f t="shared" si="106"/>
        <v>{YELLOW}10% Penalty for long distance travel{}</v>
      </c>
      <c r="BY237" t="str">
        <f t="shared" si="104"/>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8" spans="1:77" x14ac:dyDescent="0.25">
      <c r="A238" t="s">
        <v>134</v>
      </c>
      <c r="B238" t="s">
        <v>237</v>
      </c>
      <c r="C238">
        <v>602</v>
      </c>
      <c r="D238" t="s">
        <v>321</v>
      </c>
      <c r="E238" t="s">
        <v>1175</v>
      </c>
      <c r="F238" t="s">
        <v>314</v>
      </c>
      <c r="G238">
        <v>1894</v>
      </c>
      <c r="I238">
        <v>1970</v>
      </c>
      <c r="T238">
        <v>20</v>
      </c>
      <c r="X238" s="4" t="str">
        <f t="shared" si="107"/>
        <v/>
      </c>
      <c r="Y238">
        <v>70</v>
      </c>
      <c r="AA238">
        <v>7.3</v>
      </c>
      <c r="AB238">
        <v>11</v>
      </c>
      <c r="AE238" s="11">
        <v>0</v>
      </c>
      <c r="AF238" t="str">
        <f>CONCATENATE(VLOOKUP(AG238, 'Voxel Sizes'!$A$2:$B$18,2,FALSE),"x",INT(AC238*15), "x", INT(AD238*15))</f>
        <v>102x0x0</v>
      </c>
      <c r="AG238">
        <f t="shared" si="100"/>
        <v>6</v>
      </c>
      <c r="AI238" t="str">
        <f>CONCATENATE(VLOOKUP(AG238,Constants!$A$2:$C$16,IF(AH238&lt;&gt;"", 3, 2), FALSE),IF(AH238&lt;&gt;"",CONCATENATE(",",VLOOKUP(AH238,$B:$AI,34,FALSE)),""))</f>
        <v>2,2,2</v>
      </c>
      <c r="AQ238">
        <v>30</v>
      </c>
      <c r="AR238">
        <f t="shared" si="93"/>
        <v>72</v>
      </c>
      <c r="AU238">
        <f t="shared" si="94"/>
        <v>14</v>
      </c>
      <c r="AV238">
        <f t="shared" si="95"/>
        <v>0</v>
      </c>
      <c r="AW238">
        <f t="shared" si="96"/>
        <v>0</v>
      </c>
      <c r="AX238" s="4">
        <v>1</v>
      </c>
      <c r="AY238">
        <f t="shared" si="97"/>
        <v>0</v>
      </c>
      <c r="AZ238">
        <f>VLOOKUP($E238,Constants!$I:$K, 2, FALSE)</f>
        <v>1</v>
      </c>
      <c r="BA238">
        <f>VLOOKUP($E238,Constants!$I:$K, 3, FALSE)*IF(AND(D238="multiple_unit",Y238&lt;110),0.75,1)</f>
        <v>0.4</v>
      </c>
      <c r="BB238">
        <f>INT(POWER(((Constants!$G$2+$AU238+$AV238+$AW238+$AY238)*$AX238)*$BA238, 1.05))+$AT238</f>
        <v>8</v>
      </c>
      <c r="BC238">
        <f>INT(POWER((((Constants!$G$1+$AU238+$AV238+$AW238+$AY238)*(1/$AX238))*$AZ238),IF($D238="wagon",1,1.2)))+$AS238</f>
        <v>29</v>
      </c>
      <c r="BD238" s="15">
        <f t="shared" si="101"/>
        <v>500</v>
      </c>
      <c r="BE238" s="15">
        <f t="shared" si="102"/>
        <v>79.17</v>
      </c>
      <c r="BN238">
        <v>7</v>
      </c>
      <c r="BP238" t="s">
        <v>1113</v>
      </c>
      <c r="BQ238" t="s">
        <v>761</v>
      </c>
      <c r="BR238" t="str">
        <f>VLOOKUP(G238,Eras!$A$2:$C$10, 2, TRUE)</f>
        <v>vct</v>
      </c>
      <c r="BS238" t="s">
        <v>759</v>
      </c>
      <c r="BT238" t="str">
        <f t="shared" si="103"/>
        <v>vct_Extra</v>
      </c>
      <c r="BU238" t="str">
        <f t="shared" si="99"/>
        <v/>
      </c>
      <c r="BV238" t="str">
        <f t="shared" si="98"/>
        <v/>
      </c>
      <c r="BW238" t="s">
        <v>760</v>
      </c>
      <c r="BX238" t="str">
        <f t="shared" si="106"/>
        <v>{YELLOW}Speed bonus for slow wagons{}</v>
      </c>
      <c r="BY238" t="str">
        <f t="shared" si="104"/>
        <v>{YELLOW}Speed bonus for slow wagons{}{SILVER}The Great Western Railway standardised brake van designs from 1894. The distinctive design includes an open "veranda" at the back of the vehicle.</v>
      </c>
    </row>
    <row r="239" spans="1:77" x14ac:dyDescent="0.25">
      <c r="A239" t="s">
        <v>135</v>
      </c>
      <c r="B239" t="s">
        <v>238</v>
      </c>
      <c r="C239">
        <v>604</v>
      </c>
      <c r="D239" t="s">
        <v>321</v>
      </c>
      <c r="E239" t="s">
        <v>1175</v>
      </c>
      <c r="F239" t="s">
        <v>314</v>
      </c>
      <c r="G239">
        <v>1941</v>
      </c>
      <c r="I239">
        <v>1970</v>
      </c>
      <c r="T239">
        <v>20</v>
      </c>
      <c r="X239" s="4" t="str">
        <f t="shared" si="107"/>
        <v/>
      </c>
      <c r="Y239">
        <v>70</v>
      </c>
      <c r="AA239">
        <v>7.3</v>
      </c>
      <c r="AB239">
        <v>11</v>
      </c>
      <c r="AE239" s="11">
        <v>0</v>
      </c>
      <c r="AF239" t="str">
        <f>CONCATENATE(VLOOKUP(AG239, 'Voxel Sizes'!$A$2:$B$18,2,FALSE),"x",INT(AC239*15), "x", INT(AD239*15))</f>
        <v>102x0x0</v>
      </c>
      <c r="AG239">
        <f t="shared" si="100"/>
        <v>6</v>
      </c>
      <c r="AI239" t="str">
        <f>CONCATENATE(VLOOKUP(AG239,Constants!$A$2:$C$16,IF(AH239&lt;&gt;"", 3, 2), FALSE),IF(AH239&lt;&gt;"",CONCATENATE(",",VLOOKUP(AH239,$B:$AI,34,FALSE)),""))</f>
        <v>2,2,2</v>
      </c>
      <c r="AQ239">
        <v>30</v>
      </c>
      <c r="AR239">
        <f t="shared" si="93"/>
        <v>25</v>
      </c>
      <c r="AU239">
        <f t="shared" si="94"/>
        <v>14</v>
      </c>
      <c r="AV239">
        <f t="shared" si="95"/>
        <v>0</v>
      </c>
      <c r="AW239">
        <f t="shared" si="96"/>
        <v>0</v>
      </c>
      <c r="AX239" s="4">
        <v>1</v>
      </c>
      <c r="AY239">
        <f t="shared" si="97"/>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101"/>
        <v>500</v>
      </c>
      <c r="BE239" s="15">
        <f t="shared" si="102"/>
        <v>79.17</v>
      </c>
      <c r="BN239">
        <v>8</v>
      </c>
      <c r="BP239" t="s">
        <v>1113</v>
      </c>
      <c r="BQ239" t="s">
        <v>761</v>
      </c>
      <c r="BR239" t="str">
        <f>VLOOKUP(G239,Eras!$A$2:$C$10, 2, TRUE)</f>
        <v>big4</v>
      </c>
      <c r="BS239" t="s">
        <v>759</v>
      </c>
      <c r="BT239" t="str">
        <f t="shared" si="103"/>
        <v>big4_Extra</v>
      </c>
      <c r="BU239" t="str">
        <f t="shared" si="99"/>
        <v/>
      </c>
      <c r="BV239" t="str">
        <f t="shared" si="98"/>
        <v/>
      </c>
      <c r="BW239" t="s">
        <v>774</v>
      </c>
      <c r="BX239" t="str">
        <f t="shared" si="106"/>
        <v>{YELLOW}Speed bonus for slow wagons{}</v>
      </c>
      <c r="BY239" t="str">
        <f t="shared" si="104"/>
        <v>{YELLOW}Speed bonus for slow wagons{}{SILVER}BR inherited a large number of brake vans from the Big Four, but quickly set about introducing their own standard model based on 1940s LNER practice.</v>
      </c>
    </row>
    <row r="240" spans="1:77" x14ac:dyDescent="0.25">
      <c r="A240" t="s">
        <v>136</v>
      </c>
      <c r="B240" t="s">
        <v>239</v>
      </c>
      <c r="D240" t="s">
        <v>168</v>
      </c>
      <c r="E240" t="s">
        <v>1175</v>
      </c>
      <c r="F240" t="s">
        <v>314</v>
      </c>
      <c r="X240" s="4" t="str">
        <f t="shared" si="107"/>
        <v/>
      </c>
      <c r="AF240" t="str">
        <f>CONCATENATE(VLOOKUP(AG240, 'Voxel Sizes'!$A$2:$B$18,2,FALSE),"x",INT(AC240*15), "x", INT(AD240*15))</f>
        <v>0x0x0</v>
      </c>
      <c r="AG240">
        <f t="shared" si="100"/>
        <v>0</v>
      </c>
      <c r="AI240" t="str">
        <f>CONCATENATE(VLOOKUP(AG240,Constants!$A$2:$C$16,IF(AH240&lt;&gt;"", 3, 2), FALSE),IF(AH240&lt;&gt;"",CONCATENATE(",",VLOOKUP(AH240,$B:$AI,34,FALSE)),""))</f>
        <v>na</v>
      </c>
      <c r="AQ240">
        <v>30</v>
      </c>
      <c r="AR240" t="str">
        <f t="shared" si="93"/>
        <v/>
      </c>
      <c r="AU240">
        <f t="shared" si="94"/>
        <v>0</v>
      </c>
      <c r="AV240">
        <f t="shared" si="95"/>
        <v>0</v>
      </c>
      <c r="AW240">
        <f t="shared" si="96"/>
        <v>0</v>
      </c>
      <c r="AX240" s="4">
        <v>1</v>
      </c>
      <c r="AY240">
        <f t="shared" si="97"/>
        <v>0</v>
      </c>
      <c r="AZ240">
        <f>VLOOKUP($E240,Constants!$I:$K, 2, FALSE)</f>
        <v>1</v>
      </c>
      <c r="BA240">
        <f>VLOOKUP($E240,Constants!$I:$K, 3, FALSE)*IF(AND(D240="multiple_unit",Y240&lt;110),0.75,1)</f>
        <v>0.4</v>
      </c>
      <c r="BB240">
        <f>INT(POWER(((Constants!$G$2+$AU240+$AV240+$AW240+$AY240)*$AX240)*$BA240, 1.05))+$AT240</f>
        <v>2</v>
      </c>
      <c r="BC240">
        <f>INT(POWER((((Constants!$G$1+$AU240+$AV240+$AW240+$AY240)*(1/$AX240))*$AZ240),IF($D240="wagon",1,1.2)))+$AS240</f>
        <v>25</v>
      </c>
      <c r="BD240" s="15">
        <f t="shared" si="101"/>
        <v>1562.5</v>
      </c>
      <c r="BE240" s="15">
        <f t="shared" si="102"/>
        <v>2031.25</v>
      </c>
      <c r="BN240">
        <v>9</v>
      </c>
      <c r="BR240" t="e">
        <f>VLOOKUP(G240,Eras!$A$2:$C$10, 2, TRUE)</f>
        <v>#N/A</v>
      </c>
      <c r="BT240" t="e">
        <f t="shared" si="103"/>
        <v>#N/A</v>
      </c>
      <c r="BU240" t="str">
        <f t="shared" si="99"/>
        <v/>
      </c>
      <c r="BV240" t="str">
        <f t="shared" si="98"/>
        <v/>
      </c>
      <c r="BX240" t="str">
        <f t="shared" si="106"/>
        <v/>
      </c>
      <c r="BY240" t="str">
        <f t="shared" si="104"/>
        <v>{SILVER}</v>
      </c>
    </row>
    <row r="241" spans="1:77" x14ac:dyDescent="0.25">
      <c r="A241" t="s">
        <v>125</v>
      </c>
      <c r="B241" t="s">
        <v>293</v>
      </c>
      <c r="D241" t="s">
        <v>168</v>
      </c>
      <c r="E241" t="s">
        <v>1173</v>
      </c>
      <c r="F241" t="s">
        <v>314</v>
      </c>
      <c r="X241" s="4" t="str">
        <f t="shared" si="107"/>
        <v/>
      </c>
      <c r="AF241" t="str">
        <f>CONCATENATE(VLOOKUP(AG241, 'Voxel Sizes'!$A$2:$B$18,2,FALSE),"x",INT(AC241*15), "x", INT(AD241*15))</f>
        <v>0x0x0</v>
      </c>
      <c r="AG241">
        <f t="shared" si="100"/>
        <v>0</v>
      </c>
      <c r="AI241" t="str">
        <f>CONCATENATE(VLOOKUP(AG241,Constants!$A$2:$C$16,IF(AH241&lt;&gt;"", 3, 2), FALSE),IF(AH241&lt;&gt;"",CONCATENATE(",",VLOOKUP(AH241,$B:$AI,34,FALSE)),""))</f>
        <v>na</v>
      </c>
      <c r="AQ241">
        <v>30</v>
      </c>
      <c r="AR241" t="str">
        <f t="shared" si="93"/>
        <v/>
      </c>
      <c r="AU241">
        <f t="shared" si="94"/>
        <v>0</v>
      </c>
      <c r="AV241">
        <f t="shared" si="95"/>
        <v>0</v>
      </c>
      <c r="AW241">
        <f t="shared" si="96"/>
        <v>0</v>
      </c>
      <c r="AX241" s="4">
        <v>1</v>
      </c>
      <c r="AY241">
        <f t="shared" si="97"/>
        <v>0</v>
      </c>
      <c r="AZ241">
        <f>VLOOKUP($E241,Constants!$I:$K, 2, FALSE)</f>
        <v>1.2</v>
      </c>
      <c r="BA241">
        <f>VLOOKUP($E241,Constants!$I:$K, 3, FALSE)*IF(AND(D241="multiple_unit",Y241&lt;110),0.75,1)</f>
        <v>0.6</v>
      </c>
      <c r="BB241">
        <f>INT(POWER(((Constants!$G$2+$AU241+$AV241+$AW241+$AY241)*$AX241)*$BA241, 1.05))+$AT241</f>
        <v>3</v>
      </c>
      <c r="BC241">
        <f>INT(POWER((((Constants!$G$1+$AU241+$AV241+$AW241+$AY241)*(1/$AX241))*$AZ241),IF($D241="wagon",1,1.2)))+$AS241</f>
        <v>32</v>
      </c>
      <c r="BD241" s="15">
        <f t="shared" si="101"/>
        <v>2343.75</v>
      </c>
      <c r="BE241" s="15">
        <f t="shared" si="102"/>
        <v>2600</v>
      </c>
      <c r="BN241">
        <v>10</v>
      </c>
      <c r="BR241" t="e">
        <f>VLOOKUP(G241,Eras!$A$2:$C$10, 2, TRUE)</f>
        <v>#N/A</v>
      </c>
      <c r="BT241" t="e">
        <f t="shared" si="103"/>
        <v>#N/A</v>
      </c>
      <c r="BU241" t="str">
        <f t="shared" si="99"/>
        <v/>
      </c>
      <c r="BV241" t="str">
        <f t="shared" si="98"/>
        <v/>
      </c>
      <c r="BX241" t="str">
        <f t="shared" si="106"/>
        <v/>
      </c>
      <c r="BY241" t="str">
        <f t="shared" si="104"/>
        <v>{SILVER}</v>
      </c>
    </row>
    <row r="242" spans="1:77" x14ac:dyDescent="0.25">
      <c r="A242" t="s">
        <v>126</v>
      </c>
      <c r="B242" t="s">
        <v>294</v>
      </c>
      <c r="D242" t="s">
        <v>168</v>
      </c>
      <c r="E242" t="s">
        <v>1173</v>
      </c>
      <c r="F242" t="s">
        <v>314</v>
      </c>
      <c r="X242" s="4" t="str">
        <f t="shared" si="107"/>
        <v/>
      </c>
      <c r="AF242" t="str">
        <f>CONCATENATE(VLOOKUP(AG242, 'Voxel Sizes'!$A$2:$B$18,2,FALSE),"x",INT(AC242*15), "x", INT(AD242*15))</f>
        <v>0x0x0</v>
      </c>
      <c r="AG242">
        <f t="shared" si="100"/>
        <v>0</v>
      </c>
      <c r="AI242" t="str">
        <f>CONCATENATE(VLOOKUP(AG242,Constants!$A$2:$C$16,IF(AH242&lt;&gt;"", 3, 2), FALSE),IF(AH242&lt;&gt;"",CONCATENATE(",",VLOOKUP(AH242,$B:$AI,34,FALSE)),""))</f>
        <v>na</v>
      </c>
      <c r="AQ242">
        <v>30</v>
      </c>
      <c r="AR242" t="str">
        <f t="shared" si="93"/>
        <v/>
      </c>
      <c r="AU242">
        <f t="shared" si="94"/>
        <v>0</v>
      </c>
      <c r="AV242">
        <f t="shared" si="95"/>
        <v>0</v>
      </c>
      <c r="AW242">
        <f t="shared" si="96"/>
        <v>0</v>
      </c>
      <c r="AX242" s="4">
        <v>1</v>
      </c>
      <c r="AY242">
        <f t="shared" si="97"/>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101"/>
        <v>2343.75</v>
      </c>
      <c r="BE242" s="15">
        <f t="shared" si="102"/>
        <v>2600</v>
      </c>
      <c r="BN242">
        <v>11</v>
      </c>
      <c r="BR242" t="e">
        <f>VLOOKUP(G242,Eras!$A$2:$C$10, 2, TRUE)</f>
        <v>#N/A</v>
      </c>
      <c r="BT242" t="e">
        <f t="shared" si="103"/>
        <v>#N/A</v>
      </c>
      <c r="BU242" t="str">
        <f t="shared" si="99"/>
        <v/>
      </c>
      <c r="BV242" t="str">
        <f t="shared" si="98"/>
        <v/>
      </c>
      <c r="BX242" t="str">
        <f t="shared" si="106"/>
        <v/>
      </c>
      <c r="BY242" t="str">
        <f t="shared" si="104"/>
        <v>{SILVER}</v>
      </c>
    </row>
    <row r="243" spans="1:77" x14ac:dyDescent="0.25">
      <c r="A243" t="s">
        <v>129</v>
      </c>
      <c r="B243" t="s">
        <v>236</v>
      </c>
      <c r="D243" t="s">
        <v>168</v>
      </c>
      <c r="E243" t="s">
        <v>1173</v>
      </c>
      <c r="F243" t="s">
        <v>314</v>
      </c>
      <c r="X243" s="4" t="str">
        <f t="shared" si="107"/>
        <v/>
      </c>
      <c r="AF243" t="str">
        <f>CONCATENATE(VLOOKUP(AG243, 'Voxel Sizes'!$A$2:$B$18,2,FALSE),"x",INT(AC243*15), "x", INT(AD243*15))</f>
        <v>0x0x0</v>
      </c>
      <c r="AG243">
        <f t="shared" si="100"/>
        <v>0</v>
      </c>
      <c r="AI243" t="str">
        <f>CONCATENATE(VLOOKUP(AG243,Constants!$A$2:$C$16,IF(AH243&lt;&gt;"", 3, 2), FALSE),IF(AH243&lt;&gt;"",CONCATENATE(",",VLOOKUP(AH243,$B:$AI,34,FALSE)),""))</f>
        <v>na</v>
      </c>
      <c r="AQ243">
        <v>30</v>
      </c>
      <c r="AR243" t="str">
        <f t="shared" si="93"/>
        <v/>
      </c>
      <c r="AU243">
        <f t="shared" si="94"/>
        <v>0</v>
      </c>
      <c r="AV243">
        <f t="shared" si="95"/>
        <v>0</v>
      </c>
      <c r="AW243">
        <f t="shared" si="96"/>
        <v>0</v>
      </c>
      <c r="AX243" s="4">
        <v>1</v>
      </c>
      <c r="AY243">
        <f t="shared" si="9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01"/>
        <v>2343.75</v>
      </c>
      <c r="BE243" s="15">
        <f t="shared" si="102"/>
        <v>2600</v>
      </c>
      <c r="BN243">
        <v>12</v>
      </c>
      <c r="BR243" t="e">
        <f>VLOOKUP(G243,Eras!$A$2:$C$10, 2, TRUE)</f>
        <v>#N/A</v>
      </c>
      <c r="BT243" t="e">
        <f t="shared" si="103"/>
        <v>#N/A</v>
      </c>
      <c r="BU243" t="str">
        <f t="shared" si="99"/>
        <v/>
      </c>
      <c r="BV243" t="str">
        <f t="shared" si="98"/>
        <v/>
      </c>
      <c r="BX243" t="str">
        <f t="shared" si="106"/>
        <v/>
      </c>
      <c r="BY243" t="str">
        <f t="shared" si="104"/>
        <v>{SILVER}</v>
      </c>
    </row>
    <row r="244" spans="1:77" x14ac:dyDescent="0.25">
      <c r="A244" t="s">
        <v>106</v>
      </c>
      <c r="B244" t="s">
        <v>267</v>
      </c>
      <c r="D244" t="s">
        <v>168</v>
      </c>
      <c r="E244" t="s">
        <v>1176</v>
      </c>
      <c r="F244" t="s">
        <v>314</v>
      </c>
      <c r="X244" s="4" t="str">
        <f t="shared" si="107"/>
        <v/>
      </c>
      <c r="AF244" t="str">
        <f>CONCATENATE(VLOOKUP(AG244, 'Voxel Sizes'!$A$2:$B$18,2,FALSE),"x",INT(AC244*15), "x", INT(AD244*15))</f>
        <v>0x0x0</v>
      </c>
      <c r="AG244">
        <f t="shared" si="100"/>
        <v>0</v>
      </c>
      <c r="AI244" t="str">
        <f>CONCATENATE(VLOOKUP(AG244,Constants!$A$2:$C$16,IF(AH244&lt;&gt;"", 3, 2), FALSE),IF(AH244&lt;&gt;"",CONCATENATE(",",VLOOKUP(AH244,$B:$AI,34,FALSE)),""))</f>
        <v>na</v>
      </c>
      <c r="AQ244">
        <v>30</v>
      </c>
      <c r="AR244" t="str">
        <f t="shared" si="93"/>
        <v/>
      </c>
      <c r="AU244">
        <f t="shared" si="94"/>
        <v>0</v>
      </c>
      <c r="AV244">
        <f t="shared" si="95"/>
        <v>0</v>
      </c>
      <c r="AW244">
        <f t="shared" si="96"/>
        <v>0</v>
      </c>
      <c r="AX244" s="4">
        <v>1</v>
      </c>
      <c r="AY244">
        <f t="shared" si="97"/>
        <v>0</v>
      </c>
      <c r="AZ244">
        <f>VLOOKUP($E244,Constants!$I:$K, 2, FALSE)</f>
        <v>1</v>
      </c>
      <c r="BA244">
        <f>VLOOKUP($E244,Constants!$I:$K, 3, FALSE)*IF(AND(D244="multiple_unit",Y244&lt;110),0.75,1)</f>
        <v>1</v>
      </c>
      <c r="BB244">
        <f>INT(POWER(((Constants!$G$2+$AU244+$AV244+$AW244+$AY244)*$AX244)*$BA244, 1.05))+$AT244</f>
        <v>5</v>
      </c>
      <c r="BC244">
        <f>INT(POWER((((Constants!$G$1+$AU244+$AV244+$AW244+$AY244)*(1/$AX244))*$AZ244),IF($D244="wagon",1,1.2)))+$AS244</f>
        <v>25</v>
      </c>
      <c r="BD244" s="15">
        <f t="shared" si="101"/>
        <v>3906.25</v>
      </c>
      <c r="BE244" s="15">
        <f t="shared" si="102"/>
        <v>2031.25</v>
      </c>
      <c r="BN244">
        <v>1</v>
      </c>
      <c r="BR244" t="e">
        <f>VLOOKUP(G244,Eras!$A$2:$C$10, 2, TRUE)</f>
        <v>#N/A</v>
      </c>
      <c r="BT244" t="e">
        <f t="shared" si="103"/>
        <v>#N/A</v>
      </c>
      <c r="BU244" t="str">
        <f t="shared" si="99"/>
        <v/>
      </c>
      <c r="BV244" t="str">
        <f t="shared" si="98"/>
        <v/>
      </c>
      <c r="BX244" t="str">
        <f t="shared" si="106"/>
        <v/>
      </c>
      <c r="BY244" t="str">
        <f t="shared" si="104"/>
        <v>{SILVER}</v>
      </c>
    </row>
    <row r="245" spans="1:77" x14ac:dyDescent="0.25">
      <c r="A245" t="s">
        <v>108</v>
      </c>
      <c r="B245" t="s">
        <v>221</v>
      </c>
      <c r="D245" t="s">
        <v>168</v>
      </c>
      <c r="E245" t="s">
        <v>1176</v>
      </c>
      <c r="F245" t="s">
        <v>314</v>
      </c>
      <c r="X245" s="4" t="str">
        <f t="shared" si="107"/>
        <v/>
      </c>
      <c r="AF245" t="str">
        <f>CONCATENATE(VLOOKUP(AG245, 'Voxel Sizes'!$A$2:$B$18,2,FALSE),"x",INT(AC245*15), "x", INT(AD245*15))</f>
        <v>0x0x0</v>
      </c>
      <c r="AG245">
        <f t="shared" si="100"/>
        <v>0</v>
      </c>
      <c r="AI245" t="str">
        <f>CONCATENATE(VLOOKUP(AG245,Constants!$A$2:$C$16,IF(AH245&lt;&gt;"", 3, 2), FALSE),IF(AH245&lt;&gt;"",CONCATENATE(",",VLOOKUP(AH245,$B:$AI,34,FALSE)),""))</f>
        <v>na</v>
      </c>
      <c r="AQ245">
        <v>30</v>
      </c>
      <c r="AR245" t="str">
        <f t="shared" si="93"/>
        <v/>
      </c>
      <c r="AU245">
        <f t="shared" si="94"/>
        <v>0</v>
      </c>
      <c r="AV245">
        <f t="shared" si="95"/>
        <v>0</v>
      </c>
      <c r="AW245">
        <f t="shared" si="96"/>
        <v>0</v>
      </c>
      <c r="AX245" s="4">
        <v>1</v>
      </c>
      <c r="AY245">
        <f t="shared" si="97"/>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101"/>
        <v>3906.25</v>
      </c>
      <c r="BE245" s="15">
        <f t="shared" si="102"/>
        <v>2031.25</v>
      </c>
      <c r="BN245">
        <v>2</v>
      </c>
      <c r="BR245" t="e">
        <f>VLOOKUP(G245,Eras!$A$2:$C$10, 2, TRUE)</f>
        <v>#N/A</v>
      </c>
      <c r="BT245" t="e">
        <f t="shared" si="103"/>
        <v>#N/A</v>
      </c>
      <c r="BU245" t="str">
        <f t="shared" si="99"/>
        <v/>
      </c>
      <c r="BV245" t="str">
        <f t="shared" si="98"/>
        <v/>
      </c>
      <c r="BX245" t="str">
        <f t="shared" si="106"/>
        <v/>
      </c>
      <c r="BY245" t="str">
        <f t="shared" si="104"/>
        <v>{SILVER}</v>
      </c>
    </row>
    <row r="246" spans="1:77" x14ac:dyDescent="0.25">
      <c r="A246" t="s">
        <v>109</v>
      </c>
      <c r="B246" t="s">
        <v>222</v>
      </c>
      <c r="D246" t="s">
        <v>168</v>
      </c>
      <c r="E246" t="s">
        <v>1176</v>
      </c>
      <c r="F246" t="s">
        <v>314</v>
      </c>
      <c r="X246" s="4" t="str">
        <f t="shared" si="107"/>
        <v/>
      </c>
      <c r="AF246" t="str">
        <f>CONCATENATE(VLOOKUP(AG246, 'Voxel Sizes'!$A$2:$B$18,2,FALSE),"x",INT(AC246*15), "x", INT(AD246*15))</f>
        <v>0x0x0</v>
      </c>
      <c r="AG246">
        <f t="shared" si="100"/>
        <v>0</v>
      </c>
      <c r="AI246" t="str">
        <f>CONCATENATE(VLOOKUP(AG246,Constants!$A$2:$C$16,IF(AH246&lt;&gt;"", 3, 2), FALSE),IF(AH246&lt;&gt;"",CONCATENATE(",",VLOOKUP(AH246,$B:$AI,34,FALSE)),""))</f>
        <v>na</v>
      </c>
      <c r="AQ246">
        <v>30</v>
      </c>
      <c r="AR246" t="str">
        <f t="shared" si="93"/>
        <v/>
      </c>
      <c r="AU246">
        <f t="shared" si="94"/>
        <v>0</v>
      </c>
      <c r="AV246">
        <f t="shared" si="95"/>
        <v>0</v>
      </c>
      <c r="AW246">
        <f t="shared" si="96"/>
        <v>0</v>
      </c>
      <c r="AX246" s="4">
        <v>1</v>
      </c>
      <c r="AY246">
        <f t="shared" si="9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01"/>
        <v>3906.25</v>
      </c>
      <c r="BE246" s="15">
        <f t="shared" si="102"/>
        <v>2031.25</v>
      </c>
      <c r="BN246">
        <v>3</v>
      </c>
      <c r="BR246" t="e">
        <f>VLOOKUP(G246,Eras!$A$2:$C$10, 2, TRUE)</f>
        <v>#N/A</v>
      </c>
      <c r="BT246" t="e">
        <f t="shared" si="103"/>
        <v>#N/A</v>
      </c>
      <c r="BU246" t="str">
        <f t="shared" si="99"/>
        <v/>
      </c>
      <c r="BV246" t="str">
        <f t="shared" si="98"/>
        <v/>
      </c>
      <c r="BX246" t="str">
        <f t="shared" si="106"/>
        <v/>
      </c>
      <c r="BY246" t="str">
        <f t="shared" si="104"/>
        <v>{SILVER}</v>
      </c>
    </row>
    <row r="247" spans="1:77" x14ac:dyDescent="0.25">
      <c r="A247" t="s">
        <v>110</v>
      </c>
      <c r="B247" t="s">
        <v>265</v>
      </c>
      <c r="D247" t="s">
        <v>168</v>
      </c>
      <c r="E247" t="s">
        <v>1176</v>
      </c>
      <c r="F247" t="s">
        <v>314</v>
      </c>
      <c r="X247" s="4" t="str">
        <f t="shared" si="107"/>
        <v/>
      </c>
      <c r="AF247" t="str">
        <f>CONCATENATE(VLOOKUP(AG247, 'Voxel Sizes'!$A$2:$B$18,2,FALSE),"x",INT(AC247*15), "x", INT(AD247*15))</f>
        <v>0x0x0</v>
      </c>
      <c r="AG247">
        <f t="shared" si="100"/>
        <v>0</v>
      </c>
      <c r="AI247" t="str">
        <f>CONCATENATE(VLOOKUP(AG247,Constants!$A$2:$C$16,IF(AH247&lt;&gt;"", 3, 2), FALSE),IF(AH247&lt;&gt;"",CONCATENATE(",",VLOOKUP(AH247,$B:$AI,34,FALSE)),""))</f>
        <v>na</v>
      </c>
      <c r="AQ247">
        <v>30</v>
      </c>
      <c r="AR247" t="str">
        <f t="shared" si="93"/>
        <v/>
      </c>
      <c r="AU247">
        <f t="shared" si="94"/>
        <v>0</v>
      </c>
      <c r="AV247">
        <f t="shared" si="95"/>
        <v>0</v>
      </c>
      <c r="AW247">
        <f t="shared" si="96"/>
        <v>0</v>
      </c>
      <c r="AX247" s="4">
        <v>1</v>
      </c>
      <c r="AY247">
        <f t="shared" si="9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01"/>
        <v>3906.25</v>
      </c>
      <c r="BE247" s="15">
        <f t="shared" si="102"/>
        <v>2031.25</v>
      </c>
      <c r="BN247">
        <v>4</v>
      </c>
      <c r="BR247" t="e">
        <f>VLOOKUP(G247,Eras!$A$2:$C$10, 2, TRUE)</f>
        <v>#N/A</v>
      </c>
      <c r="BT247" t="e">
        <f t="shared" si="103"/>
        <v>#N/A</v>
      </c>
      <c r="BU247" t="str">
        <f t="shared" si="99"/>
        <v/>
      </c>
      <c r="BV247" t="str">
        <f t="shared" si="98"/>
        <v/>
      </c>
      <c r="BX247" t="str">
        <f t="shared" si="106"/>
        <v/>
      </c>
      <c r="BY247" t="str">
        <f t="shared" si="104"/>
        <v>{SILVER}</v>
      </c>
    </row>
    <row r="248" spans="1:77" x14ac:dyDescent="0.25">
      <c r="A248" t="s">
        <v>111</v>
      </c>
      <c r="B248" t="s">
        <v>291</v>
      </c>
      <c r="D248" t="s">
        <v>168</v>
      </c>
      <c r="E248" t="s">
        <v>1176</v>
      </c>
      <c r="F248" t="s">
        <v>314</v>
      </c>
      <c r="X248" s="4" t="str">
        <f t="shared" si="107"/>
        <v/>
      </c>
      <c r="AF248" t="str">
        <f>CONCATENATE(VLOOKUP(AG248, 'Voxel Sizes'!$A$2:$B$18,2,FALSE),"x",INT(AC248*15), "x", INT(AD248*15))</f>
        <v>0x0x0</v>
      </c>
      <c r="AG248">
        <f t="shared" si="100"/>
        <v>0</v>
      </c>
      <c r="AI248" t="str">
        <f>CONCATENATE(VLOOKUP(AG248,Constants!$A$2:$C$16,IF(AH248&lt;&gt;"", 3, 2), FALSE),IF(AH248&lt;&gt;"",CONCATENATE(",",VLOOKUP(AH248,$B:$AI,34,FALSE)),""))</f>
        <v>na</v>
      </c>
      <c r="AQ248">
        <v>30</v>
      </c>
      <c r="AR248" t="str">
        <f t="shared" si="93"/>
        <v/>
      </c>
      <c r="AU248">
        <f t="shared" si="94"/>
        <v>0</v>
      </c>
      <c r="AV248">
        <f t="shared" si="95"/>
        <v>0</v>
      </c>
      <c r="AW248">
        <f t="shared" si="96"/>
        <v>0</v>
      </c>
      <c r="AX248" s="4">
        <v>1</v>
      </c>
      <c r="AY248">
        <f t="shared" si="9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01"/>
        <v>3906.25</v>
      </c>
      <c r="BE248" s="15">
        <f t="shared" si="102"/>
        <v>2031.25</v>
      </c>
      <c r="BN248">
        <v>5</v>
      </c>
      <c r="BR248" t="e">
        <f>VLOOKUP(G248,Eras!$A$2:$C$10, 2, TRUE)</f>
        <v>#N/A</v>
      </c>
      <c r="BS248" t="s">
        <v>385</v>
      </c>
      <c r="BT248" t="e">
        <f t="shared" si="103"/>
        <v>#N/A</v>
      </c>
      <c r="BU248" t="str">
        <f t="shared" si="99"/>
        <v/>
      </c>
      <c r="BV248" t="str">
        <f t="shared" si="98"/>
        <v/>
      </c>
      <c r="BX248" t="str">
        <f t="shared" si="106"/>
        <v/>
      </c>
      <c r="BY248" t="str">
        <f t="shared" si="104"/>
        <v>{SILVER}</v>
      </c>
    </row>
    <row r="249" spans="1:77" x14ac:dyDescent="0.25">
      <c r="A249" t="s">
        <v>112</v>
      </c>
      <c r="B249" t="s">
        <v>223</v>
      </c>
      <c r="D249" t="s">
        <v>168</v>
      </c>
      <c r="E249" t="s">
        <v>1176</v>
      </c>
      <c r="F249" t="s">
        <v>314</v>
      </c>
      <c r="X249" s="4" t="str">
        <f t="shared" si="107"/>
        <v/>
      </c>
      <c r="AF249" t="str">
        <f>CONCATENATE(VLOOKUP(AG249, 'Voxel Sizes'!$A$2:$B$18,2,FALSE),"x",INT(AC249*15), "x", INT(AD249*15))</f>
        <v>0x0x0</v>
      </c>
      <c r="AG249">
        <f t="shared" si="100"/>
        <v>0</v>
      </c>
      <c r="AI249" t="str">
        <f>CONCATENATE(VLOOKUP(AG249,Constants!$A$2:$C$16,IF(AH249&lt;&gt;"", 3, 2), FALSE),IF(AH249&lt;&gt;"",CONCATENATE(",",VLOOKUP(AH249,$B:$AI,34,FALSE)),""))</f>
        <v>na</v>
      </c>
      <c r="AQ249">
        <v>30</v>
      </c>
      <c r="AR249" t="str">
        <f t="shared" si="93"/>
        <v/>
      </c>
      <c r="AU249">
        <f t="shared" si="94"/>
        <v>0</v>
      </c>
      <c r="AV249">
        <f t="shared" si="95"/>
        <v>0</v>
      </c>
      <c r="AW249">
        <f t="shared" si="96"/>
        <v>0</v>
      </c>
      <c r="AX249" s="4">
        <v>1</v>
      </c>
      <c r="AY249">
        <f t="shared" si="9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01"/>
        <v>3906.25</v>
      </c>
      <c r="BE249" s="15">
        <f t="shared" si="102"/>
        <v>2031.25</v>
      </c>
      <c r="BN249">
        <v>6</v>
      </c>
      <c r="BR249" t="e">
        <f>VLOOKUP(G249,Eras!$A$2:$C$10, 2, TRUE)</f>
        <v>#N/A</v>
      </c>
      <c r="BS249" t="s">
        <v>385</v>
      </c>
      <c r="BT249" t="e">
        <f t="shared" si="103"/>
        <v>#N/A</v>
      </c>
      <c r="BU249" t="str">
        <f t="shared" si="99"/>
        <v/>
      </c>
      <c r="BV249" t="str">
        <f t="shared" si="98"/>
        <v/>
      </c>
      <c r="BX249" t="str">
        <f t="shared" si="106"/>
        <v/>
      </c>
      <c r="BY249" t="str">
        <f t="shared" si="104"/>
        <v>{SILVER}</v>
      </c>
    </row>
    <row r="250" spans="1:77" x14ac:dyDescent="0.25">
      <c r="A250" t="s">
        <v>142</v>
      </c>
      <c r="B250" t="s">
        <v>243</v>
      </c>
      <c r="D250" t="s">
        <v>168</v>
      </c>
      <c r="E250" t="s">
        <v>321</v>
      </c>
      <c r="F250" t="s">
        <v>314</v>
      </c>
      <c r="X250" s="4" t="str">
        <f t="shared" si="107"/>
        <v/>
      </c>
      <c r="AE250" s="11">
        <v>0</v>
      </c>
      <c r="AF250" t="str">
        <f>CONCATENATE(VLOOKUP(AG250, 'Voxel Sizes'!$A$2:$B$18,2,FALSE),"x",INT(AC250*15), "x", INT(AD250*15))</f>
        <v>0x0x0</v>
      </c>
      <c r="AG250">
        <f t="shared" si="100"/>
        <v>0</v>
      </c>
      <c r="AI250" t="str">
        <f>CONCATENATE(VLOOKUP(AG250,Constants!$A$2:$C$16,IF(AH250&lt;&gt;"", 3, 2), FALSE),IF(AH250&lt;&gt;"",CONCATENATE(",",VLOOKUP(AH250,$B:$AI,34,FALSE)),""))</f>
        <v>na</v>
      </c>
      <c r="AQ250">
        <v>30</v>
      </c>
      <c r="AR250" t="str">
        <f t="shared" si="93"/>
        <v/>
      </c>
      <c r="AU250">
        <f t="shared" si="94"/>
        <v>0</v>
      </c>
      <c r="AV250">
        <f t="shared" si="95"/>
        <v>0</v>
      </c>
      <c r="AW250">
        <f t="shared" si="96"/>
        <v>0</v>
      </c>
      <c r="AX250" s="4">
        <v>1</v>
      </c>
      <c r="AY250">
        <f t="shared" si="97"/>
        <v>0</v>
      </c>
      <c r="AZ250">
        <f>VLOOKUP($E250,Constants!$I:$K, 2, FALSE)</f>
        <v>1</v>
      </c>
      <c r="BA250">
        <f>VLOOKUP($E250,Constants!$I:$K, 3, FALSE)*IF(AND(D250="multiple_unit",Y250&lt;110),0.75,1)</f>
        <v>0.45</v>
      </c>
      <c r="BB250">
        <f>INT(POWER(((Constants!$G$2+$AU250+$AV250+$AW250+$AY250)*$AX250)*$BA250, 1.05))+$AT250</f>
        <v>2</v>
      </c>
      <c r="BC250">
        <f>INT(POWER((((Constants!$G$1+$AU250+$AV250+$AW250+$AY250)*(1/$AX250))*$AZ250),IF($D250="wagon",1,1.2)))+$AS250</f>
        <v>25</v>
      </c>
      <c r="BD250" s="15">
        <f t="shared" si="101"/>
        <v>1562.5</v>
      </c>
      <c r="BE250" s="15">
        <f t="shared" si="102"/>
        <v>2031.25</v>
      </c>
      <c r="BN250">
        <v>7</v>
      </c>
      <c r="BR250" t="e">
        <f>VLOOKUP(G250,Eras!$A$2:$C$10, 2, TRUE)</f>
        <v>#N/A</v>
      </c>
      <c r="BT250" t="e">
        <f t="shared" si="103"/>
        <v>#N/A</v>
      </c>
      <c r="BU250" t="str">
        <f t="shared" si="99"/>
        <v/>
      </c>
      <c r="BV250" t="str">
        <f t="shared" si="98"/>
        <v/>
      </c>
      <c r="BX250" t="str">
        <f t="shared" si="106"/>
        <v/>
      </c>
      <c r="BY250" t="str">
        <f t="shared" si="104"/>
        <v>{SILVER}</v>
      </c>
    </row>
    <row r="251" spans="1:77" x14ac:dyDescent="0.25">
      <c r="A251" t="s">
        <v>703</v>
      </c>
      <c r="B251" t="s">
        <v>702</v>
      </c>
      <c r="D251" t="s">
        <v>168</v>
      </c>
      <c r="E251" t="s">
        <v>336</v>
      </c>
      <c r="F251" t="s">
        <v>314</v>
      </c>
      <c r="X251" s="4" t="str">
        <f t="shared" ref="X251:X255" si="108">IF(AND(T251&gt;0,W251&gt;0),(W251/((T251+U251)*10)),"")</f>
        <v/>
      </c>
      <c r="AF251" t="str">
        <f>CONCATENATE(VLOOKUP(AG251, 'Voxel Sizes'!$A$2:$B$18,2,FALSE),"x",INT(AC251*15), "x", INT(AD251*15))</f>
        <v>0x0x0</v>
      </c>
      <c r="AG251">
        <f t="shared" si="100"/>
        <v>0</v>
      </c>
      <c r="AI251" t="str">
        <f>CONCATENATE(VLOOKUP(AG251,Constants!$A$2:$C$16,IF(AH251&lt;&gt;"", 3, 2), FALSE),IF(AH251&lt;&gt;"",CONCATENATE(",",VLOOKUP(AH251,$B:$AI,34,FALSE)),""))</f>
        <v>na</v>
      </c>
      <c r="AQ251">
        <v>30</v>
      </c>
      <c r="AR251" t="str">
        <f t="shared" si="93"/>
        <v/>
      </c>
      <c r="AU251">
        <f t="shared" si="94"/>
        <v>0</v>
      </c>
      <c r="AV251">
        <f t="shared" si="95"/>
        <v>0</v>
      </c>
      <c r="AW251">
        <f t="shared" si="96"/>
        <v>0</v>
      </c>
      <c r="AX251" s="4">
        <v>1</v>
      </c>
      <c r="AY251">
        <f t="shared" si="97"/>
        <v>0</v>
      </c>
      <c r="AZ251">
        <f>VLOOKUP($E251,Constants!$I:$K, 2, FALSE)</f>
        <v>0.85</v>
      </c>
      <c r="BA251">
        <f>VLOOKUP($E251,Constants!$I:$K, 3, FALSE)*IF(AND(D251="multiple_unit",Y251&lt;110),0.75,1)</f>
        <v>2.2999999999999998</v>
      </c>
      <c r="BB251">
        <f>INT(POWER(((Constants!$G$2+$AU251+$AV251+$AW251+$AY251)*$AX251)*$BA251, 1.05))+$AT251</f>
        <v>12</v>
      </c>
      <c r="BC251">
        <f>INT(POWER((((Constants!$G$1+$AU251+$AV251+$AW251+$AY251)*(1/$AX251))*$AZ251),IF($D251="wagon",1,1.2)))+$AS251</f>
        <v>21</v>
      </c>
      <c r="BD251" s="15">
        <f t="shared" si="101"/>
        <v>9375</v>
      </c>
      <c r="BE251" s="15">
        <f t="shared" si="102"/>
        <v>1706.25</v>
      </c>
      <c r="BN251">
        <v>8</v>
      </c>
      <c r="BR251" t="e">
        <f>VLOOKUP(G251,Eras!$A$2:$C$10, 2, TRUE)</f>
        <v>#N/A</v>
      </c>
      <c r="BT251" t="e">
        <f t="shared" si="103"/>
        <v>#N/A</v>
      </c>
      <c r="BU251" t="str">
        <f t="shared" si="99"/>
        <v/>
      </c>
      <c r="BV251" t="str">
        <f t="shared" si="98"/>
        <v/>
      </c>
      <c r="BX251" t="str">
        <f t="shared" si="106"/>
        <v/>
      </c>
      <c r="BY251" t="str">
        <f t="shared" si="104"/>
        <v>{SILVER}</v>
      </c>
    </row>
    <row r="252" spans="1:77" x14ac:dyDescent="0.25">
      <c r="A252" t="s">
        <v>427</v>
      </c>
      <c r="B252" t="s">
        <v>433</v>
      </c>
      <c r="D252" t="s">
        <v>168</v>
      </c>
      <c r="E252" t="s">
        <v>336</v>
      </c>
      <c r="F252" t="s">
        <v>314</v>
      </c>
      <c r="X252" s="4" t="str">
        <f t="shared" si="108"/>
        <v/>
      </c>
      <c r="AF252" t="str">
        <f>CONCATENATE(VLOOKUP(AG252, 'Voxel Sizes'!$A$2:$B$18,2,FALSE),"x",INT(AC252*15), "x", INT(AD252*15))</f>
        <v>0x0x0</v>
      </c>
      <c r="AG252">
        <f t="shared" si="100"/>
        <v>0</v>
      </c>
      <c r="AI252" t="str">
        <f>CONCATENATE(VLOOKUP(AG252,Constants!$A$2:$C$16,IF(AH252&lt;&gt;"", 3, 2), FALSE),IF(AH252&lt;&gt;"",CONCATENATE(",",VLOOKUP(AH252,$B:$AI,34,FALSE)),""))</f>
        <v>na</v>
      </c>
      <c r="AQ252">
        <v>30</v>
      </c>
      <c r="AR252" t="str">
        <f t="shared" si="93"/>
        <v/>
      </c>
      <c r="AU252">
        <f t="shared" si="94"/>
        <v>0</v>
      </c>
      <c r="AV252">
        <f t="shared" si="95"/>
        <v>0</v>
      </c>
      <c r="AW252">
        <f t="shared" si="96"/>
        <v>0</v>
      </c>
      <c r="AX252" s="4">
        <v>1</v>
      </c>
      <c r="AY252">
        <f t="shared" si="97"/>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101"/>
        <v>9375</v>
      </c>
      <c r="BE252" s="15">
        <f t="shared" si="102"/>
        <v>1706.25</v>
      </c>
      <c r="BN252">
        <v>9</v>
      </c>
      <c r="BR252" t="e">
        <f>VLOOKUP(G252,Eras!$A$2:$C$10, 2, TRUE)</f>
        <v>#N/A</v>
      </c>
      <c r="BT252" t="e">
        <f t="shared" si="103"/>
        <v>#N/A</v>
      </c>
      <c r="BU252" t="str">
        <f t="shared" si="99"/>
        <v/>
      </c>
      <c r="BV252" t="str">
        <f t="shared" si="98"/>
        <v/>
      </c>
      <c r="BX252" t="str">
        <f t="shared" si="106"/>
        <v/>
      </c>
      <c r="BY252" t="str">
        <f t="shared" si="104"/>
        <v>{SILVER}</v>
      </c>
    </row>
    <row r="253" spans="1:77" x14ac:dyDescent="0.25">
      <c r="A253" t="s">
        <v>428</v>
      </c>
      <c r="B253" t="s">
        <v>434</v>
      </c>
      <c r="D253" t="s">
        <v>168</v>
      </c>
      <c r="E253" t="s">
        <v>336</v>
      </c>
      <c r="F253" t="s">
        <v>314</v>
      </c>
      <c r="X253" s="4" t="str">
        <f t="shared" si="108"/>
        <v/>
      </c>
      <c r="AF253" t="str">
        <f>CONCATENATE(VLOOKUP(AG253, 'Voxel Sizes'!$A$2:$B$18,2,FALSE),"x",INT(AC253*15), "x", INT(AD253*15))</f>
        <v>0x0x0</v>
      </c>
      <c r="AG253">
        <f t="shared" si="100"/>
        <v>0</v>
      </c>
      <c r="AI253" t="str">
        <f>CONCATENATE(VLOOKUP(AG253,Constants!$A$2:$C$16,IF(AH253&lt;&gt;"", 3, 2), FALSE),IF(AH253&lt;&gt;"",CONCATENATE(",",VLOOKUP(AH253,$B:$AI,34,FALSE)),""))</f>
        <v>na</v>
      </c>
      <c r="AQ253">
        <v>30</v>
      </c>
      <c r="AR253" t="str">
        <f t="shared" si="93"/>
        <v/>
      </c>
      <c r="AU253">
        <f t="shared" si="94"/>
        <v>0</v>
      </c>
      <c r="AV253">
        <f t="shared" si="95"/>
        <v>0</v>
      </c>
      <c r="AW253">
        <f t="shared" si="96"/>
        <v>0</v>
      </c>
      <c r="AX253" s="4">
        <v>1</v>
      </c>
      <c r="AY253">
        <f t="shared" si="9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01"/>
        <v>9375</v>
      </c>
      <c r="BE253" s="15">
        <f t="shared" si="102"/>
        <v>1706.25</v>
      </c>
      <c r="BN253">
        <v>10</v>
      </c>
      <c r="BR253" t="e">
        <f>VLOOKUP(G253,Eras!$A$2:$C$10, 2, TRUE)</f>
        <v>#N/A</v>
      </c>
      <c r="BT253" t="e">
        <f t="shared" si="103"/>
        <v>#N/A</v>
      </c>
      <c r="BU253" t="str">
        <f t="shared" si="99"/>
        <v/>
      </c>
      <c r="BV253" t="str">
        <f t="shared" si="98"/>
        <v/>
      </c>
      <c r="BX253" t="str">
        <f t="shared" si="106"/>
        <v/>
      </c>
      <c r="BY253" t="str">
        <f t="shared" si="104"/>
        <v>{SILVER}</v>
      </c>
    </row>
    <row r="254" spans="1:77" x14ac:dyDescent="0.25">
      <c r="A254" t="s">
        <v>429</v>
      </c>
      <c r="B254" t="s">
        <v>435</v>
      </c>
      <c r="D254" t="s">
        <v>168</v>
      </c>
      <c r="E254" t="s">
        <v>336</v>
      </c>
      <c r="F254" t="s">
        <v>314</v>
      </c>
      <c r="X254" s="4" t="str">
        <f t="shared" si="108"/>
        <v/>
      </c>
      <c r="AF254" t="str">
        <f>CONCATENATE(VLOOKUP(AG254, 'Voxel Sizes'!$A$2:$B$18,2,FALSE),"x",INT(AC254*15), "x", INT(AD254*15))</f>
        <v>0x0x0</v>
      </c>
      <c r="AG254">
        <f t="shared" si="100"/>
        <v>0</v>
      </c>
      <c r="AI254" t="str">
        <f>CONCATENATE(VLOOKUP(AG254,Constants!$A$2:$C$16,IF(AH254&lt;&gt;"", 3, 2), FALSE),IF(AH254&lt;&gt;"",CONCATENATE(",",VLOOKUP(AH254,$B:$AI,34,FALSE)),""))</f>
        <v>na</v>
      </c>
      <c r="AQ254">
        <v>30</v>
      </c>
      <c r="AR254" t="str">
        <f t="shared" si="93"/>
        <v/>
      </c>
      <c r="AU254">
        <f t="shared" si="94"/>
        <v>0</v>
      </c>
      <c r="AV254">
        <f t="shared" si="95"/>
        <v>0</v>
      </c>
      <c r="AW254">
        <f t="shared" si="96"/>
        <v>0</v>
      </c>
      <c r="AX254" s="4">
        <v>1</v>
      </c>
      <c r="AY254">
        <f t="shared" si="9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01"/>
        <v>9375</v>
      </c>
      <c r="BE254" s="15">
        <f t="shared" si="102"/>
        <v>1706.25</v>
      </c>
      <c r="BN254">
        <v>11</v>
      </c>
      <c r="BR254" t="e">
        <f>VLOOKUP(G254,Eras!$A$2:$C$10, 2, TRUE)</f>
        <v>#N/A</v>
      </c>
      <c r="BT254" t="e">
        <f t="shared" si="103"/>
        <v>#N/A</v>
      </c>
      <c r="BU254" t="str">
        <f t="shared" si="99"/>
        <v/>
      </c>
      <c r="BV254" t="str">
        <f t="shared" si="98"/>
        <v/>
      </c>
      <c r="BX254" t="str">
        <f t="shared" si="106"/>
        <v/>
      </c>
      <c r="BY254" t="str">
        <f t="shared" si="104"/>
        <v>{SILVER}</v>
      </c>
    </row>
    <row r="255" spans="1:77" x14ac:dyDescent="0.25">
      <c r="A255" t="s">
        <v>430</v>
      </c>
      <c r="B255" t="s">
        <v>436</v>
      </c>
      <c r="D255" t="s">
        <v>168</v>
      </c>
      <c r="E255" t="s">
        <v>336</v>
      </c>
      <c r="F255" t="s">
        <v>314</v>
      </c>
      <c r="X255" s="4" t="str">
        <f t="shared" si="108"/>
        <v/>
      </c>
      <c r="AF255" t="str">
        <f>CONCATENATE(VLOOKUP(AG255, 'Voxel Sizes'!$A$2:$B$18,2,FALSE),"x",INT(AC255*15), "x", INT(AD255*15))</f>
        <v>0x0x0</v>
      </c>
      <c r="AG255">
        <f t="shared" si="100"/>
        <v>0</v>
      </c>
      <c r="AI255" t="str">
        <f>CONCATENATE(VLOOKUP(AG255,Constants!$A$2:$C$16,IF(AH255&lt;&gt;"", 3, 2), FALSE),IF(AH255&lt;&gt;"",CONCATENATE(",",VLOOKUP(AH255,$B:$AI,34,FALSE)),""))</f>
        <v>na</v>
      </c>
      <c r="AQ255">
        <v>30</v>
      </c>
      <c r="AR255" t="str">
        <f t="shared" si="93"/>
        <v/>
      </c>
      <c r="AU255">
        <f t="shared" si="94"/>
        <v>0</v>
      </c>
      <c r="AV255">
        <f t="shared" si="95"/>
        <v>0</v>
      </c>
      <c r="AW255">
        <f t="shared" si="96"/>
        <v>0</v>
      </c>
      <c r="AX255" s="4">
        <v>1</v>
      </c>
      <c r="AY255">
        <f t="shared" si="9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01"/>
        <v>9375</v>
      </c>
      <c r="BE255" s="15">
        <f t="shared" si="102"/>
        <v>1706.25</v>
      </c>
      <c r="BN255">
        <v>12</v>
      </c>
      <c r="BR255" t="e">
        <f>VLOOKUP(G255,Eras!$A$2:$C$10, 2, TRUE)</f>
        <v>#N/A</v>
      </c>
      <c r="BT255" t="e">
        <f t="shared" si="103"/>
        <v>#N/A</v>
      </c>
      <c r="BU255" t="str">
        <f t="shared" si="99"/>
        <v/>
      </c>
      <c r="BV255" t="str">
        <f t="shared" si="98"/>
        <v/>
      </c>
      <c r="BX255" t="str">
        <f t="shared" si="106"/>
        <v/>
      </c>
      <c r="BY255" t="str">
        <f t="shared" si="104"/>
        <v>{SILVER}</v>
      </c>
    </row>
    <row r="256" spans="1:77" x14ac:dyDescent="0.25">
      <c r="A256" t="s">
        <v>721</v>
      </c>
      <c r="B256" t="s">
        <v>724</v>
      </c>
      <c r="D256" t="s">
        <v>168</v>
      </c>
      <c r="E256" t="s">
        <v>336</v>
      </c>
      <c r="F256" t="s">
        <v>314</v>
      </c>
      <c r="AF256" t="str">
        <f>CONCATENATE(VLOOKUP(AG256, 'Voxel Sizes'!$A$2:$B$18,2,FALSE),"x",INT(AC256*15), "x", INT(AD256*15))</f>
        <v>0x0x0</v>
      </c>
      <c r="AG256">
        <f t="shared" si="100"/>
        <v>0</v>
      </c>
      <c r="AI256" t="str">
        <f>CONCATENATE(VLOOKUP(AG256,Constants!$A$2:$C$16,IF(AH256&lt;&gt;"", 3, 2), FALSE),IF(AH256&lt;&gt;"",CONCATENATE(",",VLOOKUP(AH256,$B:$AI,34,FALSE)),""))</f>
        <v>na</v>
      </c>
      <c r="AQ256">
        <v>30</v>
      </c>
      <c r="AR256" t="str">
        <f t="shared" si="93"/>
        <v/>
      </c>
      <c r="AU256">
        <f t="shared" si="94"/>
        <v>0</v>
      </c>
      <c r="AV256">
        <f t="shared" si="95"/>
        <v>0</v>
      </c>
      <c r="AW256">
        <f t="shared" si="96"/>
        <v>0</v>
      </c>
      <c r="AX256" s="4">
        <v>1</v>
      </c>
      <c r="AY256">
        <f t="shared" si="9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01"/>
        <v>9375</v>
      </c>
      <c r="BE256" s="15">
        <f t="shared" si="102"/>
        <v>1706.25</v>
      </c>
      <c r="BN256">
        <v>1</v>
      </c>
      <c r="BR256" t="e">
        <f>VLOOKUP(G256,Eras!$A$2:$C$10, 2, TRUE)</f>
        <v>#N/A</v>
      </c>
      <c r="BT256" t="e">
        <f t="shared" si="103"/>
        <v>#N/A</v>
      </c>
      <c r="BU256" t="str">
        <f t="shared" si="99"/>
        <v/>
      </c>
      <c r="BV256" t="str">
        <f t="shared" si="98"/>
        <v/>
      </c>
      <c r="BX256" t="str">
        <f t="shared" si="106"/>
        <v/>
      </c>
      <c r="BY256" t="str">
        <f t="shared" si="104"/>
        <v>{SILVER}</v>
      </c>
    </row>
    <row r="257" spans="1:77" x14ac:dyDescent="0.25">
      <c r="A257" t="s">
        <v>736</v>
      </c>
      <c r="B257" t="s">
        <v>737</v>
      </c>
      <c r="D257" t="s">
        <v>168</v>
      </c>
      <c r="E257" t="s">
        <v>336</v>
      </c>
      <c r="F257" t="s">
        <v>343</v>
      </c>
      <c r="G257">
        <v>1893</v>
      </c>
      <c r="H257">
        <v>1896</v>
      </c>
      <c r="I257">
        <v>1956</v>
      </c>
      <c r="J257">
        <v>2</v>
      </c>
      <c r="K257">
        <v>120</v>
      </c>
      <c r="T257">
        <v>10</v>
      </c>
      <c r="V257">
        <v>7</v>
      </c>
      <c r="W257">
        <v>30</v>
      </c>
      <c r="X257" s="4">
        <f t="shared" ref="X257:X270" si="109">IF(AND(T257&gt;0,W257&gt;0),(W257/((T257+U257)*10)),"")</f>
        <v>0.3</v>
      </c>
      <c r="Y257">
        <v>35</v>
      </c>
      <c r="AA257">
        <v>14</v>
      </c>
      <c r="AB257">
        <v>14</v>
      </c>
      <c r="AC257">
        <v>2.59</v>
      </c>
      <c r="AE257" s="11">
        <f>41+16</f>
        <v>57</v>
      </c>
      <c r="AF257" t="str">
        <f>CONCATENATE(VLOOKUP(AG257, 'Voxel Sizes'!$A$2:$B$18,2,FALSE),"x",INT(AC257*15), "x", INT(AD257*15))</f>
        <v>136x38x0</v>
      </c>
      <c r="AG257">
        <f t="shared" si="100"/>
        <v>8</v>
      </c>
      <c r="AI257" t="str">
        <f>CONCATENATE(VLOOKUP(AG257,Constants!$A$2:$C$16,IF(AH257&lt;&gt;"", 3, 2), FALSE),IF(AH257&lt;&gt;"",CONCATENATE(",",VLOOKUP(AH257,$B:$AI,34,FALSE)),""))</f>
        <v>2,4,2</v>
      </c>
      <c r="AK257" t="s">
        <v>738</v>
      </c>
      <c r="AM257" t="s">
        <v>517</v>
      </c>
      <c r="AQ257">
        <v>25</v>
      </c>
      <c r="AR257">
        <f t="shared" si="93"/>
        <v>59</v>
      </c>
      <c r="AU257">
        <f t="shared" si="94"/>
        <v>7</v>
      </c>
      <c r="AV257">
        <f t="shared" si="95"/>
        <v>0.6</v>
      </c>
      <c r="AW257">
        <f t="shared" si="96"/>
        <v>1.5</v>
      </c>
      <c r="AX257" s="4">
        <v>1</v>
      </c>
      <c r="AY257">
        <f t="shared" si="97"/>
        <v>3.8</v>
      </c>
      <c r="AZ257">
        <f>VLOOKUP($E257,Constants!$I:$K, 2, FALSE)</f>
        <v>0.85</v>
      </c>
      <c r="BA257">
        <f>VLOOKUP($E257,Constants!$I:$K, 3, FALSE)*IF(AND(D257="multiple_unit",Y257&lt;110),0.75,1)</f>
        <v>2.2999999999999998</v>
      </c>
      <c r="BB257">
        <f>INT(POWER(((Constants!$G$2+$AU257+$AV257+$AW257+$AY257)*$AX257)*$BA257, 1.05))+$AT257</f>
        <v>49</v>
      </c>
      <c r="BC257">
        <f>INT(POWER((((Constants!$G$1+$AU257+$AV257+$AW257+$AY257)*(1/$AX257))*$AZ257),IF($D257="wagon",1,1.2)))+$AS257</f>
        <v>44</v>
      </c>
      <c r="BD257" s="15">
        <f t="shared" si="101"/>
        <v>38281.25</v>
      </c>
      <c r="BE257" s="15">
        <f t="shared" si="102"/>
        <v>3575</v>
      </c>
      <c r="BN257">
        <v>2</v>
      </c>
      <c r="BQ257" t="s">
        <v>323</v>
      </c>
      <c r="BR257" t="str">
        <f>VLOOKUP(G257,Eras!$A$2:$C$10, 2, TRUE)</f>
        <v>vct</v>
      </c>
      <c r="BS257" t="s">
        <v>373</v>
      </c>
      <c r="BT257" t="str">
        <f t="shared" si="103"/>
        <v>vct_EMU</v>
      </c>
      <c r="BU257" t="str">
        <f t="shared" si="99"/>
        <v/>
      </c>
      <c r="BV257" t="str">
        <f t="shared" si="98"/>
        <v>{BLACK}Cars: {GOLD}2{}</v>
      </c>
      <c r="BW257" t="s">
        <v>739</v>
      </c>
      <c r="BX257" t="str">
        <f t="shared" si="106"/>
        <v/>
      </c>
      <c r="BY257" t="str">
        <f t="shared" si="104"/>
        <v>{BLACK}Cars: {GOLD}2{}{SILVER}These lightweight multiple units were built for the Liverpool Overhead Railway, a since closed elevated railway operating around the Liverpool docks.</v>
      </c>
    </row>
    <row r="258" spans="1:77" x14ac:dyDescent="0.25">
      <c r="A258" t="s">
        <v>107</v>
      </c>
      <c r="B258" t="s">
        <v>220</v>
      </c>
      <c r="D258" t="s">
        <v>168</v>
      </c>
      <c r="E258" t="s">
        <v>1176</v>
      </c>
      <c r="F258" t="s">
        <v>314</v>
      </c>
      <c r="G258">
        <v>1900</v>
      </c>
      <c r="X258" s="4" t="str">
        <f t="shared" si="109"/>
        <v/>
      </c>
      <c r="AF258" t="str">
        <f>CONCATENATE(VLOOKUP(AG258, 'Voxel Sizes'!$A$2:$B$18,2,FALSE),"x",INT(AC258*15), "x", INT(AD258*15))</f>
        <v>0x0x0</v>
      </c>
      <c r="AG258">
        <f t="shared" si="100"/>
        <v>0</v>
      </c>
      <c r="AI258" t="str">
        <f>CONCATENATE(VLOOKUP(AG258,Constants!$A$2:$C$16,IF(AH258&lt;&gt;"", 3, 2), FALSE),IF(AH258&lt;&gt;"",CONCATENATE(",",VLOOKUP(AH258,$B:$AI,34,FALSE)),""))</f>
        <v>na</v>
      </c>
      <c r="AQ258">
        <v>30</v>
      </c>
      <c r="AR258" t="str">
        <f t="shared" ref="AR258:AR270" si="110">IF(I258&lt;&gt;"",MAX(8,(I258-G258)-4),"")</f>
        <v/>
      </c>
      <c r="AU258">
        <f t="shared" ref="AU258:AU270" si="111">MIN(Y258/150, 1)*30</f>
        <v>0</v>
      </c>
      <c r="AV258">
        <f t="shared" ref="AV258:AV270" si="112">MIN(K258/4000, 1)*20</f>
        <v>0</v>
      </c>
      <c r="AW258">
        <f t="shared" ref="AW258:AW270" si="113">MIN(W258/400,1)*20</f>
        <v>0</v>
      </c>
      <c r="AX258" s="4">
        <v>1</v>
      </c>
      <c r="AY258">
        <f t="shared" ref="AY258:AY270" si="114">((MAX($J258,1)*MIN($AE258/300,1)))*IF(D258="Wagon",50,10)</f>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101"/>
        <v>3906.25</v>
      </c>
      <c r="BE258" s="15">
        <f t="shared" si="102"/>
        <v>2031.25</v>
      </c>
      <c r="BN258">
        <v>3</v>
      </c>
      <c r="BR258" t="str">
        <f>VLOOKUP(G258,Eras!$A$2:$C$10, 2, TRUE)</f>
        <v>edw</v>
      </c>
      <c r="BS258" t="s">
        <v>385</v>
      </c>
      <c r="BT258" t="str">
        <f t="shared" si="103"/>
        <v>edw_LU</v>
      </c>
      <c r="BU258" t="str">
        <f t="shared" si="99"/>
        <v/>
      </c>
      <c r="BV258" t="str">
        <f t="shared" ref="BV258:BV270" si="115">IF(J258&gt;1,_xlfn.CONCAT("{BLACK}Cars: {GOLD}", J258, "{}"),"")</f>
        <v/>
      </c>
      <c r="BX258" t="str">
        <f t="shared" si="106"/>
        <v/>
      </c>
      <c r="BY258" t="str">
        <f t="shared" si="104"/>
        <v>{SILVER}</v>
      </c>
    </row>
    <row r="259" spans="1:77" x14ac:dyDescent="0.25">
      <c r="A259" t="s">
        <v>113</v>
      </c>
      <c r="B259" t="s">
        <v>224</v>
      </c>
      <c r="D259" t="s">
        <v>168</v>
      </c>
      <c r="E259" t="s">
        <v>1176</v>
      </c>
      <c r="F259" t="s">
        <v>314</v>
      </c>
      <c r="G259">
        <v>1938</v>
      </c>
      <c r="X259" s="4" t="str">
        <f t="shared" si="109"/>
        <v/>
      </c>
      <c r="AF259" t="str">
        <f>CONCATENATE(VLOOKUP(AG259, 'Voxel Sizes'!$A$2:$B$18,2,FALSE),"x",INT(AC259*15), "x", INT(AD259*15))</f>
        <v>0x0x0</v>
      </c>
      <c r="AG259">
        <f t="shared" si="100"/>
        <v>0</v>
      </c>
      <c r="AI259" t="str">
        <f>CONCATENATE(VLOOKUP(AG259,Constants!$A$2:$C$16,IF(AH259&lt;&gt;"", 3, 2), FALSE),IF(AH259&lt;&gt;"",CONCATENATE(",",VLOOKUP(AH259,$B:$AI,34,FALSE)),""))</f>
        <v>na</v>
      </c>
      <c r="AQ259">
        <v>30</v>
      </c>
      <c r="AR259" t="str">
        <f t="shared" si="110"/>
        <v/>
      </c>
      <c r="AU259">
        <f t="shared" si="111"/>
        <v>0</v>
      </c>
      <c r="AV259">
        <f t="shared" si="112"/>
        <v>0</v>
      </c>
      <c r="AW259">
        <f t="shared" si="113"/>
        <v>0</v>
      </c>
      <c r="AX259" s="4">
        <v>1</v>
      </c>
      <c r="AY259">
        <f t="shared" si="114"/>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101"/>
        <v>3906.25</v>
      </c>
      <c r="BE259" s="15">
        <f t="shared" si="102"/>
        <v>2031.25</v>
      </c>
      <c r="BN259">
        <v>4</v>
      </c>
      <c r="BR259" t="str">
        <f>VLOOKUP(G259,Eras!$A$2:$C$10, 2, TRUE)</f>
        <v>big4</v>
      </c>
      <c r="BS259" t="s">
        <v>385</v>
      </c>
      <c r="BT259" t="str">
        <f t="shared" si="103"/>
        <v>big4_LU</v>
      </c>
      <c r="BU259" t="str">
        <f t="shared" ref="BU259:BU270" si="116">IF(AND(BG259&lt;&gt;Y259,BG259&lt;&gt;""),_xlfn.CONCAT("{BLACK}","Tare speed: ","{GOLD}{VELOCITY}{}"), "")</f>
        <v/>
      </c>
      <c r="BV259" t="str">
        <f t="shared" si="115"/>
        <v/>
      </c>
      <c r="BX259" t="str">
        <f t="shared" si="106"/>
        <v/>
      </c>
      <c r="BY259" t="str">
        <f t="shared" si="104"/>
        <v>{SILVER}</v>
      </c>
    </row>
    <row r="260" spans="1:77" x14ac:dyDescent="0.25">
      <c r="A260" t="s">
        <v>114</v>
      </c>
      <c r="B260" t="s">
        <v>225</v>
      </c>
      <c r="D260" t="s">
        <v>168</v>
      </c>
      <c r="E260" t="s">
        <v>1176</v>
      </c>
      <c r="F260" t="s">
        <v>314</v>
      </c>
      <c r="G260">
        <v>1959</v>
      </c>
      <c r="X260" s="4" t="str">
        <f t="shared" si="109"/>
        <v/>
      </c>
      <c r="AF260" t="str">
        <f>CONCATENATE(VLOOKUP(AG260, 'Voxel Sizes'!$A$2:$B$18,2,FALSE),"x",INT(AC260*15), "x", INT(AD260*15))</f>
        <v>0x0x0</v>
      </c>
      <c r="AG260">
        <f t="shared" si="100"/>
        <v>0</v>
      </c>
      <c r="AI260" t="str">
        <f>CONCATENATE(VLOOKUP(AG260,Constants!$A$2:$C$16,IF(AH260&lt;&gt;"", 3, 2), FALSE),IF(AH260&lt;&gt;"",CONCATENATE(",",VLOOKUP(AH260,$B:$AI,34,FALSE)),""))</f>
        <v>na</v>
      </c>
      <c r="AQ260">
        <v>30</v>
      </c>
      <c r="AR260" t="str">
        <f t="shared" si="110"/>
        <v/>
      </c>
      <c r="AU260">
        <f t="shared" si="111"/>
        <v>0</v>
      </c>
      <c r="AV260">
        <f t="shared" si="112"/>
        <v>0</v>
      </c>
      <c r="AW260">
        <f t="shared" si="113"/>
        <v>0</v>
      </c>
      <c r="AX260" s="4">
        <v>1</v>
      </c>
      <c r="AY260">
        <f t="shared" si="114"/>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01"/>
        <v>3906.25</v>
      </c>
      <c r="BE260" s="15">
        <f t="shared" si="102"/>
        <v>2031.25</v>
      </c>
      <c r="BN260">
        <v>5</v>
      </c>
      <c r="BR260" t="str">
        <f>VLOOKUP(G260,Eras!$A$2:$C$10, 2, TRUE)</f>
        <v>dsl</v>
      </c>
      <c r="BS260" t="s">
        <v>385</v>
      </c>
      <c r="BT260" t="str">
        <f t="shared" si="103"/>
        <v>dsl_LU</v>
      </c>
      <c r="BU260" t="str">
        <f t="shared" si="116"/>
        <v/>
      </c>
      <c r="BV260" t="str">
        <f t="shared" si="115"/>
        <v/>
      </c>
      <c r="BX260" t="str">
        <f t="shared" si="106"/>
        <v/>
      </c>
      <c r="BY260" t="str">
        <f t="shared" si="104"/>
        <v>{SILVER}</v>
      </c>
    </row>
    <row r="261" spans="1:77" x14ac:dyDescent="0.25">
      <c r="A261" t="s">
        <v>115</v>
      </c>
      <c r="B261" t="s">
        <v>226</v>
      </c>
      <c r="D261" t="s">
        <v>168</v>
      </c>
      <c r="E261" t="s">
        <v>1176</v>
      </c>
      <c r="F261" t="s">
        <v>314</v>
      </c>
      <c r="G261">
        <v>1960</v>
      </c>
      <c r="X261" s="4" t="str">
        <f t="shared" si="109"/>
        <v/>
      </c>
      <c r="AF261" t="str">
        <f>CONCATENATE(VLOOKUP(AG261, 'Voxel Sizes'!$A$2:$B$18,2,FALSE),"x",INT(AC261*15), "x", INT(AD261*15))</f>
        <v>0x0x0</v>
      </c>
      <c r="AG261">
        <f t="shared" si="100"/>
        <v>0</v>
      </c>
      <c r="AI261" t="str">
        <f>CONCATENATE(VLOOKUP(AG261,Constants!$A$2:$C$16,IF(AH261&lt;&gt;"", 3, 2), FALSE),IF(AH261&lt;&gt;"",CONCATENATE(",",VLOOKUP(AH261,$B:$AI,34,FALSE)),""))</f>
        <v>na</v>
      </c>
      <c r="AQ261">
        <v>30</v>
      </c>
      <c r="AR261" t="str">
        <f t="shared" si="110"/>
        <v/>
      </c>
      <c r="AU261">
        <f t="shared" si="111"/>
        <v>0</v>
      </c>
      <c r="AV261">
        <f t="shared" si="112"/>
        <v>0</v>
      </c>
      <c r="AW261">
        <f t="shared" si="113"/>
        <v>0</v>
      </c>
      <c r="AX261" s="4">
        <v>1</v>
      </c>
      <c r="AY261">
        <f t="shared" si="11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01"/>
        <v>3906.25</v>
      </c>
      <c r="BE261" s="15">
        <f t="shared" si="102"/>
        <v>2031.25</v>
      </c>
      <c r="BN261">
        <v>6</v>
      </c>
      <c r="BR261" t="str">
        <f>VLOOKUP(G261,Eras!$A$2:$C$10, 2, TRUE)</f>
        <v>dsl</v>
      </c>
      <c r="BS261" t="s">
        <v>385</v>
      </c>
      <c r="BT261" t="str">
        <f t="shared" si="103"/>
        <v>dsl_LU</v>
      </c>
      <c r="BU261" t="str">
        <f t="shared" si="116"/>
        <v/>
      </c>
      <c r="BV261" t="str">
        <f t="shared" si="115"/>
        <v/>
      </c>
      <c r="BX261" t="str">
        <f t="shared" si="106"/>
        <v/>
      </c>
      <c r="BY261" t="str">
        <f t="shared" si="104"/>
        <v>{SILVER}</v>
      </c>
    </row>
    <row r="262" spans="1:77" x14ac:dyDescent="0.25">
      <c r="A262" t="s">
        <v>116</v>
      </c>
      <c r="B262" t="s">
        <v>227</v>
      </c>
      <c r="D262" t="s">
        <v>168</v>
      </c>
      <c r="E262" t="s">
        <v>1176</v>
      </c>
      <c r="F262" t="s">
        <v>314</v>
      </c>
      <c r="G262">
        <v>1967</v>
      </c>
      <c r="X262" s="4" t="str">
        <f t="shared" si="109"/>
        <v/>
      </c>
      <c r="AF262" t="str">
        <f>CONCATENATE(VLOOKUP(AG262, 'Voxel Sizes'!$A$2:$B$18,2,FALSE),"x",INT(AC262*15), "x", INT(AD262*15))</f>
        <v>0x0x0</v>
      </c>
      <c r="AG262">
        <f t="shared" si="100"/>
        <v>0</v>
      </c>
      <c r="AI262" t="str">
        <f>CONCATENATE(VLOOKUP(AG262,Constants!$A$2:$C$16,IF(AH262&lt;&gt;"", 3, 2), FALSE),IF(AH262&lt;&gt;"",CONCATENATE(",",VLOOKUP(AH262,$B:$AI,34,FALSE)),""))</f>
        <v>na</v>
      </c>
      <c r="AQ262">
        <v>30</v>
      </c>
      <c r="AR262" t="str">
        <f t="shared" si="110"/>
        <v/>
      </c>
      <c r="AU262">
        <f t="shared" si="111"/>
        <v>0</v>
      </c>
      <c r="AV262">
        <f t="shared" si="112"/>
        <v>0</v>
      </c>
      <c r="AW262">
        <f t="shared" si="113"/>
        <v>0</v>
      </c>
      <c r="AX262" s="4">
        <v>1</v>
      </c>
      <c r="AY262">
        <f t="shared" si="11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01"/>
        <v>3906.25</v>
      </c>
      <c r="BE262" s="15">
        <f t="shared" si="102"/>
        <v>2031.25</v>
      </c>
      <c r="BN262">
        <v>7</v>
      </c>
      <c r="BR262" t="str">
        <f>VLOOKUP(G262,Eras!$A$2:$C$10, 2, TRUE)</f>
        <v>dsl</v>
      </c>
      <c r="BS262" t="s">
        <v>385</v>
      </c>
      <c r="BT262" t="str">
        <f t="shared" si="103"/>
        <v>dsl_LU</v>
      </c>
      <c r="BU262" t="str">
        <f t="shared" si="116"/>
        <v/>
      </c>
      <c r="BV262" t="str">
        <f t="shared" si="115"/>
        <v/>
      </c>
      <c r="BX262" t="str">
        <f t="shared" si="106"/>
        <v/>
      </c>
      <c r="BY262" t="str">
        <f t="shared" si="104"/>
        <v>{SILVER}</v>
      </c>
    </row>
    <row r="263" spans="1:77" x14ac:dyDescent="0.25">
      <c r="A263" t="s">
        <v>117</v>
      </c>
      <c r="B263" t="s">
        <v>228</v>
      </c>
      <c r="D263" t="s">
        <v>168</v>
      </c>
      <c r="E263" t="s">
        <v>1176</v>
      </c>
      <c r="F263" t="s">
        <v>314</v>
      </c>
      <c r="G263">
        <v>1969</v>
      </c>
      <c r="X263" s="4" t="str">
        <f t="shared" si="109"/>
        <v/>
      </c>
      <c r="AF263" t="str">
        <f>CONCATENATE(VLOOKUP(AG263, 'Voxel Sizes'!$A$2:$B$18,2,FALSE),"x",INT(AC263*15), "x", INT(AD263*15))</f>
        <v>0x0x0</v>
      </c>
      <c r="AG263">
        <f t="shared" si="100"/>
        <v>0</v>
      </c>
      <c r="AI263" t="str">
        <f>CONCATENATE(VLOOKUP(AG263,Constants!$A$2:$C$16,IF(AH263&lt;&gt;"", 3, 2), FALSE),IF(AH263&lt;&gt;"",CONCATENATE(",",VLOOKUP(AH263,$B:$AI,34,FALSE)),""))</f>
        <v>na</v>
      </c>
      <c r="AQ263">
        <v>30</v>
      </c>
      <c r="AR263" t="str">
        <f t="shared" si="110"/>
        <v/>
      </c>
      <c r="AU263">
        <f t="shared" si="111"/>
        <v>0</v>
      </c>
      <c r="AV263">
        <f t="shared" si="112"/>
        <v>0</v>
      </c>
      <c r="AW263">
        <f t="shared" si="113"/>
        <v>0</v>
      </c>
      <c r="AX263" s="4">
        <v>1</v>
      </c>
      <c r="AY263">
        <f t="shared" si="11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01"/>
        <v>3906.25</v>
      </c>
      <c r="BE263" s="15">
        <f t="shared" si="102"/>
        <v>2031.25</v>
      </c>
      <c r="BN263">
        <v>8</v>
      </c>
      <c r="BR263" t="str">
        <f>VLOOKUP(G263,Eras!$A$2:$C$10, 2, TRUE)</f>
        <v>dsl</v>
      </c>
      <c r="BS263" t="s">
        <v>385</v>
      </c>
      <c r="BT263" t="str">
        <f t="shared" si="103"/>
        <v>dsl_LU</v>
      </c>
      <c r="BU263" t="str">
        <f t="shared" si="116"/>
        <v/>
      </c>
      <c r="BV263" t="str">
        <f t="shared" si="115"/>
        <v/>
      </c>
      <c r="BX263" t="str">
        <f t="shared" si="106"/>
        <v/>
      </c>
      <c r="BY263" t="str">
        <f t="shared" si="104"/>
        <v>{SILVER}</v>
      </c>
    </row>
    <row r="264" spans="1:77" x14ac:dyDescent="0.25">
      <c r="A264" t="s">
        <v>118</v>
      </c>
      <c r="B264" t="s">
        <v>229</v>
      </c>
      <c r="D264" t="s">
        <v>168</v>
      </c>
      <c r="E264" t="s">
        <v>1176</v>
      </c>
      <c r="F264" t="s">
        <v>314</v>
      </c>
      <c r="G264">
        <v>1973</v>
      </c>
      <c r="X264" s="4" t="str">
        <f t="shared" si="109"/>
        <v/>
      </c>
      <c r="AF264" t="str">
        <f>CONCATENATE(VLOOKUP(AG264, 'Voxel Sizes'!$A$2:$B$18,2,FALSE),"x",INT(AC264*15), "x", INT(AD264*15))</f>
        <v>0x0x0</v>
      </c>
      <c r="AG264">
        <f t="shared" si="100"/>
        <v>0</v>
      </c>
      <c r="AI264" t="str">
        <f>CONCATENATE(VLOOKUP(AG264,Constants!$A$2:$C$16,IF(AH264&lt;&gt;"", 3, 2), FALSE),IF(AH264&lt;&gt;"",CONCATENATE(",",VLOOKUP(AH264,$B:$AI,34,FALSE)),""))</f>
        <v>na</v>
      </c>
      <c r="AQ264">
        <v>30</v>
      </c>
      <c r="AR264" t="str">
        <f t="shared" si="110"/>
        <v/>
      </c>
      <c r="AU264">
        <f t="shared" si="111"/>
        <v>0</v>
      </c>
      <c r="AV264">
        <f t="shared" si="112"/>
        <v>0</v>
      </c>
      <c r="AW264">
        <f t="shared" si="113"/>
        <v>0</v>
      </c>
      <c r="AX264" s="4">
        <v>1</v>
      </c>
      <c r="AY264">
        <f t="shared" si="11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01"/>
        <v>3906.25</v>
      </c>
      <c r="BE264" s="15">
        <f t="shared" si="102"/>
        <v>2031.25</v>
      </c>
      <c r="BN264">
        <v>9</v>
      </c>
      <c r="BR264" t="str">
        <f>VLOOKUP(G264,Eras!$A$2:$C$10, 2, TRUE)</f>
        <v>lbr</v>
      </c>
      <c r="BS264" t="s">
        <v>385</v>
      </c>
      <c r="BT264" t="str">
        <f t="shared" si="103"/>
        <v>lbr_LU</v>
      </c>
      <c r="BU264" t="str">
        <f t="shared" si="116"/>
        <v/>
      </c>
      <c r="BV264" t="str">
        <f t="shared" si="115"/>
        <v/>
      </c>
      <c r="BX264" t="str">
        <f t="shared" si="106"/>
        <v/>
      </c>
      <c r="BY264" t="str">
        <f t="shared" si="104"/>
        <v>{SILVER}</v>
      </c>
    </row>
    <row r="265" spans="1:77" x14ac:dyDescent="0.25">
      <c r="A265" t="s">
        <v>120</v>
      </c>
      <c r="B265" t="s">
        <v>231</v>
      </c>
      <c r="D265" t="s">
        <v>168</v>
      </c>
      <c r="E265" t="s">
        <v>1176</v>
      </c>
      <c r="F265" t="s">
        <v>314</v>
      </c>
      <c r="G265">
        <v>1983</v>
      </c>
      <c r="X265" s="4" t="str">
        <f t="shared" si="109"/>
        <v/>
      </c>
      <c r="AF265" t="str">
        <f>CONCATENATE(VLOOKUP(AG265, 'Voxel Sizes'!$A$2:$B$18,2,FALSE),"x",INT(AC265*15), "x", INT(AD265*15))</f>
        <v>0x0x0</v>
      </c>
      <c r="AG265">
        <f t="shared" si="100"/>
        <v>0</v>
      </c>
      <c r="AI265" t="str">
        <f>CONCATENATE(VLOOKUP(AG265,Constants!$A$2:$C$16,IF(AH265&lt;&gt;"", 3, 2), FALSE),IF(AH265&lt;&gt;"",CONCATENATE(",",VLOOKUP(AH265,$B:$AI,34,FALSE)),""))</f>
        <v>na</v>
      </c>
      <c r="AQ265">
        <v>30</v>
      </c>
      <c r="AR265" t="str">
        <f t="shared" si="110"/>
        <v/>
      </c>
      <c r="AU265">
        <f t="shared" si="111"/>
        <v>0</v>
      </c>
      <c r="AV265">
        <f t="shared" si="112"/>
        <v>0</v>
      </c>
      <c r="AW265">
        <f t="shared" si="113"/>
        <v>0</v>
      </c>
      <c r="AX265" s="4">
        <v>1</v>
      </c>
      <c r="AY265">
        <f t="shared" si="11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01"/>
        <v>3906.25</v>
      </c>
      <c r="BE265" s="15">
        <f t="shared" si="102"/>
        <v>2031.25</v>
      </c>
      <c r="BN265">
        <v>10</v>
      </c>
      <c r="BR265" t="str">
        <f>VLOOKUP(G265,Eras!$A$2:$C$10, 2, TRUE)</f>
        <v>lbr</v>
      </c>
      <c r="BS265" t="s">
        <v>385</v>
      </c>
      <c r="BT265" t="str">
        <f t="shared" si="103"/>
        <v>lbr_LU</v>
      </c>
      <c r="BU265" t="str">
        <f t="shared" si="116"/>
        <v/>
      </c>
      <c r="BV265" t="str">
        <f t="shared" si="115"/>
        <v/>
      </c>
      <c r="BX265" t="str">
        <f t="shared" si="106"/>
        <v/>
      </c>
      <c r="BY265" t="str">
        <f t="shared" si="104"/>
        <v>{SILVER}</v>
      </c>
    </row>
    <row r="266" spans="1:77" x14ac:dyDescent="0.25">
      <c r="A266" t="s">
        <v>119</v>
      </c>
      <c r="B266" t="s">
        <v>230</v>
      </c>
      <c r="D266" t="s">
        <v>168</v>
      </c>
      <c r="E266" t="s">
        <v>1176</v>
      </c>
      <c r="F266" t="s">
        <v>314</v>
      </c>
      <c r="G266">
        <v>1978</v>
      </c>
      <c r="X266" s="4" t="str">
        <f t="shared" si="109"/>
        <v/>
      </c>
      <c r="AF266" t="str">
        <f>CONCATENATE(VLOOKUP(AG266, 'Voxel Sizes'!$A$2:$B$18,2,FALSE),"x",INT(AC266*15), "x", INT(AD266*15))</f>
        <v>0x0x0</v>
      </c>
      <c r="AG266">
        <f t="shared" si="100"/>
        <v>0</v>
      </c>
      <c r="AI266" t="str">
        <f>CONCATENATE(VLOOKUP(AG266,Constants!$A$2:$C$16,IF(AH266&lt;&gt;"", 3, 2), FALSE),IF(AH266&lt;&gt;"",CONCATENATE(",",VLOOKUP(AH266,$B:$AI,34,FALSE)),""))</f>
        <v>na</v>
      </c>
      <c r="AQ266">
        <v>30</v>
      </c>
      <c r="AR266" t="str">
        <f t="shared" si="110"/>
        <v/>
      </c>
      <c r="AU266">
        <f t="shared" si="111"/>
        <v>0</v>
      </c>
      <c r="AV266">
        <f t="shared" si="112"/>
        <v>0</v>
      </c>
      <c r="AW266">
        <f t="shared" si="113"/>
        <v>0</v>
      </c>
      <c r="AX266" s="4">
        <v>1</v>
      </c>
      <c r="AY266">
        <f t="shared" si="11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01"/>
        <v>3906.25</v>
      </c>
      <c r="BE266" s="15">
        <f t="shared" si="102"/>
        <v>2031.25</v>
      </c>
      <c r="BN266">
        <v>11</v>
      </c>
      <c r="BR266" t="str">
        <f>VLOOKUP(G266,Eras!$A$2:$C$10, 2, TRUE)</f>
        <v>lbr</v>
      </c>
      <c r="BS266" t="s">
        <v>385</v>
      </c>
      <c r="BT266" t="str">
        <f t="shared" si="103"/>
        <v>lbr_LU</v>
      </c>
      <c r="BU266" t="str">
        <f t="shared" si="116"/>
        <v/>
      </c>
      <c r="BV266" t="str">
        <f t="shared" si="115"/>
        <v/>
      </c>
      <c r="BX266" t="str">
        <f t="shared" si="106"/>
        <v/>
      </c>
      <c r="BY266" t="str">
        <f t="shared" si="104"/>
        <v>{SILVER}</v>
      </c>
    </row>
    <row r="267" spans="1:77" x14ac:dyDescent="0.25">
      <c r="A267" t="s">
        <v>123</v>
      </c>
      <c r="B267" t="s">
        <v>233</v>
      </c>
      <c r="D267" t="s">
        <v>168</v>
      </c>
      <c r="E267" t="s">
        <v>1176</v>
      </c>
      <c r="F267" t="s">
        <v>314</v>
      </c>
      <c r="G267">
        <v>2009</v>
      </c>
      <c r="X267" s="4" t="str">
        <f t="shared" si="109"/>
        <v/>
      </c>
      <c r="AF267" t="str">
        <f>CONCATENATE(VLOOKUP(AG267, 'Voxel Sizes'!$A$2:$B$18,2,FALSE),"x",INT(AC267*15), "x", INT(AD267*15))</f>
        <v>0x0x0</v>
      </c>
      <c r="AG267">
        <f t="shared" si="100"/>
        <v>0</v>
      </c>
      <c r="AI267" t="str">
        <f>CONCATENATE(VLOOKUP(AG267,Constants!$A$2:$C$16,IF(AH267&lt;&gt;"", 3, 2), FALSE),IF(AH267&lt;&gt;"",CONCATENATE(",",VLOOKUP(AH267,$B:$AI,34,FALSE)),""))</f>
        <v>na</v>
      </c>
      <c r="AQ267">
        <v>30</v>
      </c>
      <c r="AR267" t="str">
        <f t="shared" si="110"/>
        <v/>
      </c>
      <c r="AU267">
        <f t="shared" si="111"/>
        <v>0</v>
      </c>
      <c r="AV267">
        <f t="shared" si="112"/>
        <v>0</v>
      </c>
      <c r="AW267">
        <f t="shared" si="113"/>
        <v>0</v>
      </c>
      <c r="AX267" s="4">
        <v>1</v>
      </c>
      <c r="AY267">
        <f t="shared" si="11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01"/>
        <v>3906.25</v>
      </c>
      <c r="BE267" s="15">
        <f t="shared" si="102"/>
        <v>2031.25</v>
      </c>
      <c r="BN267">
        <v>12</v>
      </c>
      <c r="BR267" t="str">
        <f>VLOOKUP(G267,Eras!$A$2:$C$10, 2, TRUE)</f>
        <v>mod</v>
      </c>
      <c r="BS267" t="s">
        <v>385</v>
      </c>
      <c r="BT267" t="str">
        <f t="shared" si="103"/>
        <v>mod_LU</v>
      </c>
      <c r="BU267" t="str">
        <f t="shared" si="116"/>
        <v/>
      </c>
      <c r="BV267" t="str">
        <f t="shared" si="115"/>
        <v/>
      </c>
      <c r="BX267" t="str">
        <f t="shared" si="106"/>
        <v/>
      </c>
      <c r="BY267" t="str">
        <f t="shared" si="104"/>
        <v>{SILVER}</v>
      </c>
    </row>
    <row r="268" spans="1:77" x14ac:dyDescent="0.25">
      <c r="A268" t="s">
        <v>124</v>
      </c>
      <c r="B268" t="s">
        <v>234</v>
      </c>
      <c r="D268" t="s">
        <v>168</v>
      </c>
      <c r="E268" t="s">
        <v>1176</v>
      </c>
      <c r="F268" t="s">
        <v>314</v>
      </c>
      <c r="G268">
        <v>2010</v>
      </c>
      <c r="X268" s="4" t="str">
        <f t="shared" si="109"/>
        <v/>
      </c>
      <c r="AF268" t="str">
        <f>CONCATENATE(VLOOKUP(AG268, 'Voxel Sizes'!$A$2:$B$18,2,FALSE),"x",INT(AC268*15), "x", INT(AD268*15))</f>
        <v>0x0x0</v>
      </c>
      <c r="AG268">
        <f t="shared" si="100"/>
        <v>0</v>
      </c>
      <c r="AI268" t="str">
        <f>CONCATENATE(VLOOKUP(AG268,Constants!$A$2:$C$16,IF(AH268&lt;&gt;"", 3, 2), FALSE),IF(AH268&lt;&gt;"",CONCATENATE(",",VLOOKUP(AH268,$B:$AI,34,FALSE)),""))</f>
        <v>na</v>
      </c>
      <c r="AQ268">
        <v>30</v>
      </c>
      <c r="AR268" t="str">
        <f t="shared" si="110"/>
        <v/>
      </c>
      <c r="AU268">
        <f t="shared" si="111"/>
        <v>0</v>
      </c>
      <c r="AV268">
        <f t="shared" si="112"/>
        <v>0</v>
      </c>
      <c r="AW268">
        <f t="shared" si="113"/>
        <v>0</v>
      </c>
      <c r="AX268" s="4">
        <v>1</v>
      </c>
      <c r="AY268">
        <f t="shared" si="11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01"/>
        <v>3906.25</v>
      </c>
      <c r="BE268" s="15">
        <f t="shared" si="102"/>
        <v>2031.25</v>
      </c>
      <c r="BN268">
        <v>1</v>
      </c>
      <c r="BR268" t="str">
        <f>VLOOKUP(G268,Eras!$A$2:$C$10, 2, TRUE)</f>
        <v>mod</v>
      </c>
      <c r="BS268" t="s">
        <v>385</v>
      </c>
      <c r="BT268" t="str">
        <f t="shared" si="103"/>
        <v>mod_LU</v>
      </c>
      <c r="BU268" t="str">
        <f t="shared" si="116"/>
        <v/>
      </c>
      <c r="BV268" t="str">
        <f t="shared" si="115"/>
        <v/>
      </c>
      <c r="BX268" t="str">
        <f t="shared" si="106"/>
        <v/>
      </c>
      <c r="BY268" t="str">
        <f t="shared" si="104"/>
        <v>{SILVER}</v>
      </c>
    </row>
    <row r="269" spans="1:77" x14ac:dyDescent="0.25">
      <c r="A269" t="s">
        <v>122</v>
      </c>
      <c r="B269" t="s">
        <v>266</v>
      </c>
      <c r="D269" t="s">
        <v>168</v>
      </c>
      <c r="E269" t="s">
        <v>1176</v>
      </c>
      <c r="F269" t="s">
        <v>314</v>
      </c>
      <c r="G269">
        <v>1995</v>
      </c>
      <c r="X269" s="4" t="str">
        <f t="shared" si="109"/>
        <v/>
      </c>
      <c r="AF269" t="str">
        <f>CONCATENATE(VLOOKUP(AG269, 'Voxel Sizes'!$A$2:$B$18,2,FALSE),"x",INT(AC269*15), "x", INT(AD269*15))</f>
        <v>0x0x0</v>
      </c>
      <c r="AG269">
        <f t="shared" si="100"/>
        <v>0</v>
      </c>
      <c r="AI269" t="str">
        <f>CONCATENATE(VLOOKUP(AG269,Constants!$A$2:$C$16,IF(AH269&lt;&gt;"", 3, 2), FALSE),IF(AH269&lt;&gt;"",CONCATENATE(",",VLOOKUP(AH269,$B:$AI,34,FALSE)),""))</f>
        <v>na</v>
      </c>
      <c r="AQ269">
        <v>30</v>
      </c>
      <c r="AR269" t="str">
        <f t="shared" si="110"/>
        <v/>
      </c>
      <c r="AU269">
        <f t="shared" si="111"/>
        <v>0</v>
      </c>
      <c r="AV269">
        <f t="shared" si="112"/>
        <v>0</v>
      </c>
      <c r="AW269">
        <f t="shared" si="113"/>
        <v>0</v>
      </c>
      <c r="AX269" s="4">
        <v>1</v>
      </c>
      <c r="AY269">
        <f t="shared" si="11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ref="BD269:BD270" si="117">BB269*IF($D269="wagon",62.5,781.25)</f>
        <v>3906.25</v>
      </c>
      <c r="BE269" s="15">
        <f t="shared" ref="BE269:BE270" si="118">BC269*IF($D269="wagon",2.73,81.25)</f>
        <v>2031.25</v>
      </c>
      <c r="BN269">
        <v>2</v>
      </c>
      <c r="BR269" t="str">
        <f>VLOOKUP(G269,Eras!$A$2:$C$10, 2, TRUE)</f>
        <v>prv</v>
      </c>
      <c r="BS269" t="s">
        <v>385</v>
      </c>
      <c r="BT269" t="str">
        <f t="shared" ref="BT269:BT270" si="119">CONCATENATE(BR269,"_",BS269)</f>
        <v>prv_LU</v>
      </c>
      <c r="BU269" t="str">
        <f t="shared" si="116"/>
        <v/>
      </c>
      <c r="BV269" t="str">
        <f t="shared" si="115"/>
        <v/>
      </c>
      <c r="BX269" t="str">
        <f t="shared" si="106"/>
        <v/>
      </c>
      <c r="BY269" t="str">
        <f t="shared" si="104"/>
        <v>{SILVER}</v>
      </c>
    </row>
    <row r="270" spans="1:77" x14ac:dyDescent="0.25">
      <c r="A270" t="s">
        <v>121</v>
      </c>
      <c r="B270" t="s">
        <v>232</v>
      </c>
      <c r="D270" t="s">
        <v>168</v>
      </c>
      <c r="E270" t="s">
        <v>1176</v>
      </c>
      <c r="F270" t="s">
        <v>314</v>
      </c>
      <c r="G270">
        <v>1992</v>
      </c>
      <c r="X270" s="4" t="str">
        <f t="shared" si="109"/>
        <v/>
      </c>
      <c r="AF270" t="str">
        <f>CONCATENATE(VLOOKUP(AG270, 'Voxel Sizes'!$A$2:$B$18,2,FALSE),"x",INT(AC270*15), "x", INT(AD270*15))</f>
        <v>0x0x0</v>
      </c>
      <c r="AG270">
        <f t="shared" si="100"/>
        <v>0</v>
      </c>
      <c r="AI270" t="str">
        <f>CONCATENATE(VLOOKUP(AG270,Constants!$A$2:$C$16,IF(AH270&lt;&gt;"", 3, 2), FALSE),IF(AH270&lt;&gt;"",CONCATENATE(",",VLOOKUP(AH270,$B:$AI,34,FALSE)),""))</f>
        <v>na</v>
      </c>
      <c r="AQ270">
        <v>30</v>
      </c>
      <c r="AR270" t="str">
        <f t="shared" si="110"/>
        <v/>
      </c>
      <c r="AU270">
        <f t="shared" si="111"/>
        <v>0</v>
      </c>
      <c r="AV270">
        <f t="shared" si="112"/>
        <v>0</v>
      </c>
      <c r="AW270">
        <f t="shared" si="113"/>
        <v>0</v>
      </c>
      <c r="AX270" s="4">
        <v>1</v>
      </c>
      <c r="AY270">
        <f t="shared" si="11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17"/>
        <v>3906.25</v>
      </c>
      <c r="BE270" s="15">
        <f t="shared" si="118"/>
        <v>2031.25</v>
      </c>
      <c r="BN270">
        <v>3</v>
      </c>
      <c r="BR270" t="str">
        <f>VLOOKUP(G270,Eras!$A$2:$C$10, 2, TRUE)</f>
        <v>lbr</v>
      </c>
      <c r="BS270" t="s">
        <v>385</v>
      </c>
      <c r="BT270" t="str">
        <f t="shared" si="119"/>
        <v>lbr_LU</v>
      </c>
      <c r="BU270" t="str">
        <f t="shared" si="116"/>
        <v/>
      </c>
      <c r="BV270" t="str">
        <f t="shared" si="115"/>
        <v/>
      </c>
      <c r="BX270" t="str">
        <f t="shared" si="106"/>
        <v/>
      </c>
      <c r="BY270" t="str">
        <f t="shared" ref="BY270" si="120">_xlfn.CONCAT(BU270,BV270,BX270,"{SILVER}", BW270)</f>
        <v>{SILVER}</v>
      </c>
    </row>
    <row r="271" spans="1:77" x14ac:dyDescent="0.25">
      <c r="A271" t="s">
        <v>1265</v>
      </c>
    </row>
    <row r="272" spans="1:77" x14ac:dyDescent="0.25">
      <c r="A272" t="s">
        <v>1266</v>
      </c>
    </row>
    <row r="273" spans="1:1" x14ac:dyDescent="0.25">
      <c r="A273" t="s">
        <v>1267</v>
      </c>
    </row>
  </sheetData>
  <autoFilter ref="A1:BW270" xr:uid="{CF2E8555-48EE-4386-A1B1-369F6A2E644F}">
    <sortState xmlns:xlrd2="http://schemas.microsoft.com/office/spreadsheetml/2017/richdata2" ref="A2:BW270">
      <sortCondition ref="C98"/>
    </sortState>
  </autoFilter>
  <sortState xmlns:xlrd2="http://schemas.microsoft.com/office/spreadsheetml/2017/richdata2" ref="A2:BY270">
    <sortCondition ref="C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759</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2</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694</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695</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465</v>
      </c>
    </row>
    <row r="6" spans="1:3" x14ac:dyDescent="0.25">
      <c r="A6">
        <v>1948</v>
      </c>
      <c r="B6" t="s">
        <v>694</v>
      </c>
      <c r="C6" t="s">
        <v>353</v>
      </c>
    </row>
    <row r="7" spans="1:3" x14ac:dyDescent="0.25">
      <c r="A7">
        <v>1955</v>
      </c>
      <c r="B7" t="s">
        <v>360</v>
      </c>
      <c r="C7" t="s">
        <v>697</v>
      </c>
    </row>
    <row r="8" spans="1:3" x14ac:dyDescent="0.25">
      <c r="A8">
        <v>1970</v>
      </c>
      <c r="B8" t="s">
        <v>695</v>
      </c>
      <c r="C8" t="s">
        <v>696</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551</v>
      </c>
      <c r="F1" s="1" t="s">
        <v>1164</v>
      </c>
      <c r="G1">
        <v>15</v>
      </c>
      <c r="I1" s="1" t="s">
        <v>1168</v>
      </c>
      <c r="J1" s="1" t="s">
        <v>1169</v>
      </c>
      <c r="K1" s="1" t="s">
        <v>1170</v>
      </c>
    </row>
    <row r="2" spans="1:11" x14ac:dyDescent="0.25">
      <c r="A2" s="2">
        <v>0</v>
      </c>
      <c r="B2" s="2" t="s">
        <v>168</v>
      </c>
      <c r="F2" s="1" t="s">
        <v>1165</v>
      </c>
      <c r="G2">
        <v>5</v>
      </c>
      <c r="I2" t="s">
        <v>312</v>
      </c>
      <c r="J2">
        <v>1</v>
      </c>
      <c r="K2">
        <v>2</v>
      </c>
    </row>
    <row r="3" spans="1:11" x14ac:dyDescent="0.25">
      <c r="A3">
        <v>3</v>
      </c>
      <c r="B3" t="s">
        <v>332</v>
      </c>
      <c r="C3" t="s">
        <v>332</v>
      </c>
      <c r="I3" t="s">
        <v>336</v>
      </c>
      <c r="J3">
        <v>0.85</v>
      </c>
      <c r="K3">
        <v>2.2999999999999998</v>
      </c>
    </row>
    <row r="4" spans="1:11" x14ac:dyDescent="0.25">
      <c r="A4">
        <v>4</v>
      </c>
      <c r="B4" t="s">
        <v>773</v>
      </c>
      <c r="C4" t="s">
        <v>773</v>
      </c>
      <c r="I4" t="s">
        <v>311</v>
      </c>
      <c r="J4">
        <v>1.1499999999999999</v>
      </c>
      <c r="K4">
        <v>1.7</v>
      </c>
    </row>
    <row r="5" spans="1:11" x14ac:dyDescent="0.25">
      <c r="A5">
        <v>5</v>
      </c>
      <c r="B5" t="s">
        <v>768</v>
      </c>
      <c r="C5" t="s">
        <v>768</v>
      </c>
      <c r="I5" t="s">
        <v>594</v>
      </c>
      <c r="J5">
        <v>0.9</v>
      </c>
      <c r="K5">
        <v>2.5</v>
      </c>
    </row>
    <row r="6" spans="1:11" x14ac:dyDescent="0.25">
      <c r="A6">
        <v>6</v>
      </c>
      <c r="B6" t="s">
        <v>344</v>
      </c>
      <c r="C6" t="s">
        <v>344</v>
      </c>
      <c r="I6" t="s">
        <v>605</v>
      </c>
      <c r="J6">
        <v>0.85</v>
      </c>
      <c r="K6">
        <v>2.4</v>
      </c>
    </row>
    <row r="7" spans="1:11" x14ac:dyDescent="0.25">
      <c r="A7">
        <v>7</v>
      </c>
      <c r="B7" t="s">
        <v>766</v>
      </c>
      <c r="C7" t="s">
        <v>766</v>
      </c>
      <c r="I7" t="s">
        <v>1173</v>
      </c>
      <c r="J7">
        <v>1.2</v>
      </c>
      <c r="K7">
        <v>0.6</v>
      </c>
    </row>
    <row r="8" spans="1:11" x14ac:dyDescent="0.25">
      <c r="A8">
        <v>8</v>
      </c>
      <c r="B8" t="s">
        <v>763</v>
      </c>
      <c r="C8" t="s">
        <v>763</v>
      </c>
      <c r="I8" t="s">
        <v>1174</v>
      </c>
      <c r="J8">
        <v>1.5</v>
      </c>
      <c r="K8">
        <v>0.7</v>
      </c>
    </row>
    <row r="9" spans="1:11" x14ac:dyDescent="0.25">
      <c r="A9">
        <v>9</v>
      </c>
      <c r="B9" t="s">
        <v>765</v>
      </c>
      <c r="C9" t="s">
        <v>765</v>
      </c>
      <c r="I9" t="s">
        <v>321</v>
      </c>
      <c r="J9">
        <v>1</v>
      </c>
      <c r="K9">
        <v>0.45</v>
      </c>
    </row>
    <row r="10" spans="1:11" x14ac:dyDescent="0.25">
      <c r="A10">
        <v>10</v>
      </c>
      <c r="B10" t="s">
        <v>767</v>
      </c>
      <c r="C10" t="s">
        <v>767</v>
      </c>
      <c r="I10" t="s">
        <v>1175</v>
      </c>
      <c r="J10">
        <v>1</v>
      </c>
      <c r="K10">
        <v>0.4</v>
      </c>
    </row>
    <row r="11" spans="1:11" x14ac:dyDescent="0.25">
      <c r="A11">
        <v>11</v>
      </c>
      <c r="B11" t="s">
        <v>769</v>
      </c>
      <c r="C11" t="s">
        <v>769</v>
      </c>
      <c r="I11" t="s">
        <v>1176</v>
      </c>
      <c r="J11">
        <v>1</v>
      </c>
      <c r="K11">
        <v>1</v>
      </c>
    </row>
    <row r="12" spans="1:11" x14ac:dyDescent="0.25">
      <c r="A12">
        <v>12</v>
      </c>
      <c r="B12" t="s">
        <v>762</v>
      </c>
      <c r="C12" t="s">
        <v>762</v>
      </c>
      <c r="I12" t="s">
        <v>331</v>
      </c>
      <c r="J12">
        <v>0</v>
      </c>
      <c r="K12">
        <v>0</v>
      </c>
    </row>
    <row r="13" spans="1:11" x14ac:dyDescent="0.25">
      <c r="A13">
        <v>13</v>
      </c>
      <c r="B13" t="s">
        <v>770</v>
      </c>
      <c r="C13" t="s">
        <v>770</v>
      </c>
    </row>
    <row r="14" spans="1:11" x14ac:dyDescent="0.25">
      <c r="A14">
        <v>14</v>
      </c>
      <c r="B14" t="s">
        <v>764</v>
      </c>
      <c r="C14" t="s">
        <v>764</v>
      </c>
    </row>
    <row r="15" spans="1:11" x14ac:dyDescent="0.25">
      <c r="A15">
        <v>15</v>
      </c>
      <c r="B15" t="s">
        <v>771</v>
      </c>
      <c r="C15" t="s">
        <v>771</v>
      </c>
    </row>
    <row r="16" spans="1:11" x14ac:dyDescent="0.25">
      <c r="A16">
        <v>16</v>
      </c>
      <c r="B16" t="s">
        <v>772</v>
      </c>
      <c r="C16" t="s">
        <v>772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730</v>
      </c>
    </row>
    <row r="3" spans="1:21" x14ac:dyDescent="0.25">
      <c r="A3" t="s">
        <v>742</v>
      </c>
      <c r="B3" t="s">
        <v>726</v>
      </c>
      <c r="C3" t="s">
        <v>729</v>
      </c>
      <c r="D3" t="s">
        <v>729</v>
      </c>
      <c r="E3" t="s">
        <v>729</v>
      </c>
      <c r="F3" t="s">
        <v>729</v>
      </c>
      <c r="G3" t="s">
        <v>733</v>
      </c>
      <c r="H3" t="s">
        <v>732</v>
      </c>
      <c r="I3" t="s">
        <v>732</v>
      </c>
      <c r="J3" t="s">
        <v>734</v>
      </c>
      <c r="K3" t="s">
        <v>729</v>
      </c>
      <c r="L3" t="s">
        <v>729</v>
      </c>
      <c r="M3" t="s">
        <v>729</v>
      </c>
      <c r="N3" t="s">
        <v>729</v>
      </c>
      <c r="O3" t="s">
        <v>731</v>
      </c>
    </row>
    <row r="4" spans="1:21" x14ac:dyDescent="0.25">
      <c r="A4" t="s">
        <v>743</v>
      </c>
      <c r="B4">
        <v>1</v>
      </c>
      <c r="C4">
        <v>1</v>
      </c>
      <c r="D4">
        <v>0</v>
      </c>
      <c r="E4">
        <v>0</v>
      </c>
      <c r="F4">
        <v>0</v>
      </c>
      <c r="G4">
        <v>1</v>
      </c>
      <c r="H4">
        <v>1</v>
      </c>
      <c r="I4">
        <v>0</v>
      </c>
      <c r="J4">
        <v>1</v>
      </c>
      <c r="K4">
        <v>0</v>
      </c>
      <c r="L4">
        <v>0</v>
      </c>
      <c r="M4">
        <v>0</v>
      </c>
      <c r="N4">
        <v>0</v>
      </c>
      <c r="O4">
        <v>1</v>
      </c>
    </row>
    <row r="6" spans="1:21" ht="14.25" customHeight="1" x14ac:dyDescent="0.25">
      <c r="B6" t="s">
        <v>741</v>
      </c>
    </row>
    <row r="7" spans="1:21" x14ac:dyDescent="0.25">
      <c r="A7" t="s">
        <v>742</v>
      </c>
      <c r="B7" t="s">
        <v>701</v>
      </c>
      <c r="C7" t="s">
        <v>747</v>
      </c>
      <c r="D7" t="s">
        <v>746</v>
      </c>
      <c r="E7" t="s">
        <v>746</v>
      </c>
      <c r="F7" t="s">
        <v>746</v>
      </c>
      <c r="G7" t="s">
        <v>746</v>
      </c>
      <c r="H7" t="s">
        <v>748</v>
      </c>
      <c r="I7" t="s">
        <v>746</v>
      </c>
      <c r="J7" t="s">
        <v>746</v>
      </c>
      <c r="K7" t="s">
        <v>746</v>
      </c>
      <c r="L7" t="s">
        <v>746</v>
      </c>
      <c r="M7" t="s">
        <v>746</v>
      </c>
      <c r="N7" t="s">
        <v>746</v>
      </c>
      <c r="O7" t="s">
        <v>748</v>
      </c>
      <c r="P7" t="s">
        <v>746</v>
      </c>
      <c r="Q7" t="s">
        <v>746</v>
      </c>
      <c r="R7" t="s">
        <v>746</v>
      </c>
      <c r="S7" t="s">
        <v>746</v>
      </c>
      <c r="T7" t="s">
        <v>749</v>
      </c>
      <c r="U7" t="s">
        <v>750</v>
      </c>
    </row>
    <row r="8" spans="1:21" x14ac:dyDescent="0.25">
      <c r="A8" t="s">
        <v>743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755</v>
      </c>
    </row>
    <row r="18" spans="1:9" x14ac:dyDescent="0.25">
      <c r="A18" t="s">
        <v>742</v>
      </c>
      <c r="B18" t="s">
        <v>701</v>
      </c>
      <c r="C18" t="s">
        <v>747</v>
      </c>
      <c r="D18" t="s">
        <v>746</v>
      </c>
      <c r="E18" t="s">
        <v>748</v>
      </c>
      <c r="F18" t="s">
        <v>746</v>
      </c>
      <c r="G18" t="s">
        <v>748</v>
      </c>
      <c r="H18" t="s">
        <v>749</v>
      </c>
      <c r="I18" t="s">
        <v>750</v>
      </c>
    </row>
    <row r="19" spans="1:9" x14ac:dyDescent="0.25">
      <c r="A19" t="s">
        <v>743</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745</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881</v>
      </c>
      <c r="B1" s="1" t="s">
        <v>880</v>
      </c>
      <c r="C1" s="1" t="s">
        <v>1107</v>
      </c>
      <c r="F1" s="1" t="s">
        <v>1115</v>
      </c>
      <c r="G1" s="1" t="s">
        <v>351</v>
      </c>
      <c r="H1" s="1" t="s">
        <v>1117</v>
      </c>
      <c r="J1" s="1" t="s">
        <v>1130</v>
      </c>
      <c r="K1" s="1" t="s">
        <v>1131</v>
      </c>
      <c r="L1" s="1" t="s">
        <v>1132</v>
      </c>
      <c r="M1" s="1" t="s">
        <v>1133</v>
      </c>
      <c r="N1" s="1" t="s">
        <v>1118</v>
      </c>
      <c r="O1" s="1" t="s">
        <v>1126</v>
      </c>
      <c r="P1" s="1" t="s">
        <v>1124</v>
      </c>
      <c r="Q1" s="1" t="s">
        <v>1122</v>
      </c>
      <c r="R1" s="1" t="s">
        <v>1158</v>
      </c>
    </row>
    <row r="2" spans="1:18" ht="15.75" customHeight="1" x14ac:dyDescent="0.25">
      <c r="A2" t="s">
        <v>927</v>
      </c>
      <c r="B2" t="s">
        <v>985</v>
      </c>
      <c r="C2" t="s">
        <v>1033</v>
      </c>
      <c r="D2" t="str">
        <f t="shared" ref="D2:D33" si="0">CONCATENATE("""", A2, """,")</f>
        <v>"ACID",</v>
      </c>
      <c r="F2" t="s">
        <v>1083</v>
      </c>
      <c r="G2" s="14" t="str">
        <f>VLOOKUP(F2,A:B,2, FALSE)</f>
        <v>Batteries</v>
      </c>
      <c r="H2" s="14" t="s">
        <v>1126</v>
      </c>
      <c r="J2" t="s">
        <v>1129</v>
      </c>
      <c r="K2">
        <v>136</v>
      </c>
      <c r="L2">
        <v>38</v>
      </c>
      <c r="M2">
        <v>28</v>
      </c>
      <c r="N2">
        <f>K2/45</f>
        <v>3.0222222222222221</v>
      </c>
      <c r="O2">
        <f>K2/30</f>
        <v>4.5333333333333332</v>
      </c>
      <c r="P2">
        <f>K2/34</f>
        <v>4</v>
      </c>
      <c r="Q2">
        <f>K2/68</f>
        <v>2</v>
      </c>
      <c r="R2">
        <f>K2/60</f>
        <v>2.2666666666666666</v>
      </c>
    </row>
    <row r="3" spans="1:18" x14ac:dyDescent="0.25">
      <c r="A3" t="s">
        <v>886</v>
      </c>
      <c r="B3" t="s">
        <v>948</v>
      </c>
      <c r="C3" t="s">
        <v>1005</v>
      </c>
      <c r="D3" t="str">
        <f t="shared" si="0"/>
        <v>"AORE",</v>
      </c>
      <c r="F3" t="s">
        <v>895</v>
      </c>
      <c r="G3" s="14" t="str">
        <f t="shared" ref="G3:G42" si="1">VLOOKUP(F3,A:B,2, FALSE)</f>
        <v>Bulding Materials</v>
      </c>
      <c r="H3" s="14" t="s">
        <v>1118</v>
      </c>
      <c r="J3" t="s">
        <v>1134</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1083</v>
      </c>
      <c r="B4" t="s">
        <v>1084</v>
      </c>
      <c r="C4" t="s">
        <v>1009</v>
      </c>
      <c r="D4" t="str">
        <f t="shared" si="0"/>
        <v>"BATT",</v>
      </c>
      <c r="F4" t="s">
        <v>894</v>
      </c>
      <c r="G4" s="14" t="str">
        <f t="shared" si="1"/>
        <v>Beer</v>
      </c>
      <c r="H4" s="14" t="s">
        <v>1126</v>
      </c>
      <c r="J4" t="s">
        <v>1135</v>
      </c>
      <c r="K4">
        <v>136</v>
      </c>
      <c r="L4">
        <v>38</v>
      </c>
      <c r="M4">
        <v>28</v>
      </c>
      <c r="N4">
        <f t="shared" si="2"/>
        <v>3.0222222222222221</v>
      </c>
      <c r="O4">
        <f t="shared" si="3"/>
        <v>4.5333333333333332</v>
      </c>
      <c r="P4">
        <f t="shared" si="4"/>
        <v>4</v>
      </c>
      <c r="Q4">
        <f t="shared" si="5"/>
        <v>2</v>
      </c>
      <c r="R4">
        <f t="shared" si="6"/>
        <v>2.2666666666666666</v>
      </c>
    </row>
    <row r="5" spans="1:18" x14ac:dyDescent="0.25">
      <c r="A5" t="s">
        <v>895</v>
      </c>
      <c r="B5" t="s">
        <v>960</v>
      </c>
      <c r="C5" t="s">
        <v>1021</v>
      </c>
      <c r="D5" t="str">
        <f t="shared" si="0"/>
        <v>"BDMT",</v>
      </c>
      <c r="F5" t="s">
        <v>1022</v>
      </c>
      <c r="G5" s="14" t="str">
        <f t="shared" si="1"/>
        <v>Explosives</v>
      </c>
      <c r="H5" s="14" t="s">
        <v>1126</v>
      </c>
      <c r="J5" t="s">
        <v>1136</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1018</v>
      </c>
      <c r="B6" t="s">
        <v>1019</v>
      </c>
      <c r="C6" t="s">
        <v>1005</v>
      </c>
      <c r="D6" t="str">
        <f t="shared" si="0"/>
        <v>"BEAN",</v>
      </c>
      <c r="F6" t="s">
        <v>924</v>
      </c>
      <c r="G6" s="14" t="str">
        <f t="shared" si="1"/>
        <v>Bricks</v>
      </c>
      <c r="H6" s="14" t="s">
        <v>1118</v>
      </c>
      <c r="J6" t="s">
        <v>1137</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894</v>
      </c>
      <c r="B7" t="s">
        <v>959</v>
      </c>
      <c r="C7" t="s">
        <v>1020</v>
      </c>
      <c r="D7" t="str">
        <f t="shared" si="0"/>
        <v>"BEER",</v>
      </c>
      <c r="F7" t="s">
        <v>1085</v>
      </c>
      <c r="G7" s="14" t="str">
        <f t="shared" si="1"/>
        <v>Bubbles</v>
      </c>
      <c r="H7" s="14" t="s">
        <v>1126</v>
      </c>
      <c r="J7" t="s">
        <v>1138</v>
      </c>
      <c r="K7">
        <v>180</v>
      </c>
      <c r="L7">
        <v>38</v>
      </c>
      <c r="M7">
        <v>28</v>
      </c>
      <c r="N7">
        <f t="shared" si="2"/>
        <v>4</v>
      </c>
      <c r="O7">
        <f t="shared" si="3"/>
        <v>6</v>
      </c>
      <c r="P7">
        <f t="shared" si="4"/>
        <v>5.2941176470588234</v>
      </c>
      <c r="Q7">
        <f t="shared" si="5"/>
        <v>2.6470588235294117</v>
      </c>
      <c r="R7">
        <f t="shared" si="6"/>
        <v>3</v>
      </c>
    </row>
    <row r="8" spans="1:18" x14ac:dyDescent="0.25">
      <c r="A8" t="s">
        <v>1022</v>
      </c>
      <c r="B8" t="s">
        <v>1023</v>
      </c>
      <c r="C8" t="s">
        <v>1024</v>
      </c>
      <c r="D8" t="str">
        <f t="shared" si="0"/>
        <v>"BOOM",</v>
      </c>
      <c r="F8" t="s">
        <v>1028</v>
      </c>
      <c r="G8" s="14" t="str">
        <f t="shared" si="1"/>
        <v>Ceramics</v>
      </c>
      <c r="H8" s="14" t="s">
        <v>1126</v>
      </c>
      <c r="J8" t="s">
        <v>1139</v>
      </c>
      <c r="K8">
        <v>180</v>
      </c>
      <c r="L8">
        <v>38</v>
      </c>
      <c r="M8">
        <v>28</v>
      </c>
      <c r="N8">
        <f t="shared" si="2"/>
        <v>4</v>
      </c>
      <c r="O8">
        <f t="shared" si="3"/>
        <v>6</v>
      </c>
      <c r="P8">
        <f t="shared" si="4"/>
        <v>5.2941176470588234</v>
      </c>
      <c r="Q8">
        <f t="shared" si="5"/>
        <v>2.6470588235294117</v>
      </c>
      <c r="R8">
        <f t="shared" si="6"/>
        <v>3</v>
      </c>
    </row>
    <row r="9" spans="1:18" x14ac:dyDescent="0.25">
      <c r="A9" t="s">
        <v>924</v>
      </c>
      <c r="B9" t="s">
        <v>983</v>
      </c>
      <c r="C9" t="s">
        <v>1009</v>
      </c>
      <c r="D9" t="str">
        <f t="shared" si="0"/>
        <v>"BRCK",</v>
      </c>
      <c r="F9" t="s">
        <v>900</v>
      </c>
      <c r="G9" s="14" t="str">
        <f t="shared" si="1"/>
        <v>Copper</v>
      </c>
      <c r="H9" s="14" t="s">
        <v>1123</v>
      </c>
      <c r="J9" t="s">
        <v>1140</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1085</v>
      </c>
      <c r="B10" t="s">
        <v>1086</v>
      </c>
      <c r="C10" t="s">
        <v>1009</v>
      </c>
      <c r="D10" t="str">
        <f t="shared" si="0"/>
        <v>"BUBL",</v>
      </c>
      <c r="F10" t="s">
        <v>925</v>
      </c>
      <c r="G10" s="14" t="str">
        <f t="shared" si="1"/>
        <v>Cast Iron</v>
      </c>
      <c r="H10" s="14" t="s">
        <v>1123</v>
      </c>
    </row>
    <row r="11" spans="1:18" x14ac:dyDescent="0.25">
      <c r="A11" t="s">
        <v>939</v>
      </c>
      <c r="B11" t="s">
        <v>996</v>
      </c>
      <c r="C11" t="s">
        <v>1005</v>
      </c>
      <c r="D11" t="str">
        <f t="shared" si="0"/>
        <v>"CASS",</v>
      </c>
      <c r="F11" t="s">
        <v>1090</v>
      </c>
      <c r="G11" s="14" t="str">
        <f t="shared" si="1"/>
        <v>Fizzy Drinks</v>
      </c>
      <c r="H11" s="14" t="s">
        <v>1126</v>
      </c>
    </row>
    <row r="12" spans="1:18" x14ac:dyDescent="0.25">
      <c r="A12" t="s">
        <v>1025</v>
      </c>
      <c r="B12" t="s">
        <v>1026</v>
      </c>
      <c r="C12" t="s">
        <v>1027</v>
      </c>
      <c r="D12" t="str">
        <f t="shared" si="0"/>
        <v>"CBLK",</v>
      </c>
      <c r="F12" t="s">
        <v>931</v>
      </c>
      <c r="G12" s="14" t="str">
        <f t="shared" si="1"/>
        <v>Iron</v>
      </c>
      <c r="H12" s="14" t="s">
        <v>1123</v>
      </c>
    </row>
    <row r="13" spans="1:18" x14ac:dyDescent="0.25">
      <c r="A13" t="s">
        <v>1028</v>
      </c>
      <c r="B13" t="s">
        <v>1029</v>
      </c>
      <c r="C13" t="s">
        <v>1009</v>
      </c>
      <c r="D13" t="str">
        <f t="shared" si="0"/>
        <v>"CERA",</v>
      </c>
      <c r="F13" t="s">
        <v>923</v>
      </c>
      <c r="G13" s="14" t="str">
        <f t="shared" si="1"/>
        <v>Coffee</v>
      </c>
      <c r="H13" s="14" t="s">
        <v>1126</v>
      </c>
    </row>
    <row r="14" spans="1:18" x14ac:dyDescent="0.25">
      <c r="A14" t="s">
        <v>907</v>
      </c>
      <c r="B14" t="s">
        <v>1000</v>
      </c>
      <c r="C14" t="s">
        <v>1030</v>
      </c>
      <c r="D14" t="str">
        <f t="shared" si="0"/>
        <v>"CERE",</v>
      </c>
      <c r="F14" t="s">
        <v>921</v>
      </c>
      <c r="G14" s="14" t="str">
        <f t="shared" si="1"/>
        <v>Metal</v>
      </c>
      <c r="H14" s="14" t="s">
        <v>1123</v>
      </c>
    </row>
    <row r="15" spans="1:18" x14ac:dyDescent="0.25">
      <c r="A15" t="s">
        <v>928</v>
      </c>
      <c r="B15" t="s">
        <v>984</v>
      </c>
      <c r="C15" t="s">
        <v>1033</v>
      </c>
      <c r="D15" t="str">
        <f t="shared" si="0"/>
        <v>"CHLO",</v>
      </c>
      <c r="F15" t="s">
        <v>1066</v>
      </c>
      <c r="G15" s="14" t="str">
        <f t="shared" si="1"/>
        <v>Nuts</v>
      </c>
      <c r="H15" s="14" t="s">
        <v>1126</v>
      </c>
    </row>
    <row r="16" spans="1:18" x14ac:dyDescent="0.25">
      <c r="A16" t="s">
        <v>888</v>
      </c>
      <c r="B16" t="s">
        <v>950</v>
      </c>
      <c r="C16" t="s">
        <v>1031</v>
      </c>
      <c r="D16" t="str">
        <f t="shared" si="0"/>
        <v>"CLAY",</v>
      </c>
      <c r="F16" t="s">
        <v>897</v>
      </c>
      <c r="G16" s="14" t="str">
        <f t="shared" si="1"/>
        <v>Paper</v>
      </c>
      <c r="H16" s="14" t="s">
        <v>1126</v>
      </c>
    </row>
    <row r="17" spans="1:8" x14ac:dyDescent="0.25">
      <c r="A17" t="s">
        <v>930</v>
      </c>
      <c r="B17" t="s">
        <v>991</v>
      </c>
      <c r="C17" t="s">
        <v>1031</v>
      </c>
      <c r="D17" t="str">
        <f t="shared" si="0"/>
        <v>"CMNT",</v>
      </c>
      <c r="F17" t="s">
        <v>1068</v>
      </c>
      <c r="G17" s="14" t="str">
        <f t="shared" si="1"/>
        <v>Pipe</v>
      </c>
      <c r="H17" s="14" t="s">
        <v>1119</v>
      </c>
    </row>
    <row r="18" spans="1:8" x14ac:dyDescent="0.25">
      <c r="A18" t="s">
        <v>780</v>
      </c>
      <c r="B18" t="s">
        <v>944</v>
      </c>
      <c r="C18" t="s">
        <v>1005</v>
      </c>
      <c r="D18" t="str">
        <f t="shared" si="0"/>
        <v>"COAL",</v>
      </c>
      <c r="F18" t="s">
        <v>1070</v>
      </c>
      <c r="G18" s="14" t="str">
        <f t="shared" si="1"/>
        <v>Electrical Equipment</v>
      </c>
      <c r="H18" s="14" t="s">
        <v>1126</v>
      </c>
    </row>
    <row r="19" spans="1:8" x14ac:dyDescent="0.25">
      <c r="A19" t="s">
        <v>929</v>
      </c>
      <c r="B19" t="s">
        <v>986</v>
      </c>
      <c r="C19" t="s">
        <v>1005</v>
      </c>
      <c r="D19" t="str">
        <f t="shared" si="0"/>
        <v>"COKE",</v>
      </c>
      <c r="F19" t="s">
        <v>1072</v>
      </c>
      <c r="G19" s="14" t="str">
        <f t="shared" si="1"/>
        <v>Alloy Steel</v>
      </c>
      <c r="H19" s="14" t="s">
        <v>1123</v>
      </c>
    </row>
    <row r="20" spans="1:8" x14ac:dyDescent="0.25">
      <c r="A20" t="s">
        <v>1087</v>
      </c>
      <c r="B20" t="s">
        <v>1088</v>
      </c>
      <c r="C20" t="s">
        <v>1007</v>
      </c>
      <c r="D20" t="str">
        <f t="shared" si="0"/>
        <v>"COLA",</v>
      </c>
      <c r="F20" t="s">
        <v>1074</v>
      </c>
      <c r="G20" s="14" t="str">
        <f t="shared" si="1"/>
        <v>Carbon Steel</v>
      </c>
      <c r="H20" s="14" t="s">
        <v>1123</v>
      </c>
    </row>
    <row r="21" spans="1:8" x14ac:dyDescent="0.25">
      <c r="A21" t="s">
        <v>900</v>
      </c>
      <c r="B21" t="s">
        <v>1032</v>
      </c>
      <c r="C21" t="s">
        <v>1009</v>
      </c>
      <c r="D21" t="str">
        <f t="shared" si="0"/>
        <v>"COPR",</v>
      </c>
      <c r="F21" t="s">
        <v>859</v>
      </c>
      <c r="G21" s="14" t="str">
        <f t="shared" si="1"/>
        <v>Steel</v>
      </c>
      <c r="H21" s="14" t="s">
        <v>1123</v>
      </c>
    </row>
    <row r="22" spans="1:8" x14ac:dyDescent="0.25">
      <c r="A22" t="s">
        <v>887</v>
      </c>
      <c r="B22" t="s">
        <v>949</v>
      </c>
      <c r="C22" t="s">
        <v>1005</v>
      </c>
      <c r="D22" t="str">
        <f t="shared" si="0"/>
        <v>"CORE",</v>
      </c>
      <c r="F22" t="s">
        <v>1076</v>
      </c>
      <c r="G22" s="14" t="str">
        <f t="shared" si="1"/>
        <v>Stainless Steel</v>
      </c>
      <c r="H22" s="14" t="s">
        <v>1123</v>
      </c>
    </row>
    <row r="23" spans="1:8" x14ac:dyDescent="0.25">
      <c r="A23" t="s">
        <v>925</v>
      </c>
      <c r="B23" t="s">
        <v>1001</v>
      </c>
      <c r="C23" t="s">
        <v>1009</v>
      </c>
      <c r="D23" t="str">
        <f t="shared" si="0"/>
        <v>"CSTI",</v>
      </c>
      <c r="F23" t="s">
        <v>1096</v>
      </c>
      <c r="G23" s="14" t="str">
        <f t="shared" si="1"/>
        <v>Toys</v>
      </c>
      <c r="H23" s="14" t="s">
        <v>1126</v>
      </c>
    </row>
    <row r="24" spans="1:8" x14ac:dyDescent="0.25">
      <c r="A24" t="s">
        <v>926</v>
      </c>
      <c r="B24" t="s">
        <v>1002</v>
      </c>
      <c r="C24" t="s">
        <v>1033</v>
      </c>
      <c r="D24" t="str">
        <f t="shared" si="0"/>
        <v>"CTAR",</v>
      </c>
      <c r="F24" t="s">
        <v>1058</v>
      </c>
      <c r="G24" s="14" t="str">
        <f t="shared" si="1"/>
        <v>Tyres</v>
      </c>
      <c r="H24" s="14" t="s">
        <v>1127</v>
      </c>
    </row>
    <row r="25" spans="1:8" x14ac:dyDescent="0.25">
      <c r="A25" t="s">
        <v>1089</v>
      </c>
      <c r="B25" t="s">
        <v>1103</v>
      </c>
      <c r="C25" t="s">
        <v>1005</v>
      </c>
      <c r="D25" t="str">
        <f t="shared" si="0"/>
        <v>"CTCD",</v>
      </c>
      <c r="F25" t="s">
        <v>1078</v>
      </c>
      <c r="G25" s="14" t="str">
        <f t="shared" si="1"/>
        <v>Vehicle Bodies</v>
      </c>
      <c r="H25" s="14" t="s">
        <v>1128</v>
      </c>
    </row>
    <row r="26" spans="1:8" x14ac:dyDescent="0.25">
      <c r="A26" t="s">
        <v>1016</v>
      </c>
      <c r="B26" t="s">
        <v>1017</v>
      </c>
      <c r="C26" t="s">
        <v>1011</v>
      </c>
      <c r="D26" t="str">
        <f t="shared" si="0"/>
        <v>"DIAM",</v>
      </c>
      <c r="F26" t="s">
        <v>1079</v>
      </c>
      <c r="G26" s="14" t="str">
        <f t="shared" si="1"/>
        <v>Vehicle Engines</v>
      </c>
      <c r="H26" s="14" t="s">
        <v>1126</v>
      </c>
    </row>
    <row r="27" spans="1:8" x14ac:dyDescent="0.25">
      <c r="A27" t="s">
        <v>901</v>
      </c>
      <c r="B27" t="s">
        <v>963</v>
      </c>
      <c r="C27" t="s">
        <v>1034</v>
      </c>
      <c r="D27" t="str">
        <f t="shared" si="0"/>
        <v>"DYES",</v>
      </c>
      <c r="F27" t="s">
        <v>460</v>
      </c>
      <c r="G27" s="14" t="str">
        <f t="shared" si="1"/>
        <v>Wood</v>
      </c>
      <c r="H27" s="14" t="s">
        <v>1120</v>
      </c>
    </row>
    <row r="28" spans="1:8" x14ac:dyDescent="0.25">
      <c r="A28" t="s">
        <v>893</v>
      </c>
      <c r="B28" t="s">
        <v>958</v>
      </c>
      <c r="C28" t="s">
        <v>1024</v>
      </c>
      <c r="D28" t="str">
        <f t="shared" si="0"/>
        <v>"ENSP",</v>
      </c>
      <c r="F28" t="s">
        <v>936</v>
      </c>
      <c r="G28" s="14" t="str">
        <f t="shared" si="1"/>
        <v>Zinc</v>
      </c>
      <c r="H28" s="14" t="s">
        <v>1123</v>
      </c>
    </row>
    <row r="29" spans="1:8" x14ac:dyDescent="0.25">
      <c r="A29" t="s">
        <v>1063</v>
      </c>
      <c r="B29" t="s">
        <v>1064</v>
      </c>
      <c r="C29" t="s">
        <v>1034</v>
      </c>
      <c r="D29" t="str">
        <f t="shared" si="0"/>
        <v>"EOIL",</v>
      </c>
      <c r="F29" t="s">
        <v>893</v>
      </c>
      <c r="G29" s="14" t="str">
        <f t="shared" si="1"/>
        <v>Engineering Supplies</v>
      </c>
      <c r="H29" s="14" t="s">
        <v>1121</v>
      </c>
    </row>
    <row r="30" spans="1:8" x14ac:dyDescent="0.25">
      <c r="A30" t="s">
        <v>1035</v>
      </c>
      <c r="B30" t="s">
        <v>1036</v>
      </c>
      <c r="C30" t="s">
        <v>1005</v>
      </c>
      <c r="D30" t="str">
        <f t="shared" si="0"/>
        <v>"FECR",</v>
      </c>
      <c r="F30" t="s">
        <v>892</v>
      </c>
      <c r="G30" s="14" t="str">
        <f t="shared" si="1"/>
        <v>Farm Supplies</v>
      </c>
      <c r="H30" s="14" t="s">
        <v>1122</v>
      </c>
    </row>
    <row r="31" spans="1:8" x14ac:dyDescent="0.25">
      <c r="A31" t="s">
        <v>1037</v>
      </c>
      <c r="B31" t="s">
        <v>1038</v>
      </c>
      <c r="C31" t="s">
        <v>1039</v>
      </c>
      <c r="D31" t="str">
        <f t="shared" si="0"/>
        <v>"FERT",</v>
      </c>
      <c r="F31" t="s">
        <v>1081</v>
      </c>
      <c r="G31" s="14" t="str">
        <f t="shared" si="1"/>
        <v>Vehicle Parts</v>
      </c>
      <c r="H31" s="14" t="s">
        <v>1126</v>
      </c>
    </row>
    <row r="32" spans="1:8" x14ac:dyDescent="0.25">
      <c r="A32" t="s">
        <v>908</v>
      </c>
      <c r="B32" t="s">
        <v>997</v>
      </c>
      <c r="C32" t="s">
        <v>1039</v>
      </c>
      <c r="D32" t="str">
        <f t="shared" si="0"/>
        <v>"FICR",</v>
      </c>
      <c r="F32" t="s">
        <v>898</v>
      </c>
      <c r="G32" s="14" t="str">
        <f t="shared" si="1"/>
        <v>Timber</v>
      </c>
      <c r="H32" s="14" t="s">
        <v>1124</v>
      </c>
    </row>
    <row r="33" spans="1:8" x14ac:dyDescent="0.25">
      <c r="A33" t="s">
        <v>906</v>
      </c>
      <c r="B33" t="s">
        <v>968</v>
      </c>
      <c r="C33" t="s">
        <v>1012</v>
      </c>
      <c r="D33" t="str">
        <f t="shared" si="0"/>
        <v>"FISH",</v>
      </c>
      <c r="F33" t="s">
        <v>904</v>
      </c>
      <c r="G33" s="14" t="str">
        <f t="shared" si="1"/>
        <v>Plastics</v>
      </c>
      <c r="H33" s="14" t="s">
        <v>1126</v>
      </c>
    </row>
    <row r="34" spans="1:8" x14ac:dyDescent="0.25">
      <c r="A34" t="s">
        <v>892</v>
      </c>
      <c r="B34" t="s">
        <v>957</v>
      </c>
      <c r="C34" t="s">
        <v>1024</v>
      </c>
      <c r="D34" t="str">
        <f t="shared" ref="D34:D65" si="7">CONCATENATE("""", A34, """,")</f>
        <v>"FMSP",</v>
      </c>
      <c r="F34" t="s">
        <v>901</v>
      </c>
      <c r="G34" s="14" t="str">
        <f t="shared" si="1"/>
        <v>Dyes</v>
      </c>
      <c r="H34" s="14" t="s">
        <v>1126</v>
      </c>
    </row>
    <row r="35" spans="1:8" x14ac:dyDescent="0.25">
      <c r="A35" t="s">
        <v>891</v>
      </c>
      <c r="B35" t="s">
        <v>955</v>
      </c>
      <c r="C35" t="s">
        <v>1012</v>
      </c>
      <c r="D35" t="str">
        <f t="shared" si="7"/>
        <v>"FOOD",</v>
      </c>
      <c r="F35" t="s">
        <v>899</v>
      </c>
      <c r="G35" s="14" t="str">
        <f t="shared" si="1"/>
        <v>Vehicles</v>
      </c>
      <c r="H35" s="14" t="s">
        <v>1125</v>
      </c>
    </row>
    <row r="36" spans="1:8" x14ac:dyDescent="0.25">
      <c r="A36" t="s">
        <v>910</v>
      </c>
      <c r="B36" t="s">
        <v>974</v>
      </c>
      <c r="C36" t="s">
        <v>1015</v>
      </c>
      <c r="D36" t="str">
        <f t="shared" si="7"/>
        <v>"FRUT",</v>
      </c>
      <c r="F36" t="s">
        <v>908</v>
      </c>
      <c r="G36" s="14" t="str">
        <f t="shared" si="1"/>
        <v>Fibre Crops</v>
      </c>
      <c r="H36" s="14" t="s">
        <v>1126</v>
      </c>
    </row>
    <row r="37" spans="1:8" x14ac:dyDescent="0.25">
      <c r="A37" t="s">
        <v>909</v>
      </c>
      <c r="B37" t="s">
        <v>998</v>
      </c>
      <c r="C37" t="s">
        <v>1100</v>
      </c>
      <c r="D37" t="str">
        <f t="shared" si="7"/>
        <v>"FRVG",</v>
      </c>
      <c r="F37" t="s">
        <v>896</v>
      </c>
      <c r="G37" s="14" t="str">
        <f t="shared" si="1"/>
        <v>Packaging</v>
      </c>
      <c r="H37" s="14" t="s">
        <v>1126</v>
      </c>
    </row>
    <row r="38" spans="1:8" x14ac:dyDescent="0.25">
      <c r="A38" t="s">
        <v>1090</v>
      </c>
      <c r="B38" t="s">
        <v>1091</v>
      </c>
      <c r="C38" t="s">
        <v>1009</v>
      </c>
      <c r="D38" t="str">
        <f t="shared" si="7"/>
        <v>"FZDR",</v>
      </c>
      <c r="F38" t="s">
        <v>1154</v>
      </c>
      <c r="G38" s="14" t="str">
        <f t="shared" si="1"/>
        <v>Steel Sheet</v>
      </c>
      <c r="H38" s="14"/>
    </row>
    <row r="39" spans="1:8" x14ac:dyDescent="0.25">
      <c r="A39" t="s">
        <v>1013</v>
      </c>
      <c r="B39" t="s">
        <v>1014</v>
      </c>
      <c r="C39" t="s">
        <v>1011</v>
      </c>
      <c r="D39" t="str">
        <f t="shared" si="7"/>
        <v>"GOLD",</v>
      </c>
      <c r="F39" t="s">
        <v>1156</v>
      </c>
      <c r="G39" s="14" t="str">
        <f t="shared" si="1"/>
        <v>Steel Wire Rod</v>
      </c>
      <c r="H39" s="14"/>
    </row>
    <row r="40" spans="1:8" x14ac:dyDescent="0.25">
      <c r="A40" t="s">
        <v>326</v>
      </c>
      <c r="B40" t="s">
        <v>954</v>
      </c>
      <c r="C40" t="s">
        <v>1010</v>
      </c>
      <c r="D40" t="str">
        <f t="shared" si="7"/>
        <v>"GOOD",</v>
      </c>
      <c r="F40" t="s">
        <v>1153</v>
      </c>
      <c r="G40" s="14" t="str">
        <f t="shared" si="1"/>
        <v>Rebar</v>
      </c>
      <c r="H40" s="14"/>
    </row>
    <row r="41" spans="1:8" x14ac:dyDescent="0.25">
      <c r="A41" t="s">
        <v>911</v>
      </c>
      <c r="B41" t="s">
        <v>973</v>
      </c>
      <c r="C41" t="s">
        <v>1005</v>
      </c>
      <c r="D41" t="str">
        <f t="shared" si="7"/>
        <v>"GRAI",</v>
      </c>
      <c r="F41" s="14" t="s">
        <v>1144</v>
      </c>
      <c r="G41" s="14" t="str">
        <f t="shared" si="1"/>
        <v>Cleaning Agents</v>
      </c>
      <c r="H41" s="14" t="s">
        <v>1126</v>
      </c>
    </row>
    <row r="42" spans="1:8" x14ac:dyDescent="0.25">
      <c r="A42" t="s">
        <v>884</v>
      </c>
      <c r="B42" t="s">
        <v>946</v>
      </c>
      <c r="C42" t="s">
        <v>1005</v>
      </c>
      <c r="D42" t="str">
        <f t="shared" si="7"/>
        <v>"GRVL",</v>
      </c>
      <c r="F42" s="14" t="s">
        <v>1151</v>
      </c>
      <c r="G42" s="14" t="str">
        <f t="shared" si="1"/>
        <v>Paints and coatings</v>
      </c>
      <c r="H42" s="14" t="s">
        <v>1126</v>
      </c>
    </row>
    <row r="43" spans="1:8" x14ac:dyDescent="0.25">
      <c r="A43" t="s">
        <v>883</v>
      </c>
      <c r="B43" t="s">
        <v>945</v>
      </c>
      <c r="C43" t="s">
        <v>1005</v>
      </c>
      <c r="D43" t="str">
        <f t="shared" si="7"/>
        <v>"IORE",</v>
      </c>
    </row>
    <row r="44" spans="1:8" x14ac:dyDescent="0.25">
      <c r="A44" t="s">
        <v>931</v>
      </c>
      <c r="B44" t="s">
        <v>987</v>
      </c>
      <c r="C44" t="s">
        <v>1009</v>
      </c>
      <c r="D44" t="str">
        <f t="shared" si="7"/>
        <v>"IRON",</v>
      </c>
    </row>
    <row r="45" spans="1:8" x14ac:dyDescent="0.25">
      <c r="A45" t="s">
        <v>923</v>
      </c>
      <c r="B45" t="s">
        <v>982</v>
      </c>
      <c r="C45" t="s">
        <v>1009</v>
      </c>
      <c r="D45" t="str">
        <f t="shared" si="7"/>
        <v>"JAVA",</v>
      </c>
    </row>
    <row r="46" spans="1:8" x14ac:dyDescent="0.25">
      <c r="A46" t="s">
        <v>1041</v>
      </c>
      <c r="B46" t="s">
        <v>1101</v>
      </c>
      <c r="C46" t="s">
        <v>1042</v>
      </c>
      <c r="D46" t="str">
        <f t="shared" si="7"/>
        <v>"KAOL",</v>
      </c>
    </row>
    <row r="47" spans="1:8" x14ac:dyDescent="0.25">
      <c r="A47" t="s">
        <v>890</v>
      </c>
      <c r="B47" t="s">
        <v>953</v>
      </c>
      <c r="C47" t="s">
        <v>1005</v>
      </c>
      <c r="D47" t="str">
        <f t="shared" si="7"/>
        <v>"LIME",</v>
      </c>
    </row>
    <row r="48" spans="1:8" x14ac:dyDescent="0.25">
      <c r="A48" t="s">
        <v>819</v>
      </c>
      <c r="B48" t="s">
        <v>972</v>
      </c>
      <c r="C48" t="s">
        <v>1009</v>
      </c>
      <c r="D48" t="str">
        <f t="shared" si="7"/>
        <v>"LVST",</v>
      </c>
    </row>
    <row r="49" spans="1:4" x14ac:dyDescent="0.25">
      <c r="A49" t="s">
        <v>708</v>
      </c>
      <c r="B49" t="s">
        <v>943</v>
      </c>
      <c r="C49" t="s">
        <v>1006</v>
      </c>
      <c r="D49" t="str">
        <f t="shared" si="7"/>
        <v>"MAIL",</v>
      </c>
    </row>
    <row r="50" spans="1:4" x14ac:dyDescent="0.25">
      <c r="A50" t="s">
        <v>912</v>
      </c>
      <c r="B50" t="s">
        <v>971</v>
      </c>
      <c r="C50" t="s">
        <v>1005</v>
      </c>
      <c r="D50" t="str">
        <f t="shared" si="7"/>
        <v>"MAIZ",</v>
      </c>
    </row>
    <row r="51" spans="1:4" x14ac:dyDescent="0.25">
      <c r="A51" t="s">
        <v>921</v>
      </c>
      <c r="B51" t="s">
        <v>980</v>
      </c>
      <c r="C51" t="s">
        <v>1009</v>
      </c>
      <c r="D51" t="str">
        <f t="shared" si="7"/>
        <v>"METL",</v>
      </c>
    </row>
    <row r="52" spans="1:4" x14ac:dyDescent="0.25">
      <c r="A52" t="s">
        <v>913</v>
      </c>
      <c r="B52" t="s">
        <v>969</v>
      </c>
      <c r="C52" t="s">
        <v>1043</v>
      </c>
      <c r="D52" t="str">
        <f t="shared" si="7"/>
        <v>"MILK",</v>
      </c>
    </row>
    <row r="53" spans="1:4" x14ac:dyDescent="0.25">
      <c r="A53" t="s">
        <v>940</v>
      </c>
      <c r="B53" t="s">
        <v>992</v>
      </c>
      <c r="C53" t="s">
        <v>1005</v>
      </c>
      <c r="D53" t="str">
        <f t="shared" si="7"/>
        <v>"MNO2",</v>
      </c>
    </row>
    <row r="54" spans="1:4" x14ac:dyDescent="0.25">
      <c r="A54" t="s">
        <v>896</v>
      </c>
      <c r="B54" t="s">
        <v>1141</v>
      </c>
      <c r="C54" t="s">
        <v>1065</v>
      </c>
      <c r="D54" t="str">
        <f t="shared" si="7"/>
        <v>"MNSP",</v>
      </c>
    </row>
    <row r="55" spans="1:4" x14ac:dyDescent="0.25">
      <c r="A55" t="s">
        <v>1044</v>
      </c>
      <c r="B55" t="s">
        <v>1045</v>
      </c>
      <c r="C55" t="s">
        <v>1005</v>
      </c>
      <c r="D55" t="str">
        <f t="shared" si="7"/>
        <v>"NITR",</v>
      </c>
    </row>
    <row r="56" spans="1:4" x14ac:dyDescent="0.25">
      <c r="A56" t="s">
        <v>1066</v>
      </c>
      <c r="B56" t="s">
        <v>1067</v>
      </c>
      <c r="C56" t="s">
        <v>1009</v>
      </c>
      <c r="D56" t="str">
        <f t="shared" si="7"/>
        <v>"NUTS",</v>
      </c>
    </row>
    <row r="57" spans="1:4" x14ac:dyDescent="0.25">
      <c r="A57" t="s">
        <v>324</v>
      </c>
      <c r="B57" t="s">
        <v>964</v>
      </c>
      <c r="C57" t="s">
        <v>1007</v>
      </c>
      <c r="D57" t="str">
        <f t="shared" si="7"/>
        <v>"OIL_",</v>
      </c>
    </row>
    <row r="58" spans="1:4" x14ac:dyDescent="0.25">
      <c r="A58" t="s">
        <v>919</v>
      </c>
      <c r="B58" t="s">
        <v>999</v>
      </c>
      <c r="C58" t="s">
        <v>1030</v>
      </c>
      <c r="D58" t="str">
        <f t="shared" si="7"/>
        <v>"OLSD",</v>
      </c>
    </row>
    <row r="59" spans="1:4" x14ac:dyDescent="0.25">
      <c r="A59" t="s">
        <v>897</v>
      </c>
      <c r="B59" t="s">
        <v>961</v>
      </c>
      <c r="C59" t="s">
        <v>1009</v>
      </c>
      <c r="D59" t="str">
        <f t="shared" si="7"/>
        <v>"PAPR",</v>
      </c>
    </row>
    <row r="60" spans="1:4" x14ac:dyDescent="0.25">
      <c r="A60" t="s">
        <v>323</v>
      </c>
      <c r="B60" t="s">
        <v>941</v>
      </c>
      <c r="C60" t="s">
        <v>1004</v>
      </c>
      <c r="D60" t="str">
        <f t="shared" si="7"/>
        <v>"PASS",</v>
      </c>
    </row>
    <row r="61" spans="1:4" x14ac:dyDescent="0.25">
      <c r="A61" t="s">
        <v>1046</v>
      </c>
      <c r="B61" t="s">
        <v>1047</v>
      </c>
      <c r="C61" t="s">
        <v>1005</v>
      </c>
      <c r="D61" t="str">
        <f t="shared" si="7"/>
        <v>"PEAT",</v>
      </c>
    </row>
    <row r="62" spans="1:4" x14ac:dyDescent="0.25">
      <c r="A62" t="s">
        <v>903</v>
      </c>
      <c r="B62" t="s">
        <v>965</v>
      </c>
      <c r="C62" t="s">
        <v>1007</v>
      </c>
      <c r="D62" t="str">
        <f t="shared" si="7"/>
        <v>"PETR",</v>
      </c>
    </row>
    <row r="63" spans="1:4" x14ac:dyDescent="0.25">
      <c r="A63" t="s">
        <v>1048</v>
      </c>
      <c r="B63" t="s">
        <v>1049</v>
      </c>
      <c r="C63" t="s">
        <v>1005</v>
      </c>
      <c r="D63" t="str">
        <f t="shared" si="7"/>
        <v>"PHOS",</v>
      </c>
    </row>
    <row r="64" spans="1:4" x14ac:dyDescent="0.25">
      <c r="A64" t="s">
        <v>1068</v>
      </c>
      <c r="B64" t="s">
        <v>1069</v>
      </c>
      <c r="C64" t="s">
        <v>1009</v>
      </c>
      <c r="D64" t="str">
        <f t="shared" si="7"/>
        <v>"PIPE",</v>
      </c>
    </row>
    <row r="65" spans="1:4" x14ac:dyDescent="0.25">
      <c r="A65" t="s">
        <v>904</v>
      </c>
      <c r="B65" t="s">
        <v>966</v>
      </c>
      <c r="C65" t="s">
        <v>1051</v>
      </c>
      <c r="D65" t="str">
        <f t="shared" si="7"/>
        <v>"PLAS",</v>
      </c>
    </row>
    <row r="66" spans="1:4" x14ac:dyDescent="0.25">
      <c r="A66" t="s">
        <v>1092</v>
      </c>
      <c r="B66" t="s">
        <v>1050</v>
      </c>
      <c r="C66" t="s">
        <v>1007</v>
      </c>
      <c r="D66" t="str">
        <f t="shared" ref="D66:D97" si="8">CONCATENATE("""", A66, """,")</f>
        <v>"PLST",</v>
      </c>
    </row>
    <row r="67" spans="1:4" x14ac:dyDescent="0.25">
      <c r="A67" t="s">
        <v>1052</v>
      </c>
      <c r="B67" t="s">
        <v>1053</v>
      </c>
      <c r="C67" t="s">
        <v>1005</v>
      </c>
      <c r="D67" t="str">
        <f t="shared" si="8"/>
        <v>"PORE",</v>
      </c>
    </row>
    <row r="68" spans="1:4" x14ac:dyDescent="0.25">
      <c r="A68" t="s">
        <v>1054</v>
      </c>
      <c r="B68" t="s">
        <v>1055</v>
      </c>
      <c r="C68" t="s">
        <v>1030</v>
      </c>
      <c r="D68" t="str">
        <f t="shared" si="8"/>
        <v>"POTA",</v>
      </c>
    </row>
    <row r="69" spans="1:4" x14ac:dyDescent="0.25">
      <c r="A69" t="s">
        <v>1070</v>
      </c>
      <c r="B69" t="s">
        <v>1148</v>
      </c>
      <c r="C69" t="s">
        <v>1009</v>
      </c>
      <c r="D69" t="str">
        <f t="shared" si="8"/>
        <v>"POWR",</v>
      </c>
    </row>
    <row r="70" spans="1:4" x14ac:dyDescent="0.25">
      <c r="A70" t="s">
        <v>932</v>
      </c>
      <c r="B70" t="s">
        <v>993</v>
      </c>
      <c r="C70" t="s">
        <v>1030</v>
      </c>
      <c r="D70" t="str">
        <f t="shared" si="8"/>
        <v>"QLME",</v>
      </c>
    </row>
    <row r="71" spans="1:4" x14ac:dyDescent="0.25">
      <c r="A71" t="s">
        <v>938</v>
      </c>
      <c r="B71" t="s">
        <v>995</v>
      </c>
      <c r="C71" t="s">
        <v>1071</v>
      </c>
      <c r="D71" t="str">
        <f t="shared" si="8"/>
        <v>"RCYC",</v>
      </c>
    </row>
    <row r="72" spans="1:4" x14ac:dyDescent="0.25">
      <c r="A72" t="s">
        <v>902</v>
      </c>
      <c r="B72" t="s">
        <v>1147</v>
      </c>
      <c r="C72" t="s">
        <v>1007</v>
      </c>
      <c r="D72" t="str">
        <f t="shared" si="8"/>
        <v>"RFPR",</v>
      </c>
    </row>
    <row r="73" spans="1:4" x14ac:dyDescent="0.25">
      <c r="A73" t="s">
        <v>914</v>
      </c>
      <c r="B73" t="s">
        <v>975</v>
      </c>
      <c r="C73" t="s">
        <v>1007</v>
      </c>
      <c r="D73" t="str">
        <f t="shared" si="8"/>
        <v>"RUBR",</v>
      </c>
    </row>
    <row r="74" spans="1:4" x14ac:dyDescent="0.25">
      <c r="A74" t="s">
        <v>933</v>
      </c>
      <c r="B74" t="s">
        <v>988</v>
      </c>
      <c r="C74" t="s">
        <v>1005</v>
      </c>
      <c r="D74" t="str">
        <f t="shared" si="8"/>
        <v>"SALT",</v>
      </c>
    </row>
    <row r="75" spans="1:4" x14ac:dyDescent="0.25">
      <c r="A75" t="s">
        <v>885</v>
      </c>
      <c r="B75" t="s">
        <v>947</v>
      </c>
      <c r="C75" t="s">
        <v>1005</v>
      </c>
      <c r="D75" t="str">
        <f t="shared" si="8"/>
        <v>"SAND",</v>
      </c>
    </row>
    <row r="76" spans="1:4" x14ac:dyDescent="0.25">
      <c r="A76" t="s">
        <v>934</v>
      </c>
      <c r="B76" t="s">
        <v>1003</v>
      </c>
      <c r="C76" t="s">
        <v>1030</v>
      </c>
      <c r="D76" t="str">
        <f t="shared" si="8"/>
        <v>"SASH",</v>
      </c>
    </row>
    <row r="77" spans="1:4" x14ac:dyDescent="0.25">
      <c r="A77" t="s">
        <v>889</v>
      </c>
      <c r="B77" t="s">
        <v>951</v>
      </c>
      <c r="C77" t="s">
        <v>1056</v>
      </c>
      <c r="D77" t="str">
        <f t="shared" si="8"/>
        <v>"SCMT",</v>
      </c>
    </row>
    <row r="78" spans="1:4" x14ac:dyDescent="0.25">
      <c r="A78" t="s">
        <v>915</v>
      </c>
      <c r="B78" t="s">
        <v>976</v>
      </c>
      <c r="C78" t="s">
        <v>1005</v>
      </c>
      <c r="D78" t="str">
        <f t="shared" si="8"/>
        <v>"SGBT",</v>
      </c>
    </row>
    <row r="79" spans="1:4" x14ac:dyDescent="0.25">
      <c r="A79" t="s">
        <v>916</v>
      </c>
      <c r="B79" t="s">
        <v>977</v>
      </c>
      <c r="C79" t="s">
        <v>1056</v>
      </c>
      <c r="D79" t="str">
        <f t="shared" si="8"/>
        <v>"SGCN",</v>
      </c>
    </row>
    <row r="80" spans="1:4" x14ac:dyDescent="0.25">
      <c r="A80" t="s">
        <v>937</v>
      </c>
      <c r="B80" t="s">
        <v>990</v>
      </c>
      <c r="C80" t="s">
        <v>1005</v>
      </c>
      <c r="D80" t="str">
        <f t="shared" si="8"/>
        <v>"SLAG",</v>
      </c>
    </row>
    <row r="81" spans="1:4" x14ac:dyDescent="0.25">
      <c r="A81" t="s">
        <v>1072</v>
      </c>
      <c r="B81" t="s">
        <v>1073</v>
      </c>
      <c r="C81" t="s">
        <v>1009</v>
      </c>
      <c r="D81" t="str">
        <f t="shared" si="8"/>
        <v>"STAL",</v>
      </c>
    </row>
    <row r="82" spans="1:4" x14ac:dyDescent="0.25">
      <c r="A82" t="s">
        <v>1074</v>
      </c>
      <c r="B82" t="s">
        <v>1075</v>
      </c>
      <c r="C82" t="s">
        <v>1009</v>
      </c>
      <c r="D82" t="str">
        <f t="shared" si="8"/>
        <v>"STCB",</v>
      </c>
    </row>
    <row r="83" spans="1:4" x14ac:dyDescent="0.25">
      <c r="A83" t="s">
        <v>859</v>
      </c>
      <c r="B83" t="s">
        <v>956</v>
      </c>
      <c r="C83" t="s">
        <v>1009</v>
      </c>
      <c r="D83" t="str">
        <f t="shared" si="8"/>
        <v>"STEL",</v>
      </c>
    </row>
    <row r="84" spans="1:4" x14ac:dyDescent="0.25">
      <c r="A84" t="s">
        <v>1076</v>
      </c>
      <c r="B84" t="s">
        <v>1077</v>
      </c>
      <c r="C84" t="s">
        <v>1009</v>
      </c>
      <c r="D84" t="str">
        <f t="shared" si="8"/>
        <v>"STST",</v>
      </c>
    </row>
    <row r="85" spans="1:4" x14ac:dyDescent="0.25">
      <c r="A85" t="s">
        <v>920</v>
      </c>
      <c r="B85" t="s">
        <v>979</v>
      </c>
      <c r="C85" t="s">
        <v>1005</v>
      </c>
      <c r="D85" t="str">
        <f t="shared" si="8"/>
        <v>"SUGR",</v>
      </c>
    </row>
    <row r="86" spans="1:4" x14ac:dyDescent="0.25">
      <c r="A86" t="s">
        <v>935</v>
      </c>
      <c r="B86" t="s">
        <v>994</v>
      </c>
      <c r="C86" t="s">
        <v>1030</v>
      </c>
      <c r="D86" t="str">
        <f t="shared" si="8"/>
        <v>"SULP",</v>
      </c>
    </row>
    <row r="87" spans="1:4" x14ac:dyDescent="0.25">
      <c r="A87" t="s">
        <v>1093</v>
      </c>
      <c r="B87" t="s">
        <v>1104</v>
      </c>
      <c r="C87" t="s">
        <v>1010</v>
      </c>
      <c r="D87" t="str">
        <f t="shared" si="8"/>
        <v>"SWET",</v>
      </c>
    </row>
    <row r="88" spans="1:4" x14ac:dyDescent="0.25">
      <c r="A88" t="s">
        <v>1094</v>
      </c>
      <c r="B88" t="s">
        <v>1095</v>
      </c>
      <c r="C88" t="s">
        <v>1005</v>
      </c>
      <c r="D88" t="str">
        <f t="shared" si="8"/>
        <v>"TOFF",</v>
      </c>
    </row>
    <row r="89" spans="1:4" x14ac:dyDescent="0.25">
      <c r="A89" t="s">
        <v>882</v>
      </c>
      <c r="B89" t="s">
        <v>942</v>
      </c>
      <c r="C89" t="s">
        <v>1057</v>
      </c>
      <c r="D89" t="str">
        <f t="shared" si="8"/>
        <v>"TOUR",</v>
      </c>
    </row>
    <row r="90" spans="1:4" x14ac:dyDescent="0.25">
      <c r="A90" t="s">
        <v>1096</v>
      </c>
      <c r="B90" t="s">
        <v>1097</v>
      </c>
      <c r="C90" t="s">
        <v>1009</v>
      </c>
      <c r="D90" t="str">
        <f t="shared" si="8"/>
        <v>"TOYS",</v>
      </c>
    </row>
    <row r="91" spans="1:4" x14ac:dyDescent="0.25">
      <c r="A91" t="s">
        <v>1058</v>
      </c>
      <c r="B91" t="s">
        <v>1059</v>
      </c>
      <c r="C91" t="s">
        <v>1009</v>
      </c>
      <c r="D91" t="str">
        <f t="shared" si="8"/>
        <v>"TYRE",</v>
      </c>
    </row>
    <row r="92" spans="1:4" x14ac:dyDescent="0.25">
      <c r="A92" t="s">
        <v>1060</v>
      </c>
      <c r="B92" t="s">
        <v>1061</v>
      </c>
      <c r="C92" t="s">
        <v>1062</v>
      </c>
      <c r="D92" t="str">
        <f t="shared" si="8"/>
        <v>"URAN",</v>
      </c>
    </row>
    <row r="93" spans="1:4" x14ac:dyDescent="0.25">
      <c r="A93" t="s">
        <v>922</v>
      </c>
      <c r="B93" t="s">
        <v>981</v>
      </c>
      <c r="C93" t="s">
        <v>1011</v>
      </c>
      <c r="D93" t="str">
        <f t="shared" si="8"/>
        <v>"VALU",</v>
      </c>
    </row>
    <row r="94" spans="1:4" x14ac:dyDescent="0.25">
      <c r="A94" t="s">
        <v>1078</v>
      </c>
      <c r="B94" t="s">
        <v>1102</v>
      </c>
      <c r="C94" t="s">
        <v>1009</v>
      </c>
      <c r="D94" t="str">
        <f t="shared" si="8"/>
        <v>"VBOD",</v>
      </c>
    </row>
    <row r="95" spans="1:4" x14ac:dyDescent="0.25">
      <c r="A95" t="s">
        <v>899</v>
      </c>
      <c r="B95" t="s">
        <v>962</v>
      </c>
      <c r="C95" t="s">
        <v>1040</v>
      </c>
      <c r="D95" t="str">
        <f t="shared" si="8"/>
        <v>"VEHI",</v>
      </c>
    </row>
    <row r="96" spans="1:4" x14ac:dyDescent="0.25">
      <c r="A96" t="s">
        <v>1079</v>
      </c>
      <c r="B96" t="s">
        <v>1080</v>
      </c>
      <c r="C96" t="s">
        <v>1009</v>
      </c>
      <c r="D96" t="str">
        <f t="shared" si="8"/>
        <v>"VENG",</v>
      </c>
    </row>
    <row r="97" spans="1:4" x14ac:dyDescent="0.25">
      <c r="A97" t="s">
        <v>1081</v>
      </c>
      <c r="B97" t="s">
        <v>1082</v>
      </c>
      <c r="C97" t="s">
        <v>1065</v>
      </c>
      <c r="D97" t="str">
        <f t="shared" si="8"/>
        <v>"VPTS",</v>
      </c>
    </row>
    <row r="98" spans="1:4" x14ac:dyDescent="0.25">
      <c r="A98" t="s">
        <v>905</v>
      </c>
      <c r="B98" t="s">
        <v>967</v>
      </c>
      <c r="C98" t="s">
        <v>1007</v>
      </c>
      <c r="D98" t="str">
        <f t="shared" ref="D98:D112" si="9">CONCATENATE("""", A98, """,")</f>
        <v>"WATR",</v>
      </c>
    </row>
    <row r="99" spans="1:4" x14ac:dyDescent="0.25">
      <c r="A99" t="s">
        <v>898</v>
      </c>
      <c r="B99" t="s">
        <v>1116</v>
      </c>
      <c r="C99" t="s">
        <v>1039</v>
      </c>
      <c r="D99" t="str">
        <f t="shared" si="9"/>
        <v>"WDPR",</v>
      </c>
    </row>
    <row r="100" spans="1:4" x14ac:dyDescent="0.25">
      <c r="A100" t="s">
        <v>917</v>
      </c>
      <c r="B100" t="s">
        <v>978</v>
      </c>
      <c r="C100" t="s">
        <v>1005</v>
      </c>
      <c r="D100" t="str">
        <f t="shared" si="9"/>
        <v>"WHEA",</v>
      </c>
    </row>
    <row r="101" spans="1:4" x14ac:dyDescent="0.25">
      <c r="A101" t="s">
        <v>460</v>
      </c>
      <c r="B101" t="s">
        <v>952</v>
      </c>
      <c r="C101" t="s">
        <v>1009</v>
      </c>
      <c r="D101" t="str">
        <f t="shared" si="9"/>
        <v>"WOOD",</v>
      </c>
    </row>
    <row r="102" spans="1:4" x14ac:dyDescent="0.25">
      <c r="A102" t="s">
        <v>918</v>
      </c>
      <c r="B102" t="s">
        <v>970</v>
      </c>
      <c r="C102" t="s">
        <v>1021</v>
      </c>
      <c r="D102" t="str">
        <f t="shared" si="9"/>
        <v>"WOOL",</v>
      </c>
    </row>
    <row r="103" spans="1:4" x14ac:dyDescent="0.25">
      <c r="A103" t="s">
        <v>1008</v>
      </c>
      <c r="B103" t="s">
        <v>1105</v>
      </c>
      <c r="C103" t="s">
        <v>1098</v>
      </c>
      <c r="D103" t="str">
        <f t="shared" si="9"/>
        <v>"YETI",</v>
      </c>
    </row>
    <row r="104" spans="1:4" x14ac:dyDescent="0.25">
      <c r="A104" t="s">
        <v>1099</v>
      </c>
      <c r="B104" t="s">
        <v>1106</v>
      </c>
      <c r="C104" t="s">
        <v>1098</v>
      </c>
      <c r="D104" t="str">
        <f t="shared" si="9"/>
        <v>"YETY",</v>
      </c>
    </row>
    <row r="105" spans="1:4" x14ac:dyDescent="0.25">
      <c r="A105" t="s">
        <v>936</v>
      </c>
      <c r="B105" t="s">
        <v>989</v>
      </c>
      <c r="C105" t="s">
        <v>1009</v>
      </c>
      <c r="D105" t="str">
        <f t="shared" si="9"/>
        <v>"ZINC",</v>
      </c>
    </row>
    <row r="106" spans="1:4" x14ac:dyDescent="0.25">
      <c r="A106" t="s">
        <v>1144</v>
      </c>
      <c r="B106" t="s">
        <v>1143</v>
      </c>
      <c r="C106" t="s">
        <v>1051</v>
      </c>
      <c r="D106" t="str">
        <f t="shared" si="9"/>
        <v>"SOAP",</v>
      </c>
    </row>
    <row r="107" spans="1:4" x14ac:dyDescent="0.25">
      <c r="A107" t="s">
        <v>1145</v>
      </c>
      <c r="B107" t="s">
        <v>1146</v>
      </c>
      <c r="C107" t="s">
        <v>1033</v>
      </c>
      <c r="D107" t="str">
        <f t="shared" si="9"/>
        <v>"NH3_",</v>
      </c>
    </row>
    <row r="108" spans="1:4" x14ac:dyDescent="0.25">
      <c r="A108" t="s">
        <v>1149</v>
      </c>
      <c r="B108" t="s">
        <v>1150</v>
      </c>
      <c r="C108" t="s">
        <v>1033</v>
      </c>
      <c r="D108" t="str">
        <f t="shared" si="9"/>
        <v>"O2__",</v>
      </c>
    </row>
    <row r="109" spans="1:4" x14ac:dyDescent="0.25">
      <c r="A109" t="s">
        <v>1151</v>
      </c>
      <c r="B109" t="s">
        <v>1152</v>
      </c>
      <c r="C109" t="s">
        <v>1051</v>
      </c>
      <c r="D109" t="str">
        <f t="shared" si="9"/>
        <v>"COAT",</v>
      </c>
    </row>
    <row r="110" spans="1:4" x14ac:dyDescent="0.25">
      <c r="A110" t="s">
        <v>1153</v>
      </c>
      <c r="B110" t="s">
        <v>1142</v>
      </c>
      <c r="C110" t="s">
        <v>1009</v>
      </c>
      <c r="D110" t="str">
        <f t="shared" si="9"/>
        <v>"RBAR",</v>
      </c>
    </row>
    <row r="111" spans="1:4" x14ac:dyDescent="0.25">
      <c r="A111" t="s">
        <v>1154</v>
      </c>
      <c r="B111" t="s">
        <v>1155</v>
      </c>
      <c r="C111" t="s">
        <v>1009</v>
      </c>
      <c r="D111" t="str">
        <f t="shared" si="9"/>
        <v>"STSH",</v>
      </c>
    </row>
    <row r="112" spans="1:4" x14ac:dyDescent="0.25">
      <c r="A112" t="s">
        <v>1156</v>
      </c>
      <c r="B112" t="s">
        <v>1157</v>
      </c>
      <c r="C112" t="s">
        <v>1009</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2020-07-26T21:40:24Z</dcterms:modified>
</cp:coreProperties>
</file>